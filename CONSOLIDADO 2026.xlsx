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namedSheetViews/namedSheetView1.xml" ContentType="application/vnd.ms-excel.namedsheetviews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hidePivotFieldList="1" defaultThemeVersion="166925"/>
  <xr:revisionPtr revIDLastSave="83" documentId="6_{6FA386A9-7AD4-457F-B8A5-CE7694A3A2FF}" xr6:coauthVersionLast="47" xr6:coauthVersionMax="47" xr10:uidLastSave="{2C388234-EA4F-43E8-B067-E8A4A800E5BC}"/>
  <bookViews>
    <workbookView xWindow="20370" yWindow="-120" windowWidth="29040" windowHeight="15720" tabRatio="813" firstSheet="2" activeTab="4" xr2:uid="{A22C7B05-6B0A-4116-A99A-60EDDEA67682}"/>
  </bookViews>
  <sheets>
    <sheet name="CONSOLIDADO ABRIL" sheetId="20" state="hidden" r:id="rId1"/>
    <sheet name="CONSOLIDADO MARZO" sheetId="19" state="hidden" r:id="rId2"/>
    <sheet name="CONSOLIDADO REDIRECCIONAMIENTO" sheetId="37" r:id="rId3"/>
    <sheet name="REDIRECIONAMIENTO EXTERNO" sheetId="38" r:id="rId4"/>
    <sheet name="BD PERSONAL" sheetId="36" r:id="rId5"/>
    <sheet name="CONSOLIDADO 2026" sheetId="17" r:id="rId6"/>
    <sheet name="CONSOLIDADO 2026 LIDERES" sheetId="18" r:id="rId7"/>
    <sheet name="CONSOLIDADO 2026 GH" sheetId="28" r:id="rId8"/>
    <sheet name="CONSOLIDADO 2026 NOMINA" sheetId="25" r:id="rId9"/>
    <sheet name="SUPERNUMERARIOS" sheetId="35" r:id="rId10"/>
    <sheet name="CONSOLIDADO PLAZAS FIJAS" sheetId="34" r:id="rId11"/>
    <sheet name="FESTIVOS" sheetId="33" state="hidden" r:id="rId12"/>
  </sheets>
  <definedNames>
    <definedName name="_xlnm._FilterDatabase" localSheetId="8" hidden="1">'CONSOLIDADO 2026 NOMINA'!$Q$400:$Q$400</definedName>
    <definedName name="_xlcn.WorksheetConnection_CONSOLIDADO2026.xlsxCONSOLIDADO_2026_NOMINA1" hidden="1">CONSOLIDADO_2026_NOMINA[]</definedName>
    <definedName name="DatosExternos_1" localSheetId="5" hidden="1">'CONSOLIDADO 2026'!$A$1:$R$891</definedName>
    <definedName name="DatosExternos_2" localSheetId="7" hidden="1">'CONSOLIDADO 2026 GH'!$A$1:$O$308</definedName>
    <definedName name="DatosExternos_2" localSheetId="6" hidden="1">'CONSOLIDADO 2026 LIDERES'!$A$1:$I$839</definedName>
    <definedName name="DatosExternos_2" localSheetId="2" hidden="1">'CONSOLIDADO REDIRECCIONAMIENTO'!$A$1:$M$201</definedName>
    <definedName name="DatosExternos_4" localSheetId="8" hidden="1">'CONSOLIDADO 2026 NOMINA'!$A$1:$R$392</definedName>
    <definedName name="DatosExternos_5" localSheetId="10" hidden="1">'CONSOLIDADO PLAZAS FIJAS'!$A$1:$C$33</definedName>
    <definedName name="DatosExternos_6" localSheetId="4" hidden="1">'BD PERSONAL'!$A$1:$F$1291</definedName>
    <definedName name="DatosExternos_6" localSheetId="9" hidden="1">SUPERNUMERARIOS!$A$1:$E$368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ALENDARIO_METAS_d41f0f20-7d0c-4659-a6b3-c86477c95d49" name="CALENDARIO_METAS" connection="Consulta - CALENDARIO_METAS"/>
          <x15:modelTable id="CONSOLIDADO_2026_NOMINA" name="CONSOLIDADO_2026_NOMINA" connection="WorksheetConnection_CONSOLIDADO 2026.xlsx!CONSOLIDADO_2026_NOMINA"/>
        </x15:modelTables>
        <x15:modelRelationships>
          <x15:modelRelationship fromTable="CONSOLIDADO_2026_NOMINA" fromColumn="REVISION POR CENTRAL DE NOVEDADES" toTable="CALENDARIO_METAS" toColumn="Fecha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7" l="1"/>
  <c r="S3" i="17"/>
  <c r="S4" i="17"/>
  <c r="S5" i="17"/>
  <c r="S6" i="17"/>
  <c r="S7" i="17"/>
  <c r="S8" i="17"/>
  <c r="S9" i="17"/>
  <c r="S10" i="17"/>
  <c r="S11" i="17"/>
  <c r="S12" i="17"/>
  <c r="S13" i="17"/>
  <c r="S14" i="17"/>
  <c r="S15" i="17"/>
  <c r="S16" i="17"/>
  <c r="S17" i="17"/>
  <c r="S18" i="17"/>
  <c r="S19" i="17"/>
  <c r="S20" i="17"/>
  <c r="S21" i="17"/>
  <c r="S22" i="17"/>
  <c r="S23" i="17"/>
  <c r="S24" i="17"/>
  <c r="S25" i="17"/>
  <c r="S26" i="17"/>
  <c r="S27" i="17"/>
  <c r="S28" i="17"/>
  <c r="S29" i="17"/>
  <c r="S30" i="17"/>
  <c r="S31" i="17"/>
  <c r="S32" i="17"/>
  <c r="S33" i="17"/>
  <c r="S34" i="17"/>
  <c r="S35" i="17"/>
  <c r="S36" i="17"/>
  <c r="S37" i="17"/>
  <c r="S38" i="17"/>
  <c r="S39" i="17"/>
  <c r="S40" i="17"/>
  <c r="S41" i="17"/>
  <c r="S42" i="17"/>
  <c r="S43" i="17"/>
  <c r="S44" i="17"/>
  <c r="S45" i="17"/>
  <c r="S46" i="17"/>
  <c r="S47" i="17"/>
  <c r="S48" i="17"/>
  <c r="S49" i="17"/>
  <c r="S50" i="17"/>
  <c r="S51" i="17"/>
  <c r="S52" i="17"/>
  <c r="S53" i="17"/>
  <c r="S54" i="17"/>
  <c r="S55" i="17"/>
  <c r="S56" i="17"/>
  <c r="S57" i="17"/>
  <c r="S58" i="17"/>
  <c r="S59" i="17"/>
  <c r="S60" i="17"/>
  <c r="S61" i="17"/>
  <c r="S62" i="17"/>
  <c r="S63" i="17"/>
  <c r="S64" i="17"/>
  <c r="S65" i="17"/>
  <c r="S66" i="17"/>
  <c r="S67" i="17"/>
  <c r="S68" i="17"/>
  <c r="S69" i="17"/>
  <c r="S70" i="17"/>
  <c r="S71" i="17"/>
  <c r="S72" i="17"/>
  <c r="S73" i="17"/>
  <c r="S74" i="17"/>
  <c r="S75" i="17"/>
  <c r="S76" i="17"/>
  <c r="S77" i="17"/>
  <c r="S78" i="17"/>
  <c r="S79" i="17"/>
  <c r="S80" i="17"/>
  <c r="S81" i="17"/>
  <c r="S82" i="17"/>
  <c r="S83" i="17"/>
  <c r="S84" i="17"/>
  <c r="S85" i="17"/>
  <c r="S86" i="17"/>
  <c r="S87" i="17"/>
  <c r="S88" i="17"/>
  <c r="S89" i="17"/>
  <c r="S90" i="17"/>
  <c r="S91" i="17"/>
  <c r="S92" i="17"/>
  <c r="S93" i="17"/>
  <c r="S94" i="17"/>
  <c r="S95" i="17"/>
  <c r="S96" i="17"/>
  <c r="S97" i="17"/>
  <c r="S98" i="17"/>
  <c r="S99" i="17"/>
  <c r="S100" i="17"/>
  <c r="S101" i="17"/>
  <c r="S102" i="17"/>
  <c r="S103" i="17"/>
  <c r="S104" i="17"/>
  <c r="S105" i="17"/>
  <c r="S106" i="17"/>
  <c r="S107" i="17"/>
  <c r="S108" i="17"/>
  <c r="S109" i="17"/>
  <c r="S110" i="17"/>
  <c r="S111" i="17"/>
  <c r="S112" i="17"/>
  <c r="S113" i="17"/>
  <c r="S114" i="17"/>
  <c r="S115" i="17"/>
  <c r="S116" i="17"/>
  <c r="S117" i="17"/>
  <c r="S118" i="17"/>
  <c r="S119" i="17"/>
  <c r="S120" i="17"/>
  <c r="S121" i="17"/>
  <c r="S122" i="17"/>
  <c r="S123" i="17"/>
  <c r="S124" i="17"/>
  <c r="S125" i="17"/>
  <c r="S126" i="17"/>
  <c r="S127" i="17"/>
  <c r="S128" i="17"/>
  <c r="S129" i="17"/>
  <c r="S130" i="17"/>
  <c r="S131" i="17"/>
  <c r="S132" i="17"/>
  <c r="S133" i="17"/>
  <c r="S134" i="17"/>
  <c r="S135" i="17"/>
  <c r="S136" i="17"/>
  <c r="S137" i="17"/>
  <c r="S138" i="17"/>
  <c r="S139" i="17"/>
  <c r="S140" i="17"/>
  <c r="S141" i="17"/>
  <c r="S142" i="17"/>
  <c r="S143" i="17"/>
  <c r="S144" i="17"/>
  <c r="S145" i="17"/>
  <c r="S146" i="17"/>
  <c r="S147" i="17"/>
  <c r="S148" i="17"/>
  <c r="S149" i="17"/>
  <c r="S150" i="17"/>
  <c r="S151" i="17"/>
  <c r="S152" i="17"/>
  <c r="S153" i="17"/>
  <c r="S154" i="17"/>
  <c r="S155" i="17"/>
  <c r="S156" i="17"/>
  <c r="S157" i="17"/>
  <c r="S158" i="17"/>
  <c r="S159" i="17"/>
  <c r="S160" i="17"/>
  <c r="S161" i="17"/>
  <c r="S162" i="17"/>
  <c r="S163" i="17"/>
  <c r="S164" i="17"/>
  <c r="S165" i="17"/>
  <c r="S166" i="17"/>
  <c r="S167" i="17"/>
  <c r="S168" i="17"/>
  <c r="S169" i="17"/>
  <c r="S170" i="17"/>
  <c r="S171" i="17"/>
  <c r="S172" i="17"/>
  <c r="S173" i="17"/>
  <c r="S174" i="17"/>
  <c r="S175" i="17"/>
  <c r="S176" i="17"/>
  <c r="S177" i="17"/>
  <c r="S178" i="17"/>
  <c r="S179" i="17"/>
  <c r="S180" i="17"/>
  <c r="S181" i="17"/>
  <c r="S182" i="17"/>
  <c r="S183" i="17"/>
  <c r="S184" i="17"/>
  <c r="S185" i="17"/>
  <c r="S186" i="17"/>
  <c r="S187" i="17"/>
  <c r="S188" i="17"/>
  <c r="S189" i="17"/>
  <c r="S190" i="17"/>
  <c r="S191" i="17"/>
  <c r="S192" i="17"/>
  <c r="S193" i="17"/>
  <c r="S194" i="17"/>
  <c r="S195" i="17"/>
  <c r="S196" i="17"/>
  <c r="S197" i="17"/>
  <c r="S198" i="17"/>
  <c r="S199" i="17"/>
  <c r="S200" i="17"/>
  <c r="S201" i="17"/>
  <c r="S202" i="17"/>
  <c r="S203" i="17"/>
  <c r="S204" i="17"/>
  <c r="S205" i="17"/>
  <c r="S206" i="17"/>
  <c r="S207" i="17"/>
  <c r="S208" i="17"/>
  <c r="S209" i="17"/>
  <c r="S210" i="17"/>
  <c r="S211" i="17"/>
  <c r="S212" i="17"/>
  <c r="S213" i="17"/>
  <c r="S214" i="17"/>
  <c r="S215" i="17"/>
  <c r="S216" i="17"/>
  <c r="S217" i="17"/>
  <c r="S218" i="17"/>
  <c r="S219" i="17"/>
  <c r="S220" i="17"/>
  <c r="S221" i="17"/>
  <c r="S222" i="17"/>
  <c r="S223" i="17"/>
  <c r="S224" i="17"/>
  <c r="S225" i="17"/>
  <c r="S226" i="17"/>
  <c r="S227" i="17"/>
  <c r="S228" i="17"/>
  <c r="S229" i="17"/>
  <c r="S230" i="17"/>
  <c r="S231" i="17"/>
  <c r="S232" i="17"/>
  <c r="S233" i="17"/>
  <c r="S234" i="17"/>
  <c r="S235" i="17"/>
  <c r="S236" i="17"/>
  <c r="S237" i="17"/>
  <c r="S238" i="17"/>
  <c r="S239" i="17"/>
  <c r="S240" i="17"/>
  <c r="S241" i="17"/>
  <c r="S242" i="17"/>
  <c r="S243" i="17"/>
  <c r="S244" i="17"/>
  <c r="S245" i="17"/>
  <c r="S246" i="17"/>
  <c r="S247" i="17"/>
  <c r="S248" i="17"/>
  <c r="S249" i="17"/>
  <c r="S250" i="17"/>
  <c r="S251" i="17"/>
  <c r="S252" i="17"/>
  <c r="S253" i="17"/>
  <c r="S254" i="17"/>
  <c r="S255" i="17"/>
  <c r="S256" i="17"/>
  <c r="S257" i="17"/>
  <c r="S258" i="17"/>
  <c r="S259" i="17"/>
  <c r="S260" i="17"/>
  <c r="S261" i="17"/>
  <c r="S262" i="17"/>
  <c r="S263" i="17"/>
  <c r="S264" i="17"/>
  <c r="S265" i="17"/>
  <c r="S266" i="17"/>
  <c r="S267" i="17"/>
  <c r="S268" i="17"/>
  <c r="S269" i="17"/>
  <c r="S270" i="17"/>
  <c r="S271" i="17"/>
  <c r="S272" i="17"/>
  <c r="S273" i="17"/>
  <c r="S274" i="17"/>
  <c r="S275" i="17"/>
  <c r="S276" i="17"/>
  <c r="S277" i="17"/>
  <c r="S278" i="17"/>
  <c r="S279" i="17"/>
  <c r="S280" i="17"/>
  <c r="S281" i="17"/>
  <c r="S282" i="17"/>
  <c r="S283" i="17"/>
  <c r="S284" i="17"/>
  <c r="S285" i="17"/>
  <c r="S286" i="17"/>
  <c r="S287" i="17"/>
  <c r="S288" i="17"/>
  <c r="S289" i="17"/>
  <c r="S290" i="17"/>
  <c r="S291" i="17"/>
  <c r="S292" i="17"/>
  <c r="S293" i="17"/>
  <c r="S294" i="17"/>
  <c r="S295" i="17"/>
  <c r="S296" i="17"/>
  <c r="S297" i="17"/>
  <c r="S298" i="17"/>
  <c r="S299" i="17"/>
  <c r="S300" i="17"/>
  <c r="S301" i="17"/>
  <c r="S302" i="17"/>
  <c r="S303" i="17"/>
  <c r="S304" i="17"/>
  <c r="S305" i="17"/>
  <c r="S306" i="17"/>
  <c r="S307" i="17"/>
  <c r="S308" i="17"/>
  <c r="S309" i="17"/>
  <c r="S310" i="17"/>
  <c r="S311" i="17"/>
  <c r="S312" i="17"/>
  <c r="S313" i="17"/>
  <c r="S314" i="17"/>
  <c r="S315" i="17"/>
  <c r="S316" i="17"/>
  <c r="S317" i="17"/>
  <c r="S318" i="17"/>
  <c r="S319" i="17"/>
  <c r="S320" i="17"/>
  <c r="S321" i="17"/>
  <c r="S322" i="17"/>
  <c r="S323" i="17"/>
  <c r="S324" i="17"/>
  <c r="S325" i="17"/>
  <c r="S326" i="17"/>
  <c r="S327" i="17"/>
  <c r="S328" i="17"/>
  <c r="S329" i="17"/>
  <c r="S330" i="17"/>
  <c r="S331" i="17"/>
  <c r="S332" i="17"/>
  <c r="S333" i="17"/>
  <c r="S334" i="17"/>
  <c r="S335" i="17"/>
  <c r="S336" i="17"/>
  <c r="S337" i="17"/>
  <c r="S338" i="17"/>
  <c r="S339" i="17"/>
  <c r="S340" i="17"/>
  <c r="S341" i="17"/>
  <c r="S342" i="17"/>
  <c r="S343" i="17"/>
  <c r="S344" i="17"/>
  <c r="S345" i="17"/>
  <c r="S346" i="17"/>
  <c r="S347" i="17"/>
  <c r="S348" i="17"/>
  <c r="S349" i="17"/>
  <c r="S350" i="17"/>
  <c r="S351" i="17"/>
  <c r="S352" i="17"/>
  <c r="S353" i="17"/>
  <c r="S354" i="17"/>
  <c r="S355" i="17"/>
  <c r="S356" i="17"/>
  <c r="S357" i="17"/>
  <c r="S358" i="17"/>
  <c r="S359" i="17"/>
  <c r="S360" i="17"/>
  <c r="S361" i="17"/>
  <c r="S362" i="17"/>
  <c r="S363" i="17"/>
  <c r="S364" i="17"/>
  <c r="S365" i="17"/>
  <c r="S366" i="17"/>
  <c r="S367" i="17"/>
  <c r="S368" i="17"/>
  <c r="S369" i="17"/>
  <c r="S370" i="17"/>
  <c r="S371" i="17"/>
  <c r="S372" i="17"/>
  <c r="S373" i="17"/>
  <c r="S374" i="17"/>
  <c r="S375" i="17"/>
  <c r="S376" i="17"/>
  <c r="S377" i="17"/>
  <c r="S378" i="17"/>
  <c r="S379" i="17"/>
  <c r="S380" i="17"/>
  <c r="S381" i="17"/>
  <c r="S382" i="17"/>
  <c r="S383" i="17"/>
  <c r="S384" i="17"/>
  <c r="S385" i="17"/>
  <c r="S386" i="17"/>
  <c r="S387" i="17"/>
  <c r="S388" i="17"/>
  <c r="S389" i="17"/>
  <c r="S390" i="17"/>
  <c r="S391" i="17"/>
  <c r="S392" i="17"/>
  <c r="S393" i="17"/>
  <c r="S394" i="17"/>
  <c r="S395" i="17"/>
  <c r="S396" i="17"/>
  <c r="S397" i="17"/>
  <c r="S398" i="17"/>
  <c r="S399" i="17"/>
  <c r="S400" i="17"/>
  <c r="S401" i="17"/>
  <c r="S402" i="17"/>
  <c r="S403" i="17"/>
  <c r="S404" i="17"/>
  <c r="S405" i="17"/>
  <c r="S406" i="17"/>
  <c r="S407" i="17"/>
  <c r="S408" i="17"/>
  <c r="S409" i="17"/>
  <c r="S410" i="17"/>
  <c r="S411" i="17"/>
  <c r="S412" i="17"/>
  <c r="S413" i="17"/>
  <c r="S414" i="17"/>
  <c r="S415" i="17"/>
  <c r="S416" i="17"/>
  <c r="S417" i="17"/>
  <c r="S418" i="17"/>
  <c r="S419" i="17"/>
  <c r="S420" i="17"/>
  <c r="S421" i="17"/>
  <c r="S422" i="17"/>
  <c r="S423" i="17"/>
  <c r="S424" i="17"/>
  <c r="S425" i="17"/>
  <c r="S426" i="17"/>
  <c r="S427" i="17"/>
  <c r="S428" i="17"/>
  <c r="S429" i="17"/>
  <c r="S430" i="17"/>
  <c r="S431" i="17"/>
  <c r="S432" i="17"/>
  <c r="S433" i="17"/>
  <c r="S434" i="17"/>
  <c r="S435" i="17"/>
  <c r="S436" i="17"/>
  <c r="S437" i="17"/>
  <c r="S438" i="17"/>
  <c r="S439" i="17"/>
  <c r="S440" i="17"/>
  <c r="S441" i="17"/>
  <c r="S442" i="17"/>
  <c r="S443" i="17"/>
  <c r="S444" i="17"/>
  <c r="S445" i="17"/>
  <c r="S446" i="17"/>
  <c r="S447" i="17"/>
  <c r="S448" i="17"/>
  <c r="S449" i="17"/>
  <c r="S450" i="17"/>
  <c r="S451" i="17"/>
  <c r="S452" i="17"/>
  <c r="S453" i="17"/>
  <c r="S454" i="17"/>
  <c r="S455" i="17"/>
  <c r="S456" i="17"/>
  <c r="S457" i="17"/>
  <c r="S458" i="17"/>
  <c r="S459" i="17"/>
  <c r="S460" i="17"/>
  <c r="S461" i="17"/>
  <c r="S462" i="17"/>
  <c r="S463" i="17"/>
  <c r="S464" i="17"/>
  <c r="S465" i="17"/>
  <c r="S466" i="17"/>
  <c r="S467" i="17"/>
  <c r="S468" i="17"/>
  <c r="S469" i="17"/>
  <c r="S470" i="17"/>
  <c r="S471" i="17"/>
  <c r="S472" i="17"/>
  <c r="S473" i="17"/>
  <c r="S474" i="17"/>
  <c r="S475" i="17"/>
  <c r="S476" i="17"/>
  <c r="S477" i="17"/>
  <c r="S478" i="17"/>
  <c r="S479" i="17"/>
  <c r="S480" i="17"/>
  <c r="S481" i="17"/>
  <c r="S482" i="17"/>
  <c r="S483" i="17"/>
  <c r="S484" i="17"/>
  <c r="S485" i="17"/>
  <c r="S486" i="17"/>
  <c r="S487" i="17"/>
  <c r="S488" i="17"/>
  <c r="S489" i="17"/>
  <c r="S490" i="17"/>
  <c r="S491" i="17"/>
  <c r="S492" i="17"/>
  <c r="S493" i="17"/>
  <c r="S494" i="17"/>
  <c r="S495" i="17"/>
  <c r="S496" i="17"/>
  <c r="S497" i="17"/>
  <c r="S498" i="17"/>
  <c r="S499" i="17"/>
  <c r="S500" i="17"/>
  <c r="S501" i="17"/>
  <c r="S502" i="17"/>
  <c r="S503" i="17"/>
  <c r="S504" i="17"/>
  <c r="S505" i="17"/>
  <c r="S506" i="17"/>
  <c r="S507" i="17"/>
  <c r="S508" i="17"/>
  <c r="S509" i="17"/>
  <c r="S510" i="17"/>
  <c r="S511" i="17"/>
  <c r="S512" i="17"/>
  <c r="S513" i="17"/>
  <c r="S514" i="17"/>
  <c r="S515" i="17"/>
  <c r="S516" i="17"/>
  <c r="S517" i="17"/>
  <c r="S518" i="17"/>
  <c r="S519" i="17"/>
  <c r="S520" i="17"/>
  <c r="S521" i="17"/>
  <c r="S522" i="17"/>
  <c r="S523" i="17"/>
  <c r="S524" i="17"/>
  <c r="S525" i="17"/>
  <c r="S526" i="17"/>
  <c r="S527" i="17"/>
  <c r="S528" i="17"/>
  <c r="S529" i="17"/>
  <c r="S530" i="17"/>
  <c r="S531" i="17"/>
  <c r="S532" i="17"/>
  <c r="S533" i="17"/>
  <c r="S534" i="17"/>
  <c r="S535" i="17"/>
  <c r="S536" i="17"/>
  <c r="S537" i="17"/>
  <c r="S538" i="17"/>
  <c r="S539" i="17"/>
  <c r="S540" i="17"/>
  <c r="S541" i="17"/>
  <c r="S542" i="17"/>
  <c r="S543" i="17"/>
  <c r="S544" i="17"/>
  <c r="S545" i="17"/>
  <c r="S546" i="17"/>
  <c r="S547" i="17"/>
  <c r="S548" i="17"/>
  <c r="S549" i="17"/>
  <c r="S550" i="17"/>
  <c r="S551" i="17"/>
  <c r="S552" i="17"/>
  <c r="S553" i="17"/>
  <c r="S554" i="17"/>
  <c r="S555" i="17"/>
  <c r="S556" i="17"/>
  <c r="S557" i="17"/>
  <c r="S558" i="17"/>
  <c r="S559" i="17"/>
  <c r="S560" i="17"/>
  <c r="S561" i="17"/>
  <c r="S562" i="17"/>
  <c r="S563" i="17"/>
  <c r="S564" i="17"/>
  <c r="S565" i="17"/>
  <c r="S566" i="17"/>
  <c r="S567" i="17"/>
  <c r="S568" i="17"/>
  <c r="S569" i="17"/>
  <c r="S570" i="17"/>
  <c r="S571" i="17"/>
  <c r="S572" i="17"/>
  <c r="S573" i="17"/>
  <c r="S574" i="17"/>
  <c r="S575" i="17"/>
  <c r="S576" i="17"/>
  <c r="S577" i="17"/>
  <c r="S578" i="17"/>
  <c r="S579" i="17"/>
  <c r="S580" i="17"/>
  <c r="S581" i="17"/>
  <c r="S582" i="17"/>
  <c r="S583" i="17"/>
  <c r="S584" i="17"/>
  <c r="S585" i="17"/>
  <c r="S586" i="17"/>
  <c r="S587" i="17"/>
  <c r="S588" i="17"/>
  <c r="S589" i="17"/>
  <c r="S590" i="17"/>
  <c r="S591" i="17"/>
  <c r="S592" i="17"/>
  <c r="S593" i="17"/>
  <c r="S594" i="17"/>
  <c r="S595" i="17"/>
  <c r="S596" i="17"/>
  <c r="S597" i="17"/>
  <c r="S598" i="17"/>
  <c r="S599" i="17"/>
  <c r="S600" i="17"/>
  <c r="S601" i="17"/>
  <c r="S602" i="17"/>
  <c r="S603" i="17"/>
  <c r="S604" i="17"/>
  <c r="S605" i="17"/>
  <c r="S606" i="17"/>
  <c r="S607" i="17"/>
  <c r="S608" i="17"/>
  <c r="S609" i="17"/>
  <c r="S610" i="17"/>
  <c r="S611" i="17"/>
  <c r="S612" i="17"/>
  <c r="S613" i="17"/>
  <c r="S614" i="17"/>
  <c r="S615" i="17"/>
  <c r="S616" i="17"/>
  <c r="S617" i="17"/>
  <c r="S618" i="17"/>
  <c r="S619" i="17"/>
  <c r="S620" i="17"/>
  <c r="S621" i="17"/>
  <c r="S622" i="17"/>
  <c r="S623" i="17"/>
  <c r="S624" i="17"/>
  <c r="S625" i="17"/>
  <c r="S626" i="17"/>
  <c r="S627" i="17"/>
  <c r="S628" i="17"/>
  <c r="S629" i="17"/>
  <c r="S630" i="17"/>
  <c r="S631" i="17"/>
  <c r="S632" i="17"/>
  <c r="S633" i="17"/>
  <c r="S634" i="17"/>
  <c r="S635" i="17"/>
  <c r="S636" i="17"/>
  <c r="S637" i="17"/>
  <c r="S638" i="17"/>
  <c r="S639" i="17"/>
  <c r="S640" i="17"/>
  <c r="S641" i="17"/>
  <c r="S642" i="17"/>
  <c r="S643" i="17"/>
  <c r="S644" i="17"/>
  <c r="S645" i="17"/>
  <c r="S646" i="17"/>
  <c r="S647" i="17"/>
  <c r="S648" i="17"/>
  <c r="S649" i="17"/>
  <c r="S650" i="17"/>
  <c r="S651" i="17"/>
  <c r="S652" i="17"/>
  <c r="S653" i="17"/>
  <c r="S654" i="17"/>
  <c r="S655" i="17"/>
  <c r="S656" i="17"/>
  <c r="S657" i="17"/>
  <c r="S658" i="17"/>
  <c r="S659" i="17"/>
  <c r="S660" i="17"/>
  <c r="S661" i="17"/>
  <c r="S662" i="17"/>
  <c r="S663" i="17"/>
  <c r="S664" i="17"/>
  <c r="S665" i="17"/>
  <c r="S666" i="17"/>
  <c r="S667" i="17"/>
  <c r="S668" i="17"/>
  <c r="S669" i="17"/>
  <c r="S670" i="17"/>
  <c r="S671" i="17"/>
  <c r="S672" i="17"/>
  <c r="S673" i="17"/>
  <c r="S674" i="17"/>
  <c r="S675" i="17"/>
  <c r="S676" i="17"/>
  <c r="S677" i="17"/>
  <c r="S678" i="17"/>
  <c r="S679" i="17"/>
  <c r="S680" i="17"/>
  <c r="S681" i="17"/>
  <c r="S682" i="17"/>
  <c r="S683" i="17"/>
  <c r="S684" i="17"/>
  <c r="S685" i="17"/>
  <c r="S686" i="17"/>
  <c r="S687" i="17"/>
  <c r="S688" i="17"/>
  <c r="S689" i="17"/>
  <c r="S690" i="17"/>
  <c r="S691" i="17"/>
  <c r="S692" i="17"/>
  <c r="S693" i="17"/>
  <c r="S694" i="17"/>
  <c r="S695" i="17"/>
  <c r="S696" i="17"/>
  <c r="S697" i="17"/>
  <c r="S698" i="17"/>
  <c r="S699" i="17"/>
  <c r="S700" i="17"/>
  <c r="S701" i="17"/>
  <c r="S702" i="17"/>
  <c r="S703" i="17"/>
  <c r="S704" i="17"/>
  <c r="S705" i="17"/>
  <c r="S706" i="17"/>
  <c r="S707" i="17"/>
  <c r="S708" i="17"/>
  <c r="S709" i="17"/>
  <c r="S710" i="17"/>
  <c r="S711" i="17"/>
  <c r="S712" i="17"/>
  <c r="S713" i="17"/>
  <c r="S714" i="17"/>
  <c r="S715" i="17"/>
  <c r="S716" i="17"/>
  <c r="S717" i="17"/>
  <c r="S718" i="17"/>
  <c r="S719" i="17"/>
  <c r="S720" i="17"/>
  <c r="S721" i="17"/>
  <c r="S722" i="17"/>
  <c r="S723" i="17"/>
  <c r="S724" i="17"/>
  <c r="S725" i="17"/>
  <c r="S726" i="17"/>
  <c r="S727" i="17"/>
  <c r="S728" i="17"/>
  <c r="S729" i="17"/>
  <c r="S730" i="17"/>
  <c r="S731" i="17"/>
  <c r="S732" i="17"/>
  <c r="S733" i="17"/>
  <c r="S734" i="17"/>
  <c r="S735" i="17"/>
  <c r="S736" i="17"/>
  <c r="S737" i="17"/>
  <c r="S738" i="17"/>
  <c r="S739" i="17"/>
  <c r="S740" i="17"/>
  <c r="S741" i="17"/>
  <c r="S742" i="17"/>
  <c r="S743" i="17"/>
  <c r="S744" i="17"/>
  <c r="S745" i="17"/>
  <c r="S746" i="17"/>
  <c r="S747" i="17"/>
  <c r="S748" i="17"/>
  <c r="S749" i="17"/>
  <c r="S750" i="17"/>
  <c r="S751" i="17"/>
  <c r="S752" i="17"/>
  <c r="S753" i="17"/>
  <c r="S754" i="17"/>
  <c r="S755" i="17"/>
  <c r="S756" i="17"/>
  <c r="S757" i="17"/>
  <c r="S758" i="17"/>
  <c r="S759" i="17"/>
  <c r="S760" i="17"/>
  <c r="S761" i="17"/>
  <c r="S762" i="17"/>
  <c r="S763" i="17"/>
  <c r="S764" i="17"/>
  <c r="S765" i="17"/>
  <c r="S766" i="17"/>
  <c r="S767" i="17"/>
  <c r="S768" i="17"/>
  <c r="S769" i="17"/>
  <c r="S770" i="17"/>
  <c r="S771" i="17"/>
  <c r="S772" i="17"/>
  <c r="S773" i="17"/>
  <c r="S774" i="17"/>
  <c r="S775" i="17"/>
  <c r="S776" i="17"/>
  <c r="S777" i="17"/>
  <c r="S778" i="17"/>
  <c r="S779" i="17"/>
  <c r="S780" i="17"/>
  <c r="S781" i="17"/>
  <c r="S782" i="17"/>
  <c r="S783" i="17"/>
  <c r="S784" i="17"/>
  <c r="S785" i="17"/>
  <c r="S786" i="17"/>
  <c r="S787" i="17"/>
  <c r="S788" i="17"/>
  <c r="S789" i="17"/>
  <c r="S790" i="17"/>
  <c r="S791" i="17"/>
  <c r="S792" i="17"/>
  <c r="S793" i="17"/>
  <c r="S794" i="17"/>
  <c r="S795" i="17"/>
  <c r="S796" i="17"/>
  <c r="S797" i="17"/>
  <c r="S798" i="17"/>
  <c r="S799" i="17"/>
  <c r="S800" i="17"/>
  <c r="S801" i="17"/>
  <c r="S802" i="17"/>
  <c r="S803" i="17"/>
  <c r="S804" i="17"/>
  <c r="S805" i="17"/>
  <c r="S806" i="17"/>
  <c r="S807" i="17"/>
  <c r="S808" i="17"/>
  <c r="S809" i="17"/>
  <c r="S810" i="17"/>
  <c r="S811" i="17"/>
  <c r="S812" i="17"/>
  <c r="S813" i="17"/>
  <c r="S814" i="17"/>
  <c r="S815" i="17"/>
  <c r="S816" i="17"/>
  <c r="S817" i="17"/>
  <c r="S818" i="17"/>
  <c r="S819" i="17"/>
  <c r="S820" i="17"/>
  <c r="S821" i="17"/>
  <c r="S822" i="17"/>
  <c r="S823" i="17"/>
  <c r="S824" i="17"/>
  <c r="S825" i="17"/>
  <c r="S826" i="17"/>
  <c r="S827" i="17"/>
  <c r="S828" i="17"/>
  <c r="S829" i="17"/>
  <c r="S830" i="17"/>
  <c r="S831" i="17"/>
  <c r="S832" i="17"/>
  <c r="S833" i="17"/>
  <c r="S834" i="17"/>
  <c r="S835" i="17"/>
  <c r="S836" i="17"/>
  <c r="S837" i="17"/>
  <c r="S838" i="17"/>
  <c r="S839" i="17"/>
  <c r="S840" i="17"/>
  <c r="S841" i="17"/>
  <c r="S842" i="17"/>
  <c r="S843" i="17"/>
  <c r="S844" i="17"/>
  <c r="S845" i="17"/>
  <c r="S846" i="17"/>
  <c r="S847" i="17"/>
  <c r="S848" i="17"/>
  <c r="S849" i="17"/>
  <c r="S850" i="17"/>
  <c r="S851" i="17"/>
  <c r="S852" i="17"/>
  <c r="S853" i="17"/>
  <c r="S854" i="17"/>
  <c r="S855" i="17"/>
  <c r="S856" i="17"/>
  <c r="S857" i="17"/>
  <c r="S858" i="17"/>
  <c r="S859" i="17"/>
  <c r="S860" i="17"/>
  <c r="S861" i="17"/>
  <c r="S862" i="17"/>
  <c r="S863" i="17"/>
  <c r="S864" i="17"/>
  <c r="S865" i="17"/>
  <c r="S866" i="17"/>
  <c r="S867" i="17"/>
  <c r="S868" i="17"/>
  <c r="S869" i="17"/>
  <c r="S870" i="17"/>
  <c r="S871" i="17"/>
  <c r="S872" i="17"/>
  <c r="S873" i="17"/>
  <c r="S874" i="17"/>
  <c r="S875" i="17"/>
  <c r="S876" i="17"/>
  <c r="S877" i="17"/>
  <c r="S878" i="17"/>
  <c r="S879" i="17"/>
  <c r="S880" i="17"/>
  <c r="S881" i="17"/>
  <c r="S882" i="17"/>
  <c r="S883" i="17"/>
  <c r="S884" i="17"/>
  <c r="S885" i="17"/>
  <c r="S886" i="17"/>
  <c r="S887" i="17"/>
  <c r="S888" i="17"/>
  <c r="S889" i="17"/>
  <c r="S890" i="17"/>
  <c r="S891" i="17"/>
  <c r="B11" i="38"/>
  <c r="C11" i="38"/>
  <c r="H11" i="38"/>
  <c r="I11" i="38"/>
  <c r="J11" i="38"/>
  <c r="B10" i="38"/>
  <c r="C10" i="38"/>
  <c r="H10" i="38"/>
  <c r="I10" i="38"/>
  <c r="J10" i="38"/>
  <c r="B6" i="38"/>
  <c r="C6" i="38"/>
  <c r="H6" i="38"/>
  <c r="I6" i="38"/>
  <c r="J6" i="38"/>
  <c r="B7" i="38"/>
  <c r="B8" i="38"/>
  <c r="B9" i="38"/>
  <c r="C7" i="38"/>
  <c r="C8" i="38"/>
  <c r="C9" i="38"/>
  <c r="H7" i="38"/>
  <c r="H8" i="38"/>
  <c r="H9" i="38"/>
  <c r="I7" i="38"/>
  <c r="I8" i="38"/>
  <c r="I9" i="38"/>
  <c r="J7" i="38"/>
  <c r="J8" i="38"/>
  <c r="J9" i="38"/>
  <c r="H2" i="38"/>
  <c r="H3" i="38"/>
  <c r="H4" i="38"/>
  <c r="H5" i="38"/>
  <c r="B2" i="38"/>
  <c r="B3" i="38"/>
  <c r="B4" i="38"/>
  <c r="B5" i="38"/>
  <c r="J2" i="38"/>
  <c r="J3" i="38"/>
  <c r="J4" i="38"/>
  <c r="J5" i="38"/>
  <c r="I2" i="38"/>
  <c r="I3" i="38"/>
  <c r="I4" i="38"/>
  <c r="I5" i="38"/>
  <c r="C5" i="38"/>
  <c r="C2" i="38"/>
  <c r="C3" i="38"/>
  <c r="C4" i="3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G8" authorId="0" shapeId="0" xr:uid="{99BC4A13-12B8-46CF-A79B-D175EB30AA7F}">
      <text>
        <r>
          <rPr>
            <b/>
            <sz val="11"/>
            <color theme="1"/>
            <rFont val="Calibri"/>
            <family val="2"/>
            <scheme val="minor"/>
          </rPr>
          <t>Autor:</t>
        </r>
        <r>
          <rPr>
            <sz val="11"/>
            <color theme="1"/>
            <rFont val="Calibri"/>
            <family val="2"/>
            <scheme val="minor"/>
          </rPr>
          <t xml:space="preserve">
1143382892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14A25E5-F6E1-4562-8D63-8C77C65F837A}" keepAlive="1" name="Consulta - BD PERSONAL" description="Conexión a la consulta 'BD PERSONAL' en el libro." type="5" refreshedVersion="8" background="1" saveData="1">
    <dbPr connection="Provider=Microsoft.Mashup.OleDb.1;Data Source=$Workbook$;Location=&quot;BD PERSONAL&quot;;Extended Properties=&quot;&quot;" command="SELECT * FROM [BD PERSONAL]"/>
  </connection>
  <connection id="2" xr16:uid="{28BEC6BF-DE78-46EE-B79E-1BD6554FD248}" name="Consulta - CALENDARIO_METAS" description="Conexión a la consulta 'CALENDARIO_METAS' en el libro." type="100" refreshedVersion="8" minRefreshableVersion="5">
    <extLst>
      <ext xmlns:x15="http://schemas.microsoft.com/office/spreadsheetml/2010/11/main" uri="{DE250136-89BD-433C-8126-D09CA5730AF9}">
        <x15:connection id="75fc7cab-0de0-48de-a2dc-37335205c368"/>
      </ext>
    </extLst>
  </connection>
  <connection id="3" xr16:uid="{9FC48740-7118-46BD-8BAB-F994661FBE57}" keepAlive="1" interval="30" name="Consulta - CONSOLIDADO 2026 GH" description="Conexión a la consulta 'CONSOLIDADO 2026 GH' en el libro." type="5" refreshedVersion="8" background="1" refreshOnLoad="1" saveData="1">
    <dbPr connection="Provider=Microsoft.Mashup.OleDb.1;Data Source=$Workbook$;Location=&quot;CONSOLIDADO 2026 GH&quot;;Extended Properties=&quot;&quot;" command="SELECT * FROM [CONSOLIDADO 2026 GH]"/>
  </connection>
  <connection id="4" xr16:uid="{6D0E20B4-2577-4E1B-8E29-885890414BFF}" keepAlive="1" name="Consulta - CONSOLIDADO 2026 HORAS1" description="Conexión a la consulta 'CONSOLIDADO 2026 HORAS' en el libro." type="5" refreshedVersion="0" background="1" saveData="1">
    <dbPr connection="Provider=Microsoft.Mashup.OleDb.1;Data Source=$Workbook$;Location=&quot;CONSOLIDADO 2026 HORAS&quot;;Extended Properties=&quot;&quot;" command="SELECT * FROM [CONSOLIDADO 2026 HORAS]"/>
  </connection>
  <connection id="5" xr16:uid="{C9CC0C27-0BE7-43CD-987E-4F5770EE9EEC}" keepAlive="1" name="Consulta - CONSOLIDADO 2026 LIDERES" description="Conexión a la consulta 'CONSOLIDADO 2026 LIDERES' en el libro." type="5" refreshedVersion="0" background="1" saveData="1">
    <dbPr connection="Provider=Microsoft.Mashup.OleDb.1;Data Source=$Workbook$;Location=&quot;CONSOLIDADO 2026 LIDERES&quot;;Extended Properties=&quot;&quot;" command="SELECT * FROM [CONSOLIDADO 2026 LIDERES]"/>
  </connection>
  <connection id="6" xr16:uid="{0BF6B5E8-FAD6-4FD2-A2F3-251DBA1D2279}" keepAlive="1" interval="30" name="Consulta - CONSOLIDADO 2026 LIDERES1" description="Conexión a la consulta 'CONSOLIDADO 2026 LIDERES' en el libro." type="5" refreshedVersion="8" background="1" refreshOnLoad="1" saveData="1">
    <dbPr connection="Provider=Microsoft.Mashup.OleDb.1;Data Source=$Workbook$;Location=&quot;CONSOLIDADO 2026 LIDERES&quot;;Extended Properties=&quot;&quot;" command="SELECT * FROM [CONSOLIDADO 2026 LIDERES]"/>
  </connection>
  <connection id="7" xr16:uid="{42D061A6-AEDC-4C7B-865E-36F2ACA74057}" keepAlive="1" name="Consulta - CONSOLIDADO 2026 NOMINA" description="Conexión a la consulta 'CONSOLIDADO 2026 NOMINA' en el libro." type="5" refreshedVersion="8" background="1" saveData="1">
    <dbPr connection="Provider=Microsoft.Mashup.OleDb.1;Data Source=$Workbook$;Location=&quot;CONSOLIDADO 2026 NOMINA&quot;;Extended Properties=&quot;&quot;" command="SELECT * FROM [CONSOLIDADO 2026 NOMINA]"/>
  </connection>
  <connection id="8" xr16:uid="{AF3A28C5-F01D-4A9D-8FF5-0E7AB46D54AA}" keepAlive="1" name="Consulta - CONSOLIDADO 2026 NOMINA1" description="Conexión a la consulta 'CONSOLIDADO 2026 NOMINA' en el libro." type="5" refreshedVersion="8" background="1" saveData="1">
    <dbPr connection="Provider=Microsoft.Mashup.OleDb.1;Data Source=$Workbook$;Location=&quot;CONSOLIDADO 2026 NOMINA&quot;;Extended Properties=&quot;&quot;" command="SELECT * FROM [CONSOLIDADO 2026 NOMINA]"/>
  </connection>
  <connection id="9" xr16:uid="{69236B8A-593A-44A5-AFC8-F183AFB1F58B}" keepAlive="1" name="Consulta - CONSOLIDADO AGOSTO" description="Conexión a la consulta 'CONSOLIDADO AGOSTO' en el libro." type="5" refreshedVersion="0" background="1">
    <dbPr connection="Provider=Microsoft.Mashup.OleDb.1;Data Source=$Workbook$;Location=&quot;CONSOLIDADO AGOSTO&quot;;Extended Properties=&quot;&quot;" command="SELECT * FROM [CONSOLIDADO AGOSTO]"/>
  </connection>
  <connection id="10" xr16:uid="{11DDD69C-EC99-4316-BEF3-A16585F9E6BA}" keepAlive="1" name="Consulta - CONSOLIDADO REDIRECCIONAMIENTO" description="Conexión a la consulta 'CONSOLIDADO REDIRECCIONAMIENTO' en el libro." type="5" refreshedVersion="8" background="1" saveData="1">
    <dbPr connection="Provider=Microsoft.Mashup.OleDb.1;Data Source=$Workbook$;Location=&quot;CONSOLIDADO REDIRECCIONAMIENTO&quot;;Extended Properties=&quot;&quot;" command="SELECT * FROM [CONSOLIDADO REDIRECCIONAMIENTO]"/>
  </connection>
  <connection id="11" xr16:uid="{E0CBFDD2-D8F7-4404-A3D2-BB25EA3AF8F2}" keepAlive="1" name="Consulta - FESTIVOS" description="Conexión a la consulta 'FESTIVOS' en el libro." type="5" refreshedVersion="0" background="1">
    <dbPr connection="Provider=Microsoft.Mashup.OleDb.1;Data Source=$Workbook$;Location=FESTIVOS;Extended Properties=&quot;&quot;" command="SELECT * FROM [FESTIVOS]"/>
  </connection>
  <connection id="12" xr16:uid="{54E9CB6A-AFFC-43C2-B62C-C00E4FD54709}" keepAlive="1" name="Consulta - SUPERNUMERARIOS AGOSTO" description="Conexión a la consulta 'SUPERNUMERARIOS AGOSTO' en el libro." type="5" refreshedVersion="0" background="1">
    <dbPr connection="Provider=Microsoft.Mashup.OleDb.1;Data Source=$Workbook$;Location=&quot;SUPERNUMERARIOS AGOSTO&quot;;Extended Properties=&quot;&quot;" command="SELECT * FROM [SUPERNUMERARIOS AGOSTO]"/>
  </connection>
  <connection id="13" xr16:uid="{D225CFB7-B5BC-4045-804B-5AAA7702DBD6}" keepAlive="1" interval="30" name="Query - CONSOLIDADO 2026" description="Conexión a la consulta 'CONSOLIDADO 2026' en el libro." type="5" refreshedVersion="8" background="1" refreshOnLoad="1" saveData="1">
    <dbPr connection="Provider=Microsoft.Mashup.OleDb.1;Data Source=$Workbook$;Location=&quot;CONSOLIDADO 2026&quot;;Extended Properties=&quot;&quot;" command="SELECT * FROM [CONSOLIDADO 2026]"/>
  </connection>
  <connection id="14" xr16:uid="{E986D512-9053-4FBA-BC0F-222DE4E06EBD}" keepAlive="1" interval="30" name="Query - CONSOLIDADO PLAZAS FIJAS" description="Conexión a la consulta 'CONSOLIDADO PLAZAS FIJAS' en el libro." type="5" refreshedVersion="8" background="1" refreshOnLoad="1" saveData="1">
    <dbPr connection="Provider=Microsoft.Mashup.OleDb.1;Data Source=$Workbook$;Location=&quot;CONSOLIDADO PLAZAS FIJAS&quot;;Extended Properties=&quot;&quot;" command="SELECT * FROM [CONSOLIDADO PLAZAS FIJAS]"/>
  </connection>
  <connection id="15" xr16:uid="{3B0A7A2E-AD74-427A-AA52-189C5829C4D2}" keepAlive="1" interval="30" name="Query - SUPERNUMERARIOS" description="Conexión a la consulta 'SUPERNUMERARIOS' en el libro." type="5" refreshedVersion="8" background="1" refreshOnLoad="1" saveData="1">
    <dbPr connection="Provider=Microsoft.Mashup.OleDb.1;Data Source=$Workbook$;Location=SUPERNUMERARIOS;Extended Properties=&quot;&quot;" command="SELECT * FROM [SUPERNUMERARIOS]"/>
  </connection>
  <connection id="16" xr16:uid="{939F87AD-9C6A-486A-9857-BF10D627D81C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17" xr16:uid="{83E06BB9-1F10-4921-951E-C95D60659960}" name="WorksheetConnection_CONSOLIDADO 2026.xlsx!CONSOLIDADO_2026_NOMINA" type="102" refreshedVersion="8" minRefreshableVersion="5">
    <extLst>
      <ext xmlns:x15="http://schemas.microsoft.com/office/spreadsheetml/2010/11/main" uri="{DE250136-89BD-433C-8126-D09CA5730AF9}">
        <x15:connection id="CONSOLIDADO_2026_NOMINA">
          <x15:rangePr sourceName="_xlcn.WorksheetConnection_CONSOLIDADO2026.xlsxCONSOLIDADO_2026_NOMINA1"/>
        </x15:connection>
      </ext>
    </extLst>
  </connection>
</connections>
</file>

<file path=xl/sharedStrings.xml><?xml version="1.0" encoding="utf-8"?>
<sst xmlns="http://schemas.openxmlformats.org/spreadsheetml/2006/main" count="26342" uniqueCount="4214">
  <si>
    <t>Origen Hoja</t>
  </si>
  <si>
    <t>DOCUMENTO</t>
  </si>
  <si>
    <t>NOMBRE</t>
  </si>
  <si>
    <t>CIS</t>
  </si>
  <si>
    <t>TIPO DE NOVEDAD</t>
  </si>
  <si>
    <t>F inic Novedad</t>
  </si>
  <si>
    <t>F Fin Novedad</t>
  </si>
  <si>
    <t>Fecha Reintegro</t>
  </si>
  <si>
    <t>CEDULA SUPERNUMERARIO</t>
  </si>
  <si>
    <t>SUPERNUMERARIOS</t>
  </si>
  <si>
    <t>Origen</t>
  </si>
  <si>
    <t>Destino</t>
  </si>
  <si>
    <t>Novedad Extensa</t>
  </si>
  <si>
    <t>1001851670</t>
  </si>
  <si>
    <t>MARIA FERNANDA MORALES VARGAS</t>
  </si>
  <si>
    <t>Aranjuez</t>
  </si>
  <si>
    <t>Licencia De Maternidad</t>
  </si>
  <si>
    <t>1001140238</t>
  </si>
  <si>
    <t>SANTIAGO GONZALEZ ALVAREZ</t>
  </si>
  <si>
    <t>maria.vargas@unionsaludvida.com</t>
  </si>
  <si>
    <t>santiago.alvarez@unionsaludvida.com</t>
  </si>
  <si>
    <t>SI</t>
  </si>
  <si>
    <t>1032491944</t>
  </si>
  <si>
    <t>ANGELA MARCELA  VANEGAS GUTIERREZ</t>
  </si>
  <si>
    <t>City Plaza</t>
  </si>
  <si>
    <t>Incapacidad</t>
  </si>
  <si>
    <t>angela.vanegas@unionsaludvida.com</t>
  </si>
  <si>
    <t>1067963513</t>
  </si>
  <si>
    <t>HILDEBRANDO JOSE  ALVAREZ NISPERUZA</t>
  </si>
  <si>
    <t>Girardota</t>
  </si>
  <si>
    <t>Novedad A Tercero</t>
  </si>
  <si>
    <t>hildebrando.alvarez@unionsaludvida.com</t>
  </si>
  <si>
    <t>1000921455</t>
  </si>
  <si>
    <t>LUIS FERNANDO MONTOYA SANCHEZ</t>
  </si>
  <si>
    <t>Caldas</t>
  </si>
  <si>
    <t>1001532436</t>
  </si>
  <si>
    <t>MELISSA MARSIGLIA GUERRA</t>
  </si>
  <si>
    <t>luis.montoya@unionsaludvida.com</t>
  </si>
  <si>
    <t>melissa.marsiglia@unionsaludvida.com</t>
  </si>
  <si>
    <t>1037631989</t>
  </si>
  <si>
    <t>JUAN FELIPE RESTREPO MONTOYA</t>
  </si>
  <si>
    <t>Envigado</t>
  </si>
  <si>
    <t>juan.montoya@unionsaludvida.com</t>
  </si>
  <si>
    <t>1037638426</t>
  </si>
  <si>
    <t>KIMBERLY HENAO RUIZ</t>
  </si>
  <si>
    <t>kimberly.henao@unionsaludvida.com</t>
  </si>
  <si>
    <t>1045718883</t>
  </si>
  <si>
    <t>PAULA ANDREA PALACIO IBAÑEZ</t>
  </si>
  <si>
    <t>paula.palacio@unionsaludvida.com</t>
  </si>
  <si>
    <t>1121506548</t>
  </si>
  <si>
    <t>LYLIANA ARELYS BARRERA TANDIOY</t>
  </si>
  <si>
    <t>Sabaneta</t>
  </si>
  <si>
    <t>lyliana.barrera@unionsaludvida.com</t>
  </si>
  <si>
    <t>1143413583</t>
  </si>
  <si>
    <t>PEDRO JUAN OSORIO GONZALEZ</t>
  </si>
  <si>
    <t>1005424850</t>
  </si>
  <si>
    <t>MARIA CAMILA ROMERO FLOREZ</t>
  </si>
  <si>
    <t>Santa María De Itagui</t>
  </si>
  <si>
    <t>1000764192</t>
  </si>
  <si>
    <t>LESLIE JOHANA RESTREPO ARANGO</t>
  </si>
  <si>
    <t>camila.florez@unionsaludvida.com</t>
  </si>
  <si>
    <t>leslie.restrepo@unionsaludvida.com</t>
  </si>
  <si>
    <t>1017264032</t>
  </si>
  <si>
    <t>CAMILA ANDREA MERA FRANKY</t>
  </si>
  <si>
    <t>San Ignacio</t>
  </si>
  <si>
    <t>1001011146</t>
  </si>
  <si>
    <t>SANTIAGO CASTRILLON MONTOYA</t>
  </si>
  <si>
    <t>camila.mera@unionsaludvida.com</t>
  </si>
  <si>
    <t>santiago.castrillon@unionsaludvida.com</t>
  </si>
  <si>
    <t>1001999023</t>
  </si>
  <si>
    <t>AURA ROSA PUERTAS MANCILLA</t>
  </si>
  <si>
    <t>aura.puertas@unionsaludvida.com</t>
  </si>
  <si>
    <t>KIMBERLY  HENAO RUIZ</t>
  </si>
  <si>
    <t>1001868101</t>
  </si>
  <si>
    <t>DANNA CAROLINA LOPEZ VIZCAINO</t>
  </si>
  <si>
    <t>danna.lopez@unionsaludvida.com</t>
  </si>
  <si>
    <t>1082896324</t>
  </si>
  <si>
    <t>MARLYS ENITH ORTIZ CARMONA</t>
  </si>
  <si>
    <t>Itagui</t>
  </si>
  <si>
    <t>marlys.ortiz@unionsaludvida.com</t>
  </si>
  <si>
    <t>1098777544</t>
  </si>
  <si>
    <t>FRANCIA MARIA MUÑOZ ARDILA</t>
  </si>
  <si>
    <t>Parque Fabricato</t>
  </si>
  <si>
    <t>francia.munoz@unionsaludvida.com</t>
  </si>
  <si>
    <t>1143374438</t>
  </si>
  <si>
    <t>CARLOS EDUARDO MACHACON MENDEZ</t>
  </si>
  <si>
    <t>carlos.machacon@unionsaludvida.com</t>
  </si>
  <si>
    <t>1071169507</t>
  </si>
  <si>
    <t>DANNA CATALINA GARZON VARGAS</t>
  </si>
  <si>
    <t>El Porvenir</t>
  </si>
  <si>
    <t>Licencia De Luto</t>
  </si>
  <si>
    <t>1001369228</t>
  </si>
  <si>
    <t>MARIA ALEJANDRA MONTOYA SILVA</t>
  </si>
  <si>
    <t>danna.garzon@unionsaludvida.com</t>
  </si>
  <si>
    <t>maria.silva@unionsaludvida.com</t>
  </si>
  <si>
    <t>1118569642</t>
  </si>
  <si>
    <t>SANTIAGO CHAPARRO LOZANO</t>
  </si>
  <si>
    <t>San Cristobal</t>
  </si>
  <si>
    <t>1001477185</t>
  </si>
  <si>
    <t>PABLO ANDRES MORENO MONSALVE</t>
  </si>
  <si>
    <t>santiago.chaparro@unionsaludvida.com</t>
  </si>
  <si>
    <t>pablo.moreno@unionsaludvida.com</t>
  </si>
  <si>
    <t>43558465</t>
  </si>
  <si>
    <t>JANET IDARRAGA FARIAS</t>
  </si>
  <si>
    <t>janet.farias@unionsaludvida.com</t>
  </si>
  <si>
    <t>CAMILA ANDREA  MERA FRANKY</t>
  </si>
  <si>
    <t>1004434669</t>
  </si>
  <si>
    <t>ANDRES FELIPE PABON MEZA</t>
  </si>
  <si>
    <t>andres.pabon@unionsaludvida.com</t>
  </si>
  <si>
    <t>1047505786</t>
  </si>
  <si>
    <t>ANGELA PATRICIA MEDINA DIAZ</t>
  </si>
  <si>
    <t>angela.medina@unionsaludvida.com</t>
  </si>
  <si>
    <t>HILDEBRANDO JOSE ALVAREZ NISPERUZA</t>
  </si>
  <si>
    <t>57303015</t>
  </si>
  <si>
    <t>CLARA INES CORONADO TRIANA</t>
  </si>
  <si>
    <t>1004463080</t>
  </si>
  <si>
    <t>MARIA CAMILA BULA IMBERT</t>
  </si>
  <si>
    <t>clara.coronado@unionsaludvida.com</t>
  </si>
  <si>
    <t>maria.imbert@unionsaludvida.com</t>
  </si>
  <si>
    <t>1035876080</t>
  </si>
  <si>
    <t>KATHERINE MESA MEJIA</t>
  </si>
  <si>
    <t>Calasanz</t>
  </si>
  <si>
    <t>1005457847</t>
  </si>
  <si>
    <t>RICARDO ULISES ALVAREZ TAMARA</t>
  </si>
  <si>
    <t>katherin.mesa@unionsaludvida.com</t>
  </si>
  <si>
    <t>ricardo.alvarez@unionsaludvida.com</t>
  </si>
  <si>
    <t>1152226738</t>
  </si>
  <si>
    <t>LAURA ANDREA AGUDELO GONZALEZ</t>
  </si>
  <si>
    <t>Lopez De Mesa</t>
  </si>
  <si>
    <t>andrea.agudelo@unionsaludvida.com</t>
  </si>
  <si>
    <t>1152436231</t>
  </si>
  <si>
    <t>NATALIA ANDREA SANCHEZ MAZO</t>
  </si>
  <si>
    <t>Cristo Rey</t>
  </si>
  <si>
    <t>natalia.sanchez@unionsaludvida.com</t>
  </si>
  <si>
    <t>1005605946</t>
  </si>
  <si>
    <t>CARLOS DAVID MUÑOZ VIVERO</t>
  </si>
  <si>
    <t>carlos.munoz@unionsaludvida.com</t>
  </si>
  <si>
    <t>1005661033</t>
  </si>
  <si>
    <t>JULIANA SILGADO FERNANDEZ</t>
  </si>
  <si>
    <t>juliana.silgado@unionsaludvida.com</t>
  </si>
  <si>
    <t>1036132488</t>
  </si>
  <si>
    <t>MARIA ALEJANDRA  JARAMILLO GOMEZ</t>
  </si>
  <si>
    <t>Manrique</t>
  </si>
  <si>
    <t>alejandra.jaramillo@unionsaludvida.com</t>
  </si>
  <si>
    <t>1005661534</t>
  </si>
  <si>
    <t>JOSE DAVID HERAZO PEREZ</t>
  </si>
  <si>
    <t>jose.herazo@unionsaludvida.com</t>
  </si>
  <si>
    <t>1006218825</t>
  </si>
  <si>
    <t>SARA LISETH TROCHEZ BORRERO</t>
  </si>
  <si>
    <t>sara.trochez@unionsaludvida.com</t>
  </si>
  <si>
    <t>MARIA ALEJANDRA JARAMILLO GOMEZ</t>
  </si>
  <si>
    <t>1001005240</t>
  </si>
  <si>
    <t>MARIA DEL MAR PEREZ GIRALDO</t>
  </si>
  <si>
    <t>San Antonio De Prado</t>
  </si>
  <si>
    <t>1007765841</t>
  </si>
  <si>
    <t>GEILY LUZ PAEZ SIERRA</t>
  </si>
  <si>
    <t>mariadelmar.perez@unionsaludvida.com</t>
  </si>
  <si>
    <t>geily.paez@unionsaludvida.com</t>
  </si>
  <si>
    <t>1043006106</t>
  </si>
  <si>
    <t>STEFANIA JOSE  JIMENEZ MERCADO</t>
  </si>
  <si>
    <t>Sabaneta Norte</t>
  </si>
  <si>
    <t>stefania.jimenez@unionsaludvida.com</t>
  </si>
  <si>
    <t>1015479485</t>
  </si>
  <si>
    <t>MAICOL ESTEVEN SANCHEZ FRANCO</t>
  </si>
  <si>
    <t>maicol.sanchez@unionsaludvida.com</t>
  </si>
  <si>
    <t>1037659560</t>
  </si>
  <si>
    <t>DANIELA RIVERA CORREA</t>
  </si>
  <si>
    <t>1017261828</t>
  </si>
  <si>
    <t>DANIELA ARANGO TOBON</t>
  </si>
  <si>
    <t>daniela.rivera@unionsaludvida.com</t>
  </si>
  <si>
    <t>daniela.tobon@unionsaludvida.com</t>
  </si>
  <si>
    <t>1017277147</t>
  </si>
  <si>
    <t>STEPHANIE OSPINA LOPERA</t>
  </si>
  <si>
    <t>stephanie.ospina@unionsaludvida.com</t>
  </si>
  <si>
    <t>72011169</t>
  </si>
  <si>
    <t>ROBERTO RAFAEL  ARTETA GONZALEZ</t>
  </si>
  <si>
    <t>1015483595</t>
  </si>
  <si>
    <t>NICOLAS FERNANDO  GODOY ESCOBAR</t>
  </si>
  <si>
    <t>1036624789</t>
  </si>
  <si>
    <t>LINA ISABEL HERNANDEZ HURTADO</t>
  </si>
  <si>
    <t>nicolas.godoy@unionsaludvida.com</t>
  </si>
  <si>
    <t>lina.hernandez@unionsaludvida.com</t>
  </si>
  <si>
    <t>1143412273</t>
  </si>
  <si>
    <t>JOSE IGNACIO CAMARGO FLOREZ</t>
  </si>
  <si>
    <t>jose.camargo@unionsaludvida.com</t>
  </si>
  <si>
    <t>1036965348</t>
  </si>
  <si>
    <t>JUAN PABLO CORTES BEDOYA</t>
  </si>
  <si>
    <t>juan.cortes@unionsaludvida.com</t>
  </si>
  <si>
    <t>1036969471</t>
  </si>
  <si>
    <t>MARYAM AYLEEN JOSE MARTINEZ GARRIDO</t>
  </si>
  <si>
    <t>maryam.ayleen@unionsaludvida.com</t>
  </si>
  <si>
    <t>1039460305</t>
  </si>
  <si>
    <t>WILLIAM ECHEVERRY TORO</t>
  </si>
  <si>
    <t>william.echeverry@unionsaludvida.com</t>
  </si>
  <si>
    <t>STEFANIA JOSE JIMENEZ MERCADO</t>
  </si>
  <si>
    <t>1002159016</t>
  </si>
  <si>
    <t>ANGIE PAOLA PANSA MUÑOZ</t>
  </si>
  <si>
    <t>Cordoba</t>
  </si>
  <si>
    <t>1062424482</t>
  </si>
  <si>
    <t>YELEINA MARIA LOPEZ MERCADO</t>
  </si>
  <si>
    <t>angie.pansa@unionsaludvida.com</t>
  </si>
  <si>
    <t>yeleina.lopez@unionsaludvida.com</t>
  </si>
  <si>
    <t>ROBERTO RAFAEL ARTETA GONZALEZ</t>
  </si>
  <si>
    <t>1085687504</t>
  </si>
  <si>
    <t>EDWIN ANDHERSON MONTOYA MUÑOZ</t>
  </si>
  <si>
    <t>edwin.montoya@unionsaludvida.com</t>
  </si>
  <si>
    <t>1102877850</t>
  </si>
  <si>
    <t>JHONATAN BLADIMIR MEDRANO DURANGO</t>
  </si>
  <si>
    <t>jhonatan.medrano@unionsaludvida.com</t>
  </si>
  <si>
    <t>42141273</t>
  </si>
  <si>
    <t>KELLY JOHANA GONZALEZ CORDOBA</t>
  </si>
  <si>
    <t>La Ceja</t>
  </si>
  <si>
    <t>1107046318</t>
  </si>
  <si>
    <t>YUDY MARCELA BOLAÑOS BOTERO</t>
  </si>
  <si>
    <t>kelly.gonzalez@unionsaludvida.com</t>
  </si>
  <si>
    <t>yudy.bolanos@unionsaludvida.com</t>
  </si>
  <si>
    <t>1110520481</t>
  </si>
  <si>
    <t>MAURICIO ANDRES RONDON MARTINEZ</t>
  </si>
  <si>
    <t>mauricio.rondon@unionsaludvida.com</t>
  </si>
  <si>
    <t>1113040527</t>
  </si>
  <si>
    <t>JENNIFER ANGELICA LUGO CUERVO</t>
  </si>
  <si>
    <t>jennifer.lugo@unionsaludvida.com</t>
  </si>
  <si>
    <t>1061819313</t>
  </si>
  <si>
    <t>MARIA PAULA ARGOTE MUÑOZ</t>
  </si>
  <si>
    <t>maria.argote@unionsaludvida.com</t>
  </si>
  <si>
    <t>1116283658</t>
  </si>
  <si>
    <t>LUISA FERNANDA ROJAS TRUJILLO</t>
  </si>
  <si>
    <t>luisa.rojas@unionsaludvida.com</t>
  </si>
  <si>
    <t>1040047637</t>
  </si>
  <si>
    <t>MANUELA  GAVIRIA VALENCIA</t>
  </si>
  <si>
    <t>1126251297</t>
  </si>
  <si>
    <t>LAURA ELENA PELUFO RIVERO</t>
  </si>
  <si>
    <t>manuela.gaviria@unionsaludvida.com</t>
  </si>
  <si>
    <t>laura.pelufo@unionsaludvida.com</t>
  </si>
  <si>
    <t>1085318652</t>
  </si>
  <si>
    <t>STIVALIZ YITNEL GUERRERO CHECA</t>
  </si>
  <si>
    <t>stivaliz.guerrero@unionsaludvida.com</t>
  </si>
  <si>
    <t>1140899462</t>
  </si>
  <si>
    <t>PAOLA ANDREA CARDENAS CARVAJAL</t>
  </si>
  <si>
    <t>paola.cardenas@unionsaludvida.com</t>
  </si>
  <si>
    <t>1140903391</t>
  </si>
  <si>
    <t>JUAN JESUS ALVAREZ ANAYA</t>
  </si>
  <si>
    <t>juan.anaya@unionsaludvida.com</t>
  </si>
  <si>
    <t>NICOLAS FERNANDO GODOY ESCOBAR</t>
  </si>
  <si>
    <t>1143388920</t>
  </si>
  <si>
    <t>CRISTIAN DAVID ROJAS PRATTO</t>
  </si>
  <si>
    <t>cristian.rojas@unionsaludvida.com</t>
  </si>
  <si>
    <t>1152449131</t>
  </si>
  <si>
    <t>KATHERINE JULIED GARCIA MEDINA</t>
  </si>
  <si>
    <t>katherine.garcia@unionsaludvida.com</t>
  </si>
  <si>
    <t>1005624879</t>
  </si>
  <si>
    <t>ROCIO ALEJANDRA   REBOLLEDO TAMAYO</t>
  </si>
  <si>
    <t>1152466358</t>
  </si>
  <si>
    <t>JUAN DAVID MONTOYA ARBELAEZ</t>
  </si>
  <si>
    <t>rocio.rebolledo@unionsaludvida.com</t>
  </si>
  <si>
    <t>juan.arbelaez@unionsaludvida.com</t>
  </si>
  <si>
    <t>1193055266</t>
  </si>
  <si>
    <t>DIANA VANESA ROSERO SANTACRUZ</t>
  </si>
  <si>
    <t>diana.rosero@unionsaludvida.com</t>
  </si>
  <si>
    <t>1000662062</t>
  </si>
  <si>
    <t>VALENTINA ECHEVERRI DURANGO</t>
  </si>
  <si>
    <t>SIN SUPERNUMERARIO</t>
  </si>
  <si>
    <t>valentina.echeverri@unionsaludvida.com</t>
  </si>
  <si>
    <t>ROCIO ALEJANDRA REBOLLEDO TAMAYO</t>
  </si>
  <si>
    <t>1102808787</t>
  </si>
  <si>
    <t>VICTOR ARTURO FUENTES LOPEZ</t>
  </si>
  <si>
    <t>victor.fuentes@unionsaludvida.com</t>
  </si>
  <si>
    <t>1001014608</t>
  </si>
  <si>
    <t>ANA MARIA POSADA SANCHEZ</t>
  </si>
  <si>
    <t>SIN AGENDA</t>
  </si>
  <si>
    <t>maria.posada@unionsaludvida.com</t>
  </si>
  <si>
    <t>1005625838</t>
  </si>
  <si>
    <t>1028031385</t>
  </si>
  <si>
    <t>1007623535</t>
  </si>
  <si>
    <t>1193531993</t>
  </si>
  <si>
    <t>1017229078</t>
  </si>
  <si>
    <t>1039475713</t>
  </si>
  <si>
    <t>1010079747</t>
  </si>
  <si>
    <t>1047402013</t>
  </si>
  <si>
    <t>1067938346</t>
  </si>
  <si>
    <t>1082934229</t>
  </si>
  <si>
    <t>1001808441</t>
  </si>
  <si>
    <t>71295937</t>
  </si>
  <si>
    <t>1038815720</t>
  </si>
  <si>
    <t>1143382892</t>
  </si>
  <si>
    <t>1010096144</t>
  </si>
  <si>
    <t>1193539083</t>
  </si>
  <si>
    <t>98668875</t>
  </si>
  <si>
    <t>1053869224</t>
  </si>
  <si>
    <t>Cédula</t>
  </si>
  <si>
    <t>Sede</t>
  </si>
  <si>
    <t>Cargo</t>
  </si>
  <si>
    <t>Profesional</t>
  </si>
  <si>
    <t>Estado</t>
  </si>
  <si>
    <t>Correo</t>
  </si>
  <si>
    <t>8643395</t>
  </si>
  <si>
    <t>Medico General</t>
  </si>
  <si>
    <t>ABELARDO ENRIQUE DAZA CERA</t>
  </si>
  <si>
    <t>abelardo.daza@unionsaludvida.com</t>
  </si>
  <si>
    <t>72342968</t>
  </si>
  <si>
    <t>ABRAHAM DAVID MARTINEZ ESCORCIA</t>
  </si>
  <si>
    <t>abraham.martinez@unionsaludvida.com</t>
  </si>
  <si>
    <t>1043000016</t>
  </si>
  <si>
    <t>Ortopedia</t>
  </si>
  <si>
    <t>Ortopedista</t>
  </si>
  <si>
    <t>ADALBERTO DE JESUS FONTALVO GALVAN</t>
  </si>
  <si>
    <t>adalberto.fontalvo@unionsaludvida.com</t>
  </si>
  <si>
    <t>92537215</t>
  </si>
  <si>
    <t>ADALBERTO GONZALEZ ARRIETA</t>
  </si>
  <si>
    <t>adalberto.gonzalez@unionsaludvida.com</t>
  </si>
  <si>
    <t>1064982760</t>
  </si>
  <si>
    <t>Monteria</t>
  </si>
  <si>
    <t>ADEL HUMBERTO ROMERO MENDEZ</t>
  </si>
  <si>
    <t>adel.romero@unionsaludvida.com</t>
  </si>
  <si>
    <t>1192923605</t>
  </si>
  <si>
    <t>ADRIANA CAROLINA ALEMAN GARCIA</t>
  </si>
  <si>
    <t>adriana.aleman@unionsaludvida.com</t>
  </si>
  <si>
    <t>1193524213</t>
  </si>
  <si>
    <t>Chigorodo Soma</t>
  </si>
  <si>
    <t>ADRIANA CAROLINA SARABIA JIMENEZ</t>
  </si>
  <si>
    <t>adriana.sarabia@unionsaludvida.com</t>
  </si>
  <si>
    <t>1036957173</t>
  </si>
  <si>
    <t>Rionegro</t>
  </si>
  <si>
    <t>ADRIANA LISETH CIRO CORREA</t>
  </si>
  <si>
    <t>adriana.ciro@unionsaludvida.com</t>
  </si>
  <si>
    <t>1041901478</t>
  </si>
  <si>
    <t>Bello</t>
  </si>
  <si>
    <t>ADRIANA LUCIA MERCADO BOSSIO</t>
  </si>
  <si>
    <t>adriana.mercado@unionsaludvida.com</t>
  </si>
  <si>
    <t>1100544080</t>
  </si>
  <si>
    <t>ADRIANA MARCELA ARRIETA AVILA</t>
  </si>
  <si>
    <t>adriana.arrieta@unionsaludvida.com</t>
  </si>
  <si>
    <t>1077481297</t>
  </si>
  <si>
    <t>ADRIANA MARCELA MOSQUERA MOSQUERA</t>
  </si>
  <si>
    <t>adriana.mosquera@unionsaludvida.com</t>
  </si>
  <si>
    <t>1065647062</t>
  </si>
  <si>
    <t>Santuario Farallones</t>
  </si>
  <si>
    <t>ADRIANA MARCELA VELASQUEZ VALLE</t>
  </si>
  <si>
    <t>adriana.velasquez@unionsaludvida.com</t>
  </si>
  <si>
    <t>1045761332</t>
  </si>
  <si>
    <t>ADRIANA MARGARITA LLANOS BELTRAN</t>
  </si>
  <si>
    <t>adriana.llanos@unionsaludvida.com</t>
  </si>
  <si>
    <t>1127074377</t>
  </si>
  <si>
    <t>Buenos Aires</t>
  </si>
  <si>
    <t>ADRIANA MARITZA ANACONA TRUJILLO</t>
  </si>
  <si>
    <t>adriana.anacona@unionsaludvida.com</t>
  </si>
  <si>
    <t>43616929</t>
  </si>
  <si>
    <t>ADRIANA MARTELO HERRERA</t>
  </si>
  <si>
    <t>adriana.herrera@unionsaludvida.com</t>
  </si>
  <si>
    <t>1017127268</t>
  </si>
  <si>
    <t>ADRIANA ZULUAGA SERNA</t>
  </si>
  <si>
    <t>adriana.zuluaga@unionsaludvida.com</t>
  </si>
  <si>
    <t>1193537573</t>
  </si>
  <si>
    <t>ADYEFFERYS RIVERA DIAZ</t>
  </si>
  <si>
    <t>adyefferys.rivera@unionsaludvida.com</t>
  </si>
  <si>
    <t>1098768810</t>
  </si>
  <si>
    <t>Santa Maria Itagui</t>
  </si>
  <si>
    <t>AHYDALY GRANDAS HERNANDEZ</t>
  </si>
  <si>
    <t>ahydaly.grandas@unionsaludvida.com</t>
  </si>
  <si>
    <t>1039469537</t>
  </si>
  <si>
    <t>ALANIS ALJURI ORTIZ</t>
  </si>
  <si>
    <t>alanis.ortiz@unionsaludvida.com</t>
  </si>
  <si>
    <t>78029534</t>
  </si>
  <si>
    <t>Especialistas Ops</t>
  </si>
  <si>
    <t>ALBERTO JOSE CABALLERO ESQUIVIA</t>
  </si>
  <si>
    <t>albertocaballero.contratista@unionsaludvida.com</t>
  </si>
  <si>
    <t>1002248662</t>
  </si>
  <si>
    <t>ALEJANDRA GARCIA MARTINEZ</t>
  </si>
  <si>
    <t>alejandra.martinez@unionsaludvida.com</t>
  </si>
  <si>
    <t>1239488187</t>
  </si>
  <si>
    <t>ALEJANDRA MUNERA MAZO</t>
  </si>
  <si>
    <t>alejandra.munera@unionsaludvida.com</t>
  </si>
  <si>
    <t>1193568408</t>
  </si>
  <si>
    <t>ALEJANDRA SOFIA VENECIA LOPEZ</t>
  </si>
  <si>
    <t>alejandra.venecia@unionsaludvida.com</t>
  </si>
  <si>
    <t>1000439437</t>
  </si>
  <si>
    <t>ALEJANDRO ESPINOSA HENAO</t>
  </si>
  <si>
    <t>alejandro.espinosa@unionsaludvida.com</t>
  </si>
  <si>
    <t>1037592414</t>
  </si>
  <si>
    <t>ALEJANDRO GALLEGO ASTIE</t>
  </si>
  <si>
    <t>alejandro.gallego@unionsaludvida.com</t>
  </si>
  <si>
    <t>1214734645</t>
  </si>
  <si>
    <t>La Estrella</t>
  </si>
  <si>
    <t>ALEJANDRO LLANO NARANJO</t>
  </si>
  <si>
    <t>alejandro.llano@unionsaludvida.com</t>
  </si>
  <si>
    <t>1010115185</t>
  </si>
  <si>
    <t>Supernumerarios</t>
  </si>
  <si>
    <t>Medico General Supernumerario</t>
  </si>
  <si>
    <t>ALEJANDRO RUALES CHAMORRO</t>
  </si>
  <si>
    <t>alejandro.ruales@unionsaludvida.com</t>
  </si>
  <si>
    <t>1019022569</t>
  </si>
  <si>
    <t>ALEX DIDI ROMERO GELVEZ</t>
  </si>
  <si>
    <t>alex.romero@unionsaludvida.com</t>
  </si>
  <si>
    <t>1152467481</t>
  </si>
  <si>
    <t>ALEXA PALACIOS ARROYO</t>
  </si>
  <si>
    <t>alexa.palacios@unionsaludvida.com</t>
  </si>
  <si>
    <t>98621900</t>
  </si>
  <si>
    <t>ALEXANDER NEIL GIRALDO VELASQUEZ</t>
  </si>
  <si>
    <t>alexander.giraldo@unionsaludvida.com</t>
  </si>
  <si>
    <t>1148205347</t>
  </si>
  <si>
    <t>Auxiliar En Salud</t>
  </si>
  <si>
    <t>ALEXANDRA AGUDELO GOMEZ</t>
  </si>
  <si>
    <t>auxiliarsaludlopezdemesa@unionsaludvida.com</t>
  </si>
  <si>
    <t>1020476544</t>
  </si>
  <si>
    <t>ALEXANDRA CAMILA ARROYAVE LARA</t>
  </si>
  <si>
    <t>alexandra.arroyave@unionsaludvida.com</t>
  </si>
  <si>
    <t>1102878409</t>
  </si>
  <si>
    <t>ALFREDO ANDRES TORREGROSA PALMETT</t>
  </si>
  <si>
    <t>alfredo.torregrosa@unionsaludvida.com</t>
  </si>
  <si>
    <t>1038408808</t>
  </si>
  <si>
    <t>Copacabana</t>
  </si>
  <si>
    <t>ALISON YULIED SERNA CASTAÑO</t>
  </si>
  <si>
    <t>alison.serna@unionsaludvida.com</t>
  </si>
  <si>
    <t>1037660327</t>
  </si>
  <si>
    <t>ALISSON HERNANDEZ URIBE</t>
  </si>
  <si>
    <t>alisson.uribe@unionsaludvida.com</t>
  </si>
  <si>
    <t>1017271052</t>
  </si>
  <si>
    <t>ALISSON PABON AGUDELO</t>
  </si>
  <si>
    <t>alisson.pabon@unionsaludvida.com</t>
  </si>
  <si>
    <t>1003050774</t>
  </si>
  <si>
    <t>Monterrey</t>
  </si>
  <si>
    <t>ALIX LORENA LOPEZ GUARIN</t>
  </si>
  <si>
    <t>alix.lopez@unionsaludvida.com</t>
  </si>
  <si>
    <t>1143413071</t>
  </si>
  <si>
    <t>AMANDA ISABEL SARMIENTO JIMENEZ</t>
  </si>
  <si>
    <t>amanda.sarmiento@unionsaludvida.com</t>
  </si>
  <si>
    <t>1233342044</t>
  </si>
  <si>
    <t>Carepa Centro</t>
  </si>
  <si>
    <t>ANA CAROLINA HERNANDEZ VERGARA</t>
  </si>
  <si>
    <t>ana.hernandez@unionsaludvida.com</t>
  </si>
  <si>
    <t>1039462842</t>
  </si>
  <si>
    <t>ANA CAROLINA SALGADO GARCIA</t>
  </si>
  <si>
    <t>ana.salgado@unionsaludvida.com</t>
  </si>
  <si>
    <t>1000100865</t>
  </si>
  <si>
    <t>ANA CATALINA GOMEZ POLO</t>
  </si>
  <si>
    <t>ana.polo@unionsaludvida.com</t>
  </si>
  <si>
    <t>1036610922</t>
  </si>
  <si>
    <t>Lider Asistencial</t>
  </si>
  <si>
    <t>Lider Cumplimiento Organizacional</t>
  </si>
  <si>
    <t>ANA CRISTINA VARELA RODRIGUEZ</t>
  </si>
  <si>
    <t>ana.varelas@unionsaludvida.com</t>
  </si>
  <si>
    <t>1039468175</t>
  </si>
  <si>
    <t>ANA DEL MAR ROJAS COPETE</t>
  </si>
  <si>
    <t>ana.rojas@unionsaludvida.com</t>
  </si>
  <si>
    <t>1004255591</t>
  </si>
  <si>
    <t>ANA GABRIELA DELGADO ROSALES</t>
  </si>
  <si>
    <t>ana.delgado@unionsaludvida.com</t>
  </si>
  <si>
    <t>1000099207</t>
  </si>
  <si>
    <t>ANA ISABEL MORENO GARCIA</t>
  </si>
  <si>
    <t>isabel.moreno@unionsaludvida.com</t>
  </si>
  <si>
    <t>1067938278</t>
  </si>
  <si>
    <t>ANA KAREN GOMEZ CONTRERAS</t>
  </si>
  <si>
    <t>ana.contreras@unionsaludvida.com</t>
  </si>
  <si>
    <t>1007800482</t>
  </si>
  <si>
    <t>Apartado</t>
  </si>
  <si>
    <t>ANA KARINA NEGRETTE SOTO</t>
  </si>
  <si>
    <t>ana.negrette@unionsaludvida.com</t>
  </si>
  <si>
    <t>1083037131</t>
  </si>
  <si>
    <t>ANA KARINA VILLARREAL REALES</t>
  </si>
  <si>
    <t>ana.villarreal@unionsaludvida.com</t>
  </si>
  <si>
    <t>1017211452</t>
  </si>
  <si>
    <t>ANA MARCELA MAYO TEHERAN</t>
  </si>
  <si>
    <t>ana.mayo@unionsaludvida.com</t>
  </si>
  <si>
    <t>1037651431</t>
  </si>
  <si>
    <t>ANA MARIA ACOSTA TIRADO</t>
  </si>
  <si>
    <t>ana.acosta@unionsaludvida.com</t>
  </si>
  <si>
    <t>1002956418</t>
  </si>
  <si>
    <t>ANA MARIA BENAVIDES GUACA</t>
  </si>
  <si>
    <t>ana.benavides@unionsaludvida.com</t>
  </si>
  <si>
    <t>1010137728</t>
  </si>
  <si>
    <t>ANA MARIA BENITEZ MARTINEZ</t>
  </si>
  <si>
    <t>ana.benitez@unionsaludvida.com</t>
  </si>
  <si>
    <t>1017255237</t>
  </si>
  <si>
    <t>ANA MARIA ESCOBAR ROBLEDO</t>
  </si>
  <si>
    <t>ana.escobar@unionsaludvida.com</t>
  </si>
  <si>
    <t>43262923</t>
  </si>
  <si>
    <t>ANA MARIA GALLEGO GOMEZ</t>
  </si>
  <si>
    <t>ana.gallego@unionsaludvida.com</t>
  </si>
  <si>
    <t>Internista</t>
  </si>
  <si>
    <t>43185343</t>
  </si>
  <si>
    <t>Lider Gestion Asistencial</t>
  </si>
  <si>
    <t>ANA MARIA HENAO MARTINEZ</t>
  </si>
  <si>
    <t>ana.henao@unionsaludvida.com</t>
  </si>
  <si>
    <t>1000921684</t>
  </si>
  <si>
    <t>ANA MARIA HINCAPIE RESTREPO</t>
  </si>
  <si>
    <t>ana.hincapie@unionsaludvida.com</t>
  </si>
  <si>
    <t>1007223463</t>
  </si>
  <si>
    <t>ANA MARIA LONDOÑO GIRALDO</t>
  </si>
  <si>
    <t>ana.londono@unionsaludvida.com</t>
  </si>
  <si>
    <t>52932342</t>
  </si>
  <si>
    <t>ANA MARIA MARTINEZ BUENDIA</t>
  </si>
  <si>
    <t>ana.buendia@unionsaludvida.com</t>
  </si>
  <si>
    <t>26009097</t>
  </si>
  <si>
    <t>ANA MARIA MIRANDA CORDERO</t>
  </si>
  <si>
    <t>ana.miranda@unionsaludvida.com</t>
  </si>
  <si>
    <t>64587663</t>
  </si>
  <si>
    <t>ANA MARIA PATERNINA DE LA OSSA</t>
  </si>
  <si>
    <t>ana.paternina@unionsaludvida.com</t>
  </si>
  <si>
    <t>1026149276</t>
  </si>
  <si>
    <t>ANA MARIA VERGARA LONDOÑO</t>
  </si>
  <si>
    <t>lidercisenvigado@unionsaludvida.com</t>
  </si>
  <si>
    <t>1001939392</t>
  </si>
  <si>
    <t>ANA MARIA VERGEL PUERTO</t>
  </si>
  <si>
    <t>ana.vergel@unionsaludvida.com</t>
  </si>
  <si>
    <t>1047475415</t>
  </si>
  <si>
    <t>ANA RAQUEL FLOREZ MARTINEZ</t>
  </si>
  <si>
    <t>ana.florez@unionsaludvida.com</t>
  </si>
  <si>
    <t>33204315</t>
  </si>
  <si>
    <t>ANA SUSANA GARCIA MARTINEZ</t>
  </si>
  <si>
    <t>susana.garcia@unionsaludvida.com</t>
  </si>
  <si>
    <t>1140899272</t>
  </si>
  <si>
    <t>ANA VALERIA GARCIA MEDINA</t>
  </si>
  <si>
    <t>ana.medina@unionsaludvida.com</t>
  </si>
  <si>
    <t>1042060611</t>
  </si>
  <si>
    <t>Gestion Humana</t>
  </si>
  <si>
    <t>Lider Gestion Humana</t>
  </si>
  <si>
    <t>ANA VENURIS CARDONA CANO</t>
  </si>
  <si>
    <t>lidergestionhumana@unionsaludvida.com</t>
  </si>
  <si>
    <t>1234093059</t>
  </si>
  <si>
    <t>ANDERSON DE JESUS PUA ROJAS</t>
  </si>
  <si>
    <t>anderson.pua@unionsaludvida.com</t>
  </si>
  <si>
    <t>1083001678</t>
  </si>
  <si>
    <t>ANDREA CAMILA SALAZAR PADILLA</t>
  </si>
  <si>
    <t>andrea.salazar@unionsaludvida.com</t>
  </si>
  <si>
    <t>1007588372</t>
  </si>
  <si>
    <t>ANDREA CAROLINA AMIN PUELLO</t>
  </si>
  <si>
    <t>andrea.amin@sanvicenteces.com</t>
  </si>
  <si>
    <t>1047970511</t>
  </si>
  <si>
    <t>ANDREA CAROLINA AVILA RESTREPO</t>
  </si>
  <si>
    <t>andrea.avila@unionsaludvida.com</t>
  </si>
  <si>
    <t>1143361075</t>
  </si>
  <si>
    <t>ANDREA CAROLINA CUELLO OÑATE</t>
  </si>
  <si>
    <t>andrea.cuello@unionsaludvida.com</t>
  </si>
  <si>
    <t>Salud Plaza Apartado</t>
  </si>
  <si>
    <t>ANDREA CAROLINA SUAREZ ESCORCIA</t>
  </si>
  <si>
    <t>andrea.suarez@unionsaludvida.com</t>
  </si>
  <si>
    <t>1052994099</t>
  </si>
  <si>
    <t>ANDREA DEL PILAR GUARIN QUINTERO</t>
  </si>
  <si>
    <t>andrea.pilar@unionsaludvida.com</t>
  </si>
  <si>
    <t>1037626926</t>
  </si>
  <si>
    <t>ANDREA HOYOS ESCOBAR</t>
  </si>
  <si>
    <t>andrea.hoyos@unionsaludvida.com</t>
  </si>
  <si>
    <t>1020470720</t>
  </si>
  <si>
    <t>Los Colores</t>
  </si>
  <si>
    <t>ANDREA JARAMILLO GUISAO</t>
  </si>
  <si>
    <t>andrea.jaramillo@unionsaludvida.com</t>
  </si>
  <si>
    <t>1000049316</t>
  </si>
  <si>
    <t>ANDREA JULIETH SILVA CASTILLO</t>
  </si>
  <si>
    <t>andrea.silva@unionsaludvida.com</t>
  </si>
  <si>
    <t>1152469965</t>
  </si>
  <si>
    <t>ANDREA RAMIREZ ZAPATA</t>
  </si>
  <si>
    <t>andrea.zapata@unionsaludvida.com</t>
  </si>
  <si>
    <t>1152219427</t>
  </si>
  <si>
    <t>Saman</t>
  </si>
  <si>
    <t>ANDREA SALDARRIAGA ARBELAEZ</t>
  </si>
  <si>
    <t>andrea.saldarriaga@unionsaludvida.com</t>
  </si>
  <si>
    <t>1128447461</t>
  </si>
  <si>
    <t>ANDRES ACEVEDO RESTREPO</t>
  </si>
  <si>
    <t>andres.acevedo@unionsaludvida.com</t>
  </si>
  <si>
    <t>1061758383</t>
  </si>
  <si>
    <t>ANDRES ALEJANDRO PAREDES OCAMPO</t>
  </si>
  <si>
    <t>andres.paredes@unionsaludvida.com</t>
  </si>
  <si>
    <t>1004960056</t>
  </si>
  <si>
    <t>ANDRES CAMILO BETANCOURTH CIRO</t>
  </si>
  <si>
    <t>andres.betancourth@unionsaludvida.com</t>
  </si>
  <si>
    <t>1140902203</t>
  </si>
  <si>
    <t>La Union</t>
  </si>
  <si>
    <t>ANDRES EDUARDO BARCENAS CASTRO</t>
  </si>
  <si>
    <t>andres.barcenas@unionsaludvida.com</t>
  </si>
  <si>
    <t>1192796671</t>
  </si>
  <si>
    <t>ANDRES FELIPE LOPEZ MERCADO</t>
  </si>
  <si>
    <t>andres.lopez@unionsaludvida.com</t>
  </si>
  <si>
    <t>1040358317</t>
  </si>
  <si>
    <t>ANDRES FELIPE MEDINA RODRIGUEZ</t>
  </si>
  <si>
    <t>andres.medina@unionsaludvida.com</t>
  </si>
  <si>
    <t>1085315171</t>
  </si>
  <si>
    <t>ANDRES FELIPE MUÑOZ LEIVA</t>
  </si>
  <si>
    <t>andres.munoz@unionsaludvida.com</t>
  </si>
  <si>
    <t>1000099010</t>
  </si>
  <si>
    <t>ANDRES HERNANDEZ CASTRO</t>
  </si>
  <si>
    <t>andres.hernandez@unionsaludvida.com</t>
  </si>
  <si>
    <t>1082926383</t>
  </si>
  <si>
    <t>ANDRES JACOB GARCIA GRANADOS</t>
  </si>
  <si>
    <t>andres.garcia@unionsaludvida.com</t>
  </si>
  <si>
    <t>1066188073</t>
  </si>
  <si>
    <t>Medico General Cadenero Vacaciones</t>
  </si>
  <si>
    <t>ANDRES JOSE BALLESTEROS MENDOZA</t>
  </si>
  <si>
    <t>andres.ballesteros@unionsaludvida.com</t>
  </si>
  <si>
    <t>1003432662</t>
  </si>
  <si>
    <t>ANDRES JULIAN MARIN VARGAS</t>
  </si>
  <si>
    <t>andres.marin@unionsaludvida.com</t>
  </si>
  <si>
    <t>1036624445</t>
  </si>
  <si>
    <t xml:space="preserve">ANDRES MAURICIO VASCO </t>
  </si>
  <si>
    <t>andres.vasco@unionsaludvida.com</t>
  </si>
  <si>
    <t>1019052530</t>
  </si>
  <si>
    <t>ANDRES OSORIO VILLARRAGA</t>
  </si>
  <si>
    <t>andres.osorio@unionsaludvida.com</t>
  </si>
  <si>
    <t>1128414706</t>
  </si>
  <si>
    <t>Lider Medico</t>
  </si>
  <si>
    <t>ANDRES PEREZ MARIN</t>
  </si>
  <si>
    <t>liderciscopacabana@unionsaludvida.com</t>
  </si>
  <si>
    <t>1005663234</t>
  </si>
  <si>
    <t>ANDREY ALESSI VEGA GONZALEZ</t>
  </si>
  <si>
    <t>andrey.vega@unionsaludvida.com</t>
  </si>
  <si>
    <t>22519737</t>
  </si>
  <si>
    <t xml:space="preserve">ANGELA EDELMIRA VARELA </t>
  </si>
  <si>
    <t>angela.varela@unionsaludvida.com</t>
  </si>
  <si>
    <t>ANGELA MARCELA VANEGAS GUTIERREZ</t>
  </si>
  <si>
    <t>1104434918</t>
  </si>
  <si>
    <t>ANGELA MARIA ALDANA BANQUEZ</t>
  </si>
  <si>
    <t>angela.aldana@unionsaludvida.com</t>
  </si>
  <si>
    <t>1035438745</t>
  </si>
  <si>
    <t>ANGELA MARIA ARDILA BENITEZ</t>
  </si>
  <si>
    <t>liderasistencial@unionsaludvida.com</t>
  </si>
  <si>
    <t>1044938036</t>
  </si>
  <si>
    <t>ANGELA MARIA HERRERA FLOREZ</t>
  </si>
  <si>
    <t>angela.herrera@unionsaludvida.com</t>
  </si>
  <si>
    <t>1143397459</t>
  </si>
  <si>
    <t>ANGELA PATRICIA MORALES BRUCES</t>
  </si>
  <si>
    <t>angela.morales@unionsaludvida.com</t>
  </si>
  <si>
    <t>52711440</t>
  </si>
  <si>
    <t>Gestion Academica</t>
  </si>
  <si>
    <t>ANGELICA BARON DUQUE</t>
  </si>
  <si>
    <t>angelica.baron@unionsaludvida.com</t>
  </si>
  <si>
    <t>1127917899</t>
  </si>
  <si>
    <t>ANGELICA MARIA MORENO MENDOZA</t>
  </si>
  <si>
    <t>angelica.moreno@unionsaludvida.com</t>
  </si>
  <si>
    <t>1007951295</t>
  </si>
  <si>
    <t>Currulao</t>
  </si>
  <si>
    <t>ANGELICA PATRICIA POLO MAURY</t>
  </si>
  <si>
    <t>angelica.polo@unionsaludvida.com</t>
  </si>
  <si>
    <t>1128460946</t>
  </si>
  <si>
    <t>ANGELICA RESTREPO RAMIREZ</t>
  </si>
  <si>
    <t>angelica.restrepo@unionsaludvida.com</t>
  </si>
  <si>
    <t>1152697062</t>
  </si>
  <si>
    <t>ANGHELIETH ALZATE GARCIA</t>
  </si>
  <si>
    <t>1020430709</t>
  </si>
  <si>
    <t>ANGIE BRAVO GARCIA</t>
  </si>
  <si>
    <t>angie.garcia@unionsaludvida.com</t>
  </si>
  <si>
    <t>1026154731</t>
  </si>
  <si>
    <t>ANGIE DANIELA VELEZ MUÑOZ</t>
  </si>
  <si>
    <t>angie.velez@unionsaludvida.com</t>
  </si>
  <si>
    <t>1030652448</t>
  </si>
  <si>
    <t>ANGIE DISLEIDY DAZA VASQUEZ</t>
  </si>
  <si>
    <t>angie.daza@unionsaludvida.com</t>
  </si>
  <si>
    <t>1045517810</t>
  </si>
  <si>
    <t>ANGIE LIZET CAICEDO MORENO</t>
  </si>
  <si>
    <t>angie.caicedo@unionsaludvida.com</t>
  </si>
  <si>
    <t>1042065946</t>
  </si>
  <si>
    <t>ANGIE MELISA QUINTANA RIOS</t>
  </si>
  <si>
    <t>angie.quintana@unionsaludvida.com</t>
  </si>
  <si>
    <t>1143406315</t>
  </si>
  <si>
    <t>ANGIE MILENA CLAVIJO PEREZ</t>
  </si>
  <si>
    <t>angie.clavijo@unionsaludvida.com</t>
  </si>
  <si>
    <t>1152713660</t>
  </si>
  <si>
    <t>ANGIE PAOLA CARDONA GARCES</t>
  </si>
  <si>
    <t>angie.cardona@unionsaludvida.com</t>
  </si>
  <si>
    <t>1051830053</t>
  </si>
  <si>
    <t>ANGIE PAOLA MORENO YEPEZ</t>
  </si>
  <si>
    <t>angie.moreno@unionsaludvida.com</t>
  </si>
  <si>
    <t>ANGIE PIEDAD BARCO RAMIREZ</t>
  </si>
  <si>
    <t>angie.barco@unionsaludvida.com</t>
  </si>
  <si>
    <t>1152462704</t>
  </si>
  <si>
    <t>ANNIE JULIETH MURILLO ARIAS</t>
  </si>
  <si>
    <t>annie.murillo@unionsaludvida.com</t>
  </si>
  <si>
    <t>1000090168</t>
  </si>
  <si>
    <t>ANTONIA LUCIA VASQUEZ NAVARRO</t>
  </si>
  <si>
    <t>antonia.vasquez@unionsaludvida.com</t>
  </si>
  <si>
    <t>1140902083</t>
  </si>
  <si>
    <t>ANTONIO RAPHAEL MAYORCA ROJAS</t>
  </si>
  <si>
    <t>antonio.mayorca@unionsaludvida.com</t>
  </si>
  <si>
    <t>1005425022</t>
  </si>
  <si>
    <t>ANUAR FABIAN GAMARRA GUERRERO</t>
  </si>
  <si>
    <t>anuar.gamarra@unionsaludvida.com</t>
  </si>
  <si>
    <t>1043029111</t>
  </si>
  <si>
    <t>ANYELA MILETH GOMEZ TOUS</t>
  </si>
  <si>
    <t>anyela.gomez@unionsaludvida.com</t>
  </si>
  <si>
    <t>45592346</t>
  </si>
  <si>
    <t>ARALY ARIZA SABALZA</t>
  </si>
  <si>
    <t>araly.ariza@unionsaludvida.com</t>
  </si>
  <si>
    <t>1017236640</t>
  </si>
  <si>
    <t>ARANTZA DANIELA VALDES CORONEL</t>
  </si>
  <si>
    <t>daniela.valdes@unionsaludvida.com</t>
  </si>
  <si>
    <t>1039450651</t>
  </si>
  <si>
    <t>ARLETH YINETH CAICEDO CHAVERRA</t>
  </si>
  <si>
    <t>arleth.caicedo@unionsaludvida.com</t>
  </si>
  <si>
    <t>73189515</t>
  </si>
  <si>
    <t>ARNOL JOSE ROMERO ACUÑA</t>
  </si>
  <si>
    <t>arnol.romero@unionsaludvida.com</t>
  </si>
  <si>
    <t>34329018</t>
  </si>
  <si>
    <t>ASTRID XIMENA GOMEZ SAMBONI</t>
  </si>
  <si>
    <t>astrid.gomez@unionsaludvida.com</t>
  </si>
  <si>
    <t>1001900488</t>
  </si>
  <si>
    <t>AUGUSTO ENRIQUE MAZA ARNEDO</t>
  </si>
  <si>
    <t>augusto.maza@unionsaludvida.com</t>
  </si>
  <si>
    <t>1007596228</t>
  </si>
  <si>
    <t>AURA CRISTINA NAVARRO CORONADO</t>
  </si>
  <si>
    <t>aura.navarro@unionsaludvida.com</t>
  </si>
  <si>
    <t>1037634655</t>
  </si>
  <si>
    <t>AURA CRISTINA ZAPATA SEPULVEDA</t>
  </si>
  <si>
    <t>aura.zapata@unionsaludvida.com</t>
  </si>
  <si>
    <t>1093793222</t>
  </si>
  <si>
    <t>Especialistas Operativo</t>
  </si>
  <si>
    <t>BEANNEY NATHALIE VILLEGAS JEREZ</t>
  </si>
  <si>
    <t>beanney.villegas@unionsaludvida.com</t>
  </si>
  <si>
    <t>1067948637</t>
  </si>
  <si>
    <t>BEATRIZ EUGENIA ORDOÑEZ SUAREZ</t>
  </si>
  <si>
    <t>beatriz.ordonez@unionsaludvida.com</t>
  </si>
  <si>
    <t>32852919</t>
  </si>
  <si>
    <t>BEDZAIDA MARGARITA REALES GUERRERO</t>
  </si>
  <si>
    <t>bedzaida.reales@unionsaludvida.com</t>
  </si>
  <si>
    <t>45529043</t>
  </si>
  <si>
    <t>BERTHA LILYBETH WATTS MARIN</t>
  </si>
  <si>
    <t>berta.watts@unionsaludvida.com</t>
  </si>
  <si>
    <t>1073813287</t>
  </si>
  <si>
    <t>BRAULIO ANTONIO CONTRERAS MARTINEZ</t>
  </si>
  <si>
    <t>auxiliarsaludmonteria@unionsaludvida.com</t>
  </si>
  <si>
    <t>1007918959</t>
  </si>
  <si>
    <t>BRAYAN CORREA PIZZA</t>
  </si>
  <si>
    <t>brayan.correa@unionsaludvida.com</t>
  </si>
  <si>
    <t>1003405464</t>
  </si>
  <si>
    <t>BRENDA BERROCAL BRACAMONTE</t>
  </si>
  <si>
    <t>brenda.berrocal@unionsaludvida.com</t>
  </si>
  <si>
    <t>1015332305</t>
  </si>
  <si>
    <t>BRITHNEY PALACIO BOLIVAR</t>
  </si>
  <si>
    <t>auxiliarformacion@unionsaludvida.com</t>
  </si>
  <si>
    <t>1007795010</t>
  </si>
  <si>
    <t>CAMILA ANDREA ARGUMEDO LOBO</t>
  </si>
  <si>
    <t>auxiliarsaludmanrique@unionsaludvida.com</t>
  </si>
  <si>
    <t>1124076705</t>
  </si>
  <si>
    <t>CAMILA ANDREA ATENCIO CAMARGO</t>
  </si>
  <si>
    <t>camila.atencio@unionsaludvida.com</t>
  </si>
  <si>
    <t>1143405766</t>
  </si>
  <si>
    <t>CAMILA ANDREA BUELVAS DE LA ROSA</t>
  </si>
  <si>
    <t>camila.buelvas@unionsaludvida.com</t>
  </si>
  <si>
    <t>1000401189</t>
  </si>
  <si>
    <t>CAMILA ANDREA FERNANDEZ PEINADO</t>
  </si>
  <si>
    <t>camila.fernandez@unionsaludvida.com</t>
  </si>
  <si>
    <t>1072648283</t>
  </si>
  <si>
    <t>CAMILA ANDREA MARTINEZ TELLEZ</t>
  </si>
  <si>
    <t>camila.martinez@unionsaludvida.com</t>
  </si>
  <si>
    <t>1000193483</t>
  </si>
  <si>
    <t>CAMILA MARTINEZ BARRIENTOS</t>
  </si>
  <si>
    <t>camila.barrientos@unionsaludvida.com</t>
  </si>
  <si>
    <t>1007970945</t>
  </si>
  <si>
    <t>CAMILA ROCIO VALDELAMAR CABALLERO</t>
  </si>
  <si>
    <t>camila.valdelamar@unionsaludvida.com</t>
  </si>
  <si>
    <t>1000415548</t>
  </si>
  <si>
    <t>Central De Novedades</t>
  </si>
  <si>
    <t>CAMILA ROJO ZAPATA</t>
  </si>
  <si>
    <t>auxiliarcentral3@unionsaludvida.com</t>
  </si>
  <si>
    <t>1007370160</t>
  </si>
  <si>
    <t>Turbo</t>
  </si>
  <si>
    <t>CAMILA VELEZ TEHERAN</t>
  </si>
  <si>
    <t>camila.velez@unionsaludvida.com</t>
  </si>
  <si>
    <t>1014237413</t>
  </si>
  <si>
    <t>CAMILO ANDRES BERDUGO LOZANO</t>
  </si>
  <si>
    <t>camilo.berdugo@unionsaludvida.com</t>
  </si>
  <si>
    <t>1193542342</t>
  </si>
  <si>
    <t>CAMILO ANDRES CANAVAL RODRIGUEZ</t>
  </si>
  <si>
    <t>camilo.canaval@unionsaludvida.com</t>
  </si>
  <si>
    <t>1037661210</t>
  </si>
  <si>
    <t>CAMILO D ETORRE AGUIRRE</t>
  </si>
  <si>
    <t>camilo.dettorre@unionsaludvida.com</t>
  </si>
  <si>
    <t>1052974971</t>
  </si>
  <si>
    <t>CANDELARIA PATRICIA SOTO RAPALINO</t>
  </si>
  <si>
    <t>candelaria.soto@unionsaludvida.com</t>
  </si>
  <si>
    <t>1040755318</t>
  </si>
  <si>
    <t>CARDEÑO VELASQUEZ MARIA CAMILA</t>
  </si>
  <si>
    <t>maria.cardeno@unionsaludvida.com</t>
  </si>
  <si>
    <t>1037640698</t>
  </si>
  <si>
    <t>CARLA VALENTINA VANEGAS MARIN</t>
  </si>
  <si>
    <t>carla.vanegas@unionsaludvida.com</t>
  </si>
  <si>
    <t>1036682280</t>
  </si>
  <si>
    <t>CARLOS ALBERTO ESCOBAR MARTINEZ</t>
  </si>
  <si>
    <t>carlos.escobar@unionsaludvida.com</t>
  </si>
  <si>
    <t>15436142</t>
  </si>
  <si>
    <t>CARLOS ALBERTO FRANCO RESTREPO</t>
  </si>
  <si>
    <t>carlos.franco@unionsaludvida.com</t>
  </si>
  <si>
    <t>1152472382</t>
  </si>
  <si>
    <t>CARLOS ALBERTO URIBE ZULUAGA</t>
  </si>
  <si>
    <t>carlos.uribe@unionsaludvida.com</t>
  </si>
  <si>
    <t>72193053</t>
  </si>
  <si>
    <t>CARLOS ALBERTO VASQUEZ SERRANO</t>
  </si>
  <si>
    <t>carlos.vasquez@unionsaludvida.com</t>
  </si>
  <si>
    <t>1007976395</t>
  </si>
  <si>
    <t>CARLOS ANDRES FONSECA PIANETA</t>
  </si>
  <si>
    <t>carlos.fonseca@unionsaludvida.com</t>
  </si>
  <si>
    <t>71317684</t>
  </si>
  <si>
    <t>CARLOS ANDRES JARAMILLO QUIROZ</t>
  </si>
  <si>
    <t>carlos.jaramillo@unionsaludvida.com</t>
  </si>
  <si>
    <t>1003361835</t>
  </si>
  <si>
    <t>CARLOS ANDRES TEJADA ARGUMEDO</t>
  </si>
  <si>
    <t>carlos.tejada@unionsaludvida.com</t>
  </si>
  <si>
    <t>1085324058</t>
  </si>
  <si>
    <t>CARLOS ANDRES URBANO BRAVO</t>
  </si>
  <si>
    <t>carlos.urbano@unionsaludvida.com</t>
  </si>
  <si>
    <t>1096244249</t>
  </si>
  <si>
    <t>CARLOS EDUARDO LUNA ANDRADE</t>
  </si>
  <si>
    <t>carlos.luna@unionsaludvida.com</t>
  </si>
  <si>
    <t>1047391993</t>
  </si>
  <si>
    <t>CARLOS FABIAN RODRIGUEZ BETTIN</t>
  </si>
  <si>
    <t>carlos.rodriguez@unionsaludvida.com</t>
  </si>
  <si>
    <t>1017129784</t>
  </si>
  <si>
    <t>CARLOS MARIO FIGUEROA GARCIA</t>
  </si>
  <si>
    <t>lidercissanignacio@unionsaludvida.com</t>
  </si>
  <si>
    <t>1128418305</t>
  </si>
  <si>
    <t>CARLOS MARIO GARCIA GONZALEZ</t>
  </si>
  <si>
    <t>carlos.garcia@unionsaludvida.com</t>
  </si>
  <si>
    <t>8460424</t>
  </si>
  <si>
    <t>CARLOS MARIO JIMENEZ BETANCUR</t>
  </si>
  <si>
    <t>carlosjimenez.contratista@unionsaludvida.com</t>
  </si>
  <si>
    <t>98590207</t>
  </si>
  <si>
    <t>CARLOS MAURICIO PARRA TORO</t>
  </si>
  <si>
    <t>lidercisaranjuez@unionsaludvida.com</t>
  </si>
  <si>
    <t>1061685747</t>
  </si>
  <si>
    <t>CARLOS SEBASTIAN GONZALEZ GONZALEZ</t>
  </si>
  <si>
    <t>carlos.gonzalez@unionsaludvida.com</t>
  </si>
  <si>
    <t>1065579202</t>
  </si>
  <si>
    <t>CARLOS SOLIS SANTIAGO MEDELLIN</t>
  </si>
  <si>
    <t>carlos.santiago@unionsaludvida.com</t>
  </si>
  <si>
    <t>1044393706</t>
  </si>
  <si>
    <t>CARMEN CECILIA MOLINA MOLINARES</t>
  </si>
  <si>
    <t>carmen.molina@unionsaludvida.com</t>
  </si>
  <si>
    <t>1140818961</t>
  </si>
  <si>
    <t>Ginecologo</t>
  </si>
  <si>
    <t>CARMEN ELDA RUIZ PALMERA</t>
  </si>
  <si>
    <t>carmen.ruiz@unionsaludvida.com</t>
  </si>
  <si>
    <t>1077459343</t>
  </si>
  <si>
    <t>CARMEN GISELT SANCHEZ AGUDELO</t>
  </si>
  <si>
    <t>carmen.sanchez@unionsaludvida.com</t>
  </si>
  <si>
    <t>1143394119</t>
  </si>
  <si>
    <t>CARMEN MILENA MIRANDA CASTILLA</t>
  </si>
  <si>
    <t>carmen.miranda@unionsaludvida.com</t>
  </si>
  <si>
    <t>1001975885</t>
  </si>
  <si>
    <t>CAROLAIN DIEZ CARABALLO</t>
  </si>
  <si>
    <t>carolain.diez@unionsaludvida.com</t>
  </si>
  <si>
    <t>1007508800</t>
  </si>
  <si>
    <t>CAROLINA ANDREA PEREZ JIMENEZ</t>
  </si>
  <si>
    <t>carolina.perez@unionsaludvida.com</t>
  </si>
  <si>
    <t>1037645925</t>
  </si>
  <si>
    <t>CAROLINA CEBALLOS HOYOS</t>
  </si>
  <si>
    <t>carolina.ceballos@unionsaludvida.com</t>
  </si>
  <si>
    <t>1036967208</t>
  </si>
  <si>
    <t>CAROLINA ECHEVERRI URIBE</t>
  </si>
  <si>
    <t>carolina.echeverrri@unionsaludvida.com</t>
  </si>
  <si>
    <t>1089288302</t>
  </si>
  <si>
    <t>CAROLINA FLOREZ BURGOS</t>
  </si>
  <si>
    <t>carolina.burgos@unionsaludvida.com</t>
  </si>
  <si>
    <t>1069505986</t>
  </si>
  <si>
    <t>CAROLINA HERAZO ARROYO</t>
  </si>
  <si>
    <t>carolina.herazo@unionsaludvida.com</t>
  </si>
  <si>
    <t>1001236277</t>
  </si>
  <si>
    <t>El Retiro Los Robles</t>
  </si>
  <si>
    <t>CAROLINA LONDOÑO MARTINEZ</t>
  </si>
  <si>
    <t>carolina.londono@unionsaludvida.com</t>
  </si>
  <si>
    <t>1001018139</t>
  </si>
  <si>
    <t>CAROLINA LOPEZ FLOREZ</t>
  </si>
  <si>
    <t>carolina.florez@unionsaludvida.com</t>
  </si>
  <si>
    <t>1005663352</t>
  </si>
  <si>
    <t>CAROLINA MARIA ALEMAN HERNANDEZ</t>
  </si>
  <si>
    <t>carolina.aleman@unionsaludvida.com</t>
  </si>
  <si>
    <t>1000099090</t>
  </si>
  <si>
    <t>CAROLINA MAYA RENDON</t>
  </si>
  <si>
    <t>carolina.maya@unionsaludvida.com</t>
  </si>
  <si>
    <t>1020447783</t>
  </si>
  <si>
    <t>CAROLINA RIOS ARENAS</t>
  </si>
  <si>
    <t>carolina.rios@unionsaludvida.com</t>
  </si>
  <si>
    <t>1036683729</t>
  </si>
  <si>
    <t>CAROLINA RIVERA AREVALO</t>
  </si>
  <si>
    <t>carolina.rivera@unionsaludvida.com</t>
  </si>
  <si>
    <t>1036675646</t>
  </si>
  <si>
    <t>CAROLINA ROJAS BARROS</t>
  </si>
  <si>
    <t>carolina.barros@unionsaludvida.com</t>
  </si>
  <si>
    <t>32855849</t>
  </si>
  <si>
    <t>CAROLINA SMITH CERA SARMIENTO</t>
  </si>
  <si>
    <t>carolina.cera@unionsaludvida.com</t>
  </si>
  <si>
    <t>1000395784</t>
  </si>
  <si>
    <t>CATALINA ECHEVERRI ZAPATA</t>
  </si>
  <si>
    <t>catalina.echeverri@unionsaludvida.com</t>
  </si>
  <si>
    <t>32182537</t>
  </si>
  <si>
    <t>CATALINA GIL GALLEGO</t>
  </si>
  <si>
    <t>gestionasistenciallopezdemesa@unionsaludvida.com</t>
  </si>
  <si>
    <t>1039469545</t>
  </si>
  <si>
    <t>CATALINA HERRERA LOPERA</t>
  </si>
  <si>
    <t>liderciscaldas@unionsaludvida.com</t>
  </si>
  <si>
    <t>1003398632</t>
  </si>
  <si>
    <t>CATALINA MACEA BENITEZ</t>
  </si>
  <si>
    <t>catalina.macea@unionsaludvida.com</t>
  </si>
  <si>
    <t>1007334260</t>
  </si>
  <si>
    <t>CATALINA MARIA USUGA MUÑOZ</t>
  </si>
  <si>
    <t>catalina.usuga@unionsaludvida.com</t>
  </si>
  <si>
    <t>1036932341</t>
  </si>
  <si>
    <t>CATHERINE GOMEZ MEJIA</t>
  </si>
  <si>
    <t>catherine.mejia@unionsaludvida.com</t>
  </si>
  <si>
    <t>1017218647</t>
  </si>
  <si>
    <t>CATHERINE VILLAMIZAR LONDOÑO</t>
  </si>
  <si>
    <t>catherine.villamizar@unionsaludvida.com</t>
  </si>
  <si>
    <t>21581066</t>
  </si>
  <si>
    <t>CECILIA USUGA GIRON</t>
  </si>
  <si>
    <t>cecilia.giron@unionsaludvida.com</t>
  </si>
  <si>
    <t>1140864276</t>
  </si>
  <si>
    <t>CHERYL DAYANNA GARCIA POLO</t>
  </si>
  <si>
    <t>cheryl.garcia@unionsaludvida.com</t>
  </si>
  <si>
    <t>1098722449</t>
  </si>
  <si>
    <t>CHRISTI TATIANA GARCES SALAMANCA</t>
  </si>
  <si>
    <t>christi.garces@unionsaludvida.com</t>
  </si>
  <si>
    <t>1037485093</t>
  </si>
  <si>
    <t>CHRISTIAN RODRIGUEZ CORREA</t>
  </si>
  <si>
    <t>christian.rodriguez@unionsaludvida.com</t>
  </si>
  <si>
    <t>1140873093</t>
  </si>
  <si>
    <t>CIELO ZENITH DE LA LIBERTAD SANTANA SANTANA</t>
  </si>
  <si>
    <t>cielo.santana@unionsaludvida.com</t>
  </si>
  <si>
    <t>1017124469</t>
  </si>
  <si>
    <t>Auxiliar En Seguridad Y Salud En El Trabajo</t>
  </si>
  <si>
    <t>CINDIA ROMERO QUINTERO</t>
  </si>
  <si>
    <t>cindia.romero@unionsaludvida.com</t>
  </si>
  <si>
    <t>1193370054</t>
  </si>
  <si>
    <t>CINDY JOHANA ORTEGA TRUJILLO</t>
  </si>
  <si>
    <t>cindy.ortega@unionsaludvida.com</t>
  </si>
  <si>
    <t>1010137301</t>
  </si>
  <si>
    <t>Especialistas Admon</t>
  </si>
  <si>
    <t>CINDY PAOLA SAMPAYO ALVAREZ</t>
  </si>
  <si>
    <t>cindy.sampayo@unionsaludvida.com</t>
  </si>
  <si>
    <t>1000549306</t>
  </si>
  <si>
    <t>CLARA DAYIANA LONDOÑO URIBE</t>
  </si>
  <si>
    <t>clara.londono@unionsaludvida.com</t>
  </si>
  <si>
    <t>1017270154</t>
  </si>
  <si>
    <t>CLARA VALENTINA CUADRO VIECO</t>
  </si>
  <si>
    <t>clara.cuadro@unionsaludvida.com</t>
  </si>
  <si>
    <t>1016033270</t>
  </si>
  <si>
    <t>CLARIBETH VASQUEZ TORREJANO</t>
  </si>
  <si>
    <t>claribeth.vasquez@unionsaludvida.com</t>
  </si>
  <si>
    <t>1128059700</t>
  </si>
  <si>
    <t>CLAUDIA PATRICIA CASTILLA PEÑA</t>
  </si>
  <si>
    <t>claudia.castilla@unionsaludvida.com</t>
  </si>
  <si>
    <t>43628138</t>
  </si>
  <si>
    <t>CORA IBETH URREGO DITTA</t>
  </si>
  <si>
    <t>cora.urrego@unionsaludvida.com</t>
  </si>
  <si>
    <t>1017270214</t>
  </si>
  <si>
    <t>CRISS DAHIANA ARRIETA GUERRA</t>
  </si>
  <si>
    <t>criss.arrieta@unionsaludvida.com</t>
  </si>
  <si>
    <t>1152699151</t>
  </si>
  <si>
    <t>Proyectos Valle De Aburra Admon</t>
  </si>
  <si>
    <t>CRISTHIAN CAMILO CAICA BECERRA</t>
  </si>
  <si>
    <t>liderciscordoba@unionsaludvida.com</t>
  </si>
  <si>
    <t>1140861663</t>
  </si>
  <si>
    <t>CRISTIAN ANDRES LEDESMA VARGAS</t>
  </si>
  <si>
    <t>cristian.ledesma@unionsaludvida.com</t>
  </si>
  <si>
    <t>1001478953</t>
  </si>
  <si>
    <t>CRISTIAN CAMILO CALVACHE SEPULVEDA</t>
  </si>
  <si>
    <t>cristian.calvache@unionsaludvida.com</t>
  </si>
  <si>
    <t>1019092271</t>
  </si>
  <si>
    <t>CRISTIAN DAVID BELTRAN BELTRAN</t>
  </si>
  <si>
    <t>cristian.beltran@unionsaludvida.com</t>
  </si>
  <si>
    <t>1003459576</t>
  </si>
  <si>
    <t>CRISTIAN DAVID GUERRERO ANAYA</t>
  </si>
  <si>
    <t>cristian.guerrero@unionsaludvida.com</t>
  </si>
  <si>
    <t>1143268479</t>
  </si>
  <si>
    <t>CRISTINA DE JESUS PORTILLO MONTERROSA</t>
  </si>
  <si>
    <t>cristina.portillo@unionsaludvida.com</t>
  </si>
  <si>
    <t>1152438419</t>
  </si>
  <si>
    <t>CRISTINA DUQUE VELEZ</t>
  </si>
  <si>
    <t>cristina.duque@unionsaludvida.com</t>
  </si>
  <si>
    <t>1028005794</t>
  </si>
  <si>
    <t>CRISTINA ESTEFANIA NOREÑA BENITES</t>
  </si>
  <si>
    <t>cristina.norena@unionsaludvida.com</t>
  </si>
  <si>
    <t>1002242683</t>
  </si>
  <si>
    <t>CRISTINA ISABELA EALO CARDONA</t>
  </si>
  <si>
    <t>cristina.ealo@unionsaludvida.com</t>
  </si>
  <si>
    <t>1037603470</t>
  </si>
  <si>
    <t>CYNTHIA LORENA OSSABA QUINTERO</t>
  </si>
  <si>
    <t>cynthia.ossaba@unionsaludvida.com</t>
  </si>
  <si>
    <t>1067888156</t>
  </si>
  <si>
    <t>Dermatologo</t>
  </si>
  <si>
    <t>DAILYN DANITH PÉREZ PASTRANA</t>
  </si>
  <si>
    <t>dailynperez.contratista@unionsaludvida.com</t>
  </si>
  <si>
    <t>11000408</t>
  </si>
  <si>
    <t>DAIRO MANUEL VASQUEZ GERMAN</t>
  </si>
  <si>
    <t>dairo.vasquez@unionsaludvida.com</t>
  </si>
  <si>
    <t>1073998675</t>
  </si>
  <si>
    <t>DAIRY YISETH MENA SUAREZ</t>
  </si>
  <si>
    <t>dairy.mena@unionsaludvida.com</t>
  </si>
  <si>
    <t>32240269</t>
  </si>
  <si>
    <t>DANGELA KARINA RODRIGUEZ MOSQUERA</t>
  </si>
  <si>
    <t>dangela.rodriguez@unionsaludvida.com</t>
  </si>
  <si>
    <t>1037650793</t>
  </si>
  <si>
    <t>DANIEL DAVID CALDERON NEGRETE</t>
  </si>
  <si>
    <t>daniel.calderon@unionsaludvida.com</t>
  </si>
  <si>
    <t>1017235294</t>
  </si>
  <si>
    <t>DANIEL ENRIQUE JARAMILLO MEJIA</t>
  </si>
  <si>
    <t>daniel.jaramillo@unionsaludvida.com</t>
  </si>
  <si>
    <t>1001028386</t>
  </si>
  <si>
    <t>DANIEL ESTEBAN RUIZ MESA</t>
  </si>
  <si>
    <t>daniel.ruiz@unionsaludvida.com</t>
  </si>
  <si>
    <t>1035227846</t>
  </si>
  <si>
    <t>DANIEL FELIPE AGUDELO ESCOBAR</t>
  </si>
  <si>
    <t>daniel.agudelo@unionsaludvida.com</t>
  </si>
  <si>
    <t>71788315</t>
  </si>
  <si>
    <t>Financiera</t>
  </si>
  <si>
    <t>Director Administrativo y Financiero</t>
  </si>
  <si>
    <t>DANIEL GONZALO PEALEZ ARANGO</t>
  </si>
  <si>
    <t>daniel.pelaez@unionsaludvida.com</t>
  </si>
  <si>
    <t>1020487057</t>
  </si>
  <si>
    <t>DANIEL STIVEN RESTREPO VASQUEZ</t>
  </si>
  <si>
    <t>daniel.vasquez@unionsaludvida.com</t>
  </si>
  <si>
    <t>1017246163</t>
  </si>
  <si>
    <t>DANIEL STIVEN VELILLA AGUIRRE</t>
  </si>
  <si>
    <t>daniel.velilla@unionsaludvida.com</t>
  </si>
  <si>
    <t>1143403750</t>
  </si>
  <si>
    <t>DANIELA ALEJANDRA BARRIOS CASTRO</t>
  </si>
  <si>
    <t>daniela.barrios@unionsaludvida.com</t>
  </si>
  <si>
    <t>1193568094</t>
  </si>
  <si>
    <t>DANIELA ALEJANDRA TABORDA CARDONA</t>
  </si>
  <si>
    <t>alejandra.taborda@unionsaludvida.com</t>
  </si>
  <si>
    <t>1001456402</t>
  </si>
  <si>
    <t>DANIELA ALEXANDRA MUÑOZ PELAEZ</t>
  </si>
  <si>
    <t>alexandra.pelaez@unionsaludvida.com</t>
  </si>
  <si>
    <t>1023802526</t>
  </si>
  <si>
    <t>DANIELA ANDREA AREIZA MAZO</t>
  </si>
  <si>
    <t>auxiliarsaludrionegro@unionsaludvida.com</t>
  </si>
  <si>
    <t>1214738770</t>
  </si>
  <si>
    <t>DANIELA BEDOYA MUÑETON</t>
  </si>
  <si>
    <t>daniela.muneton@unionsaludvida.com</t>
  </si>
  <si>
    <t>1128272024</t>
  </si>
  <si>
    <t>DANIELA CADAVID PELAEZ</t>
  </si>
  <si>
    <t>daniela.pelaez@unionsaludvida.com</t>
  </si>
  <si>
    <t>1017241099</t>
  </si>
  <si>
    <t>DANIELA CARDENAS PEREZ</t>
  </si>
  <si>
    <t>daniela.cardenas@unionsaludvida.com</t>
  </si>
  <si>
    <t>1004699246</t>
  </si>
  <si>
    <t>DANIELA CARDONA BUITRAGO</t>
  </si>
  <si>
    <t>daniela.cardona@unionsaludvida.com</t>
  </si>
  <si>
    <t>1083017729</t>
  </si>
  <si>
    <t>DANIELA CAROLINA FLOREZ CAMACHO</t>
  </si>
  <si>
    <t>daniela.florez@unionsaludvida.com</t>
  </si>
  <si>
    <t>1127950951</t>
  </si>
  <si>
    <t>DANIELA CAROLINA VILLALBA CELLI</t>
  </si>
  <si>
    <t>daniela.villalba@unionsaludvida.com</t>
  </si>
  <si>
    <t>1001817910</t>
  </si>
  <si>
    <t>DANIELA CHALITA FERNANDEZ</t>
  </si>
  <si>
    <t>daniela.chalita@unionsaludvida.com</t>
  </si>
  <si>
    <t>1007763804</t>
  </si>
  <si>
    <t>DANIELA DEL CARMEN MARTINEZ PAYARES</t>
  </si>
  <si>
    <t>daniela.payares@unionsaludvida.com</t>
  </si>
  <si>
    <t>1065809450</t>
  </si>
  <si>
    <t>DANIELA DEL CARMEN OSPINO ACOSTA</t>
  </si>
  <si>
    <t>daniela.ospino@unionsaludvida.com</t>
  </si>
  <si>
    <t>1084253148</t>
  </si>
  <si>
    <t>DANIELA DEL PILAR CERON ORDOÑEZ</t>
  </si>
  <si>
    <t>daniela.ceron@unionsaludvida.com</t>
  </si>
  <si>
    <t>1017204053</t>
  </si>
  <si>
    <t>DANIELA DEOSSA PIEDRAHITA</t>
  </si>
  <si>
    <t>daniela.deossa@unionsaludvida.com</t>
  </si>
  <si>
    <t>1020808071</t>
  </si>
  <si>
    <t>DANIELA EDITH BOTIA SUESCUN</t>
  </si>
  <si>
    <t>daniela.botia@unionsaludvida.com</t>
  </si>
  <si>
    <t>1040043333</t>
  </si>
  <si>
    <t>DANIELA GARCIA LOPEZ</t>
  </si>
  <si>
    <t>daniela.garcia@unionsaludvida.com</t>
  </si>
  <si>
    <t>1152457601</t>
  </si>
  <si>
    <t>DANIELA GIL MIRA</t>
  </si>
  <si>
    <t>daniela.gil@unionsaludvida.com</t>
  </si>
  <si>
    <t>1060653164</t>
  </si>
  <si>
    <t>DANIELA ISABEL VERGARA ALMANZA</t>
  </si>
  <si>
    <t>daniela.vergara@unionsaludvida.com</t>
  </si>
  <si>
    <t>1094936246</t>
  </si>
  <si>
    <t>Pediatra</t>
  </si>
  <si>
    <t>DANIELA LONDOÑO CAÑAS</t>
  </si>
  <si>
    <t>daniela.londono@unionsaludvida.com</t>
  </si>
  <si>
    <t>1033342587</t>
  </si>
  <si>
    <t>Analista Nomina</t>
  </si>
  <si>
    <t>DANIELA LOPERA HERRERA</t>
  </si>
  <si>
    <t>nomina@unionsaludvida.com</t>
  </si>
  <si>
    <t>1047442961</t>
  </si>
  <si>
    <t>DANIELA LUCIA VERBEL PEREZ</t>
  </si>
  <si>
    <t>daniela.verbel@unionsaludvida.com</t>
  </si>
  <si>
    <t>1143404906</t>
  </si>
  <si>
    <t>DANIELA MARGARITA ESTREMOR PINO</t>
  </si>
  <si>
    <t>daniela.estremor@unionsaludvida.com</t>
  </si>
  <si>
    <t>1004285183</t>
  </si>
  <si>
    <t>DANIELA MARIA ORDOÑEZ PALENCIA</t>
  </si>
  <si>
    <t>daniela.ordonez@unionsaludvida.com</t>
  </si>
  <si>
    <t>1152208665</t>
  </si>
  <si>
    <t>DANIELA MARTINEZ BOUHOT</t>
  </si>
  <si>
    <t>daniela.bouhot@unionsaludvida.com</t>
  </si>
  <si>
    <t>1037640774</t>
  </si>
  <si>
    <t>DANIELA MARTINEZ RIVERA</t>
  </si>
  <si>
    <t>daniela.martinez@unionsaludvida.com</t>
  </si>
  <si>
    <t>1143375080</t>
  </si>
  <si>
    <t>DANIELA MASSA DIAZ</t>
  </si>
  <si>
    <t>daniela.massa@unionsaludvida.com</t>
  </si>
  <si>
    <t>1036670630</t>
  </si>
  <si>
    <t>DANIELA MAYO MARIN</t>
  </si>
  <si>
    <t>daniela.mayo@unionsaludvida.com</t>
  </si>
  <si>
    <t>1152211605</t>
  </si>
  <si>
    <t>DANIELA MUÑOZ LOAIZA</t>
  </si>
  <si>
    <t>daniela.munoz@unionsaludvida.com</t>
  </si>
  <si>
    <t>1037525218</t>
  </si>
  <si>
    <t>DANIELA OCHOA ARBELAEZ</t>
  </si>
  <si>
    <t>daniela.ochoa@unionsaludvida.com</t>
  </si>
  <si>
    <t>1017224143</t>
  </si>
  <si>
    <t>DANIELA OSORIO HERNANDEZ</t>
  </si>
  <si>
    <t>daniela.osorio@unionsaludvida.com</t>
  </si>
  <si>
    <t>1010237418</t>
  </si>
  <si>
    <t>DANIELA PABON PABON</t>
  </si>
  <si>
    <t>daniela.pabon@unionsaludvida.com</t>
  </si>
  <si>
    <t>1102884373</t>
  </si>
  <si>
    <t>DANIELA PEREZ MADERA</t>
  </si>
  <si>
    <t>lidercismonteria@unionsaludvida.com</t>
  </si>
  <si>
    <t>1128283058</t>
  </si>
  <si>
    <t>DANIELA QUINCHIA JARAMILLO</t>
  </si>
  <si>
    <t>daniela.jaramillo@unionsaludvida.com</t>
  </si>
  <si>
    <t>1065664047</t>
  </si>
  <si>
    <t>DANIELA REYES YEPES</t>
  </si>
  <si>
    <t>daniela.reyes@unionsaludvida.com</t>
  </si>
  <si>
    <t>1000532653</t>
  </si>
  <si>
    <t>DANIELA RODRIGUEZ SIERRA</t>
  </si>
  <si>
    <t>danielarodriguez.sierra@unionsaludvida.com</t>
  </si>
  <si>
    <t>1037642463</t>
  </si>
  <si>
    <t>DANIELA ROJAS SOSSA</t>
  </si>
  <si>
    <t>daniela.sossa@unionsaludvida.com</t>
  </si>
  <si>
    <t>1000083810</t>
  </si>
  <si>
    <t>DANIELA RUIZ FRANCO</t>
  </si>
  <si>
    <t>daniela.ruiz@unionsaludvida.com</t>
  </si>
  <si>
    <t>1000886893</t>
  </si>
  <si>
    <t>DANIELA TABORDA VELASQUEZ</t>
  </si>
  <si>
    <t>danielataborda.velasquez@unionsaludvida.com</t>
  </si>
  <si>
    <t>1013660730</t>
  </si>
  <si>
    <t>DANIELA VARGAS GOMEZ</t>
  </si>
  <si>
    <t>daniela.vargas@unionsaludvida.com</t>
  </si>
  <si>
    <t>1152443144</t>
  </si>
  <si>
    <t>DANIELA ZAPATA FRANCO</t>
  </si>
  <si>
    <t>daniela.franco@unionsaludvida.com</t>
  </si>
  <si>
    <t>1017209928</t>
  </si>
  <si>
    <t>DANIELA ZAPATA HERRERA</t>
  </si>
  <si>
    <t>daniela.zapata@unionsaludvida.com</t>
  </si>
  <si>
    <t>1004354407</t>
  </si>
  <si>
    <t>DANIELA ZORAIDA GUETTE PABON</t>
  </si>
  <si>
    <t>daniela.guette@unionsaludvida.com</t>
  </si>
  <si>
    <t>1085297445</t>
  </si>
  <si>
    <t>DANILO ARMANDO ARGOTE BOLAÑOS</t>
  </si>
  <si>
    <t>danilo.argote@unionsaludvida.com</t>
  </si>
  <si>
    <t>1010108820</t>
  </si>
  <si>
    <t>DANNA ISABELLA AGUIAR FORONDA</t>
  </si>
  <si>
    <t>danna.aguiar@unionsaludvida.com</t>
  </si>
  <si>
    <t>1020471990</t>
  </si>
  <si>
    <t>DANNA JULIETH SUAZA ROLDAN</t>
  </si>
  <si>
    <t>danna.suaza@unionsaludvida.com</t>
  </si>
  <si>
    <t>1007959441</t>
  </si>
  <si>
    <t>DANNA PAOLA OVIEDO CABRERA</t>
  </si>
  <si>
    <t>danna.oviedo@unionsaludvida.com</t>
  </si>
  <si>
    <t>1002031566</t>
  </si>
  <si>
    <t>DANNA SOPHIA BURGOS RUIZ</t>
  </si>
  <si>
    <t>danna.burgos@unionsaludvida.com</t>
  </si>
  <si>
    <t>1152201127</t>
  </si>
  <si>
    <t>DANNIEL STEVEN JARAMILLO AGUDELO</t>
  </si>
  <si>
    <t>danniel.jaramillo@unionsaludvida.com</t>
  </si>
  <si>
    <t>1193429408</t>
  </si>
  <si>
    <t>DARCY JULIETH MORENO SANCHEZ</t>
  </si>
  <si>
    <t>darcy.moreno@unionsaludvida.com</t>
  </si>
  <si>
    <t>1048266834</t>
  </si>
  <si>
    <t>DARIO RAFAEL MANGA PUERTA</t>
  </si>
  <si>
    <t>dario.manga@unionsaludvida.com</t>
  </si>
  <si>
    <t>1069500505</t>
  </si>
  <si>
    <t>DARLENY ANDREA PARRA VERGARA</t>
  </si>
  <si>
    <t>darleny.parra@unionsaludvida.com</t>
  </si>
  <si>
    <t>43895752</t>
  </si>
  <si>
    <t>DARLY MARGARITA RODAS CARMONA</t>
  </si>
  <si>
    <t>darly.rodas@unionsaludvida.com</t>
  </si>
  <si>
    <t>71388943</t>
  </si>
  <si>
    <t>Tics</t>
  </si>
  <si>
    <t>Auxiliar Tic</t>
  </si>
  <si>
    <t>DARWIN ANTONIO LOPEZ ACEVEDO</t>
  </si>
  <si>
    <t>soporte@unionsaludvida.com</t>
  </si>
  <si>
    <t>1000416383</t>
  </si>
  <si>
    <t>DAVID ALEJANDRO LOPEZ ALARCON</t>
  </si>
  <si>
    <t>david.alarcon@unionsaludvida.com</t>
  </si>
  <si>
    <t>1214735803</t>
  </si>
  <si>
    <t>DAVID ANTONIO MEJIA CASTRO</t>
  </si>
  <si>
    <t>david.mejia@unionsaludvida.com</t>
  </si>
  <si>
    <t>1000935031</t>
  </si>
  <si>
    <t>DAVID AUGUSTO ROJAS BARRETO</t>
  </si>
  <si>
    <t>david.barreto@unionsaludvida.com</t>
  </si>
  <si>
    <t>1002030124</t>
  </si>
  <si>
    <t>DAVID ENRIQUE PAVA SANCHEZ</t>
  </si>
  <si>
    <t>david.pava@unionsaludvida.com</t>
  </si>
  <si>
    <t>1026149657</t>
  </si>
  <si>
    <t>DAVID GIRALDO OSSA</t>
  </si>
  <si>
    <t>david.giraldo@unionsaludvida.com</t>
  </si>
  <si>
    <t>1017170892</t>
  </si>
  <si>
    <t>DAVID IGNACIO MONROY GARCIA</t>
  </si>
  <si>
    <t>david.monroy@unionsaludvida.com</t>
  </si>
  <si>
    <t>1047363064</t>
  </si>
  <si>
    <t>DAVID JOSE ARIZA DE AVILA</t>
  </si>
  <si>
    <t>david.jose@unionsaludvida.com</t>
  </si>
  <si>
    <t>1233193727</t>
  </si>
  <si>
    <t>DAVID SANTIAGO GUERRERO DORADO</t>
  </si>
  <si>
    <t>david.guerrero@unionsaludvida.com</t>
  </si>
  <si>
    <t>1000294973</t>
  </si>
  <si>
    <t>DAVID SANTIAGO MORALES VANEGAS</t>
  </si>
  <si>
    <t>david.morales@unionsaludvida.com</t>
  </si>
  <si>
    <t>1003083272</t>
  </si>
  <si>
    <t>DAYANA ANDREA MORENO MAZO</t>
  </si>
  <si>
    <t>dayana.mazo@unionsaludvida.com</t>
  </si>
  <si>
    <t>1002159701</t>
  </si>
  <si>
    <t>DAYANA BRISSET OSORIO URBINA</t>
  </si>
  <si>
    <t>dayana.osorio@unionsaludvida.com</t>
  </si>
  <si>
    <t>1003033764</t>
  </si>
  <si>
    <t>DAYANA HERNANDEZ HERNANDEZ</t>
  </si>
  <si>
    <t>dayana.hernandez@unionsaludvida.com</t>
  </si>
  <si>
    <t>1039460226</t>
  </si>
  <si>
    <t>DEICY JULIETH AGUIRRE GRAJALES</t>
  </si>
  <si>
    <t>gestionasistencialsanignacio@unionsaludvida.com</t>
  </si>
  <si>
    <t>43998614</t>
  </si>
  <si>
    <t>DEISSY LORENA GIRALDO MIRANDA</t>
  </si>
  <si>
    <t>deissy.giraldo@unionsaludvida.com</t>
  </si>
  <si>
    <t>1045017347</t>
  </si>
  <si>
    <t>DEISY MARIBEL ALZATE RAMIREZ</t>
  </si>
  <si>
    <t>deisy.alzate@unionsaludvida.com</t>
  </si>
  <si>
    <t>1140891109</t>
  </si>
  <si>
    <t>DENNIS ISABEL SANABRIA GOMEZ</t>
  </si>
  <si>
    <t>dennis.sanabria@unionsaludvida.com</t>
  </si>
  <si>
    <t>32353449</t>
  </si>
  <si>
    <t>DEYSI MILLERLADY ARCILA ARBOLEDA</t>
  </si>
  <si>
    <t>deysi.arcila@unionsaludvida.com</t>
  </si>
  <si>
    <t>1019124595</t>
  </si>
  <si>
    <t>DIANA CAROLINA MACIAS GARCIA</t>
  </si>
  <si>
    <t>diana.macias@unionsaludvida.com</t>
  </si>
  <si>
    <t>1006820526</t>
  </si>
  <si>
    <t>DIANA CAROLINA OREJUELA LOPEZ</t>
  </si>
  <si>
    <t>diana.orejuela@unionsaludvida.com</t>
  </si>
  <si>
    <t>43986125</t>
  </si>
  <si>
    <t>DIANA CAROLINA PINEDA LEON</t>
  </si>
  <si>
    <t>diana.pineda@unionsaludvida.com</t>
  </si>
  <si>
    <t>43271257</t>
  </si>
  <si>
    <t>DIANA ECHAVARRIA BETANCOURT</t>
  </si>
  <si>
    <t>diana.betancourt@unionsaludvida.com</t>
  </si>
  <si>
    <t>1036403838</t>
  </si>
  <si>
    <t>DIANA ISABEL ALZATE VALENCIA</t>
  </si>
  <si>
    <t>diana.alzate@unionsaludvida.com</t>
  </si>
  <si>
    <t>1098793822</t>
  </si>
  <si>
    <t>DIANA JULIANA PABON GRISALES</t>
  </si>
  <si>
    <t>diana.pabon@unionsaludvida.com</t>
  </si>
  <si>
    <t>1010135017</t>
  </si>
  <si>
    <t>DIANA LUCIA MANGA URIBE</t>
  </si>
  <si>
    <t>diana.manga@unionsaludvida.com</t>
  </si>
  <si>
    <t>1060269497</t>
  </si>
  <si>
    <t>DIANA LUCIA NOREÑA GUTIERREZ</t>
  </si>
  <si>
    <t>diana.norena@unionsaludvida.com</t>
  </si>
  <si>
    <t>43453341</t>
  </si>
  <si>
    <t>DIANA MARCELA CRUZ YARA</t>
  </si>
  <si>
    <t>diana.cruz@unionsaludvida.com</t>
  </si>
  <si>
    <t>1098655023</t>
  </si>
  <si>
    <t>DIANA MARCELA HERRERA FLOREZ</t>
  </si>
  <si>
    <t>diana.florez@unionsaludvida.com</t>
  </si>
  <si>
    <t>1065823887</t>
  </si>
  <si>
    <t>DIANA MARCELA MENDEZ PINTO</t>
  </si>
  <si>
    <t>diana.pinto@unionsaludvida.com</t>
  </si>
  <si>
    <t>59310511</t>
  </si>
  <si>
    <t>DIANA MARGOTH SOLARTE DAVID</t>
  </si>
  <si>
    <t>diana.solarte@unionsaludvida.com</t>
  </si>
  <si>
    <t>1140876076</t>
  </si>
  <si>
    <t>DIANELA MARTINEZ CORRALES</t>
  </si>
  <si>
    <t>dianela.martinez@unionsaludvida.com</t>
  </si>
  <si>
    <t>1093792601</t>
  </si>
  <si>
    <t>DIANNY PATRICIA CONSUEGRA MORA</t>
  </si>
  <si>
    <t>dianny.consuegra@unionsaludvida.com</t>
  </si>
  <si>
    <t>88261537</t>
  </si>
  <si>
    <t>DIEGO ALEJANDRO PEREZ GRISALES</t>
  </si>
  <si>
    <t>1089718115</t>
  </si>
  <si>
    <t>DIEGO ALEJANDRO ROMERO JARAMILLO</t>
  </si>
  <si>
    <t>diego.romero@unionsaludvida.com</t>
  </si>
  <si>
    <t>1152713275</t>
  </si>
  <si>
    <t>DIEGO ALEXANDER ARROYAVE ORDOÑEZ</t>
  </si>
  <si>
    <t>diego.arroyave@unionsaludvida.com</t>
  </si>
  <si>
    <t>1042455156</t>
  </si>
  <si>
    <t>DIEGO LEONARDO HERNANDEZ BELTRAN</t>
  </si>
  <si>
    <t>diego.hernandez@unionsaludvida.com</t>
  </si>
  <si>
    <t>32845327</t>
  </si>
  <si>
    <t>DIOSOTIS MARIA GUTIERREZ HERNANDEZ</t>
  </si>
  <si>
    <t>diosotis.gutierrez@unionsaludvida.com</t>
  </si>
  <si>
    <t>59686809</t>
  </si>
  <si>
    <t>DOLIS ATHALA MOSQUERA DEL CASTILLO</t>
  </si>
  <si>
    <t>dolis.mosquera@unionsaludvida.com</t>
  </si>
  <si>
    <t>1018513750</t>
  </si>
  <si>
    <t>DONALDO ALBERTO DIAZ RUIZ</t>
  </si>
  <si>
    <t>donaldo.diaz@unionsaludvida.com</t>
  </si>
  <si>
    <t>71788548</t>
  </si>
  <si>
    <t>DOUGLAS ROJAS TRIANA</t>
  </si>
  <si>
    <t>douglas.triana@unionsaludvida.com</t>
  </si>
  <si>
    <t>1036633827</t>
  </si>
  <si>
    <t>DREIDY CATERINE CASTAÑEDA CATAÑO</t>
  </si>
  <si>
    <t>dreidy.castaneda@unionsaludvida.com</t>
  </si>
  <si>
    <t>1026134762</t>
  </si>
  <si>
    <t>EBELIN YALENA ARROYAVE MARTINEZ</t>
  </si>
  <si>
    <t>ebelin.arroyave@unionsaludvida.com</t>
  </si>
  <si>
    <t>1007508679</t>
  </si>
  <si>
    <t>EDER DAVID BRUN HOYOS</t>
  </si>
  <si>
    <t>eder.brun@unionsaludvida.com</t>
  </si>
  <si>
    <t>15701454</t>
  </si>
  <si>
    <t>EDER VICENTE SOCARRAS MENDOZA</t>
  </si>
  <si>
    <t>eder.socarras@unionsaludvida.com</t>
  </si>
  <si>
    <t>19380173</t>
  </si>
  <si>
    <t>EDGAR ARMANDO ARCE MONTENEGRO</t>
  </si>
  <si>
    <t>edgar.arce@unionsaludvida.com</t>
  </si>
  <si>
    <t>EDISON ALEJANDRO JARAMILLO LONDOÑO</t>
  </si>
  <si>
    <t>edison.jaramillo@unionsaludvida.com</t>
  </si>
  <si>
    <t>71379949</t>
  </si>
  <si>
    <t>EDISON ANDRES TAVERA AGUDELO</t>
  </si>
  <si>
    <t>edison.tavera@unionsaludvida.com</t>
  </si>
  <si>
    <t>1214716097</t>
  </si>
  <si>
    <t>EDISSON DANIEL BRAVO CORREA</t>
  </si>
  <si>
    <t>edisson.bravo@unionsaludvida.com</t>
  </si>
  <si>
    <t>15441296</t>
  </si>
  <si>
    <t>Lider Financiero</t>
  </si>
  <si>
    <t>EDWIN ANDRES ARIAS HENAO</t>
  </si>
  <si>
    <t>andres.arias@unionsaludvida.com</t>
  </si>
  <si>
    <t>1000659876</t>
  </si>
  <si>
    <t>EDWIN HERNANDEZ SERNA</t>
  </si>
  <si>
    <t>edwin.hernandez@unionsaludvida.com</t>
  </si>
  <si>
    <t>1068669772</t>
  </si>
  <si>
    <t>ELI SANDRITH FALON URAN</t>
  </si>
  <si>
    <t>eli.falon@unionsaludvida.com</t>
  </si>
  <si>
    <t>43797125</t>
  </si>
  <si>
    <t>ELIANA CRISTINA VERGARA CANO</t>
  </si>
  <si>
    <t>eliana.vergara@unionsaludvida.com</t>
  </si>
  <si>
    <t>1002059980</t>
  </si>
  <si>
    <t>ELIANA MARCELA DEL CASTILLO CASTILLA</t>
  </si>
  <si>
    <t>eliana.castillo@unionsaludvida.com</t>
  </si>
  <si>
    <t>1062426289</t>
  </si>
  <si>
    <t>ELIANA MARIA DIAZ SANTOS</t>
  </si>
  <si>
    <t>auxiliarsaludfabricato@unionsaludvida.com</t>
  </si>
  <si>
    <t>1003305205</t>
  </si>
  <si>
    <t>ELIANA MARIA PACHECO TOVIO</t>
  </si>
  <si>
    <t>eliana.pacheco@unionsaludvida.com</t>
  </si>
  <si>
    <t>1037636858</t>
  </si>
  <si>
    <t>Medicina Funcional Operativo</t>
  </si>
  <si>
    <t>ELIANA MUÑOZ ALZATE</t>
  </si>
  <si>
    <t>eliana.munoz@unionsaludvida.com</t>
  </si>
  <si>
    <t>1037585457</t>
  </si>
  <si>
    <t>ELIANA ORTEGA CIFUENTES</t>
  </si>
  <si>
    <t>lidercismanrique@unionsaludvida.com</t>
  </si>
  <si>
    <t>1129516553</t>
  </si>
  <si>
    <t>ELIETH DEL AMPARO VERGARA BUELVAS</t>
  </si>
  <si>
    <t>elieth.vergara@unionsaludvida.com</t>
  </si>
  <si>
    <t>1000291050</t>
  </si>
  <si>
    <t>ELISA HINCAPIE GOMEZ</t>
  </si>
  <si>
    <t>elisa.hincapie@unionsaludvida.com</t>
  </si>
  <si>
    <t>1007396185</t>
  </si>
  <si>
    <t>ELISA SOFIA REGINO LAFONT</t>
  </si>
  <si>
    <t>eliza.regino@unionsaludvida.com</t>
  </si>
  <si>
    <t>1001538862</t>
  </si>
  <si>
    <t>ELIZABETH ARIAS VELEZ</t>
  </si>
  <si>
    <t>elizabeth.arias@unionsaludvida.com</t>
  </si>
  <si>
    <t>1020408599</t>
  </si>
  <si>
    <t>Direccion Asistencial</t>
  </si>
  <si>
    <t>Director Asistencial</t>
  </si>
  <si>
    <t>ELIZABETH CORREA GONZALEZ</t>
  </si>
  <si>
    <t>direccionasistencial@unionsaludvida.com</t>
  </si>
  <si>
    <t>1002157926</t>
  </si>
  <si>
    <t>ELIZABETH MORALES MENDOZA</t>
  </si>
  <si>
    <t>elizabeth.mendoza@unionsaludvida.com</t>
  </si>
  <si>
    <t>1037658372</t>
  </si>
  <si>
    <t>ELKIN DAVID VARGAS WIENAND</t>
  </si>
  <si>
    <t>elkin.vargas@unionsaludvida.com</t>
  </si>
  <si>
    <t>1193454765</t>
  </si>
  <si>
    <t>ELLOTH ERNESTO TAMARA CONTRERAS</t>
  </si>
  <si>
    <t>elloth.tamara@sanvicenteces.com</t>
  </si>
  <si>
    <t>1002029407</t>
  </si>
  <si>
    <t>La Estrella Central De Servicios Sur</t>
  </si>
  <si>
    <t>EMANUEL DOMINGUEZ ARIZA</t>
  </si>
  <si>
    <t>emanuel.dominguez@unionsaludvida.com</t>
  </si>
  <si>
    <t>1001445343</t>
  </si>
  <si>
    <t>EMANUEL TOBON HERNANDEZ</t>
  </si>
  <si>
    <t>emanuel.tobon@unionsaludvida.com</t>
  </si>
  <si>
    <t>1048222166</t>
  </si>
  <si>
    <t>EMIL GONZALO NIETO SARMIENTO</t>
  </si>
  <si>
    <t>emil.nieto@unionsaludvida.com</t>
  </si>
  <si>
    <t>1214734834</t>
  </si>
  <si>
    <t>EMILY ANGEL MORALES</t>
  </si>
  <si>
    <t>emily.angel@unionsaludvida.com</t>
  </si>
  <si>
    <t>1095832090</t>
  </si>
  <si>
    <t>EMMA PATRICIA PERRONY CALVO</t>
  </si>
  <si>
    <t>emma.perrony@unionsaludvida.com</t>
  </si>
  <si>
    <t>1001947708</t>
  </si>
  <si>
    <t>EMMANUEL SANTIAGO BORRERO ALANDETE</t>
  </si>
  <si>
    <t>emmanuel.borrero@unionsaludvida.com</t>
  </si>
  <si>
    <t>1017241980</t>
  </si>
  <si>
    <t>EMMANUELA MOLINA TABARES</t>
  </si>
  <si>
    <t>emmanuela.molina@unionsaludvida.com</t>
  </si>
  <si>
    <t>1036677539</t>
  </si>
  <si>
    <t>ENIDT DAHIANA HOYOS MONTOYA</t>
  </si>
  <si>
    <t>enidt.montoya@unionsaludvida.com</t>
  </si>
  <si>
    <t>1083567466</t>
  </si>
  <si>
    <t>ERICK FABIAN SARMIENTO RUDOLF</t>
  </si>
  <si>
    <t>erick.sarmiento@unionsaludvida.com</t>
  </si>
  <si>
    <t>1037641153</t>
  </si>
  <si>
    <t>ERICK JAVIER ALFONSO GUTIERREZ</t>
  </si>
  <si>
    <t>erick.alfonso@unionsaludvida.com</t>
  </si>
  <si>
    <t>1143324569</t>
  </si>
  <si>
    <t>ERICKA PATRICIA PEREZ MONTES</t>
  </si>
  <si>
    <t>gestionasistencialurabasur@unionsaludvida.com</t>
  </si>
  <si>
    <t>1007315752</t>
  </si>
  <si>
    <t>ESTEBAN LOPEZ ECHEVERRI</t>
  </si>
  <si>
    <t>esteban.echeverri@unionsaludvida.com</t>
  </si>
  <si>
    <t>1001022890</t>
  </si>
  <si>
    <t>ESTEBAN MADERO MORALES</t>
  </si>
  <si>
    <t>esteban.madero@unionsaludvida.com</t>
  </si>
  <si>
    <t>1017251611</t>
  </si>
  <si>
    <t>ESTEFANIA CORAL ALZATE</t>
  </si>
  <si>
    <t>estefania.coral@unionsaludvida.com</t>
  </si>
  <si>
    <t>1000204850</t>
  </si>
  <si>
    <t>ESTEFANIA DE LOS RIOS DIAZ</t>
  </si>
  <si>
    <t>estefania.rios@unionsaludvida.com</t>
  </si>
  <si>
    <t>1013362577</t>
  </si>
  <si>
    <t>ESTEFANIA DEL CARMEN BELLO SALDARRIAGA</t>
  </si>
  <si>
    <t>estefania.bello@unionsaludvida.com</t>
  </si>
  <si>
    <t>1001479164</t>
  </si>
  <si>
    <t>ESTEFANIA GARCIA ARISTIZABAL</t>
  </si>
  <si>
    <t>auxiliarsaludlaceja@unionsaludvida.com</t>
  </si>
  <si>
    <t>1128227146</t>
  </si>
  <si>
    <t>ESTEFANIA REINA OSORIO</t>
  </si>
  <si>
    <t>estefania.reina@unionsaludvida.com</t>
  </si>
  <si>
    <t>1007501087</t>
  </si>
  <si>
    <t>ESTEFANIA SANCHEZ ORREGO</t>
  </si>
  <si>
    <t>estefania.orrego@unionsaludvida.com</t>
  </si>
  <si>
    <t>1152712928</t>
  </si>
  <si>
    <t>ESTEFANIA URIBE VALLEJO</t>
  </si>
  <si>
    <t>estefaniauribe.vallejo@unionsaludvida.com</t>
  </si>
  <si>
    <t>1001876338</t>
  </si>
  <si>
    <t>ESTEVEN ANDRES GUZMAN BARCELO</t>
  </si>
  <si>
    <t>esteven.guzman@unionsaludvida.com</t>
  </si>
  <si>
    <t>55301997</t>
  </si>
  <si>
    <t xml:space="preserve">ESTHER ARROYO RAMIREZ </t>
  </si>
  <si>
    <t>1140894739</t>
  </si>
  <si>
    <t>ESTHER LUCIA RODRIGUEZ MUÑOZ</t>
  </si>
  <si>
    <t>esther.rodriguez@unionsaludvida.com</t>
  </si>
  <si>
    <t>1042450421</t>
  </si>
  <si>
    <t>ESTIVEN DE JESUS CRESPO VIZCAINO</t>
  </si>
  <si>
    <t>3947228</t>
  </si>
  <si>
    <t>EUDES ENRIQUE SILVA PEREA</t>
  </si>
  <si>
    <t>eudessilva.contratista@unionsaludvida.com</t>
  </si>
  <si>
    <t>1143267842</t>
  </si>
  <si>
    <t>EUSEBIO ANDRES DE SALES ALVAREZ</t>
  </si>
  <si>
    <t>eusebio.sales@unionsaludvida.com</t>
  </si>
  <si>
    <t>1103113979</t>
  </si>
  <si>
    <t>EVERT DE JESUS PATERNINA TORRES</t>
  </si>
  <si>
    <t>evert.paternina@unionsaludvida.com</t>
  </si>
  <si>
    <t>1090446181</t>
  </si>
  <si>
    <t>FABIAN ANDRES PABON VERA</t>
  </si>
  <si>
    <t>fabian.pabon@unionsaludvida.com</t>
  </si>
  <si>
    <t>1007868236</t>
  </si>
  <si>
    <t>FABIAN EDUARDO PICON ABAUNZA</t>
  </si>
  <si>
    <t>fabian.picon@unionsaludvida.com</t>
  </si>
  <si>
    <t>1006512219</t>
  </si>
  <si>
    <t>FABIAN GUSTAVO OROZCO SANCHEZ</t>
  </si>
  <si>
    <t>fabian.sanchez@unionsaludvida.com</t>
  </si>
  <si>
    <t>1052095382</t>
  </si>
  <si>
    <t>FAISAL JOSE ABUABARA PALIS</t>
  </si>
  <si>
    <t>faisal.abuabara@unionsaludvida.com</t>
  </si>
  <si>
    <t>1000895774</t>
  </si>
  <si>
    <t>FEDERICO RINCON ACOSTA</t>
  </si>
  <si>
    <t>federico.rincon@unionsaludvida.com</t>
  </si>
  <si>
    <t>1143362107</t>
  </si>
  <si>
    <t>FELIPE ALFONSO PEREZ MOLINA</t>
  </si>
  <si>
    <t>felipe.perez@unionsaludvida.com</t>
  </si>
  <si>
    <t>1037630337</t>
  </si>
  <si>
    <t>FELIPE MARIN ROJAS</t>
  </si>
  <si>
    <t>felipe.marin@unionsaludvida.com</t>
  </si>
  <si>
    <t>1063141634</t>
  </si>
  <si>
    <t>FELIPE MIGUEL SEGURA TIRADO</t>
  </si>
  <si>
    <t>felipe.segura@unionsaludvida.com</t>
  </si>
  <si>
    <t>1001138954</t>
  </si>
  <si>
    <t>Comunicadora B</t>
  </si>
  <si>
    <t>FELIPE OSORNO VALENCIA</t>
  </si>
  <si>
    <t>felipe.osorno@unionsaludvida.com</t>
  </si>
  <si>
    <t>1062674280</t>
  </si>
  <si>
    <t>FELIX ANDRES MESA ARRIETA</t>
  </si>
  <si>
    <t>felix.mesa@unionsaludvida.com</t>
  </si>
  <si>
    <t>1001869835</t>
  </si>
  <si>
    <t>FERMIN DE JESUS MEDINA SARMIENTO</t>
  </si>
  <si>
    <t>fermin.medina@unionsaludvida.com</t>
  </si>
  <si>
    <t>72345510</t>
  </si>
  <si>
    <t>FERNANDO AUGUSTO MARULANDA LUBO</t>
  </si>
  <si>
    <t>fernando.marulanda@unionsaludvida.com</t>
  </si>
  <si>
    <t>1001817894</t>
  </si>
  <si>
    <t>FIORELLA VALENTINA HERRERA PEREZ</t>
  </si>
  <si>
    <t>fiorella.herrera@unionsaludvida.com</t>
  </si>
  <si>
    <t>19587133</t>
  </si>
  <si>
    <t>FRANCISCO SEGUNDO DE LA HOZ DE LA HOZ</t>
  </si>
  <si>
    <t>francisco.delahoz@unionsaludvida.com</t>
  </si>
  <si>
    <t>1004501582</t>
  </si>
  <si>
    <t>FREMIOTH FONSECA ZAMBRANO</t>
  </si>
  <si>
    <t>fremioth.fonseca@unionsaludvida.com</t>
  </si>
  <si>
    <t>1000213655</t>
  </si>
  <si>
    <t>GABRIELA GARCIA MOLINA</t>
  </si>
  <si>
    <t>gabriela.garcia@unionsaludvida.com</t>
  </si>
  <si>
    <t>1085325081</t>
  </si>
  <si>
    <t>GABRIELA GUZMAN INSUASTY</t>
  </si>
  <si>
    <t>gabriela.guzman@unionsaludvida.com</t>
  </si>
  <si>
    <t>1140878804</t>
  </si>
  <si>
    <t>GENESIS JULIETH BARRAZA HOYOS</t>
  </si>
  <si>
    <t>genesis.barraza@unionsaludvida.com</t>
  </si>
  <si>
    <t>1142948064</t>
  </si>
  <si>
    <t>GEORGE KHALIL RAMIREZ</t>
  </si>
  <si>
    <t>george.khalil@unionsaludvida.com</t>
  </si>
  <si>
    <t>1001017262</t>
  </si>
  <si>
    <t>GERALDIN VILLA CARDONA</t>
  </si>
  <si>
    <t>geraldin.villa@unionsaludvida.com</t>
  </si>
  <si>
    <t>1214743963</t>
  </si>
  <si>
    <t>GERALDINE DE LA CRUZ SANCHEZ</t>
  </si>
  <si>
    <t>geraldine.sanchez@unionsaludvida.com</t>
  </si>
  <si>
    <t>1143467389</t>
  </si>
  <si>
    <t>GERALDINE PALOMO AMAYA</t>
  </si>
  <si>
    <t>geraldine.palomo@unionsaludvida.com</t>
  </si>
  <si>
    <t>1001027297</t>
  </si>
  <si>
    <t>GERARDO DAVID HERRERA</t>
  </si>
  <si>
    <t>gerardo.herrera@unionsaludvida.com</t>
  </si>
  <si>
    <t>1100955074</t>
  </si>
  <si>
    <t>GERMAN EDUARDO FUENTES MARQUEZ</t>
  </si>
  <si>
    <t>german.fuentes@unionsaludvida.com</t>
  </si>
  <si>
    <t>1045678928</t>
  </si>
  <si>
    <t>GILBERTO RAFAEL DONADO MENDOZA</t>
  </si>
  <si>
    <t>gilberto.donado@unionsaludvida.com</t>
  </si>
  <si>
    <t>1064980903</t>
  </si>
  <si>
    <t>GINA PAOLA ARRIETA YANEZ</t>
  </si>
  <si>
    <t>gina.arrieta@unionsaludvida.com</t>
  </si>
  <si>
    <t>1083037694</t>
  </si>
  <si>
    <t>GINA PAOLA JIMENEZ ALFARO</t>
  </si>
  <si>
    <t>gina.jimenez@sanvicenteces.com</t>
  </si>
  <si>
    <t>1067286949</t>
  </si>
  <si>
    <t>GLADIS ELENA MARTINEZ MARQUEZ</t>
  </si>
  <si>
    <t>gladis.martinez@unionsaludvida.com</t>
  </si>
  <si>
    <t>1085304354</t>
  </si>
  <si>
    <t>GLORIA CATERINE PEREZ MINGAN</t>
  </si>
  <si>
    <t>gloria.perez@unionsaludvida.com</t>
  </si>
  <si>
    <t>43978621</t>
  </si>
  <si>
    <t>GLORIA ELENA CARRASCAL RESTREPO</t>
  </si>
  <si>
    <t>gloria.carrascal@unionsaludvida.com</t>
  </si>
  <si>
    <t>1077446648</t>
  </si>
  <si>
    <t>GLORIA INDIRA VALENCIA PINO</t>
  </si>
  <si>
    <t>gloria.valencia@unionsaludvida.com</t>
  </si>
  <si>
    <t>1037580961</t>
  </si>
  <si>
    <t>GLORIA MARIA MONTOYA PALACIO</t>
  </si>
  <si>
    <t>gloria.montoya@unionsaludvida.com</t>
  </si>
  <si>
    <t>21627281</t>
  </si>
  <si>
    <t>GLORIA PATRICIA RICAURTE GARCIA</t>
  </si>
  <si>
    <t>gestionasistenciallaceja@unionsaludvida.com</t>
  </si>
  <si>
    <t>1128439839</t>
  </si>
  <si>
    <t>GUSTAVO ADOLFO PINTO GONZALEZ</t>
  </si>
  <si>
    <t>gustavo.pinto@unionsaludvida.com</t>
  </si>
  <si>
    <t>1045744184</t>
  </si>
  <si>
    <t>HAROL JOSE PUPO RODRIGUEZ</t>
  </si>
  <si>
    <t>harol.pupo@unionsaludvida.com</t>
  </si>
  <si>
    <t>1144057947</t>
  </si>
  <si>
    <t>HAROLD LONDOÑO BEDOYA</t>
  </si>
  <si>
    <t>harold.londono@unionsaludvida.com</t>
  </si>
  <si>
    <t>1077473516</t>
  </si>
  <si>
    <t>HAROLD SANTIAGO CORDOBA CORDOBA</t>
  </si>
  <si>
    <t>harold.cordoba@unionsaludvida.com</t>
  </si>
  <si>
    <t>1077458502</t>
  </si>
  <si>
    <t>HEIDY VANESSA MOSQUERA GARCIA</t>
  </si>
  <si>
    <t>heidy.mosquera@unionsaludvida.com</t>
  </si>
  <si>
    <t>1001831979</t>
  </si>
  <si>
    <t>HEILEEN SOFIA TOUS DE AVILA</t>
  </si>
  <si>
    <t>heileen.tous@unionsaludvida.com</t>
  </si>
  <si>
    <t>1067859397</t>
  </si>
  <si>
    <t>HEISSEN GARCIA ROSARIO</t>
  </si>
  <si>
    <t>heissen.garcia@unionsaludvida.com</t>
  </si>
  <si>
    <t>1007453326</t>
  </si>
  <si>
    <t>HENNJHY JIRLEZA MOSQUERA MARTINEZ</t>
  </si>
  <si>
    <t>hennjhy.mosquera@unionsaludvida.com</t>
  </si>
  <si>
    <t>1007558931</t>
  </si>
  <si>
    <t>HENRY SAMUEL HURTADO QUEJADA</t>
  </si>
  <si>
    <t>henry.hurtado@unionsaludvida.com</t>
  </si>
  <si>
    <t>1045111242</t>
  </si>
  <si>
    <t>HERNAN FELIPE VALENCIA GOMEZ</t>
  </si>
  <si>
    <t>hernan.valencia@unionsaludvida.com</t>
  </si>
  <si>
    <t>71618485</t>
  </si>
  <si>
    <t>HERNAN RAMIRO MUÑOZ RIOS</t>
  </si>
  <si>
    <t>hernan.munoz@unionsaludvida.com</t>
  </si>
  <si>
    <t>1082854804</t>
  </si>
  <si>
    <t>HERNANDO ECHEVERRI PLATA</t>
  </si>
  <si>
    <t>hernando.echeverri@unionsaludvida.com</t>
  </si>
  <si>
    <t>1002213329</t>
  </si>
  <si>
    <t>HOLLY ALEJANDRA MARTINEZ DI FILIPPO</t>
  </si>
  <si>
    <t>holly.martinez@unionsaludvida.com</t>
  </si>
  <si>
    <t>72265366</t>
  </si>
  <si>
    <t>HUBER ALBERTO BUSTAMANTE SANCHEZ</t>
  </si>
  <si>
    <t>huber.bustamante@unionsaludvida.com</t>
  </si>
  <si>
    <t>1045710366</t>
  </si>
  <si>
    <t>HUGO ALFONSO ALCOCER ORTIZ</t>
  </si>
  <si>
    <t>hugo.alcocer@unionsaludvida.com</t>
  </si>
  <si>
    <t>19768312</t>
  </si>
  <si>
    <t>HUMBERTO GABRIEL TURIZO RODRIGUEZ</t>
  </si>
  <si>
    <t>humbertoturizo.contratista@unionsaludvida.com</t>
  </si>
  <si>
    <t>43571029</t>
  </si>
  <si>
    <t>INDIRA MARILUZ MENA RIOS</t>
  </si>
  <si>
    <t>indira.mena@unionsaludvida.com</t>
  </si>
  <si>
    <t>1090420169</t>
  </si>
  <si>
    <t>INGRID KATHERINE BUENO CHACIN</t>
  </si>
  <si>
    <t>ingrid.bueno@unionsaludvida.com</t>
  </si>
  <si>
    <t>1082943977</t>
  </si>
  <si>
    <t>IRAMA DE JESUS COLLANTE BALLEN</t>
  </si>
  <si>
    <t>irama.collante@unionsaludvida.com</t>
  </si>
  <si>
    <t>45560879</t>
  </si>
  <si>
    <t>IRINA PAOLA NIEBLES VARGAS</t>
  </si>
  <si>
    <t>irina.niebles@unionsaludvida.com</t>
  </si>
  <si>
    <t>1128434413</t>
  </si>
  <si>
    <t>IRIS SAMANTHA MUNERA TRUJILLO</t>
  </si>
  <si>
    <t>iris.munera@unionsaludvida.com</t>
  </si>
  <si>
    <t>1088349885</t>
  </si>
  <si>
    <t>IRLEN KARINA PRETHEL MOSQUERA</t>
  </si>
  <si>
    <t>irlen.prethel@unionsaludvida.com</t>
  </si>
  <si>
    <t>38682331</t>
  </si>
  <si>
    <t>ISABEL CRISTINA CAMACHO FERNANDEZ</t>
  </si>
  <si>
    <t>isabel.camacho@unionsaludvida.com</t>
  </si>
  <si>
    <t>1040976015</t>
  </si>
  <si>
    <t>ISABELA CANO OSORIO</t>
  </si>
  <si>
    <t>auxiliarsaludcalasanz@unionsaludvida.com</t>
  </si>
  <si>
    <t>1001901817</t>
  </si>
  <si>
    <t>ISABELA GIL CRUZ</t>
  </si>
  <si>
    <t>isabella.cruz@unionsaludvida.com</t>
  </si>
  <si>
    <t>1143880690</t>
  </si>
  <si>
    <t>ISABELA GUEVARA ESPAÑA</t>
  </si>
  <si>
    <t>isabela.guevara@unionsaludvida.com</t>
  </si>
  <si>
    <t>1039475332</t>
  </si>
  <si>
    <t>ISABELA RESTREPO LONDOÑO</t>
  </si>
  <si>
    <t>isabela.restrepo@unionsaludvida.com</t>
  </si>
  <si>
    <t>1193110507</t>
  </si>
  <si>
    <t>ISABELLA CADAVID OCHOA</t>
  </si>
  <si>
    <t>isabella.cadavid@unionsaludvida.com</t>
  </si>
  <si>
    <t>1001660287</t>
  </si>
  <si>
    <t>ISABELLA LONDOÑO CORDOBA</t>
  </si>
  <si>
    <t>auxiliarsaludbuenosaires@unionsaludvida.com</t>
  </si>
  <si>
    <t>1047359367</t>
  </si>
  <si>
    <t>ISABELLA RIASCOS ASENDRA</t>
  </si>
  <si>
    <t>isabella.riascos@unionsaludvida.com</t>
  </si>
  <si>
    <t>1001370048</t>
  </si>
  <si>
    <t>ISABELLA VENEGAS MONTOYA</t>
  </si>
  <si>
    <t>isabella.venegas@unionsaludvida.com</t>
  </si>
  <si>
    <t>1036656151</t>
  </si>
  <si>
    <t>ISABELLE GIL MARULANDA</t>
  </si>
  <si>
    <t>isabelle.gil@unionsaludvida.com</t>
  </si>
  <si>
    <t>1085297937</t>
  </si>
  <si>
    <t>IVAN DARIO BANGUERA CUENCA</t>
  </si>
  <si>
    <t>ivan.banguera@unionsaludvida.com</t>
  </si>
  <si>
    <t>1083031242</t>
  </si>
  <si>
    <t>IVANA BONFANTE PICO</t>
  </si>
  <si>
    <t>ivana.bonfante@unionsaludvida.com</t>
  </si>
  <si>
    <t>1034296571</t>
  </si>
  <si>
    <t>IVANA PATRICIA TEJADA VALENCIA</t>
  </si>
  <si>
    <t>ivana.tejeda@unionsaludvida.com</t>
  </si>
  <si>
    <t>50927877</t>
  </si>
  <si>
    <t>IVONNE CECILIA VARGAS SANCHEZ</t>
  </si>
  <si>
    <t>ivonne.vargas@unionsaludvida.com</t>
  </si>
  <si>
    <t>1017237374</t>
  </si>
  <si>
    <t>JACOBO SENEN SOLANO DURAN</t>
  </si>
  <si>
    <t>jacobo.solano@unionsaludvida.com</t>
  </si>
  <si>
    <t>1036655590</t>
  </si>
  <si>
    <t>JAIME ALBERTO JUDEX BALAGUERA</t>
  </si>
  <si>
    <t>jaime.judex@unionsaludvida.com</t>
  </si>
  <si>
    <t>1065629553</t>
  </si>
  <si>
    <t>JAIRO DAVID DAZA PLATA</t>
  </si>
  <si>
    <t>jairo.daza@unionsaludvida.com</t>
  </si>
  <si>
    <t>1031152607</t>
  </si>
  <si>
    <t>JAIRO ENRIQUE FORERO GOMEZ</t>
  </si>
  <si>
    <t>jairo.forero@unionsaludvida.com</t>
  </si>
  <si>
    <t>1002971454</t>
  </si>
  <si>
    <t>JAIRO JOSE PARRA MUÑOZ</t>
  </si>
  <si>
    <t>jairo.munoz@unionsaludvida.com</t>
  </si>
  <si>
    <t>1143387922</t>
  </si>
  <si>
    <t>JAIRO MIGUEL OVIEDO FLOREZ</t>
  </si>
  <si>
    <t>jairo.oviedo@unionsaludvida.com</t>
  </si>
  <si>
    <t>1143345637</t>
  </si>
  <si>
    <t>JAISSYR DE JESUS MEDINA PEREZ</t>
  </si>
  <si>
    <t>jaissyr.medina@unionsaludvida.com</t>
  </si>
  <si>
    <t>1126254000</t>
  </si>
  <si>
    <t>JANNELVA ROXANA DELGADO RODRIGUEZ</t>
  </si>
  <si>
    <t>jannelva.delgado@unionsaludvida.com</t>
  </si>
  <si>
    <t>1037645530</t>
  </si>
  <si>
    <t>Proyectos Valle De Aburra Asis</t>
  </si>
  <si>
    <t>JAVIER MADRIGAL MEJIA</t>
  </si>
  <si>
    <t>javier.madrigal@unionsaludvida.com</t>
  </si>
  <si>
    <t>44005917</t>
  </si>
  <si>
    <t>JEANETH NATALI ZAPATA LOPEZ</t>
  </si>
  <si>
    <t>janet.zapata@unionsaludvida.com</t>
  </si>
  <si>
    <t>98667478</t>
  </si>
  <si>
    <t>JEIBER HERNAN ZAPATA MORA</t>
  </si>
  <si>
    <t>jeiber.zapata@unionsaludvida.com</t>
  </si>
  <si>
    <t>1098774597</t>
  </si>
  <si>
    <t>JEISON DAVID OROZCO BALLESTEROS</t>
  </si>
  <si>
    <t>jeison.orozco@unionsaludvida.com</t>
  </si>
  <si>
    <t>1002190561</t>
  </si>
  <si>
    <t>JENIFER ALEJANDRA GIRALDO CIRO</t>
  </si>
  <si>
    <t>jenifer.giraldo@unionsaludvida.com</t>
  </si>
  <si>
    <t>1039464310</t>
  </si>
  <si>
    <t>JENIFFER HIDALGO SIERRA</t>
  </si>
  <si>
    <t>lidercissabaneta@unionsaludvida.com</t>
  </si>
  <si>
    <t>1067925424</t>
  </si>
  <si>
    <t>Carepa Operativo</t>
  </si>
  <si>
    <t>JENNIFER GUZMAN MARTINEZ</t>
  </si>
  <si>
    <t>jennifer.guzman@unionsaludvida.com</t>
  </si>
  <si>
    <t>1110536938</t>
  </si>
  <si>
    <t>JENNIFER PAOLA MARTINEZ PARRA</t>
  </si>
  <si>
    <t>paola.martinez@unionsaludvida.com</t>
  </si>
  <si>
    <t>1037668071</t>
  </si>
  <si>
    <t>JENNIFER SANCHEZ CORTES</t>
  </si>
  <si>
    <t>jennifer.sanchez@unionsaludvida.com</t>
  </si>
  <si>
    <t>1129540526</t>
  </si>
  <si>
    <t>Chigorodo Centro</t>
  </si>
  <si>
    <t>JENNIFER SOFIA RAMOS CANDANOZA</t>
  </si>
  <si>
    <t>jennifer.ramos@unionsaludvida.com</t>
  </si>
  <si>
    <t>1018466443</t>
  </si>
  <si>
    <t>JENNY GUEVARA MORENO</t>
  </si>
  <si>
    <t>jenny.guevara@unionsaludvida.com</t>
  </si>
  <si>
    <t>1040739823</t>
  </si>
  <si>
    <t>JENNYFER ARIAS ALVAREZ</t>
  </si>
  <si>
    <t>liderciscristorey@unionsaludvida.com</t>
  </si>
  <si>
    <t>1235257142</t>
  </si>
  <si>
    <t>JERALDIN ANYIBELIS UGARTE NIEVES</t>
  </si>
  <si>
    <t>jeraldin.ugarte@unionsaludvida.com</t>
  </si>
  <si>
    <t>1036621542</t>
  </si>
  <si>
    <t>JESSICA ALEJANDRA HERRERA MARIN</t>
  </si>
  <si>
    <t>jessica.herrera@unionsaludvida.com</t>
  </si>
  <si>
    <t>1075292157</t>
  </si>
  <si>
    <t>JESSICA NATALIA GONZALEZ DIAZ</t>
  </si>
  <si>
    <t>jessica.gonzalez@unionsaludvida.com</t>
  </si>
  <si>
    <t>1077478167</t>
  </si>
  <si>
    <t>JESUS ALONSO BOLAÑOS CAMPAZ</t>
  </si>
  <si>
    <t>jesus.bolanos@unionsaludvida.com</t>
  </si>
  <si>
    <t>1043022975</t>
  </si>
  <si>
    <t>JESUS DAVID CERVANTES BRAVO</t>
  </si>
  <si>
    <t>jesus.cervantes@unionsaludvida.com</t>
  </si>
  <si>
    <t>1094269515</t>
  </si>
  <si>
    <t>JESUS JOSE MARENCO CABALLERO</t>
  </si>
  <si>
    <t>jesus.marenco@unionsaludvida.com</t>
  </si>
  <si>
    <t>1005709177</t>
  </si>
  <si>
    <t>JESUS MATEO GONZALEZ ZAPA</t>
  </si>
  <si>
    <t>jesus.gonzalez@unionsaludvida.com</t>
  </si>
  <si>
    <t>1128419360</t>
  </si>
  <si>
    <t>JHENIFE JHOANA ZAPATA MOLINA</t>
  </si>
  <si>
    <t>auxiliarsaludsantamaria@unionsaludvida.com</t>
  </si>
  <si>
    <t>1007494795</t>
  </si>
  <si>
    <t>JHON ALEXANDER HIGUITA MOSQUERA</t>
  </si>
  <si>
    <t>gestionasistencialurabanorte@unionsaludvida.com</t>
  </si>
  <si>
    <t>1002187393</t>
  </si>
  <si>
    <t>JHON CARLOS CAVADIAS CABEZA</t>
  </si>
  <si>
    <t>jhon.cavadias@unionsaludvida.com</t>
  </si>
  <si>
    <t>1037580974</t>
  </si>
  <si>
    <t>JHON EDWIN MENESES CASTAÑO</t>
  </si>
  <si>
    <t>jhon.meneses@unionsaludvida.com</t>
  </si>
  <si>
    <t>1037644970</t>
  </si>
  <si>
    <t>JHON ERICK RAMIREZ LOPEZ</t>
  </si>
  <si>
    <t>jhon.ramirez@unionsaludvida.com</t>
  </si>
  <si>
    <t>1067864151</t>
  </si>
  <si>
    <t>JHONNIER ACOSTA FERIA</t>
  </si>
  <si>
    <t>jhonnier.acosta@unionsaludvida.com</t>
  </si>
  <si>
    <t>1052096702</t>
  </si>
  <si>
    <t>JHONNIER RAFAEL VILLERO SUAREZ</t>
  </si>
  <si>
    <t>jhonnier.villero@unionsaludvida.com</t>
  </si>
  <si>
    <t>1002210045</t>
  </si>
  <si>
    <t>JHONNY DE JESUS ROMERO PEREZ</t>
  </si>
  <si>
    <t>jhonny.romero@unionsaludvida.com</t>
  </si>
  <si>
    <t>70927211</t>
  </si>
  <si>
    <t>JHONY ANDRES AGUDELO VELA</t>
  </si>
  <si>
    <t>andres.agudelo@unionsaludvida.com</t>
  </si>
  <si>
    <t>1037525217</t>
  </si>
  <si>
    <t>JIMENA OCHOA ARBELAEZ</t>
  </si>
  <si>
    <t>jimena.ochoa@unionsaludvida.com</t>
  </si>
  <si>
    <t>1000918755</t>
  </si>
  <si>
    <t>JOAN MANUEL MARTINEZ PEREZ</t>
  </si>
  <si>
    <t>joan.martinez@unionsaludvida.com</t>
  </si>
  <si>
    <t>1005482654</t>
  </si>
  <si>
    <t>JOHAN ANDREY VANEGAS PORRAS</t>
  </si>
  <si>
    <t>johan.vanegas@unionsaludvida.com</t>
  </si>
  <si>
    <t>77097447</t>
  </si>
  <si>
    <t>JOHAN RAMIRO AROCA ESPINOSA</t>
  </si>
  <si>
    <t>johan.aroca@unionsaludvida.com</t>
  </si>
  <si>
    <t>1028005084</t>
  </si>
  <si>
    <t>JOHAN SEBASTIAN BARRIENTOS CUARTAS</t>
  </si>
  <si>
    <t>johan.barrientos@unionsaludvida.com</t>
  </si>
  <si>
    <t>1020465057</t>
  </si>
  <si>
    <t>JOHANA YULIETH GUZMAN RAMOS</t>
  </si>
  <si>
    <t>johana.guzman@unionsaludvida.com</t>
  </si>
  <si>
    <t>1061771308</t>
  </si>
  <si>
    <t>JOHANN EDUARDO MUÑOZ ENCARNACION</t>
  </si>
  <si>
    <t>johann.munoz@unionsaludvida.com</t>
  </si>
  <si>
    <t>1143400668</t>
  </si>
  <si>
    <t>JOHELYS CARMELITA DORIA ATENCIA</t>
  </si>
  <si>
    <t>johelys.doria@sanvicenteces.com</t>
  </si>
  <si>
    <t>8160602</t>
  </si>
  <si>
    <t>JOHN FREDY RAMIREZ RIOS</t>
  </si>
  <si>
    <t>john.ramirez@unionsaludvida.com</t>
  </si>
  <si>
    <t>98480228</t>
  </si>
  <si>
    <t>JOHN JAIRO BOHORQUEZ CARRILLO</t>
  </si>
  <si>
    <t>john.bohorquez@unionsaludvida.com</t>
  </si>
  <si>
    <t>98629310</t>
  </si>
  <si>
    <t>JOHN JAIRO MARIN CASTRILLON</t>
  </si>
  <si>
    <t>john.marin@unionsaludvida.com</t>
  </si>
  <si>
    <t>1000567846</t>
  </si>
  <si>
    <t>JONATHAN ESTEBAN BERRIO BERRIO</t>
  </si>
  <si>
    <t>auxiliarsaluditagui@unionsaludvida.com</t>
  </si>
  <si>
    <t>1152222861</t>
  </si>
  <si>
    <t>JOPHIEL SEBASTIAN CORRALES JARAMILLO</t>
  </si>
  <si>
    <t>jophiel.corrales@unionsaludvida.com</t>
  </si>
  <si>
    <t>70724329</t>
  </si>
  <si>
    <t xml:space="preserve">JORGE ALBEIRO OROZCO </t>
  </si>
  <si>
    <t>jorge.orozco@unionsaludvida.com</t>
  </si>
  <si>
    <t>1143395321</t>
  </si>
  <si>
    <t>JORGE ANDRES ALVAREZ TAYLOR</t>
  </si>
  <si>
    <t>jorge.alvarez@unionsaludvida.com</t>
  </si>
  <si>
    <t>1082960369</t>
  </si>
  <si>
    <t>JORGE ANDRES BARRIOS DURAN</t>
  </si>
  <si>
    <t>jorge.barrios@unionsaludvida.com</t>
  </si>
  <si>
    <t>1143370401</t>
  </si>
  <si>
    <t>JORGE ANDRES QUIROZ DEL RISCO</t>
  </si>
  <si>
    <t>jorge.quiroz@unionsaludvida.com</t>
  </si>
  <si>
    <t>1045695688</t>
  </si>
  <si>
    <t>JORGE ARMANDO ANDRADE PRADA</t>
  </si>
  <si>
    <t>jorge.andrade@unionsaludvida.com</t>
  </si>
  <si>
    <t>1094275204</t>
  </si>
  <si>
    <t>JORGE DAVID JAIMES MARTINEZ</t>
  </si>
  <si>
    <t>jorge.jaimes@unionsaludvida.com</t>
  </si>
  <si>
    <t>1098686151</t>
  </si>
  <si>
    <t>JORGE IVAN MOLINA FARFAN</t>
  </si>
  <si>
    <t>jorge.molina@unionsaludvida.com</t>
  </si>
  <si>
    <t>72358092</t>
  </si>
  <si>
    <t>JOSE ALBERTO CABARCA RUA</t>
  </si>
  <si>
    <t>jose.cabarcas@unionsaludvida.com</t>
  </si>
  <si>
    <t>1122417582</t>
  </si>
  <si>
    <t>JOSE ALBERTO CUELLO BELLO</t>
  </si>
  <si>
    <t>jose.cuello@unionsaludvida.com</t>
  </si>
  <si>
    <t>1047365271</t>
  </si>
  <si>
    <t>JOSE ALEJANDRO ARAUJO BELLIO</t>
  </si>
  <si>
    <t>jose.araujo@unionsaludvida.com</t>
  </si>
  <si>
    <t>72263582</t>
  </si>
  <si>
    <t>JOSE ALEJANDRO JAUREGUI GONZALEZ</t>
  </si>
  <si>
    <t>jose.jauregui@unionsaludvida.com</t>
  </si>
  <si>
    <t>1000409122</t>
  </si>
  <si>
    <t>JOSE ALEJANDRO MUÑOZ CARMONA</t>
  </si>
  <si>
    <t>jose.carmona@unionsaludvida.com</t>
  </si>
  <si>
    <t>1047473442</t>
  </si>
  <si>
    <t>JOSE ALFONSO YAGUNA GUERRA</t>
  </si>
  <si>
    <t>jose.yaguna@unionsaludvida.com</t>
  </si>
  <si>
    <t>1065855583</t>
  </si>
  <si>
    <t>JOSE ANDRES MARIN OLMOS</t>
  </si>
  <si>
    <t>jose.olmos@unionsaludvida.com</t>
  </si>
  <si>
    <t>JOSE ARMANDO GONZALEZ MEJIA</t>
  </si>
  <si>
    <t>jose.gonzalez@unionsaludvida.com</t>
  </si>
  <si>
    <t>1065013348</t>
  </si>
  <si>
    <t>JOSE CARLOS MONTES CORREA</t>
  </si>
  <si>
    <t>jose.montes@unionsaludvida.com</t>
  </si>
  <si>
    <t>1017267159</t>
  </si>
  <si>
    <t>JOSE DANIEL AGUDELO DURAN</t>
  </si>
  <si>
    <t>jose.agudelo@unionsaludvida.com</t>
  </si>
  <si>
    <t>1193073494</t>
  </si>
  <si>
    <t>JOSE DANIEL PEREZ OYOLA</t>
  </si>
  <si>
    <t>jose.oyola@unionsaludvida.com</t>
  </si>
  <si>
    <t>1152209652</t>
  </si>
  <si>
    <t>JOSE DANIEL SALAZAR OSORIO</t>
  </si>
  <si>
    <t>jose.salazar@unionsaludvida.com</t>
  </si>
  <si>
    <t>1019121309</t>
  </si>
  <si>
    <t>JOSE DAVID MORENO PARRA</t>
  </si>
  <si>
    <t>jose.parra@unionsaludvida.com</t>
  </si>
  <si>
    <t>1037633000</t>
  </si>
  <si>
    <t>JOSE FERNANDO HENAO URIBE</t>
  </si>
  <si>
    <t>lidercissaman@unionsaludvida.com</t>
  </si>
  <si>
    <t>1061785909</t>
  </si>
  <si>
    <t>JOSE FERNANDO HOYOS URBANO</t>
  </si>
  <si>
    <t>jose.hoyos@unionsaludvida.com</t>
  </si>
  <si>
    <t>1143390973</t>
  </si>
  <si>
    <t>JOSE FERNANDO ORDOSGOITIA MORALES</t>
  </si>
  <si>
    <t>jose.ordosgoitia@unionsaludvida.com</t>
  </si>
  <si>
    <t>8854889</t>
  </si>
  <si>
    <t>JOSE JOAQUIN POLO VILLARREAL</t>
  </si>
  <si>
    <t>jose.polo@unionsaludvida.com</t>
  </si>
  <si>
    <t>1235041757</t>
  </si>
  <si>
    <t>JOSE JUAN FRANCISCO MIRANDA LOPEZ</t>
  </si>
  <si>
    <t>francisco.miranda@unionsaludvida.com</t>
  </si>
  <si>
    <t>1192769686</t>
  </si>
  <si>
    <t>JOSE JUAN MURGAS DELUQUE</t>
  </si>
  <si>
    <t>jose.murgas@unionsaludvida.com</t>
  </si>
  <si>
    <t>1192919538</t>
  </si>
  <si>
    <t>JOSE LUIS MARIN REYES</t>
  </si>
  <si>
    <t>jose.reyes@unionsaludvida.com</t>
  </si>
  <si>
    <t>98651569</t>
  </si>
  <si>
    <t>JOSE LUIS MARIN VASQUEZ</t>
  </si>
  <si>
    <t>jose.vasquez@unionsaludvida.com</t>
  </si>
  <si>
    <t>1193522574</t>
  </si>
  <si>
    <t>JOSE MANUEL GIRALDO CABARCAS</t>
  </si>
  <si>
    <t>jose.giraldo@unionsaludvida.com</t>
  </si>
  <si>
    <t>1003190674</t>
  </si>
  <si>
    <t>JOSE MANUEL PAEZ MESTRA</t>
  </si>
  <si>
    <t>jose.paez@unionsaludvida.com</t>
  </si>
  <si>
    <t>1002023939</t>
  </si>
  <si>
    <t>JOSEPH STWARD CONTRERAS TESILLO</t>
  </si>
  <si>
    <t>joseph.contreras@unionsaludvida.com</t>
  </si>
  <si>
    <t>1000348983</t>
  </si>
  <si>
    <t>JOSHUA AMED RODRIGUEZ SERRANO</t>
  </si>
  <si>
    <t>joshua.rodriguez@unionsaludvida.com</t>
  </si>
  <si>
    <t>88030132</t>
  </si>
  <si>
    <t>JOUBERT LEOPOLDO ALVAREZ MOGOLLON</t>
  </si>
  <si>
    <t>joubert.alvarez@unionsaludvida.com</t>
  </si>
  <si>
    <t>1001003778</t>
  </si>
  <si>
    <t>JUAN ANDRES ARAQUE PANESSO</t>
  </si>
  <si>
    <t>juan.panesso@unionsaludvida.com</t>
  </si>
  <si>
    <t>1037574158</t>
  </si>
  <si>
    <t>JUAN CAMILO BERTEL MERCADO</t>
  </si>
  <si>
    <t>juan.bertel@unionsaludvida.com</t>
  </si>
  <si>
    <t>1143168832</t>
  </si>
  <si>
    <t>JUAN CAMILO GONZALEZ MEZA</t>
  </si>
  <si>
    <t>juan.meza@unionsaludvida.com</t>
  </si>
  <si>
    <t>1152471533</t>
  </si>
  <si>
    <t>JUAN CAMILO HERRERA PEREZ</t>
  </si>
  <si>
    <t>juan.herrera@unionsaludvida.com</t>
  </si>
  <si>
    <t>1035433669</t>
  </si>
  <si>
    <t>JUAN CAMILO MUÑOZ ORREGO</t>
  </si>
  <si>
    <t>camilo.munoz@unionsaludvida.com</t>
  </si>
  <si>
    <t>1037654902</t>
  </si>
  <si>
    <t>JUAN CAMILO VALENCIA ECHEVERRY</t>
  </si>
  <si>
    <t>juan.valencia@unionsaludvida.com</t>
  </si>
  <si>
    <t>98564502</t>
  </si>
  <si>
    <t>JUAN CRISTOBAL PEREZ MEJIA</t>
  </si>
  <si>
    <t>juan.perez@unionsaludvida.com</t>
  </si>
  <si>
    <t>1061813045</t>
  </si>
  <si>
    <t>JUAN DAVID COLORADO VITONCO</t>
  </si>
  <si>
    <t>juan.colorado@unionsaludvida.com</t>
  </si>
  <si>
    <t>1045715833</t>
  </si>
  <si>
    <t>JUAN DAVID MARENCO SALAZAR</t>
  </si>
  <si>
    <t>juan.marenco@unionsaludvida.com</t>
  </si>
  <si>
    <t>1001804332</t>
  </si>
  <si>
    <t>JUAN DAVID REYES ALTAMAR</t>
  </si>
  <si>
    <t>juan.altamar@unionsaludvida.com</t>
  </si>
  <si>
    <t>1040736904</t>
  </si>
  <si>
    <t>JUAN DAVID ROMERO MARIN</t>
  </si>
  <si>
    <t>juanromero.contratista@unionsaludvida.com</t>
  </si>
  <si>
    <t>1128437275</t>
  </si>
  <si>
    <t>JUAN DAVID VILLA CORDOBA</t>
  </si>
  <si>
    <t>juan.villa@unionsaludvida.com</t>
  </si>
  <si>
    <t>1067886560</t>
  </si>
  <si>
    <t>JUAN EDUARDO MARTINEZ LOPEZ</t>
  </si>
  <si>
    <t>juanmartinez.contratista@unionsaludvida.com</t>
  </si>
  <si>
    <t>1234097071</t>
  </si>
  <si>
    <t>JUAN ESTEBAN ARAQUE TORRADO</t>
  </si>
  <si>
    <t>juan.araque@unionsaludvida.com</t>
  </si>
  <si>
    <t>1039448887</t>
  </si>
  <si>
    <t>JUAN ESTEBAN SALDARRIAGA HENAO</t>
  </si>
  <si>
    <t>juan.henao@unionsaludvida.com</t>
  </si>
  <si>
    <t>1036962119</t>
  </si>
  <si>
    <t>JUAN FELIPE DIAZ MENDOZA</t>
  </si>
  <si>
    <t>juan.mendoza@unionsaludvida.com</t>
  </si>
  <si>
    <t>1193104616</t>
  </si>
  <si>
    <t>JUAN FELIPE MEJIA CASTRO</t>
  </si>
  <si>
    <t>juan.mejia@unionsaludvida.com</t>
  </si>
  <si>
    <t>1017237802</t>
  </si>
  <si>
    <t>JUAN FELIPE ZULUAGA QUINTERO</t>
  </si>
  <si>
    <t>juan.zuluaga@unionsaludvida.com</t>
  </si>
  <si>
    <t>1152198083</t>
  </si>
  <si>
    <t>JUAN FERNANDO RESTREPO HINCAPIE</t>
  </si>
  <si>
    <t>juan.restrepo@unionsaludvida.com</t>
  </si>
  <si>
    <t>1001017551</t>
  </si>
  <si>
    <t>JUAN GUILLERMO VILLA BERRIO</t>
  </si>
  <si>
    <t>juan.berrio@unionsaludvida.com</t>
  </si>
  <si>
    <t>1001778675</t>
  </si>
  <si>
    <t>JUAN JOSE CONTRERAS MERCADO</t>
  </si>
  <si>
    <t>juan.contreras@unionsaludvida.com</t>
  </si>
  <si>
    <t>1035972069</t>
  </si>
  <si>
    <t>JUAN JOSE OSORIO MOLINA</t>
  </si>
  <si>
    <t>jose.osorio@unionsaludvida.com</t>
  </si>
  <si>
    <t>1007815749</t>
  </si>
  <si>
    <t>JUAN JOSE SERNA VANEGAS</t>
  </si>
  <si>
    <t>juan.vanegas@unionsaludvida.com</t>
  </si>
  <si>
    <t>1000654456</t>
  </si>
  <si>
    <t>JUAN JOSE VASQUEZ PUERTA</t>
  </si>
  <si>
    <t>juan.vasquez@unionsaludvida.com</t>
  </si>
  <si>
    <t>1036682089</t>
  </si>
  <si>
    <t>JUAN JOSE VELASQUEZ URIBE</t>
  </si>
  <si>
    <t>juan.velasquez@unionsaludvida.com</t>
  </si>
  <si>
    <t>1193099799</t>
  </si>
  <si>
    <t>JUAN LEONARDO CHADID CONTRERAS</t>
  </si>
  <si>
    <t>juan.chadid@unionsaludvida.com</t>
  </si>
  <si>
    <t>1143373273</t>
  </si>
  <si>
    <t>JUAN MARTIN SERNA HERNANDEZ</t>
  </si>
  <si>
    <t>juan.serna@unionsaludvida.com</t>
  </si>
  <si>
    <t>1028033236</t>
  </si>
  <si>
    <t>JUAN PABLO CAMARGO VÉLEZ</t>
  </si>
  <si>
    <t>juan.camargo@unionsaludvida.com</t>
  </si>
  <si>
    <t>1036611388</t>
  </si>
  <si>
    <t>JUAN PABLO ESTRADA SANCHEZ</t>
  </si>
  <si>
    <t>gestionasistencialporvenir@unionsaludvida.com</t>
  </si>
  <si>
    <t>1000098388</t>
  </si>
  <si>
    <t>JUAN PABLO GONGORA DIAZ</t>
  </si>
  <si>
    <t>juan.gongora@unionsaludvida.com</t>
  </si>
  <si>
    <t>1037664672</t>
  </si>
  <si>
    <t>JUAN PABLO MONTES BUILES</t>
  </si>
  <si>
    <t>juan.builes@unionsaludvida.com</t>
  </si>
  <si>
    <t>1003714250</t>
  </si>
  <si>
    <t>JUAN PABLO NEGRETE PADILLA</t>
  </si>
  <si>
    <t>juan.negrete@unionsaludvida.com</t>
  </si>
  <si>
    <t>1040184262</t>
  </si>
  <si>
    <t>El Retiro</t>
  </si>
  <si>
    <t>JUAN PABLO SERNA WILCHES</t>
  </si>
  <si>
    <t>juan.wilches@unionsaludvida.com</t>
  </si>
  <si>
    <t>1000874041</t>
  </si>
  <si>
    <t>Analista de TIC - A</t>
  </si>
  <si>
    <t>JUAN PABLO VASQUEZ TOBON</t>
  </si>
  <si>
    <t>analistatic2@unionsaludvida.com</t>
  </si>
  <si>
    <t>1037634743</t>
  </si>
  <si>
    <t>JUAN SANTIAGO ZULUAICA PEREZ</t>
  </si>
  <si>
    <t>juan.zuluaica@unionsaludvida.com</t>
  </si>
  <si>
    <t>1003045926</t>
  </si>
  <si>
    <t>JUAN SEBASTIAN ATENCIA GOMEZ</t>
  </si>
  <si>
    <t>juan.atencia@unionsaludvida.com</t>
  </si>
  <si>
    <t>1036663924</t>
  </si>
  <si>
    <t>JUAN SEBASTIAN POSADA RESTREPO</t>
  </si>
  <si>
    <t>juan.posada@unionsaludvida.com</t>
  </si>
  <si>
    <t>1152468917</t>
  </si>
  <si>
    <t>Amaga</t>
  </si>
  <si>
    <t>JUAN SEBASTIAN SERNA ASPRILLA</t>
  </si>
  <si>
    <t>juan.asprilla@unionsaludvida.com</t>
  </si>
  <si>
    <t>45691521</t>
  </si>
  <si>
    <t>JUDITH MORENO JULIO</t>
  </si>
  <si>
    <t>judith.julio@unionsaludvida.com</t>
  </si>
  <si>
    <t>1036619812</t>
  </si>
  <si>
    <t>JULIAN DAVID CASTAÑEDA DAVILA</t>
  </si>
  <si>
    <t>julian.castaneda@unionsaludvida.com</t>
  </si>
  <si>
    <t>1152439743</t>
  </si>
  <si>
    <t>JULIAN DAVID FRANCO GRANADA</t>
  </si>
  <si>
    <t>julian.franco@unionsaludvida.com</t>
  </si>
  <si>
    <t>1037659158</t>
  </si>
  <si>
    <t>JULIANA AHUMADA DUQUE</t>
  </si>
  <si>
    <t>juliana.ahumada@unionsaludvida.com</t>
  </si>
  <si>
    <t>1017168891</t>
  </si>
  <si>
    <t>JULIANA ESCOBAR BUILES</t>
  </si>
  <si>
    <t>juliana.builes@unionsaludvida.com</t>
  </si>
  <si>
    <t>1152459999</t>
  </si>
  <si>
    <t>JULIANA HINCAPIE MONSALVE</t>
  </si>
  <si>
    <t>juliana.hincapie@unionsaludvida.com</t>
  </si>
  <si>
    <t>1000893695</t>
  </si>
  <si>
    <t>JULIANA LONDOÑO BEDOYA</t>
  </si>
  <si>
    <t>juliana.londono@unionsaludvida.com</t>
  </si>
  <si>
    <t>1017259589</t>
  </si>
  <si>
    <t>JULIANA MEJIA PALACIO</t>
  </si>
  <si>
    <t>juliana.mejia@unionsaludvida.com</t>
  </si>
  <si>
    <t>1005418818</t>
  </si>
  <si>
    <t>JULIANA NUÑEZ NUÑEZ</t>
  </si>
  <si>
    <t>juliana.nunez@unionsaludvida.com</t>
  </si>
  <si>
    <t>43640997</t>
  </si>
  <si>
    <t xml:space="preserve">JULIANA PELAEZ QUINTERO </t>
  </si>
  <si>
    <t>julianapelaez.contratista@unionsaludvida.com</t>
  </si>
  <si>
    <t>1027966162</t>
  </si>
  <si>
    <t>JULIETH KARINA GONZALEZ GUZMAN</t>
  </si>
  <si>
    <t>auxiliarsaludurabasur@unionsaludvida.com</t>
  </si>
  <si>
    <t>1128424306</t>
  </si>
  <si>
    <t>Profesional en Seguridad y Salud en el Trabajo</t>
  </si>
  <si>
    <t>JULIETH OSPINA CARMONA</t>
  </si>
  <si>
    <t>julieth.ospina@unionsaludvida.com</t>
  </si>
  <si>
    <t>1001852272</t>
  </si>
  <si>
    <t>JULIETH PAOLA ALVAREZ GOMEZ</t>
  </si>
  <si>
    <t>julieth.gomez@unionsaludvida.com</t>
  </si>
  <si>
    <t>1018415376</t>
  </si>
  <si>
    <t>JULIO ALBERTO OSPINO PAEZ</t>
  </si>
  <si>
    <t>julio.ospino@unionsaludvida.com</t>
  </si>
  <si>
    <t>72006802</t>
  </si>
  <si>
    <t>JULIO ALFONSO RICO BARRIOS</t>
  </si>
  <si>
    <t>julio.rico@unionsaludvida.com</t>
  </si>
  <si>
    <t>1118861829</t>
  </si>
  <si>
    <t>JULIO CESAR MEJIA OCHOA</t>
  </si>
  <si>
    <t>julio.cesar@unionsaludvida.com</t>
  </si>
  <si>
    <t>1068656438</t>
  </si>
  <si>
    <t>JULIO ELIAS PATIÑO MESTRA</t>
  </si>
  <si>
    <t>julio.patino@unionsaludvida.com</t>
  </si>
  <si>
    <t>1040755204</t>
  </si>
  <si>
    <t>JULISSA SUAREZ MENESES</t>
  </si>
  <si>
    <t>julissa.suarez@unionsaludvida.com</t>
  </si>
  <si>
    <t>1035860681</t>
  </si>
  <si>
    <t>JUNIOR EMMANUEL HIDALGO OROZCO</t>
  </si>
  <si>
    <t>junior.hidalgo@unionsaludvida.com</t>
  </si>
  <si>
    <t>1091654996</t>
  </si>
  <si>
    <t>KAREN LORENA ANGARITA RAMIREZ</t>
  </si>
  <si>
    <t>karen.angarita@unionsaludvida.com</t>
  </si>
  <si>
    <t>1035227892</t>
  </si>
  <si>
    <t>KAREN YERENY SOLANO PINEDA</t>
  </si>
  <si>
    <t>karen.solano@unionsaludvida.com</t>
  </si>
  <si>
    <t>1193537336</t>
  </si>
  <si>
    <t>KARINA ALEJANDRA ARIZA ESTEBAN</t>
  </si>
  <si>
    <t>karina.ariza@unionsaludvida.com</t>
  </si>
  <si>
    <t>1035226819</t>
  </si>
  <si>
    <t>KARLA ANDREA GUTIERREZ MARTINEZ</t>
  </si>
  <si>
    <t>karla.gutierrez@unionsaludvida.com</t>
  </si>
  <si>
    <t>1082953939</t>
  </si>
  <si>
    <t>KARLA ISABEL GONZALEZ GUTIERREZ</t>
  </si>
  <si>
    <t>isabel.gonzalez@unionsaludvida.com</t>
  </si>
  <si>
    <t>1017265238</t>
  </si>
  <si>
    <t>KARLA VANESSA AYARZA OSPINA</t>
  </si>
  <si>
    <t>karla.ayarza@unionsaludvida.com</t>
  </si>
  <si>
    <t>1098812791</t>
  </si>
  <si>
    <t>KARLA VANESSA CERPA ALCOCER</t>
  </si>
  <si>
    <t>karla.cerpa@unionsaludvida.com</t>
  </si>
  <si>
    <t>1193512212</t>
  </si>
  <si>
    <t>KARLA YULIANA VILLAMIZAR CAMARGO</t>
  </si>
  <si>
    <t>karla.villamizar@unionsaludvida.com</t>
  </si>
  <si>
    <t>1042459188</t>
  </si>
  <si>
    <t>KARMEN ELENA PUGLIESE BALZA</t>
  </si>
  <si>
    <t>karmen.pugliese@unionsaludvida.com</t>
  </si>
  <si>
    <t>1046874300</t>
  </si>
  <si>
    <t>KAROL ANDREA ZAMBRANO URUETA</t>
  </si>
  <si>
    <t>karol.zambrano@unionsaludvida.com</t>
  </si>
  <si>
    <t>1088348251</t>
  </si>
  <si>
    <t>KAROL STEFANY RIVAS ROBLEDO</t>
  </si>
  <si>
    <t>karol.rivas@unionsaludvida.com</t>
  </si>
  <si>
    <t>1235251459</t>
  </si>
  <si>
    <t>KAROLAINE DAYANA PALMAR FONSECA</t>
  </si>
  <si>
    <t>karolaine.palmar@unionsaludvida.com</t>
  </si>
  <si>
    <t>1036663860</t>
  </si>
  <si>
    <t>KAROLAINN MUÑOZ PARRA</t>
  </si>
  <si>
    <t>karolainn.parra@unionsaludvida.com</t>
  </si>
  <si>
    <t>1001995700</t>
  </si>
  <si>
    <t>KAROLL ANDREA CAMPO GOMEZ</t>
  </si>
  <si>
    <t>karoll.campo@unionsaludvida.com</t>
  </si>
  <si>
    <t>1045684605</t>
  </si>
  <si>
    <t>KARY OTILIA PARRA BARRIOS</t>
  </si>
  <si>
    <t>kary.parra@unionsaludvida.com</t>
  </si>
  <si>
    <t>1143395761</t>
  </si>
  <si>
    <t>KATERIN CHARRY ALZAMORA</t>
  </si>
  <si>
    <t>katerin.charry@unionsaludvida.com</t>
  </si>
  <si>
    <t>1143350381</t>
  </si>
  <si>
    <t>KATHERIN PORTELA BUELVAS</t>
  </si>
  <si>
    <t>katherin.portela@unionsaludvida.com</t>
  </si>
  <si>
    <t>1036681158</t>
  </si>
  <si>
    <t>KATHERINE HENAO MARTINEZ</t>
  </si>
  <si>
    <t>katherine.henao@unionsaludvida.com</t>
  </si>
  <si>
    <t>1214714989</t>
  </si>
  <si>
    <t>KATHERINE MORA CARDONA</t>
  </si>
  <si>
    <t>katherine.mora@unionsaludvida.com</t>
  </si>
  <si>
    <t>1085308661</t>
  </si>
  <si>
    <t>KATHERINE ROSERO PATIÑO</t>
  </si>
  <si>
    <t>katherine.rosero@unionsaludvida.com</t>
  </si>
  <si>
    <t>1040183455</t>
  </si>
  <si>
    <t>KATHERINE SANCHEZ ACEVEDO</t>
  </si>
  <si>
    <t>katherine.sanchez@unionsaludvida.com</t>
  </si>
  <si>
    <t>1006573376</t>
  </si>
  <si>
    <t>KATHERYN JULIETH GENES MARIN</t>
  </si>
  <si>
    <t>katheryn.genes@unionsaludvida.com</t>
  </si>
  <si>
    <t>1140830211</t>
  </si>
  <si>
    <t>KATHIA PAOLA VASQUEZ CABALLERO</t>
  </si>
  <si>
    <t>kathia.vasquez@unionsaludvida.com</t>
  </si>
  <si>
    <t>1053853703</t>
  </si>
  <si>
    <t>KATRIN DARIANI PATIÑO LOPEZ</t>
  </si>
  <si>
    <t>katrin.lopez@unionsaludvida.com</t>
  </si>
  <si>
    <t>1124014714</t>
  </si>
  <si>
    <t>KATTY ISABEL VALLEJO OTERO</t>
  </si>
  <si>
    <t>katty.vallejo@unionsaludvida.com</t>
  </si>
  <si>
    <t>1028025153</t>
  </si>
  <si>
    <t>KATTY YANEIDY AYALA LEMOS</t>
  </si>
  <si>
    <t>katty.ayala@unionsaludvida.com</t>
  </si>
  <si>
    <t>1017128969</t>
  </si>
  <si>
    <t>KATTYA MILENA CHACÓN SANCHEZ</t>
  </si>
  <si>
    <t>kattya.chacon@unionsaludvida.com</t>
  </si>
  <si>
    <t>1082940002</t>
  </si>
  <si>
    <t>KEILA ESTHER GUERRERO BOLAÑO</t>
  </si>
  <si>
    <t>keila.guerrero@unionsaludvida.com</t>
  </si>
  <si>
    <t>KEILYN ROSANA CANCIO ORTEGA</t>
  </si>
  <si>
    <t>keilyn.cancio@unionsaludvida.com</t>
  </si>
  <si>
    <t>1039468243</t>
  </si>
  <si>
    <t>KEISY CAICEDO CHAVERRA</t>
  </si>
  <si>
    <t>keisy.caicedo@unionsaludvida.com</t>
  </si>
  <si>
    <t>1001023425</t>
  </si>
  <si>
    <t>KEISY ESTEBAN FUENTES AVILA</t>
  </si>
  <si>
    <t>keisy.fuentes@unionsaludvida.com</t>
  </si>
  <si>
    <t>42161723</t>
  </si>
  <si>
    <t>KEITTY MADELEN DURAN GARZON</t>
  </si>
  <si>
    <t>keitty.duran@unionsaludvida.com</t>
  </si>
  <si>
    <t>1039467723</t>
  </si>
  <si>
    <t>Lider Gestac</t>
  </si>
  <si>
    <t>KELLY DAYANA ATEHORTUA MEJIA</t>
  </si>
  <si>
    <t>lidergestac@unionsaludvida.com</t>
  </si>
  <si>
    <t>1001852351</t>
  </si>
  <si>
    <t>KELLY ISABELLA VILLANUEVA BUSTOS</t>
  </si>
  <si>
    <t>kelly.villanueva@unionsaludvida.com</t>
  </si>
  <si>
    <t>1152697923</t>
  </si>
  <si>
    <t>KELLY JOHANA ACEVEDO GIRALDO</t>
  </si>
  <si>
    <t>kelly.acevedo@unionsaludvida.com</t>
  </si>
  <si>
    <t>Medicina General Ops</t>
  </si>
  <si>
    <t>1045736526</t>
  </si>
  <si>
    <t>KELLY JOHANA PALACIO PEREZ</t>
  </si>
  <si>
    <t>kelly.palacio@unionsaludvida.com</t>
  </si>
  <si>
    <t>1035864037</t>
  </si>
  <si>
    <t>KELLY JOHANNA AGUDELO GIL</t>
  </si>
  <si>
    <t>kelly.agudelo@unionsaludvida.com</t>
  </si>
  <si>
    <t>1234090551</t>
  </si>
  <si>
    <t>KELLY JOHANNA CANTILLO MARTINEZ</t>
  </si>
  <si>
    <t>kelly.cantillo@unionsaludvida.com</t>
  </si>
  <si>
    <t>1143363600</t>
  </si>
  <si>
    <t>KELLY JOHANNA MACHACON CASTILLA</t>
  </si>
  <si>
    <t>lidercisuraba@unionsaludvida.com</t>
  </si>
  <si>
    <t>1140860375</t>
  </si>
  <si>
    <t>KELLY JOHANNA PORRAS MOLINA</t>
  </si>
  <si>
    <t>kelly.porras@unionsaludvida.com</t>
  </si>
  <si>
    <t>22549731</t>
  </si>
  <si>
    <t>KELLY ROSANA UJUETA MERIÑO</t>
  </si>
  <si>
    <t>kelly.ujueta@unionsaludvida.com</t>
  </si>
  <si>
    <t>52517719</t>
  </si>
  <si>
    <t>KELY EDITH RIVAS MOSQUERA</t>
  </si>
  <si>
    <t>kelly.rivas@unionsaludvida.com</t>
  </si>
  <si>
    <t>57462901</t>
  </si>
  <si>
    <t xml:space="preserve">KELY HERNANDEZ GALVIS </t>
  </si>
  <si>
    <t>kely.galvis@unionsaludvida.com</t>
  </si>
  <si>
    <t>35890461</t>
  </si>
  <si>
    <t>KENNAYDA MACHADO MENA</t>
  </si>
  <si>
    <t>kennayda.machado@unionsaludvida.com</t>
  </si>
  <si>
    <t>1001361981</t>
  </si>
  <si>
    <t>KENNY ZULUAGA CARVAJAL</t>
  </si>
  <si>
    <t>kenny.zuluaga@unionsaludvida.com</t>
  </si>
  <si>
    <t>1007624721</t>
  </si>
  <si>
    <t>KEREN LOANIS NIÑO JAIMES</t>
  </si>
  <si>
    <t>keren.nino@unionsaludvida.com</t>
  </si>
  <si>
    <t>39072260</t>
  </si>
  <si>
    <t>KETTY LUZ MUGNO BAENA</t>
  </si>
  <si>
    <t>ketty.mugno@unionsaludvida.com</t>
  </si>
  <si>
    <t>1143995272</t>
  </si>
  <si>
    <t>KEVIN JOSE RODRIGUEZ SANCHEZ</t>
  </si>
  <si>
    <t>kevin.rodriguez@unionsaludvida.com</t>
  </si>
  <si>
    <t>1052988112</t>
  </si>
  <si>
    <t>KEYLIN PABA LASTRE</t>
  </si>
  <si>
    <t>keylin.paba@unionsaludvida.com</t>
  </si>
  <si>
    <t>1140853709</t>
  </si>
  <si>
    <t>KHATHERINE PUELLO RODRIGUEZ</t>
  </si>
  <si>
    <t>khatherine.rodriguez@unionsaludvida.com</t>
  </si>
  <si>
    <t>1001139961</t>
  </si>
  <si>
    <t>KIARA DANIELA MONSALVE TANGARIFE</t>
  </si>
  <si>
    <t>kiara.monsalve@unionsaludvida.com</t>
  </si>
  <si>
    <t>1026299712</t>
  </si>
  <si>
    <t>KIARA YUVERLYNG MOSQUERA GARRIDO</t>
  </si>
  <si>
    <t>kiara.mosquera@unionsaludvida.com</t>
  </si>
  <si>
    <t>1006054760</t>
  </si>
  <si>
    <t>KITZEA XILENI SANCHEZ CUADRO</t>
  </si>
  <si>
    <t>kitzea.sanchez@unionsaludvida.com</t>
  </si>
  <si>
    <t>1005582110</t>
  </si>
  <si>
    <t>KRISTIAN ANDRES GARCIA PEREZ</t>
  </si>
  <si>
    <t>kristian.garcia@unionsaludvida.com</t>
  </si>
  <si>
    <t>1037574966</t>
  </si>
  <si>
    <t>LADY ANDREA RESTREPO RUIZ</t>
  </si>
  <si>
    <t>lady.restrepo@unionsaludvida.com</t>
  </si>
  <si>
    <t>1017198996</t>
  </si>
  <si>
    <t>LADY CAROLINA QUIROGA ARIAS</t>
  </si>
  <si>
    <t>lady.quiroga@unionsaludvida.com</t>
  </si>
  <si>
    <t>1128276603</t>
  </si>
  <si>
    <t>LADY CAROLINA RODRIGUEZ FERNANDEZ</t>
  </si>
  <si>
    <t>lady.rodriguez@unionsaludvida.com</t>
  </si>
  <si>
    <t>39360409</t>
  </si>
  <si>
    <t>LADY MARCELA PALACIO RUEDA</t>
  </si>
  <si>
    <t>lady.palacio@unionsaludvida.com</t>
  </si>
  <si>
    <t>1152455080</t>
  </si>
  <si>
    <t>LAURA ALEJANDRA MALAGON YOPASA</t>
  </si>
  <si>
    <t>laura.malagon@unionsaludvida.com</t>
  </si>
  <si>
    <t>1007240267</t>
  </si>
  <si>
    <t>LAURA ANDREA ARISTIZABAL CARVAJAL</t>
  </si>
  <si>
    <t>laura.carvajal@unionsaludvida.com</t>
  </si>
  <si>
    <t>1005660092</t>
  </si>
  <si>
    <t>LAURA ANDREA GENEZ LEYVA</t>
  </si>
  <si>
    <t>laura.genez@unionsaludvida.com</t>
  </si>
  <si>
    <t>1045694923</t>
  </si>
  <si>
    <t>LAURA ANDREA ZAMBRANO POLO</t>
  </si>
  <si>
    <t>laura.zambrano@unionsaludvida.com</t>
  </si>
  <si>
    <t>1041149354</t>
  </si>
  <si>
    <t>LAURA BEDOYA CARDONA</t>
  </si>
  <si>
    <t>laura.bedoya@unionsaludvida.com</t>
  </si>
  <si>
    <t>1053860403</t>
  </si>
  <si>
    <t>LAURA CAROLINA GALLO ARIAS</t>
  </si>
  <si>
    <t>laura.gallo@unionsaludvida.com</t>
  </si>
  <si>
    <t>1128463014</t>
  </si>
  <si>
    <t>LAURA CORTES GARCIA</t>
  </si>
  <si>
    <t>liderciscityplaza@unionsaludvida.com</t>
  </si>
  <si>
    <t>1152698446</t>
  </si>
  <si>
    <t>LAURA CRISTINA BERMUDEZ LOPEZ</t>
  </si>
  <si>
    <t>laura.bermudez@unionsaludvida.com</t>
  </si>
  <si>
    <t>1040047481</t>
  </si>
  <si>
    <t>LAURA CRISTINA BOTERO PATIÑO</t>
  </si>
  <si>
    <t>laura.botero@unionsaludvida.com</t>
  </si>
  <si>
    <t>1017232013</t>
  </si>
  <si>
    <t>LAURA CRISTINA ROJAS ROJAS</t>
  </si>
  <si>
    <t>laura.rojas@unionsaludvida.com</t>
  </si>
  <si>
    <t>1037653415</t>
  </si>
  <si>
    <t>LAURA CRISTINA VELEZ MIRANDA</t>
  </si>
  <si>
    <t>laura.velez@unionsaludvida.com</t>
  </si>
  <si>
    <t>1049648352</t>
  </si>
  <si>
    <t>LAURA FABIOLA GARCIA FLOREZ</t>
  </si>
  <si>
    <t>laura.garcia@unionsaludvida.com</t>
  </si>
  <si>
    <t>1127538354</t>
  </si>
  <si>
    <t>LAURA GONZALEZ CORDOBA</t>
  </si>
  <si>
    <t>laura.gonzalez@unionsaludvida.com</t>
  </si>
  <si>
    <t>1007918909</t>
  </si>
  <si>
    <t>LAURA ISABEL COLORADO ZEA</t>
  </si>
  <si>
    <t>laura.colorado@unionsaludvida.com</t>
  </si>
  <si>
    <t>1006490561</t>
  </si>
  <si>
    <t>LAURA ISABEL TABARES PEÑA</t>
  </si>
  <si>
    <t>laura.tabares@unionsaludvida.com</t>
  </si>
  <si>
    <t>1072667035</t>
  </si>
  <si>
    <t>LAURA JANETH GOMEZ ALVARADO</t>
  </si>
  <si>
    <t>laura.gomez@unionsaludvida.com</t>
  </si>
  <si>
    <t>1143411265</t>
  </si>
  <si>
    <t>LAURA MARCELA GARRIDO MANJON</t>
  </si>
  <si>
    <t>laura.garrido@unionsaludvida.com</t>
  </si>
  <si>
    <t>1062399118</t>
  </si>
  <si>
    <t>LAURA MARCELA MEJIA GONZALEZ</t>
  </si>
  <si>
    <t>marcela.mejia@unionsaludvida.com</t>
  </si>
  <si>
    <t>1001782572</t>
  </si>
  <si>
    <t>LAURA MARGARITA ZULUAGA ORTEGA</t>
  </si>
  <si>
    <t>margarita.zuluaga@unionsaludvida.com</t>
  </si>
  <si>
    <t>1152221372</t>
  </si>
  <si>
    <t>LAURA MARIA CANO MIRANDA</t>
  </si>
  <si>
    <t>laura.cano@unionsaludvida.com</t>
  </si>
  <si>
    <t>1020482893</t>
  </si>
  <si>
    <t>LAURA MARIA CARMONA MEJIA</t>
  </si>
  <si>
    <t>laura.carmona@unionsaludvida.com</t>
  </si>
  <si>
    <t>1216722841</t>
  </si>
  <si>
    <t>LAURA MARIA CASTRO LOPEZ</t>
  </si>
  <si>
    <t>laura.castro@unionsaludvida.com</t>
  </si>
  <si>
    <t>1007223521</t>
  </si>
  <si>
    <t>LAURA MARIA GOMEZ ROJAS</t>
  </si>
  <si>
    <t>lauramaria.gomez@unionsaludvida.com</t>
  </si>
  <si>
    <t>1117545007</t>
  </si>
  <si>
    <t>LAURA MARLEN GEOVO FLOREZ</t>
  </si>
  <si>
    <t>laura.geovo@unionsaludvida.com</t>
  </si>
  <si>
    <t>1235039170</t>
  </si>
  <si>
    <t>LAURA MELISSA VELASQUEZ PACHECO</t>
  </si>
  <si>
    <t>melissa.velasquez@unionsaludvida.com</t>
  </si>
  <si>
    <t>1045748594</t>
  </si>
  <si>
    <t>LAURA MILENA HEREDIA JIMENEZ</t>
  </si>
  <si>
    <t>laura.heredia@unionsaludvida.com</t>
  </si>
  <si>
    <t>LAURA PAULINA VALENCIA BEDOYA</t>
  </si>
  <si>
    <t>laura.valencia@unionsaludvida.com</t>
  </si>
  <si>
    <t>1000207765</t>
  </si>
  <si>
    <t>LAURA POSADA WHITE</t>
  </si>
  <si>
    <t>laura.posada@unionsaludvida.com</t>
  </si>
  <si>
    <t>1039468657</t>
  </si>
  <si>
    <t>LAURA RESTREPO MONTOYA</t>
  </si>
  <si>
    <t>laura.montoya@unionsaludvida.com</t>
  </si>
  <si>
    <t>LAURA SALOMME ECHAVARRIA ALVAREZ</t>
  </si>
  <si>
    <t>salomme.echavarria@unionsaludvida.com</t>
  </si>
  <si>
    <t>1007600707</t>
  </si>
  <si>
    <t>LAURA SOFIA AGUILERA ARIÑO</t>
  </si>
  <si>
    <t>laura.aguilera@unionsaludvida.com</t>
  </si>
  <si>
    <t>1043022332</t>
  </si>
  <si>
    <t>LAURA SOFIA PACHECO MANOTAS</t>
  </si>
  <si>
    <t>laura.pacheco@unionsaludvida.com</t>
  </si>
  <si>
    <t>1035872029</t>
  </si>
  <si>
    <t>LAURA TATIANA NOREÑA ECHEVERRY</t>
  </si>
  <si>
    <t>laura.norena@unionsaludvida.com</t>
  </si>
  <si>
    <t>1026154191</t>
  </si>
  <si>
    <t>LAURA TATIANA RAMIREZ CARTAGENA</t>
  </si>
  <si>
    <t>laura.ramirez@unionsaludvida.com</t>
  </si>
  <si>
    <t>1052409952</t>
  </si>
  <si>
    <t>LAURA VANESA LOPEZ AGUDELO</t>
  </si>
  <si>
    <t>laura.agudelo@unionsaludvida.com</t>
  </si>
  <si>
    <t>1143404725</t>
  </si>
  <si>
    <t>LAURA VANESSA ESCORCIA ALVAREZ</t>
  </si>
  <si>
    <t>laura.escorcia@unionsaludvida.com</t>
  </si>
  <si>
    <t>Nueva Colonia</t>
  </si>
  <si>
    <t>LAURA VANESSA GARCIA QUEJADA</t>
  </si>
  <si>
    <t>laura.quejada@unionsaludvida.com</t>
  </si>
  <si>
    <t>1007375734</t>
  </si>
  <si>
    <t>LAURA VANESSA PLAZA ARIAS</t>
  </si>
  <si>
    <t>laura.plaza@unionsaludvida.com</t>
  </si>
  <si>
    <t>1096250605</t>
  </si>
  <si>
    <t>LAURA VANESSA RAMIREZ GOMEZ</t>
  </si>
  <si>
    <t>vanessa.ramirez@unionsaludvida.com</t>
  </si>
  <si>
    <t>1235045754</t>
  </si>
  <si>
    <t>LAURA VICTORIA ARAGON MENDOZA</t>
  </si>
  <si>
    <t>laura.aragon@unionsaludvida.com</t>
  </si>
  <si>
    <t>1017231376</t>
  </si>
  <si>
    <t>LAURA VICTORIA MURILLO SOTO</t>
  </si>
  <si>
    <t>laura.murillo@unionsaludvida.com</t>
  </si>
  <si>
    <t>1094891653</t>
  </si>
  <si>
    <t>LAURA VICTORIA VILLEGAS LEAL</t>
  </si>
  <si>
    <t>laura.villegas@unionsaludvida.com</t>
  </si>
  <si>
    <t>1045515208</t>
  </si>
  <si>
    <t>LAURA VIVIANA HENAO CUESTA</t>
  </si>
  <si>
    <t>laura.cuesta@unionsaludvida.com</t>
  </si>
  <si>
    <t>1078464285</t>
  </si>
  <si>
    <t>LAURA YANETH PALACIOS MATURANA</t>
  </si>
  <si>
    <t>laura.palacios@unionsaludvida.com</t>
  </si>
  <si>
    <t>1000757063</t>
  </si>
  <si>
    <t>LEAM GILANNY ARGAEZ MORALES</t>
  </si>
  <si>
    <t>gestionasistencialrionegro@unionsaludvida.com</t>
  </si>
  <si>
    <t>1118806907</t>
  </si>
  <si>
    <t>LEANDRO RAUL PUENTE SOLANO</t>
  </si>
  <si>
    <t>leandro.puente@unionsaludvida.com</t>
  </si>
  <si>
    <t>43628229</t>
  </si>
  <si>
    <t>LEIDY ANLLELY CASTRILLON GARCIA</t>
  </si>
  <si>
    <t>leidy.castrillon@unionsaludvida.com</t>
  </si>
  <si>
    <t>1143414481</t>
  </si>
  <si>
    <t>LEIDY DIANA RUIZ OCAMPO</t>
  </si>
  <si>
    <t>leidy.ruiz@unionsaludvida.com</t>
  </si>
  <si>
    <t>1018484929</t>
  </si>
  <si>
    <t>LEIDY JESENIA MEDINA HURTADO</t>
  </si>
  <si>
    <t>leidy.medina@unionsaludvida.com</t>
  </si>
  <si>
    <t>1085277724</t>
  </si>
  <si>
    <t>LEIDY JOHANA CUASES GONZALEZ</t>
  </si>
  <si>
    <t>leidy.causes@unionsaludvida.com</t>
  </si>
  <si>
    <t>1128278122</t>
  </si>
  <si>
    <t>Arboletes</t>
  </si>
  <si>
    <t>LEIDY JOHANNA GUEVARA GIRALDO</t>
  </si>
  <si>
    <t>leidy.guevara@unionsaludvida.com</t>
  </si>
  <si>
    <t>1152697121</t>
  </si>
  <si>
    <t>LEIDY LISBETH LUGO MORALES</t>
  </si>
  <si>
    <t>leidy.lugo@unionsaludvida.com</t>
  </si>
  <si>
    <t>LEIDY VANESSA BEDOYA BEDOYA</t>
  </si>
  <si>
    <t>leidy.bedoya@unionsaludvida.com</t>
  </si>
  <si>
    <t>1098770630</t>
  </si>
  <si>
    <t>LEIDY VIVIANA MENDOZA URIBE</t>
  </si>
  <si>
    <t>leidy.mendoza@unionsaludvida.com</t>
  </si>
  <si>
    <t>1037613802</t>
  </si>
  <si>
    <t>Auxiliar Gestion Humana B</t>
  </si>
  <si>
    <t>LEIDY YOHANA BLANDON TAPIAS</t>
  </si>
  <si>
    <t>seleccion@unionsaludvida.com</t>
  </si>
  <si>
    <t>1045683019</t>
  </si>
  <si>
    <t>LEONARDO JAVIER BRAVO PAUTT</t>
  </si>
  <si>
    <t>leonardo.bravo@unionsaludvida.com</t>
  </si>
  <si>
    <t>1001944746</t>
  </si>
  <si>
    <t>LEXLIE LORENA LAMBRANO PARRA</t>
  </si>
  <si>
    <t>lexlie.lambrano@unionsaludvida.com</t>
  </si>
  <si>
    <t>52814989</t>
  </si>
  <si>
    <t>LEYDY YOHANA REYES CORDOBA</t>
  </si>
  <si>
    <t>leydy.reyes@unionsaludvida.com</t>
  </si>
  <si>
    <t>1046527070</t>
  </si>
  <si>
    <t>LIANIS JHOANA WALDO AGUIRRE</t>
  </si>
  <si>
    <t>lianis.waldo@unionsaludvida.com</t>
  </si>
  <si>
    <t>1094967200</t>
  </si>
  <si>
    <t>LICETH NATHALIA GUAUQUE TRUJILLO</t>
  </si>
  <si>
    <t>liceth.guauque@unionsaludvida.com</t>
  </si>
  <si>
    <t>1083048590</t>
  </si>
  <si>
    <t>LICETH PAOLA BALAGUERA COLINA</t>
  </si>
  <si>
    <t>liceth.balaguera@unionsaludvida.com</t>
  </si>
  <si>
    <t>1098779425</t>
  </si>
  <si>
    <t>LILIANA MARCELA DEVIA COGOLLO</t>
  </si>
  <si>
    <t>liliana.devia@unionsaludvida.com</t>
  </si>
  <si>
    <t>39187404</t>
  </si>
  <si>
    <t>LILIANA MARIA CASTAÑEDA LOPEZ</t>
  </si>
  <si>
    <t>liliana.castaneda@unionsaludvida.com</t>
  </si>
  <si>
    <t>53165618</t>
  </si>
  <si>
    <t>LILIANA PATRICIA FONTECHA NIÑO</t>
  </si>
  <si>
    <t>liliana.fontecha@unionsaludvida.com</t>
  </si>
  <si>
    <t>42827780</t>
  </si>
  <si>
    <t>LINA MARCELA ALVAREZ MARIN</t>
  </si>
  <si>
    <t>lina.alvarez@unionsaludvida.com</t>
  </si>
  <si>
    <t>43581569</t>
  </si>
  <si>
    <t>LINA MARIA BARRERA GUISAO</t>
  </si>
  <si>
    <t>lina.barrera@unionsaludvida.com</t>
  </si>
  <si>
    <t>LINA MARIA GARCIA MORENO</t>
  </si>
  <si>
    <t>lina.moreno@unionsaludvida.com</t>
  </si>
  <si>
    <t>1035419749</t>
  </si>
  <si>
    <t>LINA MARIA HERRERA AGUDELO</t>
  </si>
  <si>
    <t>lina.herrera@unionsaludvida.com</t>
  </si>
  <si>
    <t>50995706</t>
  </si>
  <si>
    <t>LINA MARIA LOZANO NORIEGA</t>
  </si>
  <si>
    <t>lina.lozano@unionsaludvida.com</t>
  </si>
  <si>
    <t>1089244527</t>
  </si>
  <si>
    <t>LINA MARIA MARROQUIN BRAVO</t>
  </si>
  <si>
    <t>lina.marroquin@unionsaludvida.com</t>
  </si>
  <si>
    <t>1144052192</t>
  </si>
  <si>
    <t>LINA MARIA MONTES VALDES</t>
  </si>
  <si>
    <t>lina.montes@unionsaludvida.com</t>
  </si>
  <si>
    <t>1152446869</t>
  </si>
  <si>
    <t>LINA MARIA RODAS VALENCIA</t>
  </si>
  <si>
    <t>lina.rodas@unionsaludvida.com</t>
  </si>
  <si>
    <t>43758793</t>
  </si>
  <si>
    <t>LINA MARIA VELEZ CUERVO</t>
  </si>
  <si>
    <t>lina.velez@unionsaludvida.com</t>
  </si>
  <si>
    <t>43568863</t>
  </si>
  <si>
    <t>LINA PATRICIA GUARIN ALVAREZ</t>
  </si>
  <si>
    <t>lina.guarin@unionsaludvida.com</t>
  </si>
  <si>
    <t>1128420970</t>
  </si>
  <si>
    <t>LINA TATIANA GUERRERO MOLINA</t>
  </si>
  <si>
    <t>lina.guerrero@unionsaludvida.com</t>
  </si>
  <si>
    <t>1100249052</t>
  </si>
  <si>
    <t>LINDA CAROLINA VERGARA GARCIA</t>
  </si>
  <si>
    <t>linda.vergara@unionsaludvida.com</t>
  </si>
  <si>
    <t>1140818287</t>
  </si>
  <si>
    <t>LINDA ESPERANZA CASTAÑO SANDOVAL</t>
  </si>
  <si>
    <t>linda.castano@unionsaludvida.com</t>
  </si>
  <si>
    <t>1017238267</t>
  </si>
  <si>
    <t>LINDA LUCIA GOMEZ ACEVEDO</t>
  </si>
  <si>
    <t>linda.gomez@unionsaludvida.com</t>
  </si>
  <si>
    <t>1081916952</t>
  </si>
  <si>
    <t>LISETH JOHANA CORTINA MONSALVO</t>
  </si>
  <si>
    <t>liseth.cortina@unionsaludvida.com</t>
  </si>
  <si>
    <t>1003930736</t>
  </si>
  <si>
    <t>LISETH NATALIA GIRALDO LOZANO</t>
  </si>
  <si>
    <t>liseth.giraldo@unionsaludvida.com</t>
  </si>
  <si>
    <t>1017268095</t>
  </si>
  <si>
    <t>LISETH YARITZA MARTINEZ PALACIOS</t>
  </si>
  <si>
    <t>liseth.martinez@unionsaludvida.com</t>
  </si>
  <si>
    <t>1093794378</t>
  </si>
  <si>
    <t>LISETTE CAROLINA SÁNCHEZ FERMÍN</t>
  </si>
  <si>
    <t>lisette.sanchez@unionsaludvida.com</t>
  </si>
  <si>
    <t>1193533557</t>
  </si>
  <si>
    <t>LISMARY ANDREINA ACEVEDO JIMENEZ</t>
  </si>
  <si>
    <t>lismary.acevedo@unionsaludvida.com</t>
  </si>
  <si>
    <t>1037604921</t>
  </si>
  <si>
    <t>LIZA FERNANDA RUA SALDARRIAGA</t>
  </si>
  <si>
    <t>liza.rua@unionsaludvida.com</t>
  </si>
  <si>
    <t>1082926790</t>
  </si>
  <si>
    <t>LIZETH ALVARADO TORRES</t>
  </si>
  <si>
    <t>lizeth.alvarado@unionsaludvida.com</t>
  </si>
  <si>
    <t>1000853742</t>
  </si>
  <si>
    <t>LIZETH DAHIANA PUENTES SANCHEZ</t>
  </si>
  <si>
    <t>lizeth.puentes@unionsaludvida.com</t>
  </si>
  <si>
    <t>1140829924</t>
  </si>
  <si>
    <t>LIZETH DAYANA DE LA HOZ RUEDA</t>
  </si>
  <si>
    <t>lizeth.delahoz@unionsaludvida.com</t>
  </si>
  <si>
    <t>1005338076</t>
  </si>
  <si>
    <t>LIZETH DAYANA LOZANO GARCIA</t>
  </si>
  <si>
    <t>lizeth.lozano@unionsaludvida.com</t>
  </si>
  <si>
    <t>1017218815</t>
  </si>
  <si>
    <t>LIZZET JANETH CUERVO HENAO</t>
  </si>
  <si>
    <t>auxgestiondocumental@unionsaludvida.com</t>
  </si>
  <si>
    <t>1047469537</t>
  </si>
  <si>
    <t>LORAINES ADRIANA RAMIREZ CASTRO</t>
  </si>
  <si>
    <t>loraines.ramirez@unionsaludvida.com</t>
  </si>
  <si>
    <t>1042434133</t>
  </si>
  <si>
    <t>LOREIDYS ESTHER POLO CHARRIS</t>
  </si>
  <si>
    <t>loreidys.polo@unionsaludvida.com</t>
  </si>
  <si>
    <t>1003377961</t>
  </si>
  <si>
    <t>LORELIN ALICIA PERAZA MOLINA</t>
  </si>
  <si>
    <t>lorelin.peraza@unionsaludvida.com</t>
  </si>
  <si>
    <t>1035873270</t>
  </si>
  <si>
    <t>LORENA OCHOA AGUDELO</t>
  </si>
  <si>
    <t>lorena.ochoa@unionsaludvida.com</t>
  </si>
  <si>
    <t>1152192320</t>
  </si>
  <si>
    <t>LUCAS SANTIAGO OSORIO AGUDELO</t>
  </si>
  <si>
    <t>lucas.osorio@unionsaludvida.com</t>
  </si>
  <si>
    <t>1235539927</t>
  </si>
  <si>
    <t>LUIS ALBERTO DEVIA EVIES</t>
  </si>
  <si>
    <t>luis.devia@unionsaludvida.com</t>
  </si>
  <si>
    <t>88253963</t>
  </si>
  <si>
    <t>LUIS ALEXANDER FUENTES GRANADOS</t>
  </si>
  <si>
    <t>luisfuentes.contratista@unionsaludvida.com</t>
  </si>
  <si>
    <t>1103099277</t>
  </si>
  <si>
    <t>LUIS ALFREDO VILLADIEGO RODRIGUEZ</t>
  </si>
  <si>
    <t>luis.villadiego@unionsaludvida.com</t>
  </si>
  <si>
    <t>1002101644</t>
  </si>
  <si>
    <t>LUIS ANDRES ARRIETA ROJAS</t>
  </si>
  <si>
    <t>luis.arrieta@unionsaludvida.com</t>
  </si>
  <si>
    <t>1003214172</t>
  </si>
  <si>
    <t>LUIS CAMILO MEZQUIDA DIAZ</t>
  </si>
  <si>
    <t>luis.mezquida@unionsaludvida.com</t>
  </si>
  <si>
    <t>98765821</t>
  </si>
  <si>
    <t>LUIS CARLOS ZAPATA GOMEZ</t>
  </si>
  <si>
    <t>luis.zapata@unionsaludvida.com</t>
  </si>
  <si>
    <t>92541180</t>
  </si>
  <si>
    <t>LUIS EDUARDO MARTINEZ HERNANDEZ</t>
  </si>
  <si>
    <t>luis.martinez@unionsaludvida.com</t>
  </si>
  <si>
    <t>1001229563</t>
  </si>
  <si>
    <t>LUIS FELIPE CASAS PEREZ</t>
  </si>
  <si>
    <t>analistatic1@unionsaludvida.com</t>
  </si>
  <si>
    <t>1001232966</t>
  </si>
  <si>
    <t>LUIS FELIPE MOLINARES OSSA</t>
  </si>
  <si>
    <t>luis.ossa@unionsaludvida.com</t>
  </si>
  <si>
    <t>98590112</t>
  </si>
  <si>
    <t>LUIS FERNANDO GARCIA GOMEZ</t>
  </si>
  <si>
    <t>luis.gomez@unionsaludvida.com</t>
  </si>
  <si>
    <t>1003930540</t>
  </si>
  <si>
    <t>LUIS MARIO MOSQUERA PALACIOS</t>
  </si>
  <si>
    <t>luis.mosquera@unionsaludvida.com</t>
  </si>
  <si>
    <t>1098811192</t>
  </si>
  <si>
    <t>LUIS MIGUEL ROMERO HERNANDEZ</t>
  </si>
  <si>
    <t>luis.romero@unionsaludvida.com</t>
  </si>
  <si>
    <t>1005188038</t>
  </si>
  <si>
    <t>LUIS ORLANDO PLATA MARIN</t>
  </si>
  <si>
    <t>luis.plata@unionsaludvida.com</t>
  </si>
  <si>
    <t>1193123744</t>
  </si>
  <si>
    <t>LUISA ALEJANDRA AGUILAR RIOS</t>
  </si>
  <si>
    <t>luisa.aguilar@unionsaludvida.com</t>
  </si>
  <si>
    <t>1001944593</t>
  </si>
  <si>
    <t>LUISA ALEXANDRA SUAREZ ESCORCIA</t>
  </si>
  <si>
    <t>luisa.suarez@unionsaludvida.com</t>
  </si>
  <si>
    <t>1007959114</t>
  </si>
  <si>
    <t>LUISA FERNANDA ASCANIO RINCON</t>
  </si>
  <si>
    <t>luisa.ascanio@unionsaludvida.com</t>
  </si>
  <si>
    <t>39192742</t>
  </si>
  <si>
    <t>LUISA FERNANDA GAVIRIA VALENCIA</t>
  </si>
  <si>
    <t>luisa.gaviria@unionsaludvida.com</t>
  </si>
  <si>
    <t>1003337814</t>
  </si>
  <si>
    <t>LUISA FERNANDA MEDINA MARQUEZ</t>
  </si>
  <si>
    <t>auxiliar.sanignacio@unionsaludvida.com</t>
  </si>
  <si>
    <t>1143166984</t>
  </si>
  <si>
    <t>LUISA FERNANDA MINORTA LOBO</t>
  </si>
  <si>
    <t>luisa.minorta@unionsaludvida.com</t>
  </si>
  <si>
    <t>1000539201</t>
  </si>
  <si>
    <t>LUISA FERNANDA PEREZ ARIAS</t>
  </si>
  <si>
    <t>luisa.perez@unionsaludvida.com</t>
  </si>
  <si>
    <t>1214729938</t>
  </si>
  <si>
    <t>LUISA FERNANDA TORO VALENCIA</t>
  </si>
  <si>
    <t>luisa.valencia@unionsaludvida.com</t>
  </si>
  <si>
    <t>1037593661</t>
  </si>
  <si>
    <t>LUISA MARIA GUTIERREZ VILLEGAS</t>
  </si>
  <si>
    <t>luisa.gutierrez@unionsaludvida.com</t>
  </si>
  <si>
    <t>1100694689</t>
  </si>
  <si>
    <t>LUZ DEY VERGARA MOTERROZA</t>
  </si>
  <si>
    <t>luz.vergara@unionsaludvida.com</t>
  </si>
  <si>
    <t>LUZ GABRIELA RUIZ GARCIA</t>
  </si>
  <si>
    <t>luz.ruiz@unionsaludvida.com</t>
  </si>
  <si>
    <t>43585735</t>
  </si>
  <si>
    <t>Auxiliar Finanzas</t>
  </si>
  <si>
    <t>LUZ MABIL CORREA CANO</t>
  </si>
  <si>
    <t>luz.correa@unionsaludvida.com</t>
  </si>
  <si>
    <t>1037524086</t>
  </si>
  <si>
    <t>LUZ MARIA SEPULVEDA BUILES</t>
  </si>
  <si>
    <t>luz.sepulveda@unionsaludvida.com</t>
  </si>
  <si>
    <t>1017264610</t>
  </si>
  <si>
    <t>MAGRETH CASTRILLON RUIZ</t>
  </si>
  <si>
    <t>magreth.castrillon@unionsaludvida.com</t>
  </si>
  <si>
    <t>1035302573</t>
  </si>
  <si>
    <t>MAIRA ALEJANDRA ECHEVERRI SARRIA</t>
  </si>
  <si>
    <t>maira.echeverri@unionsaludvida.com</t>
  </si>
  <si>
    <t>1052961687</t>
  </si>
  <si>
    <t>MALORI LLAVINA TAPIA ALANDETE</t>
  </si>
  <si>
    <t>malori.tapia@unionsaludvida.com</t>
  </si>
  <si>
    <t>1152215751</t>
  </si>
  <si>
    <t>MANUELA ARISTIZABAL ALZATE</t>
  </si>
  <si>
    <t>manuela.aristizabal@unionsaludvida.com</t>
  </si>
  <si>
    <t>1001366634</t>
  </si>
  <si>
    <t>MANUELA CHAVARRIAGA HOYOS</t>
  </si>
  <si>
    <t>manuela.chavarriaga@unionsaludvida.com</t>
  </si>
  <si>
    <t>1037644923</t>
  </si>
  <si>
    <t>MANUELA CORREA CARDENAS</t>
  </si>
  <si>
    <t>manuela.correa@unionsaludvida.com</t>
  </si>
  <si>
    <t>1037665850</t>
  </si>
  <si>
    <t>MANUELA GARAVITO RESTREPO</t>
  </si>
  <si>
    <t>manuela.garavito@unionsaludvida.com</t>
  </si>
  <si>
    <t>1000869686</t>
  </si>
  <si>
    <t>MANUELA GARCIA GUTIERREZ</t>
  </si>
  <si>
    <t>auxiliarsaludcordoba@unionsaludvida.com</t>
  </si>
  <si>
    <t>1017250750</t>
  </si>
  <si>
    <t>MANUELA GAVIRIA GOMEZ</t>
  </si>
  <si>
    <t>manuelagaviria.gomez@unionsaludvida.com</t>
  </si>
  <si>
    <t>MANUELA GAVIRIA VALENCIA</t>
  </si>
  <si>
    <t>1036670970</t>
  </si>
  <si>
    <t>MANUELA OSPINA ALZATE</t>
  </si>
  <si>
    <t>manuela.ospina@unionsaludvida.com</t>
  </si>
  <si>
    <t>1046668203</t>
  </si>
  <si>
    <t>MANUELA PEREZ GARCIA</t>
  </si>
  <si>
    <t>manuela.perez@unionsaludvida.com</t>
  </si>
  <si>
    <t>1037646403</t>
  </si>
  <si>
    <t>MANUELA QUINTERO PALACIOS</t>
  </si>
  <si>
    <t>manuela.quintero@unionsaludvida.com</t>
  </si>
  <si>
    <t>1214743121</t>
  </si>
  <si>
    <t>MANUELA RESTREPO MAZO</t>
  </si>
  <si>
    <t>manuela.mazo@unionsaludvida.com</t>
  </si>
  <si>
    <t>1040047359</t>
  </si>
  <si>
    <t>MANUELA TOBON CARMONA</t>
  </si>
  <si>
    <t>manuela.tobon@unionsaludvida.com</t>
  </si>
  <si>
    <t>1003382575</t>
  </si>
  <si>
    <t>MANUELA URBAEZ OLIVELLA</t>
  </si>
  <si>
    <t>manuela.urbaez@unionsaludvida.com</t>
  </si>
  <si>
    <t>1035440051</t>
  </si>
  <si>
    <t>MANUELA YEPES RAMIREZ</t>
  </si>
  <si>
    <t>manuela.ramirez@unionsaludvida.com</t>
  </si>
  <si>
    <t>1020468620</t>
  </si>
  <si>
    <t>MANUELA ZAPATA URREA</t>
  </si>
  <si>
    <t>manuela.zapata@unionsaludvida.com</t>
  </si>
  <si>
    <t>1037658448</t>
  </si>
  <si>
    <t>MARBELUZ GUTIERREZ SOLANO</t>
  </si>
  <si>
    <t>marbeluz.gutierrez@unionsaludvida.com</t>
  </si>
  <si>
    <t>1065651632</t>
  </si>
  <si>
    <t>MARCELO DE JESUS CARPIO BOSSIO</t>
  </si>
  <si>
    <t>marcelo.carpio@unionsaludvida.com</t>
  </si>
  <si>
    <t>1143166909</t>
  </si>
  <si>
    <t>MARCO ANDRE NAVARRO GAMARRA</t>
  </si>
  <si>
    <t>marco.navarro@unionsaludvida.com</t>
  </si>
  <si>
    <t>43750001</t>
  </si>
  <si>
    <t>MARGARITA MARIA PADILLA ZAPATA</t>
  </si>
  <si>
    <t>margarita.padilla@unionsaludvida.com</t>
  </si>
  <si>
    <t>43549579</t>
  </si>
  <si>
    <t>MARGARITA NELLY SEPULVEDA GALEANO</t>
  </si>
  <si>
    <t>margarita.sepulveda@unionsaludvida.com</t>
  </si>
  <si>
    <t>1003408837</t>
  </si>
  <si>
    <t>MARGARITA VALERIA PARRA VERGARA</t>
  </si>
  <si>
    <t>margarita.parra@unionsaludvida.com</t>
  </si>
  <si>
    <t>1143381184</t>
  </si>
  <si>
    <t>MARGELYS JARABA VALDEZ</t>
  </si>
  <si>
    <t>margelys.jaraba@unionsaludvida.com</t>
  </si>
  <si>
    <t>1017260265</t>
  </si>
  <si>
    <t>Auxiliar Contable</t>
  </si>
  <si>
    <t>MARGIE YULIETH ORTEGA ECHEVERRY</t>
  </si>
  <si>
    <t>auxiliarcontable@unionsaludvida.com</t>
  </si>
  <si>
    <t>1047390273</t>
  </si>
  <si>
    <t>Andes</t>
  </si>
  <si>
    <t>MARGIN FERNANDA IBARRA PADILLA</t>
  </si>
  <si>
    <t>margin.ibarra@unionsaludvida.com</t>
  </si>
  <si>
    <t>1152210131</t>
  </si>
  <si>
    <t>MARIA ALEJANDRA ARISTIZABAL GIRALDO</t>
  </si>
  <si>
    <t>alejandra.aristizabal@unionsaludvida.com</t>
  </si>
  <si>
    <t>1065850707</t>
  </si>
  <si>
    <t>MARIA ALEJANDRA ATUESTA ALARCON</t>
  </si>
  <si>
    <t>maria.atuesta@unionsaludvida.com</t>
  </si>
  <si>
    <t>1001684051</t>
  </si>
  <si>
    <t>MARIA ALEJANDRA BARANOA MENCO</t>
  </si>
  <si>
    <t>maria.baranoa@unionsaludvida.com</t>
  </si>
  <si>
    <t>1037637914</t>
  </si>
  <si>
    <t>MARIA ALEJANDRA BURITICA CORREA</t>
  </si>
  <si>
    <t>maria.buritica@unionsaludvida.com</t>
  </si>
  <si>
    <t>1037237026</t>
  </si>
  <si>
    <t>MARIA ALEJANDRA CEBALLOS GIRALDO</t>
  </si>
  <si>
    <t>alejandra.ceballos@unionsaludvida.com</t>
  </si>
  <si>
    <t>1143374524</t>
  </si>
  <si>
    <t>MARIA ALEJANDRA FALCON GUTIERREZ</t>
  </si>
  <si>
    <t>maria.falcon@unionsaludvida.com</t>
  </si>
  <si>
    <t>1017231342</t>
  </si>
  <si>
    <t>MARIA ALEJANDRA GOMEZ OTALVARO</t>
  </si>
  <si>
    <t>maria.otalvaro@unionsaludvida.com</t>
  </si>
  <si>
    <t>MARIA ALEJANDRA GUTIERREZ CORREA</t>
  </si>
  <si>
    <t>maria.correa@unionsaludvida.com</t>
  </si>
  <si>
    <t>1110582450</t>
  </si>
  <si>
    <t>MARIA ALEJANDRA GUZMAN RICO</t>
  </si>
  <si>
    <t>maria.guzman@unionsaludvida.com</t>
  </si>
  <si>
    <t>1026148048</t>
  </si>
  <si>
    <t>MARIA ALEJANDRA HOLGUIN MONTOYA</t>
  </si>
  <si>
    <t>maria.holguin@unionsaludvida.com</t>
  </si>
  <si>
    <t>1152471065</t>
  </si>
  <si>
    <t>MARIA ALEJANDRA LONDOÑO CARDONA</t>
  </si>
  <si>
    <t>alejandra.londono@unionsaludvida.com</t>
  </si>
  <si>
    <t>589412</t>
  </si>
  <si>
    <t>MARIA ALEJANDRA MEDINA PEROZO</t>
  </si>
  <si>
    <t>maria.medina@unionsaludvida.com</t>
  </si>
  <si>
    <t>1036963728</t>
  </si>
  <si>
    <t>MARIA ALEJANDRA OROZCO GIRALDO</t>
  </si>
  <si>
    <t>maria.orozco@unionsaludvida.com</t>
  </si>
  <si>
    <t>1001749312</t>
  </si>
  <si>
    <t>MARIA ALEJANDRA PARRA PUERTA</t>
  </si>
  <si>
    <t>auxiliarsaludcaldas@unionsaludvida.com</t>
  </si>
  <si>
    <t>1035442917</t>
  </si>
  <si>
    <t>MARIA ALEJANDRA PITALUA MORALES</t>
  </si>
  <si>
    <t>maria.pitalua@unionsaludvida.com</t>
  </si>
  <si>
    <t>1128458157</t>
  </si>
  <si>
    <t>MARIA ALEJANDRA RAMOS RIVAS</t>
  </si>
  <si>
    <t>maria.ramos@unionsaludvida.com</t>
  </si>
  <si>
    <t>1083048455</t>
  </si>
  <si>
    <t>MARIA ALEJANDRA RUIZ SANJUAN</t>
  </si>
  <si>
    <t>maria.sanjuan@unionsaludvida.com</t>
  </si>
  <si>
    <t>1040184590</t>
  </si>
  <si>
    <t>MARIA ALEJANDRA SANCHEZ CARMONA</t>
  </si>
  <si>
    <t>alejandra.carmona@unionsaludvida.com</t>
  </si>
  <si>
    <t>1152467699</t>
  </si>
  <si>
    <t>MARIA ALEJANDRA TORRES CEBALLOS</t>
  </si>
  <si>
    <t>alejandra.torres@unionsaludvida.com</t>
  </si>
  <si>
    <t>1193525239</t>
  </si>
  <si>
    <t>MARIA ALEXANDRA LOPEZ CHACON</t>
  </si>
  <si>
    <t>maria.chacon@unionsaludvida.com</t>
  </si>
  <si>
    <t>1143414921</t>
  </si>
  <si>
    <t>MARIA ANGELA QUIÑONEZ SILGADO</t>
  </si>
  <si>
    <t>maria.quinonez@unionsaludvida.com</t>
  </si>
  <si>
    <t>1007770630</t>
  </si>
  <si>
    <t>MARIA ANGELICA HERNANDEZ VILLALBA</t>
  </si>
  <si>
    <t>angelica.villalba@unionsaludvida.com</t>
  </si>
  <si>
    <t>1005679758</t>
  </si>
  <si>
    <t>MARIA ANGELICA MACEA ARRIETA</t>
  </si>
  <si>
    <t>maria.macea@unionsaludvida.com</t>
  </si>
  <si>
    <t>1126321093</t>
  </si>
  <si>
    <t>MARIA ANTONIA HENAO GONZALEZ</t>
  </si>
  <si>
    <t>maria.henao@unionsaludvida.com</t>
  </si>
  <si>
    <t>1020463650</t>
  </si>
  <si>
    <t>Gesis</t>
  </si>
  <si>
    <t>MARIA CAMILA ARISTIZABAL AGUIRRE</t>
  </si>
  <si>
    <t>analistadedatos@unionsaludvida.com</t>
  </si>
  <si>
    <t>1037570349</t>
  </si>
  <si>
    <t>MARIA CAMILA BUITRAGO VARGAS</t>
  </si>
  <si>
    <t>maria.buitrago@unionsaludvida.com</t>
  </si>
  <si>
    <t>1152210115</t>
  </si>
  <si>
    <t>MARIA CAMILA CARDONA OCAMPO</t>
  </si>
  <si>
    <t>maria.cardona@unionsaludvida.com</t>
  </si>
  <si>
    <t>1018513192</t>
  </si>
  <si>
    <t>MARIA CAMILA CHAVERRA PALACIO</t>
  </si>
  <si>
    <t>maria.chaverra@unionsaludvida.com</t>
  </si>
  <si>
    <t>1001360215</t>
  </si>
  <si>
    <t>MARIA CAMILA GONZALEZ CASTAÑEDA</t>
  </si>
  <si>
    <t>maria.castaneda@unionsaludvida.com</t>
  </si>
  <si>
    <t>1035284139</t>
  </si>
  <si>
    <t>MARIA CAMILA HIGUITA RESTREPO</t>
  </si>
  <si>
    <t>maria.higuita@unionsaludvida.com</t>
  </si>
  <si>
    <t>1007583436</t>
  </si>
  <si>
    <t>MARIA CAMILA LAMBRAÑO TORRES</t>
  </si>
  <si>
    <t>maria.lambrano@unionsaludvida.com</t>
  </si>
  <si>
    <t>1040183892</t>
  </si>
  <si>
    <t>MARIA CAMILA LOPEZ ARIAS</t>
  </si>
  <si>
    <t>maria.camila@unionsaludvida.com</t>
  </si>
  <si>
    <t>1144106565</t>
  </si>
  <si>
    <t>MARIA CAMILA MOLANO GIRALDO</t>
  </si>
  <si>
    <t>maria.molano@unionsaludvida.com</t>
  </si>
  <si>
    <t>1037665965</t>
  </si>
  <si>
    <t>MARIA CAMILA NOGUERA GUTIERREZ</t>
  </si>
  <si>
    <t>camila.noguera@unionsaludvida.com</t>
  </si>
  <si>
    <t>1152467860</t>
  </si>
  <si>
    <t>MARIA CAMILA PATIÑO PEREZ</t>
  </si>
  <si>
    <t>camila.patino@unionsaludvida.com</t>
  </si>
  <si>
    <t>1038412205</t>
  </si>
  <si>
    <t>MARIA CAMILA PELAEZ DOMINGUEZ</t>
  </si>
  <si>
    <t>maria.pelaez@unionsaludvida.com</t>
  </si>
  <si>
    <t>1037667887</t>
  </si>
  <si>
    <t>MARIA CAMILA RESTREPO CANO</t>
  </si>
  <si>
    <t>maria.restrepo@unionsaludvida.com</t>
  </si>
  <si>
    <t>1233189573</t>
  </si>
  <si>
    <t>MARIA CAMILA REVELO FLOREZ</t>
  </si>
  <si>
    <t>maria.revelo@unionsaludvida.com</t>
  </si>
  <si>
    <t>1007705398</t>
  </si>
  <si>
    <t>MARIA CAMILA RIAÑO CUBILLOS</t>
  </si>
  <si>
    <t>maria.riano@unionsaludvida.com</t>
  </si>
  <si>
    <t>1152214238</t>
  </si>
  <si>
    <t>MARIA CAMILA ROBLEDO ESPINAL</t>
  </si>
  <si>
    <t>maria.robledo@unionsaludvida.com</t>
  </si>
  <si>
    <t>1152224666</t>
  </si>
  <si>
    <t>MARIA CAMILA ROMERO BOJACA</t>
  </si>
  <si>
    <t>maria.romero@unionsaludvida.com</t>
  </si>
  <si>
    <t>1016090631</t>
  </si>
  <si>
    <t>MARIA CAMILA VALENCIA VALLEJO</t>
  </si>
  <si>
    <t>maria.valencia@unionsaludvida.com</t>
  </si>
  <si>
    <t>1032372417</t>
  </si>
  <si>
    <t>MARIA CAROLINA ESCORCIA BUENDIA</t>
  </si>
  <si>
    <t>mariaescorcia.contratista@unionsaludvida.com</t>
  </si>
  <si>
    <t>1066187569</t>
  </si>
  <si>
    <t>MARIA CAROLINA MENDOZA GUERRA</t>
  </si>
  <si>
    <t>maria.mendoza@unionsaludvida.com</t>
  </si>
  <si>
    <t>1000412686</t>
  </si>
  <si>
    <t>MARIA CAROLINA TORRES VILLEGAS</t>
  </si>
  <si>
    <t>carolina.torres@unionsaludvida.com</t>
  </si>
  <si>
    <t>1017254059</t>
  </si>
  <si>
    <t>MARIA CATALINA SOTO LOPEZ</t>
  </si>
  <si>
    <t>maria.soto@unionsaludvida.com</t>
  </si>
  <si>
    <t>1000416758</t>
  </si>
  <si>
    <t>MARIA CLARA ACOSTA GOMEZ</t>
  </si>
  <si>
    <t>maria.acosta@unionsaludvida.com</t>
  </si>
  <si>
    <t>1001477588</t>
  </si>
  <si>
    <t>MARIA CLARA CASTAÑO RIOS</t>
  </si>
  <si>
    <t>maria.rios@unionsaludvida.com</t>
  </si>
  <si>
    <t>43094645</t>
  </si>
  <si>
    <t>MARIA CLARA JARAMILLO ESTRADA</t>
  </si>
  <si>
    <t>clara.jaramillo@unionsaludvida.com</t>
  </si>
  <si>
    <t>1007433503</t>
  </si>
  <si>
    <t>MARIA CLARA MONTOYA ALZATE</t>
  </si>
  <si>
    <t>clara.montoya@unionsaludvida.com</t>
  </si>
  <si>
    <t>1020414545</t>
  </si>
  <si>
    <t>MARIA CRISTINA MUÑOZ VANEGAS</t>
  </si>
  <si>
    <t>maria.munoz@unionsaludvida.com</t>
  </si>
  <si>
    <t>32908266</t>
  </si>
  <si>
    <t>MARIA DEL ROSARIO SARMIENTO PIÑERES</t>
  </si>
  <si>
    <t>mariasarmiento.contratista@unionsaludvida.com</t>
  </si>
  <si>
    <t>1193459651</t>
  </si>
  <si>
    <t>MARIA ELENA PASTRANA DIAZ</t>
  </si>
  <si>
    <t>maria.pastrana@unionsaludvida.com</t>
  </si>
  <si>
    <t>32749647</t>
  </si>
  <si>
    <t>MARIA EUGENIA ASTUDILLO SOTO</t>
  </si>
  <si>
    <t>maria.astudillo@unionsaludvida.com</t>
  </si>
  <si>
    <t>57418917</t>
  </si>
  <si>
    <t xml:space="preserve">MARIA EUGENIA CERVANTES </t>
  </si>
  <si>
    <t>maria.cervantes@unionsaludvida.com</t>
  </si>
  <si>
    <t>1001137222</t>
  </si>
  <si>
    <t>MARIA FERNANDA ALVAREZ BUSTAMANTE</t>
  </si>
  <si>
    <t>fernanda.alvarez@unionsaludvida.com</t>
  </si>
  <si>
    <t>1000534951</t>
  </si>
  <si>
    <t>MARIA FERNANDA ANGEL ESCOBAR</t>
  </si>
  <si>
    <t>maria.angel@unionsaludvida.com</t>
  </si>
  <si>
    <t>1152456771</t>
  </si>
  <si>
    <t>MARIA FERNANDA CEBALLOS GUTIERREZ</t>
  </si>
  <si>
    <t>maria.ceballos@unionsaludvida.com</t>
  </si>
  <si>
    <t>1234096729</t>
  </si>
  <si>
    <t>MARIA FERNANDA DE LA HOZ MARRIAGA</t>
  </si>
  <si>
    <t>maria.hoz@unionsaludvida.com</t>
  </si>
  <si>
    <t>1143408442</t>
  </si>
  <si>
    <t>MARIA FERNANDA ECHEVERRY MANCERA</t>
  </si>
  <si>
    <t>maria.mancera@unionsaludvida.com</t>
  </si>
  <si>
    <t>1017255988</t>
  </si>
  <si>
    <t>MARIA FERNANDA ESTRADA MORENO</t>
  </si>
  <si>
    <t>maria.estrada@unionsaludvida.com</t>
  </si>
  <si>
    <t>1143447128</t>
  </si>
  <si>
    <t>MARIA FERNANDA GONZALEZ ALVARADO</t>
  </si>
  <si>
    <t>maria.alvarado@unionsaludvida.com</t>
  </si>
  <si>
    <t>29105906</t>
  </si>
  <si>
    <t>MARIA FERNANDA HINESTROZA UPEGUI</t>
  </si>
  <si>
    <t>maria.hinestrosa@unionsaludvida.com</t>
  </si>
  <si>
    <t>1005230147</t>
  </si>
  <si>
    <t>MARIA FERNANDA JURADO VALDERRAMA</t>
  </si>
  <si>
    <t>maria.jurado@unionsaludvida.com</t>
  </si>
  <si>
    <t>1003000892</t>
  </si>
  <si>
    <t>MARIA FERNANDA PASTRANA PACHECO</t>
  </si>
  <si>
    <t>fernanda.pastrana@unionsaludvida.com</t>
  </si>
  <si>
    <t>1035442374</t>
  </si>
  <si>
    <t>MARIA FERNANDA PEREZ PINO</t>
  </si>
  <si>
    <t>maria.pino@unionsaludvida.com</t>
  </si>
  <si>
    <t>1126706710</t>
  </si>
  <si>
    <t>MARIA FLOR CARMONA YEPEZ</t>
  </si>
  <si>
    <t>maria.yepez@unionsaludvida.com</t>
  </si>
  <si>
    <t>1007286999</t>
  </si>
  <si>
    <t>MARIA ISABEL AGUDELO FIGUEROA</t>
  </si>
  <si>
    <t>maria.figueroa@unionsaludvida.com</t>
  </si>
  <si>
    <t>1007508802</t>
  </si>
  <si>
    <t>MARIA ISABEL BENITEZ ESPINOSA</t>
  </si>
  <si>
    <t>maria.benitez@unionsaludvida.com</t>
  </si>
  <si>
    <t>1017270515</t>
  </si>
  <si>
    <t>MARIA ISABEL ROJO MONSALVE</t>
  </si>
  <si>
    <t>maria.rojo@unionsaludvida.com</t>
  </si>
  <si>
    <t>1043004208</t>
  </si>
  <si>
    <t>MARIA JESUS CAPDEVILLA ARGUELLO</t>
  </si>
  <si>
    <t>maria.capdevilla@unionsaludvida.com</t>
  </si>
  <si>
    <t>1082984414</t>
  </si>
  <si>
    <t>MARIA JOSE ANTELIZ SIERRA</t>
  </si>
  <si>
    <t>maria.anteliz@unionsaludvida.com</t>
  </si>
  <si>
    <t>1001782820</t>
  </si>
  <si>
    <t>MARIA JOSE ARIZA LLANOS</t>
  </si>
  <si>
    <t>maria.ariza@unionsaludvida.com</t>
  </si>
  <si>
    <t>1005582317</t>
  </si>
  <si>
    <t>MARIA JOSE ARRIETA HERNANDEZ</t>
  </si>
  <si>
    <t>maria.arieta@unionsaludvida.com</t>
  </si>
  <si>
    <t>1069504441</t>
  </si>
  <si>
    <t>MARIA JOSE BULA URDA</t>
  </si>
  <si>
    <t>maria.bula@unionsaludvida.com</t>
  </si>
  <si>
    <t>1037669484</t>
  </si>
  <si>
    <t>MARIA JOSE CALDERON CADAVID</t>
  </si>
  <si>
    <t>maria.cadavid@unionsaludvida.com</t>
  </si>
  <si>
    <t>MARIA JOSE CASTELLANOS FUENTES</t>
  </si>
  <si>
    <t>maria.castellanos@unionsaludvida.com</t>
  </si>
  <si>
    <t>1001479648</t>
  </si>
  <si>
    <t>MARIA JOSE GOMEZ AREVALO</t>
  </si>
  <si>
    <t>mariajose.gomez@unionsaludvida.com</t>
  </si>
  <si>
    <t>1193106850</t>
  </si>
  <si>
    <t>MARIA JOSE MANCILLA CERVANTES</t>
  </si>
  <si>
    <t>maria.mancilla@unionsaludvida.com</t>
  </si>
  <si>
    <t>1123633844</t>
  </si>
  <si>
    <t>MARIA JOSE MIRANDA MARRUGO</t>
  </si>
  <si>
    <t>maria.marrugo@unionsaludvida.com</t>
  </si>
  <si>
    <t>1003290719</t>
  </si>
  <si>
    <t>MARIA JOSE ORTEGA SOTELO</t>
  </si>
  <si>
    <t>maria.sotelo@unionsaludvida.com</t>
  </si>
  <si>
    <t>1143406416</t>
  </si>
  <si>
    <t>MARIA JOSE PEREZ CERPA</t>
  </si>
  <si>
    <t>maria.cerpa@unionsaludvida.com</t>
  </si>
  <si>
    <t>1216726482</t>
  </si>
  <si>
    <t>MARIA JOSE SANTAMARIA GALLEGO</t>
  </si>
  <si>
    <t>maria.santamaria@unionsaludvida.com</t>
  </si>
  <si>
    <t>1193580409</t>
  </si>
  <si>
    <t>MARIA JOSE TOVAR MEJIA</t>
  </si>
  <si>
    <t>maria.tovar@unionsaludvida.com</t>
  </si>
  <si>
    <t>1035436500</t>
  </si>
  <si>
    <t>MARIA LAURA ZULETA GONZALEZ</t>
  </si>
  <si>
    <t>maria.zuleta@unionsaludvida.com</t>
  </si>
  <si>
    <t>1067948160</t>
  </si>
  <si>
    <t>MARIA LIGIA NIETO VELASQUEZ</t>
  </si>
  <si>
    <t>maria.nieto@unionsaludvida.com</t>
  </si>
  <si>
    <t>1140835497</t>
  </si>
  <si>
    <t>MARIA MARCELA HERNANDEZ AMELL</t>
  </si>
  <si>
    <t>maria.hernandez@unionsaludvida.com</t>
  </si>
  <si>
    <t>1193584838</t>
  </si>
  <si>
    <t>MARIA PAOLA BUSTAMANTE SANDOVAL</t>
  </si>
  <si>
    <t>maria.bustamante@unionsaludvida.com</t>
  </si>
  <si>
    <t>1036689279</t>
  </si>
  <si>
    <t>Profesional Gestion Humana - B</t>
  </si>
  <si>
    <t>MARIA PAULA GARCIA JARAMILLO</t>
  </si>
  <si>
    <t>profesionalgh@unionsaludvida.com</t>
  </si>
  <si>
    <t>1000944725</t>
  </si>
  <si>
    <t>MARIA PAULA GONZALEZ VELANDIA</t>
  </si>
  <si>
    <t>maria.velandia@unionsaludvida.com</t>
  </si>
  <si>
    <t>1005419095</t>
  </si>
  <si>
    <t>MARIA PAULA NAVARRO ULLOA</t>
  </si>
  <si>
    <t>maria.navarro@unionsaludvida.com</t>
  </si>
  <si>
    <t>1037668455</t>
  </si>
  <si>
    <t>MARIA PAULA SALAMANCA DUQUE</t>
  </si>
  <si>
    <t>maria.salamanca@unionsaludvida.com</t>
  </si>
  <si>
    <t>1028036325</t>
  </si>
  <si>
    <t>MARIA PAULINA AVILA MANOTAS</t>
  </si>
  <si>
    <t>maria.avila@unionsaludvida.com</t>
  </si>
  <si>
    <t>1047503032</t>
  </si>
  <si>
    <t>MARIA RAQUEL BLANQUICETT RAMOS</t>
  </si>
  <si>
    <t>maria.blanquicett@unionsaludvida.com</t>
  </si>
  <si>
    <t>1002820509</t>
  </si>
  <si>
    <t>MARIA SALOME BRAVO MOLINA</t>
  </si>
  <si>
    <t>maria.bravo@unionsaludvida.com</t>
  </si>
  <si>
    <t>1047466818</t>
  </si>
  <si>
    <t>MARIA TERESA DIAZ MURILLO</t>
  </si>
  <si>
    <t>maria.diaz@unionsaludvida.com</t>
  </si>
  <si>
    <t>1047360128</t>
  </si>
  <si>
    <t>MARIALY MILE MERCADO CABALLERO</t>
  </si>
  <si>
    <t>marialy.mercado@unionsaludvida.com</t>
  </si>
  <si>
    <t>1039473466</t>
  </si>
  <si>
    <t>MARIAM NATALIA PATIÑO ZARAZA</t>
  </si>
  <si>
    <t>mariam.zaraza@unionsaludvida.com</t>
  </si>
  <si>
    <t>22659381</t>
  </si>
  <si>
    <t>MARIAN MELISA MOLINA ARCIA</t>
  </si>
  <si>
    <t>marian.molina@unionsaludvida.com</t>
  </si>
  <si>
    <t>1001710094</t>
  </si>
  <si>
    <t>Auxiliar Gestion Humana</t>
  </si>
  <si>
    <t>MARIANA ALVAREZ VELEZ</t>
  </si>
  <si>
    <t>auxgestionhumana@unionsaludvida.com</t>
  </si>
  <si>
    <t>1152472145</t>
  </si>
  <si>
    <t>MARIANA BELLO ERASO</t>
  </si>
  <si>
    <t>mariana.bello@unionsaludvida.com</t>
  </si>
  <si>
    <t>1000644611</t>
  </si>
  <si>
    <t>MARIANA BETANCOURT CORREA</t>
  </si>
  <si>
    <t>mariana.betancourt@unionsaludvida.com</t>
  </si>
  <si>
    <t>1003393673</t>
  </si>
  <si>
    <t>MARIANA CABALLERO LAGARES</t>
  </si>
  <si>
    <t>mariana.caballero@unionsaludvida.com</t>
  </si>
  <si>
    <t>1099551759</t>
  </si>
  <si>
    <t>MARIANA GALLEGO VERGARA</t>
  </si>
  <si>
    <t>mariana.gallego@unionsaludvida.com</t>
  </si>
  <si>
    <t>1152462501</t>
  </si>
  <si>
    <t>MARIANA GOMEZ MERCHAN</t>
  </si>
  <si>
    <t>mariana.merchan@unionsaludvida.com</t>
  </si>
  <si>
    <t>1001366276</t>
  </si>
  <si>
    <t>MARIANA LOPEZ VELASQUEZ</t>
  </si>
  <si>
    <t>mariana.lopez@unionsaludvida.com</t>
  </si>
  <si>
    <t>1000416307</t>
  </si>
  <si>
    <t>MARIANA MANOTAS CAÑAS</t>
  </si>
  <si>
    <t>mariana.manotas@unionsaludvida.com</t>
  </si>
  <si>
    <t>1037671780</t>
  </si>
  <si>
    <t>MARIANA OCHOA MUNERA</t>
  </si>
  <si>
    <t>mariana.munera@unionsaludvida.com</t>
  </si>
  <si>
    <t>1000759787</t>
  </si>
  <si>
    <t>MARIANA PATIÑO DUQUE</t>
  </si>
  <si>
    <t>mariana.patino@unionsaludvida.com</t>
  </si>
  <si>
    <t>1000535111</t>
  </si>
  <si>
    <t>MARIANA PEREZ ISAZA</t>
  </si>
  <si>
    <t>mariana.perez@unionsaludvida.com</t>
  </si>
  <si>
    <t>1001419919</t>
  </si>
  <si>
    <t>MARIANA SUAREZ PALACIO</t>
  </si>
  <si>
    <t>mariana.suarez@unionsaludvida.com</t>
  </si>
  <si>
    <t>1037608343</t>
  </si>
  <si>
    <t>MARIANA TABARES FERNANDEZ</t>
  </si>
  <si>
    <t>mariana.tabares@unionsaludvida.com</t>
  </si>
  <si>
    <t>1057608489</t>
  </si>
  <si>
    <t>MARIANA VALENTINA BORJA PRECIADO</t>
  </si>
  <si>
    <t>mariana.borja@unionsaludvida.com</t>
  </si>
  <si>
    <t>55234251</t>
  </si>
  <si>
    <t>MARICELA ESTHER ECHEVERRIA VALVERDE</t>
  </si>
  <si>
    <t>maricela.echeverria@unionsaludvida.com</t>
  </si>
  <si>
    <t>1214717629</t>
  </si>
  <si>
    <t>MARIO ALBERTO VALLECILLA VALENCIA</t>
  </si>
  <si>
    <t>mario.vallecilla@unionsaludvida.com</t>
  </si>
  <si>
    <t>71689195</t>
  </si>
  <si>
    <t>MARIO DUBAN RUIZ CASTAÑO</t>
  </si>
  <si>
    <t>mario.ruiz@unionsaludvida.com</t>
  </si>
  <si>
    <t>1037613677</t>
  </si>
  <si>
    <t>MARISOL CARDONA SOTO</t>
  </si>
  <si>
    <t>marisol.cardona@unionsaludvida.com</t>
  </si>
  <si>
    <t>1152186689</t>
  </si>
  <si>
    <t>Santuario</t>
  </si>
  <si>
    <t>MARISOL DELGADO OROZCO</t>
  </si>
  <si>
    <t>marisol.delgado@unionsaludvida.com</t>
  </si>
  <si>
    <t>63486007</t>
  </si>
  <si>
    <t>MARITZA DUQUE VARGAS</t>
  </si>
  <si>
    <t>maritza.vargas@unionsaludvida.com</t>
  </si>
  <si>
    <t>1000755559</t>
  </si>
  <si>
    <t>MARIZABETH RAMIREZ JARAMILLO</t>
  </si>
  <si>
    <t>marizabeth.ramirez@unionsaludvida.com</t>
  </si>
  <si>
    <t>1020420021</t>
  </si>
  <si>
    <t>MARLIN JULIANA LOPEZ VASQUEZ</t>
  </si>
  <si>
    <t>marlin.lopez@unionsaludvida.com</t>
  </si>
  <si>
    <t>1102233430</t>
  </si>
  <si>
    <t>MARLY TATIANA OVIEDO CALI</t>
  </si>
  <si>
    <t>marly.oviedo@unionsaludvida.com</t>
  </si>
  <si>
    <t>42731678</t>
  </si>
  <si>
    <t>Director General</t>
  </si>
  <si>
    <t>MARTHA CATALINA CARDONA ARANGO</t>
  </si>
  <si>
    <t>catalina.cardona@unionsaludvida.com</t>
  </si>
  <si>
    <t>57462425</t>
  </si>
  <si>
    <t>MARTHA IRENE GALVAN VILLA</t>
  </si>
  <si>
    <t>martha.galvan@unionsaludvida.com</t>
  </si>
  <si>
    <t>43260881</t>
  </si>
  <si>
    <t>MARTHA LUCIA CASTAÑO GAVIRIA</t>
  </si>
  <si>
    <t>martha.castano@unionsaludvida.com</t>
  </si>
  <si>
    <t>45550369</t>
  </si>
  <si>
    <t>MARTHA LUCIA PEREZ BLANCO</t>
  </si>
  <si>
    <t>martha.perez@unionsaludvida.com</t>
  </si>
  <si>
    <t>36724938</t>
  </si>
  <si>
    <t>MARTHA MARIA RANGEL GUTIERREZ</t>
  </si>
  <si>
    <t>martharangel.contratista@unionsaludvida.com</t>
  </si>
  <si>
    <t>1143345388</t>
  </si>
  <si>
    <t>MARY LAURA JIMENEZ ALVEAR</t>
  </si>
  <si>
    <t>mary.jimenez@unionsaludvida.com</t>
  </si>
  <si>
    <t>43919361</t>
  </si>
  <si>
    <t>MARY LUZ ESCOBAR VALENCIA</t>
  </si>
  <si>
    <t>mary.escobar@unionsaludvida.com</t>
  </si>
  <si>
    <t>1038336540</t>
  </si>
  <si>
    <t>MARY LUZ ROLDAN GUTIERREZ</t>
  </si>
  <si>
    <t>mary.roldan@unionsaludvida.com</t>
  </si>
  <si>
    <t>1039472570</t>
  </si>
  <si>
    <t>MATEO GOMEZ OSORIO</t>
  </si>
  <si>
    <t>mateo.gomez@unionsaludvida.com</t>
  </si>
  <si>
    <t>1037650883</t>
  </si>
  <si>
    <t>MATEO JARAMILLO CALLE</t>
  </si>
  <si>
    <t>mateo.jaramillo@unionsaludvida.com</t>
  </si>
  <si>
    <t>1040755197</t>
  </si>
  <si>
    <t>MATEO MARIN BEDOYA</t>
  </si>
  <si>
    <t>mateo.marin@unionsaludvida.com</t>
  </si>
  <si>
    <t>1040182362</t>
  </si>
  <si>
    <t>MATHIAS AGUDELO RUIZ</t>
  </si>
  <si>
    <t>mathias.agudelo@unionsaludvida.com</t>
  </si>
  <si>
    <t>1043027943</t>
  </si>
  <si>
    <t>MAURICIO ANDRES MERCADO VIZCAINO</t>
  </si>
  <si>
    <t>mauricio.mercado@unionsaludvida.com</t>
  </si>
  <si>
    <t>43267488</t>
  </si>
  <si>
    <t>MAVHIS JOHANA SABALZA NEGRETE</t>
  </si>
  <si>
    <t>mavhis.johana@unionsaludvida.com</t>
  </si>
  <si>
    <t>1003293335</t>
  </si>
  <si>
    <t>MAYERLIS LARREA GOMEZ</t>
  </si>
  <si>
    <t>auxiliarsaludlaestrella@unionsaludvida.com</t>
  </si>
  <si>
    <t>1047398558</t>
  </si>
  <si>
    <t>MAYLEEN CHAVEZ YANCES</t>
  </si>
  <si>
    <t>mayleen.yances@unionsaludvida.com</t>
  </si>
  <si>
    <t>1020466610</t>
  </si>
  <si>
    <t>MAYRA ALEJANDRA SANCHEZ MONTOYA</t>
  </si>
  <si>
    <t>mayra.sanchez@unionsaludvida.com</t>
  </si>
  <si>
    <t>MAYRA ALEJANDRA TESILLO SOSA</t>
  </si>
  <si>
    <t>mayra.tesillo@unionsaludvida.com</t>
  </si>
  <si>
    <t>1127598627</t>
  </si>
  <si>
    <t>MAYRLEX ALEJANDRA BOHORQUEZ RESTREPO</t>
  </si>
  <si>
    <t>mayrlex.bohorquez@unionsaludvida.com</t>
  </si>
  <si>
    <t>73143394</t>
  </si>
  <si>
    <t>MEISSER ALBERTO LOPEZ CORDOBA</t>
  </si>
  <si>
    <t>meisser.lopez@unionsaludvida.com</t>
  </si>
  <si>
    <t>1007253141</t>
  </si>
  <si>
    <t>MELANNY VANEGAS GOMEZ</t>
  </si>
  <si>
    <t>auxiliarsaludenvigado@unionsaludvida.com</t>
  </si>
  <si>
    <t>1020104927</t>
  </si>
  <si>
    <t>MELANY ALBARAN AGUDELO</t>
  </si>
  <si>
    <t>auxiliarsaludbello2@unionsaludvida.com</t>
  </si>
  <si>
    <t>1000641023</t>
  </si>
  <si>
    <t>MELANY FORONDA QUINTERO</t>
  </si>
  <si>
    <t>melany.foronda@unionsaludvida.com</t>
  </si>
  <si>
    <t>1001996913</t>
  </si>
  <si>
    <t>MELANY MICHELL MONTES IBAÑEZ</t>
  </si>
  <si>
    <t>melany.montes@unionsaludvida.com</t>
  </si>
  <si>
    <t>1010149319</t>
  </si>
  <si>
    <t>MELANY YULIETH CAICEDO DE LEON</t>
  </si>
  <si>
    <t>melany.caicedo@unionsaludvida.com</t>
  </si>
  <si>
    <t>1000405583</t>
  </si>
  <si>
    <t>MELISA RINCON MEDINA</t>
  </si>
  <si>
    <t>melisa.rincon@unionsaludvida.com</t>
  </si>
  <si>
    <t>1037650708</t>
  </si>
  <si>
    <t>MELISSA AGUDELO MONTAÑO</t>
  </si>
  <si>
    <t>melissa.agudelo@unionsaludvida.com</t>
  </si>
  <si>
    <t>1045524948</t>
  </si>
  <si>
    <t>MELISSA MACHADO ROMAÑA</t>
  </si>
  <si>
    <t>melissa.machado@unionsaludvida.com</t>
  </si>
  <si>
    <t>1036662302</t>
  </si>
  <si>
    <t>MELISSA MORALES TORO</t>
  </si>
  <si>
    <t>melissa.morales@unionsaludvida.com</t>
  </si>
  <si>
    <t>42158742</t>
  </si>
  <si>
    <t>MELISSA PINEDA BOLIVAR</t>
  </si>
  <si>
    <t>melissa.pineda@unionsaludvida.com</t>
  </si>
  <si>
    <t>1152698419</t>
  </si>
  <si>
    <t>MELISSA PINO SUCERQUIA</t>
  </si>
  <si>
    <t>melissa.pino@unionsaludvida.com</t>
  </si>
  <si>
    <t>1047490268</t>
  </si>
  <si>
    <t>MELISSA VILLEGAS PEREIRA</t>
  </si>
  <si>
    <t>melissa.villegas@unionsaludvida.com</t>
  </si>
  <si>
    <t>1000886228</t>
  </si>
  <si>
    <t>MICHEL DAYANA CHAVEZ MUÑOZ</t>
  </si>
  <si>
    <t>comunicacionesgestac@unionsaludvida.com</t>
  </si>
  <si>
    <t>1143362985</t>
  </si>
  <si>
    <t>MICHEL RAFAEL PEREZ MARRUGO</t>
  </si>
  <si>
    <t>michel.perez@unionsaludvida.com</t>
  </si>
  <si>
    <t>1005680932</t>
  </si>
  <si>
    <t>MICHELLE PAOLA BALLENA ASSIA</t>
  </si>
  <si>
    <t>michelle.ballena@unionsaludvida.com</t>
  </si>
  <si>
    <t>87940495</t>
  </si>
  <si>
    <t>MIGDONIO MEZA IBARBO</t>
  </si>
  <si>
    <t>migdonio.meza@unionsaludvida.com</t>
  </si>
  <si>
    <t>1037661959</t>
  </si>
  <si>
    <t>MIGUEL ANGEL TAMAYO ARBELAEZ</t>
  </si>
  <si>
    <t>miguel.tamayo@unionsaludvida.com</t>
  </si>
  <si>
    <t>1004463773</t>
  </si>
  <si>
    <t>MIGUEL ANGEL VELILLA NAVARRO</t>
  </si>
  <si>
    <t>miguel.velilla@unionsaludvida.com</t>
  </si>
  <si>
    <t>1017262220</t>
  </si>
  <si>
    <t>MIGUEL CASTAÑO BOTERO</t>
  </si>
  <si>
    <t>miguel.botero@unionsaludvida.com</t>
  </si>
  <si>
    <t>1047476960</t>
  </si>
  <si>
    <t>MIGUEL EDUARDO MUÑOZ CONTRERAS</t>
  </si>
  <si>
    <t>miguel.munoz@unionsaludvida.com</t>
  </si>
  <si>
    <t>1065588945</t>
  </si>
  <si>
    <t>MIGUEL JOSE VILLAZON LOZADA</t>
  </si>
  <si>
    <t>miguel.villazon@unionsaludvida.com</t>
  </si>
  <si>
    <t>1234096106</t>
  </si>
  <si>
    <t>MILEIDY JOHANNA SANTIAGO REVOLLO</t>
  </si>
  <si>
    <t>mileidy.santiago@unionsaludvida.com</t>
  </si>
  <si>
    <t>55233478</t>
  </si>
  <si>
    <t>MILENA ESTHER CHAVEZ FERREIRA</t>
  </si>
  <si>
    <t>milena.chavez@unionsaludvida.com</t>
  </si>
  <si>
    <t>32938402</t>
  </si>
  <si>
    <t>MIRTHA LEONOR COHEN MARTINEZ</t>
  </si>
  <si>
    <t>mirtha.cohen@unionsaludvida.com</t>
  </si>
  <si>
    <t>72244046</t>
  </si>
  <si>
    <t>MISAEL ADOLFO RUIZ CORONADO</t>
  </si>
  <si>
    <t>misael.ruiz@unionsaludvida.com</t>
  </si>
  <si>
    <t>1001853191</t>
  </si>
  <si>
    <t>MISHELLE CABALLERO CASTRO</t>
  </si>
  <si>
    <t>mishelle.caballero@unionsaludvida.com</t>
  </si>
  <si>
    <t>43608172</t>
  </si>
  <si>
    <t>MONICA BEATRIZ BOTERO GAVIRIA</t>
  </si>
  <si>
    <t>monica.botero@unionsaludvida.com</t>
  </si>
  <si>
    <t>1013557249</t>
  </si>
  <si>
    <t>MONICA MARCELA ZULETA JIMENEZ</t>
  </si>
  <si>
    <t>monica.zuleta@unionsaludvida.com</t>
  </si>
  <si>
    <t>32299090</t>
  </si>
  <si>
    <t>MONICA MARIA OCHOA GALVIS</t>
  </si>
  <si>
    <t>monica.ochoa@unionsaludvida.com</t>
  </si>
  <si>
    <t>1036839235</t>
  </si>
  <si>
    <t>Medico Laboral</t>
  </si>
  <si>
    <t>MONICA MILENA RAMOS DAVID</t>
  </si>
  <si>
    <t>medicolaboralut@unionsaludvida.com</t>
  </si>
  <si>
    <t>43628997</t>
  </si>
  <si>
    <t>MONICA PATRICIA PAEZ LOZANO</t>
  </si>
  <si>
    <t>monica.paez@unionsaludvida.com</t>
  </si>
  <si>
    <t>1121338862</t>
  </si>
  <si>
    <t>MORELIA SOFIA PIZARRO MARTINEZ</t>
  </si>
  <si>
    <t>morelia.pizarro@unionsaludvida.com</t>
  </si>
  <si>
    <t>1127339766</t>
  </si>
  <si>
    <t>NADIA ALEJANDRA MERCHAN FONTECHA</t>
  </si>
  <si>
    <t>nadia.merchan@unionsaludvida.com</t>
  </si>
  <si>
    <t>1040042849</t>
  </si>
  <si>
    <t>La Union Vallejuelo</t>
  </si>
  <si>
    <t>NANCY LICETH PATIÑO JARAMILLO</t>
  </si>
  <si>
    <t>nancy.patino@unionsaludvida.com</t>
  </si>
  <si>
    <t>1000640883</t>
  </si>
  <si>
    <t>NATALI RAMOS SANCHEZ</t>
  </si>
  <si>
    <t>natali.ramos@unionsaludvida.com</t>
  </si>
  <si>
    <t>43221728</t>
  </si>
  <si>
    <t>NATALIA ANDREA HERRERA VASQUEZ</t>
  </si>
  <si>
    <t>natalia.herrera@unionsaludvida.com</t>
  </si>
  <si>
    <t>1007414707</t>
  </si>
  <si>
    <t>NATALIA CAICEDO GUEVARA</t>
  </si>
  <si>
    <t>natalia.caicedo@unionsaludvida.com</t>
  </si>
  <si>
    <t>24335668</t>
  </si>
  <si>
    <t xml:space="preserve">NATALIA CAMPUZANO PIEDRAHITA </t>
  </si>
  <si>
    <t>nataliacampuzano.contratista@unionsaludvida.com</t>
  </si>
  <si>
    <t>1017181748</t>
  </si>
  <si>
    <t>NATALIA CELESTE PEREZ ASPRILLA</t>
  </si>
  <si>
    <t>natalia.perez@unionsaludvida.com</t>
  </si>
  <si>
    <t>1017267628</t>
  </si>
  <si>
    <t>NATALIA MONTOYA ATEHORTUA</t>
  </si>
  <si>
    <t>natalia.montoya@unionsaludvida.com</t>
  </si>
  <si>
    <t>1002192247</t>
  </si>
  <si>
    <t>NATALIA NICOLE MEZA PRADA</t>
  </si>
  <si>
    <t>natalia.meza@unionsaludvida.com</t>
  </si>
  <si>
    <t>1152434926</t>
  </si>
  <si>
    <t>NATALIA PAMELA SEPULVEDA MONTOYA</t>
  </si>
  <si>
    <t>natalia.sepulveda@unionsaludvida.com</t>
  </si>
  <si>
    <t>1007743475</t>
  </si>
  <si>
    <t>NATALIA PEÑA EUSSE</t>
  </si>
  <si>
    <t>natalia.eusse@unionsaludvida.com</t>
  </si>
  <si>
    <t>1122416469</t>
  </si>
  <si>
    <t>NATALIA SOFIA ROBLES CUELLO</t>
  </si>
  <si>
    <t>natalia.robles@unionsaludvida.com</t>
  </si>
  <si>
    <t>1047509880</t>
  </si>
  <si>
    <t>NATALIE OSPINA ORTEGA</t>
  </si>
  <si>
    <t>natalie.ospina@unionsaludvida.com</t>
  </si>
  <si>
    <t>1037646627</t>
  </si>
  <si>
    <t>NATALY AMAYA BEDOYA</t>
  </si>
  <si>
    <t>nataly.amaya@unionsaludvida.com</t>
  </si>
  <si>
    <t>1028016400</t>
  </si>
  <si>
    <t>NEIFER ALEXANDER CASTRO SANCHEZ</t>
  </si>
  <si>
    <t>auxiliarsaludurabanorte@unionsaludvida.com</t>
  </si>
  <si>
    <t>71387773</t>
  </si>
  <si>
    <t>Lider De Tecnologia De Inf Y Proyectos</t>
  </si>
  <si>
    <t>NESTOR MAURICIO MARIN MONTOYA</t>
  </si>
  <si>
    <t>lidertic@unionsaludvida.com</t>
  </si>
  <si>
    <t>1020481316</t>
  </si>
  <si>
    <t>NICOLAS RAMIREZ GARCIA</t>
  </si>
  <si>
    <t>nicolas.ramirez@unionsaludvida.com</t>
  </si>
  <si>
    <t>1005180589</t>
  </si>
  <si>
    <t>NICOLE ANDREA BULLA MARMOL</t>
  </si>
  <si>
    <t>nicole.bulla@unionsaludvida.com</t>
  </si>
  <si>
    <t>1020827332</t>
  </si>
  <si>
    <t>NICOLE DANIELA ROJAS VASQUEZ</t>
  </si>
  <si>
    <t>nicole.rojas@unionsaludvida.com</t>
  </si>
  <si>
    <t>45547324</t>
  </si>
  <si>
    <t>NORIS PAOLA CASTAÑO GOMEZ</t>
  </si>
  <si>
    <t>noris.castano@unionsaludvida.com</t>
  </si>
  <si>
    <t>1143338188</t>
  </si>
  <si>
    <t>OLGA PAOLA CISNEROS VASQUEZ</t>
  </si>
  <si>
    <t>olga.cisneros@unionsaludvida.com</t>
  </si>
  <si>
    <t>78708152</t>
  </si>
  <si>
    <t>OLIMPO REMIGIO CARCAMO MENDEZ</t>
  </si>
  <si>
    <t>olimpo.carcamo@unionsaludvida.com</t>
  </si>
  <si>
    <t>1050965861</t>
  </si>
  <si>
    <t>ONEIZY PATRICIA BONFANTE LUNA</t>
  </si>
  <si>
    <t>oneizy.bonfante@unionsaludvida.com</t>
  </si>
  <si>
    <t>71704466</t>
  </si>
  <si>
    <t>ONOFRE ANTONIO PINEDA PINEDA</t>
  </si>
  <si>
    <t>onofre.pineda@unionsaludvida.com</t>
  </si>
  <si>
    <t>72001048</t>
  </si>
  <si>
    <t>ORLANDO ENRIQUE BONETT GARCIA</t>
  </si>
  <si>
    <t>orlando.bonett@unionsaludvida.com</t>
  </si>
  <si>
    <t>1007126151</t>
  </si>
  <si>
    <t>ORLANDO JAVIER MUÑOZ GARCIA</t>
  </si>
  <si>
    <t>orlando.garcia@unionsaludvida.com</t>
  </si>
  <si>
    <t>1143446995</t>
  </si>
  <si>
    <t>ORLENIS MARIA SIERRA OCHOA</t>
  </si>
  <si>
    <t>orlenis.sierra@unionsaludvida.com</t>
  </si>
  <si>
    <t>1102870987</t>
  </si>
  <si>
    <t>OSCAR ANDRES TAMARA PIZARRO</t>
  </si>
  <si>
    <t>oscar.tamara@unionsaludvida.com</t>
  </si>
  <si>
    <t>1090413723</t>
  </si>
  <si>
    <t>OSCAR AURELIO BELTRAN HERNANDEZ</t>
  </si>
  <si>
    <t>oscar.beltran@unionsaludvida.com</t>
  </si>
  <si>
    <t>OSCAR IVAN ARANGO ARANGO</t>
  </si>
  <si>
    <t>oscar.arango@unionsaludvida.com</t>
  </si>
  <si>
    <t>79958528</t>
  </si>
  <si>
    <t>OSCAR MAURICIO GUTIERREZ PINZON</t>
  </si>
  <si>
    <t>oscar.gutierrez@unionsaludvida.com</t>
  </si>
  <si>
    <t>1002208089</t>
  </si>
  <si>
    <t>OSWALDO JOSE DAGUER VILLAR</t>
  </si>
  <si>
    <t>oswaldo.daguer@unionsaludvida.com</t>
  </si>
  <si>
    <t>1020485217</t>
  </si>
  <si>
    <t>PABLO ANDRES ARROYAVE GUZMAN</t>
  </si>
  <si>
    <t>pablo.guzman@unionsaludvida.com</t>
  </si>
  <si>
    <t>1143455309</t>
  </si>
  <si>
    <t>PABLO JUNIOR ARRIETA RIVAS</t>
  </si>
  <si>
    <t>pablo.arrieta@unionsaludvida.com</t>
  </si>
  <si>
    <t>1001013545</t>
  </si>
  <si>
    <t>PAMELA CALACA BETANCUR</t>
  </si>
  <si>
    <t>pamela.calaca@unionsaludvida.com</t>
  </si>
  <si>
    <t>1045720633</t>
  </si>
  <si>
    <t>PAMELA LIX SUAREZ JARAMILLO</t>
  </si>
  <si>
    <t>pamela.jaramillo@unionsaludvida.com</t>
  </si>
  <si>
    <t>1000181328</t>
  </si>
  <si>
    <t>PAOLA ANDREA HUERTAS AREVALO</t>
  </si>
  <si>
    <t>paola.huertas@unionsaludvida.com</t>
  </si>
  <si>
    <t>1037606229</t>
  </si>
  <si>
    <t>PAOLA ANDREA PIÑA ZAPATA</t>
  </si>
  <si>
    <t>paola.pina@unionsaludvida.com</t>
  </si>
  <si>
    <t>1065915757</t>
  </si>
  <si>
    <t>PAOLA ANDREA RINCON DURAN</t>
  </si>
  <si>
    <t>paola.rincon@unionsaludvida.com</t>
  </si>
  <si>
    <t>1094971283</t>
  </si>
  <si>
    <t>PAOLA ANDREA SALAZAR ARENAS</t>
  </si>
  <si>
    <t>paola.salazar@unionsaludvida.com</t>
  </si>
  <si>
    <t>1020410975</t>
  </si>
  <si>
    <t>PAOLA ANDREA VILLA YARCE</t>
  </si>
  <si>
    <t>paola.villa@unionsaludvida.com</t>
  </si>
  <si>
    <t>1083006243</t>
  </si>
  <si>
    <t>PAOLA MARIA BLANCO PERTUZ</t>
  </si>
  <si>
    <t>paola.blanco@unionsaludvida.com</t>
  </si>
  <si>
    <t>1128460995</t>
  </si>
  <si>
    <t>PAOLA OROZCO CASTAÑEDA</t>
  </si>
  <si>
    <t>paola.orozco@unionsaludvida.com</t>
  </si>
  <si>
    <t>1094243332</t>
  </si>
  <si>
    <t>PAOLA TATIANA CARVAJAL SEPULVEDA</t>
  </si>
  <si>
    <t>paola.carvajal@unionsaludvida.com</t>
  </si>
  <si>
    <t>43202655</t>
  </si>
  <si>
    <t>PATRICIA MARIA GAVIRIA FRANCO</t>
  </si>
  <si>
    <t>patricia.gaviria@unionsaludvida.com</t>
  </si>
  <si>
    <t>1128467297</t>
  </si>
  <si>
    <t>PAULA ANDREA BERNAL ZULUAGA</t>
  </si>
  <si>
    <t>paula.bernal@unionsaludvida.com</t>
  </si>
  <si>
    <t>1037657448</t>
  </si>
  <si>
    <t>PAULA ANDREA BUITRAGO HERRERA</t>
  </si>
  <si>
    <t>paula.buitrago@unionsaludvida.com</t>
  </si>
  <si>
    <t>1214745801</t>
  </si>
  <si>
    <t>PAULA ANDREA MARTINEZ CARMONA</t>
  </si>
  <si>
    <t>paula.martinez@unionsaludvida.com</t>
  </si>
  <si>
    <t>1047483760</t>
  </si>
  <si>
    <t>PAULA ANDREA MENDOZA NAVARRO</t>
  </si>
  <si>
    <t>paula.mendoza@unionsaludvida.com</t>
  </si>
  <si>
    <t>1047494916</t>
  </si>
  <si>
    <t>PAULA ANDREA MORENO BRUN</t>
  </si>
  <si>
    <t>paula.brun@unionsaludvida.com</t>
  </si>
  <si>
    <t>1143386519</t>
  </si>
  <si>
    <t>PAULA ANDREA NAVARRO GUERRERO</t>
  </si>
  <si>
    <t>paula.navarro@unionsaludvida.com</t>
  </si>
  <si>
    <t>1067960420</t>
  </si>
  <si>
    <t>PAULA ANDREA VIEIRA VERGARA</t>
  </si>
  <si>
    <t>paula.vieira@unionsaludvida.com</t>
  </si>
  <si>
    <t>43877351</t>
  </si>
  <si>
    <t>PAULA CRISTINA VERGARA AGUILAR</t>
  </si>
  <si>
    <t>paula.vergara@unionsaludvida.com</t>
  </si>
  <si>
    <t>1051673329</t>
  </si>
  <si>
    <t>PAULINA ESPAÑA GUZMAN</t>
  </si>
  <si>
    <t>paulina.espana@unionsaludvida.com</t>
  </si>
  <si>
    <t>1000645820</t>
  </si>
  <si>
    <t>PAULINA PARRA VELEZ</t>
  </si>
  <si>
    <t>paulina.parra@unionsaludvida.com</t>
  </si>
  <si>
    <t>1003394926</t>
  </si>
  <si>
    <t>PILLY MARCELA CORDERO SOTO</t>
  </si>
  <si>
    <t>pilly.cordero@unionsaludvida.com</t>
  </si>
  <si>
    <t>92260409</t>
  </si>
  <si>
    <t>RAFAEL ANTONIO PEREZ HERNANDEZ</t>
  </si>
  <si>
    <t>rafael.perez@unionsaludvida.com</t>
  </si>
  <si>
    <t>1096223065</t>
  </si>
  <si>
    <t>RAFAEL CAMILO GONZALEZ VILLARREAL</t>
  </si>
  <si>
    <t>rafael.villarreal@unionsaludvida.com</t>
  </si>
  <si>
    <t>1047494897</t>
  </si>
  <si>
    <t>RAFAEL EDUARDO MORENO SANCHEZ</t>
  </si>
  <si>
    <t>rafael.moreno@unionsaludvida.com</t>
  </si>
  <si>
    <t>1192920714</t>
  </si>
  <si>
    <t>RAFAEL JOSE BRITO GONZALEZ</t>
  </si>
  <si>
    <t>rafael.brito@unionsaludvida.com</t>
  </si>
  <si>
    <t>1152709914</t>
  </si>
  <si>
    <t>RAFAEL JOSE CANDANOZA CARMONA</t>
  </si>
  <si>
    <t>rafael.candanoza@unionsaludvida.com</t>
  </si>
  <si>
    <t>1081927290</t>
  </si>
  <si>
    <t>RAMIRO ANDRES CORTINA MONSALVO</t>
  </si>
  <si>
    <t>ramiro.cortina@unionsaludvida.com</t>
  </si>
  <si>
    <t>73140039</t>
  </si>
  <si>
    <t>RAUL DE LOS SANTOS MERCADO MONTALVO</t>
  </si>
  <si>
    <t>raul.mercado@unionsaludvida.com</t>
  </si>
  <si>
    <t>1047487980</t>
  </si>
  <si>
    <t>RICARDO ANDRES DONADO BOTERO</t>
  </si>
  <si>
    <t>ricardo.donado@unionsaludvida.com</t>
  </si>
  <si>
    <t>1085265026</t>
  </si>
  <si>
    <t>RICARDO ANDRES HERNANDEZ ARROYO</t>
  </si>
  <si>
    <t>ricardo.hernandez@unionsaludvida.com</t>
  </si>
  <si>
    <t>1126243923</t>
  </si>
  <si>
    <t>RICARDO ANTONIO ACOSTA VELEZ</t>
  </si>
  <si>
    <t>ricardo.acosta@unionsaludvida.com</t>
  </si>
  <si>
    <t>1098712847</t>
  </si>
  <si>
    <t>RICARDO MEZA AGUDELO</t>
  </si>
  <si>
    <t>ricardo.meza@unionsaludvida.com</t>
  </si>
  <si>
    <t>1140866470</t>
  </si>
  <si>
    <t>RICHARD RODRIGUEZ SCHOTBORHG</t>
  </si>
  <si>
    <t>richard.rodriguez@unionsaludvida.com</t>
  </si>
  <si>
    <t>1140902780</t>
  </si>
  <si>
    <t>ROBERTO CARLOS MARTINEZ ESPINOSA</t>
  </si>
  <si>
    <t>roberto.martinez@unionsaludvida.com</t>
  </si>
  <si>
    <t>1010246557</t>
  </si>
  <si>
    <t>ROBERTO ORTIZ GALLARDO</t>
  </si>
  <si>
    <t>roberto.ortiz@unionsaludvida.com</t>
  </si>
  <si>
    <t>1080903140</t>
  </si>
  <si>
    <t>ROBINSON MATEO MUÑOZ GOMEZ</t>
  </si>
  <si>
    <t>robinson.munoz@unionsaludvida.com</t>
  </si>
  <si>
    <t>1016057165</t>
  </si>
  <si>
    <t>ROBINSON ORTEGA LEGUIZAMON</t>
  </si>
  <si>
    <t>robinson.ortega@unionsaludvida.com</t>
  </si>
  <si>
    <t>72308993</t>
  </si>
  <si>
    <t>RODOLFO ANTONIO GUTIERREZ GALLARDO</t>
  </si>
  <si>
    <t>rodolfo.gutierrez@unionsaludvida.com</t>
  </si>
  <si>
    <t>1044933686</t>
  </si>
  <si>
    <t>RODRIGO JOSE RODRIGUEZ BELTRAN</t>
  </si>
  <si>
    <t>lidercisfabricato@unionsaludvida.com</t>
  </si>
  <si>
    <t>1118539328</t>
  </si>
  <si>
    <t>RODRIGO ZUBIETA RODRIGUEZ</t>
  </si>
  <si>
    <t>rodrigo.zubieta@unionsaludvida.com</t>
  </si>
  <si>
    <t>1067959066</t>
  </si>
  <si>
    <t>ROGER LUIS ECHEVERRIA BALLESTEROS</t>
  </si>
  <si>
    <t>roger.echeverria@unionsaludvida.com</t>
  </si>
  <si>
    <t>1110461833</t>
  </si>
  <si>
    <t>ROSA MARGARITA DEVIA SANTOS</t>
  </si>
  <si>
    <t>rosa.devia@unionsaludvida.com</t>
  </si>
  <si>
    <t>1140869663</t>
  </si>
  <si>
    <t>ROXANA MARIA PINTO HERNANDEZ</t>
  </si>
  <si>
    <t>roxana.pinto@unionsaludvida.com</t>
  </si>
  <si>
    <t>1002163149</t>
  </si>
  <si>
    <t>ROXANA RIOS RODADO</t>
  </si>
  <si>
    <t>roxana.rios@unionsaludvida.com</t>
  </si>
  <si>
    <t>1077460726</t>
  </si>
  <si>
    <t>ROY ALEXANDER ESCOBAR GONZALEZ</t>
  </si>
  <si>
    <t>roy.escobar@unionsaludvida.com</t>
  </si>
  <si>
    <t>1098786429</t>
  </si>
  <si>
    <t>RUSBELL SALOMON SILVA PEÑALOZA</t>
  </si>
  <si>
    <t>rusbell.silva@unionsaludvida.com</t>
  </si>
  <si>
    <t>1102875737</t>
  </si>
  <si>
    <t>SAID ANTONIO DURANTE FURNIELES</t>
  </si>
  <si>
    <t>said.durante@unionsaludvida.com</t>
  </si>
  <si>
    <t>1001368572</t>
  </si>
  <si>
    <t>SALOME ESCOBAR LONDOÑO</t>
  </si>
  <si>
    <t>salome.escobar@unionsaludvida.com</t>
  </si>
  <si>
    <t>1030700118</t>
  </si>
  <si>
    <t>SAMARA MARTÍNEZ TORO</t>
  </si>
  <si>
    <t>samara.toro@unionsaludvida.com</t>
  </si>
  <si>
    <t>1143360194</t>
  </si>
  <si>
    <t>SAMUEL ANDRES LLAMAS JIMENEZ</t>
  </si>
  <si>
    <t>samuel.llamas@unionsaludvida.com</t>
  </si>
  <si>
    <t>1006615274</t>
  </si>
  <si>
    <t>SAMUEL DAVID MOLINA PANA</t>
  </si>
  <si>
    <t>samuel.molina@unionsaludvida.com</t>
  </si>
  <si>
    <t>1023523311</t>
  </si>
  <si>
    <t>SAMUEL OSORIO AVENDAÑO</t>
  </si>
  <si>
    <t>analistatic3@unionsaludvida.com</t>
  </si>
  <si>
    <t>1005567801</t>
  </si>
  <si>
    <t>SANDRA MARCELA SALAZAR SIERRA</t>
  </si>
  <si>
    <t>sandra.salazar@unionsaludvida.com</t>
  </si>
  <si>
    <t>1047442043</t>
  </si>
  <si>
    <t>SANDRA MARCELA SILGADO MEDRANO</t>
  </si>
  <si>
    <t>sandra.silgado@unionsaludvida.com</t>
  </si>
  <si>
    <t>43759148</t>
  </si>
  <si>
    <t>SANDRA MILENA DUQUE MOLINA</t>
  </si>
  <si>
    <t>sandra.duque@unionsaludvida.com</t>
  </si>
  <si>
    <t>43984169</t>
  </si>
  <si>
    <t>SANDRA MILENA VELEZ VASCO</t>
  </si>
  <si>
    <t>sandra.velez@unionsaludvida.com</t>
  </si>
  <si>
    <t>22565676</t>
  </si>
  <si>
    <t>SANDRA PATRICIA RICARDO PETRO</t>
  </si>
  <si>
    <t>sandra.ricardo@unionsaludvida.com</t>
  </si>
  <si>
    <t>1045721168</t>
  </si>
  <si>
    <t>SANTIAGO ANDRES ARRIETA OVIEDO</t>
  </si>
  <si>
    <t>santiago.oviedo@unionsaludvida.com</t>
  </si>
  <si>
    <t>1003266542</t>
  </si>
  <si>
    <t>SANTIAGO ANDRES RODRIGUEZ MELENDEZ</t>
  </si>
  <si>
    <t>santiago.rodriguez@unionsaludvida.com</t>
  </si>
  <si>
    <t>1003400429</t>
  </si>
  <si>
    <t>SANTIAGO ANDRES SIERRA SUAREZ</t>
  </si>
  <si>
    <t>santiago.sierra@unionsaludvida.com</t>
  </si>
  <si>
    <t>1214730343</t>
  </si>
  <si>
    <t>SANTIAGO ANDRES TRUJILLO PEREZ</t>
  </si>
  <si>
    <t>santiago.trujillo@unionsaludvida.com</t>
  </si>
  <si>
    <t>1128480699</t>
  </si>
  <si>
    <t>SANTIAGO GAVIRIA COSSIO</t>
  </si>
  <si>
    <t>santiago.gaviria@unionsaludvida.com</t>
  </si>
  <si>
    <t>1037666372</t>
  </si>
  <si>
    <t>SANTIAGO GONZALEZ GONZALEZ</t>
  </si>
  <si>
    <t>santiago.gonzalez@unionsaludvida.com</t>
  </si>
  <si>
    <t>1010193731</t>
  </si>
  <si>
    <t xml:space="preserve">SANTIAGO HENAO VARGAS </t>
  </si>
  <si>
    <t>santiago.henao@unionsaludvida.com</t>
  </si>
  <si>
    <t>1026156098</t>
  </si>
  <si>
    <t>SANTIAGO JIMENEZ QUINTERO</t>
  </si>
  <si>
    <t>santiago.jimenez@unionsaludvida.com</t>
  </si>
  <si>
    <t>1007400408</t>
  </si>
  <si>
    <t>SANTIAGO NIETO CACERES</t>
  </si>
  <si>
    <t>santiago.nieto@unionsaludvida.com</t>
  </si>
  <si>
    <t>1017213753</t>
  </si>
  <si>
    <t>SANTIAGO ORTIZ ORTEGA</t>
  </si>
  <si>
    <t>santiago.ortiz@unionsaludvida.com</t>
  </si>
  <si>
    <t>1039473006</t>
  </si>
  <si>
    <t>SANTIAGO ZULUAGA PELAEZ</t>
  </si>
  <si>
    <t>santiago.zuluaga@unionsaludvida.com</t>
  </si>
  <si>
    <t>1010122814</t>
  </si>
  <si>
    <t>SARA CORREA MARTINEZ</t>
  </si>
  <si>
    <t>sara.martinez@unionsaludvida.com</t>
  </si>
  <si>
    <t>1192766499</t>
  </si>
  <si>
    <t>SARA ISABEL SANCHEZ BUILES</t>
  </si>
  <si>
    <t>sara.isabel@unionsaludvida.com</t>
  </si>
  <si>
    <t>SARA LALINDE USUGA</t>
  </si>
  <si>
    <t>sara.lalinde@unionsaludvida.com</t>
  </si>
  <si>
    <t>1036671586</t>
  </si>
  <si>
    <t>SARA LEAL MEJIA</t>
  </si>
  <si>
    <t>sara.leal@unionsaludvida.com</t>
  </si>
  <si>
    <t>1037633083</t>
  </si>
  <si>
    <t>SARA MELISSA MIRA CARDONA</t>
  </si>
  <si>
    <t>profesionalgh2@unionsaludvida.com</t>
  </si>
  <si>
    <t>1037630071</t>
  </si>
  <si>
    <t>SARA MELISSA VALENCIA ZAPATA</t>
  </si>
  <si>
    <t>sara.valencia@unionsaludvida.com</t>
  </si>
  <si>
    <t>1036675823</t>
  </si>
  <si>
    <t>SARA MORALES TAPIAS</t>
  </si>
  <si>
    <t>sara.tapias@unionsaludvida.com</t>
  </si>
  <si>
    <t>1037669752</t>
  </si>
  <si>
    <t>SARA POSADA ARANGO</t>
  </si>
  <si>
    <t>sara.posada@unionsaludvida.com</t>
  </si>
  <si>
    <t>1000416651</t>
  </si>
  <si>
    <t>SARA RODRIGUEZ VILLA</t>
  </si>
  <si>
    <t>auxiliarcentral5@unionsaludvida.com</t>
  </si>
  <si>
    <t>1001011775</t>
  </si>
  <si>
    <t>SARA VALDES CARVAJAL</t>
  </si>
  <si>
    <t>sara.valdes@unionsaludvida.com</t>
  </si>
  <si>
    <t>1152470285</t>
  </si>
  <si>
    <t>SARA VALENTINA ECHEVERRI VARGAS</t>
  </si>
  <si>
    <t>sara.echeverri@unionsaludvida.com</t>
  </si>
  <si>
    <t>1000893991</t>
  </si>
  <si>
    <t>SARA VALLEJO JIMENEZ</t>
  </si>
  <si>
    <t>sara.vallejo@unionsaludvida.com</t>
  </si>
  <si>
    <t>1007743514</t>
  </si>
  <si>
    <t>SARA ZAPATA RUEDA</t>
  </si>
  <si>
    <t>sara.rueda@unionsaludvida.com</t>
  </si>
  <si>
    <t>1001947711</t>
  </si>
  <si>
    <t>SARAY ANGELICA AREVALO MONSALVE</t>
  </si>
  <si>
    <t>saray.arevalo@unionsaludvida.com</t>
  </si>
  <si>
    <t>1040044128</t>
  </si>
  <si>
    <t>SAYI MISNEIDY TELLO RIOS</t>
  </si>
  <si>
    <t>sayi.tello@unionsaludvida.com</t>
  </si>
  <si>
    <t>1152206588</t>
  </si>
  <si>
    <t>SEBASTIAN ALONSO ECHAVARRIA CARDONA</t>
  </si>
  <si>
    <t>sebastian.echavarria@unionsaludvida.com</t>
  </si>
  <si>
    <t>1216717716</t>
  </si>
  <si>
    <t>SEBASTIAN CARDONA RESTREPO</t>
  </si>
  <si>
    <t>sebastian.cardona@unionsaludvida.com</t>
  </si>
  <si>
    <t>1128264872</t>
  </si>
  <si>
    <t>SEBASTIAN CATAMUSCAY GONZALEZ</t>
  </si>
  <si>
    <t>sebastian.catamuscay@unionsaludvida.com</t>
  </si>
  <si>
    <t>1017224383</t>
  </si>
  <si>
    <t>SEBASTIAN GIL GALLEGO</t>
  </si>
  <si>
    <t>sebastian.gil@unionsaludvida.com</t>
  </si>
  <si>
    <t>1001823628</t>
  </si>
  <si>
    <t>SEBASTIAN GUTIERREZ ALVAREZ</t>
  </si>
  <si>
    <t>sebastian.gutierrez@unionsaludvida.com</t>
  </si>
  <si>
    <t>1020436585</t>
  </si>
  <si>
    <t>SEBASTIAN HERNANDEZ JARAMILLO</t>
  </si>
  <si>
    <t>sebastian.jaramillo@unionsaludvida.com</t>
  </si>
  <si>
    <t>1005989838</t>
  </si>
  <si>
    <t>SEBASTIAN JOSE CARDONA PINEDA</t>
  </si>
  <si>
    <t>sebastian.pineda@unionsaludvida.com</t>
  </si>
  <si>
    <t>1007725060</t>
  </si>
  <si>
    <t>SEBASTIAN JOSE OÑATE TUIRAN</t>
  </si>
  <si>
    <t>sebastian.onate@unionsaludvida.com</t>
  </si>
  <si>
    <t>1000408752</t>
  </si>
  <si>
    <t>SEBASTIAN MONTOYA URREGO</t>
  </si>
  <si>
    <t>sebastian.montoya@unionsaludvida.com</t>
  </si>
  <si>
    <t>1032488873</t>
  </si>
  <si>
    <t>SEBASTIAN RICARDO QUIÑONES GALINDO</t>
  </si>
  <si>
    <t>sebastian.galindo@unionsaludvida.com</t>
  </si>
  <si>
    <t>1036685627</t>
  </si>
  <si>
    <t>SERGIO LOAIZA SALAZAR</t>
  </si>
  <si>
    <t>sergio.salazar@unionsaludvida.com</t>
  </si>
  <si>
    <t>1039458715</t>
  </si>
  <si>
    <t>SHARON DARLIN BEDOYA VELEZ</t>
  </si>
  <si>
    <t>sharon.bedoya@unionsaludvida.com</t>
  </si>
  <si>
    <t>1000100875</t>
  </si>
  <si>
    <t>SHEIBANY MELISSA AGUDELO RESTREPO</t>
  </si>
  <si>
    <t>sheibany.agudelo@unionsaludvida.com</t>
  </si>
  <si>
    <t>1005569691</t>
  </si>
  <si>
    <t>SHIARA MARGARITA PERALTA MERCADO</t>
  </si>
  <si>
    <t>shiara.peralta@unionsaludvida.com</t>
  </si>
  <si>
    <t>1098765922</t>
  </si>
  <si>
    <t>SILVIA JULIANA RODRIGUEZ ARANGO</t>
  </si>
  <si>
    <t>silvia.rodriguez@unionsaludvida.com</t>
  </si>
  <si>
    <t>1037662189</t>
  </si>
  <si>
    <t>SIMON PEREZ ARANGO</t>
  </si>
  <si>
    <t>simon.perez@unionsaludvida.com</t>
  </si>
  <si>
    <t>1001446162</t>
  </si>
  <si>
    <t>SIMON ZAPATA SUAREZ</t>
  </si>
  <si>
    <t>simon.zapata@unionsaludvida.com</t>
  </si>
  <si>
    <t>1077447464</t>
  </si>
  <si>
    <t>SIRLY DABEIS LOPEZ CORDOBA</t>
  </si>
  <si>
    <t>sirly.lopez@unionsaludvida.com</t>
  </si>
  <si>
    <t>1065871449</t>
  </si>
  <si>
    <t>SIRLY LORENA ESCALANTE YARURO</t>
  </si>
  <si>
    <t>sirly.escalante@unionsaludvida.com</t>
  </si>
  <si>
    <t>1007111078</t>
  </si>
  <si>
    <t>SOFIA ACEVEDO ARAMBURO</t>
  </si>
  <si>
    <t>sofia.acevedo@unionsaludvida.com</t>
  </si>
  <si>
    <t>1037662200</t>
  </si>
  <si>
    <t>SOFIA ESCOBAR JARAMILLO</t>
  </si>
  <si>
    <t>sofia.escobar@unionsaludvida.com</t>
  </si>
  <si>
    <t>SOFIA GARCIA POSADA</t>
  </si>
  <si>
    <t>sofia.garcia@unionsaludvida.com</t>
  </si>
  <si>
    <t>1001032700</t>
  </si>
  <si>
    <t>SOFIA MORALES PLAZA</t>
  </si>
  <si>
    <t>sofia.morales@unionsaludvida.com</t>
  </si>
  <si>
    <t>1000415206</t>
  </si>
  <si>
    <t>SOFIA NIÑO FERRER</t>
  </si>
  <si>
    <t>sofia.nino@unionsaludvida.com</t>
  </si>
  <si>
    <t>505528</t>
  </si>
  <si>
    <t>SOLANY COROMOTO PERCHE FUENMAYOR</t>
  </si>
  <si>
    <t>solany.perche@unionsaludvida.com</t>
  </si>
  <si>
    <t>43598017</t>
  </si>
  <si>
    <t>SOLANYE URREA COSME</t>
  </si>
  <si>
    <t>solanye.cosme@unionsaludvida.com</t>
  </si>
  <si>
    <t>1017139858</t>
  </si>
  <si>
    <t>SORI YOLIMA GIRALDO OCAMPO</t>
  </si>
  <si>
    <t>sori.giraldo@unionsaludvida.com</t>
  </si>
  <si>
    <t>1036665065</t>
  </si>
  <si>
    <t>STEEPHANY ORTIZ POSADA</t>
  </si>
  <si>
    <t>steephany.ortiz@unionsaludvida.com</t>
  </si>
  <si>
    <t>1037642818</t>
  </si>
  <si>
    <t>STEFANIA BETANCUR AMAYA</t>
  </si>
  <si>
    <t>stefania.betancur@unionsaludvida.com</t>
  </si>
  <si>
    <t>1001897056</t>
  </si>
  <si>
    <t>STEFANIA FALCON GUTIERREZ</t>
  </si>
  <si>
    <t>stefania.falcon@unionsaludvida.com</t>
  </si>
  <si>
    <t>1020495012</t>
  </si>
  <si>
    <t>STEFANIA SAJONA BEDOYA</t>
  </si>
  <si>
    <t>stefania.sajona@unionsaludvida.com</t>
  </si>
  <si>
    <t>1037648527</t>
  </si>
  <si>
    <t>STEFANIE ARANGO PALACIO</t>
  </si>
  <si>
    <t>stefanie.arango@unionsaludvida.com</t>
  </si>
  <si>
    <t>1085324813</t>
  </si>
  <si>
    <t>STEFANY DAYANA GOMEZ RODRIGUEZ</t>
  </si>
  <si>
    <t>stefany.rodriguez@unionsaludvida.com</t>
  </si>
  <si>
    <t>1017254531</t>
  </si>
  <si>
    <t>STEFFANY ANDREA MEZA RENGIFO</t>
  </si>
  <si>
    <t>steffany.meza@unionsaludvida.com</t>
  </si>
  <si>
    <t>1065836187</t>
  </si>
  <si>
    <t>STEPHANIA LACOUTURE PAEZ</t>
  </si>
  <si>
    <t>stephania.lacouture@unionsaludvida.com</t>
  </si>
  <si>
    <t>1234095588</t>
  </si>
  <si>
    <t>STEVANN ANDRES HERNANDEZ BARRAZA</t>
  </si>
  <si>
    <t>stevann.hernandez@unionsaludvida.com</t>
  </si>
  <si>
    <t>1098776985</t>
  </si>
  <si>
    <t>SURITH MELISSA SALAZAR NAVARRO</t>
  </si>
  <si>
    <t>surith.salazar@unionsaludvida.com</t>
  </si>
  <si>
    <t>1152450008</t>
  </si>
  <si>
    <t>SUSANA BUSTAMANTE VASQUEZ</t>
  </si>
  <si>
    <t>susana.vasquez@unionsaludvida.com</t>
  </si>
  <si>
    <t>1017274206</t>
  </si>
  <si>
    <t>SUSANA ESPINOSA OTALVARO</t>
  </si>
  <si>
    <t>susana.espinosa@unionsaludvida.com</t>
  </si>
  <si>
    <t>1037666351</t>
  </si>
  <si>
    <t>SUSANA JARAMILLO ORREGO</t>
  </si>
  <si>
    <t>susana.orrego@unionsaludvida.com</t>
  </si>
  <si>
    <t>1152706542</t>
  </si>
  <si>
    <t>SUSANA ORTEGA SIERRA</t>
  </si>
  <si>
    <t>susana.ortega@unionsaludvida.com</t>
  </si>
  <si>
    <t>1002213275</t>
  </si>
  <si>
    <t>SYLVIA PAOLA JULIAO OJEDA</t>
  </si>
  <si>
    <t>sylvia.juliao@unionsaludvida.com</t>
  </si>
  <si>
    <t>1045515532</t>
  </si>
  <si>
    <t>TANTIER VALMER IBARGÜEN IBARGÜEN</t>
  </si>
  <si>
    <t>tantier.ibarguen@unionsaludvida.com</t>
  </si>
  <si>
    <t>1020465979</t>
  </si>
  <si>
    <t>TATIANA ATUESTA CARDOZA</t>
  </si>
  <si>
    <t>documentacion@unionsaludvida.com</t>
  </si>
  <si>
    <t>1047460346</t>
  </si>
  <si>
    <t>TATIANA MARCELA MARRUGO FERNANDEZ</t>
  </si>
  <si>
    <t>tatiana.marrugo@unionsaludvida.com</t>
  </si>
  <si>
    <t>1017205734</t>
  </si>
  <si>
    <t>TATIANA MURIEL OROZCO</t>
  </si>
  <si>
    <t>tatiana.muriel@unionsaludvida.com</t>
  </si>
  <si>
    <t>1066185315</t>
  </si>
  <si>
    <t>TERESA FERNANDA PACHECO AVILEZ</t>
  </si>
  <si>
    <t>teresa.pacheco@unionsaludvida.com</t>
  </si>
  <si>
    <t>1003000410</t>
  </si>
  <si>
    <t>THALIA GISSELA REGINO OSPINA</t>
  </si>
  <si>
    <t>thalia.regino@unionsaludvida.com</t>
  </si>
  <si>
    <t>1027961417</t>
  </si>
  <si>
    <t>UBERLEYS CURA GARCIA</t>
  </si>
  <si>
    <t>uberleys.cura@unionsaludvida.com</t>
  </si>
  <si>
    <t>1037665754</t>
  </si>
  <si>
    <t>VALENTINA DUQUE GIRALDO</t>
  </si>
  <si>
    <t>valentina.duque@unionsaludvida.com</t>
  </si>
  <si>
    <t>1002212895</t>
  </si>
  <si>
    <t>VALENTINA FABIJHOSEY MARIA HERNANDEZ SILVERA</t>
  </si>
  <si>
    <t>valentina.silvera@unionsaludvida.com</t>
  </si>
  <si>
    <t>1000640650</t>
  </si>
  <si>
    <t>VALENTINA FUENTES HERNANDEZ</t>
  </si>
  <si>
    <t>valentina.fuentes@unionsaludvida.com</t>
  </si>
  <si>
    <t>1000398069</t>
  </si>
  <si>
    <t>VALENTINA GIRALDO HIGUITA</t>
  </si>
  <si>
    <t>valentina.higuita@unionsaludvida.com</t>
  </si>
  <si>
    <t>1010145369</t>
  </si>
  <si>
    <t>VALENTINA GOMEZ SUAREZ</t>
  </si>
  <si>
    <t>valentina.suarez@unionsaludvida.com</t>
  </si>
  <si>
    <t>1003502775</t>
  </si>
  <si>
    <t>VALENTINA GUTIERREZ HOYOS</t>
  </si>
  <si>
    <t>valentina.gutierrez@unionsaludvida.com</t>
  </si>
  <si>
    <t>1037657225</t>
  </si>
  <si>
    <t>VALENTINA HERNANDEZ NUPAN</t>
  </si>
  <si>
    <t>valentina.hernandez@unionsaludvida.com</t>
  </si>
  <si>
    <t>1192904075</t>
  </si>
  <si>
    <t>VALENTINA HOYOS RAMIREZ</t>
  </si>
  <si>
    <t>valentinahoyos.ramirez@unionsaludvida.com</t>
  </si>
  <si>
    <t>1004373476</t>
  </si>
  <si>
    <t>VALENTINA IBARRA CAMPO</t>
  </si>
  <si>
    <t>valentina.ibarra@unionsaludvida.com</t>
  </si>
  <si>
    <t>1037637920</t>
  </si>
  <si>
    <t>VALENTINA JARAMILLO VELEZ</t>
  </si>
  <si>
    <t>valentina.jaramillo@unionsaludvida.com</t>
  </si>
  <si>
    <t>1004235420</t>
  </si>
  <si>
    <t>VALENTINA LEGARDA FLOREZ</t>
  </si>
  <si>
    <t>valentina.legarda@unionsaludvida.com</t>
  </si>
  <si>
    <t>1152467583</t>
  </si>
  <si>
    <t>VALENTINA MELENDEZ GOMEZ</t>
  </si>
  <si>
    <t>valentina.melendez@unionsaludvida.com</t>
  </si>
  <si>
    <t>1002155665</t>
  </si>
  <si>
    <t>VALENTINA MOLINA BLANQUICETT</t>
  </si>
  <si>
    <t>valentina.molina@unionsaludvida.com</t>
  </si>
  <si>
    <t>1239488135</t>
  </si>
  <si>
    <t>VALENTINA OROZCO ALEGRIA</t>
  </si>
  <si>
    <t>valentina.orozco@unionsaludvida.com</t>
  </si>
  <si>
    <t>1146438156</t>
  </si>
  <si>
    <t>VALENTINA ORTEGA RIVERA</t>
  </si>
  <si>
    <t>valentina.ortega@unionsaludvida.com</t>
  </si>
  <si>
    <t>1193037165</t>
  </si>
  <si>
    <t>VALENTINA PAJARO ARANGO</t>
  </si>
  <si>
    <t>valentina.pajaro@unionsaludvida.com</t>
  </si>
  <si>
    <t>1003433571</t>
  </si>
  <si>
    <t>VALENTINA RAMOS PACHECO</t>
  </si>
  <si>
    <t>valentina.ramos@unionsaludvida.com</t>
  </si>
  <si>
    <t>1003433516</t>
  </si>
  <si>
    <t>VALENTINA RESTREPO FERNANDEZ</t>
  </si>
  <si>
    <t>valentina.fernandez@unionsaludvida.com</t>
  </si>
  <si>
    <t>1000894580</t>
  </si>
  <si>
    <t>Comunicadora A</t>
  </si>
  <si>
    <t>VALENTINA RESTREPO VANEGAS</t>
  </si>
  <si>
    <t>valentina.restrepo@unionsaludvida.com</t>
  </si>
  <si>
    <t>1001011524</t>
  </si>
  <si>
    <t>VALENTINA RIVERA HERNANDEZ</t>
  </si>
  <si>
    <t>valentina.rivera@unionsaludvida.com</t>
  </si>
  <si>
    <t>1126247885</t>
  </si>
  <si>
    <t>VALENTINA SALAZAR OROZCO</t>
  </si>
  <si>
    <t>valentinasalazar.orozco@unionsaludvida.com</t>
  </si>
  <si>
    <t>1000408932</t>
  </si>
  <si>
    <t>VALENTINA SALAZAR TORO</t>
  </si>
  <si>
    <t>valentina.salazar@unionsaludvida.com</t>
  </si>
  <si>
    <t>1001995044</t>
  </si>
  <si>
    <t>VALENTINA VALERIA BLANCO ESCOBAR</t>
  </si>
  <si>
    <t>valentina.blanco@unionsaludvida.com</t>
  </si>
  <si>
    <t>1104017953</t>
  </si>
  <si>
    <t>VALERIA ARRIETA FOLIACO</t>
  </si>
  <si>
    <t>valeria.arrieta@sanvicenteces.com</t>
  </si>
  <si>
    <t>1020488082</t>
  </si>
  <si>
    <t>VALERIA BEDOYA VELEZ</t>
  </si>
  <si>
    <t>valeria.bedoya@unionsaludvida.com</t>
  </si>
  <si>
    <t>1007126605</t>
  </si>
  <si>
    <t>VALERIA DIAZ ARIAS</t>
  </si>
  <si>
    <t>valeria.diaz@unionsaludvida.com</t>
  </si>
  <si>
    <t>1001022866</t>
  </si>
  <si>
    <t>VALERIA MIRANDA BLANDON</t>
  </si>
  <si>
    <t>valeria.miranda@unionsaludvida.com</t>
  </si>
  <si>
    <t>1152471758</t>
  </si>
  <si>
    <t>VALERIA MOSQUERA MOSQUERA</t>
  </si>
  <si>
    <t>valeria.mosquera@unionsaludvida.com</t>
  </si>
  <si>
    <t>1001878896</t>
  </si>
  <si>
    <t>VALERIE PAOLA BARCELO DE ALBA</t>
  </si>
  <si>
    <t>valerie.barcelo@unionsaludvida.com</t>
  </si>
  <si>
    <t>1067961602</t>
  </si>
  <si>
    <t>VANESSA MARIA ESPINOSA CANO</t>
  </si>
  <si>
    <t>vanessa.espinosa@unionsaludvida.com</t>
  </si>
  <si>
    <t>55233844</t>
  </si>
  <si>
    <t>VANESSA PAOLA ALVARADO CARDENAS</t>
  </si>
  <si>
    <t>vanessa.alvarado@unionsaludvida.com</t>
  </si>
  <si>
    <t>1050947027</t>
  </si>
  <si>
    <t>VERENICE JOSEFINA BALSEIRO BLANCO</t>
  </si>
  <si>
    <t>verenice.balseiro@unionsaludvida.com</t>
  </si>
  <si>
    <t>1036618989</t>
  </si>
  <si>
    <t>VERONICA ARANGO MONTOYA</t>
  </si>
  <si>
    <t>veronica.arango@unionsaludvida.com</t>
  </si>
  <si>
    <t>1001013936</t>
  </si>
  <si>
    <t>VERONICA ARANGO SIERRA</t>
  </si>
  <si>
    <t>veronica.sierra@unionsaludvida.com</t>
  </si>
  <si>
    <t>1039456641</t>
  </si>
  <si>
    <t>VERONICA CATAÑO MARIN</t>
  </si>
  <si>
    <t>veronica.catano@unionsaludvida.com</t>
  </si>
  <si>
    <t>1143467741</t>
  </si>
  <si>
    <t>VERONICA COLPAS BARRAZA</t>
  </si>
  <si>
    <t>veronica.colpas@unionsaludvida.com</t>
  </si>
  <si>
    <t>1037666950</t>
  </si>
  <si>
    <t>VERONICA MONSALVE FRANCO</t>
  </si>
  <si>
    <t>veronica.monsalve@unionsaludvida.com</t>
  </si>
  <si>
    <t>VICTOR JOSE REALES SOLANO</t>
  </si>
  <si>
    <t>victor.reales@unionsaludvida.com</t>
  </si>
  <si>
    <t>1002962022</t>
  </si>
  <si>
    <t>VICTOR MANUEL POLINDARA MORALES</t>
  </si>
  <si>
    <t>victor.polindara@unionsaludvida.com</t>
  </si>
  <si>
    <t>1010020698</t>
  </si>
  <si>
    <t>VILETH JOHANA FRANCO TORRES</t>
  </si>
  <si>
    <t>vileth.franco@unionsaludvida.com</t>
  </si>
  <si>
    <t>1193225115</t>
  </si>
  <si>
    <t>VINIS VIVIANA CUELLO BECERRA</t>
  </si>
  <si>
    <t>vinis.cuello@unionsaludvida.com</t>
  </si>
  <si>
    <t>1124026099</t>
  </si>
  <si>
    <t>WANDA MARIETH PINTO REINOSO</t>
  </si>
  <si>
    <t>wanda.pinto@unionsaludvida.com</t>
  </si>
  <si>
    <t>1003232825</t>
  </si>
  <si>
    <t>WENDY DANIELA MUÑOZ GARCIA</t>
  </si>
  <si>
    <t>wendy.munoz@unionsaludvida.com</t>
  </si>
  <si>
    <t>1047512102</t>
  </si>
  <si>
    <t>WENDY JOHANA HENRIQUEZ SEGURA</t>
  </si>
  <si>
    <t>wendy.henriquez@unionsaludvida.com</t>
  </si>
  <si>
    <t>1067961841</t>
  </si>
  <si>
    <t>WILFREDY CASTRO ROVIRA</t>
  </si>
  <si>
    <t>wilfredy.castro@unionsaludvida.com</t>
  </si>
  <si>
    <t>1017236556</t>
  </si>
  <si>
    <t>WILL ANDERSON RIAÑO ECHAVARRIA</t>
  </si>
  <si>
    <t>will.riano@unionsaludvida.com</t>
  </si>
  <si>
    <t>1047435977</t>
  </si>
  <si>
    <t>WILLIAM ESTEBAN RIVERA CARDONA</t>
  </si>
  <si>
    <t>william.rivera@unionsaludvida.com</t>
  </si>
  <si>
    <t>1128401834</t>
  </si>
  <si>
    <t>WILMAR ALEXANDER MURILLO LOPEZ</t>
  </si>
  <si>
    <t>wilmar.murillo@unionsaludvida.com</t>
  </si>
  <si>
    <t>1102885216</t>
  </si>
  <si>
    <t>WILMER DANIEL PEREZ TURNER</t>
  </si>
  <si>
    <t>wilmer.perez@unionsaludvida.com</t>
  </si>
  <si>
    <t>1036606576</t>
  </si>
  <si>
    <t>WLADISKY PALACIOS CASAS</t>
  </si>
  <si>
    <t>wladisky.palacios@unionsaludvida.com</t>
  </si>
  <si>
    <t>1234092382</t>
  </si>
  <si>
    <t>XIMENA ANDREA BERROCAL ARRAUT</t>
  </si>
  <si>
    <t>ximena.berrocal@unionsaludvida.com</t>
  </si>
  <si>
    <t>1010039979</t>
  </si>
  <si>
    <t>YAMEL BEATRIZ MARTINEZ RODRIGUEZ</t>
  </si>
  <si>
    <t>yamel.martinez@unionsaludvida.com</t>
  </si>
  <si>
    <t>1003140831</t>
  </si>
  <si>
    <t>YAMEL JUNIOR DIAZ CONDE</t>
  </si>
  <si>
    <t>yamel.diaz@unionsaludvida.com</t>
  </si>
  <si>
    <t>1144203018</t>
  </si>
  <si>
    <t>YANIA VALENTINA HOLGUIN SAAVEDRA</t>
  </si>
  <si>
    <t>yania.holguin@unionsaludvida.com</t>
  </si>
  <si>
    <t>1072525887</t>
  </si>
  <si>
    <t>YANILETH CUELLO CORREA</t>
  </si>
  <si>
    <t>yanileth.cuello@unionsaludvida.com</t>
  </si>
  <si>
    <t>1152446353</t>
  </si>
  <si>
    <t>YARESELL BEATRIZ MACHADO NIETO</t>
  </si>
  <si>
    <t>yaresell.machado@unionsaludvida.com</t>
  </si>
  <si>
    <t>1128399688</t>
  </si>
  <si>
    <t>Profesional Contratacion y Seleccion</t>
  </si>
  <si>
    <t>YECENIA OSPINA HERNANDEZ</t>
  </si>
  <si>
    <t>yecenia.ospina@unionsaludvida.com</t>
  </si>
  <si>
    <t>1017237926</t>
  </si>
  <si>
    <t>YEIMY TATIANA BETANCUR LOTERO</t>
  </si>
  <si>
    <t>yeimy.betancur@unionsaludvida.com</t>
  </si>
  <si>
    <t>1080901556</t>
  </si>
  <si>
    <t>YEISON ANDRES MUÑOZ MUÑOZ</t>
  </si>
  <si>
    <t>yeison.munoz@unionsaludvida.com</t>
  </si>
  <si>
    <t>1143231107</t>
  </si>
  <si>
    <t>YELENIS STELLA ANAYA CORTES</t>
  </si>
  <si>
    <t>yelenis.anaya@unionsaludvida.com</t>
  </si>
  <si>
    <t>1020475954</t>
  </si>
  <si>
    <t>YELITZA MUÑOZ PEREZ</t>
  </si>
  <si>
    <t>yelitza.munoz@unionsaludvida.com</t>
  </si>
  <si>
    <t>1035855377</t>
  </si>
  <si>
    <t>Analista Administrativo</t>
  </si>
  <si>
    <t>YENI MARCELA BEDOYA SANCHEZ</t>
  </si>
  <si>
    <t>yeni.bedoya@unionsaludvida.com</t>
  </si>
  <si>
    <t>1015447476</t>
  </si>
  <si>
    <t>YENLI MARGARITA ARIAS CHAVES</t>
  </si>
  <si>
    <t>yenli.arias@unionsaludvida.com</t>
  </si>
  <si>
    <t>1065617957</t>
  </si>
  <si>
    <t>YENYS JOHANA MARTINEZ SOTO</t>
  </si>
  <si>
    <t>yenys.martinez@unionsaludvida.com</t>
  </si>
  <si>
    <t>1077473647</t>
  </si>
  <si>
    <t>YERLIN JAVIER QUIÑONEZ BECERRA</t>
  </si>
  <si>
    <t>yerlin.quinonez@unionsaludvida.com</t>
  </si>
  <si>
    <t>1000440218</t>
  </si>
  <si>
    <t>YERY PAOLA GONZALEZ PERTUZ</t>
  </si>
  <si>
    <t>auxiliarseguridadysalud@unionsaludvida.com</t>
  </si>
  <si>
    <t>1121853325</t>
  </si>
  <si>
    <t>YESICA MARCELA ARISTIZABAL CIRO</t>
  </si>
  <si>
    <t>yessica.aristizabal@unionsaludvida.com</t>
  </si>
  <si>
    <t>1036633865</t>
  </si>
  <si>
    <t>YESID ALEXANDER OSORIO JARAMILLO</t>
  </si>
  <si>
    <t>yesid.osorio@unionsaludvida.com</t>
  </si>
  <si>
    <t>1039464600</t>
  </si>
  <si>
    <t>YESSENIA MARTINEZ BARGUIL</t>
  </si>
  <si>
    <t>yessenia.martinez@unionsaludvida.com</t>
  </si>
  <si>
    <t>1017210673</t>
  </si>
  <si>
    <t>YESSICA MARCELA QUIROZ RODRIGUEZ</t>
  </si>
  <si>
    <t>yessica.quiroz@unionsaludvida.com</t>
  </si>
  <si>
    <t>1040353742</t>
  </si>
  <si>
    <t>YILMARY LUZ CAICEDO IBARGUEN</t>
  </si>
  <si>
    <t>yilmary.caicedo@unionsaludvida.com</t>
  </si>
  <si>
    <t>72005170</t>
  </si>
  <si>
    <t>YOHAN ENRIQUE DIAZ TAPIAS</t>
  </si>
  <si>
    <t>yohan.diaz@unionsaludvida.com</t>
  </si>
  <si>
    <t>1039457406</t>
  </si>
  <si>
    <t>YONATAN JAIR BARBOSA VILLEGAS</t>
  </si>
  <si>
    <t>yonatan.barbosa@unionsaludvida.com</t>
  </si>
  <si>
    <t>1233343291</t>
  </si>
  <si>
    <t>YONNY RAFAEL GONZALEZ NIÑO</t>
  </si>
  <si>
    <t>yonny.gonzalez@unionsaludvida.com</t>
  </si>
  <si>
    <t>1092353377</t>
  </si>
  <si>
    <t>YOSSI ANDREINA LOZANO USECHE</t>
  </si>
  <si>
    <t>yossi.lozano@unionsaludvida.com</t>
  </si>
  <si>
    <t>1067957398</t>
  </si>
  <si>
    <t>YULENIS PIÑEREZ MARIN</t>
  </si>
  <si>
    <t>yulenis.pinerez@unionsaludvida.com</t>
  </si>
  <si>
    <t>1014289984</t>
  </si>
  <si>
    <t>YULI PAOLA LEON PEREZ</t>
  </si>
  <si>
    <t>yuli.leon@unionsaludvida.com</t>
  </si>
  <si>
    <t>1152444842</t>
  </si>
  <si>
    <t>YULIANA OCAMPO SALAZAR</t>
  </si>
  <si>
    <t>yuliana.ocampo@unionsaludvida.com</t>
  </si>
  <si>
    <t>44191691</t>
  </si>
  <si>
    <t>YULIANNA KAROLY LECHUGA PEÑA</t>
  </si>
  <si>
    <t>yulianna.lechuga@unionsaludvida.com</t>
  </si>
  <si>
    <t>1081785977</t>
  </si>
  <si>
    <t>YULIETH PAOLA SIERRA RODRIGUEZ</t>
  </si>
  <si>
    <t>yulieth.sierra@unionsaludvida.com</t>
  </si>
  <si>
    <t>1017262463</t>
  </si>
  <si>
    <t>YULIETH PAOLA ZAPATA GOMEZ</t>
  </si>
  <si>
    <t>yulieth.zapata@unionsaludvida.com</t>
  </si>
  <si>
    <t>1007439888</t>
  </si>
  <si>
    <t>YULIS FERNANDA LOBO SALAS</t>
  </si>
  <si>
    <t>yulis.lobo@unionsaludvida.com</t>
  </si>
  <si>
    <t>1214739131</t>
  </si>
  <si>
    <t>YULISA MARIANA HINESTROZA RUIZ</t>
  </si>
  <si>
    <t>yulisa.hinestroza@unionsaludvida.com</t>
  </si>
  <si>
    <t>1152187746</t>
  </si>
  <si>
    <t>YULLIER AIZALEZ AIZALES</t>
  </si>
  <si>
    <t>yullier.aizales@unionsaludvida.com</t>
  </si>
  <si>
    <t>1000445985</t>
  </si>
  <si>
    <t>YUMARA OSORIO YEPES</t>
  </si>
  <si>
    <t>yumara.osorio@unionsaludvida.com</t>
  </si>
  <si>
    <t>1035871381</t>
  </si>
  <si>
    <t>YURANY ZULETA BUSTAMANTE</t>
  </si>
  <si>
    <t>yurany.zuleta@unionsaludvida.com</t>
  </si>
  <si>
    <t>1140820680</t>
  </si>
  <si>
    <t>YURLEEN PAOLA GARCIA BARRAZA</t>
  </si>
  <si>
    <t>yurleen.garcia@unionsaludvida.com</t>
  </si>
  <si>
    <t>1121865410</t>
  </si>
  <si>
    <t>YUSMAY KATERINE BERBEO VELASQUEZ</t>
  </si>
  <si>
    <t>yusmay.berbeo@unionsaludvida.com</t>
  </si>
  <si>
    <t>1044915980</t>
  </si>
  <si>
    <t>ZAIDY MELIZA MATOS CRESPO</t>
  </si>
  <si>
    <t>zaidy.matos@unionsaludvida.com</t>
  </si>
  <si>
    <t>1037573035</t>
  </si>
  <si>
    <t>ZAIDY PAULINA PEREZ DE LOS RIOS</t>
  </si>
  <si>
    <t>zaidy.perez@unionsaludvida.com</t>
  </si>
  <si>
    <t>1077462479</t>
  </si>
  <si>
    <t>ZURY YAREILA HINESTROZA ARROYO</t>
  </si>
  <si>
    <t>zury.hinestroza@unionsaludvida.com</t>
  </si>
  <si>
    <t>ZONA</t>
  </si>
  <si>
    <t>Hora inic</t>
  </si>
  <si>
    <t>Hora final</t>
  </si>
  <si>
    <t>FECHA SUBIÓ SOPORTE</t>
  </si>
  <si>
    <t>REDIRECCIONAMIENTO 2</t>
  </si>
  <si>
    <t>REDIRECCIONAR CORREO</t>
  </si>
  <si>
    <t>CREACIÓN DE NOVEDAD EN PROTEO POR MED</t>
  </si>
  <si>
    <t>FECHA CREACIÓN REPORTE PROTEO POR CN</t>
  </si>
  <si>
    <t>OBSERVACION</t>
  </si>
  <si>
    <t>Columna1</t>
  </si>
  <si>
    <t>01 AGOSTO</t>
  </si>
  <si>
    <t>Zona Norte</t>
  </si>
  <si>
    <t>ELIMINAR</t>
  </si>
  <si>
    <t>NO</t>
  </si>
  <si>
    <t>03 AGOSTO</t>
  </si>
  <si>
    <t>JUAN CAMILO RANGEL CASTAÑO</t>
  </si>
  <si>
    <t>Zona Occidente</t>
  </si>
  <si>
    <t>Zona Sur</t>
  </si>
  <si>
    <t>Zona Centro</t>
  </si>
  <si>
    <t>05 AGOSTO</t>
  </si>
  <si>
    <t>CAROLINA  VILARO CAMPO</t>
  </si>
  <si>
    <t>Retiro</t>
  </si>
  <si>
    <t>04 AGOSTO</t>
  </si>
  <si>
    <t>Zona Oriente</t>
  </si>
  <si>
    <t>MARIA LORGIA  OSSA HENAO</t>
  </si>
  <si>
    <t>MARIA LORGIA OSSA HENAO</t>
  </si>
  <si>
    <t>CAROLINA VILARO CAMPO</t>
  </si>
  <si>
    <t>HARRISON VERA GARCIA</t>
  </si>
  <si>
    <t>PDTE SOPORTE-SIN SUPERNUMERARIO</t>
  </si>
  <si>
    <t>ANA MARIA REALES MARTINEZ</t>
  </si>
  <si>
    <t>Vacaciones</t>
  </si>
  <si>
    <t>DANIELA  MASSA DIAZ</t>
  </si>
  <si>
    <t>DIANA PATRICIA CORTES AGRESOT</t>
  </si>
  <si>
    <t>La Estrella Central</t>
  </si>
  <si>
    <t>Citación Judicial</t>
  </si>
  <si>
    <t>Novedad Ops</t>
  </si>
  <si>
    <t>CAROLINA RODRIGUEZ ECHEVERRI</t>
  </si>
  <si>
    <t>ANGELA EDELMIRA VARELA</t>
  </si>
  <si>
    <t>Licencia No Remunerada</t>
  </si>
  <si>
    <t>Dia De Grados</t>
  </si>
  <si>
    <t>ALEXANDER MIGUEL JIMENEZ LAVALLE</t>
  </si>
  <si>
    <t>1140885873</t>
  </si>
  <si>
    <t>MARIA AUXILIADORA NARVAEZ CHARRIS</t>
  </si>
  <si>
    <t>Hospitalización</t>
  </si>
  <si>
    <t>LAURA MARIA  CANO MIRANDA</t>
  </si>
  <si>
    <t>Apoyo Al CIS</t>
  </si>
  <si>
    <t>Consultando</t>
  </si>
  <si>
    <t>SIN SOPORTE</t>
  </si>
  <si>
    <t>PDTE SOPORTE-  LESLIE JOHANA RESTREPO ARANGO</t>
  </si>
  <si>
    <t>KELLY JOHANNA FORERO BONETT</t>
  </si>
  <si>
    <t>Licencia Paternidad</t>
  </si>
  <si>
    <t>Supernumerario</t>
  </si>
  <si>
    <t>Trámites Virtuales</t>
  </si>
  <si>
    <t xml:space="preserve"> </t>
  </si>
  <si>
    <t>INCAPACIDAD</t>
  </si>
  <si>
    <t>PDTE SOPORTE- ANA MARIA LONDOÑO GIRALDO</t>
  </si>
  <si>
    <t>PDTE SOPORTE-SIN AGENDA</t>
  </si>
  <si>
    <t>ELIMINAR-NO CONSULTO</t>
  </si>
  <si>
    <t>PDTE SOPORTE- SARA LISETH TROCHEZ BORRERO</t>
  </si>
  <si>
    <t>Calamidad</t>
  </si>
  <si>
    <t>PDTE SOPORTE-JUAN DAVID MONTOYA ARBELAEZ</t>
  </si>
  <si>
    <t>PDTE SOPORTE- MAICOL ESTEVEN SANCHEZ FRANCO</t>
  </si>
  <si>
    <t>Terminacion De Contrato</t>
  </si>
  <si>
    <t xml:space="preserve">  ELISA HINCAPIE GOMEZ</t>
  </si>
  <si>
    <t>Suspensión Laboral</t>
  </si>
  <si>
    <t>PDTE SOPORTE-CARLOS DAVID MUÑOZ VIVERO</t>
  </si>
  <si>
    <t>MARIA JOSE HERRERA VILLAMIZAR</t>
  </si>
  <si>
    <t xml:space="preserve">INCAPACIDAD </t>
  </si>
  <si>
    <t>MARIA JOSE  HERRERA VILLAMIZAR</t>
  </si>
  <si>
    <t>PDTE SOPORTE-   EDWIN HERNANDEZ SERNA</t>
  </si>
  <si>
    <t>PDTE SOPORTE-DANIELA ARANGO TOBON</t>
  </si>
  <si>
    <t xml:space="preserve">1040184262
</t>
  </si>
  <si>
    <t>DIANA PATRICIA  CORTES AGRESOT</t>
  </si>
  <si>
    <t>PDTE SOPORTE-  SANTIAGO GONZALEZ ALVAREZ</t>
  </si>
  <si>
    <t>Gestion</t>
  </si>
  <si>
    <t>LINDSAY PATRICIA MARTINEZ ESQUIVIA</t>
  </si>
  <si>
    <t>PDTE SOPORTE-  DANNA CAROLINA LOPEZ VIZCAINO</t>
  </si>
  <si>
    <t>LINDSAY PATRICIA  MARTINEZ ESQUIVIA</t>
  </si>
  <si>
    <t>Inducción</t>
  </si>
  <si>
    <t>MANUELA LOPERA GONZALEZ</t>
  </si>
  <si>
    <t xml:space="preserve">MANUELA LOPERA GONZALEZ </t>
  </si>
  <si>
    <t>1140851921</t>
  </si>
  <si>
    <t>MARIA CAMILA   REVELO FLOREZ</t>
  </si>
  <si>
    <t>MARIA PAOLA  BUSTAMANTE SANDOVAL</t>
  </si>
  <si>
    <t>KAROL STEFANY   RIVAS ROBLEDO</t>
  </si>
  <si>
    <t>LINA MARCELA  ALVAREZ MARIN</t>
  </si>
  <si>
    <t>JENNIFER  SANCHEZ CORTES</t>
  </si>
  <si>
    <t xml:space="preserve"> DIANA  ECHAVARRIA BETANCOURT</t>
  </si>
  <si>
    <t>ANA MARIA  ACOSTA TIRADO</t>
  </si>
  <si>
    <t>MELISSA  PINEDA BOLIVAR</t>
  </si>
  <si>
    <t>PAULA ANDREA  BERNAL ZULUAGA</t>
  </si>
  <si>
    <t>LAURA ANDREA  AGUDELO GONZALEZ</t>
  </si>
  <si>
    <t>1001940238</t>
  </si>
  <si>
    <t>1140905046</t>
  </si>
  <si>
    <t>21852680</t>
  </si>
  <si>
    <t>MARIA PAULA  ARGOTE MUÑOZ</t>
  </si>
  <si>
    <t>CLARA INES  CORONADO TRIANA</t>
  </si>
  <si>
    <t>Dia De Bodas</t>
  </si>
  <si>
    <t>1143460426</t>
  </si>
  <si>
    <t>Proyectos Valle De Aburra</t>
  </si>
  <si>
    <t>SARA VALENTINA  ECHEVERRI VARGAS</t>
  </si>
  <si>
    <t>ANDRES FELIPE CIFUENTES RICO</t>
  </si>
  <si>
    <t>MANUELA RESTREPO GOMEZ</t>
  </si>
  <si>
    <t xml:space="preserve"> HILDEBRANDO JOSE ALVAREZ NISPERUZA</t>
  </si>
  <si>
    <t>SUPERNUMERARIO</t>
  </si>
  <si>
    <t/>
  </si>
  <si>
    <t>ANA VALERIA  GARCIA MEDINA</t>
  </si>
  <si>
    <t>PDTE SOPORTE- CRISTIAN DAVID ROJAS PRATTO</t>
  </si>
  <si>
    <t xml:space="preserve">
ANDREA HOYOS ESCOBAR
</t>
  </si>
  <si>
    <t>ANDREA  HOYOS ESCOBAR</t>
  </si>
  <si>
    <t xml:space="preserve">ISABELLE GIL MARULANDA
</t>
  </si>
  <si>
    <t>ISABELLA CRUZ GIL</t>
  </si>
  <si>
    <t>JULIANA  MEJIA PALACIO</t>
  </si>
  <si>
    <t>PDTE SOPORTE- DIANA VANESA ROSERO SANTACRUZ</t>
  </si>
  <si>
    <t>Compensar Horas</t>
  </si>
  <si>
    <t>JENNY  GUEVARA MORENO</t>
  </si>
  <si>
    <t xml:space="preserve">CARMEN MILENA MIRANDA CASTILLA
</t>
  </si>
  <si>
    <t>06 AGOSTO</t>
  </si>
  <si>
    <t>CLARA VALENTINA  CUADRO VIECO</t>
  </si>
  <si>
    <t>PDTE SOPORTE- AGENDA EN VACACIONES</t>
  </si>
  <si>
    <t>JUAN PABLO  SERNA WILCHES</t>
  </si>
  <si>
    <t>Horas De Votación</t>
  </si>
  <si>
    <t xml:space="preserve">1001901817
</t>
  </si>
  <si>
    <t>PDTE SOPORTE- RICARDO ULISES ALVAREZ TAMARA</t>
  </si>
  <si>
    <t>LAURA ISABELA TABARES PEÑA</t>
  </si>
  <si>
    <t xml:space="preserve">
LUISA FERNANDA ASCANIO RINCON</t>
  </si>
  <si>
    <t>PDTE SOPORTE-MARIA ALEJANDRA MONTOYA SILVA</t>
  </si>
  <si>
    <t>08 AGOSTO</t>
  </si>
  <si>
    <t>LUISA FERNANDA  ASCANIO RINCON</t>
  </si>
  <si>
    <t>MARIA ALEJANDRA   RUIZ SANJUAN</t>
  </si>
  <si>
    <t xml:space="preserve">DANIELA MAYO MARIN </t>
  </si>
  <si>
    <t>NATALIA  MONTOYA ATEHORTUA</t>
  </si>
  <si>
    <t xml:space="preserve"> ANDRES FELIPE PABON MEZA</t>
  </si>
  <si>
    <t>AGENDA EN VACACIONES</t>
  </si>
  <si>
    <t xml:space="preserve">NICOLAS FERNANDO GODOY ESCOBAR
</t>
  </si>
  <si>
    <t>PDTE SOPORTE-JOSE DAVID HERAZO PEREZ</t>
  </si>
  <si>
    <t>10 AGOSTO</t>
  </si>
  <si>
    <t>Cita Médica</t>
  </si>
  <si>
    <t>DANA MARCELA TRUJILLO QUINTERO</t>
  </si>
  <si>
    <t>Proyecto Valle De Aburra</t>
  </si>
  <si>
    <t>PDTE SOPORTE-LAURA ELENA PELUFO RIVERO</t>
  </si>
  <si>
    <t>11 AGOSTO</t>
  </si>
  <si>
    <t>SUSANA VELEZ SALAZAR</t>
  </si>
  <si>
    <t>Licencita De Luto</t>
  </si>
  <si>
    <t>12 AGOSTO</t>
  </si>
  <si>
    <t xml:space="preserve"> YUDY MARCELA BOLAÑOS BOTERO</t>
  </si>
  <si>
    <t>Accidente Laboral</t>
  </si>
  <si>
    <t>13 AGOSTO</t>
  </si>
  <si>
    <t>El Retiro Robles</t>
  </si>
  <si>
    <t>PDTE SOPORTE-MARIA FERNANDA PASTRANA PACHECO</t>
  </si>
  <si>
    <t>PDTE SOPORTE-ANA MARIA LONDOÑO GIRALDO</t>
  </si>
  <si>
    <t>REVISION POR CENTRAL DE NOVEDADES</t>
  </si>
  <si>
    <t>PDTE SOPORTE- MARIA ALEJANDRA MONTOYA SILVA</t>
  </si>
  <si>
    <t>MEDICOS</t>
  </si>
  <si>
    <t>RECARGO NOCTURNO ORDINARIO</t>
  </si>
  <si>
    <t>ZONA SUPERNUMERARIO</t>
  </si>
  <si>
    <t>NOMBRE SUPER VALIDADO</t>
  </si>
  <si>
    <t>REGISTRO</t>
  </si>
  <si>
    <t>HORAS TOTALES DECIMAL</t>
  </si>
  <si>
    <t>TRANSPORTES</t>
  </si>
  <si>
    <t>ZONA OCCIDENTE</t>
  </si>
  <si>
    <t>ZONA SUR</t>
  </si>
  <si>
    <t>ZONA CENTRO</t>
  </si>
  <si>
    <t>ZONA NORTE</t>
  </si>
  <si>
    <t>MEDELLIN-COPACABANA</t>
  </si>
  <si>
    <t>ZONA ORIENTE</t>
  </si>
  <si>
    <t>RIONEGRO-LA CEJA</t>
  </si>
  <si>
    <t>RIONEGRO-MEDELLIN</t>
  </si>
  <si>
    <t>RIONEGRO-EL RETIRO</t>
  </si>
  <si>
    <t>MEDELLIN-GIRARDOTA</t>
  </si>
  <si>
    <t>RIONEGRO-SANTUARIO</t>
  </si>
  <si>
    <t>MEDELLIN-AMAGA</t>
  </si>
  <si>
    <t>Cedula</t>
  </si>
  <si>
    <t>Nombre</t>
  </si>
  <si>
    <t>Fecha</t>
  </si>
  <si>
    <t>Zona</t>
  </si>
  <si>
    <t>RIONEGRO</t>
  </si>
  <si>
    <t>CRISTO REY</t>
  </si>
  <si>
    <t>PARQUE FABRICATO</t>
  </si>
  <si>
    <t>ENVIGADO</t>
  </si>
  <si>
    <t>SANTA MARIA</t>
  </si>
  <si>
    <t>CORDOBA</t>
  </si>
  <si>
    <t>COLORES</t>
  </si>
  <si>
    <t>CALASANZ</t>
  </si>
  <si>
    <t>MANRIQUE</t>
  </si>
  <si>
    <t>SAN IGNACIO</t>
  </si>
  <si>
    <t>BELLO</t>
  </si>
  <si>
    <t>MONTERREY</t>
  </si>
  <si>
    <t>LOPEZ DE MESA</t>
  </si>
  <si>
    <t>PORVENIR</t>
  </si>
  <si>
    <t>SABANETA AVES MARIA</t>
  </si>
  <si>
    <t>1037600851</t>
  </si>
  <si>
    <t>DANIELA GIRALDO AGUDELO</t>
  </si>
  <si>
    <t>SUPER ASIGNADO</t>
  </si>
  <si>
    <t>FECHA DE TRASLADO</t>
  </si>
  <si>
    <t>VALENTINA ECHEVERRI DURANGO (LOPEZ DE MESA)</t>
  </si>
  <si>
    <t>STEFANIA FALCON GUTIERREZ (LOPEZ DE MESA)</t>
  </si>
  <si>
    <t>LUZ DEY VERGARA MONTERROZA</t>
  </si>
  <si>
    <t>FECHA</t>
  </si>
  <si>
    <t>1020465339</t>
  </si>
  <si>
    <t>LEIDY CAROLINA PEREZ VELEZ</t>
  </si>
  <si>
    <t>leidy.perez@unionsaludvida.com</t>
  </si>
  <si>
    <t>estiven.crespo@unionsaludvida.com</t>
  </si>
  <si>
    <t>1046952293</t>
  </si>
  <si>
    <t>KATHERINE TORRES MONTOYA</t>
  </si>
  <si>
    <t>katherine.torres@unionsaludvida.com</t>
  </si>
  <si>
    <t>1126246275</t>
  </si>
  <si>
    <t>JUAN CARLOS BRICEÑO SANABRIA</t>
  </si>
  <si>
    <t>carlos.briceno@unionsaludvida.com</t>
  </si>
  <si>
    <t>1152462023</t>
  </si>
  <si>
    <t>KATERINE ANDREA LOAIZA RINCON</t>
  </si>
  <si>
    <t>katerine.loaiza@unionsaludvida.com</t>
  </si>
  <si>
    <t>esther.arroyo@unionsaludvida.com</t>
  </si>
  <si>
    <t>diego.perez@unionsaludvida.com</t>
  </si>
  <si>
    <t>14 AGOSTO</t>
  </si>
  <si>
    <t>La Ceja Operativo</t>
  </si>
  <si>
    <t xml:space="preserve">1037573035
</t>
  </si>
  <si>
    <t xml:space="preserve">ZAIDY PAULINA PEREZ DE LOS RIOS
</t>
  </si>
  <si>
    <t>PDTE SOPORTE- YUDY MARCELA BOLAÑOS BOTERO</t>
  </si>
  <si>
    <t>PDTE SOPORTE-MARYAM AYLEEN JOSE MARTINEZ GARRIDO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</si>
</sst>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/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0" fontId="0" fillId="3" borderId="0" xfId="0" applyFill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2" fillId="0" borderId="0" xfId="0" applyFont="1"/>
    <xf numFmtId="0" fontId="0" fillId="2" borderId="0" xfId="0" applyFill="1"/>
    <xf numFmtId="0" fontId="0" fillId="0" borderId="0" xfId="0" applyNumberFormat="1"/>
  </cellXfs>
  <cellStyles count="1">
    <cellStyle name="Normal" xfId="0" builtinId="0"/>
  </cellStyles>
  <dxfs count="89">
    <dxf>
      <numFmt numFmtId="19" formatCode="d/mm/yyyy"/>
    </dxf>
    <dxf>
      <numFmt numFmtId="19" formatCode="d/mm/yyyy"/>
    </dxf>
    <dxf>
      <numFmt numFmtId="0" formatCode="General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9" formatCode="d/mm/yyyy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64" formatCode="[$-F400]h:mm:ss\ AM/PM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42876412-020D-444B-89CB-124747E02A31}">
    <nsvFilter filterId="{3169CD88-0D2D-4F65-92C4-C0D01A465CB9}" ref="A1:R392" tableId="7">
      <columnFilter colId="0" id="{CC725BF1-CA20-4183-B737-B1D9441FD541}">
        <filter colId="0">
          <x:filters>
            <x:dateGroupItem year="2026" month="6" day="1" dateTimeGrouping="day"/>
          </x:filters>
        </filter>
      </columnFilter>
      <sortRules>
        <sortRule colId="0" id="{CC725BF1-CA20-4183-B737-B1D9441FD541}">
          <sortCondition ref="A1:A392"/>
        </sortRule>
      </sortRules>
    </nsvFilter>
  </namedSheetView>
  <namedSheetView name="Ver2" id="{38D610E3-EAE7-43ED-93DE-0789B6167A20}">
    <nsvFilter filterId="{3169CD88-0D2D-4F65-92C4-C0D01A465CB9}" ref="A1:R392" tableId="7">
      <columnFilter colId="0" id="{CC725BF1-CA20-4183-B737-B1D9441FD541}">
        <filter colId="0">
          <x:filters>
            <x:dateGroupItem year="2026" month="6" day="3" dateTimeGrouping="day"/>
          </x:filters>
        </filter>
      </columnFilter>
      <columnFilter colId="15" id="{9637E9BD-8CB4-4BE9-A5F2-E1253A914679}">
        <filter colId="15">
          <x:filters>
            <x:filter val="SI"/>
          </x:filters>
        </filter>
      </columnFilter>
      <sortRules>
        <sortRule colId="0" id="{CC725BF1-CA20-4183-B737-B1D9441FD541}">
          <sortCondition ref="A1:A392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0" xr16:uid="{9DE62D4C-6EB8-4303-B0BD-ED70DEA9A640}" autoFormatId="16" applyNumberFormats="0" applyBorderFormats="0" applyFontFormats="0" applyPatternFormats="0" applyAlignmentFormats="0" applyWidthHeightFormats="0">
  <queryTableRefresh nextId="18">
    <queryTableFields count="13">
      <queryTableField id="1" name="Origen Hoja" tableColumnId="1"/>
      <queryTableField id="2" name="DOCUMENTO" tableColumnId="2"/>
      <queryTableField id="3" name="NOMBRE" tableColumnId="3"/>
      <queryTableField id="4" name="CIS" tableColumnId="4"/>
      <queryTableField id="14" name="TIPO DE NOVEDAD" tableColumnId="12"/>
      <queryTableField id="5" name="F inic Novedad" tableColumnId="5"/>
      <queryTableField id="6" name="F Fin Novedad" tableColumnId="6"/>
      <queryTableField id="15" name="Fecha Reintegro" tableColumnId="13"/>
      <queryTableField id="7" name="CEDULA SUPERNUMERARIO" tableColumnId="7"/>
      <queryTableField id="8" name="SUPERNUMERARIOS" tableColumnId="8"/>
      <queryTableField id="9" name="Origen" tableColumnId="9"/>
      <queryTableField id="10" name="Destino" tableColumnId="10"/>
      <queryTableField id="11" name="Novedad Extensa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6" connectionId="1" xr16:uid="{D96633BB-FBB2-4FCE-9E87-202697DBAF7B}" autoFormatId="16" applyNumberFormats="0" applyBorderFormats="0" applyFontFormats="0" applyPatternFormats="0" applyAlignmentFormats="0" applyWidthHeightFormats="0">
  <queryTableRefresh nextId="9">
    <queryTableFields count="6">
      <queryTableField id="2" name="Cédula" tableColumnId="2"/>
      <queryTableField id="1" name="Sede" tableColumnId="1"/>
      <queryTableField id="7" name="Cargo" tableColumnId="6"/>
      <queryTableField id="3" name="Profesional" tableColumnId="3"/>
      <queryTableField id="4" name="Estado" tableColumnId="4"/>
      <queryTableField id="5" name="Correo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3" xr16:uid="{ACD2169C-D2C2-4CAF-9475-8ECE7011EE22}" autoFormatId="16" applyNumberFormats="0" applyBorderFormats="0" applyFontFormats="0" applyPatternFormats="0" applyAlignmentFormats="0" applyWidthHeightFormats="0">
  <queryTableRefresh nextId="32" unboundColumnsRight="1">
    <queryTableFields count="19">
      <queryTableField id="1" name="Origen Hoja" tableColumnId="1"/>
      <queryTableField id="2" name="DOCUMENTO" tableColumnId="2"/>
      <queryTableField id="3" name="NOMBRE" tableColumnId="3"/>
      <queryTableField id="4" name="CIS" tableColumnId="4"/>
      <queryTableField id="5" name="ZONA" tableColumnId="5"/>
      <queryTableField id="6" name="TIPO DE NOVEDAD" tableColumnId="6"/>
      <queryTableField id="7" name="F inic Novedad" tableColumnId="7"/>
      <queryTableField id="8" name="F Fin Novedad" tableColumnId="8"/>
      <queryTableField id="10" name="Hora inic" tableColumnId="10"/>
      <queryTableField id="11" name="Hora final" tableColumnId="11"/>
      <queryTableField id="27" name="CEDULA SUPERNUMERARIO" tableColumnId="18"/>
      <queryTableField id="9" name="SUPERNUMERARIOS" tableColumnId="9"/>
      <queryTableField id="18" name="FECHA SUBIÓ SOPORTE" tableColumnId="12"/>
      <queryTableField id="25" name="REDIRECCIONAMIENTO 2" tableColumnId="17"/>
      <queryTableField id="24" name="REDIRECCIONAR CORREO" tableColumnId="16"/>
      <queryTableField id="19" name="CREACIÓN DE NOVEDAD EN PROTEO POR MED" tableColumnId="13"/>
      <queryTableField id="20" name="FECHA CREACIÓN REPORTE PROTEO POR CN" tableColumnId="14"/>
      <queryTableField id="15" name="observacion" tableColumnId="15"/>
      <queryTableField id="31" dataBound="0" tableColumnId="1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refreshOnLoad="1" connectionId="6" xr16:uid="{2101D03E-77C7-4D1E-BEBB-73AF89DB3E4D}" autoFormatId="16" applyNumberFormats="0" applyBorderFormats="0" applyFontFormats="0" applyPatternFormats="0" applyAlignmentFormats="0" applyWidthHeightFormats="0">
  <queryTableRefresh nextId="19">
    <queryTableFields count="9">
      <queryTableField id="1" name="REVISION POR CENTRAL DE NOVEDADES" tableColumnId="1"/>
      <queryTableField id="2" name="DOCUMENTO" tableColumnId="2"/>
      <queryTableField id="3" name="NOMBRE" tableColumnId="3"/>
      <queryTableField id="4" name="CIS" tableColumnId="4"/>
      <queryTableField id="5" name="ZONA" tableColumnId="5"/>
      <queryTableField id="7" name="F inic Novedad" tableColumnId="7"/>
      <queryTableField id="8" name="F Fin Novedad" tableColumnId="8"/>
      <queryTableField id="17" name="CEDULA SUPERNUMERARIO" tableColumnId="6"/>
      <queryTableField id="9" name="SUPERNUMERARIOS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refreshOnLoad="1" connectionId="3" xr16:uid="{8082B29A-73E2-4552-BE7A-CD45914A464D}" autoFormatId="16" applyNumberFormats="0" applyBorderFormats="0" applyFontFormats="0" applyPatternFormats="0" applyAlignmentFormats="0" applyWidthHeightFormats="0">
  <queryTableRefresh nextId="16">
    <queryTableFields count="15">
      <queryTableField id="1" name="REVISION POR CENTRAL DE NOVEDADES" tableColumnId="1"/>
      <queryTableField id="2" name="DOCUMENTO" tableColumnId="2"/>
      <queryTableField id="3" name="NOMBRE" tableColumnId="3"/>
      <queryTableField id="4" name="CIS" tableColumnId="4"/>
      <queryTableField id="5" name="ZONA" tableColumnId="5"/>
      <queryTableField id="6" name="TIPO DE NOVEDAD" tableColumnId="6"/>
      <queryTableField id="7" name="F inic Novedad" tableColumnId="7"/>
      <queryTableField id="8" name="F Fin Novedad" tableColumnId="8"/>
      <queryTableField id="9" name="Hora inic" tableColumnId="9"/>
      <queryTableField id="10" name="Hora final" tableColumnId="10"/>
      <queryTableField id="11" name="SUPERNUMERARIOS" tableColumnId="11"/>
      <queryTableField id="12" name="FECHA SUBIÓ SOPORTE" tableColumnId="12"/>
      <queryTableField id="13" name="CREACIÓN DE NOVEDAD EN PROTEO POR MED" tableColumnId="13"/>
      <queryTableField id="14" name="FECHA CREACIÓN REPORTE PROTEO POR CN" tableColumnId="14"/>
      <queryTableField id="15" name="OBSERVACION" tableColumnId="15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7" xr16:uid="{BF237B69-F63C-4004-B444-622AA6C9A6B2}" autoFormatId="16" applyNumberFormats="0" applyBorderFormats="0" applyFontFormats="0" applyPatternFormats="0" applyAlignmentFormats="0" applyWidthHeightFormats="0">
  <queryTableRefresh nextId="48">
    <queryTableFields count="18">
      <queryTableField id="33" name="REVISION POR CENTRAL DE NOVEDADES" tableColumnId="18"/>
      <queryTableField id="2" name="DOCUMENTO" tableColumnId="2"/>
      <queryTableField id="34" name="MEDICOS" tableColumnId="19"/>
      <queryTableField id="4" name="CIS" tableColumnId="4"/>
      <queryTableField id="5" name="ZONA" tableColumnId="5"/>
      <queryTableField id="6" name="TIPO DE NOVEDAD" tableColumnId="6"/>
      <queryTableField id="7" name="F inic Novedad" tableColumnId="7"/>
      <queryTableField id="8" name="F Fin Novedad" tableColumnId="8"/>
      <queryTableField id="9" name="Hora inic" tableColumnId="9"/>
      <queryTableField id="10" name="Hora final" tableColumnId="10"/>
      <queryTableField id="11" name="SUPERNUMERARIOS" tableColumnId="11"/>
      <queryTableField id="35" name="RECARGO NOCTURNO ORDINARIO" tableColumnId="20"/>
      <queryTableField id="36" name="ZONA SUPERNUMERARIO" tableColumnId="21"/>
      <queryTableField id="43" name="CEDULA SUPERNUMERARIO" tableColumnId="1"/>
      <queryTableField id="37" name="NOMBRE SUPER VALIDADO" tableColumnId="22"/>
      <queryTableField id="38" name="REGISTRO" tableColumnId="23"/>
      <queryTableField id="39" name="HORAS TOTALES DECIMAL" tableColumnId="24"/>
      <queryTableField id="40" name="TRANSPORTES" tableColumnId="2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6" refreshOnLoad="1" connectionId="15" xr16:uid="{4C38EE74-BEDB-4E01-93E7-3B5C83B96421}" autoFormatId="16" applyNumberFormats="0" applyBorderFormats="0" applyFontFormats="0" applyPatternFormats="0" applyAlignmentFormats="0" applyWidthHeightFormats="0">
  <queryTableRefresh nextId="7">
    <queryTableFields count="5">
      <queryTableField id="1" name="Cedula" tableColumnId="1"/>
      <queryTableField id="2" name="Nombre" tableColumnId="2"/>
      <queryTableField id="3" name="Fecha" tableColumnId="3"/>
      <queryTableField id="4" name="Zona" tableColumnId="4"/>
      <queryTableField id="5" name="CIS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refreshOnLoad="1" connectionId="14" xr16:uid="{0E12E1C4-E46B-4872-8922-E1BCF3BD4401}" autoFormatId="16" applyNumberFormats="0" applyBorderFormats="0" applyFontFormats="0" applyPatternFormats="0" applyAlignmentFormats="0" applyWidthHeightFormats="0">
  <queryTableRefresh nextId="4">
    <queryTableFields count="3">
      <queryTableField id="1" name="CEDULA SUPERNUMERARIO" tableColumnId="1"/>
      <queryTableField id="2" name="SUPER ASIGNADO" tableColumnId="2"/>
      <queryTableField id="3" name="FECHA DE TRASLADO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C5F19C0-00A6-445A-AA48-F1BC5AF98636}" name="CONSOLIDADO_REDIRECCIONAMIENTO" displayName="CONSOLIDADO_REDIRECCIONAMIENTO" ref="A1:M201" tableType="queryTable" totalsRowShown="0">
  <autoFilter ref="A1:M201" xr:uid="{AC5F19C0-00A6-445A-AA48-F1BC5AF98636}">
    <filterColumn colId="0">
      <filters>
        <dateGroupItem year="2026" month="8" day="13" dateTimeGrouping="day"/>
      </filters>
    </filterColumn>
  </autoFilter>
  <tableColumns count="13">
    <tableColumn id="1" xr3:uid="{BF5B993A-10E0-4BE2-AAA6-A59A79156674}" uniqueName="1" name="Origen Hoja" queryTableFieldId="1" dataDxfId="78"/>
    <tableColumn id="2" xr3:uid="{E4C97305-E441-49F2-B048-EE1A23303AFF}" uniqueName="2" name="DOCUMENTO" queryTableFieldId="2" dataDxfId="77"/>
    <tableColumn id="3" xr3:uid="{1E5F519C-77EB-426A-9D35-90581A4B8ECC}" uniqueName="3" name="NOMBRE" queryTableFieldId="3"/>
    <tableColumn id="4" xr3:uid="{592EC3D4-6D3C-42BE-8D41-6F0703455CD2}" uniqueName="4" name="CIS" queryTableFieldId="4" dataDxfId="76"/>
    <tableColumn id="12" xr3:uid="{46B11DD9-D5F0-4376-BEEF-2E28A96D486C}" uniqueName="12" name="TIPO DE NOVEDAD" queryTableFieldId="14" dataDxfId="75"/>
    <tableColumn id="5" xr3:uid="{D14F4ACE-3BB7-429F-8FD2-52940FBCE63C}" uniqueName="5" name="F inic Novedad" queryTableFieldId="5" dataDxfId="74"/>
    <tableColumn id="6" xr3:uid="{88443BB1-B1B9-4947-B4C6-E4B498216A2C}" uniqueName="6" name="F Fin Novedad" queryTableFieldId="6" dataDxfId="73"/>
    <tableColumn id="13" xr3:uid="{1926AD96-1E93-49D5-BD1A-EE2B9384FBEC}" uniqueName="13" name="Fecha Reintegro" queryTableFieldId="15" dataDxfId="72"/>
    <tableColumn id="7" xr3:uid="{0E9C15C6-483B-4548-A888-4365DC3FE8DE}" uniqueName="7" name="CEDULA SUPERNUMERARIO" queryTableFieldId="7" dataDxfId="71"/>
    <tableColumn id="8" xr3:uid="{EEAC6ADE-5621-4BF3-90B4-13587D217638}" uniqueName="8" name="SUPERNUMERARIOS" queryTableFieldId="8" dataDxfId="70"/>
    <tableColumn id="9" xr3:uid="{97076941-1EC3-4918-BA7F-15F769A5755C}" uniqueName="9" name="Origen" queryTableFieldId="9" dataDxfId="69"/>
    <tableColumn id="10" xr3:uid="{85BC7695-113A-4091-A373-CC00489BE776}" uniqueName="10" name="Destino" queryTableFieldId="10" dataDxfId="68"/>
    <tableColumn id="11" xr3:uid="{3D1F616A-4913-4301-B8CC-57FEC3D5AD49}" uniqueName="11" name="Novedad Extensa" queryTableFieldId="11" dataDxfId="6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E6EFA5-76A1-4E43-97B7-D81BA3C0F036}" name="Tabla10" displayName="Tabla10" ref="A1:J11" totalsRowShown="0" headerRowDxfId="88" headerRowBorderDxfId="87" tableBorderDxfId="86">
  <autoFilter ref="A1:J11" xr:uid="{2DE6EFA5-76A1-4E43-97B7-D81BA3C0F036}"/>
  <tableColumns count="10">
    <tableColumn id="1" xr3:uid="{217061A7-023A-4AFE-9F98-6E08D2382B40}" name="DOCUMENTO"/>
    <tableColumn id="2" xr3:uid="{EF6BB633-9F2F-4E3C-9BEE-088E4F549617}" name="NOMBRE" dataDxfId="85">
      <calculatedColumnFormula>IFERROR(VLOOKUP(A2,'BD PERSONAL'!A:E,4,FALSE)," ")</calculatedColumnFormula>
    </tableColumn>
    <tableColumn id="3" xr3:uid="{DA965290-31E9-455D-9AFD-11CC51716D5A}" name="CIS">
      <calculatedColumnFormula>IFERROR(VLOOKUP(A2,'BD PERSONAL'!A:E,2,FALSE)," ")</calculatedColumnFormula>
    </tableColumn>
    <tableColumn id="4" xr3:uid="{0799E944-1F64-449D-9E8F-11A12175C931}" name="F inic Novedad" dataDxfId="84"/>
    <tableColumn id="5" xr3:uid="{B5591017-A817-4FA8-B0F0-4E4E84083F2C}" name="F Fin Novedad" dataDxfId="83"/>
    <tableColumn id="6" xr3:uid="{5CB1FECE-5EFB-4F14-BCF0-7F866BE6EE16}" name="Fecha Reintegro" dataDxfId="82"/>
    <tableColumn id="7" xr3:uid="{EDF999FC-B474-43D2-A3E8-13124AEF171A}" name="CEDULA SUPERNUMERARIO"/>
    <tableColumn id="8" xr3:uid="{B49BE47C-5FA9-4183-ABE1-E02673460D52}" name="SUPERNUMERARIOS" dataDxfId="81">
      <calculatedColumnFormula>IFERROR(VLOOKUP(Tabla10[[#This Row],[CEDULA SUPERNUMERARIO]],BD_PERSONAL[],4,FALSE)," ")</calculatedColumnFormula>
    </tableColumn>
    <tableColumn id="9" xr3:uid="{702338F5-EBBD-42F8-A55F-5825C2C823A7}" name="Origen" dataDxfId="80">
      <calculatedColumnFormula>IFERROR(VLOOKUP(Tabla10[[#This Row],[DOCUMENTO]],BD_PERSONAL[],6,FALSE)," ")</calculatedColumnFormula>
    </tableColumn>
    <tableColumn id="10" xr3:uid="{ADCF33F4-72A9-452C-B6A1-89C5C36B4260}" name="Destino" dataDxfId="79">
      <calculatedColumnFormula>IFERROR(VLOOKUP(Tabla10[[#This Row],[CEDULA SUPERNUMERARIO]],BD_PERSONAL[],6,FALSE)," 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0E26907-21E6-4319-833B-BAEA00E9E625}" name="BD_PERSONAL" displayName="BD_PERSONAL" ref="A1:F1291" tableType="queryTable" totalsRowShown="0">
  <autoFilter ref="A1:F1291" xr:uid="{30E26907-21E6-4319-833B-BAEA00E9E625}">
    <filterColumn colId="2">
      <filters>
        <filter val="Medico General Supernumerario"/>
      </filters>
    </filterColumn>
    <filterColumn colId="3">
      <filters>
        <filter val="ALEJANDRO RUALES CHAMORRO"/>
        <filter val="ALEXA PALACIOS ARROYO"/>
        <filter val="CARLOS ANDRES FONSECA PIANETA"/>
        <filter val="DAVID JOSE ARIZA DE AVILA"/>
        <filter val="ESTEBAN MADERO MORALES"/>
        <filter val="ISABELA GUEVARA ESPAÑA"/>
        <filter val="JOSE CARLOS MONTES CORREA"/>
        <filter val="JUAN DAVID VILLA CORDOBA"/>
        <filter val="LUZ DEY VERGARA MOTERROZA"/>
        <filter val="SOFIA MORALES PLAZA"/>
      </filters>
    </filterColumn>
  </autoFilter>
  <sortState xmlns:xlrd2="http://schemas.microsoft.com/office/spreadsheetml/2017/richdata2" ref="A2:F1291">
    <sortCondition ref="D1:D1291"/>
  </sortState>
  <tableColumns count="6">
    <tableColumn id="2" xr3:uid="{3B3721E9-0BDA-44F5-8207-0E708C5279B3}" uniqueName="2" name="Cédula" queryTableFieldId="2" dataDxfId="66"/>
    <tableColumn id="1" xr3:uid="{27018370-7DC2-444F-A3D8-A5F63A615CCF}" uniqueName="1" name="Sede" queryTableFieldId="1" dataDxfId="65"/>
    <tableColumn id="6" xr3:uid="{04746D99-3D87-4A35-8D55-0730FBE61A2F}" uniqueName="6" name="Cargo" queryTableFieldId="7" dataDxfId="64"/>
    <tableColumn id="3" xr3:uid="{18FC1790-5629-4926-A783-A2019AFC48ED}" uniqueName="3" name="Profesional" queryTableFieldId="3" dataDxfId="63"/>
    <tableColumn id="4" xr3:uid="{F0857B73-D2C5-427B-AFE2-B706190496AB}" uniqueName="4" name="Estado" queryTableFieldId="4" dataDxfId="62"/>
    <tableColumn id="5" xr3:uid="{28CCA515-0704-45C9-86B6-59F20435ECA1}" uniqueName="5" name="Correo" queryTableFieldId="5" dataDxfId="6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0A25B8-DF9B-40AF-8CC6-3AD3493030B2}" name="CONSOLIDADO_2026" displayName="CONSOLIDADO_2026" ref="A1:S891" tableType="queryTable" totalsRowShown="0">
  <autoFilter ref="A1:S891" xr:uid="{E70A25B8-DF9B-40AF-8CC6-3AD3493030B2}"/>
  <tableColumns count="19">
    <tableColumn id="1" xr3:uid="{EF45D29C-4744-4DFC-A2CD-B534CA452295}" uniqueName="1" name="Origen Hoja" queryTableFieldId="1"/>
    <tableColumn id="2" xr3:uid="{61047A23-3203-485A-9514-C68D85E3AAD3}" uniqueName="2" name="DOCUMENTO" queryTableFieldId="2"/>
    <tableColumn id="3" xr3:uid="{0803F96C-6FBC-4213-860C-52F658A80D27}" uniqueName="3" name="NOMBRE" queryTableFieldId="3"/>
    <tableColumn id="4" xr3:uid="{5D380B34-5E30-478B-B3A6-DE9A7BF1ACEE}" uniqueName="4" name="CIS" queryTableFieldId="4" dataDxfId="60"/>
    <tableColumn id="5" xr3:uid="{59D663FC-F9B9-4B40-9711-454192E4C40A}" uniqueName="5" name="ZONA" queryTableFieldId="5" dataDxfId="59"/>
    <tableColumn id="6" xr3:uid="{D8727F07-3965-4334-8F4D-A083288B00AB}" uniqueName="6" name="TIPO DE NOVEDAD" queryTableFieldId="6" dataDxfId="58"/>
    <tableColumn id="7" xr3:uid="{C2E24C0A-6535-48DD-AAC2-DC14CD159987}" uniqueName="7" name="F inic Novedad" queryTableFieldId="7" dataDxfId="26"/>
    <tableColumn id="8" xr3:uid="{51A12B13-2315-46D6-AA9B-779B9BD49CE6}" uniqueName="8" name="F Fin Novedad" queryTableFieldId="8" dataDxfId="25"/>
    <tableColumn id="10" xr3:uid="{CCC57174-8272-484B-BF42-B28B7C3ACE6C}" uniqueName="10" name="Hora inic" queryTableFieldId="10" dataDxfId="24"/>
    <tableColumn id="11" xr3:uid="{73616FC4-50B9-45BA-A2D2-69B8BEE9AB6E}" uniqueName="11" name="Hora final" queryTableFieldId="11" dataDxfId="23"/>
    <tableColumn id="18" xr3:uid="{7CE348E2-07A6-4921-AA98-378CB515110C}" uniqueName="18" name="CEDULA SUPERNUMERARIO" queryTableFieldId="27" dataDxfId="57"/>
    <tableColumn id="9" xr3:uid="{32D61EBE-EFE0-4979-9698-30D4C7B45270}" uniqueName="9" name="SUPERNUMERARIOS" queryTableFieldId="9" dataDxfId="56"/>
    <tableColumn id="12" xr3:uid="{1FD0DB6F-1C7A-4BF0-AD07-9842E664BB71}" uniqueName="12" name="FECHA SUBIÓ SOPORTE" queryTableFieldId="18" dataDxfId="22"/>
    <tableColumn id="17" xr3:uid="{3CD7643A-A630-4087-9004-F9B30206C275}" uniqueName="17" name="REDIRECCIONAMIENTO 2" queryTableFieldId="25" dataDxfId="55"/>
    <tableColumn id="16" xr3:uid="{67AA95D8-D058-4327-96D7-FD164672776F}" uniqueName="16" name="REDIRECCIONAR CORREO" queryTableFieldId="24" dataDxfId="54"/>
    <tableColumn id="13" xr3:uid="{951ED848-8147-4F24-84D6-E9CE71EE9F2B}" uniqueName="13" name="CREACIÓN DE NOVEDAD EN PROTEO POR MED" queryTableFieldId="19" dataDxfId="21"/>
    <tableColumn id="14" xr3:uid="{6BF21331-FFCB-4624-B426-838E0C1E1EC7}" uniqueName="14" name="FECHA CREACIÓN REPORTE PROTEO POR CN" queryTableFieldId="20" dataDxfId="20"/>
    <tableColumn id="15" xr3:uid="{383DAF27-C80E-48B5-A424-C7B7C13CE1EF}" uniqueName="15" name="OBSERVACION" queryTableFieldId="15" dataDxfId="53"/>
    <tableColumn id="19" xr3:uid="{07D61B43-F7D3-4509-B328-5D40185C3D02}" uniqueName="19" name="Columna1" queryTableFieldId="31" dataDxfId="19">
      <calculatedColumnFormula>CONSOLIDADO_2026[[#This Row],[Hora final]]-CONSOLIDADO_2026[[#This Row],[Hora inic]]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0FA5C8D-C34C-4CC1-842B-48A8D6F43E06}" name="CONSOLIDADO_2026_LIDERES" displayName="CONSOLIDADO_2026_LIDERES" ref="A1:I839" tableType="queryTable" totalsRowShown="0">
  <autoFilter ref="A1:I839" xr:uid="{70FA5C8D-C34C-4CC1-842B-48A8D6F43E06}">
    <filterColumn colId="0">
      <filters>
        <dateGroupItem year="2026" month="7" day="25" dateTimeGrouping="day"/>
      </filters>
    </filterColumn>
    <filterColumn colId="8">
      <filters>
        <filter val="ANA MARIA LONDOÑO GIRALDO"/>
        <filter val="ANDREA CAMILA SALAZAR PADILLA"/>
        <filter val="ANDRES FELIPE PABON MEZA"/>
        <filter val="ANDRES JOSE BALLESTEROS MENDOZA"/>
        <filter val="CARLOS DAVID MUÑOZ VIVERO"/>
        <filter val="CRISTIAN DAVID ROJAS PRATTO"/>
        <filter val="DANIELA GIRALDO AGUDELO"/>
        <filter val="DANNA SOPHIA BURGOS RUIZ"/>
        <filter val="DEISY MARIBEL ALZATE RAMIREZ"/>
        <filter val="DIANA VANESA ROSERO SANTACRUZ"/>
        <filter val="EDWIN ANDHERSON MONTOYA MUÑOZ"/>
        <filter val="EDWIN HERNANDEZ SERNA"/>
        <filter val="ESTEFANIA REINA OSORIO"/>
        <filter val="GEILY LUZ PAEZ SIERRA"/>
        <filter val="JENNIFER ANGELICA LUGO CUERVO"/>
        <filter val="JORGE ANDRES BARRIOS DURAN"/>
        <filter val="JORGE DAVID JAIMES MARTINEZ"/>
        <filter val="JOSE DAVID HERAZO PEREZ"/>
        <filter val="JUAN DAVID MONTOYA ARBELAEZ"/>
        <filter val="JULIAN DAVID FRANCO GRANADA"/>
        <filter val="JULIANA SILGADO FERNANDEZ"/>
        <filter val="KATHERINE JULIED GARCIA MEDINA"/>
        <filter val="KATHERYN JULIETH GENES MARIN"/>
        <filter val="LAURA ELENA PELUFO RIVERO"/>
        <filter val="LUISA ALEJANDRA AGUILAR RIOS"/>
        <filter val="MARIA CAMILA BULA IMBERT"/>
        <filter val="MARIA FERNANDA ALVAREZ BUSTAMANTE"/>
        <filter val="MARIA FERNANDA PEREZ PINO"/>
        <filter val="MARIA SALOME BRAVO MOLINA"/>
        <filter val="MARYAM AYLEEN JOSE MARTINEZ GARRIDO"/>
        <filter val="MAURICIO ANDRES RONDON MARTINEZ"/>
        <filter val="PABLO ANDRES MORENO MONSALVE"/>
        <filter val="PAOLA ANDREA CARDENAS CARVAJAL"/>
        <filter val="PDT SOPORTE-AURA ROSA PUERTAS MANCILLA"/>
        <filter val="PDTE SOPORTE-SIN SUPERNUMERARIO"/>
        <filter val="RICARDO ULISES ALVAREZ TAMARA"/>
        <filter val="ROBERTO ORTIZ GALLARDO"/>
        <filter val="SANTIAGO CASTRILLON MONTOYA"/>
        <filter val="SARA LISETH TROCHEZ BORRERO"/>
        <filter val="SEBASTIAN GOMEZ ARCILA"/>
        <filter val="VALERIA DIAZ ARIAS"/>
        <filter val="WILLIAM ECHEVERRY TORO"/>
        <filter val="YELEINA MARIA LOPEZ MERCADO"/>
      </filters>
    </filterColumn>
  </autoFilter>
  <tableColumns count="9">
    <tableColumn id="1" xr3:uid="{E07CD993-9A5C-4775-ADCA-2C01FE7E7ED9}" uniqueName="1" name="REVISION POR CENTRAL DE NOVEDADES" queryTableFieldId="1" dataDxfId="18"/>
    <tableColumn id="2" xr3:uid="{15145F5B-AF04-44A6-9516-80A193F05C24}" uniqueName="2" name="DOCUMENTO" queryTableFieldId="2"/>
    <tableColumn id="3" xr3:uid="{39CB6480-3890-495A-BDBF-D3FFBF9DF69B}" uniqueName="3" name="NOMBRE" queryTableFieldId="3"/>
    <tableColumn id="4" xr3:uid="{B61B03A0-D722-42D5-B25A-3BBFEBD23FF2}" uniqueName="4" name="CIS" queryTableFieldId="4" dataDxfId="52"/>
    <tableColumn id="5" xr3:uid="{FB502406-14FA-45CF-A9E0-232597B7435E}" uniqueName="5" name="ZONA" queryTableFieldId="5" dataDxfId="51"/>
    <tableColumn id="7" xr3:uid="{B8BF3DE0-5E75-4421-B5CF-1343CBC39CCA}" uniqueName="7" name="F inic Novedad" queryTableFieldId="7" dataDxfId="17"/>
    <tableColumn id="8" xr3:uid="{CF81E198-7CF7-4165-B1B0-EBA82E9351A7}" uniqueName="8" name="F Fin Novedad" queryTableFieldId="8" dataDxfId="16"/>
    <tableColumn id="6" xr3:uid="{6280C9B7-CA25-4951-AC94-D2B6736AA7D8}" uniqueName="6" name="CEDULA SUPERNUMERARIO" queryTableFieldId="17" dataDxfId="50"/>
    <tableColumn id="9" xr3:uid="{932AF80C-B70D-4894-85B0-80ABD904AA8E}" uniqueName="9" name="SUPERNUMERARIOS" queryTableFieldId="9" dataDxfId="4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A69CE14-9D9B-430B-9382-63B55B9223B7}" name="CONSOLIDADO_2026_GH" displayName="CONSOLIDADO_2026_GH" ref="A1:O308" tableType="queryTable" totalsRowShown="0">
  <autoFilter ref="A1:O308" xr:uid="{3A69CE14-9D9B-430B-9382-63B55B9223B7}">
    <filterColumn colId="0">
      <filters>
        <dateGroupItem year="2026" month="7" day="22" dateTimeGrouping="day"/>
      </filters>
    </filterColumn>
    <filterColumn colId="5">
      <filters>
        <filter val="Calamidad"/>
        <filter val="Consultando"/>
        <filter val="Incapacidad"/>
        <filter val="Licencia De Maternidad"/>
        <filter val="Licencia Paternidad"/>
        <filter val="Suspensión Laboral"/>
      </filters>
    </filterColumn>
  </autoFilter>
  <tableColumns count="15">
    <tableColumn id="1" xr3:uid="{19FAF35A-50B6-4908-9D9E-1B7FA48BE354}" uniqueName="1" name="REVISION POR CENTRAL DE NOVEDADES" queryTableFieldId="1" dataDxfId="15"/>
    <tableColumn id="2" xr3:uid="{169281F0-63E0-4CAB-B259-BE43DB541179}" uniqueName="2" name="DOCUMENTO" queryTableFieldId="2"/>
    <tableColumn id="3" xr3:uid="{6E15226C-D998-463E-A402-FBD816BB0E1A}" uniqueName="3" name="NOMBRE" queryTableFieldId="3" dataDxfId="14"/>
    <tableColumn id="4" xr3:uid="{C6C7B424-306A-46F4-B045-C7654D1C49B4}" uniqueName="4" name="CIS" queryTableFieldId="4" dataDxfId="13"/>
    <tableColumn id="5" xr3:uid="{312D032F-2D55-4655-9052-2A75BA1C877F}" uniqueName="5" name="ZONA" queryTableFieldId="5" dataDxfId="12"/>
    <tableColumn id="6" xr3:uid="{DCAEA507-F6FE-46AB-9FA6-D78D8D0B2B9E}" uniqueName="6" name="TIPO DE NOVEDAD" queryTableFieldId="6" dataDxfId="11"/>
    <tableColumn id="7" xr3:uid="{0DB78D3F-C82C-422B-9EAE-70A9AEFD3F05}" uniqueName="7" name="F inic Novedad" queryTableFieldId="7" dataDxfId="10"/>
    <tableColumn id="8" xr3:uid="{CCD6C248-AA89-499F-AC9D-194D61DE7FBD}" uniqueName="8" name="F Fin Novedad" queryTableFieldId="8" dataDxfId="9"/>
    <tableColumn id="9" xr3:uid="{5CC88A28-E07C-4598-912A-8E5CB3BA4239}" uniqueName="9" name="Hora inic" queryTableFieldId="9" dataDxfId="8"/>
    <tableColumn id="10" xr3:uid="{D0376AE3-5044-408E-9900-0F42C1133C5F}" uniqueName="10" name="Hora final" queryTableFieldId="10" dataDxfId="7"/>
    <tableColumn id="11" xr3:uid="{DB41E9C7-2415-404C-8ADA-87F55F4B46DB}" uniqueName="11" name="SUPERNUMERARIOS" queryTableFieldId="11" dataDxfId="6"/>
    <tableColumn id="12" xr3:uid="{A667882A-0F55-445E-B76F-9DAAD3108A50}" uniqueName="12" name="FECHA SUBIÓ SOPORTE" queryTableFieldId="12" dataDxfId="5"/>
    <tableColumn id="13" xr3:uid="{C2CFE3DB-CEED-44EE-A7D7-043F958C197D}" uniqueName="13" name="CREACIÓN DE NOVEDAD EN PROTEO POR MED" queryTableFieldId="13" dataDxfId="4"/>
    <tableColumn id="14" xr3:uid="{EDC19598-88AC-4E73-9A71-372539E5CEDD}" uniqueName="14" name="FECHA CREACIÓN REPORTE PROTEO POR CN" queryTableFieldId="14" dataDxfId="3"/>
    <tableColumn id="15" xr3:uid="{01DF2BD9-EC68-4683-91CC-4911D32A2700}" uniqueName="15" name="OBSERVACION" queryTableFieldId="15" dataDxf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169CD88-0D2D-4F65-92C4-C0D01A465CB9}" name="CONSOLIDADO_2026_NOMINA" displayName="CONSOLIDADO_2026_NOMINA" ref="A1:R392" tableType="queryTable" totalsRowShown="0">
  <autoFilter ref="A1:R392" xr:uid="{3169CD88-0D2D-4F65-92C4-C0D01A465CB9}">
    <filterColumn colId="0">
      <filters>
        <dateGroupItem year="2026" month="8" day="3" dateTimeGrouping="day"/>
      </filters>
    </filterColumn>
    <filterColumn colId="15">
      <filters>
        <filter val="SI"/>
      </filters>
    </filterColumn>
  </autoFilter>
  <sortState xmlns:xlrd2="http://schemas.microsoft.com/office/spreadsheetml/2017/richdata2" ref="A2:R392">
    <sortCondition ref="A1:A392"/>
  </sortState>
  <tableColumns count="18">
    <tableColumn id="18" xr3:uid="{CC725BF1-CA20-4183-B737-B1D9441FD541}" uniqueName="18" name="REVISION POR CENTRAL DE NOVEDADES" queryTableFieldId="33" dataDxfId="48"/>
    <tableColumn id="2" xr3:uid="{D3808EE1-577F-48F0-9EF1-6E14D3CE6AC8}" uniqueName="2" name="DOCUMENTO" queryTableFieldId="2"/>
    <tableColumn id="19" xr3:uid="{BB7EDD16-BACE-42CD-B24A-A0607F0D3EA8}" uniqueName="19" name="MEDICOS" queryTableFieldId="34" dataDxfId="47"/>
    <tableColumn id="4" xr3:uid="{4515F4C1-1292-4274-9B6B-AF60955C3B21}" uniqueName="4" name="CIS" queryTableFieldId="4" dataDxfId="46"/>
    <tableColumn id="5" xr3:uid="{5B8F1017-9B86-4CD5-BC9F-B0EF8192CD38}" uniqueName="5" name="ZONA" queryTableFieldId="5" dataDxfId="45"/>
    <tableColumn id="6" xr3:uid="{C11E52EE-F317-44D2-8CDF-97C97196EE6F}" uniqueName="6" name="TIPO DE NOVEDAD" queryTableFieldId="6" dataDxfId="44"/>
    <tableColumn id="7" xr3:uid="{8EFD76D1-BBA9-44C8-8ECE-81C4F3E6225D}" uniqueName="7" name="F inic Novedad" queryTableFieldId="7" dataDxfId="43"/>
    <tableColumn id="8" xr3:uid="{6A90005E-DCE6-4482-AA1B-54951E8B6552}" uniqueName="8" name="F Fin Novedad" queryTableFieldId="8" dataDxfId="42"/>
    <tableColumn id="9" xr3:uid="{65394B07-B22A-4BC4-82CF-AA6E46F36969}" uniqueName="9" name="Hora inic" queryTableFieldId="9" dataDxfId="41"/>
    <tableColumn id="10" xr3:uid="{A512F579-1EDF-4351-B34C-C1784222D352}" uniqueName="10" name="Hora final" queryTableFieldId="10" dataDxfId="40"/>
    <tableColumn id="11" xr3:uid="{D92BE586-4A41-4C7C-91B7-5A012B019709}" uniqueName="11" name="SUPERNUMERARIOS" queryTableFieldId="11" dataDxfId="39"/>
    <tableColumn id="20" xr3:uid="{85B13B97-E2B7-449B-991C-6C7D7C5AF983}" uniqueName="20" name="RECARGO NOCTURNO ORDINARIO" queryTableFieldId="35"/>
    <tableColumn id="21" xr3:uid="{CA150E15-F701-463E-A01C-620CE6F745DB}" uniqueName="21" name="ZONA SUPERNUMERARIO" queryTableFieldId="36" dataDxfId="38"/>
    <tableColumn id="1" xr3:uid="{6DC89ACA-EAB8-454A-83F1-F9297CA73022}" uniqueName="1" name="CEDULA SUPERNUMERARIO" queryTableFieldId="43" dataDxfId="37"/>
    <tableColumn id="22" xr3:uid="{1352E4F6-166A-41BC-A740-1516EF507BB9}" uniqueName="22" name="NOMBRE SUPER VALIDADO" queryTableFieldId="37" dataDxfId="36"/>
    <tableColumn id="23" xr3:uid="{9637E9BD-8CB4-4BE9-A5F2-E1253A914679}" uniqueName="23" name="REGISTRO" queryTableFieldId="38" dataDxfId="35"/>
    <tableColumn id="24" xr3:uid="{55E16BA7-8186-45F1-8CFD-5CB354C480A5}" uniqueName="24" name="HORAS TOTALES DECIMAL" queryTableFieldId="39"/>
    <tableColumn id="25" xr3:uid="{B8AA07C6-1A6C-46AE-ADD8-D9B4342D4C5E}" uniqueName="25" name="TRANSPORTES" queryTableFieldId="40" dataDxfId="3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0A7A00-F037-4295-8A80-FB14D03AF7D5}" name="SUPERNUMERARIOS" displayName="SUPERNUMERARIOS" ref="A1:E368" tableType="queryTable" totalsRowShown="0">
  <autoFilter ref="A1:E368" xr:uid="{340A7A00-F037-4295-8A80-FB14D03AF7D5}">
    <filterColumn colId="1">
      <filters>
        <filter val="ANDREA CAMILA SALAZAR PADILLA"/>
      </filters>
    </filterColumn>
  </autoFilter>
  <tableColumns count="5">
    <tableColumn id="1" xr3:uid="{D2CCB8AF-5332-4395-9A16-34FAC44D440E}" uniqueName="1" name="Cedula" queryTableFieldId="1" dataDxfId="33"/>
    <tableColumn id="2" xr3:uid="{98528D6C-EE66-40AE-8568-43F17E3F9B10}" uniqueName="2" name="Nombre" queryTableFieldId="2" dataDxfId="32"/>
    <tableColumn id="3" xr3:uid="{444651D4-D81E-4A29-A48A-7FAF2B45E489}" uniqueName="3" name="Fecha" queryTableFieldId="3" dataDxfId="1"/>
    <tableColumn id="4" xr3:uid="{F224DA40-FA5C-4052-A3E6-C41941170FC0}" uniqueName="4" name="Zona" queryTableFieldId="4" dataDxfId="31"/>
    <tableColumn id="5" xr3:uid="{E861F0CC-FBC1-4F98-8F7A-245A78C3DE28}" uniqueName="5" name="CIS" queryTableFieldId="5" dataDxfId="3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BCD767C-766F-4BA0-95FF-A2C3223E3640}" name="CONSOLIDADO_PLAZAS_FIJAS" displayName="CONSOLIDADO_PLAZAS_FIJAS" ref="A1:C33" tableType="queryTable" totalsRowShown="0">
  <autoFilter ref="A1:C33" xr:uid="{4BCD767C-766F-4BA0-95FF-A2C3223E3640}"/>
  <tableColumns count="3">
    <tableColumn id="1" xr3:uid="{962560CC-63CA-4407-B902-1C8A6CE9AD74}" uniqueName="1" name="CEDULA SUPERNUMERARIO" queryTableFieldId="1" dataDxfId="29"/>
    <tableColumn id="2" xr3:uid="{3ABD301E-4EF1-4B3C-AFFD-006FFDC2BEC8}" uniqueName="2" name="SUPER ASIGNADO" queryTableFieldId="2" dataDxfId="28"/>
    <tableColumn id="3" xr3:uid="{3C12C2EC-302C-4596-92BE-BA8757FAAC6C}" uniqueName="3" name="FECHA DE TRASLADO" queryTableFieldId="3" dataDxfId="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38D45B-65D4-4510-95CA-2445A2F0BB74}" name="TablaFestivos" displayName="TablaFestivos" ref="A1:A19" totalsRowShown="0">
  <autoFilter ref="A1:A19" xr:uid="{7038D45B-65D4-4510-95CA-2445A2F0BB74}"/>
  <tableColumns count="1">
    <tableColumn id="1" xr3:uid="{C74B67D4-E103-49BC-8EF3-6504BA9ADFFF}" name="FECHA" dataDxfId="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E4600-202D-4B18-B3D7-AE639DDAC83B}">
  <dimension ref="A1"/>
  <sheetViews>
    <sheetView workbookViewId="0"/>
  </sheetViews>
  <sheetFormatPr baseColWidth="10" defaultColWidth="11.42578125" defaultRowHeight="15" x14ac:dyDescent="0.25"/>
  <cols>
    <col min="1" max="1" width="13.7109375" bestFit="1" customWidth="1"/>
    <col min="2" max="2" width="15.28515625" bestFit="1" customWidth="1"/>
    <col min="3" max="3" width="48.28515625" bestFit="1" customWidth="1"/>
    <col min="4" max="4" width="31.7109375" bestFit="1" customWidth="1"/>
    <col min="5" max="5" width="17.140625" bestFit="1" customWidth="1"/>
    <col min="6" max="6" width="23.85546875" bestFit="1" customWidth="1"/>
    <col min="7" max="7" width="16.28515625" bestFit="1" customWidth="1"/>
    <col min="8" max="8" width="15.85546875" bestFit="1" customWidth="1"/>
    <col min="9" max="9" width="81.140625" bestFit="1" customWidth="1"/>
    <col min="10" max="11" width="23.42578125" bestFit="1" customWidth="1"/>
    <col min="12" max="12" width="23.85546875" bestFit="1" customWidth="1"/>
    <col min="13" max="13" width="25.42578125" bestFit="1" customWidth="1"/>
    <col min="14" max="14" width="44.5703125" bestFit="1" customWidth="1"/>
    <col min="15" max="15" width="42.28515625" bestFit="1" customWidth="1"/>
    <col min="16" max="16" width="42.140625" bestFit="1" customWidth="1"/>
    <col min="17" max="17" width="40" bestFit="1" customWidth="1"/>
    <col min="18" max="18" width="37" bestFit="1" customWidth="1"/>
    <col min="19" max="19" width="14.28515625" bestFit="1" customWidth="1"/>
  </cols>
  <sheetData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7D8FA-07C6-412B-BDB3-000ADD0EC346}">
  <dimension ref="A1"/>
  <sheetViews>
    <sheetView workbookViewId="0"/>
  </sheetViews>
  <sheetFormatPr baseColWidth="10" defaultColWidth="11.42578125" defaultRowHeight="15" x14ac:dyDescent="0.25"/>
  <cols>
    <col min="1" max="1" width="13.7109375" bestFit="1" customWidth="1"/>
    <col min="2" max="2" width="15.28515625" bestFit="1" customWidth="1"/>
    <col min="3" max="3" width="48.28515625" bestFit="1" customWidth="1"/>
    <col min="4" max="4" width="31.7109375" bestFit="1" customWidth="1"/>
    <col min="5" max="5" width="17.5703125" bestFit="1" customWidth="1"/>
    <col min="6" max="6" width="23.85546875" bestFit="1" customWidth="1"/>
    <col min="7" max="7" width="16.28515625" bestFit="1" customWidth="1"/>
    <col min="8" max="8" width="15.85546875" bestFit="1" customWidth="1"/>
    <col min="9" max="9" width="81.140625" bestFit="1" customWidth="1"/>
    <col min="10" max="10" width="32.42578125" bestFit="1" customWidth="1"/>
    <col min="11" max="11" width="23.42578125" bestFit="1" customWidth="1"/>
    <col min="12" max="12" width="23.85546875" bestFit="1" customWidth="1"/>
    <col min="13" max="13" width="44.5703125" bestFit="1" customWidth="1"/>
    <col min="14" max="14" width="42.28515625" bestFit="1" customWidth="1"/>
    <col min="15" max="15" width="16.140625" bestFit="1" customWidth="1"/>
    <col min="16" max="16" width="25.42578125" bestFit="1" customWidth="1"/>
    <col min="17" max="17" width="40" bestFit="1" customWidth="1"/>
    <col min="18" max="18" width="37" bestFit="1" customWidth="1"/>
    <col min="19" max="19" width="14.28515625" bestFit="1" customWidth="1"/>
  </cols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8F94F-63FB-4786-A2E8-8D7D54DF5B0A}">
  <dimension ref="A1:M201"/>
  <sheetViews>
    <sheetView topLeftCell="E1" workbookViewId="0">
      <selection activeCell="K133" sqref="K133:K200"/>
    </sheetView>
  </sheetViews>
  <sheetFormatPr baseColWidth="10" defaultColWidth="11.42578125" defaultRowHeight="15" x14ac:dyDescent="0.25"/>
  <cols>
    <col min="1" max="1" width="13.7109375" style="1" bestFit="1" customWidth="1"/>
    <col min="2" max="2" width="15.28515625" bestFit="1" customWidth="1"/>
    <col min="3" max="3" width="38" bestFit="1" customWidth="1"/>
    <col min="4" max="4" width="20.28515625" bestFit="1" customWidth="1"/>
    <col min="5" max="5" width="21.85546875" bestFit="1" customWidth="1"/>
    <col min="6" max="6" width="16.28515625" bestFit="1" customWidth="1"/>
    <col min="7" max="7" width="15.85546875" bestFit="1" customWidth="1"/>
    <col min="8" max="8" width="17.5703125" bestFit="1" customWidth="1"/>
    <col min="9" max="9" width="28" bestFit="1" customWidth="1"/>
    <col min="10" max="10" width="39.85546875" bestFit="1" customWidth="1"/>
    <col min="11" max="11" width="39.140625" bestFit="1" customWidth="1"/>
    <col min="12" max="12" width="37.85546875" bestFit="1" customWidth="1"/>
    <col min="13" max="13" width="18.7109375" bestFit="1" customWidth="1"/>
    <col min="14" max="14" width="18.7109375" customWidth="1"/>
  </cols>
  <sheetData>
    <row r="1" spans="1:13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hidden="1" x14ac:dyDescent="0.25">
      <c r="A2" s="1">
        <v>46245</v>
      </c>
      <c r="B2" t="s">
        <v>13</v>
      </c>
      <c r="C2" t="s">
        <v>14</v>
      </c>
      <c r="D2" t="s">
        <v>15</v>
      </c>
      <c r="E2" t="s">
        <v>16</v>
      </c>
      <c r="F2" s="1">
        <v>46241</v>
      </c>
      <c r="G2" s="1">
        <v>46366</v>
      </c>
      <c r="H2" s="1">
        <v>46367</v>
      </c>
      <c r="I2" t="s">
        <v>17</v>
      </c>
      <c r="J2" t="s">
        <v>18</v>
      </c>
      <c r="K2" t="s">
        <v>19</v>
      </c>
      <c r="L2" t="s">
        <v>20</v>
      </c>
      <c r="M2" t="s">
        <v>21</v>
      </c>
    </row>
    <row r="3" spans="1:13" hidden="1" x14ac:dyDescent="0.25">
      <c r="A3" s="1">
        <v>46238</v>
      </c>
      <c r="B3" t="s">
        <v>22</v>
      </c>
      <c r="C3" t="s">
        <v>23</v>
      </c>
      <c r="D3" t="s">
        <v>24</v>
      </c>
      <c r="E3" t="s">
        <v>25</v>
      </c>
      <c r="F3" s="1">
        <v>46237</v>
      </c>
      <c r="G3" s="1">
        <v>46241</v>
      </c>
      <c r="H3" s="1">
        <v>46242</v>
      </c>
      <c r="I3" t="s">
        <v>17</v>
      </c>
      <c r="J3" t="s">
        <v>18</v>
      </c>
      <c r="K3" t="s">
        <v>26</v>
      </c>
      <c r="L3" t="s">
        <v>20</v>
      </c>
      <c r="M3" t="s">
        <v>21</v>
      </c>
    </row>
    <row r="4" spans="1:13" hidden="1" x14ac:dyDescent="0.25">
      <c r="A4" s="1">
        <v>46244</v>
      </c>
      <c r="B4" t="s">
        <v>27</v>
      </c>
      <c r="C4" t="s">
        <v>28</v>
      </c>
      <c r="D4" t="s">
        <v>29</v>
      </c>
      <c r="E4" t="s">
        <v>30</v>
      </c>
      <c r="F4" s="1">
        <v>46240</v>
      </c>
      <c r="G4" s="1">
        <v>46265</v>
      </c>
      <c r="H4" s="1">
        <v>46266</v>
      </c>
      <c r="I4" t="s">
        <v>17</v>
      </c>
      <c r="J4" t="s">
        <v>18</v>
      </c>
      <c r="K4" t="s">
        <v>31</v>
      </c>
      <c r="L4" t="s">
        <v>20</v>
      </c>
      <c r="M4" t="s">
        <v>21</v>
      </c>
    </row>
    <row r="5" spans="1:13" hidden="1" x14ac:dyDescent="0.25">
      <c r="A5" s="1">
        <v>46242</v>
      </c>
      <c r="B5" t="s">
        <v>32</v>
      </c>
      <c r="C5" t="s">
        <v>33</v>
      </c>
      <c r="D5" t="s">
        <v>34</v>
      </c>
      <c r="E5" t="s">
        <v>25</v>
      </c>
      <c r="F5" s="1">
        <v>46239</v>
      </c>
      <c r="G5" s="1">
        <v>46246</v>
      </c>
      <c r="H5" s="1">
        <v>46247</v>
      </c>
      <c r="I5" t="s">
        <v>35</v>
      </c>
      <c r="J5" t="s">
        <v>36</v>
      </c>
      <c r="K5" t="s">
        <v>37</v>
      </c>
      <c r="L5" t="s">
        <v>38</v>
      </c>
      <c r="M5" t="s">
        <v>21</v>
      </c>
    </row>
    <row r="6" spans="1:13" hidden="1" x14ac:dyDescent="0.25">
      <c r="A6" s="1">
        <v>46238</v>
      </c>
      <c r="B6" t="s">
        <v>39</v>
      </c>
      <c r="C6" t="s">
        <v>40</v>
      </c>
      <c r="D6" t="s">
        <v>41</v>
      </c>
      <c r="E6" t="s">
        <v>25</v>
      </c>
      <c r="F6" s="1">
        <v>46226</v>
      </c>
      <c r="G6" s="1">
        <v>46255</v>
      </c>
      <c r="H6" s="1">
        <v>46256</v>
      </c>
      <c r="I6" t="s">
        <v>35</v>
      </c>
      <c r="J6" t="s">
        <v>36</v>
      </c>
      <c r="K6" t="s">
        <v>42</v>
      </c>
      <c r="L6" t="s">
        <v>38</v>
      </c>
      <c r="M6" t="s">
        <v>21</v>
      </c>
    </row>
    <row r="7" spans="1:13" hidden="1" x14ac:dyDescent="0.25">
      <c r="A7" s="1">
        <v>46240</v>
      </c>
      <c r="B7" t="s">
        <v>39</v>
      </c>
      <c r="C7" t="s">
        <v>40</v>
      </c>
      <c r="D7" t="s">
        <v>41</v>
      </c>
      <c r="E7" t="s">
        <v>25</v>
      </c>
      <c r="F7" s="1">
        <v>46226</v>
      </c>
      <c r="G7" s="1">
        <v>46255</v>
      </c>
      <c r="H7" s="1">
        <v>46256</v>
      </c>
      <c r="I7" t="s">
        <v>35</v>
      </c>
      <c r="J7" t="s">
        <v>36</v>
      </c>
      <c r="K7" t="s">
        <v>42</v>
      </c>
      <c r="L7" t="s">
        <v>38</v>
      </c>
      <c r="M7" t="s">
        <v>21</v>
      </c>
    </row>
    <row r="8" spans="1:13" hidden="1" x14ac:dyDescent="0.25">
      <c r="A8" s="1">
        <v>46245</v>
      </c>
      <c r="B8" t="s">
        <v>43</v>
      </c>
      <c r="C8" t="s">
        <v>44</v>
      </c>
      <c r="D8" t="s">
        <v>41</v>
      </c>
      <c r="E8" t="s">
        <v>30</v>
      </c>
      <c r="F8" s="1">
        <v>46230</v>
      </c>
      <c r="G8" s="1">
        <v>46262</v>
      </c>
      <c r="H8" s="1">
        <v>46263</v>
      </c>
      <c r="I8" t="s">
        <v>35</v>
      </c>
      <c r="J8" t="s">
        <v>36</v>
      </c>
      <c r="K8" t="s">
        <v>45</v>
      </c>
      <c r="L8" t="s">
        <v>38</v>
      </c>
      <c r="M8" t="s">
        <v>21</v>
      </c>
    </row>
    <row r="9" spans="1:13" hidden="1" x14ac:dyDescent="0.25">
      <c r="A9" s="1">
        <v>46237</v>
      </c>
      <c r="B9" t="s">
        <v>46</v>
      </c>
      <c r="C9" t="s">
        <v>47</v>
      </c>
      <c r="D9" t="s">
        <v>34</v>
      </c>
      <c r="E9" t="s">
        <v>25</v>
      </c>
      <c r="F9" s="1">
        <v>46224</v>
      </c>
      <c r="G9" s="1">
        <v>46239</v>
      </c>
      <c r="H9" s="1">
        <v>46240</v>
      </c>
      <c r="I9" t="s">
        <v>35</v>
      </c>
      <c r="J9" t="s">
        <v>36</v>
      </c>
      <c r="K9" t="s">
        <v>48</v>
      </c>
      <c r="L9" t="s">
        <v>38</v>
      </c>
      <c r="M9" t="s">
        <v>21</v>
      </c>
    </row>
    <row r="10" spans="1:13" x14ac:dyDescent="0.25">
      <c r="A10" s="1">
        <v>46247</v>
      </c>
      <c r="B10" t="s">
        <v>46</v>
      </c>
      <c r="C10" t="s">
        <v>47</v>
      </c>
      <c r="D10" t="s">
        <v>34</v>
      </c>
      <c r="E10" t="s">
        <v>16</v>
      </c>
      <c r="F10" s="1">
        <v>46245</v>
      </c>
      <c r="G10" s="1">
        <v>46370</v>
      </c>
      <c r="H10" s="1">
        <v>46371</v>
      </c>
      <c r="I10" t="s">
        <v>35</v>
      </c>
      <c r="J10" t="s">
        <v>36</v>
      </c>
      <c r="K10" t="s">
        <v>48</v>
      </c>
      <c r="L10" t="s">
        <v>38</v>
      </c>
      <c r="M10" t="s">
        <v>21</v>
      </c>
    </row>
    <row r="11" spans="1:13" hidden="1" x14ac:dyDescent="0.25">
      <c r="A11" s="1">
        <v>46244</v>
      </c>
      <c r="B11" t="s">
        <v>49</v>
      </c>
      <c r="C11" t="s">
        <v>50</v>
      </c>
      <c r="D11" t="s">
        <v>51</v>
      </c>
      <c r="E11" t="s">
        <v>16</v>
      </c>
      <c r="F11" s="1">
        <v>46217</v>
      </c>
      <c r="G11" s="1">
        <v>46342</v>
      </c>
      <c r="H11" s="1">
        <v>46343</v>
      </c>
      <c r="I11" t="s">
        <v>35</v>
      </c>
      <c r="J11" t="s">
        <v>36</v>
      </c>
      <c r="K11" t="s">
        <v>52</v>
      </c>
      <c r="L11" t="s">
        <v>38</v>
      </c>
      <c r="M11" t="s">
        <v>21</v>
      </c>
    </row>
    <row r="12" spans="1:13" hidden="1" x14ac:dyDescent="0.25">
      <c r="A12" s="1">
        <v>46239</v>
      </c>
      <c r="B12" t="s">
        <v>53</v>
      </c>
      <c r="C12" t="s">
        <v>54</v>
      </c>
      <c r="D12" t="s">
        <v>41</v>
      </c>
      <c r="E12" t="s">
        <v>25</v>
      </c>
      <c r="F12" s="1">
        <v>46236</v>
      </c>
      <c r="G12" s="1">
        <v>46239</v>
      </c>
      <c r="H12" s="1">
        <v>46240</v>
      </c>
      <c r="I12" t="s">
        <v>35</v>
      </c>
      <c r="J12" t="s">
        <v>36</v>
      </c>
      <c r="L12" t="s">
        <v>38</v>
      </c>
      <c r="M12" t="s">
        <v>21</v>
      </c>
    </row>
    <row r="13" spans="1:13" hidden="1" x14ac:dyDescent="0.25">
      <c r="A13" s="1">
        <v>46240</v>
      </c>
      <c r="B13" t="s">
        <v>55</v>
      </c>
      <c r="C13" t="s">
        <v>56</v>
      </c>
      <c r="D13" t="s">
        <v>57</v>
      </c>
      <c r="E13" t="s">
        <v>25</v>
      </c>
      <c r="F13" s="1">
        <v>46238</v>
      </c>
      <c r="G13" s="1">
        <v>46245</v>
      </c>
      <c r="H13" s="1">
        <v>46246</v>
      </c>
      <c r="I13" t="s">
        <v>58</v>
      </c>
      <c r="J13" t="s">
        <v>59</v>
      </c>
      <c r="K13" t="s">
        <v>60</v>
      </c>
      <c r="L13" t="s">
        <v>61</v>
      </c>
      <c r="M13" t="s">
        <v>21</v>
      </c>
    </row>
    <row r="14" spans="1:13" hidden="1" x14ac:dyDescent="0.25">
      <c r="A14" s="1">
        <v>46239</v>
      </c>
      <c r="B14" t="s">
        <v>39</v>
      </c>
      <c r="C14" t="s">
        <v>40</v>
      </c>
      <c r="D14" t="s">
        <v>41</v>
      </c>
      <c r="E14" t="s">
        <v>25</v>
      </c>
      <c r="F14" s="1">
        <v>46226</v>
      </c>
      <c r="G14" s="1">
        <v>46255</v>
      </c>
      <c r="H14" s="1">
        <v>46256</v>
      </c>
      <c r="I14" t="s">
        <v>58</v>
      </c>
      <c r="J14" t="s">
        <v>59</v>
      </c>
      <c r="K14" t="s">
        <v>42</v>
      </c>
      <c r="L14" t="s">
        <v>61</v>
      </c>
      <c r="M14" t="s">
        <v>21</v>
      </c>
    </row>
    <row r="15" spans="1:13" hidden="1" x14ac:dyDescent="0.25">
      <c r="A15" s="1">
        <v>46235</v>
      </c>
      <c r="B15" t="s">
        <v>62</v>
      </c>
      <c r="C15" t="s">
        <v>63</v>
      </c>
      <c r="D15" t="s">
        <v>64</v>
      </c>
      <c r="E15" t="s">
        <v>25</v>
      </c>
      <c r="F15" s="1">
        <v>46229</v>
      </c>
      <c r="G15" s="1">
        <v>46258</v>
      </c>
      <c r="H15" s="1">
        <v>46259</v>
      </c>
      <c r="I15" t="s">
        <v>65</v>
      </c>
      <c r="J15" t="s">
        <v>66</v>
      </c>
      <c r="K15" t="s">
        <v>67</v>
      </c>
      <c r="L15" t="s">
        <v>68</v>
      </c>
      <c r="M15" t="s">
        <v>21</v>
      </c>
    </row>
    <row r="16" spans="1:13" hidden="1" x14ac:dyDescent="0.25">
      <c r="A16" s="1">
        <v>46240</v>
      </c>
      <c r="B16" t="s">
        <v>22</v>
      </c>
      <c r="C16" t="s">
        <v>23</v>
      </c>
      <c r="D16" t="s">
        <v>24</v>
      </c>
      <c r="E16" t="s">
        <v>25</v>
      </c>
      <c r="F16" s="1">
        <v>46237</v>
      </c>
      <c r="G16" s="1">
        <v>46241</v>
      </c>
      <c r="H16" s="1">
        <v>46242</v>
      </c>
      <c r="I16" t="s">
        <v>69</v>
      </c>
      <c r="J16" t="s">
        <v>70</v>
      </c>
      <c r="K16" t="s">
        <v>26</v>
      </c>
      <c r="L16" t="s">
        <v>71</v>
      </c>
      <c r="M16" t="s">
        <v>21</v>
      </c>
    </row>
    <row r="17" spans="1:13" hidden="1" x14ac:dyDescent="0.25">
      <c r="A17" s="1">
        <v>46237</v>
      </c>
      <c r="B17" t="s">
        <v>43</v>
      </c>
      <c r="C17" t="s">
        <v>44</v>
      </c>
      <c r="D17" t="s">
        <v>41</v>
      </c>
      <c r="E17" t="s">
        <v>30</v>
      </c>
      <c r="F17" s="1">
        <v>46230</v>
      </c>
      <c r="G17" s="1">
        <v>46262</v>
      </c>
      <c r="H17" s="1">
        <v>46263</v>
      </c>
      <c r="I17" t="s">
        <v>69</v>
      </c>
      <c r="J17" t="s">
        <v>70</v>
      </c>
      <c r="K17" t="s">
        <v>45</v>
      </c>
      <c r="L17" t="s">
        <v>71</v>
      </c>
      <c r="M17" t="s">
        <v>21</v>
      </c>
    </row>
    <row r="18" spans="1:13" hidden="1" x14ac:dyDescent="0.25">
      <c r="A18" s="1">
        <v>46239</v>
      </c>
      <c r="B18" t="s">
        <v>43</v>
      </c>
      <c r="C18" t="s">
        <v>72</v>
      </c>
      <c r="D18" t="s">
        <v>41</v>
      </c>
      <c r="E18" t="s">
        <v>30</v>
      </c>
      <c r="F18" s="1">
        <v>46230</v>
      </c>
      <c r="G18" s="1">
        <v>46262</v>
      </c>
      <c r="H18" s="1">
        <v>46263</v>
      </c>
      <c r="I18" t="s">
        <v>69</v>
      </c>
      <c r="J18" t="s">
        <v>70</v>
      </c>
      <c r="K18" t="s">
        <v>45</v>
      </c>
      <c r="L18" t="s">
        <v>71</v>
      </c>
      <c r="M18" t="s">
        <v>21</v>
      </c>
    </row>
    <row r="19" spans="1:13" hidden="1" x14ac:dyDescent="0.25">
      <c r="A19" s="1">
        <v>46235</v>
      </c>
      <c r="B19" t="s">
        <v>49</v>
      </c>
      <c r="C19" t="s">
        <v>50</v>
      </c>
      <c r="D19" t="s">
        <v>51</v>
      </c>
      <c r="E19" t="s">
        <v>16</v>
      </c>
      <c r="F19" s="1">
        <v>46217</v>
      </c>
      <c r="G19" s="1">
        <v>46342</v>
      </c>
      <c r="H19" s="1">
        <v>46343</v>
      </c>
      <c r="I19" t="s">
        <v>69</v>
      </c>
      <c r="J19" t="s">
        <v>70</v>
      </c>
      <c r="K19" t="s">
        <v>52</v>
      </c>
      <c r="L19" t="s">
        <v>71</v>
      </c>
      <c r="M19" t="s">
        <v>21</v>
      </c>
    </row>
    <row r="20" spans="1:13" hidden="1" x14ac:dyDescent="0.25">
      <c r="A20" s="1">
        <v>46238</v>
      </c>
      <c r="B20" t="s">
        <v>49</v>
      </c>
      <c r="C20" t="s">
        <v>50</v>
      </c>
      <c r="D20" t="s">
        <v>51</v>
      </c>
      <c r="E20" t="s">
        <v>16</v>
      </c>
      <c r="F20" s="1">
        <v>46217</v>
      </c>
      <c r="G20" s="1">
        <v>46342</v>
      </c>
      <c r="H20" s="1">
        <v>46343</v>
      </c>
      <c r="I20" t="s">
        <v>69</v>
      </c>
      <c r="J20" t="s">
        <v>70</v>
      </c>
      <c r="K20" t="s">
        <v>52</v>
      </c>
      <c r="L20" t="s">
        <v>71</v>
      </c>
      <c r="M20" t="s">
        <v>21</v>
      </c>
    </row>
    <row r="21" spans="1:13" x14ac:dyDescent="0.25">
      <c r="A21" s="1">
        <v>46247</v>
      </c>
      <c r="B21" t="s">
        <v>119</v>
      </c>
      <c r="C21" t="s">
        <v>120</v>
      </c>
      <c r="D21" t="s">
        <v>121</v>
      </c>
      <c r="E21" t="s">
        <v>25</v>
      </c>
      <c r="F21" s="1">
        <v>46246</v>
      </c>
      <c r="G21" s="1">
        <v>46254</v>
      </c>
      <c r="H21" s="1">
        <v>46255</v>
      </c>
      <c r="I21" t="s">
        <v>73</v>
      </c>
      <c r="J21" t="s">
        <v>74</v>
      </c>
      <c r="K21" t="s">
        <v>124</v>
      </c>
      <c r="M21" t="s">
        <v>21</v>
      </c>
    </row>
    <row r="22" spans="1:13" hidden="1" x14ac:dyDescent="0.25">
      <c r="A22" s="1">
        <v>46235</v>
      </c>
      <c r="B22" t="s">
        <v>43</v>
      </c>
      <c r="C22" t="s">
        <v>44</v>
      </c>
      <c r="D22" t="s">
        <v>41</v>
      </c>
      <c r="E22" t="s">
        <v>30</v>
      </c>
      <c r="F22" s="1">
        <v>46230</v>
      </c>
      <c r="G22" s="1">
        <v>46262</v>
      </c>
      <c r="H22" s="1">
        <v>46263</v>
      </c>
      <c r="I22" t="s">
        <v>73</v>
      </c>
      <c r="J22" t="s">
        <v>74</v>
      </c>
      <c r="K22" t="s">
        <v>45</v>
      </c>
      <c r="L22" t="s">
        <v>75</v>
      </c>
      <c r="M22" t="s">
        <v>21</v>
      </c>
    </row>
    <row r="23" spans="1:13" hidden="1" x14ac:dyDescent="0.25">
      <c r="A23" s="1">
        <v>46246</v>
      </c>
      <c r="B23" t="s">
        <v>46</v>
      </c>
      <c r="C23" t="s">
        <v>47</v>
      </c>
      <c r="D23" t="s">
        <v>34</v>
      </c>
      <c r="E23" t="s">
        <v>16</v>
      </c>
      <c r="F23" s="1">
        <v>46245</v>
      </c>
      <c r="G23" s="1">
        <v>46370</v>
      </c>
      <c r="H23" s="1">
        <v>46371</v>
      </c>
      <c r="I23" t="s">
        <v>73</v>
      </c>
      <c r="J23" t="s">
        <v>74</v>
      </c>
      <c r="K23" t="s">
        <v>48</v>
      </c>
      <c r="L23" t="s">
        <v>75</v>
      </c>
      <c r="M23" t="s">
        <v>21</v>
      </c>
    </row>
    <row r="24" spans="1:13" hidden="1" x14ac:dyDescent="0.25">
      <c r="A24" s="1">
        <v>46245</v>
      </c>
      <c r="B24" t="s">
        <v>76</v>
      </c>
      <c r="C24" t="s">
        <v>77</v>
      </c>
      <c r="D24" t="s">
        <v>78</v>
      </c>
      <c r="E24" t="s">
        <v>25</v>
      </c>
      <c r="F24" s="1">
        <v>46242</v>
      </c>
      <c r="G24" s="1">
        <v>46272</v>
      </c>
      <c r="H24" s="1">
        <v>46273</v>
      </c>
      <c r="I24" t="s">
        <v>73</v>
      </c>
      <c r="J24" t="s">
        <v>74</v>
      </c>
      <c r="K24" t="s">
        <v>79</v>
      </c>
      <c r="L24" t="s">
        <v>75</v>
      </c>
      <c r="M24" t="s">
        <v>21</v>
      </c>
    </row>
    <row r="25" spans="1:13" hidden="1" x14ac:dyDescent="0.25">
      <c r="A25" s="1">
        <v>46244</v>
      </c>
      <c r="B25" t="s">
        <v>80</v>
      </c>
      <c r="C25" t="s">
        <v>81</v>
      </c>
      <c r="D25" t="s">
        <v>82</v>
      </c>
      <c r="E25" t="s">
        <v>25</v>
      </c>
      <c r="F25" s="1">
        <v>46217</v>
      </c>
      <c r="G25" s="1">
        <v>46246</v>
      </c>
      <c r="H25" s="1">
        <v>46247</v>
      </c>
      <c r="I25" t="s">
        <v>73</v>
      </c>
      <c r="J25" t="s">
        <v>74</v>
      </c>
      <c r="K25" t="s">
        <v>83</v>
      </c>
      <c r="L25" t="s">
        <v>75</v>
      </c>
      <c r="M25" t="s">
        <v>21</v>
      </c>
    </row>
    <row r="26" spans="1:13" hidden="1" x14ac:dyDescent="0.25">
      <c r="A26" s="1">
        <v>46238</v>
      </c>
      <c r="B26" t="s">
        <v>84</v>
      </c>
      <c r="C26" t="s">
        <v>85</v>
      </c>
      <c r="D26" t="s">
        <v>41</v>
      </c>
      <c r="E26" t="s">
        <v>25</v>
      </c>
      <c r="F26" s="1">
        <v>46209</v>
      </c>
      <c r="G26" s="1">
        <v>46238</v>
      </c>
      <c r="H26" s="1">
        <v>46239</v>
      </c>
      <c r="I26" t="s">
        <v>73</v>
      </c>
      <c r="J26" t="s">
        <v>74</v>
      </c>
      <c r="K26" t="s">
        <v>86</v>
      </c>
      <c r="L26" t="s">
        <v>75</v>
      </c>
      <c r="M26" t="s">
        <v>21</v>
      </c>
    </row>
    <row r="27" spans="1:13" hidden="1" x14ac:dyDescent="0.25">
      <c r="A27" s="1">
        <v>46244</v>
      </c>
      <c r="B27" t="s">
        <v>87</v>
      </c>
      <c r="C27" t="s">
        <v>88</v>
      </c>
      <c r="D27" t="s">
        <v>89</v>
      </c>
      <c r="E27" t="s">
        <v>90</v>
      </c>
      <c r="F27" s="1">
        <v>46242</v>
      </c>
      <c r="G27" s="1">
        <v>46247</v>
      </c>
      <c r="H27" s="1">
        <v>46248</v>
      </c>
      <c r="I27" t="s">
        <v>91</v>
      </c>
      <c r="J27" t="s">
        <v>92</v>
      </c>
      <c r="K27" t="s">
        <v>93</v>
      </c>
      <c r="L27" t="s">
        <v>94</v>
      </c>
      <c r="M27" t="s">
        <v>21</v>
      </c>
    </row>
    <row r="28" spans="1:13" hidden="1" x14ac:dyDescent="0.25">
      <c r="A28" s="1">
        <v>46246</v>
      </c>
      <c r="B28" t="s">
        <v>87</v>
      </c>
      <c r="C28" t="s">
        <v>88</v>
      </c>
      <c r="D28" t="s">
        <v>89</v>
      </c>
      <c r="E28" t="s">
        <v>90</v>
      </c>
      <c r="F28" s="1">
        <v>46242</v>
      </c>
      <c r="G28" s="1">
        <v>46247</v>
      </c>
      <c r="H28" s="1">
        <v>46248</v>
      </c>
      <c r="I28" t="s">
        <v>91</v>
      </c>
      <c r="J28" t="s">
        <v>92</v>
      </c>
      <c r="K28" t="s">
        <v>93</v>
      </c>
      <c r="L28" t="s">
        <v>94</v>
      </c>
      <c r="M28" t="s">
        <v>21</v>
      </c>
    </row>
    <row r="29" spans="1:13" hidden="1" x14ac:dyDescent="0.25">
      <c r="A29" s="1">
        <v>46235</v>
      </c>
      <c r="B29" t="s">
        <v>95</v>
      </c>
      <c r="C29" t="s">
        <v>96</v>
      </c>
      <c r="D29" t="s">
        <v>97</v>
      </c>
      <c r="E29" t="s">
        <v>25</v>
      </c>
      <c r="F29" s="1">
        <v>46230</v>
      </c>
      <c r="G29" s="1">
        <v>46235</v>
      </c>
      <c r="H29" s="1">
        <v>46236</v>
      </c>
      <c r="I29" t="s">
        <v>98</v>
      </c>
      <c r="J29" t="s">
        <v>99</v>
      </c>
      <c r="K29" t="s">
        <v>100</v>
      </c>
      <c r="L29" t="s">
        <v>101</v>
      </c>
      <c r="M29" t="s">
        <v>21</v>
      </c>
    </row>
    <row r="30" spans="1:13" hidden="1" x14ac:dyDescent="0.25">
      <c r="A30" s="1">
        <v>46237</v>
      </c>
      <c r="B30" t="s">
        <v>49</v>
      </c>
      <c r="C30" t="s">
        <v>50</v>
      </c>
      <c r="D30" t="s">
        <v>51</v>
      </c>
      <c r="E30" t="s">
        <v>16</v>
      </c>
      <c r="F30" s="1">
        <v>46217</v>
      </c>
      <c r="G30" s="1">
        <v>46342</v>
      </c>
      <c r="H30" s="1">
        <v>46343</v>
      </c>
      <c r="I30" t="s">
        <v>98</v>
      </c>
      <c r="J30" t="s">
        <v>99</v>
      </c>
      <c r="K30" t="s">
        <v>52</v>
      </c>
      <c r="L30" t="s">
        <v>101</v>
      </c>
      <c r="M30" t="s">
        <v>21</v>
      </c>
    </row>
    <row r="31" spans="1:13" hidden="1" x14ac:dyDescent="0.25">
      <c r="A31" s="1">
        <v>46238</v>
      </c>
      <c r="B31" t="s">
        <v>102</v>
      </c>
      <c r="C31" t="s">
        <v>103</v>
      </c>
      <c r="D31" t="s">
        <v>64</v>
      </c>
      <c r="E31" t="s">
        <v>25</v>
      </c>
      <c r="F31" s="1">
        <v>46226</v>
      </c>
      <c r="G31" s="1">
        <v>46246</v>
      </c>
      <c r="H31" s="1">
        <v>46247</v>
      </c>
      <c r="I31" t="s">
        <v>98</v>
      </c>
      <c r="J31" t="s">
        <v>99</v>
      </c>
      <c r="K31" t="s">
        <v>104</v>
      </c>
      <c r="L31" t="s">
        <v>101</v>
      </c>
      <c r="M31" t="s">
        <v>21</v>
      </c>
    </row>
    <row r="32" spans="1:13" hidden="1" x14ac:dyDescent="0.25">
      <c r="A32" s="1">
        <v>46239</v>
      </c>
      <c r="B32" t="s">
        <v>62</v>
      </c>
      <c r="C32" s="4" t="s">
        <v>105</v>
      </c>
      <c r="D32" t="s">
        <v>64</v>
      </c>
      <c r="E32" t="s">
        <v>25</v>
      </c>
      <c r="F32" s="1">
        <v>46229</v>
      </c>
      <c r="G32" s="1">
        <v>46258</v>
      </c>
      <c r="H32" s="1">
        <v>46259</v>
      </c>
      <c r="I32" t="s">
        <v>106</v>
      </c>
      <c r="J32" t="s">
        <v>107</v>
      </c>
      <c r="K32" t="s">
        <v>67</v>
      </c>
      <c r="L32" t="s">
        <v>108</v>
      </c>
      <c r="M32" t="s">
        <v>21</v>
      </c>
    </row>
    <row r="33" spans="1:13" hidden="1" x14ac:dyDescent="0.25">
      <c r="A33" s="1">
        <v>46240</v>
      </c>
      <c r="B33" t="s">
        <v>62</v>
      </c>
      <c r="C33" t="s">
        <v>105</v>
      </c>
      <c r="D33" t="s">
        <v>64</v>
      </c>
      <c r="E33" t="s">
        <v>25</v>
      </c>
      <c r="F33" s="1">
        <v>46229</v>
      </c>
      <c r="G33" s="1">
        <v>46258</v>
      </c>
      <c r="H33" s="1">
        <v>46259</v>
      </c>
      <c r="I33" t="s">
        <v>106</v>
      </c>
      <c r="J33" t="s">
        <v>107</v>
      </c>
      <c r="K33" t="s">
        <v>67</v>
      </c>
      <c r="L33" t="s">
        <v>108</v>
      </c>
      <c r="M33" t="s">
        <v>21</v>
      </c>
    </row>
    <row r="34" spans="1:13" hidden="1" x14ac:dyDescent="0.25">
      <c r="A34" s="1">
        <v>46237</v>
      </c>
      <c r="B34" t="s">
        <v>109</v>
      </c>
      <c r="C34" t="s">
        <v>110</v>
      </c>
      <c r="D34" t="s">
        <v>15</v>
      </c>
      <c r="E34" t="s">
        <v>25</v>
      </c>
      <c r="F34" s="1">
        <v>46229</v>
      </c>
      <c r="G34" s="1">
        <v>46243</v>
      </c>
      <c r="H34" s="1">
        <v>46244</v>
      </c>
      <c r="I34" t="s">
        <v>106</v>
      </c>
      <c r="J34" t="s">
        <v>107</v>
      </c>
      <c r="K34" t="s">
        <v>111</v>
      </c>
      <c r="L34" t="s">
        <v>108</v>
      </c>
      <c r="M34" t="s">
        <v>21</v>
      </c>
    </row>
    <row r="35" spans="1:13" hidden="1" x14ac:dyDescent="0.25">
      <c r="A35" s="1">
        <v>46245</v>
      </c>
      <c r="B35" t="s">
        <v>27</v>
      </c>
      <c r="C35" t="s">
        <v>112</v>
      </c>
      <c r="D35" t="s">
        <v>29</v>
      </c>
      <c r="E35" t="s">
        <v>30</v>
      </c>
      <c r="F35" s="1">
        <v>46240</v>
      </c>
      <c r="G35" s="1">
        <v>46265</v>
      </c>
      <c r="H35" s="1">
        <v>46266</v>
      </c>
      <c r="I35" t="s">
        <v>106</v>
      </c>
      <c r="J35" t="s">
        <v>107</v>
      </c>
      <c r="K35" t="s">
        <v>31</v>
      </c>
      <c r="L35" t="s">
        <v>108</v>
      </c>
      <c r="M35" t="s">
        <v>21</v>
      </c>
    </row>
    <row r="36" spans="1:13" hidden="1" x14ac:dyDescent="0.25">
      <c r="A36" s="1">
        <v>46235</v>
      </c>
      <c r="B36" t="s">
        <v>113</v>
      </c>
      <c r="C36" t="s">
        <v>114</v>
      </c>
      <c r="D36" t="s">
        <v>64</v>
      </c>
      <c r="E36" t="s">
        <v>25</v>
      </c>
      <c r="F36" s="1">
        <v>46232</v>
      </c>
      <c r="G36" s="1">
        <v>46235</v>
      </c>
      <c r="H36" s="1">
        <v>46236</v>
      </c>
      <c r="I36" t="s">
        <v>115</v>
      </c>
      <c r="J36" t="s">
        <v>116</v>
      </c>
      <c r="K36" t="s">
        <v>117</v>
      </c>
      <c r="L36" t="s">
        <v>118</v>
      </c>
      <c r="M36" t="s">
        <v>21</v>
      </c>
    </row>
    <row r="37" spans="1:13" hidden="1" x14ac:dyDescent="0.25">
      <c r="A37" s="1">
        <v>46245</v>
      </c>
      <c r="B37" t="s">
        <v>119</v>
      </c>
      <c r="C37" t="s">
        <v>120</v>
      </c>
      <c r="D37" t="s">
        <v>121</v>
      </c>
      <c r="E37" t="s">
        <v>25</v>
      </c>
      <c r="F37" s="1">
        <v>46239</v>
      </c>
      <c r="G37" s="1">
        <v>46245</v>
      </c>
      <c r="H37" s="1">
        <v>46246</v>
      </c>
      <c r="I37" t="s">
        <v>122</v>
      </c>
      <c r="J37" t="s">
        <v>123</v>
      </c>
      <c r="K37" t="s">
        <v>124</v>
      </c>
      <c r="L37" t="s">
        <v>125</v>
      </c>
      <c r="M37" t="s">
        <v>21</v>
      </c>
    </row>
    <row r="38" spans="1:13" hidden="1" x14ac:dyDescent="0.25">
      <c r="A38" s="1">
        <v>46239</v>
      </c>
      <c r="B38" t="s">
        <v>80</v>
      </c>
      <c r="C38" t="s">
        <v>81</v>
      </c>
      <c r="D38" t="s">
        <v>82</v>
      </c>
      <c r="E38" t="s">
        <v>25</v>
      </c>
      <c r="F38" s="1">
        <v>46217</v>
      </c>
      <c r="G38" s="1">
        <v>46246</v>
      </c>
      <c r="H38" s="1">
        <v>46247</v>
      </c>
      <c r="I38" t="s">
        <v>122</v>
      </c>
      <c r="J38" t="s">
        <v>123</v>
      </c>
      <c r="K38" t="s">
        <v>83</v>
      </c>
      <c r="L38" t="s">
        <v>125</v>
      </c>
      <c r="M38" t="s">
        <v>21</v>
      </c>
    </row>
    <row r="39" spans="1:13" hidden="1" x14ac:dyDescent="0.25">
      <c r="A39" s="1">
        <v>46237</v>
      </c>
      <c r="B39" t="s">
        <v>126</v>
      </c>
      <c r="C39" t="s">
        <v>127</v>
      </c>
      <c r="D39" t="s">
        <v>128</v>
      </c>
      <c r="E39" t="s">
        <v>25</v>
      </c>
      <c r="F39" s="1">
        <v>46234</v>
      </c>
      <c r="G39" s="1">
        <v>46237</v>
      </c>
      <c r="H39" s="1">
        <v>46238</v>
      </c>
      <c r="I39" t="s">
        <v>122</v>
      </c>
      <c r="J39" t="s">
        <v>123</v>
      </c>
      <c r="K39" t="s">
        <v>129</v>
      </c>
      <c r="L39" t="s">
        <v>125</v>
      </c>
      <c r="M39" t="s">
        <v>21</v>
      </c>
    </row>
    <row r="40" spans="1:13" hidden="1" x14ac:dyDescent="0.25">
      <c r="A40" s="1">
        <v>46238</v>
      </c>
      <c r="B40" t="s">
        <v>130</v>
      </c>
      <c r="C40" t="s">
        <v>131</v>
      </c>
      <c r="D40" t="s">
        <v>132</v>
      </c>
      <c r="E40" t="s">
        <v>25</v>
      </c>
      <c r="F40" s="1">
        <v>46237</v>
      </c>
      <c r="G40" s="1">
        <v>46240</v>
      </c>
      <c r="H40" s="1">
        <v>46241</v>
      </c>
      <c r="I40" t="s">
        <v>122</v>
      </c>
      <c r="J40" t="s">
        <v>123</v>
      </c>
      <c r="K40" t="s">
        <v>133</v>
      </c>
      <c r="L40" t="s">
        <v>125</v>
      </c>
      <c r="M40" t="s">
        <v>21</v>
      </c>
    </row>
    <row r="41" spans="1:13" hidden="1" x14ac:dyDescent="0.25">
      <c r="A41" s="1">
        <v>46245</v>
      </c>
      <c r="B41" t="s">
        <v>87</v>
      </c>
      <c r="C41" t="s">
        <v>88</v>
      </c>
      <c r="D41" t="s">
        <v>89</v>
      </c>
      <c r="E41" t="s">
        <v>90</v>
      </c>
      <c r="F41" s="1">
        <v>46242</v>
      </c>
      <c r="G41" s="1">
        <v>46247</v>
      </c>
      <c r="H41" s="1">
        <v>46248</v>
      </c>
      <c r="I41" t="s">
        <v>134</v>
      </c>
      <c r="J41" t="s">
        <v>135</v>
      </c>
      <c r="K41" t="s">
        <v>93</v>
      </c>
      <c r="L41" t="s">
        <v>136</v>
      </c>
      <c r="M41" t="s">
        <v>21</v>
      </c>
    </row>
    <row r="42" spans="1:13" hidden="1" x14ac:dyDescent="0.25">
      <c r="A42" s="1">
        <v>46237</v>
      </c>
      <c r="B42" t="s">
        <v>62</v>
      </c>
      <c r="C42" t="s">
        <v>63</v>
      </c>
      <c r="D42" t="s">
        <v>64</v>
      </c>
      <c r="E42" t="s">
        <v>25</v>
      </c>
      <c r="F42" s="1">
        <v>46229</v>
      </c>
      <c r="G42" s="1">
        <v>46258</v>
      </c>
      <c r="H42" s="1">
        <v>46259</v>
      </c>
      <c r="I42" t="s">
        <v>137</v>
      </c>
      <c r="J42" t="s">
        <v>138</v>
      </c>
      <c r="K42" t="s">
        <v>67</v>
      </c>
      <c r="L42" t="s">
        <v>139</v>
      </c>
      <c r="M42" t="s">
        <v>21</v>
      </c>
    </row>
    <row r="43" spans="1:13" hidden="1" x14ac:dyDescent="0.25">
      <c r="A43" s="1">
        <v>46238</v>
      </c>
      <c r="B43" t="s">
        <v>140</v>
      </c>
      <c r="C43" t="s">
        <v>141</v>
      </c>
      <c r="D43" t="s">
        <v>142</v>
      </c>
      <c r="E43" t="s">
        <v>25</v>
      </c>
      <c r="F43" s="1">
        <v>46227</v>
      </c>
      <c r="G43" s="1">
        <v>46246</v>
      </c>
      <c r="H43" s="1">
        <v>46247</v>
      </c>
      <c r="I43" t="s">
        <v>137</v>
      </c>
      <c r="J43" t="s">
        <v>138</v>
      </c>
      <c r="K43" t="s">
        <v>143</v>
      </c>
      <c r="L43" t="s">
        <v>139</v>
      </c>
      <c r="M43" t="s">
        <v>21</v>
      </c>
    </row>
    <row r="44" spans="1:13" hidden="1" x14ac:dyDescent="0.25">
      <c r="A44" s="1">
        <v>46239</v>
      </c>
      <c r="B44" t="s">
        <v>109</v>
      </c>
      <c r="C44" t="s">
        <v>110</v>
      </c>
      <c r="D44" t="s">
        <v>15</v>
      </c>
      <c r="E44" t="s">
        <v>25</v>
      </c>
      <c r="F44" s="1">
        <v>46229</v>
      </c>
      <c r="G44" s="1">
        <v>46243</v>
      </c>
      <c r="H44" s="1">
        <v>46244</v>
      </c>
      <c r="I44" t="s">
        <v>137</v>
      </c>
      <c r="J44" t="s">
        <v>138</v>
      </c>
      <c r="K44" t="s">
        <v>111</v>
      </c>
      <c r="L44" t="s">
        <v>139</v>
      </c>
      <c r="M44" t="s">
        <v>21</v>
      </c>
    </row>
    <row r="45" spans="1:13" hidden="1" x14ac:dyDescent="0.25">
      <c r="A45" s="1">
        <v>46242</v>
      </c>
      <c r="B45" t="s">
        <v>109</v>
      </c>
      <c r="C45" t="s">
        <v>110</v>
      </c>
      <c r="D45" t="s">
        <v>15</v>
      </c>
      <c r="E45" t="s">
        <v>25</v>
      </c>
      <c r="F45" s="1">
        <v>46229</v>
      </c>
      <c r="G45" s="1">
        <v>46243</v>
      </c>
      <c r="H45" s="1">
        <v>46244</v>
      </c>
      <c r="I45" t="s">
        <v>137</v>
      </c>
      <c r="J45" t="s">
        <v>138</v>
      </c>
      <c r="K45" t="s">
        <v>111</v>
      </c>
      <c r="L45" t="s">
        <v>139</v>
      </c>
      <c r="M45" t="s">
        <v>21</v>
      </c>
    </row>
    <row r="46" spans="1:13" hidden="1" x14ac:dyDescent="0.25">
      <c r="A46" s="1">
        <v>46238</v>
      </c>
      <c r="B46" t="s">
        <v>80</v>
      </c>
      <c r="C46" t="s">
        <v>81</v>
      </c>
      <c r="D46" t="s">
        <v>82</v>
      </c>
      <c r="E46" t="s">
        <v>25</v>
      </c>
      <c r="F46" s="1">
        <v>46217</v>
      </c>
      <c r="G46" s="1">
        <v>46246</v>
      </c>
      <c r="H46" s="1">
        <v>46247</v>
      </c>
      <c r="I46" t="s">
        <v>144</v>
      </c>
      <c r="J46" t="s">
        <v>145</v>
      </c>
      <c r="K46" t="s">
        <v>83</v>
      </c>
      <c r="L46" t="s">
        <v>146</v>
      </c>
      <c r="M46" t="s">
        <v>21</v>
      </c>
    </row>
    <row r="47" spans="1:13" hidden="1" x14ac:dyDescent="0.25">
      <c r="A47" s="1">
        <v>46238</v>
      </c>
      <c r="B47" t="s">
        <v>62</v>
      </c>
      <c r="C47" t="s">
        <v>105</v>
      </c>
      <c r="D47" t="s">
        <v>64</v>
      </c>
      <c r="E47" t="s">
        <v>25</v>
      </c>
      <c r="F47" s="1">
        <v>46229</v>
      </c>
      <c r="G47" s="1">
        <v>46258</v>
      </c>
      <c r="H47" s="1">
        <v>46259</v>
      </c>
      <c r="I47" t="s">
        <v>147</v>
      </c>
      <c r="J47" t="s">
        <v>148</v>
      </c>
      <c r="K47" t="s">
        <v>67</v>
      </c>
      <c r="L47" t="s">
        <v>149</v>
      </c>
      <c r="M47" t="s">
        <v>21</v>
      </c>
    </row>
    <row r="48" spans="1:13" hidden="1" x14ac:dyDescent="0.25">
      <c r="A48" s="1">
        <v>46240</v>
      </c>
      <c r="B48" t="s">
        <v>140</v>
      </c>
      <c r="C48" t="s">
        <v>141</v>
      </c>
      <c r="D48" t="s">
        <v>142</v>
      </c>
      <c r="E48" t="s">
        <v>25</v>
      </c>
      <c r="F48" s="1">
        <v>46227</v>
      </c>
      <c r="G48" s="1">
        <v>46246</v>
      </c>
      <c r="H48" s="1">
        <v>46247</v>
      </c>
      <c r="I48" t="s">
        <v>147</v>
      </c>
      <c r="J48" t="s">
        <v>148</v>
      </c>
      <c r="K48" t="s">
        <v>143</v>
      </c>
      <c r="L48" t="s">
        <v>149</v>
      </c>
      <c r="M48" t="s">
        <v>21</v>
      </c>
    </row>
    <row r="49" spans="1:13" hidden="1" x14ac:dyDescent="0.25">
      <c r="A49" s="1">
        <v>46246</v>
      </c>
      <c r="B49" t="s">
        <v>140</v>
      </c>
      <c r="C49" t="s">
        <v>150</v>
      </c>
      <c r="D49" t="s">
        <v>142</v>
      </c>
      <c r="E49" t="s">
        <v>25</v>
      </c>
      <c r="F49" s="1">
        <v>46227</v>
      </c>
      <c r="G49" s="1">
        <v>46246</v>
      </c>
      <c r="H49" s="1">
        <v>46247</v>
      </c>
      <c r="I49" t="s">
        <v>147</v>
      </c>
      <c r="J49" t="s">
        <v>148</v>
      </c>
      <c r="K49" t="s">
        <v>143</v>
      </c>
      <c r="L49" t="s">
        <v>149</v>
      </c>
      <c r="M49" t="s">
        <v>21</v>
      </c>
    </row>
    <row r="50" spans="1:13" hidden="1" x14ac:dyDescent="0.25">
      <c r="A50" s="1">
        <v>46239</v>
      </c>
      <c r="B50" t="s">
        <v>151</v>
      </c>
      <c r="C50" t="s">
        <v>152</v>
      </c>
      <c r="D50" t="s">
        <v>153</v>
      </c>
      <c r="E50" t="s">
        <v>25</v>
      </c>
      <c r="F50" s="1">
        <v>46234</v>
      </c>
      <c r="G50" s="1">
        <v>46240</v>
      </c>
      <c r="H50" s="1">
        <v>46241</v>
      </c>
      <c r="I50" t="s">
        <v>154</v>
      </c>
      <c r="J50" t="s">
        <v>155</v>
      </c>
      <c r="K50" t="s">
        <v>156</v>
      </c>
      <c r="L50" t="s">
        <v>157</v>
      </c>
      <c r="M50" t="s">
        <v>21</v>
      </c>
    </row>
    <row r="51" spans="1:13" hidden="1" x14ac:dyDescent="0.25">
      <c r="A51" s="1">
        <v>46242</v>
      </c>
      <c r="B51" t="s">
        <v>13</v>
      </c>
      <c r="C51" t="s">
        <v>14</v>
      </c>
      <c r="D51" t="s">
        <v>15</v>
      </c>
      <c r="E51" t="s">
        <v>16</v>
      </c>
      <c r="F51" s="1">
        <v>46237</v>
      </c>
      <c r="G51" s="1">
        <v>46366</v>
      </c>
      <c r="H51" s="1">
        <v>46367</v>
      </c>
      <c r="I51" t="s">
        <v>154</v>
      </c>
      <c r="J51" t="s">
        <v>155</v>
      </c>
      <c r="K51" t="s">
        <v>19</v>
      </c>
      <c r="L51" t="s">
        <v>157</v>
      </c>
      <c r="M51" t="s">
        <v>21</v>
      </c>
    </row>
    <row r="52" spans="1:13" hidden="1" x14ac:dyDescent="0.25">
      <c r="A52" s="1">
        <v>46245</v>
      </c>
      <c r="B52" t="s">
        <v>62</v>
      </c>
      <c r="C52" t="s">
        <v>63</v>
      </c>
      <c r="D52" t="s">
        <v>64</v>
      </c>
      <c r="E52" t="s">
        <v>25</v>
      </c>
      <c r="F52" s="1">
        <v>46229</v>
      </c>
      <c r="G52" s="1">
        <v>46258</v>
      </c>
      <c r="H52" s="1">
        <v>46259</v>
      </c>
      <c r="I52" t="s">
        <v>154</v>
      </c>
      <c r="J52" t="s">
        <v>155</v>
      </c>
      <c r="K52" t="s">
        <v>67</v>
      </c>
      <c r="L52" t="s">
        <v>157</v>
      </c>
      <c r="M52" t="s">
        <v>21</v>
      </c>
    </row>
    <row r="53" spans="1:13" hidden="1" x14ac:dyDescent="0.25">
      <c r="A53" s="1">
        <v>46244</v>
      </c>
      <c r="B53" t="s">
        <v>140</v>
      </c>
      <c r="C53" t="s">
        <v>141</v>
      </c>
      <c r="D53" t="s">
        <v>142</v>
      </c>
      <c r="E53" t="s">
        <v>25</v>
      </c>
      <c r="F53" s="1">
        <v>46227</v>
      </c>
      <c r="G53" s="1">
        <v>46246</v>
      </c>
      <c r="H53" s="1">
        <v>46247</v>
      </c>
      <c r="I53" t="s">
        <v>154</v>
      </c>
      <c r="J53" t="s">
        <v>155</v>
      </c>
      <c r="K53" t="s">
        <v>143</v>
      </c>
      <c r="L53" t="s">
        <v>157</v>
      </c>
      <c r="M53" t="s">
        <v>21</v>
      </c>
    </row>
    <row r="54" spans="1:13" hidden="1" x14ac:dyDescent="0.25">
      <c r="A54" s="1">
        <v>46238</v>
      </c>
      <c r="B54" t="s">
        <v>43</v>
      </c>
      <c r="C54" t="s">
        <v>72</v>
      </c>
      <c r="D54" t="s">
        <v>41</v>
      </c>
      <c r="E54" t="s">
        <v>30</v>
      </c>
      <c r="F54" s="1">
        <v>46230</v>
      </c>
      <c r="G54" s="1">
        <v>46248</v>
      </c>
      <c r="H54" s="1">
        <v>46249</v>
      </c>
      <c r="I54" t="s">
        <v>154</v>
      </c>
      <c r="J54" t="s">
        <v>155</v>
      </c>
      <c r="K54" t="s">
        <v>45</v>
      </c>
      <c r="L54" t="s">
        <v>157</v>
      </c>
      <c r="M54" t="s">
        <v>21</v>
      </c>
    </row>
    <row r="55" spans="1:13" hidden="1" x14ac:dyDescent="0.25">
      <c r="A55" s="1">
        <v>46240</v>
      </c>
      <c r="B55" t="s">
        <v>158</v>
      </c>
      <c r="C55" t="s">
        <v>159</v>
      </c>
      <c r="D55" t="s">
        <v>160</v>
      </c>
      <c r="E55" t="s">
        <v>25</v>
      </c>
      <c r="F55" s="1">
        <v>46219</v>
      </c>
      <c r="G55" s="1">
        <v>46248</v>
      </c>
      <c r="H55" s="1">
        <v>46249</v>
      </c>
      <c r="I55" t="s">
        <v>154</v>
      </c>
      <c r="J55" t="s">
        <v>155</v>
      </c>
      <c r="K55" t="s">
        <v>161</v>
      </c>
      <c r="L55" t="s">
        <v>157</v>
      </c>
      <c r="M55" t="s">
        <v>21</v>
      </c>
    </row>
    <row r="56" spans="1:13" hidden="1" x14ac:dyDescent="0.25">
      <c r="A56" s="1">
        <v>46246</v>
      </c>
      <c r="B56" t="s">
        <v>27</v>
      </c>
      <c r="C56" t="s">
        <v>112</v>
      </c>
      <c r="D56" t="s">
        <v>29</v>
      </c>
      <c r="E56" t="s">
        <v>30</v>
      </c>
      <c r="F56" s="1">
        <v>46240</v>
      </c>
      <c r="G56" s="1">
        <v>46265</v>
      </c>
      <c r="H56" s="1">
        <v>46266</v>
      </c>
      <c r="I56" t="s">
        <v>154</v>
      </c>
      <c r="J56" t="s">
        <v>155</v>
      </c>
      <c r="K56" t="s">
        <v>31</v>
      </c>
      <c r="L56" t="s">
        <v>157</v>
      </c>
      <c r="M56" t="s">
        <v>21</v>
      </c>
    </row>
    <row r="57" spans="1:13" hidden="1" x14ac:dyDescent="0.25">
      <c r="A57" s="1">
        <v>46237</v>
      </c>
      <c r="B57" t="s">
        <v>102</v>
      </c>
      <c r="C57" t="s">
        <v>103</v>
      </c>
      <c r="D57" t="s">
        <v>64</v>
      </c>
      <c r="E57" t="s">
        <v>25</v>
      </c>
      <c r="F57" s="1">
        <v>46226</v>
      </c>
      <c r="G57" s="1">
        <v>46246</v>
      </c>
      <c r="H57" s="1">
        <v>46247</v>
      </c>
      <c r="I57" t="s">
        <v>154</v>
      </c>
      <c r="J57" t="s">
        <v>155</v>
      </c>
      <c r="K57" t="s">
        <v>104</v>
      </c>
      <c r="L57" t="s">
        <v>157</v>
      </c>
      <c r="M57" t="s">
        <v>21</v>
      </c>
    </row>
    <row r="58" spans="1:13" hidden="1" x14ac:dyDescent="0.25">
      <c r="A58" s="1">
        <v>46235</v>
      </c>
      <c r="B58" t="s">
        <v>151</v>
      </c>
      <c r="C58" t="s">
        <v>152</v>
      </c>
      <c r="D58" t="s">
        <v>153</v>
      </c>
      <c r="E58" t="s">
        <v>25</v>
      </c>
      <c r="F58" s="1">
        <v>46234</v>
      </c>
      <c r="G58" s="1">
        <v>46240</v>
      </c>
      <c r="H58" s="1">
        <v>46241</v>
      </c>
      <c r="I58" t="s">
        <v>162</v>
      </c>
      <c r="J58" t="s">
        <v>163</v>
      </c>
      <c r="K58" t="s">
        <v>156</v>
      </c>
      <c r="L58" t="s">
        <v>164</v>
      </c>
      <c r="M58" t="s">
        <v>21</v>
      </c>
    </row>
    <row r="59" spans="1:13" hidden="1" x14ac:dyDescent="0.25">
      <c r="A59" s="1">
        <v>46244</v>
      </c>
      <c r="B59" t="s">
        <v>55</v>
      </c>
      <c r="C59" t="s">
        <v>56</v>
      </c>
      <c r="D59" t="s">
        <v>57</v>
      </c>
      <c r="E59" t="s">
        <v>25</v>
      </c>
      <c r="F59" s="1">
        <v>46238</v>
      </c>
      <c r="G59" s="1">
        <v>46245</v>
      </c>
      <c r="H59" s="1">
        <v>46246</v>
      </c>
      <c r="I59" t="s">
        <v>162</v>
      </c>
      <c r="J59" t="s">
        <v>163</v>
      </c>
      <c r="K59" t="s">
        <v>60</v>
      </c>
      <c r="L59" t="s">
        <v>164</v>
      </c>
      <c r="M59" t="s">
        <v>21</v>
      </c>
    </row>
    <row r="60" spans="1:13" hidden="1" x14ac:dyDescent="0.25">
      <c r="A60" s="1">
        <v>46240</v>
      </c>
      <c r="B60" t="s">
        <v>130</v>
      </c>
      <c r="C60" t="s">
        <v>131</v>
      </c>
      <c r="D60" t="s">
        <v>132</v>
      </c>
      <c r="E60" t="s">
        <v>25</v>
      </c>
      <c r="F60" s="1">
        <v>46237</v>
      </c>
      <c r="G60" s="1">
        <v>46240</v>
      </c>
      <c r="H60" s="1">
        <v>46241</v>
      </c>
      <c r="I60" t="s">
        <v>162</v>
      </c>
      <c r="J60" t="s">
        <v>163</v>
      </c>
      <c r="K60" t="s">
        <v>133</v>
      </c>
      <c r="L60" t="s">
        <v>164</v>
      </c>
      <c r="M60" t="s">
        <v>21</v>
      </c>
    </row>
    <row r="61" spans="1:13" hidden="1" x14ac:dyDescent="0.25">
      <c r="A61" s="1">
        <v>46238</v>
      </c>
      <c r="B61" t="s">
        <v>53</v>
      </c>
      <c r="C61" t="s">
        <v>54</v>
      </c>
      <c r="D61" t="s">
        <v>41</v>
      </c>
      <c r="E61" t="s">
        <v>25</v>
      </c>
      <c r="F61" s="1">
        <v>46236</v>
      </c>
      <c r="G61" s="1">
        <v>46239</v>
      </c>
      <c r="H61" s="1">
        <v>46240</v>
      </c>
      <c r="I61" t="s">
        <v>162</v>
      </c>
      <c r="J61" t="s">
        <v>163</v>
      </c>
      <c r="L61" t="s">
        <v>164</v>
      </c>
      <c r="M61" t="s">
        <v>21</v>
      </c>
    </row>
    <row r="62" spans="1:13" hidden="1" x14ac:dyDescent="0.25">
      <c r="A62" s="1">
        <v>46240</v>
      </c>
      <c r="B62" t="s">
        <v>165</v>
      </c>
      <c r="C62" t="s">
        <v>166</v>
      </c>
      <c r="D62" t="s">
        <v>41</v>
      </c>
      <c r="E62" t="s">
        <v>25</v>
      </c>
      <c r="F62" s="1">
        <v>46235</v>
      </c>
      <c r="G62" s="1">
        <v>46240</v>
      </c>
      <c r="H62" s="1">
        <v>46241</v>
      </c>
      <c r="I62" t="s">
        <v>167</v>
      </c>
      <c r="J62" t="s">
        <v>168</v>
      </c>
      <c r="K62" t="s">
        <v>169</v>
      </c>
      <c r="L62" t="s">
        <v>170</v>
      </c>
      <c r="M62" t="s">
        <v>21</v>
      </c>
    </row>
    <row r="63" spans="1:13" hidden="1" x14ac:dyDescent="0.25">
      <c r="A63" s="1">
        <v>46239</v>
      </c>
      <c r="B63" t="s">
        <v>130</v>
      </c>
      <c r="C63" t="s">
        <v>131</v>
      </c>
      <c r="D63" t="s">
        <v>132</v>
      </c>
      <c r="E63" t="s">
        <v>25</v>
      </c>
      <c r="F63" s="1">
        <v>46237</v>
      </c>
      <c r="G63" s="1">
        <v>46240</v>
      </c>
      <c r="H63" s="1">
        <v>46241</v>
      </c>
      <c r="I63" t="s">
        <v>167</v>
      </c>
      <c r="J63" t="s">
        <v>168</v>
      </c>
      <c r="K63" t="s">
        <v>133</v>
      </c>
      <c r="L63" t="s">
        <v>170</v>
      </c>
      <c r="M63" t="s">
        <v>21</v>
      </c>
    </row>
    <row r="64" spans="1:13" hidden="1" x14ac:dyDescent="0.25">
      <c r="A64" s="1">
        <v>46240</v>
      </c>
      <c r="B64" t="s">
        <v>151</v>
      </c>
      <c r="C64" t="s">
        <v>152</v>
      </c>
      <c r="D64" t="s">
        <v>153</v>
      </c>
      <c r="E64" t="s">
        <v>25</v>
      </c>
      <c r="F64" s="1">
        <v>46234</v>
      </c>
      <c r="G64" s="1">
        <v>46240</v>
      </c>
      <c r="H64" s="1">
        <v>46241</v>
      </c>
      <c r="I64" t="s">
        <v>171</v>
      </c>
      <c r="J64" t="s">
        <v>172</v>
      </c>
      <c r="K64" t="s">
        <v>156</v>
      </c>
      <c r="L64" t="s">
        <v>173</v>
      </c>
      <c r="M64" t="s">
        <v>21</v>
      </c>
    </row>
    <row r="65" spans="1:13" hidden="1" x14ac:dyDescent="0.25">
      <c r="A65" s="1">
        <v>46237</v>
      </c>
      <c r="B65" t="s">
        <v>39</v>
      </c>
      <c r="C65" t="s">
        <v>40</v>
      </c>
      <c r="D65" t="s">
        <v>41</v>
      </c>
      <c r="E65" t="s">
        <v>25</v>
      </c>
      <c r="F65" s="1">
        <v>46226</v>
      </c>
      <c r="G65" s="1">
        <v>46255</v>
      </c>
      <c r="H65" s="1">
        <v>46256</v>
      </c>
      <c r="I65" t="s">
        <v>171</v>
      </c>
      <c r="J65" t="s">
        <v>172</v>
      </c>
      <c r="K65" t="s">
        <v>42</v>
      </c>
      <c r="L65" t="s">
        <v>173</v>
      </c>
      <c r="M65" t="s">
        <v>21</v>
      </c>
    </row>
    <row r="66" spans="1:13" x14ac:dyDescent="0.25">
      <c r="A66" s="1">
        <v>46247</v>
      </c>
      <c r="B66" t="s">
        <v>76</v>
      </c>
      <c r="C66" t="s">
        <v>77</v>
      </c>
      <c r="D66" t="s">
        <v>78</v>
      </c>
      <c r="E66" t="s">
        <v>25</v>
      </c>
      <c r="F66" s="1">
        <v>46242</v>
      </c>
      <c r="G66" s="1">
        <v>46272</v>
      </c>
      <c r="H66" s="1">
        <v>46273</v>
      </c>
      <c r="I66" t="s">
        <v>171</v>
      </c>
      <c r="J66" t="s">
        <v>172</v>
      </c>
      <c r="K66" t="s">
        <v>79</v>
      </c>
      <c r="L66" t="s">
        <v>173</v>
      </c>
      <c r="M66" t="s">
        <v>21</v>
      </c>
    </row>
    <row r="67" spans="1:13" hidden="1" x14ac:dyDescent="0.25">
      <c r="A67" s="1">
        <v>46235</v>
      </c>
      <c r="B67" t="s">
        <v>84</v>
      </c>
      <c r="C67" t="s">
        <v>85</v>
      </c>
      <c r="D67" t="s">
        <v>41</v>
      </c>
      <c r="E67" t="s">
        <v>25</v>
      </c>
      <c r="F67" s="1">
        <v>46209</v>
      </c>
      <c r="G67" s="1">
        <v>46238</v>
      </c>
      <c r="H67" s="1">
        <v>46239</v>
      </c>
      <c r="I67" t="s">
        <v>171</v>
      </c>
      <c r="J67" t="s">
        <v>172</v>
      </c>
      <c r="K67" t="s">
        <v>86</v>
      </c>
      <c r="L67" t="s">
        <v>173</v>
      </c>
      <c r="M67" t="s">
        <v>21</v>
      </c>
    </row>
    <row r="68" spans="1:13" hidden="1" x14ac:dyDescent="0.25">
      <c r="A68" s="1">
        <v>46245</v>
      </c>
      <c r="B68" t="s">
        <v>84</v>
      </c>
      <c r="C68" t="s">
        <v>85</v>
      </c>
      <c r="D68" t="s">
        <v>41</v>
      </c>
      <c r="E68" t="s">
        <v>25</v>
      </c>
      <c r="F68" s="1">
        <v>46239</v>
      </c>
      <c r="G68" s="1">
        <v>46268</v>
      </c>
      <c r="H68" s="1">
        <v>46269</v>
      </c>
      <c r="I68" t="s">
        <v>171</v>
      </c>
      <c r="J68" t="s">
        <v>172</v>
      </c>
      <c r="K68" t="s">
        <v>86</v>
      </c>
      <c r="L68" t="s">
        <v>173</v>
      </c>
      <c r="M68" t="s">
        <v>21</v>
      </c>
    </row>
    <row r="69" spans="1:13" hidden="1" x14ac:dyDescent="0.25">
      <c r="A69" s="1">
        <v>46238</v>
      </c>
      <c r="B69" t="s">
        <v>174</v>
      </c>
      <c r="C69" t="s">
        <v>175</v>
      </c>
      <c r="D69" t="s">
        <v>64</v>
      </c>
      <c r="E69" t="s">
        <v>25</v>
      </c>
      <c r="F69" s="1">
        <v>46225</v>
      </c>
      <c r="G69" s="1">
        <v>46239</v>
      </c>
      <c r="H69" s="1">
        <v>46240</v>
      </c>
      <c r="I69" t="s">
        <v>171</v>
      </c>
      <c r="J69" t="s">
        <v>172</v>
      </c>
      <c r="L69" t="s">
        <v>173</v>
      </c>
      <c r="M69" t="s">
        <v>21</v>
      </c>
    </row>
    <row r="70" spans="1:13" hidden="1" x14ac:dyDescent="0.25">
      <c r="A70" s="1">
        <v>46244</v>
      </c>
      <c r="B70" t="s">
        <v>176</v>
      </c>
      <c r="C70" t="s">
        <v>177</v>
      </c>
      <c r="D70" t="s">
        <v>34</v>
      </c>
      <c r="E70" t="s">
        <v>30</v>
      </c>
      <c r="F70" s="1">
        <v>46244</v>
      </c>
      <c r="G70" s="1">
        <v>46265</v>
      </c>
      <c r="H70" s="1">
        <v>46266</v>
      </c>
      <c r="I70" t="s">
        <v>178</v>
      </c>
      <c r="J70" t="s">
        <v>179</v>
      </c>
      <c r="K70" t="s">
        <v>180</v>
      </c>
      <c r="L70" t="s">
        <v>181</v>
      </c>
      <c r="M70" t="s">
        <v>21</v>
      </c>
    </row>
    <row r="71" spans="1:13" x14ac:dyDescent="0.25">
      <c r="A71" s="1">
        <v>46247</v>
      </c>
      <c r="B71" t="s">
        <v>176</v>
      </c>
      <c r="C71" t="s">
        <v>243</v>
      </c>
      <c r="D71" t="s">
        <v>34</v>
      </c>
      <c r="E71" t="s">
        <v>30</v>
      </c>
      <c r="F71" s="1">
        <v>46244</v>
      </c>
      <c r="G71" s="1">
        <v>46265</v>
      </c>
      <c r="H71" s="1">
        <v>46266</v>
      </c>
      <c r="I71" t="s">
        <v>178</v>
      </c>
      <c r="J71" t="s">
        <v>179</v>
      </c>
      <c r="K71" t="s">
        <v>180</v>
      </c>
      <c r="L71" t="s">
        <v>181</v>
      </c>
      <c r="M71" t="s">
        <v>21</v>
      </c>
    </row>
    <row r="72" spans="1:13" hidden="1" x14ac:dyDescent="0.25">
      <c r="A72" s="1">
        <v>46239</v>
      </c>
      <c r="B72" t="s">
        <v>22</v>
      </c>
      <c r="C72" t="s">
        <v>23</v>
      </c>
      <c r="D72" t="s">
        <v>24</v>
      </c>
      <c r="E72" t="s">
        <v>25</v>
      </c>
      <c r="F72" s="1">
        <v>46237</v>
      </c>
      <c r="G72" s="1">
        <v>46241</v>
      </c>
      <c r="H72" s="1">
        <v>46242</v>
      </c>
      <c r="I72" t="s">
        <v>178</v>
      </c>
      <c r="J72" t="s">
        <v>179</v>
      </c>
      <c r="K72" t="s">
        <v>26</v>
      </c>
      <c r="L72" t="s">
        <v>181</v>
      </c>
      <c r="M72" t="s">
        <v>21</v>
      </c>
    </row>
    <row r="73" spans="1:13" hidden="1" x14ac:dyDescent="0.25">
      <c r="A73" s="1">
        <v>46246</v>
      </c>
      <c r="B73" t="s">
        <v>43</v>
      </c>
      <c r="C73" t="s">
        <v>44</v>
      </c>
      <c r="D73" t="s">
        <v>41</v>
      </c>
      <c r="E73" t="s">
        <v>30</v>
      </c>
      <c r="F73" s="1">
        <v>46230</v>
      </c>
      <c r="G73" s="1">
        <v>46262</v>
      </c>
      <c r="H73" s="1">
        <v>46263</v>
      </c>
      <c r="I73" t="s">
        <v>178</v>
      </c>
      <c r="J73" t="s">
        <v>179</v>
      </c>
      <c r="K73" t="s">
        <v>45</v>
      </c>
      <c r="L73" t="s">
        <v>181</v>
      </c>
      <c r="M73" t="s">
        <v>21</v>
      </c>
    </row>
    <row r="74" spans="1:13" hidden="1" x14ac:dyDescent="0.25">
      <c r="A74" s="1">
        <v>46238</v>
      </c>
      <c r="B74" t="s">
        <v>46</v>
      </c>
      <c r="C74" t="s">
        <v>47</v>
      </c>
      <c r="D74" t="s">
        <v>34</v>
      </c>
      <c r="E74" t="s">
        <v>25</v>
      </c>
      <c r="F74" s="1">
        <v>46224</v>
      </c>
      <c r="G74" s="1">
        <v>46239</v>
      </c>
      <c r="H74" s="1">
        <v>46240</v>
      </c>
      <c r="I74" t="s">
        <v>178</v>
      </c>
      <c r="J74" t="s">
        <v>179</v>
      </c>
      <c r="K74" t="s">
        <v>48</v>
      </c>
      <c r="L74" t="s">
        <v>181</v>
      </c>
      <c r="M74" t="s">
        <v>21</v>
      </c>
    </row>
    <row r="75" spans="1:13" hidden="1" x14ac:dyDescent="0.25">
      <c r="A75" s="1">
        <v>46237</v>
      </c>
      <c r="B75" t="s">
        <v>182</v>
      </c>
      <c r="C75" t="s">
        <v>183</v>
      </c>
      <c r="D75" t="s">
        <v>51</v>
      </c>
      <c r="E75" t="s">
        <v>30</v>
      </c>
      <c r="F75" s="1">
        <v>46227</v>
      </c>
      <c r="G75" s="1">
        <v>46237</v>
      </c>
      <c r="H75" s="1">
        <v>46238</v>
      </c>
      <c r="I75" t="s">
        <v>178</v>
      </c>
      <c r="J75" t="s">
        <v>179</v>
      </c>
      <c r="K75" t="s">
        <v>184</v>
      </c>
      <c r="L75" t="s">
        <v>181</v>
      </c>
      <c r="M75" t="s">
        <v>21</v>
      </c>
    </row>
    <row r="76" spans="1:13" hidden="1" x14ac:dyDescent="0.25">
      <c r="A76" s="1">
        <v>46244</v>
      </c>
      <c r="B76" t="s">
        <v>39</v>
      </c>
      <c r="C76" t="s">
        <v>40</v>
      </c>
      <c r="D76" t="s">
        <v>41</v>
      </c>
      <c r="E76" t="s">
        <v>25</v>
      </c>
      <c r="F76" s="1">
        <v>46226</v>
      </c>
      <c r="G76" s="1">
        <v>46255</v>
      </c>
      <c r="H76" s="1">
        <v>46256</v>
      </c>
      <c r="I76" t="s">
        <v>185</v>
      </c>
      <c r="J76" t="s">
        <v>186</v>
      </c>
      <c r="K76" t="s">
        <v>42</v>
      </c>
      <c r="L76" t="s">
        <v>187</v>
      </c>
      <c r="M76" t="s">
        <v>21</v>
      </c>
    </row>
    <row r="77" spans="1:13" hidden="1" x14ac:dyDescent="0.25">
      <c r="A77" s="1">
        <v>46238</v>
      </c>
      <c r="B77" t="s">
        <v>151</v>
      </c>
      <c r="C77" t="s">
        <v>152</v>
      </c>
      <c r="D77" t="s">
        <v>153</v>
      </c>
      <c r="E77" t="s">
        <v>25</v>
      </c>
      <c r="F77" s="1">
        <v>46234</v>
      </c>
      <c r="G77" s="1">
        <v>46240</v>
      </c>
      <c r="H77" s="1">
        <v>46241</v>
      </c>
      <c r="I77" t="s">
        <v>188</v>
      </c>
      <c r="J77" t="s">
        <v>189</v>
      </c>
      <c r="K77" t="s">
        <v>156</v>
      </c>
      <c r="L77" t="s">
        <v>190</v>
      </c>
      <c r="M77" t="s">
        <v>21</v>
      </c>
    </row>
    <row r="78" spans="1:13" hidden="1" x14ac:dyDescent="0.25">
      <c r="A78" s="1">
        <v>46239</v>
      </c>
      <c r="B78" t="s">
        <v>13</v>
      </c>
      <c r="C78" t="s">
        <v>14</v>
      </c>
      <c r="D78" t="s">
        <v>15</v>
      </c>
      <c r="E78" t="s">
        <v>16</v>
      </c>
      <c r="F78" s="1">
        <v>46237</v>
      </c>
      <c r="G78" s="1">
        <v>46366</v>
      </c>
      <c r="H78" s="1">
        <v>46367</v>
      </c>
      <c r="I78" t="s">
        <v>188</v>
      </c>
      <c r="J78" t="s">
        <v>189</v>
      </c>
      <c r="K78" t="s">
        <v>19</v>
      </c>
      <c r="L78" t="s">
        <v>190</v>
      </c>
      <c r="M78" t="s">
        <v>21</v>
      </c>
    </row>
    <row r="79" spans="1:13" hidden="1" x14ac:dyDescent="0.25">
      <c r="A79" s="1">
        <v>46245</v>
      </c>
      <c r="B79" t="s">
        <v>55</v>
      </c>
      <c r="C79" t="s">
        <v>56</v>
      </c>
      <c r="D79" t="s">
        <v>57</v>
      </c>
      <c r="E79" t="s">
        <v>25</v>
      </c>
      <c r="F79" s="1">
        <v>46238</v>
      </c>
      <c r="G79" s="1">
        <v>46245</v>
      </c>
      <c r="H79" s="1">
        <v>46246</v>
      </c>
      <c r="I79" t="s">
        <v>188</v>
      </c>
      <c r="J79" t="s">
        <v>189</v>
      </c>
      <c r="K79" t="s">
        <v>60</v>
      </c>
      <c r="L79" t="s">
        <v>190</v>
      </c>
      <c r="M79" t="s">
        <v>21</v>
      </c>
    </row>
    <row r="80" spans="1:13" x14ac:dyDescent="0.25">
      <c r="A80" s="1">
        <v>46247</v>
      </c>
      <c r="B80" t="s">
        <v>158</v>
      </c>
      <c r="C80" t="s">
        <v>194</v>
      </c>
      <c r="D80" t="s">
        <v>160</v>
      </c>
      <c r="E80" t="s">
        <v>25</v>
      </c>
      <c r="F80" s="1">
        <v>46219</v>
      </c>
      <c r="G80" s="1">
        <v>46248</v>
      </c>
      <c r="H80" s="1">
        <v>46249</v>
      </c>
      <c r="I80" t="s">
        <v>188</v>
      </c>
      <c r="J80" t="s">
        <v>189</v>
      </c>
      <c r="K80" t="s">
        <v>161</v>
      </c>
      <c r="L80" t="s">
        <v>190</v>
      </c>
      <c r="M80" t="s">
        <v>21</v>
      </c>
    </row>
    <row r="81" spans="1:13" hidden="1" x14ac:dyDescent="0.25">
      <c r="A81" s="1">
        <v>46246</v>
      </c>
      <c r="B81" t="s">
        <v>76</v>
      </c>
      <c r="C81" t="s">
        <v>77</v>
      </c>
      <c r="D81" t="s">
        <v>78</v>
      </c>
      <c r="E81" t="s">
        <v>25</v>
      </c>
      <c r="F81" s="1">
        <v>46242</v>
      </c>
      <c r="G81" s="1">
        <v>46272</v>
      </c>
      <c r="H81" s="1">
        <v>46273</v>
      </c>
      <c r="I81" t="s">
        <v>188</v>
      </c>
      <c r="J81" t="s">
        <v>189</v>
      </c>
      <c r="K81" t="s">
        <v>79</v>
      </c>
      <c r="L81" t="s">
        <v>190</v>
      </c>
      <c r="M81" t="s">
        <v>21</v>
      </c>
    </row>
    <row r="82" spans="1:13" hidden="1" x14ac:dyDescent="0.25">
      <c r="A82" s="1">
        <v>46240</v>
      </c>
      <c r="B82" t="s">
        <v>43</v>
      </c>
      <c r="C82" t="s">
        <v>72</v>
      </c>
      <c r="D82" t="s">
        <v>41</v>
      </c>
      <c r="E82" t="s">
        <v>30</v>
      </c>
      <c r="F82" s="1">
        <v>46230</v>
      </c>
      <c r="G82" s="1">
        <v>46262</v>
      </c>
      <c r="H82" s="1">
        <v>46263</v>
      </c>
      <c r="I82" t="s">
        <v>191</v>
      </c>
      <c r="J82" t="s">
        <v>192</v>
      </c>
      <c r="K82" t="s">
        <v>45</v>
      </c>
      <c r="L82" t="s">
        <v>193</v>
      </c>
      <c r="M82" t="s">
        <v>21</v>
      </c>
    </row>
    <row r="83" spans="1:13" hidden="1" x14ac:dyDescent="0.25">
      <c r="A83" s="1">
        <v>46235</v>
      </c>
      <c r="B83" t="s">
        <v>158</v>
      </c>
      <c r="C83" t="s">
        <v>194</v>
      </c>
      <c r="D83" t="s">
        <v>160</v>
      </c>
      <c r="E83" t="s">
        <v>25</v>
      </c>
      <c r="F83" s="1">
        <v>46219</v>
      </c>
      <c r="G83" s="1">
        <v>46248</v>
      </c>
      <c r="H83" s="1">
        <v>46249</v>
      </c>
      <c r="I83" t="s">
        <v>191</v>
      </c>
      <c r="J83" t="s">
        <v>192</v>
      </c>
      <c r="K83" t="s">
        <v>161</v>
      </c>
      <c r="L83" t="s">
        <v>193</v>
      </c>
      <c r="M83" t="s">
        <v>21</v>
      </c>
    </row>
    <row r="84" spans="1:13" hidden="1" x14ac:dyDescent="0.25">
      <c r="A84" s="1">
        <v>46237</v>
      </c>
      <c r="B84" t="s">
        <v>158</v>
      </c>
      <c r="C84" t="s">
        <v>194</v>
      </c>
      <c r="D84" t="s">
        <v>160</v>
      </c>
      <c r="E84" t="s">
        <v>25</v>
      </c>
      <c r="F84" s="1">
        <v>46219</v>
      </c>
      <c r="G84" s="1">
        <v>46248</v>
      </c>
      <c r="H84" s="1">
        <v>46249</v>
      </c>
      <c r="I84" t="s">
        <v>191</v>
      </c>
      <c r="J84" t="s">
        <v>192</v>
      </c>
      <c r="K84" t="s">
        <v>161</v>
      </c>
      <c r="L84" t="s">
        <v>193</v>
      </c>
      <c r="M84" t="s">
        <v>21</v>
      </c>
    </row>
    <row r="85" spans="1:13" hidden="1" x14ac:dyDescent="0.25">
      <c r="A85" s="1">
        <v>46238</v>
      </c>
      <c r="B85" t="s">
        <v>158</v>
      </c>
      <c r="C85" t="s">
        <v>159</v>
      </c>
      <c r="D85" t="s">
        <v>160</v>
      </c>
      <c r="E85" t="s">
        <v>25</v>
      </c>
      <c r="F85" s="1">
        <v>46219</v>
      </c>
      <c r="G85" s="1">
        <v>46248</v>
      </c>
      <c r="H85" s="1">
        <v>46249</v>
      </c>
      <c r="I85" t="s">
        <v>191</v>
      </c>
      <c r="J85" t="s">
        <v>192</v>
      </c>
      <c r="K85" t="s">
        <v>161</v>
      </c>
      <c r="L85" t="s">
        <v>193</v>
      </c>
      <c r="M85" t="s">
        <v>21</v>
      </c>
    </row>
    <row r="86" spans="1:13" hidden="1" x14ac:dyDescent="0.25">
      <c r="A86" s="1">
        <v>46244</v>
      </c>
      <c r="B86" t="s">
        <v>158</v>
      </c>
      <c r="C86" t="s">
        <v>159</v>
      </c>
      <c r="D86" t="s">
        <v>160</v>
      </c>
      <c r="E86" t="s">
        <v>25</v>
      </c>
      <c r="F86" s="1">
        <v>46219</v>
      </c>
      <c r="G86" s="1">
        <v>46248</v>
      </c>
      <c r="H86" s="1">
        <v>46249</v>
      </c>
      <c r="I86" t="s">
        <v>191</v>
      </c>
      <c r="J86" t="s">
        <v>192</v>
      </c>
      <c r="K86" t="s">
        <v>161</v>
      </c>
      <c r="L86" t="s">
        <v>193</v>
      </c>
      <c r="M86" t="s">
        <v>21</v>
      </c>
    </row>
    <row r="87" spans="1:13" hidden="1" x14ac:dyDescent="0.25">
      <c r="A87" s="1">
        <v>46245</v>
      </c>
      <c r="B87" t="s">
        <v>158</v>
      </c>
      <c r="C87" t="s">
        <v>194</v>
      </c>
      <c r="D87" t="s">
        <v>160</v>
      </c>
      <c r="E87" t="s">
        <v>25</v>
      </c>
      <c r="F87" s="1">
        <v>46219</v>
      </c>
      <c r="G87" s="1">
        <v>46248</v>
      </c>
      <c r="H87" s="1">
        <v>46249</v>
      </c>
      <c r="I87" t="s">
        <v>191</v>
      </c>
      <c r="J87" t="s">
        <v>192</v>
      </c>
      <c r="K87" t="s">
        <v>161</v>
      </c>
      <c r="L87" t="s">
        <v>193</v>
      </c>
      <c r="M87" t="s">
        <v>21</v>
      </c>
    </row>
    <row r="88" spans="1:13" hidden="1" x14ac:dyDescent="0.25">
      <c r="A88" s="1">
        <v>46235</v>
      </c>
      <c r="B88" t="s">
        <v>195</v>
      </c>
      <c r="C88" t="s">
        <v>196</v>
      </c>
      <c r="D88" t="s">
        <v>197</v>
      </c>
      <c r="E88" t="s">
        <v>25</v>
      </c>
      <c r="F88" s="1">
        <v>46230</v>
      </c>
      <c r="G88" s="1">
        <v>46235</v>
      </c>
      <c r="H88" s="1">
        <v>46236</v>
      </c>
      <c r="I88" t="s">
        <v>198</v>
      </c>
      <c r="J88" t="s">
        <v>199</v>
      </c>
      <c r="K88" t="s">
        <v>200</v>
      </c>
      <c r="L88" t="s">
        <v>201</v>
      </c>
      <c r="M88" t="s">
        <v>21</v>
      </c>
    </row>
    <row r="89" spans="1:13" hidden="1" x14ac:dyDescent="0.25">
      <c r="A89" s="1">
        <v>46240</v>
      </c>
      <c r="B89" t="s">
        <v>102</v>
      </c>
      <c r="C89" t="s">
        <v>103</v>
      </c>
      <c r="D89" t="s">
        <v>64</v>
      </c>
      <c r="E89" t="s">
        <v>25</v>
      </c>
      <c r="F89" s="1">
        <v>46226</v>
      </c>
      <c r="G89" s="1">
        <v>46246</v>
      </c>
      <c r="H89" s="1">
        <v>46247</v>
      </c>
      <c r="I89" t="s">
        <v>198</v>
      </c>
      <c r="J89" t="s">
        <v>199</v>
      </c>
      <c r="K89" t="s">
        <v>104</v>
      </c>
      <c r="L89" t="s">
        <v>201</v>
      </c>
      <c r="M89" t="s">
        <v>21</v>
      </c>
    </row>
    <row r="90" spans="1:13" hidden="1" x14ac:dyDescent="0.25">
      <c r="A90" s="1">
        <v>46237</v>
      </c>
      <c r="B90" t="s">
        <v>174</v>
      </c>
      <c r="C90" t="s">
        <v>202</v>
      </c>
      <c r="D90" t="s">
        <v>64</v>
      </c>
      <c r="E90" t="s">
        <v>25</v>
      </c>
      <c r="F90" s="1">
        <v>46225</v>
      </c>
      <c r="G90" s="1">
        <v>46239</v>
      </c>
      <c r="H90" s="1">
        <v>46240</v>
      </c>
      <c r="I90" t="s">
        <v>198</v>
      </c>
      <c r="J90" t="s">
        <v>199</v>
      </c>
      <c r="L90" t="s">
        <v>201</v>
      </c>
      <c r="M90" t="s">
        <v>21</v>
      </c>
    </row>
    <row r="91" spans="1:13" hidden="1" x14ac:dyDescent="0.25">
      <c r="A91" s="1">
        <v>46240</v>
      </c>
      <c r="B91" t="s">
        <v>3241</v>
      </c>
      <c r="C91" t="s">
        <v>3242</v>
      </c>
      <c r="D91" t="s">
        <v>326</v>
      </c>
      <c r="E91" t="s">
        <v>4037</v>
      </c>
      <c r="F91" s="1">
        <v>46237</v>
      </c>
      <c r="G91" s="1">
        <v>46243</v>
      </c>
      <c r="H91" s="1">
        <v>46244</v>
      </c>
      <c r="I91" t="s">
        <v>203</v>
      </c>
      <c r="J91" t="s">
        <v>204</v>
      </c>
      <c r="K91" t="s">
        <v>3243</v>
      </c>
      <c r="L91" t="s">
        <v>205</v>
      </c>
      <c r="M91" t="s">
        <v>21</v>
      </c>
    </row>
    <row r="92" spans="1:13" hidden="1" x14ac:dyDescent="0.25">
      <c r="A92" s="1">
        <v>46242</v>
      </c>
      <c r="B92" t="s">
        <v>102</v>
      </c>
      <c r="C92" t="s">
        <v>103</v>
      </c>
      <c r="D92" t="s">
        <v>64</v>
      </c>
      <c r="E92" t="s">
        <v>25</v>
      </c>
      <c r="F92" s="1">
        <v>46226</v>
      </c>
      <c r="G92" s="1">
        <v>46246</v>
      </c>
      <c r="H92" s="1">
        <v>46247</v>
      </c>
      <c r="I92" t="s">
        <v>203</v>
      </c>
      <c r="J92" t="s">
        <v>204</v>
      </c>
      <c r="K92" t="s">
        <v>104</v>
      </c>
      <c r="L92" t="s">
        <v>205</v>
      </c>
      <c r="M92" t="s">
        <v>21</v>
      </c>
    </row>
    <row r="93" spans="1:13" hidden="1" x14ac:dyDescent="0.25">
      <c r="A93" s="1">
        <v>46240</v>
      </c>
      <c r="B93" t="s">
        <v>80</v>
      </c>
      <c r="C93" t="s">
        <v>81</v>
      </c>
      <c r="D93" t="s">
        <v>82</v>
      </c>
      <c r="E93" t="s">
        <v>25</v>
      </c>
      <c r="F93" s="1">
        <v>46217</v>
      </c>
      <c r="G93" s="1">
        <v>46246</v>
      </c>
      <c r="H93" s="1">
        <v>46247</v>
      </c>
      <c r="I93" t="s">
        <v>206</v>
      </c>
      <c r="J93" t="s">
        <v>207</v>
      </c>
      <c r="K93" t="s">
        <v>83</v>
      </c>
      <c r="L93" t="s">
        <v>208</v>
      </c>
      <c r="M93" t="s">
        <v>21</v>
      </c>
    </row>
    <row r="94" spans="1:13" x14ac:dyDescent="0.25">
      <c r="A94" s="1">
        <v>46247</v>
      </c>
      <c r="B94" t="s">
        <v>87</v>
      </c>
      <c r="C94" t="s">
        <v>88</v>
      </c>
      <c r="D94" t="s">
        <v>89</v>
      </c>
      <c r="E94" t="s">
        <v>90</v>
      </c>
      <c r="F94" s="1">
        <v>46226</v>
      </c>
      <c r="G94" s="1">
        <v>46230</v>
      </c>
      <c r="H94" s="1">
        <v>46231</v>
      </c>
      <c r="I94" t="s">
        <v>212</v>
      </c>
      <c r="J94" t="s">
        <v>213</v>
      </c>
      <c r="K94" t="s">
        <v>93</v>
      </c>
      <c r="L94" t="s">
        <v>215</v>
      </c>
      <c r="M94" t="s">
        <v>21</v>
      </c>
    </row>
    <row r="95" spans="1:13" hidden="1" x14ac:dyDescent="0.25">
      <c r="A95" s="1">
        <v>46237</v>
      </c>
      <c r="B95" t="s">
        <v>209</v>
      </c>
      <c r="C95" t="s">
        <v>210</v>
      </c>
      <c r="D95" t="s">
        <v>211</v>
      </c>
      <c r="E95" t="s">
        <v>25</v>
      </c>
      <c r="F95" s="1">
        <v>46224</v>
      </c>
      <c r="G95" s="1">
        <v>46238</v>
      </c>
      <c r="H95" s="1">
        <v>46239</v>
      </c>
      <c r="I95" t="s">
        <v>212</v>
      </c>
      <c r="J95" t="s">
        <v>213</v>
      </c>
      <c r="K95" t="s">
        <v>214</v>
      </c>
      <c r="L95" t="s">
        <v>215</v>
      </c>
      <c r="M95" t="s">
        <v>21</v>
      </c>
    </row>
    <row r="96" spans="1:13" hidden="1" x14ac:dyDescent="0.25">
      <c r="A96" s="1">
        <v>46239</v>
      </c>
      <c r="B96" t="s">
        <v>209</v>
      </c>
      <c r="C96" t="s">
        <v>210</v>
      </c>
      <c r="D96" t="s">
        <v>211</v>
      </c>
      <c r="E96" t="s">
        <v>25</v>
      </c>
      <c r="F96" s="1">
        <v>46238</v>
      </c>
      <c r="G96" s="1">
        <v>46295</v>
      </c>
      <c r="H96" s="1">
        <v>46296</v>
      </c>
      <c r="I96" t="s">
        <v>212</v>
      </c>
      <c r="J96" t="s">
        <v>213</v>
      </c>
      <c r="K96" t="s">
        <v>214</v>
      </c>
      <c r="L96" t="s">
        <v>215</v>
      </c>
      <c r="M96" t="s">
        <v>21</v>
      </c>
    </row>
    <row r="97" spans="1:13" hidden="1" x14ac:dyDescent="0.25">
      <c r="A97" s="1">
        <v>46238</v>
      </c>
      <c r="B97" t="s">
        <v>119</v>
      </c>
      <c r="C97" t="s">
        <v>120</v>
      </c>
      <c r="D97" t="s">
        <v>121</v>
      </c>
      <c r="E97" t="s">
        <v>25</v>
      </c>
      <c r="F97" s="1">
        <v>46224</v>
      </c>
      <c r="G97" s="1">
        <v>46238</v>
      </c>
      <c r="H97" s="1">
        <v>46239</v>
      </c>
      <c r="I97" t="s">
        <v>216</v>
      </c>
      <c r="J97" t="s">
        <v>217</v>
      </c>
      <c r="K97" t="s">
        <v>124</v>
      </c>
      <c r="L97" t="s">
        <v>218</v>
      </c>
      <c r="M97" t="s">
        <v>21</v>
      </c>
    </row>
    <row r="98" spans="1:13" hidden="1" x14ac:dyDescent="0.25">
      <c r="A98" s="1">
        <v>46240</v>
      </c>
      <c r="B98" t="s">
        <v>119</v>
      </c>
      <c r="C98" t="s">
        <v>120</v>
      </c>
      <c r="D98" t="s">
        <v>121</v>
      </c>
      <c r="E98" t="s">
        <v>25</v>
      </c>
      <c r="F98" s="1">
        <v>46239</v>
      </c>
      <c r="G98" s="1">
        <v>46245</v>
      </c>
      <c r="H98" s="1">
        <v>46246</v>
      </c>
      <c r="I98" t="s">
        <v>216</v>
      </c>
      <c r="J98" t="s">
        <v>217</v>
      </c>
      <c r="K98" t="s">
        <v>124</v>
      </c>
      <c r="L98" t="s">
        <v>218</v>
      </c>
      <c r="M98" t="s">
        <v>21</v>
      </c>
    </row>
    <row r="99" spans="1:13" hidden="1" x14ac:dyDescent="0.25">
      <c r="A99" s="1">
        <v>46237</v>
      </c>
      <c r="B99" t="s">
        <v>84</v>
      </c>
      <c r="C99" t="s">
        <v>85</v>
      </c>
      <c r="D99" t="s">
        <v>41</v>
      </c>
      <c r="E99" t="s">
        <v>25</v>
      </c>
      <c r="F99" s="1">
        <v>46209</v>
      </c>
      <c r="G99" s="1">
        <v>46238</v>
      </c>
      <c r="H99" s="1">
        <v>46239</v>
      </c>
      <c r="I99" t="s">
        <v>216</v>
      </c>
      <c r="J99" t="s">
        <v>217</v>
      </c>
      <c r="K99" t="s">
        <v>86</v>
      </c>
      <c r="L99" t="s">
        <v>218</v>
      </c>
      <c r="M99" t="s">
        <v>21</v>
      </c>
    </row>
    <row r="100" spans="1:13" hidden="1" x14ac:dyDescent="0.25">
      <c r="A100" s="1">
        <v>46240</v>
      </c>
      <c r="B100" t="s">
        <v>13</v>
      </c>
      <c r="C100" t="s">
        <v>14</v>
      </c>
      <c r="D100" t="s">
        <v>15</v>
      </c>
      <c r="E100" t="s">
        <v>16</v>
      </c>
      <c r="F100" s="1">
        <v>46237</v>
      </c>
      <c r="G100" s="1">
        <v>46366</v>
      </c>
      <c r="H100" s="1">
        <v>46367</v>
      </c>
      <c r="I100" t="s">
        <v>219</v>
      </c>
      <c r="J100" t="s">
        <v>220</v>
      </c>
      <c r="K100" t="s">
        <v>19</v>
      </c>
      <c r="L100" t="s">
        <v>221</v>
      </c>
      <c r="M100" t="s">
        <v>21</v>
      </c>
    </row>
    <row r="101" spans="1:13" hidden="1" x14ac:dyDescent="0.25">
      <c r="A101" s="1">
        <v>46237</v>
      </c>
      <c r="B101" t="s">
        <v>119</v>
      </c>
      <c r="C101" t="s">
        <v>120</v>
      </c>
      <c r="D101" t="s">
        <v>121</v>
      </c>
      <c r="E101" t="s">
        <v>25</v>
      </c>
      <c r="F101" s="1">
        <v>46224</v>
      </c>
      <c r="G101" s="1">
        <v>46238</v>
      </c>
      <c r="H101" s="1">
        <v>46239</v>
      </c>
      <c r="I101" t="s">
        <v>219</v>
      </c>
      <c r="J101" t="s">
        <v>220</v>
      </c>
      <c r="K101" t="s">
        <v>124</v>
      </c>
      <c r="L101" t="s">
        <v>221</v>
      </c>
      <c r="M101" t="s">
        <v>21</v>
      </c>
    </row>
    <row r="102" spans="1:13" hidden="1" x14ac:dyDescent="0.25">
      <c r="A102" s="1">
        <v>46239</v>
      </c>
      <c r="B102" t="s">
        <v>140</v>
      </c>
      <c r="C102" t="s">
        <v>141</v>
      </c>
      <c r="D102" t="s">
        <v>142</v>
      </c>
      <c r="E102" t="s">
        <v>25</v>
      </c>
      <c r="F102" s="1">
        <v>46227</v>
      </c>
      <c r="G102" s="1">
        <v>46246</v>
      </c>
      <c r="H102" s="1">
        <v>46247</v>
      </c>
      <c r="I102" t="s">
        <v>219</v>
      </c>
      <c r="J102" t="s">
        <v>220</v>
      </c>
      <c r="K102" t="s">
        <v>143</v>
      </c>
      <c r="L102" t="s">
        <v>221</v>
      </c>
      <c r="M102" t="s">
        <v>21</v>
      </c>
    </row>
    <row r="103" spans="1:13" hidden="1" x14ac:dyDescent="0.25">
      <c r="A103" s="1">
        <v>46238</v>
      </c>
      <c r="B103" t="s">
        <v>109</v>
      </c>
      <c r="C103" t="s">
        <v>110</v>
      </c>
      <c r="D103" t="s">
        <v>15</v>
      </c>
      <c r="E103" t="s">
        <v>25</v>
      </c>
      <c r="F103" s="1">
        <v>46229</v>
      </c>
      <c r="G103" s="1">
        <v>46243</v>
      </c>
      <c r="H103" s="1">
        <v>46244</v>
      </c>
      <c r="I103" t="s">
        <v>219</v>
      </c>
      <c r="J103" t="s">
        <v>220</v>
      </c>
      <c r="K103" t="s">
        <v>111</v>
      </c>
      <c r="L103" t="s">
        <v>221</v>
      </c>
      <c r="M103" t="s">
        <v>21</v>
      </c>
    </row>
    <row r="104" spans="1:13" hidden="1" x14ac:dyDescent="0.25">
      <c r="A104" s="1">
        <v>46235</v>
      </c>
      <c r="B104" t="s">
        <v>222</v>
      </c>
      <c r="C104" t="s">
        <v>223</v>
      </c>
      <c r="D104" t="s">
        <v>142</v>
      </c>
      <c r="E104" t="s">
        <v>25</v>
      </c>
      <c r="F104" s="1">
        <v>46231</v>
      </c>
      <c r="G104" s="1">
        <v>46235</v>
      </c>
      <c r="H104" s="1">
        <v>46236</v>
      </c>
      <c r="I104" t="s">
        <v>219</v>
      </c>
      <c r="J104" t="s">
        <v>220</v>
      </c>
      <c r="K104" t="s">
        <v>224</v>
      </c>
      <c r="L104" t="s">
        <v>221</v>
      </c>
      <c r="M104" t="s">
        <v>21</v>
      </c>
    </row>
    <row r="105" spans="1:13" hidden="1" x14ac:dyDescent="0.25">
      <c r="A105" s="1">
        <v>46237</v>
      </c>
      <c r="B105" t="s">
        <v>80</v>
      </c>
      <c r="C105" s="4" t="s">
        <v>81</v>
      </c>
      <c r="D105" t="s">
        <v>82</v>
      </c>
      <c r="E105" t="s">
        <v>25</v>
      </c>
      <c r="F105" s="1">
        <v>46217</v>
      </c>
      <c r="G105" s="1">
        <v>46246</v>
      </c>
      <c r="H105" s="1">
        <v>46247</v>
      </c>
      <c r="I105" t="s">
        <v>225</v>
      </c>
      <c r="J105" t="s">
        <v>226</v>
      </c>
      <c r="K105" t="s">
        <v>83</v>
      </c>
      <c r="L105" t="s">
        <v>227</v>
      </c>
      <c r="M105" t="s">
        <v>21</v>
      </c>
    </row>
    <row r="106" spans="1:13" hidden="1" x14ac:dyDescent="0.25">
      <c r="A106" s="1">
        <v>46235</v>
      </c>
      <c r="B106" t="s">
        <v>228</v>
      </c>
      <c r="C106" t="s">
        <v>229</v>
      </c>
      <c r="D106" t="s">
        <v>211</v>
      </c>
      <c r="E106" t="s">
        <v>16</v>
      </c>
      <c r="F106" s="1">
        <v>46230</v>
      </c>
      <c r="G106" s="1">
        <v>46355</v>
      </c>
      <c r="H106" s="1">
        <v>46356</v>
      </c>
      <c r="I106" t="s">
        <v>230</v>
      </c>
      <c r="J106" t="s">
        <v>231</v>
      </c>
      <c r="K106" t="s">
        <v>232</v>
      </c>
      <c r="L106" t="s">
        <v>233</v>
      </c>
      <c r="M106" t="s">
        <v>21</v>
      </c>
    </row>
    <row r="107" spans="1:13" hidden="1" x14ac:dyDescent="0.25">
      <c r="A107" s="1">
        <v>46237</v>
      </c>
      <c r="B107" t="s">
        <v>234</v>
      </c>
      <c r="C107" t="s">
        <v>235</v>
      </c>
      <c r="D107" t="s">
        <v>211</v>
      </c>
      <c r="E107" t="s">
        <v>90</v>
      </c>
      <c r="F107" s="1">
        <v>46233</v>
      </c>
      <c r="G107" s="1">
        <v>46238</v>
      </c>
      <c r="H107" s="1">
        <v>46239</v>
      </c>
      <c r="I107" t="s">
        <v>230</v>
      </c>
      <c r="J107" t="s">
        <v>231</v>
      </c>
      <c r="K107" t="s">
        <v>236</v>
      </c>
      <c r="L107" t="s">
        <v>233</v>
      </c>
      <c r="M107" t="s">
        <v>21</v>
      </c>
    </row>
    <row r="108" spans="1:13" hidden="1" x14ac:dyDescent="0.25">
      <c r="A108" s="1">
        <v>46238</v>
      </c>
      <c r="B108" t="s">
        <v>234</v>
      </c>
      <c r="C108" t="s">
        <v>235</v>
      </c>
      <c r="D108" t="s">
        <v>211</v>
      </c>
      <c r="E108" t="s">
        <v>90</v>
      </c>
      <c r="F108" s="1">
        <v>46233</v>
      </c>
      <c r="G108" s="1">
        <v>46238</v>
      </c>
      <c r="H108" s="1">
        <v>46239</v>
      </c>
      <c r="I108" t="s">
        <v>230</v>
      </c>
      <c r="J108" t="s">
        <v>231</v>
      </c>
      <c r="K108" t="s">
        <v>236</v>
      </c>
      <c r="L108" t="s">
        <v>233</v>
      </c>
      <c r="M108" t="s">
        <v>21</v>
      </c>
    </row>
    <row r="109" spans="1:13" hidden="1" x14ac:dyDescent="0.25">
      <c r="A109" s="1">
        <v>46238</v>
      </c>
      <c r="B109" t="s">
        <v>13</v>
      </c>
      <c r="C109" t="s">
        <v>14</v>
      </c>
      <c r="D109" t="s">
        <v>15</v>
      </c>
      <c r="E109" t="s">
        <v>16</v>
      </c>
      <c r="F109" s="1">
        <v>46237</v>
      </c>
      <c r="G109" s="1">
        <v>46366</v>
      </c>
      <c r="H109" s="1">
        <v>46367</v>
      </c>
      <c r="I109" t="s">
        <v>237</v>
      </c>
      <c r="J109" t="s">
        <v>238</v>
      </c>
      <c r="K109" t="s">
        <v>19</v>
      </c>
      <c r="L109" t="s">
        <v>239</v>
      </c>
      <c r="M109" t="s">
        <v>21</v>
      </c>
    </row>
    <row r="110" spans="1:13" hidden="1" x14ac:dyDescent="0.25">
      <c r="A110" s="1">
        <v>46237</v>
      </c>
      <c r="B110" t="s">
        <v>140</v>
      </c>
      <c r="C110" t="s">
        <v>150</v>
      </c>
      <c r="D110" t="s">
        <v>142</v>
      </c>
      <c r="E110" t="s">
        <v>25</v>
      </c>
      <c r="F110" s="1">
        <v>46227</v>
      </c>
      <c r="G110" s="1">
        <v>46246</v>
      </c>
      <c r="H110" s="1">
        <v>46247</v>
      </c>
      <c r="I110" t="s">
        <v>237</v>
      </c>
      <c r="J110" t="s">
        <v>238</v>
      </c>
      <c r="K110" t="s">
        <v>143</v>
      </c>
      <c r="L110" t="s">
        <v>239</v>
      </c>
      <c r="M110" t="s">
        <v>21</v>
      </c>
    </row>
    <row r="111" spans="1:13" hidden="1" x14ac:dyDescent="0.25">
      <c r="A111" s="1">
        <v>46242</v>
      </c>
      <c r="B111" t="s">
        <v>140</v>
      </c>
      <c r="C111" t="s">
        <v>141</v>
      </c>
      <c r="D111" t="s">
        <v>142</v>
      </c>
      <c r="E111" t="s">
        <v>25</v>
      </c>
      <c r="F111" s="1">
        <v>46227</v>
      </c>
      <c r="G111" s="1">
        <v>46246</v>
      </c>
      <c r="H111" s="1">
        <v>46247</v>
      </c>
      <c r="I111" t="s">
        <v>237</v>
      </c>
      <c r="J111" t="s">
        <v>238</v>
      </c>
      <c r="K111" t="s">
        <v>143</v>
      </c>
      <c r="L111" t="s">
        <v>239</v>
      </c>
      <c r="M111" t="s">
        <v>21</v>
      </c>
    </row>
    <row r="112" spans="1:13" hidden="1" x14ac:dyDescent="0.25">
      <c r="A112" s="1">
        <v>46237</v>
      </c>
      <c r="B112" t="s">
        <v>151</v>
      </c>
      <c r="C112" s="4" t="s">
        <v>152</v>
      </c>
      <c r="D112" t="s">
        <v>153</v>
      </c>
      <c r="E112" t="s">
        <v>25</v>
      </c>
      <c r="F112" s="1">
        <v>46234</v>
      </c>
      <c r="G112" s="1">
        <v>46240</v>
      </c>
      <c r="H112" s="1">
        <v>46241</v>
      </c>
      <c r="I112" t="s">
        <v>240</v>
      </c>
      <c r="J112" t="s">
        <v>241</v>
      </c>
      <c r="K112" t="s">
        <v>156</v>
      </c>
      <c r="L112" t="s">
        <v>242</v>
      </c>
      <c r="M112" t="s">
        <v>21</v>
      </c>
    </row>
    <row r="113" spans="1:13" hidden="1" x14ac:dyDescent="0.25">
      <c r="A113" s="1">
        <v>46246</v>
      </c>
      <c r="B113" t="s">
        <v>176</v>
      </c>
      <c r="C113" t="s">
        <v>243</v>
      </c>
      <c r="D113" t="s">
        <v>34</v>
      </c>
      <c r="E113" t="s">
        <v>30</v>
      </c>
      <c r="F113" s="1">
        <v>46244</v>
      </c>
      <c r="G113" s="1">
        <v>46265</v>
      </c>
      <c r="H113" s="1">
        <v>46266</v>
      </c>
      <c r="I113" t="s">
        <v>240</v>
      </c>
      <c r="J113" t="s">
        <v>241</v>
      </c>
      <c r="K113" t="s">
        <v>180</v>
      </c>
      <c r="L113" t="s">
        <v>242</v>
      </c>
      <c r="M113" t="s">
        <v>21</v>
      </c>
    </row>
    <row r="114" spans="1:13" hidden="1" x14ac:dyDescent="0.25">
      <c r="A114" s="1">
        <v>46244</v>
      </c>
      <c r="B114" t="s">
        <v>43</v>
      </c>
      <c r="C114" t="s">
        <v>72</v>
      </c>
      <c r="D114" t="s">
        <v>41</v>
      </c>
      <c r="E114" t="s">
        <v>30</v>
      </c>
      <c r="F114" s="1">
        <v>46230</v>
      </c>
      <c r="G114" s="1">
        <v>46262</v>
      </c>
      <c r="H114" s="1">
        <v>46263</v>
      </c>
      <c r="I114" t="s">
        <v>240</v>
      </c>
      <c r="J114" t="s">
        <v>241</v>
      </c>
      <c r="K114" t="s">
        <v>45</v>
      </c>
      <c r="L114" t="s">
        <v>242</v>
      </c>
      <c r="M114" t="s">
        <v>21</v>
      </c>
    </row>
    <row r="115" spans="1:13" x14ac:dyDescent="0.25">
      <c r="A115" s="1">
        <v>46247</v>
      </c>
      <c r="B115" t="s">
        <v>43</v>
      </c>
      <c r="C115" t="s">
        <v>44</v>
      </c>
      <c r="D115" t="s">
        <v>41</v>
      </c>
      <c r="E115" t="s">
        <v>30</v>
      </c>
      <c r="F115" s="1">
        <v>46230</v>
      </c>
      <c r="G115" s="1">
        <v>46262</v>
      </c>
      <c r="H115" s="1">
        <v>46263</v>
      </c>
      <c r="I115" t="s">
        <v>240</v>
      </c>
      <c r="J115" t="s">
        <v>241</v>
      </c>
      <c r="K115" t="s">
        <v>45</v>
      </c>
      <c r="L115" t="s">
        <v>242</v>
      </c>
      <c r="M115" t="s">
        <v>21</v>
      </c>
    </row>
    <row r="116" spans="1:13" hidden="1" x14ac:dyDescent="0.25">
      <c r="A116" s="1">
        <v>46239</v>
      </c>
      <c r="B116" t="s">
        <v>46</v>
      </c>
      <c r="C116" t="s">
        <v>47</v>
      </c>
      <c r="D116" t="s">
        <v>34</v>
      </c>
      <c r="E116" t="s">
        <v>25</v>
      </c>
      <c r="F116" s="1">
        <v>46224</v>
      </c>
      <c r="G116" s="1">
        <v>46239</v>
      </c>
      <c r="H116" s="1">
        <v>46240</v>
      </c>
      <c r="I116" t="s">
        <v>240</v>
      </c>
      <c r="J116" t="s">
        <v>241</v>
      </c>
      <c r="K116" t="s">
        <v>48</v>
      </c>
      <c r="L116" t="s">
        <v>242</v>
      </c>
      <c r="M116" t="s">
        <v>21</v>
      </c>
    </row>
    <row r="117" spans="1:13" hidden="1" x14ac:dyDescent="0.25">
      <c r="A117" s="1">
        <v>46245</v>
      </c>
      <c r="B117" t="s">
        <v>46</v>
      </c>
      <c r="C117" t="s">
        <v>47</v>
      </c>
      <c r="D117" t="s">
        <v>34</v>
      </c>
      <c r="E117" t="s">
        <v>25</v>
      </c>
      <c r="F117" s="1">
        <v>46240</v>
      </c>
      <c r="G117" s="1">
        <v>46249</v>
      </c>
      <c r="H117" s="1">
        <v>46250</v>
      </c>
      <c r="I117" t="s">
        <v>240</v>
      </c>
      <c r="J117" t="s">
        <v>241</v>
      </c>
      <c r="K117" t="s">
        <v>48</v>
      </c>
      <c r="L117" t="s">
        <v>242</v>
      </c>
      <c r="M117" t="s">
        <v>21</v>
      </c>
    </row>
    <row r="118" spans="1:13" hidden="1" x14ac:dyDescent="0.25">
      <c r="A118" s="1">
        <v>46240</v>
      </c>
      <c r="B118" t="s">
        <v>49</v>
      </c>
      <c r="C118" s="4" t="s">
        <v>50</v>
      </c>
      <c r="D118" t="s">
        <v>51</v>
      </c>
      <c r="E118" t="s">
        <v>16</v>
      </c>
      <c r="F118" s="1">
        <v>46217</v>
      </c>
      <c r="G118" s="1">
        <v>46342</v>
      </c>
      <c r="H118" s="1">
        <v>46343</v>
      </c>
      <c r="I118" t="s">
        <v>240</v>
      </c>
      <c r="J118" t="s">
        <v>241</v>
      </c>
      <c r="K118" t="s">
        <v>52</v>
      </c>
      <c r="L118" t="s">
        <v>242</v>
      </c>
      <c r="M118" t="s">
        <v>21</v>
      </c>
    </row>
    <row r="119" spans="1:13" hidden="1" x14ac:dyDescent="0.25">
      <c r="A119" s="1">
        <v>46244</v>
      </c>
      <c r="B119" t="s">
        <v>62</v>
      </c>
      <c r="C119" t="s">
        <v>105</v>
      </c>
      <c r="D119" t="s">
        <v>64</v>
      </c>
      <c r="E119" t="s">
        <v>25</v>
      </c>
      <c r="F119" s="1">
        <v>46229</v>
      </c>
      <c r="G119" s="1">
        <v>46258</v>
      </c>
      <c r="H119" s="1">
        <v>46259</v>
      </c>
      <c r="I119" t="s">
        <v>244</v>
      </c>
      <c r="J119" t="s">
        <v>245</v>
      </c>
      <c r="K119" t="s">
        <v>67</v>
      </c>
      <c r="L119" t="s">
        <v>246</v>
      </c>
      <c r="M119" t="s">
        <v>21</v>
      </c>
    </row>
    <row r="120" spans="1:13" hidden="1" x14ac:dyDescent="0.25">
      <c r="A120" s="1">
        <v>46238</v>
      </c>
      <c r="B120" t="s">
        <v>165</v>
      </c>
      <c r="C120" t="s">
        <v>166</v>
      </c>
      <c r="D120" t="s">
        <v>41</v>
      </c>
      <c r="E120" t="s">
        <v>25</v>
      </c>
      <c r="F120" s="1">
        <v>46235</v>
      </c>
      <c r="G120" s="1">
        <v>46240</v>
      </c>
      <c r="H120" s="1">
        <v>46241</v>
      </c>
      <c r="I120" t="s">
        <v>244</v>
      </c>
      <c r="J120" t="s">
        <v>245</v>
      </c>
      <c r="K120" t="s">
        <v>169</v>
      </c>
      <c r="L120" t="s">
        <v>246</v>
      </c>
      <c r="M120" t="s">
        <v>21</v>
      </c>
    </row>
    <row r="121" spans="1:13" hidden="1" x14ac:dyDescent="0.25">
      <c r="A121" s="1">
        <v>46246</v>
      </c>
      <c r="B121" t="s">
        <v>49</v>
      </c>
      <c r="C121" t="s">
        <v>50</v>
      </c>
      <c r="D121" t="s">
        <v>51</v>
      </c>
      <c r="E121" t="s">
        <v>16</v>
      </c>
      <c r="F121" s="1">
        <v>46217</v>
      </c>
      <c r="G121" s="1">
        <v>46342</v>
      </c>
      <c r="H121" s="1">
        <v>46343</v>
      </c>
      <c r="I121" t="s">
        <v>244</v>
      </c>
      <c r="J121" t="s">
        <v>245</v>
      </c>
      <c r="K121" t="s">
        <v>52</v>
      </c>
      <c r="L121" t="s">
        <v>246</v>
      </c>
      <c r="M121" t="s">
        <v>21</v>
      </c>
    </row>
    <row r="122" spans="1:13" hidden="1" x14ac:dyDescent="0.25">
      <c r="A122" s="1">
        <v>46246</v>
      </c>
      <c r="B122" t="s">
        <v>13</v>
      </c>
      <c r="C122" t="s">
        <v>14</v>
      </c>
      <c r="D122" t="s">
        <v>15</v>
      </c>
      <c r="E122" t="s">
        <v>16</v>
      </c>
      <c r="F122" s="1">
        <v>46241</v>
      </c>
      <c r="G122" s="1">
        <v>46366</v>
      </c>
      <c r="H122" s="1">
        <v>46367</v>
      </c>
      <c r="I122" t="s">
        <v>247</v>
      </c>
      <c r="J122" t="s">
        <v>248</v>
      </c>
      <c r="K122" t="s">
        <v>19</v>
      </c>
      <c r="L122" t="s">
        <v>249</v>
      </c>
      <c r="M122" t="s">
        <v>21</v>
      </c>
    </row>
    <row r="123" spans="1:13" x14ac:dyDescent="0.25">
      <c r="A123" s="1">
        <v>46247</v>
      </c>
      <c r="B123" t="s">
        <v>13</v>
      </c>
      <c r="C123" t="s">
        <v>14</v>
      </c>
      <c r="D123" t="s">
        <v>15</v>
      </c>
      <c r="E123" t="s">
        <v>16</v>
      </c>
      <c r="F123" s="1">
        <v>46241</v>
      </c>
      <c r="G123" s="1">
        <v>46366</v>
      </c>
      <c r="H123" s="1">
        <v>46367</v>
      </c>
      <c r="I123" t="s">
        <v>247</v>
      </c>
      <c r="J123" t="s">
        <v>248</v>
      </c>
      <c r="K123" t="s">
        <v>19</v>
      </c>
      <c r="L123" t="s">
        <v>249</v>
      </c>
      <c r="M123" t="s">
        <v>21</v>
      </c>
    </row>
    <row r="124" spans="1:13" hidden="1" x14ac:dyDescent="0.25">
      <c r="A124" s="1">
        <v>46244</v>
      </c>
      <c r="B124" t="s">
        <v>119</v>
      </c>
      <c r="C124" t="s">
        <v>120</v>
      </c>
      <c r="D124" t="s">
        <v>121</v>
      </c>
      <c r="E124" t="s">
        <v>25</v>
      </c>
      <c r="F124" s="1">
        <v>46239</v>
      </c>
      <c r="G124" s="1">
        <v>46245</v>
      </c>
      <c r="H124" s="1">
        <v>46246</v>
      </c>
      <c r="I124" t="s">
        <v>247</v>
      </c>
      <c r="J124" t="s">
        <v>248</v>
      </c>
      <c r="K124" t="s">
        <v>124</v>
      </c>
      <c r="L124" t="s">
        <v>249</v>
      </c>
      <c r="M124" t="s">
        <v>21</v>
      </c>
    </row>
    <row r="125" spans="1:13" hidden="1" x14ac:dyDescent="0.25">
      <c r="A125" s="1">
        <v>46245</v>
      </c>
      <c r="B125" t="s">
        <v>140</v>
      </c>
      <c r="C125" t="s">
        <v>150</v>
      </c>
      <c r="D125" t="s">
        <v>142</v>
      </c>
      <c r="E125" t="s">
        <v>25</v>
      </c>
      <c r="F125" s="1">
        <v>46227</v>
      </c>
      <c r="G125" s="1">
        <v>46246</v>
      </c>
      <c r="H125" s="1">
        <v>46247</v>
      </c>
      <c r="I125" t="s">
        <v>247</v>
      </c>
      <c r="J125" t="s">
        <v>248</v>
      </c>
      <c r="K125" t="s">
        <v>143</v>
      </c>
      <c r="L125" t="s">
        <v>249</v>
      </c>
      <c r="M125" t="s">
        <v>21</v>
      </c>
    </row>
    <row r="126" spans="1:13" hidden="1" x14ac:dyDescent="0.25">
      <c r="A126" s="1">
        <v>46240</v>
      </c>
      <c r="B126" t="s">
        <v>27</v>
      </c>
      <c r="C126" t="s">
        <v>28</v>
      </c>
      <c r="D126" t="s">
        <v>29</v>
      </c>
      <c r="E126" t="s">
        <v>30</v>
      </c>
      <c r="F126" s="1">
        <v>46240</v>
      </c>
      <c r="G126" s="1">
        <v>46265</v>
      </c>
      <c r="H126" s="1">
        <v>46266</v>
      </c>
      <c r="I126" t="s">
        <v>247</v>
      </c>
      <c r="J126" t="s">
        <v>248</v>
      </c>
      <c r="K126" t="s">
        <v>31</v>
      </c>
      <c r="L126" t="s">
        <v>249</v>
      </c>
      <c r="M126" t="s">
        <v>21</v>
      </c>
    </row>
    <row r="127" spans="1:13" hidden="1" x14ac:dyDescent="0.25">
      <c r="A127" s="1">
        <v>46239</v>
      </c>
      <c r="B127" t="s">
        <v>49</v>
      </c>
      <c r="C127" t="s">
        <v>50</v>
      </c>
      <c r="D127" t="s">
        <v>51</v>
      </c>
      <c r="E127" t="s">
        <v>16</v>
      </c>
      <c r="F127" s="1">
        <v>46217</v>
      </c>
      <c r="G127" s="1">
        <v>46342</v>
      </c>
      <c r="H127" s="1">
        <v>46343</v>
      </c>
      <c r="I127" t="s">
        <v>247</v>
      </c>
      <c r="J127" t="s">
        <v>248</v>
      </c>
      <c r="K127" t="s">
        <v>52</v>
      </c>
      <c r="L127" t="s">
        <v>249</v>
      </c>
      <c r="M127" t="s">
        <v>21</v>
      </c>
    </row>
    <row r="128" spans="1:13" hidden="1" x14ac:dyDescent="0.25">
      <c r="A128" s="1">
        <v>46240</v>
      </c>
      <c r="B128" t="s">
        <v>250</v>
      </c>
      <c r="C128" t="s">
        <v>251</v>
      </c>
      <c r="D128" t="s">
        <v>132</v>
      </c>
      <c r="E128" t="s">
        <v>25</v>
      </c>
      <c r="F128" s="1">
        <v>46237</v>
      </c>
      <c r="G128" s="1">
        <v>46240</v>
      </c>
      <c r="H128" s="1">
        <v>46241</v>
      </c>
      <c r="I128" t="s">
        <v>252</v>
      </c>
      <c r="J128" t="s">
        <v>253</v>
      </c>
      <c r="K128" t="s">
        <v>254</v>
      </c>
      <c r="L128" t="s">
        <v>255</v>
      </c>
      <c r="M128" t="s">
        <v>21</v>
      </c>
    </row>
    <row r="129" spans="1:13" hidden="1" x14ac:dyDescent="0.25">
      <c r="A129" s="1">
        <v>46237</v>
      </c>
      <c r="B129" t="s">
        <v>228</v>
      </c>
      <c r="C129" s="4" t="s">
        <v>229</v>
      </c>
      <c r="D129" t="s">
        <v>211</v>
      </c>
      <c r="E129" t="s">
        <v>16</v>
      </c>
      <c r="F129" s="1">
        <v>46230</v>
      </c>
      <c r="G129" s="1">
        <v>46355</v>
      </c>
      <c r="H129" s="1">
        <v>46356</v>
      </c>
      <c r="I129" t="s">
        <v>256</v>
      </c>
      <c r="J129" t="s">
        <v>257</v>
      </c>
      <c r="K129" t="s">
        <v>232</v>
      </c>
      <c r="L129" t="s">
        <v>258</v>
      </c>
      <c r="M129" t="s">
        <v>21</v>
      </c>
    </row>
    <row r="130" spans="1:13" hidden="1" x14ac:dyDescent="0.25">
      <c r="A130" s="1">
        <v>46235</v>
      </c>
      <c r="B130" t="s">
        <v>234</v>
      </c>
      <c r="C130" t="s">
        <v>235</v>
      </c>
      <c r="D130" t="s">
        <v>211</v>
      </c>
      <c r="E130" t="s">
        <v>90</v>
      </c>
      <c r="F130" s="1">
        <v>46233</v>
      </c>
      <c r="G130" s="1">
        <v>46238</v>
      </c>
      <c r="H130" s="1">
        <v>46239</v>
      </c>
      <c r="I130" t="s">
        <v>256</v>
      </c>
      <c r="J130" t="s">
        <v>257</v>
      </c>
      <c r="K130" t="s">
        <v>236</v>
      </c>
      <c r="L130" t="s">
        <v>258</v>
      </c>
      <c r="M130" t="s">
        <v>21</v>
      </c>
    </row>
    <row r="131" spans="1:13" hidden="1" x14ac:dyDescent="0.25">
      <c r="A131" s="1">
        <v>46245</v>
      </c>
      <c r="B131" t="s">
        <v>259</v>
      </c>
      <c r="C131" t="s">
        <v>260</v>
      </c>
      <c r="D131" t="s">
        <v>64</v>
      </c>
      <c r="E131" t="s">
        <v>25</v>
      </c>
      <c r="F131" s="1">
        <v>46245</v>
      </c>
      <c r="G131" s="1">
        <v>46249</v>
      </c>
      <c r="H131" s="1">
        <v>46250</v>
      </c>
      <c r="J131" t="s">
        <v>261</v>
      </c>
      <c r="K131" t="s">
        <v>262</v>
      </c>
      <c r="M131" t="s">
        <v>21</v>
      </c>
    </row>
    <row r="132" spans="1:13" hidden="1" x14ac:dyDescent="0.25">
      <c r="A132" s="1">
        <v>46246</v>
      </c>
      <c r="B132" t="s">
        <v>259</v>
      </c>
      <c r="C132" t="s">
        <v>260</v>
      </c>
      <c r="D132" t="s">
        <v>64</v>
      </c>
      <c r="E132" t="s">
        <v>25</v>
      </c>
      <c r="F132" s="1">
        <v>46245</v>
      </c>
      <c r="G132" s="1">
        <v>46249</v>
      </c>
      <c r="H132" s="1">
        <v>46250</v>
      </c>
      <c r="J132" t="s">
        <v>261</v>
      </c>
      <c r="K132" t="s">
        <v>262</v>
      </c>
      <c r="M132" t="s">
        <v>21</v>
      </c>
    </row>
    <row r="133" spans="1:13" x14ac:dyDescent="0.25">
      <c r="A133" s="1">
        <v>46247</v>
      </c>
      <c r="B133" t="s">
        <v>259</v>
      </c>
      <c r="C133" t="s">
        <v>260</v>
      </c>
      <c r="D133" t="s">
        <v>64</v>
      </c>
      <c r="E133" t="s">
        <v>25</v>
      </c>
      <c r="F133" s="1">
        <v>46245</v>
      </c>
      <c r="G133" s="1">
        <v>46249</v>
      </c>
      <c r="H133" s="1">
        <v>46250</v>
      </c>
      <c r="J133" t="s">
        <v>261</v>
      </c>
      <c r="K133" t="s">
        <v>262</v>
      </c>
      <c r="M133" t="s">
        <v>21</v>
      </c>
    </row>
    <row r="134" spans="1:13" hidden="1" x14ac:dyDescent="0.25">
      <c r="A134" s="1">
        <v>46237</v>
      </c>
      <c r="B134" t="s">
        <v>13</v>
      </c>
      <c r="C134" t="s">
        <v>14</v>
      </c>
      <c r="D134" t="s">
        <v>15</v>
      </c>
      <c r="E134" t="s">
        <v>16</v>
      </c>
      <c r="F134" s="1">
        <v>46237</v>
      </c>
      <c r="G134" s="1">
        <v>46366</v>
      </c>
      <c r="H134" s="1">
        <v>46367</v>
      </c>
      <c r="J134" t="s">
        <v>261</v>
      </c>
      <c r="K134" t="s">
        <v>19</v>
      </c>
      <c r="M134" t="s">
        <v>21</v>
      </c>
    </row>
    <row r="135" spans="1:13" hidden="1" x14ac:dyDescent="0.25">
      <c r="A135" s="1">
        <v>46244</v>
      </c>
      <c r="B135" t="s">
        <v>13</v>
      </c>
      <c r="C135" t="s">
        <v>14</v>
      </c>
      <c r="D135" t="s">
        <v>15</v>
      </c>
      <c r="E135" t="s">
        <v>16</v>
      </c>
      <c r="F135" s="1">
        <v>46237</v>
      </c>
      <c r="G135" s="1">
        <v>46366</v>
      </c>
      <c r="H135" s="1">
        <v>46367</v>
      </c>
      <c r="J135" t="s">
        <v>261</v>
      </c>
      <c r="K135" t="s">
        <v>19</v>
      </c>
      <c r="M135" t="s">
        <v>21</v>
      </c>
    </row>
    <row r="136" spans="1:13" hidden="1" x14ac:dyDescent="0.25">
      <c r="A136" s="1">
        <v>46244</v>
      </c>
      <c r="B136" t="s">
        <v>32</v>
      </c>
      <c r="C136" t="s">
        <v>33</v>
      </c>
      <c r="D136" t="s">
        <v>34</v>
      </c>
      <c r="E136" t="s">
        <v>25</v>
      </c>
      <c r="F136" s="1">
        <v>46239</v>
      </c>
      <c r="G136" s="1">
        <v>46246</v>
      </c>
      <c r="H136" s="1">
        <v>46247</v>
      </c>
      <c r="J136" t="s">
        <v>261</v>
      </c>
      <c r="K136" t="s">
        <v>37</v>
      </c>
      <c r="M136" t="s">
        <v>21</v>
      </c>
    </row>
    <row r="137" spans="1:13" hidden="1" x14ac:dyDescent="0.25">
      <c r="A137" s="1">
        <v>46245</v>
      </c>
      <c r="B137" t="s">
        <v>32</v>
      </c>
      <c r="C137" t="s">
        <v>33</v>
      </c>
      <c r="D137" t="s">
        <v>34</v>
      </c>
      <c r="E137" t="s">
        <v>25</v>
      </c>
      <c r="F137" s="1">
        <v>46242</v>
      </c>
      <c r="G137" s="1">
        <v>46246</v>
      </c>
      <c r="H137" s="1">
        <v>46247</v>
      </c>
      <c r="J137" t="s">
        <v>261</v>
      </c>
      <c r="K137" t="s">
        <v>37</v>
      </c>
      <c r="M137" t="s">
        <v>21</v>
      </c>
    </row>
    <row r="138" spans="1:13" hidden="1" x14ac:dyDescent="0.25">
      <c r="A138" s="1">
        <v>46246</v>
      </c>
      <c r="B138" t="s">
        <v>32</v>
      </c>
      <c r="C138" t="s">
        <v>33</v>
      </c>
      <c r="D138" t="s">
        <v>34</v>
      </c>
      <c r="E138" t="s">
        <v>25</v>
      </c>
      <c r="F138" s="1">
        <v>46242</v>
      </c>
      <c r="G138" s="1">
        <v>46246</v>
      </c>
      <c r="H138" s="1">
        <v>46247</v>
      </c>
      <c r="J138" t="s">
        <v>261</v>
      </c>
      <c r="K138" t="s">
        <v>37</v>
      </c>
      <c r="M138" t="s">
        <v>21</v>
      </c>
    </row>
    <row r="139" spans="1:13" hidden="1" x14ac:dyDescent="0.25">
      <c r="A139" s="1">
        <v>46246</v>
      </c>
      <c r="B139" t="s">
        <v>3659</v>
      </c>
      <c r="C139" t="s">
        <v>3660</v>
      </c>
      <c r="D139" t="s">
        <v>128</v>
      </c>
      <c r="E139" t="s">
        <v>25</v>
      </c>
      <c r="F139" s="1">
        <v>46245</v>
      </c>
      <c r="G139" s="1">
        <v>46249</v>
      </c>
      <c r="H139" s="1">
        <v>46250</v>
      </c>
      <c r="J139" t="s">
        <v>261</v>
      </c>
      <c r="K139" t="s">
        <v>3661</v>
      </c>
      <c r="M139" t="s">
        <v>21</v>
      </c>
    </row>
    <row r="140" spans="1:13" x14ac:dyDescent="0.25">
      <c r="A140" s="1">
        <v>46247</v>
      </c>
      <c r="B140" t="s">
        <v>3659</v>
      </c>
      <c r="C140" t="s">
        <v>3660</v>
      </c>
      <c r="D140" t="s">
        <v>128</v>
      </c>
      <c r="E140" t="s">
        <v>25</v>
      </c>
      <c r="F140" s="1">
        <v>46245</v>
      </c>
      <c r="G140" s="1">
        <v>46249</v>
      </c>
      <c r="H140" s="1">
        <v>46250</v>
      </c>
      <c r="J140" t="s">
        <v>261</v>
      </c>
      <c r="K140" t="s">
        <v>3661</v>
      </c>
      <c r="M140" t="s">
        <v>21</v>
      </c>
    </row>
    <row r="141" spans="1:13" hidden="1" x14ac:dyDescent="0.25">
      <c r="A141" s="1">
        <v>46238</v>
      </c>
      <c r="B141" t="s">
        <v>55</v>
      </c>
      <c r="C141" t="s">
        <v>56</v>
      </c>
      <c r="D141" t="s">
        <v>57</v>
      </c>
      <c r="E141" t="s">
        <v>25</v>
      </c>
      <c r="F141" s="1">
        <v>46238</v>
      </c>
      <c r="G141" s="1">
        <v>46245</v>
      </c>
      <c r="H141" s="1">
        <v>46246</v>
      </c>
      <c r="J141" t="s">
        <v>261</v>
      </c>
      <c r="K141" t="s">
        <v>60</v>
      </c>
      <c r="M141" t="s">
        <v>21</v>
      </c>
    </row>
    <row r="142" spans="1:13" hidden="1" x14ac:dyDescent="0.25">
      <c r="A142" s="1">
        <v>46239</v>
      </c>
      <c r="B142" t="s">
        <v>55</v>
      </c>
      <c r="C142" t="s">
        <v>56</v>
      </c>
      <c r="D142" t="s">
        <v>57</v>
      </c>
      <c r="E142" t="s">
        <v>25</v>
      </c>
      <c r="F142" s="1">
        <v>46238</v>
      </c>
      <c r="G142" s="1">
        <v>46245</v>
      </c>
      <c r="H142" s="1">
        <v>46246</v>
      </c>
      <c r="J142" t="s">
        <v>261</v>
      </c>
      <c r="K142" t="s">
        <v>60</v>
      </c>
      <c r="M142" t="s">
        <v>21</v>
      </c>
    </row>
    <row r="143" spans="1:13" hidden="1" x14ac:dyDescent="0.25">
      <c r="A143" s="1">
        <v>46238</v>
      </c>
      <c r="B143" t="s">
        <v>250</v>
      </c>
      <c r="C143" t="s">
        <v>263</v>
      </c>
      <c r="D143" t="s">
        <v>132</v>
      </c>
      <c r="E143" t="s">
        <v>25</v>
      </c>
      <c r="F143" s="1">
        <v>46237</v>
      </c>
      <c r="G143" s="1">
        <v>46240</v>
      </c>
      <c r="H143" s="1">
        <v>46241</v>
      </c>
      <c r="J143" t="s">
        <v>261</v>
      </c>
      <c r="K143" t="s">
        <v>254</v>
      </c>
      <c r="M143" t="s">
        <v>21</v>
      </c>
    </row>
    <row r="144" spans="1:13" hidden="1" x14ac:dyDescent="0.25">
      <c r="A144" s="1">
        <v>46239</v>
      </c>
      <c r="B144" t="s">
        <v>250</v>
      </c>
      <c r="C144" t="s">
        <v>251</v>
      </c>
      <c r="D144" t="s">
        <v>132</v>
      </c>
      <c r="E144" t="s">
        <v>25</v>
      </c>
      <c r="F144" s="1">
        <v>46237</v>
      </c>
      <c r="G144" s="1">
        <v>46240</v>
      </c>
      <c r="H144" s="1">
        <v>46241</v>
      </c>
      <c r="J144" t="s">
        <v>261</v>
      </c>
      <c r="K144" t="s">
        <v>254</v>
      </c>
      <c r="M144" t="s">
        <v>21</v>
      </c>
    </row>
    <row r="145" spans="1:13" hidden="1" x14ac:dyDescent="0.25">
      <c r="A145" s="1">
        <v>46245</v>
      </c>
      <c r="B145" t="s">
        <v>176</v>
      </c>
      <c r="C145" t="s">
        <v>243</v>
      </c>
      <c r="D145" t="s">
        <v>34</v>
      </c>
      <c r="E145" t="s">
        <v>30</v>
      </c>
      <c r="F145" s="1">
        <v>46244</v>
      </c>
      <c r="G145" s="1">
        <v>46265</v>
      </c>
      <c r="H145" s="1">
        <v>46266</v>
      </c>
      <c r="J145" t="s">
        <v>261</v>
      </c>
      <c r="K145" t="s">
        <v>180</v>
      </c>
      <c r="M145" t="s">
        <v>21</v>
      </c>
    </row>
    <row r="146" spans="1:13" hidden="1" x14ac:dyDescent="0.25">
      <c r="A146" s="1">
        <v>46246</v>
      </c>
      <c r="B146" t="s">
        <v>62</v>
      </c>
      <c r="C146" t="s">
        <v>63</v>
      </c>
      <c r="D146" t="s">
        <v>64</v>
      </c>
      <c r="E146" t="s">
        <v>25</v>
      </c>
      <c r="F146" s="1">
        <v>46229</v>
      </c>
      <c r="G146" s="1">
        <v>46258</v>
      </c>
      <c r="H146" s="1">
        <v>46259</v>
      </c>
      <c r="J146" t="s">
        <v>261</v>
      </c>
      <c r="K146" t="s">
        <v>67</v>
      </c>
      <c r="M146" t="s">
        <v>21</v>
      </c>
    </row>
    <row r="147" spans="1:13" x14ac:dyDescent="0.25">
      <c r="A147" s="1">
        <v>46247</v>
      </c>
      <c r="B147" t="s">
        <v>62</v>
      </c>
      <c r="C147" t="s">
        <v>63</v>
      </c>
      <c r="D147" t="s">
        <v>64</v>
      </c>
      <c r="E147" t="s">
        <v>25</v>
      </c>
      <c r="F147" s="1">
        <v>46229</v>
      </c>
      <c r="G147" s="1">
        <v>46258</v>
      </c>
      <c r="H147" s="1">
        <v>46259</v>
      </c>
      <c r="J147" t="s">
        <v>261</v>
      </c>
      <c r="K147" t="s">
        <v>67</v>
      </c>
      <c r="M147" t="s">
        <v>21</v>
      </c>
    </row>
    <row r="148" spans="1:13" hidden="1" x14ac:dyDescent="0.25">
      <c r="A148" s="1">
        <v>46235</v>
      </c>
      <c r="B148" t="s">
        <v>119</v>
      </c>
      <c r="C148" t="s">
        <v>120</v>
      </c>
      <c r="D148" t="s">
        <v>121</v>
      </c>
      <c r="E148" t="s">
        <v>25</v>
      </c>
      <c r="F148" s="1">
        <v>46224</v>
      </c>
      <c r="G148" s="1">
        <v>46238</v>
      </c>
      <c r="H148" s="1">
        <v>46239</v>
      </c>
      <c r="J148" t="s">
        <v>261</v>
      </c>
      <c r="K148" t="s">
        <v>124</v>
      </c>
      <c r="M148" t="s">
        <v>21</v>
      </c>
    </row>
    <row r="149" spans="1:13" hidden="1" x14ac:dyDescent="0.25">
      <c r="A149" s="1">
        <v>46246</v>
      </c>
      <c r="B149" t="s">
        <v>119</v>
      </c>
      <c r="C149" t="s">
        <v>120</v>
      </c>
      <c r="D149" t="s">
        <v>121</v>
      </c>
      <c r="E149" t="s">
        <v>25</v>
      </c>
      <c r="F149" s="1">
        <v>46246</v>
      </c>
      <c r="G149" s="1">
        <v>46254</v>
      </c>
      <c r="H149" s="1">
        <v>46255</v>
      </c>
      <c r="J149" t="s">
        <v>261</v>
      </c>
      <c r="K149" t="s">
        <v>124</v>
      </c>
      <c r="M149" t="s">
        <v>21</v>
      </c>
    </row>
    <row r="150" spans="1:13" hidden="1" x14ac:dyDescent="0.25">
      <c r="A150" s="1">
        <v>46235</v>
      </c>
      <c r="B150" t="s">
        <v>39</v>
      </c>
      <c r="C150" t="s">
        <v>40</v>
      </c>
      <c r="D150" t="s">
        <v>41</v>
      </c>
      <c r="E150" t="s">
        <v>25</v>
      </c>
      <c r="F150" s="1">
        <v>46226</v>
      </c>
      <c r="G150" s="1">
        <v>46255</v>
      </c>
      <c r="H150" s="1">
        <v>46256</v>
      </c>
      <c r="J150" t="s">
        <v>261</v>
      </c>
      <c r="K150" t="s">
        <v>42</v>
      </c>
      <c r="M150" t="s">
        <v>21</v>
      </c>
    </row>
    <row r="151" spans="1:13" hidden="1" x14ac:dyDescent="0.25">
      <c r="A151" s="1">
        <v>46245</v>
      </c>
      <c r="B151" t="s">
        <v>39</v>
      </c>
      <c r="C151" t="s">
        <v>40</v>
      </c>
      <c r="D151" t="s">
        <v>41</v>
      </c>
      <c r="E151" t="s">
        <v>25</v>
      </c>
      <c r="F151" s="1">
        <v>46226</v>
      </c>
      <c r="G151" s="1">
        <v>46255</v>
      </c>
      <c r="H151" s="1">
        <v>46256</v>
      </c>
      <c r="J151" t="s">
        <v>261</v>
      </c>
      <c r="K151" t="s">
        <v>42</v>
      </c>
      <c r="M151" t="s">
        <v>21</v>
      </c>
    </row>
    <row r="152" spans="1:13" hidden="1" x14ac:dyDescent="0.25">
      <c r="A152" s="1">
        <v>46246</v>
      </c>
      <c r="B152" t="s">
        <v>39</v>
      </c>
      <c r="C152" t="s">
        <v>40</v>
      </c>
      <c r="D152" t="s">
        <v>41</v>
      </c>
      <c r="E152" t="s">
        <v>25</v>
      </c>
      <c r="F152" s="1">
        <v>46226</v>
      </c>
      <c r="G152" s="1">
        <v>46255</v>
      </c>
      <c r="H152" s="1">
        <v>46256</v>
      </c>
      <c r="J152" t="s">
        <v>261</v>
      </c>
      <c r="K152" t="s">
        <v>42</v>
      </c>
      <c r="M152" t="s">
        <v>21</v>
      </c>
    </row>
    <row r="153" spans="1:13" x14ac:dyDescent="0.25">
      <c r="A153" s="1">
        <v>46247</v>
      </c>
      <c r="B153" t="s">
        <v>39</v>
      </c>
      <c r="C153" s="4" t="s">
        <v>40</v>
      </c>
      <c r="D153" t="s">
        <v>41</v>
      </c>
      <c r="E153" t="s">
        <v>25</v>
      </c>
      <c r="F153" s="1">
        <v>46226</v>
      </c>
      <c r="G153" s="1">
        <v>46255</v>
      </c>
      <c r="H153" s="1">
        <v>46256</v>
      </c>
      <c r="J153" t="s">
        <v>261</v>
      </c>
      <c r="K153" t="s">
        <v>42</v>
      </c>
      <c r="M153" t="s">
        <v>21</v>
      </c>
    </row>
    <row r="154" spans="1:13" hidden="1" x14ac:dyDescent="0.25">
      <c r="A154" s="1">
        <v>46239</v>
      </c>
      <c r="B154" t="s">
        <v>165</v>
      </c>
      <c r="C154" s="4" t="s">
        <v>166</v>
      </c>
      <c r="D154" t="s">
        <v>41</v>
      </c>
      <c r="E154" t="s">
        <v>25</v>
      </c>
      <c r="F154" s="1">
        <v>46235</v>
      </c>
      <c r="G154" s="1">
        <v>46240</v>
      </c>
      <c r="H154" s="1">
        <v>46241</v>
      </c>
      <c r="J154" t="s">
        <v>261</v>
      </c>
      <c r="K154" t="s">
        <v>169</v>
      </c>
      <c r="M154" t="s">
        <v>21</v>
      </c>
    </row>
    <row r="155" spans="1:13" hidden="1" x14ac:dyDescent="0.25">
      <c r="A155" s="1">
        <v>46239</v>
      </c>
      <c r="B155" t="s">
        <v>158</v>
      </c>
      <c r="C155" t="s">
        <v>159</v>
      </c>
      <c r="D155" t="s">
        <v>160</v>
      </c>
      <c r="E155" t="s">
        <v>25</v>
      </c>
      <c r="F155" s="1">
        <v>46219</v>
      </c>
      <c r="G155" s="1">
        <v>46248</v>
      </c>
      <c r="H155" s="1">
        <v>46249</v>
      </c>
      <c r="J155" t="s">
        <v>261</v>
      </c>
      <c r="K155" t="s">
        <v>161</v>
      </c>
      <c r="M155" t="s">
        <v>21</v>
      </c>
    </row>
    <row r="156" spans="1:13" hidden="1" x14ac:dyDescent="0.25">
      <c r="A156" s="1">
        <v>46246</v>
      </c>
      <c r="B156" t="s">
        <v>158</v>
      </c>
      <c r="C156" t="s">
        <v>194</v>
      </c>
      <c r="D156" t="s">
        <v>160</v>
      </c>
      <c r="E156" t="s">
        <v>25</v>
      </c>
      <c r="F156" s="1">
        <v>46219</v>
      </c>
      <c r="G156" s="1">
        <v>46248</v>
      </c>
      <c r="H156" s="1">
        <v>46249</v>
      </c>
      <c r="J156" t="s">
        <v>261</v>
      </c>
      <c r="K156" t="s">
        <v>161</v>
      </c>
      <c r="M156" t="s">
        <v>21</v>
      </c>
    </row>
    <row r="157" spans="1:13" hidden="1" x14ac:dyDescent="0.25">
      <c r="A157" s="1">
        <v>46244</v>
      </c>
      <c r="B157" t="s">
        <v>46</v>
      </c>
      <c r="C157" t="s">
        <v>47</v>
      </c>
      <c r="D157" t="s">
        <v>34</v>
      </c>
      <c r="E157" t="s">
        <v>25</v>
      </c>
      <c r="F157" s="1">
        <v>46239</v>
      </c>
      <c r="G157" s="1">
        <v>46249</v>
      </c>
      <c r="H157" s="1">
        <v>46250</v>
      </c>
      <c r="J157" t="s">
        <v>261</v>
      </c>
      <c r="K157" t="s">
        <v>48</v>
      </c>
      <c r="M157" t="s">
        <v>21</v>
      </c>
    </row>
    <row r="158" spans="1:13" hidden="1" x14ac:dyDescent="0.25">
      <c r="A158" s="1">
        <v>46240</v>
      </c>
      <c r="B158" t="s">
        <v>109</v>
      </c>
      <c r="C158" t="s">
        <v>110</v>
      </c>
      <c r="D158" t="s">
        <v>15</v>
      </c>
      <c r="E158" t="s">
        <v>25</v>
      </c>
      <c r="F158" s="1">
        <v>46229</v>
      </c>
      <c r="G158" s="1">
        <v>46243</v>
      </c>
      <c r="H158" s="1">
        <v>46244</v>
      </c>
      <c r="J158" t="s">
        <v>261</v>
      </c>
      <c r="K158" t="s">
        <v>111</v>
      </c>
      <c r="M158" t="s">
        <v>21</v>
      </c>
    </row>
    <row r="159" spans="1:13" hidden="1" x14ac:dyDescent="0.25">
      <c r="A159" s="1">
        <v>46242</v>
      </c>
      <c r="B159" t="s">
        <v>87</v>
      </c>
      <c r="C159" t="s">
        <v>88</v>
      </c>
      <c r="D159" t="s">
        <v>89</v>
      </c>
      <c r="E159" t="s">
        <v>90</v>
      </c>
      <c r="F159" s="1">
        <v>46242</v>
      </c>
      <c r="G159" s="1">
        <v>46247</v>
      </c>
      <c r="H159" s="1">
        <v>46248</v>
      </c>
      <c r="J159" t="s">
        <v>261</v>
      </c>
      <c r="K159" t="s">
        <v>93</v>
      </c>
      <c r="M159" t="s">
        <v>21</v>
      </c>
    </row>
    <row r="160" spans="1:13" hidden="1" x14ac:dyDescent="0.25">
      <c r="A160" s="1">
        <v>46244</v>
      </c>
      <c r="B160" t="s">
        <v>76</v>
      </c>
      <c r="C160" s="4" t="s">
        <v>77</v>
      </c>
      <c r="D160" t="s">
        <v>78</v>
      </c>
      <c r="E160" t="s">
        <v>25</v>
      </c>
      <c r="F160" s="1">
        <v>46242</v>
      </c>
      <c r="G160" s="1">
        <v>46272</v>
      </c>
      <c r="H160" s="1">
        <v>46273</v>
      </c>
      <c r="J160" t="s">
        <v>261</v>
      </c>
      <c r="K160" t="s">
        <v>79</v>
      </c>
      <c r="M160" t="s">
        <v>21</v>
      </c>
    </row>
    <row r="161" spans="1:13" x14ac:dyDescent="0.25">
      <c r="A161" s="1">
        <v>46247</v>
      </c>
      <c r="B161" t="s">
        <v>3412</v>
      </c>
      <c r="C161" t="s">
        <v>3413</v>
      </c>
      <c r="D161" t="s">
        <v>64</v>
      </c>
      <c r="E161" t="s">
        <v>90</v>
      </c>
      <c r="F161" s="1">
        <v>46245</v>
      </c>
      <c r="G161" s="1">
        <v>46249</v>
      </c>
      <c r="H161" s="1">
        <v>46250</v>
      </c>
      <c r="J161" t="s">
        <v>261</v>
      </c>
      <c r="K161" t="s">
        <v>3414</v>
      </c>
      <c r="M161" t="s">
        <v>21</v>
      </c>
    </row>
    <row r="162" spans="1:13" hidden="1" x14ac:dyDescent="0.25">
      <c r="A162" s="1">
        <v>46235</v>
      </c>
      <c r="B162" t="s">
        <v>80</v>
      </c>
      <c r="C162" s="4" t="s">
        <v>81</v>
      </c>
      <c r="D162" t="s">
        <v>82</v>
      </c>
      <c r="E162" t="s">
        <v>25</v>
      </c>
      <c r="F162" s="1">
        <v>46217</v>
      </c>
      <c r="G162" s="1">
        <v>46246</v>
      </c>
      <c r="H162" s="1">
        <v>46247</v>
      </c>
      <c r="J162" t="s">
        <v>261</v>
      </c>
      <c r="K162" t="s">
        <v>83</v>
      </c>
      <c r="M162" t="s">
        <v>21</v>
      </c>
    </row>
    <row r="163" spans="1:13" hidden="1" x14ac:dyDescent="0.25">
      <c r="A163" s="1">
        <v>46245</v>
      </c>
      <c r="B163" t="s">
        <v>80</v>
      </c>
      <c r="C163" t="s">
        <v>81</v>
      </c>
      <c r="D163" t="s">
        <v>82</v>
      </c>
      <c r="E163" t="s">
        <v>25</v>
      </c>
      <c r="F163" s="1">
        <v>46217</v>
      </c>
      <c r="G163" s="1">
        <v>46246</v>
      </c>
      <c r="H163" s="1">
        <v>46247</v>
      </c>
      <c r="J163" t="s">
        <v>261</v>
      </c>
      <c r="K163" t="s">
        <v>83</v>
      </c>
      <c r="M163" t="s">
        <v>21</v>
      </c>
    </row>
    <row r="164" spans="1:13" hidden="1" x14ac:dyDescent="0.25">
      <c r="A164" s="1">
        <v>46246</v>
      </c>
      <c r="B164" t="s">
        <v>80</v>
      </c>
      <c r="C164" t="s">
        <v>81</v>
      </c>
      <c r="D164" t="s">
        <v>82</v>
      </c>
      <c r="E164" t="s">
        <v>25</v>
      </c>
      <c r="F164" s="1">
        <v>46217</v>
      </c>
      <c r="G164" s="1">
        <v>46246</v>
      </c>
      <c r="H164" s="1">
        <v>46247</v>
      </c>
      <c r="J164" t="s">
        <v>261</v>
      </c>
      <c r="K164" t="s">
        <v>83</v>
      </c>
      <c r="M164" t="s">
        <v>21</v>
      </c>
    </row>
    <row r="165" spans="1:13" hidden="1" x14ac:dyDescent="0.25">
      <c r="A165" s="1">
        <v>46239</v>
      </c>
      <c r="B165" t="s">
        <v>264</v>
      </c>
      <c r="C165" t="s">
        <v>265</v>
      </c>
      <c r="D165" t="s">
        <v>51</v>
      </c>
      <c r="E165" t="s">
        <v>25</v>
      </c>
      <c r="F165" s="1">
        <v>46237</v>
      </c>
      <c r="G165" s="1">
        <v>46256</v>
      </c>
      <c r="H165" s="1">
        <v>46257</v>
      </c>
      <c r="J165" t="s">
        <v>261</v>
      </c>
      <c r="K165" t="s">
        <v>266</v>
      </c>
      <c r="M165" t="s">
        <v>21</v>
      </c>
    </row>
    <row r="166" spans="1:13" hidden="1" x14ac:dyDescent="0.25">
      <c r="A166" s="1">
        <v>46238</v>
      </c>
      <c r="B166" t="s">
        <v>264</v>
      </c>
      <c r="C166" t="s">
        <v>265</v>
      </c>
      <c r="D166" t="s">
        <v>51</v>
      </c>
      <c r="E166" t="s">
        <v>25</v>
      </c>
      <c r="F166" s="1">
        <v>46237</v>
      </c>
      <c r="G166" s="1">
        <v>46256</v>
      </c>
      <c r="H166" s="1">
        <v>46257</v>
      </c>
      <c r="J166" t="s">
        <v>261</v>
      </c>
      <c r="K166" t="s">
        <v>266</v>
      </c>
      <c r="M166" t="s">
        <v>21</v>
      </c>
    </row>
    <row r="167" spans="1:13" hidden="1" x14ac:dyDescent="0.25">
      <c r="A167" s="1">
        <v>46240</v>
      </c>
      <c r="B167" t="s">
        <v>264</v>
      </c>
      <c r="C167" t="s">
        <v>265</v>
      </c>
      <c r="D167" t="s">
        <v>51</v>
      </c>
      <c r="E167" t="s">
        <v>25</v>
      </c>
      <c r="F167" s="1">
        <v>46237</v>
      </c>
      <c r="G167" s="1">
        <v>46256</v>
      </c>
      <c r="H167" s="1">
        <v>46257</v>
      </c>
      <c r="J167" t="s">
        <v>261</v>
      </c>
      <c r="K167" t="s">
        <v>266</v>
      </c>
      <c r="M167" t="s">
        <v>21</v>
      </c>
    </row>
    <row r="168" spans="1:13" hidden="1" x14ac:dyDescent="0.25">
      <c r="A168" s="1">
        <v>46244</v>
      </c>
      <c r="B168" t="s">
        <v>264</v>
      </c>
      <c r="C168" t="s">
        <v>265</v>
      </c>
      <c r="D168" t="s">
        <v>51</v>
      </c>
      <c r="E168" t="s">
        <v>25</v>
      </c>
      <c r="F168" s="1">
        <v>46237</v>
      </c>
      <c r="G168" s="1">
        <v>46256</v>
      </c>
      <c r="H168" s="1">
        <v>46257</v>
      </c>
      <c r="J168" t="s">
        <v>261</v>
      </c>
      <c r="K168" t="s">
        <v>266</v>
      </c>
      <c r="M168" t="s">
        <v>21</v>
      </c>
    </row>
    <row r="169" spans="1:13" hidden="1" x14ac:dyDescent="0.25">
      <c r="A169" s="1">
        <v>46245</v>
      </c>
      <c r="B169" t="s">
        <v>264</v>
      </c>
      <c r="C169" t="s">
        <v>265</v>
      </c>
      <c r="D169" t="s">
        <v>51</v>
      </c>
      <c r="E169" t="s">
        <v>25</v>
      </c>
      <c r="F169" s="1">
        <v>46237</v>
      </c>
      <c r="G169" s="1">
        <v>46256</v>
      </c>
      <c r="H169" s="1">
        <v>46257</v>
      </c>
      <c r="J169" t="s">
        <v>261</v>
      </c>
      <c r="K169" t="s">
        <v>266</v>
      </c>
      <c r="M169" t="s">
        <v>21</v>
      </c>
    </row>
    <row r="170" spans="1:13" hidden="1" x14ac:dyDescent="0.25">
      <c r="A170" s="1">
        <v>46246</v>
      </c>
      <c r="B170" t="s">
        <v>264</v>
      </c>
      <c r="C170" t="s">
        <v>265</v>
      </c>
      <c r="D170" t="s">
        <v>51</v>
      </c>
      <c r="E170" t="s">
        <v>25</v>
      </c>
      <c r="F170" s="1">
        <v>46237</v>
      </c>
      <c r="G170" s="1">
        <v>46256</v>
      </c>
      <c r="H170" s="1">
        <v>46257</v>
      </c>
      <c r="J170" t="s">
        <v>261</v>
      </c>
      <c r="K170" t="s">
        <v>266</v>
      </c>
      <c r="M170" t="s">
        <v>21</v>
      </c>
    </row>
    <row r="171" spans="1:13" x14ac:dyDescent="0.25">
      <c r="A171" s="1">
        <v>46247</v>
      </c>
      <c r="B171" t="s">
        <v>264</v>
      </c>
      <c r="C171" t="s">
        <v>265</v>
      </c>
      <c r="D171" t="s">
        <v>51</v>
      </c>
      <c r="E171" t="s">
        <v>25</v>
      </c>
      <c r="F171" s="1">
        <v>46237</v>
      </c>
      <c r="G171" s="1">
        <v>46256</v>
      </c>
      <c r="H171" s="1">
        <v>46257</v>
      </c>
      <c r="J171" t="s">
        <v>261</v>
      </c>
      <c r="K171" t="s">
        <v>266</v>
      </c>
      <c r="M171" t="s">
        <v>21</v>
      </c>
    </row>
    <row r="172" spans="1:13" hidden="1" x14ac:dyDescent="0.25">
      <c r="A172" s="1">
        <v>46245</v>
      </c>
      <c r="B172" t="s">
        <v>49</v>
      </c>
      <c r="C172" t="s">
        <v>50</v>
      </c>
      <c r="D172" t="s">
        <v>51</v>
      </c>
      <c r="E172" t="s">
        <v>16</v>
      </c>
      <c r="F172" s="1">
        <v>46217</v>
      </c>
      <c r="G172" s="1">
        <v>46342</v>
      </c>
      <c r="H172" s="1">
        <v>46343</v>
      </c>
      <c r="J172" t="s">
        <v>261</v>
      </c>
      <c r="K172" t="s">
        <v>52</v>
      </c>
      <c r="M172" t="s">
        <v>21</v>
      </c>
    </row>
    <row r="173" spans="1:13" x14ac:dyDescent="0.25">
      <c r="A173" s="1">
        <v>46247</v>
      </c>
      <c r="B173" t="s">
        <v>49</v>
      </c>
      <c r="C173" t="s">
        <v>50</v>
      </c>
      <c r="D173" t="s">
        <v>51</v>
      </c>
      <c r="E173" t="s">
        <v>16</v>
      </c>
      <c r="F173" s="1">
        <v>46217</v>
      </c>
      <c r="G173" s="1">
        <v>46342</v>
      </c>
      <c r="H173" s="1">
        <v>46343</v>
      </c>
      <c r="J173" t="s">
        <v>261</v>
      </c>
      <c r="K173" t="s">
        <v>52</v>
      </c>
      <c r="M173" t="s">
        <v>21</v>
      </c>
    </row>
    <row r="174" spans="1:13" hidden="1" x14ac:dyDescent="0.25">
      <c r="A174" s="1">
        <v>46244</v>
      </c>
      <c r="B174" t="s">
        <v>84</v>
      </c>
      <c r="C174" t="s">
        <v>85</v>
      </c>
      <c r="D174" t="s">
        <v>41</v>
      </c>
      <c r="E174" t="s">
        <v>25</v>
      </c>
      <c r="F174" s="1">
        <v>46239</v>
      </c>
      <c r="G174" s="1">
        <v>46268</v>
      </c>
      <c r="H174" s="1">
        <v>46269</v>
      </c>
      <c r="J174" t="s">
        <v>261</v>
      </c>
      <c r="K174" t="s">
        <v>86</v>
      </c>
      <c r="M174" t="s">
        <v>21</v>
      </c>
    </row>
    <row r="175" spans="1:13" hidden="1" x14ac:dyDescent="0.25">
      <c r="A175" s="1">
        <v>46246</v>
      </c>
      <c r="B175" t="s">
        <v>84</v>
      </c>
      <c r="C175" t="s">
        <v>85</v>
      </c>
      <c r="D175" t="s">
        <v>41</v>
      </c>
      <c r="E175" t="s">
        <v>25</v>
      </c>
      <c r="F175" s="1">
        <v>46239</v>
      </c>
      <c r="G175" s="1">
        <v>46268</v>
      </c>
      <c r="H175" s="1">
        <v>46269</v>
      </c>
      <c r="J175" t="s">
        <v>261</v>
      </c>
      <c r="K175" t="s">
        <v>86</v>
      </c>
      <c r="M175" t="s">
        <v>21</v>
      </c>
    </row>
    <row r="176" spans="1:13" x14ac:dyDescent="0.25">
      <c r="A176" s="1">
        <v>46247</v>
      </c>
      <c r="B176" t="s">
        <v>84</v>
      </c>
      <c r="C176" t="s">
        <v>85</v>
      </c>
      <c r="D176" t="s">
        <v>41</v>
      </c>
      <c r="E176" t="s">
        <v>25</v>
      </c>
      <c r="F176" s="1">
        <v>46239</v>
      </c>
      <c r="G176" s="1">
        <v>46268</v>
      </c>
      <c r="H176" s="1">
        <v>46269</v>
      </c>
      <c r="J176" t="s">
        <v>261</v>
      </c>
      <c r="K176" t="s">
        <v>86</v>
      </c>
      <c r="M176" t="s">
        <v>21</v>
      </c>
    </row>
    <row r="177" spans="1:13" hidden="1" x14ac:dyDescent="0.25">
      <c r="A177" s="1">
        <v>46235</v>
      </c>
      <c r="B177" t="s">
        <v>126</v>
      </c>
      <c r="C177" t="s">
        <v>127</v>
      </c>
      <c r="D177" t="s">
        <v>128</v>
      </c>
      <c r="E177" t="s">
        <v>25</v>
      </c>
      <c r="F177" s="1">
        <v>46234</v>
      </c>
      <c r="G177" s="1">
        <v>46237</v>
      </c>
      <c r="H177" s="1">
        <v>46238</v>
      </c>
      <c r="J177" t="s">
        <v>261</v>
      </c>
      <c r="K177" t="s">
        <v>129</v>
      </c>
      <c r="M177" t="s">
        <v>21</v>
      </c>
    </row>
    <row r="178" spans="1:13" hidden="1" x14ac:dyDescent="0.25">
      <c r="A178" s="1">
        <v>46238</v>
      </c>
      <c r="B178" t="s">
        <v>209</v>
      </c>
      <c r="C178" t="s">
        <v>210</v>
      </c>
      <c r="D178" t="s">
        <v>211</v>
      </c>
      <c r="E178" t="s">
        <v>25</v>
      </c>
      <c r="F178" s="1">
        <v>46224</v>
      </c>
      <c r="G178" s="1">
        <v>46238</v>
      </c>
      <c r="H178" s="1">
        <v>46239</v>
      </c>
      <c r="J178" t="s">
        <v>261</v>
      </c>
      <c r="K178" t="s">
        <v>214</v>
      </c>
      <c r="M178" t="s">
        <v>21</v>
      </c>
    </row>
    <row r="179" spans="1:13" hidden="1" x14ac:dyDescent="0.25">
      <c r="A179" s="1">
        <v>46235</v>
      </c>
      <c r="B179" t="s">
        <v>102</v>
      </c>
      <c r="C179" t="s">
        <v>103</v>
      </c>
      <c r="D179" t="s">
        <v>64</v>
      </c>
      <c r="E179" t="s">
        <v>25</v>
      </c>
      <c r="F179" s="1">
        <v>46226</v>
      </c>
      <c r="G179" s="1">
        <v>46246</v>
      </c>
      <c r="H179" s="1">
        <v>46247</v>
      </c>
      <c r="J179" t="s">
        <v>261</v>
      </c>
      <c r="K179" t="s">
        <v>104</v>
      </c>
      <c r="M179" t="s">
        <v>21</v>
      </c>
    </row>
    <row r="180" spans="1:13" hidden="1" x14ac:dyDescent="0.25">
      <c r="A180" s="1">
        <v>46239</v>
      </c>
      <c r="B180" t="s">
        <v>102</v>
      </c>
      <c r="C180" t="s">
        <v>103</v>
      </c>
      <c r="D180" t="s">
        <v>64</v>
      </c>
      <c r="E180" t="s">
        <v>25</v>
      </c>
      <c r="F180" s="1">
        <v>46226</v>
      </c>
      <c r="G180" s="1">
        <v>46246</v>
      </c>
      <c r="H180" s="1">
        <v>46247</v>
      </c>
      <c r="J180" t="s">
        <v>261</v>
      </c>
      <c r="K180" t="s">
        <v>104</v>
      </c>
      <c r="M180" t="s">
        <v>21</v>
      </c>
    </row>
    <row r="181" spans="1:13" hidden="1" x14ac:dyDescent="0.25">
      <c r="A181" s="1">
        <v>46244</v>
      </c>
      <c r="B181" t="s">
        <v>102</v>
      </c>
      <c r="C181" t="s">
        <v>103</v>
      </c>
      <c r="D181" t="s">
        <v>64</v>
      </c>
      <c r="E181" t="s">
        <v>25</v>
      </c>
      <c r="F181" s="1">
        <v>46226</v>
      </c>
      <c r="G181" s="1">
        <v>46246</v>
      </c>
      <c r="H181" s="1">
        <v>46247</v>
      </c>
      <c r="J181" t="s">
        <v>261</v>
      </c>
      <c r="K181" t="s">
        <v>104</v>
      </c>
      <c r="M181" t="s">
        <v>21</v>
      </c>
    </row>
    <row r="182" spans="1:13" hidden="1" x14ac:dyDescent="0.25">
      <c r="A182" s="1">
        <v>46245</v>
      </c>
      <c r="B182" t="s">
        <v>102</v>
      </c>
      <c r="C182" t="s">
        <v>103</v>
      </c>
      <c r="D182" t="s">
        <v>64</v>
      </c>
      <c r="E182" t="s">
        <v>25</v>
      </c>
      <c r="F182" s="1">
        <v>46226</v>
      </c>
      <c r="G182" s="1">
        <v>46246</v>
      </c>
      <c r="H182" s="1">
        <v>46247</v>
      </c>
      <c r="J182" t="s">
        <v>261</v>
      </c>
      <c r="K182" t="s">
        <v>104</v>
      </c>
      <c r="M182" t="s">
        <v>21</v>
      </c>
    </row>
    <row r="183" spans="1:13" hidden="1" x14ac:dyDescent="0.25">
      <c r="A183" s="1">
        <v>46246</v>
      </c>
      <c r="B183" t="s">
        <v>102</v>
      </c>
      <c r="C183" t="s">
        <v>103</v>
      </c>
      <c r="D183" t="s">
        <v>64</v>
      </c>
      <c r="E183" t="s">
        <v>25</v>
      </c>
      <c r="F183" s="1">
        <v>46226</v>
      </c>
      <c r="G183" s="1">
        <v>46246</v>
      </c>
      <c r="H183" s="1">
        <v>46247</v>
      </c>
      <c r="J183" t="s">
        <v>261</v>
      </c>
      <c r="K183" t="s">
        <v>104</v>
      </c>
      <c r="M183" t="s">
        <v>21</v>
      </c>
    </row>
    <row r="184" spans="1:13" hidden="1" x14ac:dyDescent="0.25">
      <c r="A184" s="1">
        <v>46235</v>
      </c>
      <c r="B184" t="s">
        <v>174</v>
      </c>
      <c r="C184" t="s">
        <v>202</v>
      </c>
      <c r="D184" t="s">
        <v>64</v>
      </c>
      <c r="E184" t="s">
        <v>25</v>
      </c>
      <c r="F184" s="1">
        <v>46225</v>
      </c>
      <c r="G184" s="1">
        <v>46239</v>
      </c>
      <c r="H184" s="1">
        <v>46240</v>
      </c>
      <c r="J184" t="s">
        <v>261</v>
      </c>
      <c r="M184" t="s">
        <v>21</v>
      </c>
    </row>
    <row r="185" spans="1:13" hidden="1" x14ac:dyDescent="0.25">
      <c r="A185" s="1">
        <v>46239</v>
      </c>
      <c r="B185" t="s">
        <v>174</v>
      </c>
      <c r="C185" t="s">
        <v>175</v>
      </c>
      <c r="D185" t="s">
        <v>64</v>
      </c>
      <c r="E185" t="s">
        <v>25</v>
      </c>
      <c r="F185" s="1">
        <v>46225</v>
      </c>
      <c r="G185" s="1">
        <v>46239</v>
      </c>
      <c r="H185" s="1">
        <v>46240</v>
      </c>
      <c r="J185" t="s">
        <v>261</v>
      </c>
      <c r="M185" t="s">
        <v>21</v>
      </c>
    </row>
    <row r="186" spans="1:13" hidden="1" x14ac:dyDescent="0.25">
      <c r="A186" s="1">
        <v>46248</v>
      </c>
      <c r="B186" t="s">
        <v>13</v>
      </c>
      <c r="C186" t="s">
        <v>14</v>
      </c>
      <c r="D186" t="s">
        <v>15</v>
      </c>
      <c r="E186" t="s">
        <v>16</v>
      </c>
      <c r="F186" s="1">
        <v>46241</v>
      </c>
      <c r="G186" s="1">
        <v>46366</v>
      </c>
      <c r="H186" s="1">
        <v>46367</v>
      </c>
      <c r="J186" t="s">
        <v>4099</v>
      </c>
      <c r="K186" t="s">
        <v>19</v>
      </c>
      <c r="M186" t="s">
        <v>21</v>
      </c>
    </row>
    <row r="187" spans="1:13" hidden="1" x14ac:dyDescent="0.25">
      <c r="A187" s="1">
        <v>46248</v>
      </c>
      <c r="B187" t="s">
        <v>3659</v>
      </c>
      <c r="C187" t="s">
        <v>3660</v>
      </c>
      <c r="D187" t="s">
        <v>128</v>
      </c>
      <c r="E187" t="s">
        <v>25</v>
      </c>
      <c r="F187" s="1">
        <v>46245</v>
      </c>
      <c r="G187" s="1">
        <v>46249</v>
      </c>
      <c r="H187" s="1">
        <v>46250</v>
      </c>
      <c r="J187" t="s">
        <v>4099</v>
      </c>
      <c r="K187" t="s">
        <v>3661</v>
      </c>
      <c r="M187" t="s">
        <v>21</v>
      </c>
    </row>
    <row r="188" spans="1:13" hidden="1" x14ac:dyDescent="0.25">
      <c r="A188" s="1">
        <v>46248</v>
      </c>
      <c r="B188" t="s">
        <v>176</v>
      </c>
      <c r="C188" t="s">
        <v>243</v>
      </c>
      <c r="D188" t="s">
        <v>34</v>
      </c>
      <c r="E188" t="s">
        <v>30</v>
      </c>
      <c r="F188" s="1">
        <v>46244</v>
      </c>
      <c r="G188" s="1">
        <v>46265</v>
      </c>
      <c r="H188" s="1">
        <v>46266</v>
      </c>
      <c r="J188" t="s">
        <v>4099</v>
      </c>
      <c r="K188" t="s">
        <v>180</v>
      </c>
      <c r="M188" t="s">
        <v>21</v>
      </c>
    </row>
    <row r="189" spans="1:13" hidden="1" x14ac:dyDescent="0.25">
      <c r="A189" s="1">
        <v>46248</v>
      </c>
      <c r="B189" t="s">
        <v>62</v>
      </c>
      <c r="C189" t="s">
        <v>63</v>
      </c>
      <c r="D189" t="s">
        <v>64</v>
      </c>
      <c r="E189" t="s">
        <v>25</v>
      </c>
      <c r="F189" s="1">
        <v>46229</v>
      </c>
      <c r="G189" s="1">
        <v>46258</v>
      </c>
      <c r="H189" s="1">
        <v>46259</v>
      </c>
      <c r="J189" t="s">
        <v>4099</v>
      </c>
      <c r="K189" t="s">
        <v>67</v>
      </c>
      <c r="M189" t="s">
        <v>21</v>
      </c>
    </row>
    <row r="190" spans="1:13" hidden="1" x14ac:dyDescent="0.25">
      <c r="A190" s="1">
        <v>46248</v>
      </c>
      <c r="B190" t="s">
        <v>119</v>
      </c>
      <c r="C190" t="s">
        <v>120</v>
      </c>
      <c r="D190" t="s">
        <v>121</v>
      </c>
      <c r="E190" t="s">
        <v>25</v>
      </c>
      <c r="F190" s="1">
        <v>46246</v>
      </c>
      <c r="G190" s="1">
        <v>46254</v>
      </c>
      <c r="H190" s="1">
        <v>46255</v>
      </c>
      <c r="J190" t="s">
        <v>4099</v>
      </c>
      <c r="K190" t="s">
        <v>124</v>
      </c>
      <c r="M190" t="s">
        <v>21</v>
      </c>
    </row>
    <row r="191" spans="1:13" hidden="1" x14ac:dyDescent="0.25">
      <c r="A191" s="1">
        <v>46248</v>
      </c>
      <c r="B191" t="s">
        <v>39</v>
      </c>
      <c r="C191" t="s">
        <v>40</v>
      </c>
      <c r="D191" t="s">
        <v>41</v>
      </c>
      <c r="E191" t="s">
        <v>25</v>
      </c>
      <c r="F191" s="1">
        <v>46226</v>
      </c>
      <c r="G191" s="1">
        <v>46255</v>
      </c>
      <c r="H191" s="1">
        <v>46256</v>
      </c>
      <c r="J191" t="s">
        <v>4099</v>
      </c>
      <c r="K191" t="s">
        <v>42</v>
      </c>
      <c r="M191" t="s">
        <v>21</v>
      </c>
    </row>
    <row r="192" spans="1:13" hidden="1" x14ac:dyDescent="0.25">
      <c r="A192" s="1">
        <v>46248</v>
      </c>
      <c r="B192" t="s">
        <v>43</v>
      </c>
      <c r="C192" t="s">
        <v>44</v>
      </c>
      <c r="D192" t="s">
        <v>41</v>
      </c>
      <c r="E192" t="s">
        <v>30</v>
      </c>
      <c r="F192" s="1">
        <v>46249</v>
      </c>
      <c r="G192" s="1">
        <v>46262</v>
      </c>
      <c r="H192" s="1">
        <v>46263</v>
      </c>
      <c r="J192" t="s">
        <v>4099</v>
      </c>
      <c r="K192" t="s">
        <v>45</v>
      </c>
      <c r="M192" t="s">
        <v>21</v>
      </c>
    </row>
    <row r="193" spans="1:13" hidden="1" x14ac:dyDescent="0.25">
      <c r="A193" s="1">
        <v>46248</v>
      </c>
      <c r="B193" t="s">
        <v>158</v>
      </c>
      <c r="C193" t="s">
        <v>194</v>
      </c>
      <c r="D193" t="s">
        <v>160</v>
      </c>
      <c r="E193" t="s">
        <v>25</v>
      </c>
      <c r="F193" s="1">
        <v>46219</v>
      </c>
      <c r="G193" s="1">
        <v>46248</v>
      </c>
      <c r="H193" s="1">
        <v>46249</v>
      </c>
      <c r="J193" t="s">
        <v>4099</v>
      </c>
      <c r="K193" t="s">
        <v>161</v>
      </c>
      <c r="M193" t="s">
        <v>21</v>
      </c>
    </row>
    <row r="194" spans="1:13" hidden="1" x14ac:dyDescent="0.25">
      <c r="A194" s="1">
        <v>46248</v>
      </c>
      <c r="B194" t="s">
        <v>46</v>
      </c>
      <c r="C194" t="s">
        <v>47</v>
      </c>
      <c r="D194" t="s">
        <v>78</v>
      </c>
      <c r="E194" t="s">
        <v>16</v>
      </c>
      <c r="F194" s="1">
        <v>46245</v>
      </c>
      <c r="G194" s="1">
        <v>46370</v>
      </c>
      <c r="H194" s="1">
        <v>46371</v>
      </c>
      <c r="J194" t="s">
        <v>4099</v>
      </c>
      <c r="K194" t="s">
        <v>48</v>
      </c>
      <c r="M194" t="s">
        <v>21</v>
      </c>
    </row>
    <row r="195" spans="1:13" hidden="1" x14ac:dyDescent="0.25">
      <c r="A195" s="1">
        <v>46248</v>
      </c>
      <c r="B195" t="s">
        <v>87</v>
      </c>
      <c r="C195" t="s">
        <v>88</v>
      </c>
      <c r="D195" t="s">
        <v>322</v>
      </c>
      <c r="E195" t="s">
        <v>90</v>
      </c>
      <c r="F195" s="1">
        <v>46226</v>
      </c>
      <c r="G195" s="1">
        <v>46230</v>
      </c>
      <c r="H195" s="1">
        <v>46231</v>
      </c>
      <c r="J195" t="s">
        <v>4099</v>
      </c>
      <c r="K195" t="s">
        <v>93</v>
      </c>
      <c r="M195" t="s">
        <v>21</v>
      </c>
    </row>
    <row r="196" spans="1:13" hidden="1" x14ac:dyDescent="0.25">
      <c r="A196" s="1">
        <v>46248</v>
      </c>
      <c r="B196" t="s">
        <v>76</v>
      </c>
      <c r="C196" t="s">
        <v>77</v>
      </c>
      <c r="D196" t="s">
        <v>78</v>
      </c>
      <c r="E196" t="s">
        <v>25</v>
      </c>
      <c r="F196" s="1">
        <v>46242</v>
      </c>
      <c r="G196" s="1">
        <v>46272</v>
      </c>
      <c r="H196" s="1">
        <v>46273</v>
      </c>
      <c r="J196" t="s">
        <v>4099</v>
      </c>
      <c r="K196" t="s">
        <v>79</v>
      </c>
      <c r="M196" t="s">
        <v>21</v>
      </c>
    </row>
    <row r="197" spans="1:13" hidden="1" x14ac:dyDescent="0.25">
      <c r="A197" s="1">
        <v>46248</v>
      </c>
      <c r="B197" t="s">
        <v>3412</v>
      </c>
      <c r="C197" t="s">
        <v>3413</v>
      </c>
      <c r="D197" t="s">
        <v>64</v>
      </c>
      <c r="E197" t="s">
        <v>90</v>
      </c>
      <c r="F197" s="1">
        <v>46245</v>
      </c>
      <c r="G197" s="1">
        <v>46249</v>
      </c>
      <c r="H197" s="1">
        <v>46250</v>
      </c>
      <c r="J197" t="s">
        <v>4099</v>
      </c>
      <c r="K197" t="s">
        <v>3414</v>
      </c>
      <c r="M197" t="s">
        <v>21</v>
      </c>
    </row>
    <row r="198" spans="1:13" hidden="1" x14ac:dyDescent="0.25">
      <c r="A198" s="1">
        <v>46248</v>
      </c>
      <c r="B198" t="s">
        <v>49</v>
      </c>
      <c r="C198" t="s">
        <v>50</v>
      </c>
      <c r="D198" t="s">
        <v>51</v>
      </c>
      <c r="E198" t="s">
        <v>16</v>
      </c>
      <c r="F198" s="1">
        <v>46217</v>
      </c>
      <c r="G198" s="1">
        <v>46342</v>
      </c>
      <c r="H198" s="1">
        <v>46343</v>
      </c>
      <c r="J198" t="s">
        <v>4099</v>
      </c>
      <c r="K198" t="s">
        <v>52</v>
      </c>
      <c r="M198" t="s">
        <v>21</v>
      </c>
    </row>
    <row r="199" spans="1:13" hidden="1" x14ac:dyDescent="0.25">
      <c r="A199" s="1">
        <v>46248</v>
      </c>
      <c r="B199" t="s">
        <v>84</v>
      </c>
      <c r="C199" t="s">
        <v>85</v>
      </c>
      <c r="D199" t="s">
        <v>41</v>
      </c>
      <c r="E199" t="s">
        <v>25</v>
      </c>
      <c r="F199" s="1">
        <v>46239</v>
      </c>
      <c r="G199" s="1">
        <v>46268</v>
      </c>
      <c r="H199" s="1">
        <v>46269</v>
      </c>
      <c r="J199" t="s">
        <v>4099</v>
      </c>
      <c r="K199" t="s">
        <v>86</v>
      </c>
      <c r="M199" t="s">
        <v>21</v>
      </c>
    </row>
    <row r="200" spans="1:13" x14ac:dyDescent="0.25">
      <c r="A200" s="1">
        <v>46247</v>
      </c>
      <c r="B200" t="s">
        <v>27</v>
      </c>
      <c r="C200" t="s">
        <v>112</v>
      </c>
      <c r="D200" t="s">
        <v>29</v>
      </c>
      <c r="E200" t="s">
        <v>30</v>
      </c>
      <c r="F200" s="1">
        <v>46240</v>
      </c>
      <c r="G200" s="1">
        <v>46265</v>
      </c>
      <c r="H200" s="1">
        <v>46266</v>
      </c>
      <c r="J200" t="s">
        <v>4127</v>
      </c>
      <c r="K200" t="s">
        <v>31</v>
      </c>
      <c r="M200" t="s">
        <v>21</v>
      </c>
    </row>
    <row r="201" spans="1:13" hidden="1" x14ac:dyDescent="0.25">
      <c r="A201" s="1">
        <v>46248</v>
      </c>
      <c r="B201" t="s">
        <v>27</v>
      </c>
      <c r="C201" t="s">
        <v>112</v>
      </c>
      <c r="D201" t="s">
        <v>29</v>
      </c>
      <c r="E201" t="s">
        <v>30</v>
      </c>
      <c r="F201" s="1">
        <v>46240</v>
      </c>
      <c r="G201" s="1">
        <v>46265</v>
      </c>
      <c r="H201" s="1">
        <v>46266</v>
      </c>
      <c r="J201" t="s">
        <v>4127</v>
      </c>
      <c r="K201" t="s">
        <v>31</v>
      </c>
      <c r="M201" t="s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28DD9-DE53-416F-B78C-2D80D4492AD6}">
  <dimension ref="A1:J11"/>
  <sheetViews>
    <sheetView workbookViewId="0">
      <selection activeCell="F12" sqref="F12"/>
    </sheetView>
  </sheetViews>
  <sheetFormatPr baseColWidth="10" defaultColWidth="11.42578125" defaultRowHeight="15" x14ac:dyDescent="0.25"/>
  <cols>
    <col min="1" max="1" width="15.140625" customWidth="1"/>
    <col min="2" max="2" width="34.85546875" customWidth="1"/>
    <col min="3" max="3" width="19.140625" customWidth="1"/>
    <col min="4" max="4" width="16.140625" style="1" customWidth="1"/>
    <col min="5" max="5" width="15.7109375" style="1" customWidth="1"/>
    <col min="6" max="6" width="17.42578125" style="1" customWidth="1"/>
    <col min="7" max="7" width="20" customWidth="1"/>
    <col min="8" max="8" width="38.85546875" bestFit="1" customWidth="1"/>
    <col min="9" max="9" width="34.140625" bestFit="1" customWidth="1"/>
    <col min="10" max="10" width="38.140625" bestFit="1" customWidth="1"/>
  </cols>
  <sheetData>
    <row r="1" spans="1:10" x14ac:dyDescent="0.25">
      <c r="A1" s="5" t="s">
        <v>1</v>
      </c>
      <c r="B1" s="5" t="s">
        <v>2</v>
      </c>
      <c r="C1" s="5" t="s">
        <v>3</v>
      </c>
      <c r="D1" s="6" t="s">
        <v>5</v>
      </c>
      <c r="E1" s="6" t="s">
        <v>6</v>
      </c>
      <c r="F1" s="6" t="s">
        <v>7</v>
      </c>
      <c r="G1" s="5" t="s">
        <v>8</v>
      </c>
      <c r="H1" s="5" t="s">
        <v>9</v>
      </c>
      <c r="I1" s="5" t="s">
        <v>10</v>
      </c>
      <c r="J1" s="5" t="s">
        <v>11</v>
      </c>
    </row>
    <row r="2" spans="1:10" x14ac:dyDescent="0.25">
      <c r="A2" t="s">
        <v>271</v>
      </c>
      <c r="B2" t="str">
        <f>IFERROR(VLOOKUP(A2,'BD PERSONAL'!A:E,4,FALSE)," ")</f>
        <v>VICTOR JOSE REALES SOLANO</v>
      </c>
      <c r="C2" t="str">
        <f>IFERROR(VLOOKUP(A2,'BD PERSONAL'!A:E,2,FALSE)," ")</f>
        <v>Carepa Centro</v>
      </c>
      <c r="D2" s="1">
        <v>46230</v>
      </c>
      <c r="E2" s="1">
        <v>46247</v>
      </c>
      <c r="F2" s="1">
        <v>46248</v>
      </c>
      <c r="G2" t="s">
        <v>272</v>
      </c>
      <c r="H2" t="str">
        <f>IFERROR(VLOOKUP(Tabla10[[#This Row],[CEDULA SUPERNUMERARIO]],BD_PERSONAL[],4,FALSE)," ")</f>
        <v>LAURA SALOMME ECHAVARRIA ALVAREZ</v>
      </c>
      <c r="I2" t="str">
        <f>IFERROR(VLOOKUP(Tabla10[[#This Row],[DOCUMENTO]],BD_PERSONAL[],6,FALSE)," ")</f>
        <v>victor.reales@unionsaludvida.com</v>
      </c>
      <c r="J2" t="str">
        <f>IFERROR(VLOOKUP(Tabla10[[#This Row],[CEDULA SUPERNUMERARIO]],BD_PERSONAL[],6,FALSE)," ")</f>
        <v>salomme.echavarria@unionsaludvida.com</v>
      </c>
    </row>
    <row r="3" spans="1:10" x14ac:dyDescent="0.25">
      <c r="A3" t="s">
        <v>273</v>
      </c>
      <c r="B3" t="str">
        <f>IFERROR(VLOOKUP(A3,'BD PERSONAL'!A:E,4,FALSE)," ")</f>
        <v>JOSE ARMANDO GONZALEZ MEJIA</v>
      </c>
      <c r="C3" t="str">
        <f>IFERROR(VLOOKUP(A3,'BD PERSONAL'!A:E,2,FALSE)," ")</f>
        <v>Chigorodo Centro</v>
      </c>
      <c r="D3" s="1">
        <v>46230</v>
      </c>
      <c r="E3" s="1">
        <v>46247</v>
      </c>
      <c r="F3" s="1">
        <v>46248</v>
      </c>
      <c r="G3" t="s">
        <v>274</v>
      </c>
      <c r="H3" t="str">
        <f>IFERROR(VLOOKUP(Tabla10[[#This Row],[CEDULA SUPERNUMERARIO]],BD_PERSONAL[],4,FALSE)," ")</f>
        <v>ANGIE PIEDAD BARCO RAMIREZ</v>
      </c>
      <c r="I3" t="str">
        <f>IFERROR(VLOOKUP(Tabla10[[#This Row],[DOCUMENTO]],BD_PERSONAL[],6,FALSE)," ")</f>
        <v>jose.gonzalez@unionsaludvida.com</v>
      </c>
      <c r="J3" t="str">
        <f>IFERROR(VLOOKUP(Tabla10[[#This Row],[CEDULA SUPERNUMERARIO]],BD_PERSONAL[],6,FALSE)," ")</f>
        <v>angie.barco@unionsaludvida.com</v>
      </c>
    </row>
    <row r="4" spans="1:10" x14ac:dyDescent="0.25">
      <c r="A4" t="s">
        <v>275</v>
      </c>
      <c r="B4" t="str">
        <f>IFERROR(VLOOKUP(A4,'BD PERSONAL'!A:E,4,FALSE)," ")</f>
        <v>SARA LALINDE USUGA</v>
      </c>
      <c r="C4" t="str">
        <f>IFERROR(VLOOKUP(A4,'BD PERSONAL'!A:E,2,FALSE)," ")</f>
        <v>Caldas</v>
      </c>
      <c r="D4" s="1">
        <v>46230</v>
      </c>
      <c r="E4" s="1">
        <v>46293</v>
      </c>
      <c r="F4" s="1">
        <v>46294</v>
      </c>
      <c r="G4" t="s">
        <v>276</v>
      </c>
      <c r="H4" t="str">
        <f>IFERROR(VLOOKUP(Tabla10[[#This Row],[CEDULA SUPERNUMERARIO]],BD_PERSONAL[],4,FALSE)," ")</f>
        <v>LAURA PAULINA VALENCIA BEDOYA</v>
      </c>
      <c r="I4" t="str">
        <f>IFERROR(VLOOKUP(Tabla10[[#This Row],[DOCUMENTO]],BD_PERSONAL[],6,FALSE)," ")</f>
        <v>sara.lalinde@unionsaludvida.com</v>
      </c>
      <c r="J4" t="str">
        <f>IFERROR(VLOOKUP(Tabla10[[#This Row],[CEDULA SUPERNUMERARIO]],BD_PERSONAL[],6,FALSE)," ")</f>
        <v>laura.valencia@unionsaludvida.com</v>
      </c>
    </row>
    <row r="5" spans="1:10" x14ac:dyDescent="0.25">
      <c r="A5" t="s">
        <v>277</v>
      </c>
      <c r="B5" t="str">
        <f>IFERROR(VLOOKUP(A5,'BD PERSONAL'!A:E,4,FALSE)," ")</f>
        <v>LAURA VANESSA GARCIA QUEJADA</v>
      </c>
      <c r="C5" t="str">
        <f>IFERROR(VLOOKUP(A5,'BD PERSONAL'!A:E,2,FALSE)," ")</f>
        <v>Nueva Colonia</v>
      </c>
      <c r="D5" s="1">
        <v>46232</v>
      </c>
      <c r="E5" s="1">
        <v>46249</v>
      </c>
      <c r="F5" s="1">
        <v>46251</v>
      </c>
      <c r="G5" t="s">
        <v>278</v>
      </c>
      <c r="H5" t="str">
        <f>IFERROR(VLOOKUP(Tabla10[[#This Row],[CEDULA SUPERNUMERARIO]],BD_PERSONAL[],4,FALSE)," ")</f>
        <v>KEILYN ROSANA CANCIO ORTEGA</v>
      </c>
      <c r="I5" t="str">
        <f>IFERROR(VLOOKUP(Tabla10[[#This Row],[DOCUMENTO]],BD_PERSONAL[],6,FALSE)," ")</f>
        <v>laura.quejada@unionsaludvida.com</v>
      </c>
      <c r="J5" t="str">
        <f>IFERROR(VLOOKUP(Tabla10[[#This Row],[CEDULA SUPERNUMERARIO]],BD_PERSONAL[],6,FALSE)," ")</f>
        <v>keilyn.cancio@unionsaludvida.com</v>
      </c>
    </row>
    <row r="6" spans="1:10" x14ac:dyDescent="0.25">
      <c r="A6" t="s">
        <v>279</v>
      </c>
      <c r="B6" t="str">
        <f>IFERROR(VLOOKUP(A6,'BD PERSONAL'!A:E,4,FALSE)," ")</f>
        <v>LINA MARIA GARCIA MORENO</v>
      </c>
      <c r="C6" t="str">
        <f>IFERROR(VLOOKUP(A6,'BD PERSONAL'!A:E,2,FALSE)," ")</f>
        <v>Manrique</v>
      </c>
      <c r="D6" s="1">
        <v>46245</v>
      </c>
      <c r="E6" s="1">
        <v>46261</v>
      </c>
      <c r="F6" s="1">
        <v>46262</v>
      </c>
      <c r="G6" t="s">
        <v>280</v>
      </c>
      <c r="H6" t="str">
        <f>IFERROR(VLOOKUP(Tabla10[[#This Row],[CEDULA SUPERNUMERARIO]],BD_PERSONAL[],4,FALSE)," ")</f>
        <v>MAYRA ALEJANDRA TESILLO SOSA</v>
      </c>
      <c r="I6" t="str">
        <f>IFERROR(VLOOKUP(Tabla10[[#This Row],[DOCUMENTO]],BD_PERSONAL[],6,FALSE)," ")</f>
        <v>lina.moreno@unionsaludvida.com</v>
      </c>
      <c r="J6" t="str">
        <f>IFERROR(VLOOKUP(Tabla10[[#This Row],[CEDULA SUPERNUMERARIO]],BD_PERSONAL[],6,FALSE)," ")</f>
        <v>mayra.tesillo@unionsaludvida.com</v>
      </c>
    </row>
    <row r="7" spans="1:10" x14ac:dyDescent="0.25">
      <c r="A7" t="s">
        <v>281</v>
      </c>
      <c r="B7" t="str">
        <f>IFERROR(VLOOKUP(A7,'BD PERSONAL'!A:E,4,FALSE)," ")</f>
        <v>LEIDY VANESSA BEDOYA BEDOYA</v>
      </c>
      <c r="C7" t="str">
        <f>IFERROR(VLOOKUP(A7,'BD PERSONAL'!A:E,2,FALSE)," ")</f>
        <v>Envigado</v>
      </c>
      <c r="D7" s="1">
        <v>46245</v>
      </c>
      <c r="E7" s="1">
        <v>46314</v>
      </c>
      <c r="F7" s="1">
        <v>46315</v>
      </c>
      <c r="G7" t="s">
        <v>282</v>
      </c>
      <c r="H7" t="str">
        <f>IFERROR(VLOOKUP(Tabla10[[#This Row],[CEDULA SUPERNUMERARIO]],BD_PERSONAL[],4,FALSE)," ")</f>
        <v>OSCAR IVAN ARANGO ARANGO</v>
      </c>
      <c r="I7" t="str">
        <f>IFERROR(VLOOKUP(Tabla10[[#This Row],[DOCUMENTO]],BD_PERSONAL[],6,FALSE)," ")</f>
        <v>leidy.bedoya@unionsaludvida.com</v>
      </c>
      <c r="J7" t="str">
        <f>IFERROR(VLOOKUP(Tabla10[[#This Row],[CEDULA SUPERNUMERARIO]],BD_PERSONAL[],6,FALSE)," ")</f>
        <v>oscar.arango@unionsaludvida.com</v>
      </c>
    </row>
    <row r="8" spans="1:10" x14ac:dyDescent="0.25">
      <c r="A8" t="s">
        <v>283</v>
      </c>
      <c r="B8" t="str">
        <f>IFERROR(VLOOKUP(A8,'BD PERSONAL'!A:E,4,FALSE)," ")</f>
        <v>MARIA JOSE CASTELLANOS FUENTES</v>
      </c>
      <c r="C8" t="str">
        <f>IFERROR(VLOOKUP(A8,'BD PERSONAL'!A:E,2,FALSE)," ")</f>
        <v>Chigorodo Centro</v>
      </c>
      <c r="D8" s="1">
        <v>46248</v>
      </c>
      <c r="E8" s="1">
        <v>46266</v>
      </c>
      <c r="F8" s="1">
        <v>46267</v>
      </c>
      <c r="G8" t="s">
        <v>284</v>
      </c>
      <c r="H8" t="str">
        <f>IFERROR(VLOOKUP(Tabla10[[#This Row],[CEDULA SUPERNUMERARIO]],BD_PERSONAL[],4,FALSE)," ")</f>
        <v>ANDREA CAROLINA SUAREZ ESCORCIA</v>
      </c>
      <c r="I8" t="str">
        <f>IFERROR(VLOOKUP(Tabla10[[#This Row],[DOCUMENTO]],BD_PERSONAL[],6,FALSE)," ")</f>
        <v>maria.castellanos@unionsaludvida.com</v>
      </c>
      <c r="J8" t="str">
        <f>IFERROR(VLOOKUP(Tabla10[[#This Row],[CEDULA SUPERNUMERARIO]],BD_PERSONAL[],6,FALSE)," ")</f>
        <v>andrea.suarez@unionsaludvida.com</v>
      </c>
    </row>
    <row r="9" spans="1:10" x14ac:dyDescent="0.25">
      <c r="A9" t="s">
        <v>285</v>
      </c>
      <c r="B9" t="str">
        <f>IFERROR(VLOOKUP(A9,'BD PERSONAL'!A:E,4,FALSE)," ")</f>
        <v>LUZ GABRIELA RUIZ GARCIA</v>
      </c>
      <c r="C9" t="str">
        <f>IFERROR(VLOOKUP(A9,'BD PERSONAL'!A:E,2,FALSE)," ")</f>
        <v>Salud Plaza Apartado</v>
      </c>
      <c r="D9" s="1">
        <v>46248</v>
      </c>
      <c r="E9" s="1">
        <v>46266</v>
      </c>
      <c r="F9" s="1">
        <v>46267</v>
      </c>
      <c r="G9" t="s">
        <v>286</v>
      </c>
      <c r="H9" t="str">
        <f>IFERROR(VLOOKUP(Tabla10[[#This Row],[CEDULA SUPERNUMERARIO]],BD_PERSONAL[],4,FALSE)," ")</f>
        <v>MARIA ALEJANDRA GUTIERREZ CORREA</v>
      </c>
      <c r="I9" t="str">
        <f>IFERROR(VLOOKUP(Tabla10[[#This Row],[DOCUMENTO]],BD_PERSONAL[],6,FALSE)," ")</f>
        <v>luz.ruiz@unionsaludvida.com</v>
      </c>
      <c r="J9" t="str">
        <f>IFERROR(VLOOKUP(Tabla10[[#This Row],[CEDULA SUPERNUMERARIO]],BD_PERSONAL[],6,FALSE)," ")</f>
        <v>maria.correa@unionsaludvida.com</v>
      </c>
    </row>
    <row r="10" spans="1:10" x14ac:dyDescent="0.25">
      <c r="A10" t="s">
        <v>287</v>
      </c>
      <c r="B10" t="str">
        <f>IFERROR(VLOOKUP(A10,'BD PERSONAL'!A:E,4,FALSE)," ")</f>
        <v>EDISON ALEJANDRO JARAMILLO LONDOÑO</v>
      </c>
      <c r="C10" t="str">
        <f>IFERROR(VLOOKUP(A10,'BD PERSONAL'!A:E,2,FALSE)," ")</f>
        <v>Caldas</v>
      </c>
      <c r="D10" s="1">
        <v>46247</v>
      </c>
      <c r="E10" s="1">
        <v>46256</v>
      </c>
      <c r="F10" s="1">
        <v>46258</v>
      </c>
      <c r="G10" s="1" t="s">
        <v>288</v>
      </c>
      <c r="H10" t="str">
        <f>IFERROR(VLOOKUP(Tabla10[[#This Row],[CEDULA SUPERNUMERARIO]],BD_PERSONAL[],4,FALSE)," ")</f>
        <v>SOFIA GARCIA POSADA</v>
      </c>
      <c r="I10" t="str">
        <f>IFERROR(VLOOKUP(Tabla10[[#This Row],[DOCUMENTO]],BD_PERSONAL[],6,FALSE)," ")</f>
        <v>edison.jaramillo@unionsaludvida.com</v>
      </c>
      <c r="J10" t="str">
        <f>IFERROR(VLOOKUP(Tabla10[[#This Row],[CEDULA SUPERNUMERARIO]],BD_PERSONAL[],6,FALSE)," ")</f>
        <v>sofia.garcia@unionsaludvida.com</v>
      </c>
    </row>
    <row r="11" spans="1:10" x14ac:dyDescent="0.25">
      <c r="A11" t="s">
        <v>1140</v>
      </c>
      <c r="B11" t="str">
        <f>IFERROR(VLOOKUP(A11,'BD PERSONAL'!A:E,4,FALSE)," ")</f>
        <v>DANILO ARMANDO ARGOTE BOLAÑOS</v>
      </c>
      <c r="C11" t="str">
        <f>IFERROR(VLOOKUP(A11,'BD PERSONAL'!A:E,2,FALSE)," ")</f>
        <v>Manrique</v>
      </c>
      <c r="D11" s="1">
        <v>46247</v>
      </c>
      <c r="E11" s="1">
        <v>46265</v>
      </c>
      <c r="F11" s="1">
        <v>46266</v>
      </c>
      <c r="G11" t="s">
        <v>280</v>
      </c>
      <c r="H11" t="str">
        <f>IFERROR(VLOOKUP(Tabla10[[#This Row],[CEDULA SUPERNUMERARIO]],BD_PERSONAL[],4,FALSE)," ")</f>
        <v>MAYRA ALEJANDRA TESILLO SOSA</v>
      </c>
      <c r="I11" t="str">
        <f>IFERROR(VLOOKUP(Tabla10[[#This Row],[DOCUMENTO]],BD_PERSONAL[],6,FALSE)," ")</f>
        <v>danilo.argote@unionsaludvida.com</v>
      </c>
      <c r="J11" t="str">
        <f>IFERROR(VLOOKUP(Tabla10[[#This Row],[CEDULA SUPERNUMERARIO]],BD_PERSONAL[],6,FALSE)," ")</f>
        <v>mayra.tesillo@unionsaludvida.com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4984-4FF4-4818-B774-32D4451CE6F2}">
  <dimension ref="A1:F1291"/>
  <sheetViews>
    <sheetView tabSelected="1" workbookViewId="0">
      <selection sqref="A1:F1166"/>
    </sheetView>
  </sheetViews>
  <sheetFormatPr baseColWidth="10" defaultColWidth="11.42578125" defaultRowHeight="15" x14ac:dyDescent="0.25"/>
  <cols>
    <col min="1" max="1" width="11" bestFit="1" customWidth="1"/>
    <col min="2" max="2" width="31.7109375" bestFit="1" customWidth="1"/>
    <col min="3" max="3" width="42.5703125" bestFit="1" customWidth="1"/>
    <col min="4" max="4" width="48.28515625" bestFit="1" customWidth="1"/>
    <col min="5" max="5" width="9.140625" bestFit="1" customWidth="1"/>
    <col min="6" max="6" width="49.42578125" bestFit="1" customWidth="1"/>
  </cols>
  <sheetData>
    <row r="1" spans="1:6" x14ac:dyDescent="0.25">
      <c r="A1" t="s">
        <v>289</v>
      </c>
      <c r="B1" t="s">
        <v>290</v>
      </c>
      <c r="C1" t="s">
        <v>291</v>
      </c>
      <c r="D1" t="s">
        <v>292</v>
      </c>
      <c r="E1" t="s">
        <v>293</v>
      </c>
      <c r="F1" t="s">
        <v>294</v>
      </c>
    </row>
    <row r="2" spans="1:6" hidden="1" x14ac:dyDescent="0.25">
      <c r="A2" t="s">
        <v>295</v>
      </c>
      <c r="B2" t="s">
        <v>34</v>
      </c>
      <c r="C2" t="s">
        <v>296</v>
      </c>
      <c r="D2" t="s">
        <v>297</v>
      </c>
      <c r="E2" t="s">
        <v>21</v>
      </c>
      <c r="F2" t="s">
        <v>298</v>
      </c>
    </row>
    <row r="3" spans="1:6" hidden="1" x14ac:dyDescent="0.25">
      <c r="A3" t="s">
        <v>299</v>
      </c>
      <c r="B3" t="s">
        <v>51</v>
      </c>
      <c r="C3" t="s">
        <v>296</v>
      </c>
      <c r="D3" t="s">
        <v>300</v>
      </c>
      <c r="E3" t="s">
        <v>21</v>
      </c>
      <c r="F3" t="s">
        <v>301</v>
      </c>
    </row>
    <row r="4" spans="1:6" hidden="1" x14ac:dyDescent="0.25">
      <c r="A4" t="s">
        <v>302</v>
      </c>
      <c r="B4" t="s">
        <v>303</v>
      </c>
      <c r="C4" t="s">
        <v>304</v>
      </c>
      <c r="D4" t="s">
        <v>305</v>
      </c>
      <c r="E4" t="s">
        <v>21</v>
      </c>
      <c r="F4" t="s">
        <v>306</v>
      </c>
    </row>
    <row r="5" spans="1:6" hidden="1" x14ac:dyDescent="0.25">
      <c r="A5" t="s">
        <v>307</v>
      </c>
      <c r="B5" t="s">
        <v>211</v>
      </c>
      <c r="C5" t="s">
        <v>296</v>
      </c>
      <c r="D5" t="s">
        <v>308</v>
      </c>
      <c r="E5" t="s">
        <v>21</v>
      </c>
      <c r="F5" t="s">
        <v>309</v>
      </c>
    </row>
    <row r="6" spans="1:6" hidden="1" x14ac:dyDescent="0.25">
      <c r="A6" t="s">
        <v>310</v>
      </c>
      <c r="B6" t="s">
        <v>311</v>
      </c>
      <c r="C6" t="s">
        <v>296</v>
      </c>
      <c r="D6" t="s">
        <v>312</v>
      </c>
      <c r="E6" t="s">
        <v>21</v>
      </c>
      <c r="F6" t="s">
        <v>313</v>
      </c>
    </row>
    <row r="7" spans="1:6" hidden="1" x14ac:dyDescent="0.25">
      <c r="A7" t="s">
        <v>314</v>
      </c>
      <c r="B7" t="s">
        <v>211</v>
      </c>
      <c r="C7" t="s">
        <v>296</v>
      </c>
      <c r="D7" t="s">
        <v>315</v>
      </c>
      <c r="E7" t="s">
        <v>21</v>
      </c>
      <c r="F7" t="s">
        <v>316</v>
      </c>
    </row>
    <row r="8" spans="1:6" hidden="1" x14ac:dyDescent="0.25">
      <c r="A8" t="s">
        <v>317</v>
      </c>
      <c r="B8" t="s">
        <v>318</v>
      </c>
      <c r="C8" t="s">
        <v>296</v>
      </c>
      <c r="D8" t="s">
        <v>319</v>
      </c>
      <c r="E8" t="s">
        <v>21</v>
      </c>
      <c r="F8" t="s">
        <v>320</v>
      </c>
    </row>
    <row r="9" spans="1:6" hidden="1" x14ac:dyDescent="0.25">
      <c r="A9" t="s">
        <v>321</v>
      </c>
      <c r="B9" t="s">
        <v>322</v>
      </c>
      <c r="C9" t="s">
        <v>296</v>
      </c>
      <c r="D9" t="s">
        <v>323</v>
      </c>
      <c r="E9" t="s">
        <v>21</v>
      </c>
      <c r="F9" t="s">
        <v>324</v>
      </c>
    </row>
    <row r="10" spans="1:6" hidden="1" x14ac:dyDescent="0.25">
      <c r="A10" t="s">
        <v>325</v>
      </c>
      <c r="B10" t="s">
        <v>326</v>
      </c>
      <c r="C10" t="s">
        <v>296</v>
      </c>
      <c r="D10" t="s">
        <v>327</v>
      </c>
      <c r="E10" t="s">
        <v>21</v>
      </c>
      <c r="F10" t="s">
        <v>328</v>
      </c>
    </row>
    <row r="11" spans="1:6" hidden="1" x14ac:dyDescent="0.25">
      <c r="A11" t="s">
        <v>329</v>
      </c>
      <c r="B11" t="s">
        <v>326</v>
      </c>
      <c r="C11" t="s">
        <v>296</v>
      </c>
      <c r="D11" t="s">
        <v>330</v>
      </c>
      <c r="E11" t="s">
        <v>21</v>
      </c>
      <c r="F11" t="s">
        <v>331</v>
      </c>
    </row>
    <row r="12" spans="1:6" hidden="1" x14ac:dyDescent="0.25">
      <c r="A12" t="s">
        <v>332</v>
      </c>
      <c r="B12" t="s">
        <v>142</v>
      </c>
      <c r="C12" t="s">
        <v>296</v>
      </c>
      <c r="D12" t="s">
        <v>333</v>
      </c>
      <c r="E12" t="s">
        <v>21</v>
      </c>
      <c r="F12" t="s">
        <v>334</v>
      </c>
    </row>
    <row r="13" spans="1:6" hidden="1" x14ac:dyDescent="0.25">
      <c r="A13" t="s">
        <v>335</v>
      </c>
      <c r="B13" t="s">
        <v>336</v>
      </c>
      <c r="C13" t="s">
        <v>296</v>
      </c>
      <c r="D13" t="s">
        <v>337</v>
      </c>
      <c r="E13" t="s">
        <v>21</v>
      </c>
      <c r="F13" t="s">
        <v>338</v>
      </c>
    </row>
    <row r="14" spans="1:6" hidden="1" x14ac:dyDescent="0.25">
      <c r="A14" t="s">
        <v>339</v>
      </c>
      <c r="B14" t="s">
        <v>29</v>
      </c>
      <c r="C14" t="s">
        <v>296</v>
      </c>
      <c r="D14" t="s">
        <v>340</v>
      </c>
      <c r="E14" t="s">
        <v>21</v>
      </c>
      <c r="F14" t="s">
        <v>341</v>
      </c>
    </row>
    <row r="15" spans="1:6" hidden="1" x14ac:dyDescent="0.25">
      <c r="A15" t="s">
        <v>342</v>
      </c>
      <c r="B15" t="s">
        <v>343</v>
      </c>
      <c r="C15" t="s">
        <v>296</v>
      </c>
      <c r="D15" t="s">
        <v>344</v>
      </c>
      <c r="E15" t="s">
        <v>21</v>
      </c>
      <c r="F15" t="s">
        <v>345</v>
      </c>
    </row>
    <row r="16" spans="1:6" hidden="1" x14ac:dyDescent="0.25">
      <c r="A16" t="s">
        <v>346</v>
      </c>
      <c r="B16" t="s">
        <v>78</v>
      </c>
      <c r="C16" t="s">
        <v>296</v>
      </c>
      <c r="D16" t="s">
        <v>347</v>
      </c>
      <c r="E16" t="s">
        <v>21</v>
      </c>
      <c r="F16" t="s">
        <v>348</v>
      </c>
    </row>
    <row r="17" spans="1:6" hidden="1" x14ac:dyDescent="0.25">
      <c r="A17" t="s">
        <v>349</v>
      </c>
      <c r="B17" t="s">
        <v>132</v>
      </c>
      <c r="C17" t="s">
        <v>296</v>
      </c>
      <c r="D17" t="s">
        <v>350</v>
      </c>
      <c r="E17" t="s">
        <v>21</v>
      </c>
      <c r="F17" t="s">
        <v>351</v>
      </c>
    </row>
    <row r="18" spans="1:6" hidden="1" x14ac:dyDescent="0.25">
      <c r="A18" t="s">
        <v>352</v>
      </c>
      <c r="B18" t="s">
        <v>197</v>
      </c>
      <c r="C18" t="s">
        <v>296</v>
      </c>
      <c r="D18" t="s">
        <v>353</v>
      </c>
      <c r="E18" t="s">
        <v>21</v>
      </c>
      <c r="F18" t="s">
        <v>354</v>
      </c>
    </row>
    <row r="19" spans="1:6" hidden="1" x14ac:dyDescent="0.25">
      <c r="A19" t="s">
        <v>355</v>
      </c>
      <c r="B19" t="s">
        <v>356</v>
      </c>
      <c r="C19" t="s">
        <v>296</v>
      </c>
      <c r="D19" t="s">
        <v>357</v>
      </c>
      <c r="E19" t="s">
        <v>21</v>
      </c>
      <c r="F19" t="s">
        <v>358</v>
      </c>
    </row>
    <row r="20" spans="1:6" hidden="1" x14ac:dyDescent="0.25">
      <c r="A20" t="s">
        <v>359</v>
      </c>
      <c r="B20" t="s">
        <v>41</v>
      </c>
      <c r="C20" t="s">
        <v>296</v>
      </c>
      <c r="D20" t="s">
        <v>360</v>
      </c>
      <c r="E20" t="s">
        <v>21</v>
      </c>
      <c r="F20" t="s">
        <v>361</v>
      </c>
    </row>
    <row r="21" spans="1:6" hidden="1" x14ac:dyDescent="0.25">
      <c r="A21" t="s">
        <v>362</v>
      </c>
      <c r="B21" t="s">
        <v>363</v>
      </c>
      <c r="C21" t="s">
        <v>304</v>
      </c>
      <c r="D21" t="s">
        <v>364</v>
      </c>
      <c r="E21" t="s">
        <v>21</v>
      </c>
      <c r="F21" t="s">
        <v>365</v>
      </c>
    </row>
    <row r="22" spans="1:6" hidden="1" x14ac:dyDescent="0.25">
      <c r="A22" t="s">
        <v>366</v>
      </c>
      <c r="B22" t="s">
        <v>64</v>
      </c>
      <c r="C22" t="s">
        <v>296</v>
      </c>
      <c r="D22" t="s">
        <v>367</v>
      </c>
      <c r="E22" t="s">
        <v>21</v>
      </c>
      <c r="F22" t="s">
        <v>368</v>
      </c>
    </row>
    <row r="23" spans="1:6" hidden="1" x14ac:dyDescent="0.25">
      <c r="A23" t="s">
        <v>369</v>
      </c>
      <c r="B23" t="s">
        <v>41</v>
      </c>
      <c r="C23" t="s">
        <v>296</v>
      </c>
      <c r="D23" t="s">
        <v>370</v>
      </c>
      <c r="E23" t="s">
        <v>21</v>
      </c>
      <c r="F23" t="s">
        <v>371</v>
      </c>
    </row>
    <row r="24" spans="1:6" hidden="1" x14ac:dyDescent="0.25">
      <c r="A24" t="s">
        <v>372</v>
      </c>
      <c r="B24" t="s">
        <v>322</v>
      </c>
      <c r="C24" t="s">
        <v>296</v>
      </c>
      <c r="D24" t="s">
        <v>373</v>
      </c>
      <c r="E24" t="s">
        <v>21</v>
      </c>
      <c r="F24" t="s">
        <v>374</v>
      </c>
    </row>
    <row r="25" spans="1:6" hidden="1" x14ac:dyDescent="0.25">
      <c r="A25" t="s">
        <v>375</v>
      </c>
      <c r="B25" t="s">
        <v>128</v>
      </c>
      <c r="C25" t="s">
        <v>296</v>
      </c>
      <c r="D25" t="s">
        <v>376</v>
      </c>
      <c r="E25" t="s">
        <v>21</v>
      </c>
      <c r="F25" t="s">
        <v>377</v>
      </c>
    </row>
    <row r="26" spans="1:6" hidden="1" x14ac:dyDescent="0.25">
      <c r="A26" t="s">
        <v>378</v>
      </c>
      <c r="B26" t="s">
        <v>78</v>
      </c>
      <c r="C26" t="s">
        <v>296</v>
      </c>
      <c r="D26" t="s">
        <v>379</v>
      </c>
      <c r="E26" t="s">
        <v>21</v>
      </c>
      <c r="F26" t="s">
        <v>380</v>
      </c>
    </row>
    <row r="27" spans="1:6" hidden="1" x14ac:dyDescent="0.25">
      <c r="A27" t="s">
        <v>381</v>
      </c>
      <c r="B27" t="s">
        <v>382</v>
      </c>
      <c r="C27" t="s">
        <v>296</v>
      </c>
      <c r="D27" t="s">
        <v>383</v>
      </c>
      <c r="E27" t="s">
        <v>21</v>
      </c>
      <c r="F27" t="s">
        <v>384</v>
      </c>
    </row>
    <row r="28" spans="1:6" x14ac:dyDescent="0.25">
      <c r="A28" t="s">
        <v>385</v>
      </c>
      <c r="B28" t="s">
        <v>386</v>
      </c>
      <c r="C28" t="s">
        <v>387</v>
      </c>
      <c r="D28" t="s">
        <v>388</v>
      </c>
      <c r="E28" t="s">
        <v>21</v>
      </c>
      <c r="F28" t="s">
        <v>389</v>
      </c>
    </row>
    <row r="29" spans="1:6" hidden="1" x14ac:dyDescent="0.25">
      <c r="A29" t="s">
        <v>390</v>
      </c>
      <c r="B29" t="s">
        <v>326</v>
      </c>
      <c r="C29" t="s">
        <v>296</v>
      </c>
      <c r="D29" t="s">
        <v>391</v>
      </c>
      <c r="E29" t="s">
        <v>21</v>
      </c>
      <c r="F29" t="s">
        <v>392</v>
      </c>
    </row>
    <row r="30" spans="1:6" x14ac:dyDescent="0.25">
      <c r="A30" t="s">
        <v>393</v>
      </c>
      <c r="B30" t="s">
        <v>386</v>
      </c>
      <c r="C30" t="s">
        <v>387</v>
      </c>
      <c r="D30" t="s">
        <v>394</v>
      </c>
      <c r="E30" t="s">
        <v>21</v>
      </c>
      <c r="F30" t="s">
        <v>395</v>
      </c>
    </row>
    <row r="31" spans="1:6" hidden="1" x14ac:dyDescent="0.25">
      <c r="A31" t="s">
        <v>396</v>
      </c>
      <c r="B31" t="s">
        <v>211</v>
      </c>
      <c r="C31" t="s">
        <v>296</v>
      </c>
      <c r="D31" t="s">
        <v>397</v>
      </c>
      <c r="E31" t="s">
        <v>21</v>
      </c>
      <c r="F31" t="s">
        <v>398</v>
      </c>
    </row>
    <row r="32" spans="1:6" hidden="1" x14ac:dyDescent="0.25">
      <c r="A32" t="s">
        <v>399</v>
      </c>
      <c r="B32" t="s">
        <v>15</v>
      </c>
      <c r="C32" t="s">
        <v>400</v>
      </c>
      <c r="D32" t="s">
        <v>401</v>
      </c>
      <c r="E32" t="s">
        <v>21</v>
      </c>
      <c r="F32" t="s">
        <v>402</v>
      </c>
    </row>
    <row r="33" spans="1:6" hidden="1" x14ac:dyDescent="0.25">
      <c r="A33" t="s">
        <v>403</v>
      </c>
      <c r="B33" t="s">
        <v>326</v>
      </c>
      <c r="C33" t="s">
        <v>296</v>
      </c>
      <c r="D33" t="s">
        <v>404</v>
      </c>
      <c r="E33" t="s">
        <v>21</v>
      </c>
      <c r="F33" t="s">
        <v>405</v>
      </c>
    </row>
    <row r="34" spans="1:6" hidden="1" x14ac:dyDescent="0.25">
      <c r="A34" t="s">
        <v>406</v>
      </c>
      <c r="B34" t="s">
        <v>15</v>
      </c>
      <c r="C34" t="s">
        <v>296</v>
      </c>
      <c r="D34" t="s">
        <v>407</v>
      </c>
      <c r="E34" t="s">
        <v>21</v>
      </c>
      <c r="F34" t="s">
        <v>408</v>
      </c>
    </row>
    <row r="35" spans="1:6" hidden="1" x14ac:dyDescent="0.25">
      <c r="A35" t="s">
        <v>409</v>
      </c>
      <c r="B35" t="s">
        <v>410</v>
      </c>
      <c r="C35" t="s">
        <v>296</v>
      </c>
      <c r="D35" t="s">
        <v>411</v>
      </c>
      <c r="E35" t="s">
        <v>21</v>
      </c>
      <c r="F35" t="s">
        <v>412</v>
      </c>
    </row>
    <row r="36" spans="1:6" hidden="1" x14ac:dyDescent="0.25">
      <c r="A36" t="s">
        <v>413</v>
      </c>
      <c r="B36" t="s">
        <v>29</v>
      </c>
      <c r="C36" t="s">
        <v>296</v>
      </c>
      <c r="D36" t="s">
        <v>414</v>
      </c>
      <c r="E36" t="s">
        <v>21</v>
      </c>
      <c r="F36" t="s">
        <v>415</v>
      </c>
    </row>
    <row r="37" spans="1:6" hidden="1" x14ac:dyDescent="0.25">
      <c r="A37" t="s">
        <v>416</v>
      </c>
      <c r="B37" t="s">
        <v>64</v>
      </c>
      <c r="C37" t="s">
        <v>296</v>
      </c>
      <c r="D37" t="s">
        <v>417</v>
      </c>
      <c r="E37" t="s">
        <v>21</v>
      </c>
      <c r="F37" t="s">
        <v>418</v>
      </c>
    </row>
    <row r="38" spans="1:6" hidden="1" x14ac:dyDescent="0.25">
      <c r="A38" t="s">
        <v>419</v>
      </c>
      <c r="B38" t="s">
        <v>420</v>
      </c>
      <c r="C38" t="s">
        <v>296</v>
      </c>
      <c r="D38" t="s">
        <v>421</v>
      </c>
      <c r="E38" t="s">
        <v>21</v>
      </c>
      <c r="F38" t="s">
        <v>422</v>
      </c>
    </row>
    <row r="39" spans="1:6" hidden="1" x14ac:dyDescent="0.25">
      <c r="A39" t="s">
        <v>423</v>
      </c>
      <c r="B39" t="s">
        <v>41</v>
      </c>
      <c r="C39" t="s">
        <v>296</v>
      </c>
      <c r="D39" t="s">
        <v>424</v>
      </c>
      <c r="E39" t="s">
        <v>21</v>
      </c>
      <c r="F39" t="s">
        <v>425</v>
      </c>
    </row>
    <row r="40" spans="1:6" hidden="1" x14ac:dyDescent="0.25">
      <c r="A40" t="s">
        <v>426</v>
      </c>
      <c r="B40" t="s">
        <v>427</v>
      </c>
      <c r="C40" t="s">
        <v>296</v>
      </c>
      <c r="D40" t="s">
        <v>428</v>
      </c>
      <c r="E40" t="s">
        <v>21</v>
      </c>
      <c r="F40" t="s">
        <v>429</v>
      </c>
    </row>
    <row r="41" spans="1:6" hidden="1" x14ac:dyDescent="0.25">
      <c r="A41" t="s">
        <v>430</v>
      </c>
      <c r="B41" t="s">
        <v>78</v>
      </c>
      <c r="C41" t="s">
        <v>296</v>
      </c>
      <c r="D41" t="s">
        <v>431</v>
      </c>
      <c r="E41" t="s">
        <v>21</v>
      </c>
      <c r="F41" t="s">
        <v>432</v>
      </c>
    </row>
    <row r="42" spans="1:6" hidden="1" x14ac:dyDescent="0.25">
      <c r="A42" t="s">
        <v>433</v>
      </c>
      <c r="B42" t="s">
        <v>64</v>
      </c>
      <c r="C42" t="s">
        <v>296</v>
      </c>
      <c r="D42" t="s">
        <v>434</v>
      </c>
      <c r="E42" t="s">
        <v>21</v>
      </c>
      <c r="F42" t="s">
        <v>435</v>
      </c>
    </row>
    <row r="43" spans="1:6" hidden="1" x14ac:dyDescent="0.25">
      <c r="A43" t="s">
        <v>436</v>
      </c>
      <c r="B43" t="s">
        <v>437</v>
      </c>
      <c r="C43" t="s">
        <v>438</v>
      </c>
      <c r="D43" t="s">
        <v>439</v>
      </c>
      <c r="E43" t="s">
        <v>21</v>
      </c>
      <c r="F43" t="s">
        <v>440</v>
      </c>
    </row>
    <row r="44" spans="1:6" hidden="1" x14ac:dyDescent="0.25">
      <c r="A44" t="s">
        <v>441</v>
      </c>
      <c r="B44" t="s">
        <v>121</v>
      </c>
      <c r="C44" t="s">
        <v>296</v>
      </c>
      <c r="D44" t="s">
        <v>442</v>
      </c>
      <c r="E44" t="s">
        <v>21</v>
      </c>
      <c r="F44" t="s">
        <v>443</v>
      </c>
    </row>
    <row r="45" spans="1:6" hidden="1" x14ac:dyDescent="0.25">
      <c r="A45" t="s">
        <v>444</v>
      </c>
      <c r="B45" t="s">
        <v>343</v>
      </c>
      <c r="C45" t="s">
        <v>296</v>
      </c>
      <c r="D45" t="s">
        <v>445</v>
      </c>
      <c r="E45" t="s">
        <v>21</v>
      </c>
      <c r="F45" t="s">
        <v>446</v>
      </c>
    </row>
    <row r="46" spans="1:6" hidden="1" x14ac:dyDescent="0.25">
      <c r="A46" t="s">
        <v>447</v>
      </c>
      <c r="B46" t="s">
        <v>197</v>
      </c>
      <c r="C46" t="s">
        <v>296</v>
      </c>
      <c r="D46" t="s">
        <v>448</v>
      </c>
      <c r="E46" t="s">
        <v>21</v>
      </c>
      <c r="F46" t="s">
        <v>449</v>
      </c>
    </row>
    <row r="47" spans="1:6" hidden="1" x14ac:dyDescent="0.25">
      <c r="A47" t="s">
        <v>450</v>
      </c>
      <c r="B47" t="s">
        <v>64</v>
      </c>
      <c r="C47" t="s">
        <v>296</v>
      </c>
      <c r="D47" t="s">
        <v>451</v>
      </c>
      <c r="E47" t="s">
        <v>21</v>
      </c>
      <c r="F47" t="s">
        <v>452</v>
      </c>
    </row>
    <row r="48" spans="1:6" hidden="1" x14ac:dyDescent="0.25">
      <c r="A48" t="s">
        <v>453</v>
      </c>
      <c r="B48" t="s">
        <v>454</v>
      </c>
      <c r="C48" t="s">
        <v>296</v>
      </c>
      <c r="D48" t="s">
        <v>455</v>
      </c>
      <c r="E48" t="s">
        <v>21</v>
      </c>
      <c r="F48" t="s">
        <v>456</v>
      </c>
    </row>
    <row r="49" spans="1:6" hidden="1" x14ac:dyDescent="0.25">
      <c r="A49" t="s">
        <v>457</v>
      </c>
      <c r="B49" t="s">
        <v>160</v>
      </c>
      <c r="C49" t="s">
        <v>296</v>
      </c>
      <c r="D49" t="s">
        <v>458</v>
      </c>
      <c r="E49" t="s">
        <v>21</v>
      </c>
      <c r="F49" t="s">
        <v>459</v>
      </c>
    </row>
    <row r="50" spans="1:6" hidden="1" x14ac:dyDescent="0.25">
      <c r="A50" t="s">
        <v>460</v>
      </c>
      <c r="B50" t="s">
        <v>142</v>
      </c>
      <c r="C50" t="s">
        <v>296</v>
      </c>
      <c r="D50" t="s">
        <v>461</v>
      </c>
      <c r="E50" t="s">
        <v>21</v>
      </c>
      <c r="F50" t="s">
        <v>462</v>
      </c>
    </row>
    <row r="51" spans="1:6" hidden="1" x14ac:dyDescent="0.25">
      <c r="A51" t="s">
        <v>463</v>
      </c>
      <c r="B51" t="s">
        <v>15</v>
      </c>
      <c r="C51" t="s">
        <v>296</v>
      </c>
      <c r="D51" t="s">
        <v>464</v>
      </c>
      <c r="E51" t="s">
        <v>21</v>
      </c>
      <c r="F51" t="s">
        <v>465</v>
      </c>
    </row>
    <row r="52" spans="1:6" hidden="1" x14ac:dyDescent="0.25">
      <c r="A52" t="s">
        <v>466</v>
      </c>
      <c r="B52" t="s">
        <v>197</v>
      </c>
      <c r="C52" t="s">
        <v>296</v>
      </c>
      <c r="D52" t="s">
        <v>467</v>
      </c>
      <c r="E52" t="s">
        <v>21</v>
      </c>
      <c r="F52" t="s">
        <v>468</v>
      </c>
    </row>
    <row r="53" spans="1:6" hidden="1" x14ac:dyDescent="0.25">
      <c r="A53" t="s">
        <v>469</v>
      </c>
      <c r="B53" t="s">
        <v>322</v>
      </c>
      <c r="C53" t="s">
        <v>296</v>
      </c>
      <c r="D53" t="s">
        <v>470</v>
      </c>
      <c r="E53" t="s">
        <v>21</v>
      </c>
      <c r="F53" t="s">
        <v>471</v>
      </c>
    </row>
    <row r="54" spans="1:6" hidden="1" x14ac:dyDescent="0.25">
      <c r="A54" t="s">
        <v>472</v>
      </c>
      <c r="B54" t="s">
        <v>24</v>
      </c>
      <c r="C54" t="s">
        <v>296</v>
      </c>
      <c r="D54" t="s">
        <v>473</v>
      </c>
      <c r="E54" t="s">
        <v>21</v>
      </c>
      <c r="F54" t="s">
        <v>474</v>
      </c>
    </row>
    <row r="55" spans="1:6" hidden="1" x14ac:dyDescent="0.25">
      <c r="A55" t="s">
        <v>475</v>
      </c>
      <c r="B55" t="s">
        <v>128</v>
      </c>
      <c r="C55" t="s">
        <v>296</v>
      </c>
      <c r="D55" t="s">
        <v>476</v>
      </c>
      <c r="E55" t="s">
        <v>21</v>
      </c>
      <c r="F55" t="s">
        <v>477</v>
      </c>
    </row>
    <row r="56" spans="1:6" hidden="1" x14ac:dyDescent="0.25">
      <c r="A56" t="s">
        <v>479</v>
      </c>
      <c r="B56" t="s">
        <v>437</v>
      </c>
      <c r="C56" t="s">
        <v>480</v>
      </c>
      <c r="D56" t="s">
        <v>481</v>
      </c>
      <c r="E56" t="s">
        <v>21</v>
      </c>
      <c r="F56" t="s">
        <v>482</v>
      </c>
    </row>
    <row r="57" spans="1:6" hidden="1" x14ac:dyDescent="0.25">
      <c r="A57" t="s">
        <v>483</v>
      </c>
      <c r="B57" t="s">
        <v>34</v>
      </c>
      <c r="C57" t="s">
        <v>296</v>
      </c>
      <c r="D57" t="s">
        <v>484</v>
      </c>
      <c r="E57" t="s">
        <v>21</v>
      </c>
      <c r="F57" t="s">
        <v>485</v>
      </c>
    </row>
    <row r="58" spans="1:6" hidden="1" x14ac:dyDescent="0.25">
      <c r="A58" t="s">
        <v>486</v>
      </c>
      <c r="B58" t="s">
        <v>386</v>
      </c>
      <c r="C58" t="s">
        <v>387</v>
      </c>
      <c r="D58" t="s">
        <v>487</v>
      </c>
      <c r="E58" t="s">
        <v>21</v>
      </c>
      <c r="F58" t="s">
        <v>488</v>
      </c>
    </row>
    <row r="59" spans="1:6" hidden="1" x14ac:dyDescent="0.25">
      <c r="A59" t="s">
        <v>489</v>
      </c>
      <c r="B59" t="s">
        <v>343</v>
      </c>
      <c r="C59" t="s">
        <v>296</v>
      </c>
      <c r="D59" t="s">
        <v>490</v>
      </c>
      <c r="E59" t="s">
        <v>21</v>
      </c>
      <c r="F59" t="s">
        <v>491</v>
      </c>
    </row>
    <row r="60" spans="1:6" hidden="1" x14ac:dyDescent="0.25">
      <c r="A60" t="s">
        <v>492</v>
      </c>
      <c r="B60" t="s">
        <v>326</v>
      </c>
      <c r="C60" t="s">
        <v>296</v>
      </c>
      <c r="D60" t="s">
        <v>493</v>
      </c>
      <c r="E60" t="s">
        <v>21</v>
      </c>
      <c r="F60" t="s">
        <v>494</v>
      </c>
    </row>
    <row r="61" spans="1:6" hidden="1" x14ac:dyDescent="0.25">
      <c r="A61" t="s">
        <v>495</v>
      </c>
      <c r="B61" t="s">
        <v>78</v>
      </c>
      <c r="C61" t="s">
        <v>296</v>
      </c>
      <c r="D61" t="s">
        <v>496</v>
      </c>
      <c r="E61" t="s">
        <v>21</v>
      </c>
      <c r="F61" t="s">
        <v>497</v>
      </c>
    </row>
    <row r="62" spans="1:6" hidden="1" x14ac:dyDescent="0.25">
      <c r="A62" t="s">
        <v>267</v>
      </c>
      <c r="B62" t="s">
        <v>64</v>
      </c>
      <c r="C62" t="s">
        <v>296</v>
      </c>
      <c r="D62" t="s">
        <v>268</v>
      </c>
      <c r="E62" t="s">
        <v>21</v>
      </c>
      <c r="F62" t="s">
        <v>270</v>
      </c>
    </row>
    <row r="63" spans="1:6" hidden="1" x14ac:dyDescent="0.25">
      <c r="A63" t="s">
        <v>498</v>
      </c>
      <c r="B63" t="s">
        <v>437</v>
      </c>
      <c r="C63" t="s">
        <v>480</v>
      </c>
      <c r="D63" t="s">
        <v>499</v>
      </c>
      <c r="E63" t="s">
        <v>21</v>
      </c>
      <c r="F63" t="s">
        <v>500</v>
      </c>
    </row>
    <row r="64" spans="1:6" hidden="1" x14ac:dyDescent="0.25">
      <c r="A64" t="s">
        <v>501</v>
      </c>
      <c r="B64" t="s">
        <v>326</v>
      </c>
      <c r="C64" t="s">
        <v>296</v>
      </c>
      <c r="D64" t="s">
        <v>502</v>
      </c>
      <c r="E64" t="s">
        <v>21</v>
      </c>
      <c r="F64" t="s">
        <v>503</v>
      </c>
    </row>
    <row r="65" spans="1:6" hidden="1" x14ac:dyDescent="0.25">
      <c r="A65" t="s">
        <v>504</v>
      </c>
      <c r="B65" t="s">
        <v>34</v>
      </c>
      <c r="C65" t="s">
        <v>296</v>
      </c>
      <c r="D65" t="s">
        <v>505</v>
      </c>
      <c r="E65" t="s">
        <v>21</v>
      </c>
      <c r="F65" t="s">
        <v>506</v>
      </c>
    </row>
    <row r="66" spans="1:6" hidden="1" x14ac:dyDescent="0.25">
      <c r="A66" t="s">
        <v>507</v>
      </c>
      <c r="B66" t="s">
        <v>89</v>
      </c>
      <c r="C66" t="s">
        <v>296</v>
      </c>
      <c r="D66" t="s">
        <v>508</v>
      </c>
      <c r="E66" t="s">
        <v>21</v>
      </c>
      <c r="F66" t="s">
        <v>509</v>
      </c>
    </row>
    <row r="67" spans="1:6" hidden="1" x14ac:dyDescent="0.25">
      <c r="A67" t="s">
        <v>510</v>
      </c>
      <c r="B67" t="s">
        <v>41</v>
      </c>
      <c r="C67" t="s">
        <v>296</v>
      </c>
      <c r="D67" t="s">
        <v>511</v>
      </c>
      <c r="E67" t="s">
        <v>21</v>
      </c>
      <c r="F67" t="s">
        <v>512</v>
      </c>
    </row>
    <row r="68" spans="1:6" hidden="1" x14ac:dyDescent="0.25">
      <c r="A68" t="s">
        <v>513</v>
      </c>
      <c r="B68" t="s">
        <v>514</v>
      </c>
      <c r="C68" t="s">
        <v>515</v>
      </c>
      <c r="D68" t="s">
        <v>516</v>
      </c>
      <c r="E68" t="s">
        <v>21</v>
      </c>
      <c r="F68" t="s">
        <v>517</v>
      </c>
    </row>
    <row r="69" spans="1:6" hidden="1" x14ac:dyDescent="0.25">
      <c r="A69" t="s">
        <v>518</v>
      </c>
      <c r="B69" t="s">
        <v>29</v>
      </c>
      <c r="C69" t="s">
        <v>296</v>
      </c>
      <c r="D69" t="s">
        <v>519</v>
      </c>
      <c r="E69" t="s">
        <v>21</v>
      </c>
      <c r="F69" t="s">
        <v>520</v>
      </c>
    </row>
    <row r="70" spans="1:6" hidden="1" x14ac:dyDescent="0.25">
      <c r="A70" t="s">
        <v>521</v>
      </c>
      <c r="B70" t="s">
        <v>128</v>
      </c>
      <c r="C70" t="s">
        <v>296</v>
      </c>
      <c r="D70" t="s">
        <v>522</v>
      </c>
      <c r="E70" t="s">
        <v>21</v>
      </c>
      <c r="F70" t="s">
        <v>523</v>
      </c>
    </row>
    <row r="71" spans="1:6" hidden="1" x14ac:dyDescent="0.25">
      <c r="A71" t="s">
        <v>524</v>
      </c>
      <c r="B71" t="s">
        <v>386</v>
      </c>
      <c r="C71" t="s">
        <v>387</v>
      </c>
      <c r="D71" t="s">
        <v>525</v>
      </c>
      <c r="E71" t="s">
        <v>21</v>
      </c>
      <c r="F71" t="s">
        <v>526</v>
      </c>
    </row>
    <row r="72" spans="1:6" hidden="1" x14ac:dyDescent="0.25">
      <c r="A72" t="s">
        <v>527</v>
      </c>
      <c r="B72" t="s">
        <v>34</v>
      </c>
      <c r="C72" t="s">
        <v>296</v>
      </c>
      <c r="D72" t="s">
        <v>528</v>
      </c>
      <c r="E72" t="s">
        <v>21</v>
      </c>
      <c r="F72" t="s">
        <v>529</v>
      </c>
    </row>
    <row r="73" spans="1:6" hidden="1" x14ac:dyDescent="0.25">
      <c r="A73" t="s">
        <v>530</v>
      </c>
      <c r="B73" t="s">
        <v>121</v>
      </c>
      <c r="C73" t="s">
        <v>296</v>
      </c>
      <c r="D73" t="s">
        <v>531</v>
      </c>
      <c r="E73" t="s">
        <v>21</v>
      </c>
      <c r="F73" t="s">
        <v>532</v>
      </c>
    </row>
    <row r="74" spans="1:6" hidden="1" x14ac:dyDescent="0.25">
      <c r="A74" t="s">
        <v>284</v>
      </c>
      <c r="B74" t="s">
        <v>533</v>
      </c>
      <c r="C74" t="s">
        <v>296</v>
      </c>
      <c r="D74" t="s">
        <v>534</v>
      </c>
      <c r="E74" t="s">
        <v>21</v>
      </c>
      <c r="F74" t="s">
        <v>535</v>
      </c>
    </row>
    <row r="75" spans="1:6" hidden="1" x14ac:dyDescent="0.25">
      <c r="A75" t="s">
        <v>536</v>
      </c>
      <c r="B75" t="s">
        <v>64</v>
      </c>
      <c r="C75" t="s">
        <v>296</v>
      </c>
      <c r="D75" t="s">
        <v>537</v>
      </c>
      <c r="E75" t="s">
        <v>21</v>
      </c>
      <c r="F75" t="s">
        <v>538</v>
      </c>
    </row>
    <row r="76" spans="1:6" hidden="1" x14ac:dyDescent="0.25">
      <c r="A76" t="s">
        <v>539</v>
      </c>
      <c r="B76" t="s">
        <v>15</v>
      </c>
      <c r="C76" t="s">
        <v>296</v>
      </c>
      <c r="D76" t="s">
        <v>540</v>
      </c>
      <c r="E76" t="s">
        <v>21</v>
      </c>
      <c r="F76" t="s">
        <v>541</v>
      </c>
    </row>
    <row r="77" spans="1:6" hidden="1" x14ac:dyDescent="0.25">
      <c r="A77" t="s">
        <v>542</v>
      </c>
      <c r="B77" t="s">
        <v>543</v>
      </c>
      <c r="C77" t="s">
        <v>296</v>
      </c>
      <c r="D77" t="s">
        <v>544</v>
      </c>
      <c r="E77" t="s">
        <v>21</v>
      </c>
      <c r="F77" t="s">
        <v>545</v>
      </c>
    </row>
    <row r="78" spans="1:6" hidden="1" x14ac:dyDescent="0.25">
      <c r="A78" t="s">
        <v>546</v>
      </c>
      <c r="B78" t="s">
        <v>420</v>
      </c>
      <c r="C78" t="s">
        <v>296</v>
      </c>
      <c r="D78" t="s">
        <v>547</v>
      </c>
      <c r="E78" t="s">
        <v>21</v>
      </c>
      <c r="F78" t="s">
        <v>548</v>
      </c>
    </row>
    <row r="79" spans="1:6" hidden="1" x14ac:dyDescent="0.25">
      <c r="A79" t="s">
        <v>549</v>
      </c>
      <c r="B79" t="s">
        <v>121</v>
      </c>
      <c r="C79" t="s">
        <v>296</v>
      </c>
      <c r="D79" t="s">
        <v>550</v>
      </c>
      <c r="E79" t="s">
        <v>21</v>
      </c>
      <c r="F79" t="s">
        <v>551</v>
      </c>
    </row>
    <row r="80" spans="1:6" hidden="1" x14ac:dyDescent="0.25">
      <c r="A80" t="s">
        <v>552</v>
      </c>
      <c r="B80" t="s">
        <v>553</v>
      </c>
      <c r="C80" t="s">
        <v>296</v>
      </c>
      <c r="D80" t="s">
        <v>554</v>
      </c>
      <c r="E80" t="s">
        <v>21</v>
      </c>
      <c r="F80" t="s">
        <v>555</v>
      </c>
    </row>
    <row r="81" spans="1:6" hidden="1" x14ac:dyDescent="0.25">
      <c r="A81" t="s">
        <v>556</v>
      </c>
      <c r="B81" t="s">
        <v>15</v>
      </c>
      <c r="C81" t="s">
        <v>296</v>
      </c>
      <c r="D81" t="s">
        <v>557</v>
      </c>
      <c r="E81" t="s">
        <v>21</v>
      </c>
      <c r="F81" t="s">
        <v>558</v>
      </c>
    </row>
    <row r="82" spans="1:6" hidden="1" x14ac:dyDescent="0.25">
      <c r="A82" t="s">
        <v>559</v>
      </c>
      <c r="B82" t="s">
        <v>343</v>
      </c>
      <c r="C82" t="s">
        <v>296</v>
      </c>
      <c r="D82" t="s">
        <v>560</v>
      </c>
      <c r="E82" t="s">
        <v>21</v>
      </c>
      <c r="F82" t="s">
        <v>561</v>
      </c>
    </row>
    <row r="83" spans="1:6" hidden="1" x14ac:dyDescent="0.25">
      <c r="A83" t="s">
        <v>562</v>
      </c>
      <c r="B83" t="s">
        <v>553</v>
      </c>
      <c r="C83" t="s">
        <v>296</v>
      </c>
      <c r="D83" t="s">
        <v>563</v>
      </c>
      <c r="E83" t="s">
        <v>21</v>
      </c>
      <c r="F83" t="s">
        <v>564</v>
      </c>
    </row>
    <row r="84" spans="1:6" hidden="1" x14ac:dyDescent="0.25">
      <c r="A84" t="s">
        <v>565</v>
      </c>
      <c r="B84" t="s">
        <v>566</v>
      </c>
      <c r="C84" t="s">
        <v>296</v>
      </c>
      <c r="D84" t="s">
        <v>567</v>
      </c>
      <c r="E84" t="s">
        <v>21</v>
      </c>
      <c r="F84" t="s">
        <v>568</v>
      </c>
    </row>
    <row r="85" spans="1:6" hidden="1" x14ac:dyDescent="0.25">
      <c r="A85" t="s">
        <v>569</v>
      </c>
      <c r="B85" t="s">
        <v>64</v>
      </c>
      <c r="C85" t="s">
        <v>296</v>
      </c>
      <c r="D85" t="s">
        <v>570</v>
      </c>
      <c r="E85" t="s">
        <v>21</v>
      </c>
      <c r="F85" t="s">
        <v>571</v>
      </c>
    </row>
    <row r="86" spans="1:6" hidden="1" x14ac:dyDescent="0.25">
      <c r="A86" t="s">
        <v>572</v>
      </c>
      <c r="B86" t="s">
        <v>343</v>
      </c>
      <c r="C86" t="s">
        <v>296</v>
      </c>
      <c r="D86" t="s">
        <v>573</v>
      </c>
      <c r="E86" t="s">
        <v>21</v>
      </c>
      <c r="F86" t="s">
        <v>574</v>
      </c>
    </row>
    <row r="87" spans="1:6" hidden="1" x14ac:dyDescent="0.25">
      <c r="A87" t="s">
        <v>575</v>
      </c>
      <c r="B87" t="s">
        <v>303</v>
      </c>
      <c r="C87" t="s">
        <v>304</v>
      </c>
      <c r="D87" t="s">
        <v>576</v>
      </c>
      <c r="E87" t="s">
        <v>21</v>
      </c>
      <c r="F87" t="s">
        <v>577</v>
      </c>
    </row>
    <row r="88" spans="1:6" hidden="1" x14ac:dyDescent="0.25">
      <c r="A88" t="s">
        <v>106</v>
      </c>
      <c r="B88" t="s">
        <v>386</v>
      </c>
      <c r="C88" t="s">
        <v>387</v>
      </c>
      <c r="D88" t="s">
        <v>107</v>
      </c>
      <c r="E88" t="s">
        <v>21</v>
      </c>
      <c r="F88" t="s">
        <v>108</v>
      </c>
    </row>
    <row r="89" spans="1:6" hidden="1" x14ac:dyDescent="0.25">
      <c r="A89" t="s">
        <v>578</v>
      </c>
      <c r="B89" t="s">
        <v>128</v>
      </c>
      <c r="C89" t="s">
        <v>296</v>
      </c>
      <c r="D89" t="s">
        <v>579</v>
      </c>
      <c r="E89" t="s">
        <v>21</v>
      </c>
      <c r="F89" t="s">
        <v>580</v>
      </c>
    </row>
    <row r="90" spans="1:6" hidden="1" x14ac:dyDescent="0.25">
      <c r="A90" t="s">
        <v>581</v>
      </c>
      <c r="B90" t="s">
        <v>82</v>
      </c>
      <c r="C90" t="s">
        <v>296</v>
      </c>
      <c r="D90" t="s">
        <v>582</v>
      </c>
      <c r="E90" t="s">
        <v>21</v>
      </c>
      <c r="F90" t="s">
        <v>583</v>
      </c>
    </row>
    <row r="91" spans="1:6" hidden="1" x14ac:dyDescent="0.25">
      <c r="A91" t="s">
        <v>584</v>
      </c>
      <c r="B91" t="s">
        <v>356</v>
      </c>
      <c r="C91" t="s">
        <v>585</v>
      </c>
      <c r="D91" t="s">
        <v>586</v>
      </c>
      <c r="E91" t="s">
        <v>21</v>
      </c>
      <c r="F91" t="s">
        <v>587</v>
      </c>
    </row>
    <row r="92" spans="1:6" hidden="1" x14ac:dyDescent="0.25">
      <c r="A92" t="s">
        <v>588</v>
      </c>
      <c r="B92" t="s">
        <v>15</v>
      </c>
      <c r="C92" t="s">
        <v>296</v>
      </c>
      <c r="D92" t="s">
        <v>589</v>
      </c>
      <c r="E92" t="s">
        <v>21</v>
      </c>
      <c r="F92" t="s">
        <v>590</v>
      </c>
    </row>
    <row r="93" spans="1:6" hidden="1" x14ac:dyDescent="0.25">
      <c r="A93" t="s">
        <v>591</v>
      </c>
      <c r="B93" t="s">
        <v>420</v>
      </c>
      <c r="C93" t="s">
        <v>296</v>
      </c>
      <c r="D93" t="s">
        <v>592</v>
      </c>
      <c r="E93" t="s">
        <v>21</v>
      </c>
      <c r="F93" t="s">
        <v>593</v>
      </c>
    </row>
    <row r="94" spans="1:6" hidden="1" x14ac:dyDescent="0.25">
      <c r="A94" t="s">
        <v>594</v>
      </c>
      <c r="B94" t="s">
        <v>82</v>
      </c>
      <c r="C94" t="s">
        <v>296</v>
      </c>
      <c r="D94" t="s">
        <v>595</v>
      </c>
      <c r="E94" t="s">
        <v>21</v>
      </c>
      <c r="F94" t="s">
        <v>596</v>
      </c>
    </row>
    <row r="95" spans="1:6" hidden="1" x14ac:dyDescent="0.25">
      <c r="A95" t="s">
        <v>597</v>
      </c>
      <c r="B95" t="s">
        <v>437</v>
      </c>
      <c r="C95" t="s">
        <v>598</v>
      </c>
      <c r="D95" t="s">
        <v>599</v>
      </c>
      <c r="E95" t="s">
        <v>21</v>
      </c>
      <c r="F95" t="s">
        <v>600</v>
      </c>
    </row>
    <row r="96" spans="1:6" hidden="1" x14ac:dyDescent="0.25">
      <c r="A96" t="s">
        <v>601</v>
      </c>
      <c r="B96" t="s">
        <v>64</v>
      </c>
      <c r="C96" t="s">
        <v>296</v>
      </c>
      <c r="D96" t="s">
        <v>602</v>
      </c>
      <c r="E96" t="s">
        <v>21</v>
      </c>
      <c r="F96" t="s">
        <v>603</v>
      </c>
    </row>
    <row r="97" spans="1:6" hidden="1" x14ac:dyDescent="0.25">
      <c r="A97" t="s">
        <v>604</v>
      </c>
      <c r="B97" t="s">
        <v>142</v>
      </c>
      <c r="C97" t="s">
        <v>296</v>
      </c>
      <c r="D97" t="s">
        <v>605</v>
      </c>
      <c r="E97" t="s">
        <v>21</v>
      </c>
      <c r="F97" t="s">
        <v>606</v>
      </c>
    </row>
    <row r="98" spans="1:6" hidden="1" x14ac:dyDescent="0.25">
      <c r="A98" t="s">
        <v>22</v>
      </c>
      <c r="B98" t="s">
        <v>24</v>
      </c>
      <c r="C98" t="s">
        <v>296</v>
      </c>
      <c r="D98" t="s">
        <v>607</v>
      </c>
      <c r="E98" t="s">
        <v>21</v>
      </c>
      <c r="F98" t="s">
        <v>26</v>
      </c>
    </row>
    <row r="99" spans="1:6" hidden="1" x14ac:dyDescent="0.25">
      <c r="A99" t="s">
        <v>608</v>
      </c>
      <c r="B99" t="s">
        <v>132</v>
      </c>
      <c r="C99" t="s">
        <v>296</v>
      </c>
      <c r="D99" t="s">
        <v>609</v>
      </c>
      <c r="E99" t="s">
        <v>21</v>
      </c>
      <c r="F99" t="s">
        <v>610</v>
      </c>
    </row>
    <row r="100" spans="1:6" hidden="1" x14ac:dyDescent="0.25">
      <c r="A100" t="s">
        <v>611</v>
      </c>
      <c r="B100" t="s">
        <v>437</v>
      </c>
      <c r="C100" t="s">
        <v>437</v>
      </c>
      <c r="D100" t="s">
        <v>612</v>
      </c>
      <c r="E100" t="s">
        <v>21</v>
      </c>
      <c r="F100" t="s">
        <v>613</v>
      </c>
    </row>
    <row r="101" spans="1:6" hidden="1" x14ac:dyDescent="0.25">
      <c r="A101" t="s">
        <v>614</v>
      </c>
      <c r="B101" t="s">
        <v>533</v>
      </c>
      <c r="C101" t="s">
        <v>296</v>
      </c>
      <c r="D101" t="s">
        <v>615</v>
      </c>
      <c r="E101" t="s">
        <v>21</v>
      </c>
      <c r="F101" t="s">
        <v>616</v>
      </c>
    </row>
    <row r="102" spans="1:6" hidden="1" x14ac:dyDescent="0.25">
      <c r="A102" t="s">
        <v>109</v>
      </c>
      <c r="B102" t="s">
        <v>15</v>
      </c>
      <c r="C102" t="s">
        <v>296</v>
      </c>
      <c r="D102" t="s">
        <v>110</v>
      </c>
      <c r="E102" t="s">
        <v>21</v>
      </c>
      <c r="F102" t="s">
        <v>111</v>
      </c>
    </row>
    <row r="103" spans="1:6" hidden="1" x14ac:dyDescent="0.25">
      <c r="A103" t="s">
        <v>617</v>
      </c>
      <c r="B103" t="s">
        <v>553</v>
      </c>
      <c r="C103" t="s">
        <v>296</v>
      </c>
      <c r="D103" t="s">
        <v>618</v>
      </c>
      <c r="E103" t="s">
        <v>21</v>
      </c>
      <c r="F103" t="s">
        <v>619</v>
      </c>
    </row>
    <row r="104" spans="1:6" hidden="1" x14ac:dyDescent="0.25">
      <c r="A104" t="s">
        <v>620</v>
      </c>
      <c r="B104" t="s">
        <v>621</v>
      </c>
      <c r="C104" t="s">
        <v>296</v>
      </c>
      <c r="D104" t="s">
        <v>622</v>
      </c>
      <c r="E104" t="s">
        <v>21</v>
      </c>
      <c r="F104" t="s">
        <v>623</v>
      </c>
    </row>
    <row r="105" spans="1:6" hidden="1" x14ac:dyDescent="0.25">
      <c r="A105" t="s">
        <v>624</v>
      </c>
      <c r="B105" t="s">
        <v>543</v>
      </c>
      <c r="C105" t="s">
        <v>296</v>
      </c>
      <c r="D105" t="s">
        <v>625</v>
      </c>
      <c r="E105" t="s">
        <v>21</v>
      </c>
      <c r="F105" t="s">
        <v>626</v>
      </c>
    </row>
    <row r="106" spans="1:6" hidden="1" x14ac:dyDescent="0.25">
      <c r="A106" t="s">
        <v>627</v>
      </c>
      <c r="B106" t="s">
        <v>628</v>
      </c>
      <c r="C106" t="s">
        <v>296</v>
      </c>
      <c r="D106" t="s">
        <v>629</v>
      </c>
      <c r="E106" t="s">
        <v>21</v>
      </c>
      <c r="F106" t="s">
        <v>630</v>
      </c>
    </row>
    <row r="107" spans="1:6" hidden="1" x14ac:dyDescent="0.25">
      <c r="A107" t="s">
        <v>631</v>
      </c>
      <c r="B107" t="s">
        <v>160</v>
      </c>
      <c r="C107" t="s">
        <v>296</v>
      </c>
      <c r="D107" t="s">
        <v>632</v>
      </c>
      <c r="E107" t="s">
        <v>21</v>
      </c>
      <c r="F107" t="s">
        <v>633</v>
      </c>
    </row>
    <row r="108" spans="1:6" hidden="1" x14ac:dyDescent="0.25">
      <c r="A108" t="s">
        <v>634</v>
      </c>
      <c r="B108" t="s">
        <v>128</v>
      </c>
      <c r="C108" t="s">
        <v>400</v>
      </c>
      <c r="D108" t="s">
        <v>635</v>
      </c>
      <c r="E108" t="s">
        <v>21</v>
      </c>
      <c r="F108" t="s">
        <v>402</v>
      </c>
    </row>
    <row r="109" spans="1:6" hidden="1" x14ac:dyDescent="0.25">
      <c r="A109" t="s">
        <v>636</v>
      </c>
      <c r="B109" t="s">
        <v>410</v>
      </c>
      <c r="C109" t="s">
        <v>296</v>
      </c>
      <c r="D109" t="s">
        <v>637</v>
      </c>
      <c r="E109" t="s">
        <v>21</v>
      </c>
      <c r="F109" t="s">
        <v>638</v>
      </c>
    </row>
    <row r="110" spans="1:6" hidden="1" x14ac:dyDescent="0.25">
      <c r="A110" t="s">
        <v>639</v>
      </c>
      <c r="B110" t="s">
        <v>34</v>
      </c>
      <c r="C110" t="s">
        <v>296</v>
      </c>
      <c r="D110" t="s">
        <v>640</v>
      </c>
      <c r="E110" t="s">
        <v>21</v>
      </c>
      <c r="F110" t="s">
        <v>641</v>
      </c>
    </row>
    <row r="111" spans="1:6" hidden="1" x14ac:dyDescent="0.25">
      <c r="A111" t="s">
        <v>642</v>
      </c>
      <c r="B111" t="s">
        <v>211</v>
      </c>
      <c r="C111" t="s">
        <v>296</v>
      </c>
      <c r="D111" t="s">
        <v>643</v>
      </c>
      <c r="E111" t="s">
        <v>21</v>
      </c>
      <c r="F111" t="s">
        <v>644</v>
      </c>
    </row>
    <row r="112" spans="1:6" hidden="1" x14ac:dyDescent="0.25">
      <c r="A112" t="s">
        <v>645</v>
      </c>
      <c r="B112" t="s">
        <v>326</v>
      </c>
      <c r="C112" t="s">
        <v>296</v>
      </c>
      <c r="D112" t="s">
        <v>646</v>
      </c>
      <c r="E112" t="s">
        <v>21</v>
      </c>
      <c r="F112" t="s">
        <v>647</v>
      </c>
    </row>
    <row r="113" spans="1:6" hidden="1" x14ac:dyDescent="0.25">
      <c r="A113" t="s">
        <v>648</v>
      </c>
      <c r="B113" t="s">
        <v>78</v>
      </c>
      <c r="C113" t="s">
        <v>296</v>
      </c>
      <c r="D113" t="s">
        <v>649</v>
      </c>
      <c r="E113" t="s">
        <v>21</v>
      </c>
      <c r="F113" t="s">
        <v>650</v>
      </c>
    </row>
    <row r="114" spans="1:6" hidden="1" x14ac:dyDescent="0.25">
      <c r="A114" t="s">
        <v>651</v>
      </c>
      <c r="B114" t="s">
        <v>211</v>
      </c>
      <c r="C114" t="s">
        <v>296</v>
      </c>
      <c r="D114" t="s">
        <v>652</v>
      </c>
      <c r="E114" t="s">
        <v>21</v>
      </c>
      <c r="F114" t="s">
        <v>653</v>
      </c>
    </row>
    <row r="115" spans="1:6" hidden="1" x14ac:dyDescent="0.25">
      <c r="A115" t="s">
        <v>654</v>
      </c>
      <c r="B115" t="s">
        <v>326</v>
      </c>
      <c r="C115" t="s">
        <v>296</v>
      </c>
      <c r="D115" t="s">
        <v>655</v>
      </c>
      <c r="E115" t="s">
        <v>21</v>
      </c>
      <c r="F115" t="s">
        <v>656</v>
      </c>
    </row>
    <row r="116" spans="1:6" hidden="1" x14ac:dyDescent="0.25">
      <c r="A116" t="s">
        <v>657</v>
      </c>
      <c r="B116" t="s">
        <v>78</v>
      </c>
      <c r="C116" t="s">
        <v>296</v>
      </c>
      <c r="D116" t="s">
        <v>658</v>
      </c>
      <c r="E116" t="s">
        <v>21</v>
      </c>
      <c r="F116" t="s">
        <v>659</v>
      </c>
    </row>
    <row r="117" spans="1:6" hidden="1" x14ac:dyDescent="0.25">
      <c r="A117" t="s">
        <v>195</v>
      </c>
      <c r="B117" t="s">
        <v>197</v>
      </c>
      <c r="C117" t="s">
        <v>296</v>
      </c>
      <c r="D117" t="s">
        <v>196</v>
      </c>
      <c r="E117" t="s">
        <v>21</v>
      </c>
      <c r="F117" t="s">
        <v>200</v>
      </c>
    </row>
    <row r="118" spans="1:6" hidden="1" x14ac:dyDescent="0.25">
      <c r="A118" t="s">
        <v>274</v>
      </c>
      <c r="B118" t="s">
        <v>454</v>
      </c>
      <c r="C118" t="s">
        <v>296</v>
      </c>
      <c r="D118" t="s">
        <v>660</v>
      </c>
      <c r="E118" t="s">
        <v>21</v>
      </c>
      <c r="F118" t="s">
        <v>661</v>
      </c>
    </row>
    <row r="119" spans="1:6" hidden="1" x14ac:dyDescent="0.25">
      <c r="A119" t="s">
        <v>662</v>
      </c>
      <c r="B119" t="s">
        <v>82</v>
      </c>
      <c r="C119" t="s">
        <v>296</v>
      </c>
      <c r="D119" t="s">
        <v>663</v>
      </c>
      <c r="E119" t="s">
        <v>21</v>
      </c>
      <c r="F119" t="s">
        <v>664</v>
      </c>
    </row>
    <row r="120" spans="1:6" hidden="1" x14ac:dyDescent="0.25">
      <c r="A120" t="s">
        <v>665</v>
      </c>
      <c r="B120" t="s">
        <v>15</v>
      </c>
      <c r="C120" t="s">
        <v>296</v>
      </c>
      <c r="D120" t="s">
        <v>666</v>
      </c>
      <c r="E120" t="s">
        <v>21</v>
      </c>
      <c r="F120" t="s">
        <v>667</v>
      </c>
    </row>
    <row r="121" spans="1:6" hidden="1" x14ac:dyDescent="0.25">
      <c r="A121" t="s">
        <v>668</v>
      </c>
      <c r="B121" t="s">
        <v>326</v>
      </c>
      <c r="C121" t="s">
        <v>296</v>
      </c>
      <c r="D121" t="s">
        <v>669</v>
      </c>
      <c r="E121" t="s">
        <v>21</v>
      </c>
      <c r="F121" t="s">
        <v>670</v>
      </c>
    </row>
    <row r="122" spans="1:6" hidden="1" x14ac:dyDescent="0.25">
      <c r="A122" t="s">
        <v>671</v>
      </c>
      <c r="B122" t="s">
        <v>15</v>
      </c>
      <c r="C122" t="s">
        <v>296</v>
      </c>
      <c r="D122" t="s">
        <v>672</v>
      </c>
      <c r="E122" t="s">
        <v>21</v>
      </c>
      <c r="F122" t="s">
        <v>673</v>
      </c>
    </row>
    <row r="123" spans="1:6" hidden="1" x14ac:dyDescent="0.25">
      <c r="A123" t="s">
        <v>674</v>
      </c>
      <c r="B123" t="s">
        <v>64</v>
      </c>
      <c r="C123" t="s">
        <v>296</v>
      </c>
      <c r="D123" t="s">
        <v>675</v>
      </c>
      <c r="E123" t="s">
        <v>21</v>
      </c>
      <c r="F123" t="s">
        <v>676</v>
      </c>
    </row>
    <row r="124" spans="1:6" hidden="1" x14ac:dyDescent="0.25">
      <c r="A124" t="s">
        <v>677</v>
      </c>
      <c r="B124" t="s">
        <v>78</v>
      </c>
      <c r="C124" t="s">
        <v>296</v>
      </c>
      <c r="D124" t="s">
        <v>678</v>
      </c>
      <c r="E124" t="s">
        <v>21</v>
      </c>
      <c r="F124" t="s">
        <v>679</v>
      </c>
    </row>
    <row r="125" spans="1:6" hidden="1" x14ac:dyDescent="0.25">
      <c r="A125" t="s">
        <v>680</v>
      </c>
      <c r="B125" t="s">
        <v>64</v>
      </c>
      <c r="C125" t="s">
        <v>296</v>
      </c>
      <c r="D125" t="s">
        <v>681</v>
      </c>
      <c r="E125" t="s">
        <v>21</v>
      </c>
      <c r="F125" t="s">
        <v>682</v>
      </c>
    </row>
    <row r="126" spans="1:6" hidden="1" x14ac:dyDescent="0.25">
      <c r="A126" t="s">
        <v>683</v>
      </c>
      <c r="B126" t="s">
        <v>128</v>
      </c>
      <c r="C126" t="s">
        <v>296</v>
      </c>
      <c r="D126" t="s">
        <v>684</v>
      </c>
      <c r="E126" t="s">
        <v>21</v>
      </c>
      <c r="F126" t="s">
        <v>685</v>
      </c>
    </row>
    <row r="127" spans="1:6" hidden="1" x14ac:dyDescent="0.25">
      <c r="A127" t="s">
        <v>686</v>
      </c>
      <c r="B127" t="s">
        <v>211</v>
      </c>
      <c r="C127" t="s">
        <v>296</v>
      </c>
      <c r="D127" t="s">
        <v>687</v>
      </c>
      <c r="E127" t="s">
        <v>21</v>
      </c>
      <c r="F127" t="s">
        <v>688</v>
      </c>
    </row>
    <row r="128" spans="1:6" hidden="1" x14ac:dyDescent="0.25">
      <c r="A128" t="s">
        <v>689</v>
      </c>
      <c r="B128" t="s">
        <v>64</v>
      </c>
      <c r="C128" t="s">
        <v>296</v>
      </c>
      <c r="D128" t="s">
        <v>690</v>
      </c>
      <c r="E128" t="s">
        <v>21</v>
      </c>
      <c r="F128" t="s">
        <v>691</v>
      </c>
    </row>
    <row r="129" spans="1:6" hidden="1" x14ac:dyDescent="0.25">
      <c r="A129" t="s">
        <v>692</v>
      </c>
      <c r="B129" t="s">
        <v>78</v>
      </c>
      <c r="C129" t="s">
        <v>296</v>
      </c>
      <c r="D129" t="s">
        <v>693</v>
      </c>
      <c r="E129" t="s">
        <v>21</v>
      </c>
      <c r="F129" t="s">
        <v>694</v>
      </c>
    </row>
    <row r="130" spans="1:6" hidden="1" x14ac:dyDescent="0.25">
      <c r="A130" t="s">
        <v>695</v>
      </c>
      <c r="B130" t="s">
        <v>142</v>
      </c>
      <c r="C130" t="s">
        <v>296</v>
      </c>
      <c r="D130" t="s">
        <v>696</v>
      </c>
      <c r="E130" t="s">
        <v>21</v>
      </c>
      <c r="F130" t="s">
        <v>697</v>
      </c>
    </row>
    <row r="131" spans="1:6" hidden="1" x14ac:dyDescent="0.25">
      <c r="A131" t="s">
        <v>698</v>
      </c>
      <c r="B131" t="s">
        <v>621</v>
      </c>
      <c r="C131" t="s">
        <v>296</v>
      </c>
      <c r="D131" t="s">
        <v>699</v>
      </c>
      <c r="E131" t="s">
        <v>21</v>
      </c>
      <c r="F131" t="s">
        <v>700</v>
      </c>
    </row>
    <row r="132" spans="1:6" hidden="1" x14ac:dyDescent="0.25">
      <c r="A132" t="s">
        <v>69</v>
      </c>
      <c r="B132" t="s">
        <v>420</v>
      </c>
      <c r="C132" t="s">
        <v>296</v>
      </c>
      <c r="D132" t="s">
        <v>70</v>
      </c>
      <c r="E132" t="s">
        <v>21</v>
      </c>
      <c r="F132" t="s">
        <v>71</v>
      </c>
    </row>
    <row r="133" spans="1:6" hidden="1" x14ac:dyDescent="0.25">
      <c r="A133" t="s">
        <v>701</v>
      </c>
      <c r="B133" t="s">
        <v>702</v>
      </c>
      <c r="C133" t="s">
        <v>478</v>
      </c>
      <c r="D133" t="s">
        <v>703</v>
      </c>
      <c r="E133" t="s">
        <v>21</v>
      </c>
      <c r="F133" t="s">
        <v>704</v>
      </c>
    </row>
    <row r="134" spans="1:6" hidden="1" x14ac:dyDescent="0.25">
      <c r="A134" t="s">
        <v>705</v>
      </c>
      <c r="B134" t="s">
        <v>420</v>
      </c>
      <c r="C134" t="s">
        <v>296</v>
      </c>
      <c r="D134" t="s">
        <v>706</v>
      </c>
      <c r="E134" t="s">
        <v>21</v>
      </c>
      <c r="F134" t="s">
        <v>707</v>
      </c>
    </row>
    <row r="135" spans="1:6" hidden="1" x14ac:dyDescent="0.25">
      <c r="A135" t="s">
        <v>708</v>
      </c>
      <c r="B135" t="s">
        <v>78</v>
      </c>
      <c r="C135" t="s">
        <v>296</v>
      </c>
      <c r="D135" t="s">
        <v>709</v>
      </c>
      <c r="E135" t="s">
        <v>21</v>
      </c>
      <c r="F135" t="s">
        <v>710</v>
      </c>
    </row>
    <row r="136" spans="1:6" hidden="1" x14ac:dyDescent="0.25">
      <c r="A136" t="s">
        <v>711</v>
      </c>
      <c r="B136" t="s">
        <v>322</v>
      </c>
      <c r="C136" t="s">
        <v>296</v>
      </c>
      <c r="D136" t="s">
        <v>712</v>
      </c>
      <c r="E136" t="s">
        <v>21</v>
      </c>
      <c r="F136" t="s">
        <v>713</v>
      </c>
    </row>
    <row r="137" spans="1:6" hidden="1" x14ac:dyDescent="0.25">
      <c r="A137" t="s">
        <v>714</v>
      </c>
      <c r="B137" t="s">
        <v>311</v>
      </c>
      <c r="C137" t="s">
        <v>400</v>
      </c>
      <c r="D137" t="s">
        <v>715</v>
      </c>
      <c r="E137" t="s">
        <v>21</v>
      </c>
      <c r="F137" t="s">
        <v>716</v>
      </c>
    </row>
    <row r="138" spans="1:6" hidden="1" x14ac:dyDescent="0.25">
      <c r="A138" t="s">
        <v>717</v>
      </c>
      <c r="B138" t="s">
        <v>142</v>
      </c>
      <c r="C138" t="s">
        <v>296</v>
      </c>
      <c r="D138" t="s">
        <v>718</v>
      </c>
      <c r="E138" t="s">
        <v>21</v>
      </c>
      <c r="F138" t="s">
        <v>719</v>
      </c>
    </row>
    <row r="139" spans="1:6" hidden="1" x14ac:dyDescent="0.25">
      <c r="A139" t="s">
        <v>720</v>
      </c>
      <c r="B139" t="s">
        <v>553</v>
      </c>
      <c r="C139" t="s">
        <v>296</v>
      </c>
      <c r="D139" t="s">
        <v>721</v>
      </c>
      <c r="E139" t="s">
        <v>21</v>
      </c>
      <c r="F139" t="s">
        <v>722</v>
      </c>
    </row>
    <row r="140" spans="1:6" hidden="1" x14ac:dyDescent="0.25">
      <c r="A140" t="s">
        <v>723</v>
      </c>
      <c r="B140" t="s">
        <v>621</v>
      </c>
      <c r="C140" t="s">
        <v>400</v>
      </c>
      <c r="D140" t="s">
        <v>724</v>
      </c>
      <c r="E140" t="s">
        <v>21</v>
      </c>
      <c r="F140" t="s">
        <v>725</v>
      </c>
    </row>
    <row r="141" spans="1:6" hidden="1" x14ac:dyDescent="0.25">
      <c r="A141" t="s">
        <v>726</v>
      </c>
      <c r="B141" t="s">
        <v>15</v>
      </c>
      <c r="C141" t="s">
        <v>400</v>
      </c>
      <c r="D141" t="s">
        <v>727</v>
      </c>
      <c r="E141" t="s">
        <v>21</v>
      </c>
      <c r="F141" t="s">
        <v>728</v>
      </c>
    </row>
    <row r="142" spans="1:6" hidden="1" x14ac:dyDescent="0.25">
      <c r="A142" t="s">
        <v>729</v>
      </c>
      <c r="B142" t="s">
        <v>64</v>
      </c>
      <c r="C142" t="s">
        <v>296</v>
      </c>
      <c r="D142" t="s">
        <v>730</v>
      </c>
      <c r="E142" t="s">
        <v>21</v>
      </c>
      <c r="F142" t="s">
        <v>731</v>
      </c>
    </row>
    <row r="143" spans="1:6" hidden="1" x14ac:dyDescent="0.25">
      <c r="A143" t="s">
        <v>732</v>
      </c>
      <c r="B143" t="s">
        <v>121</v>
      </c>
      <c r="C143" t="s">
        <v>296</v>
      </c>
      <c r="D143" t="s">
        <v>733</v>
      </c>
      <c r="E143" t="s">
        <v>21</v>
      </c>
      <c r="F143" t="s">
        <v>734</v>
      </c>
    </row>
    <row r="144" spans="1:6" hidden="1" x14ac:dyDescent="0.25">
      <c r="A144" t="s">
        <v>735</v>
      </c>
      <c r="B144" t="s">
        <v>454</v>
      </c>
      <c r="C144" t="s">
        <v>296</v>
      </c>
      <c r="D144" t="s">
        <v>736</v>
      </c>
      <c r="E144" t="s">
        <v>21</v>
      </c>
      <c r="F144" t="s">
        <v>737</v>
      </c>
    </row>
    <row r="145" spans="1:6" hidden="1" x14ac:dyDescent="0.25">
      <c r="A145" t="s">
        <v>738</v>
      </c>
      <c r="B145" t="s">
        <v>211</v>
      </c>
      <c r="C145" t="s">
        <v>296</v>
      </c>
      <c r="D145" t="s">
        <v>739</v>
      </c>
      <c r="E145" t="s">
        <v>21</v>
      </c>
      <c r="F145" t="s">
        <v>740</v>
      </c>
    </row>
    <row r="146" spans="1:6" hidden="1" x14ac:dyDescent="0.25">
      <c r="A146" t="s">
        <v>62</v>
      </c>
      <c r="B146" t="s">
        <v>64</v>
      </c>
      <c r="C146" t="s">
        <v>296</v>
      </c>
      <c r="D146" t="s">
        <v>63</v>
      </c>
      <c r="E146" t="s">
        <v>21</v>
      </c>
      <c r="F146" t="s">
        <v>67</v>
      </c>
    </row>
    <row r="147" spans="1:6" hidden="1" x14ac:dyDescent="0.25">
      <c r="A147" t="s">
        <v>741</v>
      </c>
      <c r="B147" t="s">
        <v>78</v>
      </c>
      <c r="C147" t="s">
        <v>296</v>
      </c>
      <c r="D147" t="s">
        <v>742</v>
      </c>
      <c r="E147" t="s">
        <v>21</v>
      </c>
      <c r="F147" t="s">
        <v>743</v>
      </c>
    </row>
    <row r="148" spans="1:6" hidden="1" x14ac:dyDescent="0.25">
      <c r="A148" t="s">
        <v>744</v>
      </c>
      <c r="B148" t="s">
        <v>410</v>
      </c>
      <c r="C148" t="s">
        <v>585</v>
      </c>
      <c r="D148" t="s">
        <v>745</v>
      </c>
      <c r="E148" t="s">
        <v>21</v>
      </c>
      <c r="F148" t="s">
        <v>746</v>
      </c>
    </row>
    <row r="149" spans="1:6" hidden="1" x14ac:dyDescent="0.25">
      <c r="A149" t="s">
        <v>747</v>
      </c>
      <c r="B149" t="s">
        <v>748</v>
      </c>
      <c r="C149" t="s">
        <v>400</v>
      </c>
      <c r="D149" t="s">
        <v>749</v>
      </c>
      <c r="E149" t="s">
        <v>21</v>
      </c>
      <c r="F149" t="s">
        <v>750</v>
      </c>
    </row>
    <row r="150" spans="1:6" hidden="1" x14ac:dyDescent="0.25">
      <c r="A150" t="s">
        <v>751</v>
      </c>
      <c r="B150" t="s">
        <v>752</v>
      </c>
      <c r="C150" t="s">
        <v>296</v>
      </c>
      <c r="D150" t="s">
        <v>753</v>
      </c>
      <c r="E150" t="s">
        <v>21</v>
      </c>
      <c r="F150" t="s">
        <v>754</v>
      </c>
    </row>
    <row r="151" spans="1:6" hidden="1" x14ac:dyDescent="0.25">
      <c r="A151" t="s">
        <v>755</v>
      </c>
      <c r="B151" t="s">
        <v>420</v>
      </c>
      <c r="C151" t="s">
        <v>296</v>
      </c>
      <c r="D151" t="s">
        <v>756</v>
      </c>
      <c r="E151" t="s">
        <v>21</v>
      </c>
      <c r="F151" t="s">
        <v>757</v>
      </c>
    </row>
    <row r="152" spans="1:6" hidden="1" x14ac:dyDescent="0.25">
      <c r="A152" t="s">
        <v>758</v>
      </c>
      <c r="B152" t="s">
        <v>543</v>
      </c>
      <c r="C152" t="s">
        <v>296</v>
      </c>
      <c r="D152" t="s">
        <v>759</v>
      </c>
      <c r="E152" t="s">
        <v>21</v>
      </c>
      <c r="F152" t="s">
        <v>760</v>
      </c>
    </row>
    <row r="153" spans="1:6" hidden="1" x14ac:dyDescent="0.25">
      <c r="A153" t="s">
        <v>761</v>
      </c>
      <c r="B153" t="s">
        <v>41</v>
      </c>
      <c r="C153" t="s">
        <v>296</v>
      </c>
      <c r="D153" t="s">
        <v>762</v>
      </c>
      <c r="E153" t="s">
        <v>21</v>
      </c>
      <c r="F153" t="s">
        <v>763</v>
      </c>
    </row>
    <row r="154" spans="1:6" hidden="1" x14ac:dyDescent="0.25">
      <c r="A154" t="s">
        <v>764</v>
      </c>
      <c r="B154" t="s">
        <v>97</v>
      </c>
      <c r="C154" t="s">
        <v>296</v>
      </c>
      <c r="D154" t="s">
        <v>765</v>
      </c>
      <c r="E154" t="s">
        <v>21</v>
      </c>
      <c r="F154" t="s">
        <v>766</v>
      </c>
    </row>
    <row r="155" spans="1:6" hidden="1" x14ac:dyDescent="0.25">
      <c r="A155" t="s">
        <v>767</v>
      </c>
      <c r="B155" t="s">
        <v>420</v>
      </c>
      <c r="C155" t="s">
        <v>296</v>
      </c>
      <c r="D155" t="s">
        <v>768</v>
      </c>
      <c r="E155" t="s">
        <v>21</v>
      </c>
      <c r="F155" t="s">
        <v>769</v>
      </c>
    </row>
    <row r="156" spans="1:6" hidden="1" x14ac:dyDescent="0.25">
      <c r="A156" t="s">
        <v>770</v>
      </c>
      <c r="B156" t="s">
        <v>303</v>
      </c>
      <c r="C156" t="s">
        <v>304</v>
      </c>
      <c r="D156" t="s">
        <v>771</v>
      </c>
      <c r="E156" t="s">
        <v>21</v>
      </c>
      <c r="F156" t="s">
        <v>772</v>
      </c>
    </row>
    <row r="157" spans="1:6" hidden="1" x14ac:dyDescent="0.25">
      <c r="A157" t="s">
        <v>773</v>
      </c>
      <c r="B157" t="s">
        <v>15</v>
      </c>
      <c r="C157" t="s">
        <v>296</v>
      </c>
      <c r="D157" t="s">
        <v>774</v>
      </c>
      <c r="E157" t="s">
        <v>21</v>
      </c>
      <c r="F157" t="s">
        <v>775</v>
      </c>
    </row>
    <row r="158" spans="1:6" hidden="1" x14ac:dyDescent="0.25">
      <c r="A158" t="s">
        <v>776</v>
      </c>
      <c r="B158" t="s">
        <v>322</v>
      </c>
      <c r="C158" t="s">
        <v>296</v>
      </c>
      <c r="D158" t="s">
        <v>777</v>
      </c>
      <c r="E158" t="s">
        <v>21</v>
      </c>
      <c r="F158" t="s">
        <v>778</v>
      </c>
    </row>
    <row r="159" spans="1:6" hidden="1" x14ac:dyDescent="0.25">
      <c r="A159" t="s">
        <v>779</v>
      </c>
      <c r="B159" t="s">
        <v>420</v>
      </c>
      <c r="C159" t="s">
        <v>296</v>
      </c>
      <c r="D159" t="s">
        <v>780</v>
      </c>
      <c r="E159" t="s">
        <v>21</v>
      </c>
      <c r="F159" t="s">
        <v>781</v>
      </c>
    </row>
    <row r="160" spans="1:6" hidden="1" x14ac:dyDescent="0.25">
      <c r="A160" t="s">
        <v>782</v>
      </c>
      <c r="B160" t="s">
        <v>702</v>
      </c>
      <c r="C160" t="s">
        <v>478</v>
      </c>
      <c r="D160" t="s">
        <v>783</v>
      </c>
      <c r="E160" t="s">
        <v>21</v>
      </c>
      <c r="F160" t="s">
        <v>784</v>
      </c>
    </row>
    <row r="161" spans="1:6" x14ac:dyDescent="0.25">
      <c r="A161" t="s">
        <v>785</v>
      </c>
      <c r="B161" t="s">
        <v>386</v>
      </c>
      <c r="C161" t="s">
        <v>387</v>
      </c>
      <c r="D161" t="s">
        <v>786</v>
      </c>
      <c r="E161" t="s">
        <v>21</v>
      </c>
      <c r="F161" t="s">
        <v>787</v>
      </c>
    </row>
    <row r="162" spans="1:6" hidden="1" x14ac:dyDescent="0.25">
      <c r="A162" t="s">
        <v>788</v>
      </c>
      <c r="B162" t="s">
        <v>153</v>
      </c>
      <c r="C162" t="s">
        <v>296</v>
      </c>
      <c r="D162" t="s">
        <v>789</v>
      </c>
      <c r="E162" t="s">
        <v>21</v>
      </c>
      <c r="F162" t="s">
        <v>790</v>
      </c>
    </row>
    <row r="163" spans="1:6" hidden="1" x14ac:dyDescent="0.25">
      <c r="A163" t="s">
        <v>791</v>
      </c>
      <c r="B163" t="s">
        <v>420</v>
      </c>
      <c r="C163" t="s">
        <v>296</v>
      </c>
      <c r="D163" t="s">
        <v>792</v>
      </c>
      <c r="E163" t="s">
        <v>21</v>
      </c>
      <c r="F163" t="s">
        <v>793</v>
      </c>
    </row>
    <row r="164" spans="1:6" hidden="1" x14ac:dyDescent="0.25">
      <c r="A164" t="s">
        <v>794</v>
      </c>
      <c r="B164" t="s">
        <v>15</v>
      </c>
      <c r="C164" t="s">
        <v>296</v>
      </c>
      <c r="D164" t="s">
        <v>795</v>
      </c>
      <c r="E164" t="s">
        <v>21</v>
      </c>
      <c r="F164" t="s">
        <v>796</v>
      </c>
    </row>
    <row r="165" spans="1:6" hidden="1" x14ac:dyDescent="0.25">
      <c r="A165" t="s">
        <v>134</v>
      </c>
      <c r="B165" t="s">
        <v>386</v>
      </c>
      <c r="C165" t="s">
        <v>387</v>
      </c>
      <c r="D165" t="s">
        <v>135</v>
      </c>
      <c r="E165" t="s">
        <v>21</v>
      </c>
      <c r="F165" t="s">
        <v>136</v>
      </c>
    </row>
    <row r="166" spans="1:6" hidden="1" x14ac:dyDescent="0.25">
      <c r="A166" t="s">
        <v>797</v>
      </c>
      <c r="B166" t="s">
        <v>322</v>
      </c>
      <c r="C166" t="s">
        <v>296</v>
      </c>
      <c r="D166" t="s">
        <v>798</v>
      </c>
      <c r="E166" t="s">
        <v>21</v>
      </c>
      <c r="F166" t="s">
        <v>799</v>
      </c>
    </row>
    <row r="167" spans="1:6" hidden="1" x14ac:dyDescent="0.25">
      <c r="A167" t="s">
        <v>84</v>
      </c>
      <c r="B167" t="s">
        <v>41</v>
      </c>
      <c r="C167" t="s">
        <v>296</v>
      </c>
      <c r="D167" t="s">
        <v>85</v>
      </c>
      <c r="E167" t="s">
        <v>21</v>
      </c>
      <c r="F167" t="s">
        <v>86</v>
      </c>
    </row>
    <row r="168" spans="1:6" hidden="1" x14ac:dyDescent="0.25">
      <c r="A168" t="s">
        <v>800</v>
      </c>
      <c r="B168" t="s">
        <v>142</v>
      </c>
      <c r="C168" t="s">
        <v>296</v>
      </c>
      <c r="D168" t="s">
        <v>801</v>
      </c>
      <c r="E168" t="s">
        <v>21</v>
      </c>
      <c r="F168" t="s">
        <v>802</v>
      </c>
    </row>
    <row r="169" spans="1:6" hidden="1" x14ac:dyDescent="0.25">
      <c r="A169" t="s">
        <v>803</v>
      </c>
      <c r="B169" t="s">
        <v>437</v>
      </c>
      <c r="C169" t="s">
        <v>598</v>
      </c>
      <c r="D169" t="s">
        <v>804</v>
      </c>
      <c r="E169" t="s">
        <v>21</v>
      </c>
      <c r="F169" t="s">
        <v>805</v>
      </c>
    </row>
    <row r="170" spans="1:6" hidden="1" x14ac:dyDescent="0.25">
      <c r="A170" t="s">
        <v>806</v>
      </c>
      <c r="B170" t="s">
        <v>64</v>
      </c>
      <c r="C170" t="s">
        <v>296</v>
      </c>
      <c r="D170" t="s">
        <v>807</v>
      </c>
      <c r="E170" t="s">
        <v>21</v>
      </c>
      <c r="F170" t="s">
        <v>808</v>
      </c>
    </row>
    <row r="171" spans="1:6" hidden="1" x14ac:dyDescent="0.25">
      <c r="A171" t="s">
        <v>809</v>
      </c>
      <c r="B171" t="s">
        <v>363</v>
      </c>
      <c r="C171" t="s">
        <v>478</v>
      </c>
      <c r="D171" t="s">
        <v>810</v>
      </c>
      <c r="E171" t="s">
        <v>21</v>
      </c>
      <c r="F171" t="s">
        <v>811</v>
      </c>
    </row>
    <row r="172" spans="1:6" hidden="1" x14ac:dyDescent="0.25">
      <c r="A172" t="s">
        <v>812</v>
      </c>
      <c r="B172" t="s">
        <v>437</v>
      </c>
      <c r="C172" t="s">
        <v>598</v>
      </c>
      <c r="D172" t="s">
        <v>813</v>
      </c>
      <c r="E172" t="s">
        <v>21</v>
      </c>
      <c r="F172" t="s">
        <v>814</v>
      </c>
    </row>
    <row r="173" spans="1:6" hidden="1" x14ac:dyDescent="0.25">
      <c r="A173" t="s">
        <v>815</v>
      </c>
      <c r="B173" t="s">
        <v>748</v>
      </c>
      <c r="C173" t="s">
        <v>400</v>
      </c>
      <c r="D173" t="s">
        <v>816</v>
      </c>
      <c r="E173" t="s">
        <v>21</v>
      </c>
      <c r="F173" t="s">
        <v>817</v>
      </c>
    </row>
    <row r="174" spans="1:6" hidden="1" x14ac:dyDescent="0.25">
      <c r="A174" t="s">
        <v>818</v>
      </c>
      <c r="B174" t="s">
        <v>322</v>
      </c>
      <c r="C174" t="s">
        <v>296</v>
      </c>
      <c r="D174" t="s">
        <v>819</v>
      </c>
      <c r="E174" t="s">
        <v>21</v>
      </c>
      <c r="F174" t="s">
        <v>820</v>
      </c>
    </row>
    <row r="175" spans="1:6" hidden="1" x14ac:dyDescent="0.25">
      <c r="A175" t="s">
        <v>821</v>
      </c>
      <c r="B175" t="s">
        <v>78</v>
      </c>
      <c r="C175" t="s">
        <v>296</v>
      </c>
      <c r="D175" t="s">
        <v>822</v>
      </c>
      <c r="E175" t="s">
        <v>21</v>
      </c>
      <c r="F175" t="s">
        <v>823</v>
      </c>
    </row>
    <row r="176" spans="1:6" hidden="1" x14ac:dyDescent="0.25">
      <c r="A176" t="s">
        <v>824</v>
      </c>
      <c r="B176" t="s">
        <v>702</v>
      </c>
      <c r="C176" t="s">
        <v>825</v>
      </c>
      <c r="D176" t="s">
        <v>826</v>
      </c>
      <c r="E176" t="s">
        <v>21</v>
      </c>
      <c r="F176" t="s">
        <v>827</v>
      </c>
    </row>
    <row r="177" spans="1:6" hidden="1" x14ac:dyDescent="0.25">
      <c r="A177" t="s">
        <v>828</v>
      </c>
      <c r="B177" t="s">
        <v>437</v>
      </c>
      <c r="C177" t="s">
        <v>296</v>
      </c>
      <c r="D177" t="s">
        <v>829</v>
      </c>
      <c r="E177" t="s">
        <v>21</v>
      </c>
      <c r="F177" t="s">
        <v>830</v>
      </c>
    </row>
    <row r="178" spans="1:6" hidden="1" x14ac:dyDescent="0.25">
      <c r="A178" t="s">
        <v>831</v>
      </c>
      <c r="B178" t="s">
        <v>142</v>
      </c>
      <c r="C178" t="s">
        <v>296</v>
      </c>
      <c r="D178" t="s">
        <v>832</v>
      </c>
      <c r="E178" t="s">
        <v>21</v>
      </c>
      <c r="F178" t="s">
        <v>833</v>
      </c>
    </row>
    <row r="179" spans="1:6" hidden="1" x14ac:dyDescent="0.25">
      <c r="A179" t="s">
        <v>834</v>
      </c>
      <c r="B179" t="s">
        <v>41</v>
      </c>
      <c r="C179" t="s">
        <v>296</v>
      </c>
      <c r="D179" t="s">
        <v>835</v>
      </c>
      <c r="E179" t="s">
        <v>21</v>
      </c>
      <c r="F179" t="s">
        <v>836</v>
      </c>
    </row>
    <row r="180" spans="1:6" hidden="1" x14ac:dyDescent="0.25">
      <c r="A180" t="s">
        <v>837</v>
      </c>
      <c r="B180" t="s">
        <v>128</v>
      </c>
      <c r="C180" t="s">
        <v>296</v>
      </c>
      <c r="D180" t="s">
        <v>838</v>
      </c>
      <c r="E180" t="s">
        <v>21</v>
      </c>
      <c r="F180" t="s">
        <v>839</v>
      </c>
    </row>
    <row r="181" spans="1:6" hidden="1" x14ac:dyDescent="0.25">
      <c r="A181" t="s">
        <v>840</v>
      </c>
      <c r="B181" t="s">
        <v>41</v>
      </c>
      <c r="C181" t="s">
        <v>296</v>
      </c>
      <c r="D181" t="s">
        <v>841</v>
      </c>
      <c r="E181" t="s">
        <v>21</v>
      </c>
      <c r="F181" t="s">
        <v>842</v>
      </c>
    </row>
    <row r="182" spans="1:6" hidden="1" x14ac:dyDescent="0.25">
      <c r="A182" t="s">
        <v>843</v>
      </c>
      <c r="B182" t="s">
        <v>322</v>
      </c>
      <c r="C182" t="s">
        <v>296</v>
      </c>
      <c r="D182" t="s">
        <v>844</v>
      </c>
      <c r="E182" t="s">
        <v>21</v>
      </c>
      <c r="F182" t="s">
        <v>845</v>
      </c>
    </row>
    <row r="183" spans="1:6" hidden="1" x14ac:dyDescent="0.25">
      <c r="A183" t="s">
        <v>846</v>
      </c>
      <c r="B183" t="s">
        <v>702</v>
      </c>
      <c r="C183" t="s">
        <v>825</v>
      </c>
      <c r="D183" t="s">
        <v>847</v>
      </c>
      <c r="E183" t="s">
        <v>21</v>
      </c>
      <c r="F183" t="s">
        <v>848</v>
      </c>
    </row>
    <row r="184" spans="1:6" hidden="1" x14ac:dyDescent="0.25">
      <c r="A184" t="s">
        <v>849</v>
      </c>
      <c r="B184" t="s">
        <v>142</v>
      </c>
      <c r="C184" t="s">
        <v>296</v>
      </c>
      <c r="D184" t="s">
        <v>850</v>
      </c>
      <c r="E184" t="s">
        <v>21</v>
      </c>
      <c r="F184" t="s">
        <v>851</v>
      </c>
    </row>
    <row r="185" spans="1:6" hidden="1" x14ac:dyDescent="0.25">
      <c r="A185" t="s">
        <v>852</v>
      </c>
      <c r="B185" t="s">
        <v>853</v>
      </c>
      <c r="C185" t="s">
        <v>296</v>
      </c>
      <c r="D185" t="s">
        <v>854</v>
      </c>
      <c r="E185" t="s">
        <v>21</v>
      </c>
      <c r="F185" t="s">
        <v>855</v>
      </c>
    </row>
    <row r="186" spans="1:6" hidden="1" x14ac:dyDescent="0.25">
      <c r="A186" t="s">
        <v>856</v>
      </c>
      <c r="B186" t="s">
        <v>197</v>
      </c>
      <c r="C186" t="s">
        <v>296</v>
      </c>
      <c r="D186" t="s">
        <v>857</v>
      </c>
      <c r="E186" t="s">
        <v>21</v>
      </c>
      <c r="F186" t="s">
        <v>858</v>
      </c>
    </row>
    <row r="187" spans="1:6" hidden="1" x14ac:dyDescent="0.25">
      <c r="A187" t="s">
        <v>859</v>
      </c>
      <c r="B187" t="s">
        <v>356</v>
      </c>
      <c r="C187" t="s">
        <v>296</v>
      </c>
      <c r="D187" t="s">
        <v>860</v>
      </c>
      <c r="E187" t="s">
        <v>21</v>
      </c>
      <c r="F187" t="s">
        <v>861</v>
      </c>
    </row>
    <row r="188" spans="1:6" hidden="1" x14ac:dyDescent="0.25">
      <c r="A188" t="s">
        <v>862</v>
      </c>
      <c r="B188" t="s">
        <v>82</v>
      </c>
      <c r="C188" t="s">
        <v>296</v>
      </c>
      <c r="D188" t="s">
        <v>863</v>
      </c>
      <c r="E188" t="s">
        <v>21</v>
      </c>
      <c r="F188" t="s">
        <v>864</v>
      </c>
    </row>
    <row r="189" spans="1:6" hidden="1" x14ac:dyDescent="0.25">
      <c r="A189" t="s">
        <v>865</v>
      </c>
      <c r="B189" t="s">
        <v>326</v>
      </c>
      <c r="C189" t="s">
        <v>296</v>
      </c>
      <c r="D189" t="s">
        <v>866</v>
      </c>
      <c r="E189" t="s">
        <v>21</v>
      </c>
      <c r="F189" t="s">
        <v>867</v>
      </c>
    </row>
    <row r="190" spans="1:6" hidden="1" x14ac:dyDescent="0.25">
      <c r="A190" t="s">
        <v>868</v>
      </c>
      <c r="B190" t="s">
        <v>356</v>
      </c>
      <c r="C190" t="s">
        <v>296</v>
      </c>
      <c r="D190" t="s">
        <v>869</v>
      </c>
      <c r="E190" t="s">
        <v>21</v>
      </c>
      <c r="F190" t="s">
        <v>870</v>
      </c>
    </row>
    <row r="191" spans="1:6" hidden="1" x14ac:dyDescent="0.25">
      <c r="A191" t="s">
        <v>871</v>
      </c>
      <c r="B191" t="s">
        <v>211</v>
      </c>
      <c r="C191" t="s">
        <v>296</v>
      </c>
      <c r="D191" t="s">
        <v>872</v>
      </c>
      <c r="E191" t="s">
        <v>21</v>
      </c>
      <c r="F191" t="s">
        <v>873</v>
      </c>
    </row>
    <row r="192" spans="1:6" hidden="1" x14ac:dyDescent="0.25">
      <c r="A192" t="s">
        <v>874</v>
      </c>
      <c r="B192" t="s">
        <v>454</v>
      </c>
      <c r="C192" t="s">
        <v>296</v>
      </c>
      <c r="D192" t="s">
        <v>875</v>
      </c>
      <c r="E192" t="s">
        <v>21</v>
      </c>
      <c r="F192" t="s">
        <v>876</v>
      </c>
    </row>
    <row r="193" spans="1:6" hidden="1" x14ac:dyDescent="0.25">
      <c r="A193" t="s">
        <v>877</v>
      </c>
      <c r="B193" t="s">
        <v>211</v>
      </c>
      <c r="C193" t="s">
        <v>296</v>
      </c>
      <c r="D193" t="s">
        <v>878</v>
      </c>
      <c r="E193" t="s">
        <v>21</v>
      </c>
      <c r="F193" t="s">
        <v>879</v>
      </c>
    </row>
    <row r="194" spans="1:6" hidden="1" x14ac:dyDescent="0.25">
      <c r="A194" t="s">
        <v>880</v>
      </c>
      <c r="B194" t="s">
        <v>437</v>
      </c>
      <c r="C194" t="s">
        <v>480</v>
      </c>
      <c r="D194" t="s">
        <v>881</v>
      </c>
      <c r="E194" t="s">
        <v>21</v>
      </c>
      <c r="F194" t="s">
        <v>882</v>
      </c>
    </row>
    <row r="195" spans="1:6" hidden="1" x14ac:dyDescent="0.25">
      <c r="A195" t="s">
        <v>883</v>
      </c>
      <c r="B195" t="s">
        <v>437</v>
      </c>
      <c r="C195" t="s">
        <v>598</v>
      </c>
      <c r="D195" t="s">
        <v>884</v>
      </c>
      <c r="E195" t="s">
        <v>21</v>
      </c>
      <c r="F195" t="s">
        <v>885</v>
      </c>
    </row>
    <row r="196" spans="1:6" hidden="1" x14ac:dyDescent="0.25">
      <c r="A196" t="s">
        <v>886</v>
      </c>
      <c r="B196" t="s">
        <v>553</v>
      </c>
      <c r="C196" t="s">
        <v>296</v>
      </c>
      <c r="D196" t="s">
        <v>887</v>
      </c>
      <c r="E196" t="s">
        <v>21</v>
      </c>
      <c r="F196" t="s">
        <v>888</v>
      </c>
    </row>
    <row r="197" spans="1:6" hidden="1" x14ac:dyDescent="0.25">
      <c r="A197" t="s">
        <v>889</v>
      </c>
      <c r="B197" t="s">
        <v>322</v>
      </c>
      <c r="C197" t="s">
        <v>296</v>
      </c>
      <c r="D197" t="s">
        <v>890</v>
      </c>
      <c r="E197" t="s">
        <v>21</v>
      </c>
      <c r="F197" t="s">
        <v>891</v>
      </c>
    </row>
    <row r="198" spans="1:6" hidden="1" x14ac:dyDescent="0.25">
      <c r="A198" t="s">
        <v>892</v>
      </c>
      <c r="B198" t="s">
        <v>386</v>
      </c>
      <c r="C198" t="s">
        <v>387</v>
      </c>
      <c r="D198" t="s">
        <v>893</v>
      </c>
      <c r="E198" t="s">
        <v>21</v>
      </c>
      <c r="F198" t="s">
        <v>894</v>
      </c>
    </row>
    <row r="199" spans="1:6" hidden="1" x14ac:dyDescent="0.25">
      <c r="A199" t="s">
        <v>895</v>
      </c>
      <c r="B199" t="s">
        <v>64</v>
      </c>
      <c r="C199" t="s">
        <v>296</v>
      </c>
      <c r="D199" t="s">
        <v>896</v>
      </c>
      <c r="E199" t="s">
        <v>21</v>
      </c>
      <c r="F199" t="s">
        <v>897</v>
      </c>
    </row>
    <row r="200" spans="1:6" hidden="1" x14ac:dyDescent="0.25">
      <c r="A200" t="s">
        <v>898</v>
      </c>
      <c r="B200" t="s">
        <v>15</v>
      </c>
      <c r="C200" t="s">
        <v>296</v>
      </c>
      <c r="D200" t="s">
        <v>899</v>
      </c>
      <c r="E200" t="s">
        <v>21</v>
      </c>
      <c r="F200" t="s">
        <v>900</v>
      </c>
    </row>
    <row r="201" spans="1:6" hidden="1" x14ac:dyDescent="0.25">
      <c r="A201" t="s">
        <v>901</v>
      </c>
      <c r="B201" t="s">
        <v>410</v>
      </c>
      <c r="C201" t="s">
        <v>296</v>
      </c>
      <c r="D201" t="s">
        <v>902</v>
      </c>
      <c r="E201" t="s">
        <v>21</v>
      </c>
      <c r="F201" t="s">
        <v>903</v>
      </c>
    </row>
    <row r="202" spans="1:6" hidden="1" x14ac:dyDescent="0.25">
      <c r="A202" t="s">
        <v>904</v>
      </c>
      <c r="B202" t="s">
        <v>702</v>
      </c>
      <c r="C202" t="s">
        <v>825</v>
      </c>
      <c r="D202" t="s">
        <v>905</v>
      </c>
      <c r="E202" t="s">
        <v>21</v>
      </c>
      <c r="F202" t="s">
        <v>906</v>
      </c>
    </row>
    <row r="203" spans="1:6" hidden="1" x14ac:dyDescent="0.25">
      <c r="A203" t="s">
        <v>907</v>
      </c>
      <c r="B203" t="s">
        <v>322</v>
      </c>
      <c r="C203" t="s">
        <v>296</v>
      </c>
      <c r="D203" t="s">
        <v>908</v>
      </c>
      <c r="E203" t="s">
        <v>21</v>
      </c>
      <c r="F203" t="s">
        <v>909</v>
      </c>
    </row>
    <row r="204" spans="1:6" hidden="1" x14ac:dyDescent="0.25">
      <c r="A204" t="s">
        <v>910</v>
      </c>
      <c r="B204" t="s">
        <v>420</v>
      </c>
      <c r="C204" t="s">
        <v>296</v>
      </c>
      <c r="D204" t="s">
        <v>911</v>
      </c>
      <c r="E204" t="s">
        <v>21</v>
      </c>
      <c r="F204" t="s">
        <v>912</v>
      </c>
    </row>
    <row r="205" spans="1:6" hidden="1" x14ac:dyDescent="0.25">
      <c r="A205" t="s">
        <v>913</v>
      </c>
      <c r="B205" t="s">
        <v>621</v>
      </c>
      <c r="C205" t="s">
        <v>914</v>
      </c>
      <c r="D205" t="s">
        <v>915</v>
      </c>
      <c r="E205" t="s">
        <v>21</v>
      </c>
      <c r="F205" t="s">
        <v>916</v>
      </c>
    </row>
    <row r="206" spans="1:6" hidden="1" x14ac:dyDescent="0.25">
      <c r="A206" t="s">
        <v>917</v>
      </c>
      <c r="B206" t="s">
        <v>142</v>
      </c>
      <c r="C206" t="s">
        <v>296</v>
      </c>
      <c r="D206" t="s">
        <v>918</v>
      </c>
      <c r="E206" t="s">
        <v>21</v>
      </c>
      <c r="F206" t="s">
        <v>919</v>
      </c>
    </row>
    <row r="207" spans="1:6" hidden="1" x14ac:dyDescent="0.25">
      <c r="A207" t="s">
        <v>920</v>
      </c>
      <c r="B207" t="s">
        <v>921</v>
      </c>
      <c r="C207" t="s">
        <v>400</v>
      </c>
      <c r="D207" t="s">
        <v>922</v>
      </c>
      <c r="E207" t="s">
        <v>21</v>
      </c>
      <c r="F207" t="s">
        <v>923</v>
      </c>
    </row>
    <row r="208" spans="1:6" hidden="1" x14ac:dyDescent="0.25">
      <c r="A208" t="s">
        <v>924</v>
      </c>
      <c r="B208" t="s">
        <v>160</v>
      </c>
      <c r="C208" t="s">
        <v>296</v>
      </c>
      <c r="D208" t="s">
        <v>925</v>
      </c>
      <c r="E208" t="s">
        <v>21</v>
      </c>
      <c r="F208" t="s">
        <v>926</v>
      </c>
    </row>
    <row r="209" spans="1:6" hidden="1" x14ac:dyDescent="0.25">
      <c r="A209" t="s">
        <v>113</v>
      </c>
      <c r="B209" t="s">
        <v>64</v>
      </c>
      <c r="C209" t="s">
        <v>296</v>
      </c>
      <c r="D209" t="s">
        <v>114</v>
      </c>
      <c r="E209" t="s">
        <v>21</v>
      </c>
      <c r="F209" t="s">
        <v>117</v>
      </c>
    </row>
    <row r="210" spans="1:6" hidden="1" x14ac:dyDescent="0.25">
      <c r="A210" t="s">
        <v>927</v>
      </c>
      <c r="B210" t="s">
        <v>343</v>
      </c>
      <c r="C210" t="s">
        <v>296</v>
      </c>
      <c r="D210" t="s">
        <v>928</v>
      </c>
      <c r="E210" t="s">
        <v>21</v>
      </c>
      <c r="F210" t="s">
        <v>929</v>
      </c>
    </row>
    <row r="211" spans="1:6" hidden="1" x14ac:dyDescent="0.25">
      <c r="A211" t="s">
        <v>930</v>
      </c>
      <c r="B211" t="s">
        <v>702</v>
      </c>
      <c r="C211" t="s">
        <v>825</v>
      </c>
      <c r="D211" t="s">
        <v>931</v>
      </c>
      <c r="E211" t="s">
        <v>21</v>
      </c>
      <c r="F211" t="s">
        <v>932</v>
      </c>
    </row>
    <row r="212" spans="1:6" hidden="1" x14ac:dyDescent="0.25">
      <c r="A212" t="s">
        <v>933</v>
      </c>
      <c r="B212" t="s">
        <v>437</v>
      </c>
      <c r="C212" t="s">
        <v>480</v>
      </c>
      <c r="D212" t="s">
        <v>934</v>
      </c>
      <c r="E212" t="s">
        <v>21</v>
      </c>
      <c r="F212" t="s">
        <v>935</v>
      </c>
    </row>
    <row r="213" spans="1:6" hidden="1" x14ac:dyDescent="0.25">
      <c r="A213" t="s">
        <v>936</v>
      </c>
      <c r="B213" t="s">
        <v>132</v>
      </c>
      <c r="C213" t="s">
        <v>296</v>
      </c>
      <c r="D213" t="s">
        <v>937</v>
      </c>
      <c r="E213" t="s">
        <v>21</v>
      </c>
      <c r="F213" t="s">
        <v>938</v>
      </c>
    </row>
    <row r="214" spans="1:6" hidden="1" x14ac:dyDescent="0.25">
      <c r="A214" t="s">
        <v>939</v>
      </c>
      <c r="B214" t="s">
        <v>128</v>
      </c>
      <c r="C214" t="s">
        <v>296</v>
      </c>
      <c r="D214" t="s">
        <v>940</v>
      </c>
      <c r="E214" t="s">
        <v>21</v>
      </c>
      <c r="F214" t="s">
        <v>941</v>
      </c>
    </row>
    <row r="215" spans="1:6" hidden="1" x14ac:dyDescent="0.25">
      <c r="A215" t="s">
        <v>942</v>
      </c>
      <c r="B215" t="s">
        <v>943</v>
      </c>
      <c r="C215" t="s">
        <v>296</v>
      </c>
      <c r="D215" t="s">
        <v>944</v>
      </c>
      <c r="E215" t="s">
        <v>21</v>
      </c>
      <c r="F215" t="s">
        <v>945</v>
      </c>
    </row>
    <row r="216" spans="1:6" hidden="1" x14ac:dyDescent="0.25">
      <c r="A216" t="s">
        <v>946</v>
      </c>
      <c r="B216" t="s">
        <v>382</v>
      </c>
      <c r="C216" t="s">
        <v>296</v>
      </c>
      <c r="D216" t="s">
        <v>947</v>
      </c>
      <c r="E216" t="s">
        <v>21</v>
      </c>
      <c r="F216" t="s">
        <v>948</v>
      </c>
    </row>
    <row r="217" spans="1:6" hidden="1" x14ac:dyDescent="0.25">
      <c r="A217" t="s">
        <v>949</v>
      </c>
      <c r="B217" t="s">
        <v>566</v>
      </c>
      <c r="C217" t="s">
        <v>585</v>
      </c>
      <c r="D217" t="s">
        <v>950</v>
      </c>
      <c r="E217" t="s">
        <v>21</v>
      </c>
      <c r="F217" t="s">
        <v>951</v>
      </c>
    </row>
    <row r="218" spans="1:6" hidden="1" x14ac:dyDescent="0.25">
      <c r="A218" t="s">
        <v>952</v>
      </c>
      <c r="B218" t="s">
        <v>543</v>
      </c>
      <c r="C218" t="s">
        <v>296</v>
      </c>
      <c r="D218" t="s">
        <v>953</v>
      </c>
      <c r="E218" t="s">
        <v>21</v>
      </c>
      <c r="F218" t="s">
        <v>954</v>
      </c>
    </row>
    <row r="219" spans="1:6" hidden="1" x14ac:dyDescent="0.25">
      <c r="A219" t="s">
        <v>955</v>
      </c>
      <c r="B219" t="s">
        <v>142</v>
      </c>
      <c r="C219" t="s">
        <v>296</v>
      </c>
      <c r="D219" t="s">
        <v>956</v>
      </c>
      <c r="E219" t="s">
        <v>21</v>
      </c>
      <c r="F219" t="s">
        <v>957</v>
      </c>
    </row>
    <row r="220" spans="1:6" hidden="1" x14ac:dyDescent="0.25">
      <c r="A220" t="s">
        <v>244</v>
      </c>
      <c r="B220" t="s">
        <v>386</v>
      </c>
      <c r="C220" t="s">
        <v>387</v>
      </c>
      <c r="D220" t="s">
        <v>245</v>
      </c>
      <c r="E220" t="s">
        <v>21</v>
      </c>
      <c r="F220" t="s">
        <v>246</v>
      </c>
    </row>
    <row r="221" spans="1:6" hidden="1" x14ac:dyDescent="0.25">
      <c r="A221" t="s">
        <v>958</v>
      </c>
      <c r="B221" t="s">
        <v>153</v>
      </c>
      <c r="C221" t="s">
        <v>585</v>
      </c>
      <c r="D221" t="s">
        <v>959</v>
      </c>
      <c r="E221" t="s">
        <v>21</v>
      </c>
      <c r="F221" t="s">
        <v>960</v>
      </c>
    </row>
    <row r="222" spans="1:6" hidden="1" x14ac:dyDescent="0.25">
      <c r="A222" t="s">
        <v>961</v>
      </c>
      <c r="B222" t="s">
        <v>437</v>
      </c>
      <c r="C222" t="s">
        <v>598</v>
      </c>
      <c r="D222" t="s">
        <v>962</v>
      </c>
      <c r="E222" t="s">
        <v>21</v>
      </c>
      <c r="F222" t="s">
        <v>963</v>
      </c>
    </row>
    <row r="223" spans="1:6" hidden="1" x14ac:dyDescent="0.25">
      <c r="A223" t="s">
        <v>964</v>
      </c>
      <c r="B223" t="s">
        <v>752</v>
      </c>
      <c r="C223" t="s">
        <v>296</v>
      </c>
      <c r="D223" t="s">
        <v>965</v>
      </c>
      <c r="E223" t="s">
        <v>21</v>
      </c>
      <c r="F223" t="s">
        <v>966</v>
      </c>
    </row>
    <row r="224" spans="1:6" hidden="1" x14ac:dyDescent="0.25">
      <c r="A224" t="s">
        <v>967</v>
      </c>
      <c r="B224" t="s">
        <v>343</v>
      </c>
      <c r="C224" t="s">
        <v>296</v>
      </c>
      <c r="D224" t="s">
        <v>968</v>
      </c>
      <c r="E224" t="s">
        <v>21</v>
      </c>
      <c r="F224" t="s">
        <v>969</v>
      </c>
    </row>
    <row r="225" spans="1:6" hidden="1" x14ac:dyDescent="0.25">
      <c r="A225" t="s">
        <v>970</v>
      </c>
      <c r="B225" t="s">
        <v>702</v>
      </c>
      <c r="C225" t="s">
        <v>825</v>
      </c>
      <c r="D225" t="s">
        <v>971</v>
      </c>
      <c r="E225" t="s">
        <v>21</v>
      </c>
      <c r="F225" t="s">
        <v>972</v>
      </c>
    </row>
    <row r="226" spans="1:6" hidden="1" x14ac:dyDescent="0.25">
      <c r="A226" t="s">
        <v>973</v>
      </c>
      <c r="B226" t="s">
        <v>363</v>
      </c>
      <c r="C226" t="s">
        <v>974</v>
      </c>
      <c r="D226" t="s">
        <v>975</v>
      </c>
      <c r="E226" t="s">
        <v>21</v>
      </c>
      <c r="F226" t="s">
        <v>976</v>
      </c>
    </row>
    <row r="227" spans="1:6" hidden="1" x14ac:dyDescent="0.25">
      <c r="A227" t="s">
        <v>977</v>
      </c>
      <c r="B227" t="s">
        <v>702</v>
      </c>
      <c r="C227" t="s">
        <v>478</v>
      </c>
      <c r="D227" t="s">
        <v>978</v>
      </c>
      <c r="E227" t="s">
        <v>21</v>
      </c>
      <c r="F227" t="s">
        <v>979</v>
      </c>
    </row>
    <row r="228" spans="1:6" hidden="1" x14ac:dyDescent="0.25">
      <c r="A228" t="s">
        <v>980</v>
      </c>
      <c r="B228" t="s">
        <v>64</v>
      </c>
      <c r="C228" t="s">
        <v>296</v>
      </c>
      <c r="D228" t="s">
        <v>981</v>
      </c>
      <c r="E228" t="s">
        <v>21</v>
      </c>
      <c r="F228" t="s">
        <v>982</v>
      </c>
    </row>
    <row r="229" spans="1:6" hidden="1" x14ac:dyDescent="0.25">
      <c r="A229" t="s">
        <v>983</v>
      </c>
      <c r="B229" t="s">
        <v>64</v>
      </c>
      <c r="C229" t="s">
        <v>296</v>
      </c>
      <c r="D229" t="s">
        <v>984</v>
      </c>
      <c r="E229" t="s">
        <v>21</v>
      </c>
      <c r="F229" t="s">
        <v>985</v>
      </c>
    </row>
    <row r="230" spans="1:6" hidden="1" x14ac:dyDescent="0.25">
      <c r="A230" t="s">
        <v>986</v>
      </c>
      <c r="B230" t="s">
        <v>78</v>
      </c>
      <c r="C230" t="s">
        <v>296</v>
      </c>
      <c r="D230" t="s">
        <v>987</v>
      </c>
      <c r="E230" t="s">
        <v>21</v>
      </c>
      <c r="F230" t="s">
        <v>988</v>
      </c>
    </row>
    <row r="231" spans="1:6" hidden="1" x14ac:dyDescent="0.25">
      <c r="A231" t="s">
        <v>989</v>
      </c>
      <c r="B231" t="s">
        <v>64</v>
      </c>
      <c r="C231" t="s">
        <v>296</v>
      </c>
      <c r="D231" t="s">
        <v>990</v>
      </c>
      <c r="E231" t="s">
        <v>21</v>
      </c>
      <c r="F231" t="s">
        <v>991</v>
      </c>
    </row>
    <row r="232" spans="1:6" hidden="1" x14ac:dyDescent="0.25">
      <c r="A232" t="s">
        <v>992</v>
      </c>
      <c r="B232" t="s">
        <v>386</v>
      </c>
      <c r="C232" t="s">
        <v>387</v>
      </c>
      <c r="D232" t="s">
        <v>993</v>
      </c>
      <c r="E232" t="s">
        <v>21</v>
      </c>
      <c r="F232" t="s">
        <v>994</v>
      </c>
    </row>
    <row r="233" spans="1:6" hidden="1" x14ac:dyDescent="0.25">
      <c r="A233" t="s">
        <v>995</v>
      </c>
      <c r="B233" t="s">
        <v>326</v>
      </c>
      <c r="C233" t="s">
        <v>296</v>
      </c>
      <c r="D233" t="s">
        <v>996</v>
      </c>
      <c r="E233" t="s">
        <v>21</v>
      </c>
      <c r="F233" t="s">
        <v>997</v>
      </c>
    </row>
    <row r="234" spans="1:6" hidden="1" x14ac:dyDescent="0.25">
      <c r="A234" t="s">
        <v>998</v>
      </c>
      <c r="B234" t="s">
        <v>999</v>
      </c>
      <c r="C234" t="s">
        <v>1000</v>
      </c>
      <c r="D234" t="s">
        <v>1001</v>
      </c>
      <c r="E234" t="s">
        <v>21</v>
      </c>
      <c r="F234" t="s">
        <v>1002</v>
      </c>
    </row>
    <row r="235" spans="1:6" hidden="1" x14ac:dyDescent="0.25">
      <c r="A235" t="s">
        <v>1003</v>
      </c>
      <c r="B235" t="s">
        <v>326</v>
      </c>
      <c r="C235" t="s">
        <v>296</v>
      </c>
      <c r="D235" t="s">
        <v>1004</v>
      </c>
      <c r="E235" t="s">
        <v>21</v>
      </c>
      <c r="F235" t="s">
        <v>1005</v>
      </c>
    </row>
    <row r="236" spans="1:6" hidden="1" x14ac:dyDescent="0.25">
      <c r="A236" t="s">
        <v>1006</v>
      </c>
      <c r="B236" t="s">
        <v>543</v>
      </c>
      <c r="C236" t="s">
        <v>296</v>
      </c>
      <c r="D236" t="s">
        <v>1007</v>
      </c>
      <c r="E236" t="s">
        <v>21</v>
      </c>
      <c r="F236" t="s">
        <v>1008</v>
      </c>
    </row>
    <row r="237" spans="1:6" hidden="1" x14ac:dyDescent="0.25">
      <c r="A237" t="s">
        <v>1009</v>
      </c>
      <c r="B237" t="s">
        <v>420</v>
      </c>
      <c r="C237" t="s">
        <v>296</v>
      </c>
      <c r="D237" t="s">
        <v>1010</v>
      </c>
      <c r="E237" t="s">
        <v>21</v>
      </c>
      <c r="F237" t="s">
        <v>1011</v>
      </c>
    </row>
    <row r="238" spans="1:6" hidden="1" x14ac:dyDescent="0.25">
      <c r="A238" t="s">
        <v>1012</v>
      </c>
      <c r="B238" t="s">
        <v>454</v>
      </c>
      <c r="C238" t="s">
        <v>296</v>
      </c>
      <c r="D238" t="s">
        <v>1013</v>
      </c>
      <c r="E238" t="s">
        <v>21</v>
      </c>
      <c r="F238" t="s">
        <v>1014</v>
      </c>
    </row>
    <row r="239" spans="1:6" hidden="1" x14ac:dyDescent="0.25">
      <c r="A239" t="s">
        <v>1015</v>
      </c>
      <c r="B239" t="s">
        <v>382</v>
      </c>
      <c r="C239" t="s">
        <v>296</v>
      </c>
      <c r="D239" t="s">
        <v>1016</v>
      </c>
      <c r="E239" t="s">
        <v>21</v>
      </c>
      <c r="F239" t="s">
        <v>1017</v>
      </c>
    </row>
    <row r="240" spans="1:6" hidden="1" x14ac:dyDescent="0.25">
      <c r="A240" t="s">
        <v>1018</v>
      </c>
      <c r="B240" t="s">
        <v>322</v>
      </c>
      <c r="C240" t="s">
        <v>400</v>
      </c>
      <c r="D240" t="s">
        <v>1019</v>
      </c>
      <c r="E240" t="s">
        <v>21</v>
      </c>
      <c r="F240" t="s">
        <v>1020</v>
      </c>
    </row>
    <row r="241" spans="1:6" hidden="1" x14ac:dyDescent="0.25">
      <c r="A241" t="s">
        <v>167</v>
      </c>
      <c r="B241" t="s">
        <v>41</v>
      </c>
      <c r="C241" t="s">
        <v>296</v>
      </c>
      <c r="D241" t="s">
        <v>168</v>
      </c>
      <c r="E241" t="s">
        <v>21</v>
      </c>
      <c r="F241" t="s">
        <v>170</v>
      </c>
    </row>
    <row r="242" spans="1:6" hidden="1" x14ac:dyDescent="0.25">
      <c r="A242" t="s">
        <v>1021</v>
      </c>
      <c r="B242" t="s">
        <v>142</v>
      </c>
      <c r="C242" t="s">
        <v>296</v>
      </c>
      <c r="D242" t="s">
        <v>1022</v>
      </c>
      <c r="E242" t="s">
        <v>21</v>
      </c>
      <c r="F242" t="s">
        <v>1023</v>
      </c>
    </row>
    <row r="243" spans="1:6" hidden="1" x14ac:dyDescent="0.25">
      <c r="A243" t="s">
        <v>1024</v>
      </c>
      <c r="B243" t="s">
        <v>121</v>
      </c>
      <c r="C243" t="s">
        <v>296</v>
      </c>
      <c r="D243" t="s">
        <v>1025</v>
      </c>
      <c r="E243" t="s">
        <v>21</v>
      </c>
      <c r="F243" t="s">
        <v>1026</v>
      </c>
    </row>
    <row r="244" spans="1:6" hidden="1" x14ac:dyDescent="0.25">
      <c r="A244" t="s">
        <v>1027</v>
      </c>
      <c r="B244" t="s">
        <v>15</v>
      </c>
      <c r="C244" t="s">
        <v>296</v>
      </c>
      <c r="D244" t="s">
        <v>1028</v>
      </c>
      <c r="E244" t="s">
        <v>21</v>
      </c>
      <c r="F244" t="s">
        <v>1029</v>
      </c>
    </row>
    <row r="245" spans="1:6" hidden="1" x14ac:dyDescent="0.25">
      <c r="A245" t="s">
        <v>1030</v>
      </c>
      <c r="B245" t="s">
        <v>142</v>
      </c>
      <c r="C245" t="s">
        <v>296</v>
      </c>
      <c r="D245" t="s">
        <v>1031</v>
      </c>
      <c r="E245" t="s">
        <v>21</v>
      </c>
      <c r="F245" t="s">
        <v>1032</v>
      </c>
    </row>
    <row r="246" spans="1:6" hidden="1" x14ac:dyDescent="0.25">
      <c r="A246" t="s">
        <v>1033</v>
      </c>
      <c r="B246" t="s">
        <v>543</v>
      </c>
      <c r="C246" t="s">
        <v>296</v>
      </c>
      <c r="D246" t="s">
        <v>1034</v>
      </c>
      <c r="E246" t="s">
        <v>21</v>
      </c>
      <c r="F246" t="s">
        <v>1035</v>
      </c>
    </row>
    <row r="247" spans="1:6" hidden="1" x14ac:dyDescent="0.25">
      <c r="A247" t="s">
        <v>1036</v>
      </c>
      <c r="B247" t="s">
        <v>132</v>
      </c>
      <c r="C247" t="s">
        <v>296</v>
      </c>
      <c r="D247" t="s">
        <v>1037</v>
      </c>
      <c r="E247" t="s">
        <v>21</v>
      </c>
      <c r="F247" t="s">
        <v>1038</v>
      </c>
    </row>
    <row r="248" spans="1:6" hidden="1" x14ac:dyDescent="0.25">
      <c r="A248" t="s">
        <v>1039</v>
      </c>
      <c r="B248" t="s">
        <v>78</v>
      </c>
      <c r="C248" t="s">
        <v>296</v>
      </c>
      <c r="D248" t="s">
        <v>1040</v>
      </c>
      <c r="E248" t="s">
        <v>21</v>
      </c>
      <c r="F248" t="s">
        <v>1041</v>
      </c>
    </row>
    <row r="249" spans="1:6" hidden="1" x14ac:dyDescent="0.25">
      <c r="A249" t="s">
        <v>1042</v>
      </c>
      <c r="B249" t="s">
        <v>82</v>
      </c>
      <c r="C249" t="s">
        <v>296</v>
      </c>
      <c r="D249" t="s">
        <v>1043</v>
      </c>
      <c r="E249" t="s">
        <v>21</v>
      </c>
      <c r="F249" t="s">
        <v>1044</v>
      </c>
    </row>
    <row r="250" spans="1:6" hidden="1" x14ac:dyDescent="0.25">
      <c r="A250" t="s">
        <v>1045</v>
      </c>
      <c r="B250" t="s">
        <v>410</v>
      </c>
      <c r="C250" t="s">
        <v>296</v>
      </c>
      <c r="D250" t="s">
        <v>1046</v>
      </c>
      <c r="E250" t="s">
        <v>21</v>
      </c>
      <c r="F250" t="s">
        <v>1047</v>
      </c>
    </row>
    <row r="251" spans="1:6" hidden="1" x14ac:dyDescent="0.25">
      <c r="A251" t="s">
        <v>1048</v>
      </c>
      <c r="B251" t="s">
        <v>211</v>
      </c>
      <c r="C251" t="s">
        <v>296</v>
      </c>
      <c r="D251" t="s">
        <v>1049</v>
      </c>
      <c r="E251" t="s">
        <v>21</v>
      </c>
      <c r="F251" t="s">
        <v>1050</v>
      </c>
    </row>
    <row r="252" spans="1:6" hidden="1" x14ac:dyDescent="0.25">
      <c r="A252" t="s">
        <v>1051</v>
      </c>
      <c r="B252" t="s">
        <v>702</v>
      </c>
      <c r="C252" t="s">
        <v>478</v>
      </c>
      <c r="D252" t="s">
        <v>1052</v>
      </c>
      <c r="E252" t="s">
        <v>21</v>
      </c>
      <c r="F252" t="s">
        <v>1053</v>
      </c>
    </row>
    <row r="253" spans="1:6" hidden="1" x14ac:dyDescent="0.25">
      <c r="A253" t="s">
        <v>1054</v>
      </c>
      <c r="B253" t="s">
        <v>15</v>
      </c>
      <c r="C253" t="s">
        <v>296</v>
      </c>
      <c r="D253" t="s">
        <v>1055</v>
      </c>
      <c r="E253" t="s">
        <v>21</v>
      </c>
      <c r="F253" t="s">
        <v>1056</v>
      </c>
    </row>
    <row r="254" spans="1:6" hidden="1" x14ac:dyDescent="0.25">
      <c r="A254" t="s">
        <v>1057</v>
      </c>
      <c r="B254" t="s">
        <v>322</v>
      </c>
      <c r="C254" t="s">
        <v>296</v>
      </c>
      <c r="D254" t="s">
        <v>1058</v>
      </c>
      <c r="E254" t="s">
        <v>21</v>
      </c>
      <c r="F254" t="s">
        <v>1059</v>
      </c>
    </row>
    <row r="255" spans="1:6" hidden="1" x14ac:dyDescent="0.25">
      <c r="A255" t="s">
        <v>1060</v>
      </c>
      <c r="B255" t="s">
        <v>82</v>
      </c>
      <c r="C255" t="s">
        <v>296</v>
      </c>
      <c r="D255" t="s">
        <v>1061</v>
      </c>
      <c r="E255" t="s">
        <v>21</v>
      </c>
      <c r="F255" t="s">
        <v>1062</v>
      </c>
    </row>
    <row r="256" spans="1:6" hidden="1" x14ac:dyDescent="0.25">
      <c r="A256" t="s">
        <v>1063</v>
      </c>
      <c r="B256" t="s">
        <v>34</v>
      </c>
      <c r="C256" t="s">
        <v>296</v>
      </c>
      <c r="D256" t="s">
        <v>1064</v>
      </c>
      <c r="E256" t="s">
        <v>21</v>
      </c>
      <c r="F256" t="s">
        <v>1065</v>
      </c>
    </row>
    <row r="257" spans="1:6" hidden="1" x14ac:dyDescent="0.25">
      <c r="A257" t="s">
        <v>1066</v>
      </c>
      <c r="B257" t="s">
        <v>702</v>
      </c>
      <c r="C257" t="s">
        <v>1067</v>
      </c>
      <c r="D257" t="s">
        <v>1068</v>
      </c>
      <c r="E257" t="s">
        <v>21</v>
      </c>
      <c r="F257" t="s">
        <v>1069</v>
      </c>
    </row>
    <row r="258" spans="1:6" hidden="1" x14ac:dyDescent="0.25">
      <c r="A258" t="s">
        <v>1070</v>
      </c>
      <c r="B258" t="s">
        <v>514</v>
      </c>
      <c r="C258" t="s">
        <v>1071</v>
      </c>
      <c r="D258" t="s">
        <v>1072</v>
      </c>
      <c r="E258" t="s">
        <v>21</v>
      </c>
      <c r="F258" t="s">
        <v>1073</v>
      </c>
    </row>
    <row r="259" spans="1:6" hidden="1" x14ac:dyDescent="0.25">
      <c r="A259" t="s">
        <v>1074</v>
      </c>
      <c r="B259" t="s">
        <v>160</v>
      </c>
      <c r="C259" t="s">
        <v>296</v>
      </c>
      <c r="D259" t="s">
        <v>1075</v>
      </c>
      <c r="E259" t="s">
        <v>21</v>
      </c>
      <c r="F259" t="s">
        <v>1076</v>
      </c>
    </row>
    <row r="260" spans="1:6" hidden="1" x14ac:dyDescent="0.25">
      <c r="A260" t="s">
        <v>1077</v>
      </c>
      <c r="B260" t="s">
        <v>64</v>
      </c>
      <c r="C260" t="s">
        <v>296</v>
      </c>
      <c r="D260" t="s">
        <v>1078</v>
      </c>
      <c r="E260" t="s">
        <v>21</v>
      </c>
      <c r="F260" t="s">
        <v>1079</v>
      </c>
    </row>
    <row r="261" spans="1:6" hidden="1" x14ac:dyDescent="0.25">
      <c r="A261" t="s">
        <v>1080</v>
      </c>
      <c r="B261" t="s">
        <v>322</v>
      </c>
      <c r="C261" t="s">
        <v>296</v>
      </c>
      <c r="D261" t="s">
        <v>1081</v>
      </c>
      <c r="E261" t="s">
        <v>21</v>
      </c>
      <c r="F261" t="s">
        <v>1082</v>
      </c>
    </row>
    <row r="262" spans="1:6" hidden="1" x14ac:dyDescent="0.25">
      <c r="A262" t="s">
        <v>1083</v>
      </c>
      <c r="B262" t="s">
        <v>322</v>
      </c>
      <c r="C262" t="s">
        <v>296</v>
      </c>
      <c r="D262" t="s">
        <v>1084</v>
      </c>
      <c r="E262" t="s">
        <v>21</v>
      </c>
      <c r="F262" t="s">
        <v>1085</v>
      </c>
    </row>
    <row r="263" spans="1:6" hidden="1" x14ac:dyDescent="0.25">
      <c r="A263" t="s">
        <v>1086</v>
      </c>
      <c r="B263" t="s">
        <v>78</v>
      </c>
      <c r="C263" t="s">
        <v>296</v>
      </c>
      <c r="D263" t="s">
        <v>1087</v>
      </c>
      <c r="E263" t="s">
        <v>21</v>
      </c>
      <c r="F263" t="s">
        <v>1088</v>
      </c>
    </row>
    <row r="264" spans="1:6" hidden="1" x14ac:dyDescent="0.25">
      <c r="A264" t="s">
        <v>1089</v>
      </c>
      <c r="B264" t="s">
        <v>153</v>
      </c>
      <c r="C264" t="s">
        <v>296</v>
      </c>
      <c r="D264" t="s">
        <v>1090</v>
      </c>
      <c r="E264" t="s">
        <v>21</v>
      </c>
      <c r="F264" t="s">
        <v>1091</v>
      </c>
    </row>
    <row r="265" spans="1:6" hidden="1" x14ac:dyDescent="0.25">
      <c r="A265" t="s">
        <v>1092</v>
      </c>
      <c r="B265" t="s">
        <v>15</v>
      </c>
      <c r="C265" t="s">
        <v>296</v>
      </c>
      <c r="D265" t="s">
        <v>1093</v>
      </c>
      <c r="E265" t="s">
        <v>21</v>
      </c>
      <c r="F265" t="s">
        <v>1094</v>
      </c>
    </row>
    <row r="266" spans="1:6" hidden="1" x14ac:dyDescent="0.25">
      <c r="A266" t="s">
        <v>1095</v>
      </c>
      <c r="B266" t="s">
        <v>132</v>
      </c>
      <c r="C266" t="s">
        <v>296</v>
      </c>
      <c r="D266" t="s">
        <v>1096</v>
      </c>
      <c r="E266" t="s">
        <v>21</v>
      </c>
      <c r="F266" t="s">
        <v>1097</v>
      </c>
    </row>
    <row r="267" spans="1:6" hidden="1" x14ac:dyDescent="0.25">
      <c r="A267" t="s">
        <v>1098</v>
      </c>
      <c r="B267" t="s">
        <v>748</v>
      </c>
      <c r="C267" t="s">
        <v>400</v>
      </c>
      <c r="D267" t="s">
        <v>1099</v>
      </c>
      <c r="E267" t="s">
        <v>21</v>
      </c>
      <c r="F267" t="s">
        <v>1100</v>
      </c>
    </row>
    <row r="268" spans="1:6" hidden="1" x14ac:dyDescent="0.25">
      <c r="A268" t="s">
        <v>1101</v>
      </c>
      <c r="B268" t="s">
        <v>621</v>
      </c>
      <c r="C268" t="s">
        <v>296</v>
      </c>
      <c r="D268" t="s">
        <v>1102</v>
      </c>
      <c r="E268" t="s">
        <v>21</v>
      </c>
      <c r="F268" t="s">
        <v>1103</v>
      </c>
    </row>
    <row r="269" spans="1:6" hidden="1" x14ac:dyDescent="0.25">
      <c r="A269" t="s">
        <v>1104</v>
      </c>
      <c r="B269" t="s">
        <v>420</v>
      </c>
      <c r="C269" t="s">
        <v>296</v>
      </c>
      <c r="D269" t="s">
        <v>1105</v>
      </c>
      <c r="E269" t="s">
        <v>21</v>
      </c>
      <c r="F269" t="s">
        <v>1106</v>
      </c>
    </row>
    <row r="270" spans="1:6" hidden="1" x14ac:dyDescent="0.25">
      <c r="A270" t="s">
        <v>1107</v>
      </c>
      <c r="B270" t="s">
        <v>437</v>
      </c>
      <c r="C270" t="s">
        <v>480</v>
      </c>
      <c r="D270" t="s">
        <v>1108</v>
      </c>
      <c r="E270" t="s">
        <v>21</v>
      </c>
      <c r="F270" t="s">
        <v>1109</v>
      </c>
    </row>
    <row r="271" spans="1:6" hidden="1" x14ac:dyDescent="0.25">
      <c r="A271" t="s">
        <v>1110</v>
      </c>
      <c r="B271" t="s">
        <v>132</v>
      </c>
      <c r="C271" t="s">
        <v>296</v>
      </c>
      <c r="D271" t="s">
        <v>1111</v>
      </c>
      <c r="E271" t="s">
        <v>21</v>
      </c>
      <c r="F271" t="s">
        <v>1112</v>
      </c>
    </row>
    <row r="272" spans="1:6" hidden="1" x14ac:dyDescent="0.25">
      <c r="A272" t="s">
        <v>1113</v>
      </c>
      <c r="B272" t="s">
        <v>89</v>
      </c>
      <c r="C272" t="s">
        <v>296</v>
      </c>
      <c r="D272" t="s">
        <v>1114</v>
      </c>
      <c r="E272" t="s">
        <v>21</v>
      </c>
      <c r="F272" t="s">
        <v>1115</v>
      </c>
    </row>
    <row r="273" spans="1:6" hidden="1" x14ac:dyDescent="0.25">
      <c r="A273" t="s">
        <v>165</v>
      </c>
      <c r="B273" t="s">
        <v>41</v>
      </c>
      <c r="C273" t="s">
        <v>296</v>
      </c>
      <c r="D273" t="s">
        <v>166</v>
      </c>
      <c r="E273" t="s">
        <v>21</v>
      </c>
      <c r="F273" t="s">
        <v>169</v>
      </c>
    </row>
    <row r="274" spans="1:6" hidden="1" x14ac:dyDescent="0.25">
      <c r="A274" t="s">
        <v>1116</v>
      </c>
      <c r="B274" t="s">
        <v>82</v>
      </c>
      <c r="C274" t="s">
        <v>296</v>
      </c>
      <c r="D274" t="s">
        <v>1117</v>
      </c>
      <c r="E274" t="s">
        <v>21</v>
      </c>
      <c r="F274" t="s">
        <v>1118</v>
      </c>
    </row>
    <row r="275" spans="1:6" hidden="1" x14ac:dyDescent="0.25">
      <c r="A275" t="s">
        <v>1119</v>
      </c>
      <c r="B275" t="s">
        <v>41</v>
      </c>
      <c r="C275" t="s">
        <v>296</v>
      </c>
      <c r="D275" t="s">
        <v>1120</v>
      </c>
      <c r="E275" t="s">
        <v>21</v>
      </c>
      <c r="F275" t="s">
        <v>1121</v>
      </c>
    </row>
    <row r="276" spans="1:6" hidden="1" x14ac:dyDescent="0.25">
      <c r="A276" t="s">
        <v>1122</v>
      </c>
      <c r="B276" t="s">
        <v>142</v>
      </c>
      <c r="C276" t="s">
        <v>296</v>
      </c>
      <c r="D276" t="s">
        <v>1123</v>
      </c>
      <c r="E276" t="s">
        <v>21</v>
      </c>
      <c r="F276" t="s">
        <v>1124</v>
      </c>
    </row>
    <row r="277" spans="1:6" hidden="1" x14ac:dyDescent="0.25">
      <c r="A277" t="s">
        <v>1125</v>
      </c>
      <c r="B277" t="s">
        <v>553</v>
      </c>
      <c r="C277" t="s">
        <v>400</v>
      </c>
      <c r="D277" t="s">
        <v>1126</v>
      </c>
      <c r="E277" t="s">
        <v>21</v>
      </c>
      <c r="F277" t="s">
        <v>1127</v>
      </c>
    </row>
    <row r="278" spans="1:6" hidden="1" x14ac:dyDescent="0.25">
      <c r="A278" t="s">
        <v>1128</v>
      </c>
      <c r="B278" t="s">
        <v>132</v>
      </c>
      <c r="C278" t="s">
        <v>296</v>
      </c>
      <c r="D278" t="s">
        <v>1129</v>
      </c>
      <c r="E278" t="s">
        <v>21</v>
      </c>
      <c r="F278" t="s">
        <v>1130</v>
      </c>
    </row>
    <row r="279" spans="1:6" hidden="1" x14ac:dyDescent="0.25">
      <c r="A279" t="s">
        <v>1131</v>
      </c>
      <c r="B279" t="s">
        <v>553</v>
      </c>
      <c r="C279" t="s">
        <v>296</v>
      </c>
      <c r="D279" t="s">
        <v>1132</v>
      </c>
      <c r="E279" t="s">
        <v>21</v>
      </c>
      <c r="F279" t="s">
        <v>1133</v>
      </c>
    </row>
    <row r="280" spans="1:6" hidden="1" x14ac:dyDescent="0.25">
      <c r="A280" t="s">
        <v>1134</v>
      </c>
      <c r="B280" t="s">
        <v>326</v>
      </c>
      <c r="C280" t="s">
        <v>296</v>
      </c>
      <c r="D280" t="s">
        <v>1135</v>
      </c>
      <c r="E280" t="s">
        <v>21</v>
      </c>
      <c r="F280" t="s">
        <v>1136</v>
      </c>
    </row>
    <row r="281" spans="1:6" hidden="1" x14ac:dyDescent="0.25">
      <c r="A281" t="s">
        <v>1137</v>
      </c>
      <c r="B281" t="s">
        <v>64</v>
      </c>
      <c r="C281" t="s">
        <v>296</v>
      </c>
      <c r="D281" t="s">
        <v>1138</v>
      </c>
      <c r="E281" t="s">
        <v>21</v>
      </c>
      <c r="F281" t="s">
        <v>1139</v>
      </c>
    </row>
    <row r="282" spans="1:6" hidden="1" x14ac:dyDescent="0.25">
      <c r="A282" t="s">
        <v>1140</v>
      </c>
      <c r="B282" t="s">
        <v>142</v>
      </c>
      <c r="C282" t="s">
        <v>296</v>
      </c>
      <c r="D282" t="s">
        <v>1141</v>
      </c>
      <c r="E282" t="s">
        <v>21</v>
      </c>
      <c r="F282" t="s">
        <v>1142</v>
      </c>
    </row>
    <row r="283" spans="1:6" hidden="1" x14ac:dyDescent="0.25">
      <c r="A283" t="s">
        <v>73</v>
      </c>
      <c r="B283" t="s">
        <v>386</v>
      </c>
      <c r="C283" t="s">
        <v>387</v>
      </c>
      <c r="D283" t="s">
        <v>74</v>
      </c>
      <c r="E283" t="s">
        <v>21</v>
      </c>
      <c r="F283" t="s">
        <v>75</v>
      </c>
    </row>
    <row r="284" spans="1:6" hidden="1" x14ac:dyDescent="0.25">
      <c r="A284" t="s">
        <v>87</v>
      </c>
      <c r="B284" t="s">
        <v>89</v>
      </c>
      <c r="C284" t="s">
        <v>296</v>
      </c>
      <c r="D284" t="s">
        <v>88</v>
      </c>
      <c r="E284" t="s">
        <v>21</v>
      </c>
      <c r="F284" t="s">
        <v>93</v>
      </c>
    </row>
    <row r="285" spans="1:6" hidden="1" x14ac:dyDescent="0.25">
      <c r="A285" t="s">
        <v>1143</v>
      </c>
      <c r="B285" t="s">
        <v>343</v>
      </c>
      <c r="C285" t="s">
        <v>296</v>
      </c>
      <c r="D285" t="s">
        <v>1144</v>
      </c>
      <c r="E285" t="s">
        <v>21</v>
      </c>
      <c r="F285" t="s">
        <v>1145</v>
      </c>
    </row>
    <row r="286" spans="1:6" hidden="1" x14ac:dyDescent="0.25">
      <c r="A286" t="s">
        <v>1146</v>
      </c>
      <c r="B286" t="s">
        <v>51</v>
      </c>
      <c r="C286" t="s">
        <v>296</v>
      </c>
      <c r="D286" t="s">
        <v>1147</v>
      </c>
      <c r="E286" t="s">
        <v>21</v>
      </c>
      <c r="F286" t="s">
        <v>1148</v>
      </c>
    </row>
    <row r="287" spans="1:6" hidden="1" x14ac:dyDescent="0.25">
      <c r="A287" t="s">
        <v>1149</v>
      </c>
      <c r="B287" t="s">
        <v>64</v>
      </c>
      <c r="C287" t="s">
        <v>296</v>
      </c>
      <c r="D287" t="s">
        <v>1150</v>
      </c>
      <c r="E287" t="s">
        <v>21</v>
      </c>
      <c r="F287" t="s">
        <v>1151</v>
      </c>
    </row>
    <row r="288" spans="1:6" hidden="1" x14ac:dyDescent="0.25">
      <c r="A288" t="s">
        <v>1152</v>
      </c>
      <c r="B288" t="s">
        <v>356</v>
      </c>
      <c r="C288" t="s">
        <v>296</v>
      </c>
      <c r="D288" t="s">
        <v>1153</v>
      </c>
      <c r="E288" t="s">
        <v>21</v>
      </c>
      <c r="F288" t="s">
        <v>1154</v>
      </c>
    </row>
    <row r="289" spans="1:6" hidden="1" x14ac:dyDescent="0.25">
      <c r="A289" t="s">
        <v>1155</v>
      </c>
      <c r="B289" t="s">
        <v>160</v>
      </c>
      <c r="C289" t="s">
        <v>296</v>
      </c>
      <c r="D289" t="s">
        <v>1156</v>
      </c>
      <c r="E289" t="s">
        <v>21</v>
      </c>
      <c r="F289" t="s">
        <v>1157</v>
      </c>
    </row>
    <row r="290" spans="1:6" hidden="1" x14ac:dyDescent="0.25">
      <c r="A290" t="s">
        <v>1158</v>
      </c>
      <c r="B290" t="s">
        <v>132</v>
      </c>
      <c r="C290" t="s">
        <v>296</v>
      </c>
      <c r="D290" t="s">
        <v>1159</v>
      </c>
      <c r="E290" t="s">
        <v>21</v>
      </c>
      <c r="F290" t="s">
        <v>1160</v>
      </c>
    </row>
    <row r="291" spans="1:6" hidden="1" x14ac:dyDescent="0.25">
      <c r="A291" t="s">
        <v>1161</v>
      </c>
      <c r="B291" t="s">
        <v>29</v>
      </c>
      <c r="C291" t="s">
        <v>296</v>
      </c>
      <c r="D291" t="s">
        <v>1162</v>
      </c>
      <c r="E291" t="s">
        <v>21</v>
      </c>
      <c r="F291" t="s">
        <v>1163</v>
      </c>
    </row>
    <row r="292" spans="1:6" hidden="1" x14ac:dyDescent="0.25">
      <c r="A292" t="s">
        <v>1164</v>
      </c>
      <c r="B292" t="s">
        <v>64</v>
      </c>
      <c r="C292" t="s">
        <v>296</v>
      </c>
      <c r="D292" t="s">
        <v>1165</v>
      </c>
      <c r="E292" t="s">
        <v>21</v>
      </c>
      <c r="F292" t="s">
        <v>1166</v>
      </c>
    </row>
    <row r="293" spans="1:6" hidden="1" x14ac:dyDescent="0.25">
      <c r="A293" t="s">
        <v>1167</v>
      </c>
      <c r="B293" t="s">
        <v>29</v>
      </c>
      <c r="C293" t="s">
        <v>296</v>
      </c>
      <c r="D293" t="s">
        <v>1168</v>
      </c>
      <c r="E293" t="s">
        <v>21</v>
      </c>
      <c r="F293" t="s">
        <v>1169</v>
      </c>
    </row>
    <row r="294" spans="1:6" hidden="1" x14ac:dyDescent="0.25">
      <c r="A294" t="s">
        <v>1170</v>
      </c>
      <c r="B294" t="s">
        <v>1171</v>
      </c>
      <c r="C294" t="s">
        <v>1172</v>
      </c>
      <c r="D294" t="s">
        <v>1173</v>
      </c>
      <c r="E294" t="s">
        <v>21</v>
      </c>
      <c r="F294" t="s">
        <v>1174</v>
      </c>
    </row>
    <row r="295" spans="1:6" hidden="1" x14ac:dyDescent="0.25">
      <c r="A295" t="s">
        <v>1175</v>
      </c>
      <c r="B295" t="s">
        <v>382</v>
      </c>
      <c r="C295" t="s">
        <v>296</v>
      </c>
      <c r="D295" t="s">
        <v>1176</v>
      </c>
      <c r="E295" t="s">
        <v>21</v>
      </c>
      <c r="F295" t="s">
        <v>1177</v>
      </c>
    </row>
    <row r="296" spans="1:6" hidden="1" x14ac:dyDescent="0.25">
      <c r="A296" t="s">
        <v>1178</v>
      </c>
      <c r="B296" t="s">
        <v>41</v>
      </c>
      <c r="C296" t="s">
        <v>296</v>
      </c>
      <c r="D296" t="s">
        <v>1179</v>
      </c>
      <c r="E296" t="s">
        <v>21</v>
      </c>
      <c r="F296" t="s">
        <v>1180</v>
      </c>
    </row>
    <row r="297" spans="1:6" hidden="1" x14ac:dyDescent="0.25">
      <c r="A297" t="s">
        <v>1181</v>
      </c>
      <c r="B297" t="s">
        <v>153</v>
      </c>
      <c r="C297" t="s">
        <v>296</v>
      </c>
      <c r="D297" t="s">
        <v>1182</v>
      </c>
      <c r="E297" t="s">
        <v>21</v>
      </c>
      <c r="F297" t="s">
        <v>1183</v>
      </c>
    </row>
    <row r="298" spans="1:6" hidden="1" x14ac:dyDescent="0.25">
      <c r="A298" t="s">
        <v>1184</v>
      </c>
      <c r="B298" t="s">
        <v>454</v>
      </c>
      <c r="C298" t="s">
        <v>296</v>
      </c>
      <c r="D298" t="s">
        <v>1185</v>
      </c>
      <c r="E298" t="s">
        <v>21</v>
      </c>
      <c r="F298" t="s">
        <v>1186</v>
      </c>
    </row>
    <row r="299" spans="1:6" hidden="1" x14ac:dyDescent="0.25">
      <c r="A299" t="s">
        <v>1187</v>
      </c>
      <c r="B299" t="s">
        <v>318</v>
      </c>
      <c r="C299" t="s">
        <v>296</v>
      </c>
      <c r="D299" t="s">
        <v>1188</v>
      </c>
      <c r="E299" t="s">
        <v>21</v>
      </c>
      <c r="F299" t="s">
        <v>1189</v>
      </c>
    </row>
    <row r="300" spans="1:6" hidden="1" x14ac:dyDescent="0.25">
      <c r="A300" t="s">
        <v>1190</v>
      </c>
      <c r="B300" t="s">
        <v>41</v>
      </c>
      <c r="C300" t="s">
        <v>296</v>
      </c>
      <c r="D300" t="s">
        <v>1191</v>
      </c>
      <c r="E300" t="s">
        <v>21</v>
      </c>
      <c r="F300" t="s">
        <v>1192</v>
      </c>
    </row>
    <row r="301" spans="1:6" x14ac:dyDescent="0.25">
      <c r="A301" t="s">
        <v>1193</v>
      </c>
      <c r="B301" t="s">
        <v>386</v>
      </c>
      <c r="C301" t="s">
        <v>387</v>
      </c>
      <c r="D301" t="s">
        <v>1194</v>
      </c>
      <c r="E301" t="s">
        <v>21</v>
      </c>
      <c r="F301" t="s">
        <v>1195</v>
      </c>
    </row>
    <row r="302" spans="1:6" hidden="1" x14ac:dyDescent="0.25">
      <c r="A302" t="s">
        <v>1196</v>
      </c>
      <c r="B302" t="s">
        <v>343</v>
      </c>
      <c r="C302" t="s">
        <v>296</v>
      </c>
      <c r="D302" t="s">
        <v>1197</v>
      </c>
      <c r="E302" t="s">
        <v>21</v>
      </c>
      <c r="F302" t="s">
        <v>1198</v>
      </c>
    </row>
    <row r="303" spans="1:6" hidden="1" x14ac:dyDescent="0.25">
      <c r="A303" t="s">
        <v>1199</v>
      </c>
      <c r="B303" t="s">
        <v>34</v>
      </c>
      <c r="C303" t="s">
        <v>296</v>
      </c>
      <c r="D303" t="s">
        <v>1200</v>
      </c>
      <c r="E303" t="s">
        <v>21</v>
      </c>
      <c r="F303" t="s">
        <v>1201</v>
      </c>
    </row>
    <row r="304" spans="1:6" hidden="1" x14ac:dyDescent="0.25">
      <c r="A304" t="s">
        <v>1202</v>
      </c>
      <c r="B304" t="s">
        <v>64</v>
      </c>
      <c r="C304" t="s">
        <v>296</v>
      </c>
      <c r="D304" t="s">
        <v>1203</v>
      </c>
      <c r="E304" t="s">
        <v>21</v>
      </c>
      <c r="F304" t="s">
        <v>1204</v>
      </c>
    </row>
    <row r="305" spans="1:6" hidden="1" x14ac:dyDescent="0.25">
      <c r="A305" t="s">
        <v>1205</v>
      </c>
      <c r="B305" t="s">
        <v>197</v>
      </c>
      <c r="C305" t="s">
        <v>296</v>
      </c>
      <c r="D305" t="s">
        <v>1206</v>
      </c>
      <c r="E305" t="s">
        <v>21</v>
      </c>
      <c r="F305" t="s">
        <v>1207</v>
      </c>
    </row>
    <row r="306" spans="1:6" hidden="1" x14ac:dyDescent="0.25">
      <c r="A306" t="s">
        <v>1208</v>
      </c>
      <c r="B306" t="s">
        <v>121</v>
      </c>
      <c r="C306" t="s">
        <v>296</v>
      </c>
      <c r="D306" t="s">
        <v>1209</v>
      </c>
      <c r="E306" t="s">
        <v>21</v>
      </c>
      <c r="F306" t="s">
        <v>1210</v>
      </c>
    </row>
    <row r="307" spans="1:6" hidden="1" x14ac:dyDescent="0.25">
      <c r="A307" t="s">
        <v>1211</v>
      </c>
      <c r="B307" t="s">
        <v>437</v>
      </c>
      <c r="C307" t="s">
        <v>480</v>
      </c>
      <c r="D307" t="s">
        <v>1212</v>
      </c>
      <c r="E307" t="s">
        <v>21</v>
      </c>
      <c r="F307" t="s">
        <v>1213</v>
      </c>
    </row>
    <row r="308" spans="1:6" hidden="1" x14ac:dyDescent="0.25">
      <c r="A308" t="s">
        <v>1214</v>
      </c>
      <c r="B308" t="s">
        <v>621</v>
      </c>
      <c r="C308" t="s">
        <v>296</v>
      </c>
      <c r="D308" t="s">
        <v>1215</v>
      </c>
      <c r="E308" t="s">
        <v>21</v>
      </c>
      <c r="F308" t="s">
        <v>1216</v>
      </c>
    </row>
    <row r="309" spans="1:6" hidden="1" x14ac:dyDescent="0.25">
      <c r="A309" t="s">
        <v>1217</v>
      </c>
      <c r="B309" t="s">
        <v>326</v>
      </c>
      <c r="C309" t="s">
        <v>296</v>
      </c>
      <c r="D309" t="s">
        <v>1218</v>
      </c>
      <c r="E309" t="s">
        <v>21</v>
      </c>
      <c r="F309" t="s">
        <v>1219</v>
      </c>
    </row>
    <row r="310" spans="1:6" hidden="1" x14ac:dyDescent="0.25">
      <c r="A310" t="s">
        <v>1220</v>
      </c>
      <c r="B310" t="s">
        <v>15</v>
      </c>
      <c r="C310" t="s">
        <v>296</v>
      </c>
      <c r="D310" t="s">
        <v>1221</v>
      </c>
      <c r="E310" t="s">
        <v>21</v>
      </c>
      <c r="F310" t="s">
        <v>1222</v>
      </c>
    </row>
    <row r="311" spans="1:6" hidden="1" x14ac:dyDescent="0.25">
      <c r="A311" t="s">
        <v>1223</v>
      </c>
      <c r="B311" t="s">
        <v>34</v>
      </c>
      <c r="C311" t="s">
        <v>296</v>
      </c>
      <c r="D311" t="s">
        <v>1224</v>
      </c>
      <c r="E311" t="s">
        <v>21</v>
      </c>
      <c r="F311" t="s">
        <v>1225</v>
      </c>
    </row>
    <row r="312" spans="1:6" hidden="1" x14ac:dyDescent="0.25">
      <c r="A312" t="s">
        <v>1226</v>
      </c>
      <c r="B312" t="s">
        <v>15</v>
      </c>
      <c r="C312" t="s">
        <v>296</v>
      </c>
      <c r="D312" t="s">
        <v>1227</v>
      </c>
      <c r="E312" t="s">
        <v>21</v>
      </c>
      <c r="F312" t="s">
        <v>1228</v>
      </c>
    </row>
    <row r="313" spans="1:6" hidden="1" x14ac:dyDescent="0.25">
      <c r="A313" t="s">
        <v>1229</v>
      </c>
      <c r="B313" t="s">
        <v>326</v>
      </c>
      <c r="C313" t="s">
        <v>296</v>
      </c>
      <c r="D313" t="s">
        <v>1230</v>
      </c>
      <c r="E313" t="s">
        <v>21</v>
      </c>
      <c r="F313" t="s">
        <v>1231</v>
      </c>
    </row>
    <row r="314" spans="1:6" hidden="1" x14ac:dyDescent="0.25">
      <c r="A314" t="s">
        <v>1232</v>
      </c>
      <c r="B314" t="s">
        <v>64</v>
      </c>
      <c r="C314" t="s">
        <v>296</v>
      </c>
      <c r="D314" t="s">
        <v>1233</v>
      </c>
      <c r="E314" t="s">
        <v>21</v>
      </c>
      <c r="F314" t="s">
        <v>1234</v>
      </c>
    </row>
    <row r="315" spans="1:6" hidden="1" x14ac:dyDescent="0.25">
      <c r="A315" t="s">
        <v>1235</v>
      </c>
      <c r="B315" t="s">
        <v>34</v>
      </c>
      <c r="C315" t="s">
        <v>296</v>
      </c>
      <c r="D315" t="s">
        <v>1236</v>
      </c>
      <c r="E315" t="s">
        <v>21</v>
      </c>
      <c r="F315" t="s">
        <v>1237</v>
      </c>
    </row>
    <row r="316" spans="1:6" hidden="1" x14ac:dyDescent="0.25">
      <c r="A316" t="s">
        <v>1238</v>
      </c>
      <c r="B316" t="s">
        <v>322</v>
      </c>
      <c r="C316" t="s">
        <v>296</v>
      </c>
      <c r="D316" t="s">
        <v>1239</v>
      </c>
      <c r="E316" t="s">
        <v>21</v>
      </c>
      <c r="F316" t="s">
        <v>1240</v>
      </c>
    </row>
    <row r="317" spans="1:6" hidden="1" x14ac:dyDescent="0.25">
      <c r="A317" t="s">
        <v>1241</v>
      </c>
      <c r="B317" t="s">
        <v>343</v>
      </c>
      <c r="C317" t="s">
        <v>296</v>
      </c>
      <c r="D317" t="s">
        <v>1242</v>
      </c>
      <c r="E317" t="s">
        <v>21</v>
      </c>
      <c r="F317" t="s">
        <v>1243</v>
      </c>
    </row>
    <row r="318" spans="1:6" hidden="1" x14ac:dyDescent="0.25">
      <c r="A318" t="s">
        <v>1244</v>
      </c>
      <c r="B318" t="s">
        <v>326</v>
      </c>
      <c r="C318" t="s">
        <v>296</v>
      </c>
      <c r="D318" t="s">
        <v>1245</v>
      </c>
      <c r="E318" t="s">
        <v>21</v>
      </c>
      <c r="F318" t="s">
        <v>1246</v>
      </c>
    </row>
    <row r="319" spans="1:6" hidden="1" x14ac:dyDescent="0.25">
      <c r="A319" t="s">
        <v>1247</v>
      </c>
      <c r="B319" t="s">
        <v>437</v>
      </c>
      <c r="C319" t="s">
        <v>480</v>
      </c>
      <c r="D319" t="s">
        <v>1248</v>
      </c>
      <c r="E319" t="s">
        <v>21</v>
      </c>
      <c r="F319" t="s">
        <v>1249</v>
      </c>
    </row>
    <row r="320" spans="1:6" hidden="1" x14ac:dyDescent="0.25">
      <c r="A320" t="s">
        <v>1250</v>
      </c>
      <c r="B320" t="s">
        <v>121</v>
      </c>
      <c r="C320" t="s">
        <v>296</v>
      </c>
      <c r="D320" t="s">
        <v>1251</v>
      </c>
      <c r="E320" t="s">
        <v>21</v>
      </c>
      <c r="F320" t="s">
        <v>1252</v>
      </c>
    </row>
    <row r="321" spans="1:6" hidden="1" x14ac:dyDescent="0.25">
      <c r="A321" t="s">
        <v>1253</v>
      </c>
      <c r="B321" t="s">
        <v>702</v>
      </c>
      <c r="C321" t="s">
        <v>825</v>
      </c>
      <c r="D321" t="s">
        <v>1254</v>
      </c>
      <c r="E321" t="s">
        <v>21</v>
      </c>
      <c r="F321" t="s">
        <v>1255</v>
      </c>
    </row>
    <row r="322" spans="1:6" hidden="1" x14ac:dyDescent="0.25">
      <c r="A322" t="s">
        <v>1256</v>
      </c>
      <c r="B322" t="s">
        <v>82</v>
      </c>
      <c r="C322" t="s">
        <v>296</v>
      </c>
      <c r="D322" t="s">
        <v>1257</v>
      </c>
      <c r="E322" t="s">
        <v>21</v>
      </c>
      <c r="F322" t="s">
        <v>1258</v>
      </c>
    </row>
    <row r="323" spans="1:6" hidden="1" x14ac:dyDescent="0.25">
      <c r="A323" t="s">
        <v>1259</v>
      </c>
      <c r="B323" t="s">
        <v>160</v>
      </c>
      <c r="C323" t="s">
        <v>296</v>
      </c>
      <c r="D323" t="s">
        <v>1260</v>
      </c>
      <c r="E323" t="s">
        <v>21</v>
      </c>
      <c r="F323" t="s">
        <v>1261</v>
      </c>
    </row>
    <row r="324" spans="1:6" hidden="1" x14ac:dyDescent="0.25">
      <c r="A324" t="s">
        <v>256</v>
      </c>
      <c r="B324" t="s">
        <v>322</v>
      </c>
      <c r="C324" t="s">
        <v>296</v>
      </c>
      <c r="D324" t="s">
        <v>257</v>
      </c>
      <c r="E324" t="s">
        <v>21</v>
      </c>
      <c r="F324" t="s">
        <v>258</v>
      </c>
    </row>
    <row r="325" spans="1:6" hidden="1" x14ac:dyDescent="0.25">
      <c r="A325" t="s">
        <v>1262</v>
      </c>
      <c r="B325" t="s">
        <v>34</v>
      </c>
      <c r="C325" t="s">
        <v>296</v>
      </c>
      <c r="D325" t="s">
        <v>1263</v>
      </c>
      <c r="E325" t="s">
        <v>21</v>
      </c>
      <c r="F325" t="s">
        <v>1264</v>
      </c>
    </row>
    <row r="326" spans="1:6" hidden="1" x14ac:dyDescent="0.25">
      <c r="A326" t="s">
        <v>1265</v>
      </c>
      <c r="B326" t="s">
        <v>121</v>
      </c>
      <c r="C326" t="s">
        <v>296</v>
      </c>
      <c r="D326" t="s">
        <v>1266</v>
      </c>
      <c r="E326" t="s">
        <v>21</v>
      </c>
      <c r="F326" t="s">
        <v>1267</v>
      </c>
    </row>
    <row r="327" spans="1:6" hidden="1" x14ac:dyDescent="0.25">
      <c r="A327" t="s">
        <v>1268</v>
      </c>
      <c r="B327" t="s">
        <v>702</v>
      </c>
      <c r="C327" t="s">
        <v>478</v>
      </c>
      <c r="D327" t="s">
        <v>1269</v>
      </c>
      <c r="E327" t="s">
        <v>21</v>
      </c>
      <c r="F327" t="s">
        <v>4207</v>
      </c>
    </row>
    <row r="328" spans="1:6" hidden="1" x14ac:dyDescent="0.25">
      <c r="A328" t="s">
        <v>1270</v>
      </c>
      <c r="B328" t="s">
        <v>24</v>
      </c>
      <c r="C328" t="s">
        <v>296</v>
      </c>
      <c r="D328" t="s">
        <v>1271</v>
      </c>
      <c r="E328" t="s">
        <v>21</v>
      </c>
      <c r="F328" t="s">
        <v>1272</v>
      </c>
    </row>
    <row r="329" spans="1:6" hidden="1" x14ac:dyDescent="0.25">
      <c r="A329" t="s">
        <v>1273</v>
      </c>
      <c r="B329" t="s">
        <v>326</v>
      </c>
      <c r="C329" t="s">
        <v>296</v>
      </c>
      <c r="D329" t="s">
        <v>1274</v>
      </c>
      <c r="E329" t="s">
        <v>21</v>
      </c>
      <c r="F329" t="s">
        <v>1275</v>
      </c>
    </row>
    <row r="330" spans="1:6" hidden="1" x14ac:dyDescent="0.25">
      <c r="A330" t="s">
        <v>1276</v>
      </c>
      <c r="B330" t="s">
        <v>64</v>
      </c>
      <c r="C330" t="s">
        <v>296</v>
      </c>
      <c r="D330" t="s">
        <v>1277</v>
      </c>
      <c r="E330" t="s">
        <v>21</v>
      </c>
      <c r="F330" t="s">
        <v>1278</v>
      </c>
    </row>
    <row r="331" spans="1:6" hidden="1" x14ac:dyDescent="0.25">
      <c r="A331" t="s">
        <v>1279</v>
      </c>
      <c r="B331" t="s">
        <v>702</v>
      </c>
      <c r="C331" t="s">
        <v>478</v>
      </c>
      <c r="D331" t="s">
        <v>1280</v>
      </c>
      <c r="E331" t="s">
        <v>21</v>
      </c>
      <c r="F331" t="s">
        <v>1281</v>
      </c>
    </row>
    <row r="332" spans="1:6" hidden="1" x14ac:dyDescent="0.25">
      <c r="A332" t="s">
        <v>1282</v>
      </c>
      <c r="B332" t="s">
        <v>702</v>
      </c>
      <c r="C332" t="s">
        <v>974</v>
      </c>
      <c r="D332" t="s">
        <v>1283</v>
      </c>
      <c r="E332" t="s">
        <v>21</v>
      </c>
      <c r="F332" t="s">
        <v>1284</v>
      </c>
    </row>
    <row r="333" spans="1:6" hidden="1" x14ac:dyDescent="0.25">
      <c r="A333" t="s">
        <v>1285</v>
      </c>
      <c r="B333" t="s">
        <v>454</v>
      </c>
      <c r="C333" t="s">
        <v>296</v>
      </c>
      <c r="D333" t="s">
        <v>1286</v>
      </c>
      <c r="E333" t="s">
        <v>21</v>
      </c>
      <c r="F333" t="s">
        <v>1287</v>
      </c>
    </row>
    <row r="334" spans="1:6" hidden="1" x14ac:dyDescent="0.25">
      <c r="A334" t="s">
        <v>1288</v>
      </c>
      <c r="B334" t="s">
        <v>326</v>
      </c>
      <c r="C334" t="s">
        <v>296</v>
      </c>
      <c r="D334" t="s">
        <v>1289</v>
      </c>
      <c r="E334" t="s">
        <v>21</v>
      </c>
      <c r="F334" t="s">
        <v>1290</v>
      </c>
    </row>
    <row r="335" spans="1:6" hidden="1" x14ac:dyDescent="0.25">
      <c r="A335" t="s">
        <v>1291</v>
      </c>
      <c r="B335" t="s">
        <v>34</v>
      </c>
      <c r="C335" t="s">
        <v>296</v>
      </c>
      <c r="D335" t="s">
        <v>1292</v>
      </c>
      <c r="E335" t="s">
        <v>21</v>
      </c>
      <c r="F335" t="s">
        <v>1293</v>
      </c>
    </row>
    <row r="336" spans="1:6" hidden="1" x14ac:dyDescent="0.25">
      <c r="A336" t="s">
        <v>1294</v>
      </c>
      <c r="B336" t="s">
        <v>34</v>
      </c>
      <c r="C336" t="s">
        <v>296</v>
      </c>
      <c r="D336" t="s">
        <v>1295</v>
      </c>
      <c r="E336" t="s">
        <v>21</v>
      </c>
      <c r="F336" t="s">
        <v>1296</v>
      </c>
    </row>
    <row r="337" spans="1:6" hidden="1" x14ac:dyDescent="0.25">
      <c r="A337" t="s">
        <v>1297</v>
      </c>
      <c r="B337" t="s">
        <v>15</v>
      </c>
      <c r="C337" t="s">
        <v>296</v>
      </c>
      <c r="D337" t="s">
        <v>1298</v>
      </c>
      <c r="E337" t="s">
        <v>21</v>
      </c>
      <c r="F337" t="s">
        <v>1299</v>
      </c>
    </row>
    <row r="338" spans="1:6" hidden="1" x14ac:dyDescent="0.25">
      <c r="A338" t="s">
        <v>1300</v>
      </c>
      <c r="B338" t="s">
        <v>702</v>
      </c>
      <c r="C338" t="s">
        <v>478</v>
      </c>
      <c r="D338" t="s">
        <v>1301</v>
      </c>
      <c r="E338" t="s">
        <v>21</v>
      </c>
      <c r="F338" t="s">
        <v>1302</v>
      </c>
    </row>
    <row r="339" spans="1:6" hidden="1" x14ac:dyDescent="0.25">
      <c r="A339" t="s">
        <v>1303</v>
      </c>
      <c r="B339" t="s">
        <v>702</v>
      </c>
      <c r="C339" t="s">
        <v>825</v>
      </c>
      <c r="D339" t="s">
        <v>1304</v>
      </c>
      <c r="E339" t="s">
        <v>21</v>
      </c>
      <c r="F339" t="s">
        <v>1305</v>
      </c>
    </row>
    <row r="340" spans="1:6" hidden="1" x14ac:dyDescent="0.25">
      <c r="A340" t="s">
        <v>287</v>
      </c>
      <c r="B340" t="s">
        <v>34</v>
      </c>
      <c r="C340" t="s">
        <v>296</v>
      </c>
      <c r="D340" t="s">
        <v>1306</v>
      </c>
      <c r="E340" t="s">
        <v>21</v>
      </c>
      <c r="F340" t="s">
        <v>1307</v>
      </c>
    </row>
    <row r="341" spans="1:6" hidden="1" x14ac:dyDescent="0.25">
      <c r="A341" t="s">
        <v>1308</v>
      </c>
      <c r="B341" t="s">
        <v>702</v>
      </c>
      <c r="C341" t="s">
        <v>825</v>
      </c>
      <c r="D341" t="s">
        <v>1309</v>
      </c>
      <c r="E341" t="s">
        <v>21</v>
      </c>
      <c r="F341" t="s">
        <v>1310</v>
      </c>
    </row>
    <row r="342" spans="1:6" hidden="1" x14ac:dyDescent="0.25">
      <c r="A342" t="s">
        <v>1311</v>
      </c>
      <c r="B342" t="s">
        <v>89</v>
      </c>
      <c r="C342" t="s">
        <v>296</v>
      </c>
      <c r="D342" t="s">
        <v>1312</v>
      </c>
      <c r="E342" t="s">
        <v>21</v>
      </c>
      <c r="F342" t="s">
        <v>1313</v>
      </c>
    </row>
    <row r="343" spans="1:6" hidden="1" x14ac:dyDescent="0.25">
      <c r="A343" t="s">
        <v>203</v>
      </c>
      <c r="B343" t="s">
        <v>128</v>
      </c>
      <c r="C343" t="s">
        <v>296</v>
      </c>
      <c r="D343" t="s">
        <v>204</v>
      </c>
      <c r="E343" t="s">
        <v>21</v>
      </c>
      <c r="F343" t="s">
        <v>205</v>
      </c>
    </row>
    <row r="344" spans="1:6" hidden="1" x14ac:dyDescent="0.25">
      <c r="A344" t="s">
        <v>1314</v>
      </c>
      <c r="B344" t="s">
        <v>999</v>
      </c>
      <c r="C344" t="s">
        <v>1315</v>
      </c>
      <c r="D344" t="s">
        <v>1316</v>
      </c>
      <c r="E344" t="s">
        <v>21</v>
      </c>
      <c r="F344" t="s">
        <v>1317</v>
      </c>
    </row>
    <row r="345" spans="1:6" hidden="1" x14ac:dyDescent="0.25">
      <c r="A345" t="s">
        <v>1318</v>
      </c>
      <c r="B345" t="s">
        <v>29</v>
      </c>
      <c r="C345" t="s">
        <v>296</v>
      </c>
      <c r="D345" t="s">
        <v>1319</v>
      </c>
      <c r="E345" t="s">
        <v>21</v>
      </c>
      <c r="F345" t="s">
        <v>1320</v>
      </c>
    </row>
    <row r="346" spans="1:6" hidden="1" x14ac:dyDescent="0.25">
      <c r="A346" t="s">
        <v>1321</v>
      </c>
      <c r="B346" t="s">
        <v>64</v>
      </c>
      <c r="C346" t="s">
        <v>296</v>
      </c>
      <c r="D346" t="s">
        <v>1322</v>
      </c>
      <c r="E346" t="s">
        <v>21</v>
      </c>
      <c r="F346" t="s">
        <v>1323</v>
      </c>
    </row>
    <row r="347" spans="1:6" hidden="1" x14ac:dyDescent="0.25">
      <c r="A347" t="s">
        <v>1324</v>
      </c>
      <c r="B347" t="s">
        <v>78</v>
      </c>
      <c r="C347" t="s">
        <v>296</v>
      </c>
      <c r="D347" t="s">
        <v>1325</v>
      </c>
      <c r="E347" t="s">
        <v>21</v>
      </c>
      <c r="F347" t="s">
        <v>1326</v>
      </c>
    </row>
    <row r="348" spans="1:6" hidden="1" x14ac:dyDescent="0.25">
      <c r="A348" t="s">
        <v>1327</v>
      </c>
      <c r="B348" t="s">
        <v>82</v>
      </c>
      <c r="C348" t="s">
        <v>296</v>
      </c>
      <c r="D348" t="s">
        <v>1328</v>
      </c>
      <c r="E348" t="s">
        <v>21</v>
      </c>
      <c r="F348" t="s">
        <v>1329</v>
      </c>
    </row>
    <row r="349" spans="1:6" hidden="1" x14ac:dyDescent="0.25">
      <c r="A349" t="s">
        <v>1330</v>
      </c>
      <c r="B349" t="s">
        <v>82</v>
      </c>
      <c r="C349" t="s">
        <v>400</v>
      </c>
      <c r="D349" t="s">
        <v>1331</v>
      </c>
      <c r="E349" t="s">
        <v>21</v>
      </c>
      <c r="F349" t="s">
        <v>1332</v>
      </c>
    </row>
    <row r="350" spans="1:6" hidden="1" x14ac:dyDescent="0.25">
      <c r="A350" t="s">
        <v>1333</v>
      </c>
      <c r="B350" t="s">
        <v>89</v>
      </c>
      <c r="C350" t="s">
        <v>296</v>
      </c>
      <c r="D350" t="s">
        <v>1334</v>
      </c>
      <c r="E350" t="s">
        <v>21</v>
      </c>
      <c r="F350" t="s">
        <v>1335</v>
      </c>
    </row>
    <row r="351" spans="1:6" hidden="1" x14ac:dyDescent="0.25">
      <c r="A351" t="s">
        <v>1336</v>
      </c>
      <c r="B351" t="s">
        <v>1337</v>
      </c>
      <c r="C351" t="s">
        <v>296</v>
      </c>
      <c r="D351" t="s">
        <v>1338</v>
      </c>
      <c r="E351" t="s">
        <v>21</v>
      </c>
      <c r="F351" t="s">
        <v>1339</v>
      </c>
    </row>
    <row r="352" spans="1:6" hidden="1" x14ac:dyDescent="0.25">
      <c r="A352" t="s">
        <v>1340</v>
      </c>
      <c r="B352" t="s">
        <v>437</v>
      </c>
      <c r="C352" t="s">
        <v>598</v>
      </c>
      <c r="D352" t="s">
        <v>1341</v>
      </c>
      <c r="E352" t="s">
        <v>21</v>
      </c>
      <c r="F352" t="s">
        <v>1342</v>
      </c>
    </row>
    <row r="353" spans="1:6" hidden="1" x14ac:dyDescent="0.25">
      <c r="A353" t="s">
        <v>1343</v>
      </c>
      <c r="B353" t="s">
        <v>142</v>
      </c>
      <c r="C353" t="s">
        <v>296</v>
      </c>
      <c r="D353" t="s">
        <v>1344</v>
      </c>
      <c r="E353" t="s">
        <v>21</v>
      </c>
      <c r="F353" t="s">
        <v>1345</v>
      </c>
    </row>
    <row r="354" spans="1:6" hidden="1" x14ac:dyDescent="0.25">
      <c r="A354" t="s">
        <v>1346</v>
      </c>
      <c r="B354" t="s">
        <v>326</v>
      </c>
      <c r="C354" t="s">
        <v>296</v>
      </c>
      <c r="D354" t="s">
        <v>1347</v>
      </c>
      <c r="E354" t="s">
        <v>21</v>
      </c>
      <c r="F354" t="s">
        <v>1348</v>
      </c>
    </row>
    <row r="355" spans="1:6" hidden="1" x14ac:dyDescent="0.25">
      <c r="A355" t="s">
        <v>1349</v>
      </c>
      <c r="B355" t="s">
        <v>533</v>
      </c>
      <c r="C355" t="s">
        <v>296</v>
      </c>
      <c r="D355" t="s">
        <v>1350</v>
      </c>
      <c r="E355" t="s">
        <v>21</v>
      </c>
      <c r="F355" t="s">
        <v>1351</v>
      </c>
    </row>
    <row r="356" spans="1:6" hidden="1" x14ac:dyDescent="0.25">
      <c r="A356" t="s">
        <v>1352</v>
      </c>
      <c r="B356" t="s">
        <v>132</v>
      </c>
      <c r="C356" t="s">
        <v>296</v>
      </c>
      <c r="D356" t="s">
        <v>1353</v>
      </c>
      <c r="E356" t="s">
        <v>21</v>
      </c>
      <c r="F356" t="s">
        <v>1354</v>
      </c>
    </row>
    <row r="357" spans="1:6" hidden="1" x14ac:dyDescent="0.25">
      <c r="A357" t="s">
        <v>1355</v>
      </c>
      <c r="B357" t="s">
        <v>1356</v>
      </c>
      <c r="C357" t="s">
        <v>1357</v>
      </c>
      <c r="D357" t="s">
        <v>1358</v>
      </c>
      <c r="E357" t="s">
        <v>21</v>
      </c>
      <c r="F357" t="s">
        <v>1359</v>
      </c>
    </row>
    <row r="358" spans="1:6" hidden="1" x14ac:dyDescent="0.25">
      <c r="A358" t="s">
        <v>1360</v>
      </c>
      <c r="B358" t="s">
        <v>326</v>
      </c>
      <c r="C358" t="s">
        <v>296</v>
      </c>
      <c r="D358" t="s">
        <v>1361</v>
      </c>
      <c r="E358" t="s">
        <v>21</v>
      </c>
      <c r="F358" t="s">
        <v>1362</v>
      </c>
    </row>
    <row r="359" spans="1:6" hidden="1" x14ac:dyDescent="0.25">
      <c r="A359" t="s">
        <v>1363</v>
      </c>
      <c r="B359" t="s">
        <v>41</v>
      </c>
      <c r="C359" t="s">
        <v>296</v>
      </c>
      <c r="D359" t="s">
        <v>1364</v>
      </c>
      <c r="E359" t="s">
        <v>21</v>
      </c>
      <c r="F359" t="s">
        <v>1365</v>
      </c>
    </row>
    <row r="360" spans="1:6" hidden="1" x14ac:dyDescent="0.25">
      <c r="A360" t="s">
        <v>1366</v>
      </c>
      <c r="B360" t="s">
        <v>386</v>
      </c>
      <c r="C360" t="s">
        <v>387</v>
      </c>
      <c r="D360" t="s">
        <v>1367</v>
      </c>
      <c r="E360" t="s">
        <v>21</v>
      </c>
      <c r="F360" t="s">
        <v>1368</v>
      </c>
    </row>
    <row r="361" spans="1:6" hidden="1" x14ac:dyDescent="0.25">
      <c r="A361" t="s">
        <v>1369</v>
      </c>
      <c r="B361" t="s">
        <v>1370</v>
      </c>
      <c r="C361" t="s">
        <v>296</v>
      </c>
      <c r="D361" t="s">
        <v>1371</v>
      </c>
      <c r="E361" t="s">
        <v>21</v>
      </c>
      <c r="F361" t="s">
        <v>1372</v>
      </c>
    </row>
    <row r="362" spans="1:6" hidden="1" x14ac:dyDescent="0.25">
      <c r="A362" t="s">
        <v>1373</v>
      </c>
      <c r="B362" t="s">
        <v>322</v>
      </c>
      <c r="C362" t="s">
        <v>296</v>
      </c>
      <c r="D362" t="s">
        <v>1374</v>
      </c>
      <c r="E362" t="s">
        <v>21</v>
      </c>
      <c r="F362" t="s">
        <v>1375</v>
      </c>
    </row>
    <row r="363" spans="1:6" hidden="1" x14ac:dyDescent="0.25">
      <c r="A363" t="s">
        <v>1376</v>
      </c>
      <c r="B363" t="s">
        <v>326</v>
      </c>
      <c r="C363" t="s">
        <v>296</v>
      </c>
      <c r="D363" t="s">
        <v>1377</v>
      </c>
      <c r="E363" t="s">
        <v>21</v>
      </c>
      <c r="F363" t="s">
        <v>1378</v>
      </c>
    </row>
    <row r="364" spans="1:6" hidden="1" x14ac:dyDescent="0.25">
      <c r="A364" t="s">
        <v>1379</v>
      </c>
      <c r="B364" t="s">
        <v>64</v>
      </c>
      <c r="C364" t="s">
        <v>296</v>
      </c>
      <c r="D364" t="s">
        <v>1380</v>
      </c>
      <c r="E364" t="s">
        <v>21</v>
      </c>
      <c r="F364" t="s">
        <v>1381</v>
      </c>
    </row>
    <row r="365" spans="1:6" hidden="1" x14ac:dyDescent="0.25">
      <c r="A365" t="s">
        <v>1382</v>
      </c>
      <c r="B365" t="s">
        <v>64</v>
      </c>
      <c r="C365" t="s">
        <v>296</v>
      </c>
      <c r="D365" t="s">
        <v>1383</v>
      </c>
      <c r="E365" t="s">
        <v>21</v>
      </c>
      <c r="F365" t="s">
        <v>1384</v>
      </c>
    </row>
    <row r="366" spans="1:6" hidden="1" x14ac:dyDescent="0.25">
      <c r="A366" t="s">
        <v>1385</v>
      </c>
      <c r="B366" t="s">
        <v>78</v>
      </c>
      <c r="C366" t="s">
        <v>296</v>
      </c>
      <c r="D366" t="s">
        <v>1386</v>
      </c>
      <c r="E366" t="s">
        <v>21</v>
      </c>
      <c r="F366" t="s">
        <v>1387</v>
      </c>
    </row>
    <row r="367" spans="1:6" hidden="1" x14ac:dyDescent="0.25">
      <c r="A367" t="s">
        <v>1388</v>
      </c>
      <c r="B367" t="s">
        <v>64</v>
      </c>
      <c r="C367" t="s">
        <v>296</v>
      </c>
      <c r="D367" t="s">
        <v>1389</v>
      </c>
      <c r="E367" t="s">
        <v>21</v>
      </c>
      <c r="F367" t="s">
        <v>1390</v>
      </c>
    </row>
    <row r="368" spans="1:6" hidden="1" x14ac:dyDescent="0.25">
      <c r="A368" t="s">
        <v>1391</v>
      </c>
      <c r="B368" t="s">
        <v>15</v>
      </c>
      <c r="C368" t="s">
        <v>296</v>
      </c>
      <c r="D368" t="s">
        <v>1392</v>
      </c>
      <c r="E368" t="s">
        <v>21</v>
      </c>
      <c r="F368" t="s">
        <v>1393</v>
      </c>
    </row>
    <row r="369" spans="1:6" hidden="1" x14ac:dyDescent="0.25">
      <c r="A369" t="s">
        <v>1394</v>
      </c>
      <c r="B369" t="s">
        <v>343</v>
      </c>
      <c r="C369" t="s">
        <v>296</v>
      </c>
      <c r="D369" t="s">
        <v>1395</v>
      </c>
      <c r="E369" t="s">
        <v>21</v>
      </c>
      <c r="F369" t="s">
        <v>1396</v>
      </c>
    </row>
    <row r="370" spans="1:6" hidden="1" x14ac:dyDescent="0.25">
      <c r="A370" t="s">
        <v>1397</v>
      </c>
      <c r="B370" t="s">
        <v>41</v>
      </c>
      <c r="C370" t="s">
        <v>296</v>
      </c>
      <c r="D370" t="s">
        <v>1398</v>
      </c>
      <c r="E370" t="s">
        <v>21</v>
      </c>
      <c r="F370" t="s">
        <v>1399</v>
      </c>
    </row>
    <row r="371" spans="1:6" hidden="1" x14ac:dyDescent="0.25">
      <c r="A371" t="s">
        <v>1400</v>
      </c>
      <c r="B371" t="s">
        <v>437</v>
      </c>
      <c r="C371" t="s">
        <v>480</v>
      </c>
      <c r="D371" t="s">
        <v>1401</v>
      </c>
      <c r="E371" t="s">
        <v>21</v>
      </c>
      <c r="F371" t="s">
        <v>1402</v>
      </c>
    </row>
    <row r="372" spans="1:6" hidden="1" x14ac:dyDescent="0.25">
      <c r="A372" t="s">
        <v>1403</v>
      </c>
      <c r="B372" t="s">
        <v>41</v>
      </c>
      <c r="C372" t="s">
        <v>296</v>
      </c>
      <c r="D372" t="s">
        <v>1404</v>
      </c>
      <c r="E372" t="s">
        <v>21</v>
      </c>
      <c r="F372" t="s">
        <v>1405</v>
      </c>
    </row>
    <row r="373" spans="1:6" x14ac:dyDescent="0.25">
      <c r="A373" t="s">
        <v>1406</v>
      </c>
      <c r="B373" t="s">
        <v>386</v>
      </c>
      <c r="C373" t="s">
        <v>387</v>
      </c>
      <c r="D373" t="s">
        <v>1407</v>
      </c>
      <c r="E373" t="s">
        <v>21</v>
      </c>
      <c r="F373" t="s">
        <v>1408</v>
      </c>
    </row>
    <row r="374" spans="1:6" hidden="1" x14ac:dyDescent="0.25">
      <c r="A374" t="s">
        <v>1409</v>
      </c>
      <c r="B374" t="s">
        <v>15</v>
      </c>
      <c r="C374" t="s">
        <v>296</v>
      </c>
      <c r="D374" t="s">
        <v>1410</v>
      </c>
      <c r="E374" t="s">
        <v>21</v>
      </c>
      <c r="F374" t="s">
        <v>1411</v>
      </c>
    </row>
    <row r="375" spans="1:6" hidden="1" x14ac:dyDescent="0.25">
      <c r="A375" t="s">
        <v>1412</v>
      </c>
      <c r="B375" t="s">
        <v>197</v>
      </c>
      <c r="C375" t="s">
        <v>296</v>
      </c>
      <c r="D375" t="s">
        <v>1413</v>
      </c>
      <c r="E375" t="s">
        <v>21</v>
      </c>
      <c r="F375" t="s">
        <v>1414</v>
      </c>
    </row>
    <row r="376" spans="1:6" hidden="1" x14ac:dyDescent="0.25">
      <c r="A376" t="s">
        <v>1415</v>
      </c>
      <c r="B376" t="s">
        <v>326</v>
      </c>
      <c r="C376" t="s">
        <v>296</v>
      </c>
      <c r="D376" t="s">
        <v>1416</v>
      </c>
      <c r="E376" t="s">
        <v>21</v>
      </c>
      <c r="F376" t="s">
        <v>1417</v>
      </c>
    </row>
    <row r="377" spans="1:6" hidden="1" x14ac:dyDescent="0.25">
      <c r="A377" t="s">
        <v>1418</v>
      </c>
      <c r="B377" t="s">
        <v>211</v>
      </c>
      <c r="C377" t="s">
        <v>400</v>
      </c>
      <c r="D377" t="s">
        <v>1419</v>
      </c>
      <c r="E377" t="s">
        <v>21</v>
      </c>
      <c r="F377" t="s">
        <v>1420</v>
      </c>
    </row>
    <row r="378" spans="1:6" hidden="1" x14ac:dyDescent="0.25">
      <c r="A378" t="s">
        <v>1421</v>
      </c>
      <c r="B378" t="s">
        <v>24</v>
      </c>
      <c r="C378" t="s">
        <v>296</v>
      </c>
      <c r="D378" t="s">
        <v>1422</v>
      </c>
      <c r="E378" t="s">
        <v>21</v>
      </c>
      <c r="F378" t="s">
        <v>1423</v>
      </c>
    </row>
    <row r="379" spans="1:6" hidden="1" x14ac:dyDescent="0.25">
      <c r="A379" t="s">
        <v>1424</v>
      </c>
      <c r="B379" t="s">
        <v>921</v>
      </c>
      <c r="C379" t="s">
        <v>400</v>
      </c>
      <c r="D379" t="s">
        <v>1425</v>
      </c>
      <c r="E379" t="s">
        <v>21</v>
      </c>
      <c r="F379" t="s">
        <v>1426</v>
      </c>
    </row>
    <row r="380" spans="1:6" hidden="1" x14ac:dyDescent="0.25">
      <c r="A380" t="s">
        <v>1427</v>
      </c>
      <c r="B380" t="s">
        <v>121</v>
      </c>
      <c r="C380" t="s">
        <v>296</v>
      </c>
      <c r="D380" t="s">
        <v>1428</v>
      </c>
      <c r="E380" t="s">
        <v>21</v>
      </c>
      <c r="F380" t="s">
        <v>1429</v>
      </c>
    </row>
    <row r="381" spans="1:6" hidden="1" x14ac:dyDescent="0.25">
      <c r="A381" t="s">
        <v>1430</v>
      </c>
      <c r="B381" t="s">
        <v>211</v>
      </c>
      <c r="C381" t="s">
        <v>296</v>
      </c>
      <c r="D381" t="s">
        <v>1431</v>
      </c>
      <c r="E381" t="s">
        <v>21</v>
      </c>
      <c r="F381" t="s">
        <v>1432</v>
      </c>
    </row>
    <row r="382" spans="1:6" hidden="1" x14ac:dyDescent="0.25">
      <c r="A382" t="s">
        <v>1433</v>
      </c>
      <c r="B382" t="s">
        <v>702</v>
      </c>
      <c r="C382" t="s">
        <v>478</v>
      </c>
      <c r="D382" t="s">
        <v>1434</v>
      </c>
      <c r="E382" t="s">
        <v>21</v>
      </c>
      <c r="F382" t="s">
        <v>4206</v>
      </c>
    </row>
    <row r="383" spans="1:6" hidden="1" x14ac:dyDescent="0.25">
      <c r="A383" t="s">
        <v>1435</v>
      </c>
      <c r="B383" t="s">
        <v>420</v>
      </c>
      <c r="C383" t="s">
        <v>296</v>
      </c>
      <c r="D383" t="s">
        <v>1436</v>
      </c>
      <c r="E383" t="s">
        <v>21</v>
      </c>
      <c r="F383" t="s">
        <v>1437</v>
      </c>
    </row>
    <row r="384" spans="1:6" hidden="1" x14ac:dyDescent="0.25">
      <c r="A384" t="s">
        <v>1438</v>
      </c>
      <c r="B384" t="s">
        <v>702</v>
      </c>
      <c r="C384" t="s">
        <v>478</v>
      </c>
      <c r="D384" t="s">
        <v>1439</v>
      </c>
      <c r="E384" t="s">
        <v>21</v>
      </c>
      <c r="F384" t="s">
        <v>4196</v>
      </c>
    </row>
    <row r="385" spans="1:6" hidden="1" x14ac:dyDescent="0.25">
      <c r="A385" t="s">
        <v>1440</v>
      </c>
      <c r="B385" t="s">
        <v>363</v>
      </c>
      <c r="C385" t="s">
        <v>825</v>
      </c>
      <c r="D385" t="s">
        <v>1441</v>
      </c>
      <c r="E385" t="s">
        <v>21</v>
      </c>
      <c r="F385" t="s">
        <v>1442</v>
      </c>
    </row>
    <row r="386" spans="1:6" hidden="1" x14ac:dyDescent="0.25">
      <c r="A386" t="s">
        <v>1443</v>
      </c>
      <c r="B386" t="s">
        <v>78</v>
      </c>
      <c r="C386" t="s">
        <v>296</v>
      </c>
      <c r="D386" t="s">
        <v>1444</v>
      </c>
      <c r="E386" t="s">
        <v>21</v>
      </c>
      <c r="F386" t="s">
        <v>1445</v>
      </c>
    </row>
    <row r="387" spans="1:6" hidden="1" x14ac:dyDescent="0.25">
      <c r="A387" t="s">
        <v>1446</v>
      </c>
      <c r="B387" t="s">
        <v>1370</v>
      </c>
      <c r="C387" t="s">
        <v>296</v>
      </c>
      <c r="D387" t="s">
        <v>1447</v>
      </c>
      <c r="E387" t="s">
        <v>21</v>
      </c>
      <c r="F387" t="s">
        <v>1448</v>
      </c>
    </row>
    <row r="388" spans="1:6" hidden="1" x14ac:dyDescent="0.25">
      <c r="A388" t="s">
        <v>1449</v>
      </c>
      <c r="B388" t="s">
        <v>15</v>
      </c>
      <c r="C388" t="s">
        <v>296</v>
      </c>
      <c r="D388" t="s">
        <v>1450</v>
      </c>
      <c r="E388" t="s">
        <v>21</v>
      </c>
      <c r="F388" t="s">
        <v>1451</v>
      </c>
    </row>
    <row r="389" spans="1:6" hidden="1" x14ac:dyDescent="0.25">
      <c r="A389" t="s">
        <v>1452</v>
      </c>
      <c r="B389" t="s">
        <v>82</v>
      </c>
      <c r="C389" t="s">
        <v>296</v>
      </c>
      <c r="D389" t="s">
        <v>1453</v>
      </c>
      <c r="E389" t="s">
        <v>21</v>
      </c>
      <c r="F389" t="s">
        <v>1454</v>
      </c>
    </row>
    <row r="390" spans="1:6" hidden="1" x14ac:dyDescent="0.25">
      <c r="A390" t="s">
        <v>1455</v>
      </c>
      <c r="B390" t="s">
        <v>142</v>
      </c>
      <c r="C390" t="s">
        <v>296</v>
      </c>
      <c r="D390" t="s">
        <v>1456</v>
      </c>
      <c r="E390" t="s">
        <v>21</v>
      </c>
      <c r="F390" t="s">
        <v>1457</v>
      </c>
    </row>
    <row r="391" spans="1:6" hidden="1" x14ac:dyDescent="0.25">
      <c r="A391" t="s">
        <v>1458</v>
      </c>
      <c r="B391" t="s">
        <v>153</v>
      </c>
      <c r="C391" t="s">
        <v>296</v>
      </c>
      <c r="D391" t="s">
        <v>1459</v>
      </c>
      <c r="E391" t="s">
        <v>21</v>
      </c>
      <c r="F391" t="s">
        <v>1460</v>
      </c>
    </row>
    <row r="392" spans="1:6" hidden="1" x14ac:dyDescent="0.25">
      <c r="A392" t="s">
        <v>1461</v>
      </c>
      <c r="B392" t="s">
        <v>128</v>
      </c>
      <c r="C392" t="s">
        <v>296</v>
      </c>
      <c r="D392" t="s">
        <v>1462</v>
      </c>
      <c r="E392" t="s">
        <v>21</v>
      </c>
      <c r="F392" t="s">
        <v>1463</v>
      </c>
    </row>
    <row r="393" spans="1:6" hidden="1" x14ac:dyDescent="0.25">
      <c r="A393" t="s">
        <v>1464</v>
      </c>
      <c r="B393" t="s">
        <v>326</v>
      </c>
      <c r="C393" t="s">
        <v>296</v>
      </c>
      <c r="D393" t="s">
        <v>1465</v>
      </c>
      <c r="E393" t="s">
        <v>21</v>
      </c>
      <c r="F393" t="s">
        <v>1466</v>
      </c>
    </row>
    <row r="394" spans="1:6" hidden="1" x14ac:dyDescent="0.25">
      <c r="A394" t="s">
        <v>1467</v>
      </c>
      <c r="B394" t="s">
        <v>15</v>
      </c>
      <c r="C394" t="s">
        <v>296</v>
      </c>
      <c r="D394" t="s">
        <v>1468</v>
      </c>
      <c r="E394" t="s">
        <v>21</v>
      </c>
      <c r="F394" t="s">
        <v>1469</v>
      </c>
    </row>
    <row r="395" spans="1:6" hidden="1" x14ac:dyDescent="0.25">
      <c r="A395" t="s">
        <v>1470</v>
      </c>
      <c r="B395" t="s">
        <v>702</v>
      </c>
      <c r="C395" t="s">
        <v>1067</v>
      </c>
      <c r="D395" t="s">
        <v>1471</v>
      </c>
      <c r="E395" t="s">
        <v>21</v>
      </c>
      <c r="F395" t="s">
        <v>1472</v>
      </c>
    </row>
    <row r="396" spans="1:6" hidden="1" x14ac:dyDescent="0.25">
      <c r="A396" t="s">
        <v>1473</v>
      </c>
      <c r="B396" t="s">
        <v>514</v>
      </c>
      <c r="C396" t="s">
        <v>1474</v>
      </c>
      <c r="D396" t="s">
        <v>1475</v>
      </c>
      <c r="E396" t="s">
        <v>21</v>
      </c>
      <c r="F396" t="s">
        <v>1476</v>
      </c>
    </row>
    <row r="397" spans="1:6" hidden="1" x14ac:dyDescent="0.25">
      <c r="A397" t="s">
        <v>1477</v>
      </c>
      <c r="B397" t="s">
        <v>82</v>
      </c>
      <c r="C397" t="s">
        <v>296</v>
      </c>
      <c r="D397" t="s">
        <v>1478</v>
      </c>
      <c r="E397" t="s">
        <v>21</v>
      </c>
      <c r="F397" t="s">
        <v>1479</v>
      </c>
    </row>
    <row r="398" spans="1:6" hidden="1" x14ac:dyDescent="0.25">
      <c r="A398" t="s">
        <v>1480</v>
      </c>
      <c r="B398" t="s">
        <v>533</v>
      </c>
      <c r="C398" t="s">
        <v>296</v>
      </c>
      <c r="D398" t="s">
        <v>1481</v>
      </c>
      <c r="E398" t="s">
        <v>21</v>
      </c>
      <c r="F398" t="s">
        <v>1482</v>
      </c>
    </row>
    <row r="399" spans="1:6" hidden="1" x14ac:dyDescent="0.25">
      <c r="A399" t="s">
        <v>1483</v>
      </c>
      <c r="B399" t="s">
        <v>303</v>
      </c>
      <c r="C399" t="s">
        <v>304</v>
      </c>
      <c r="D399" t="s">
        <v>1484</v>
      </c>
      <c r="E399" t="s">
        <v>21</v>
      </c>
      <c r="F399" t="s">
        <v>1485</v>
      </c>
    </row>
    <row r="400" spans="1:6" hidden="1" x14ac:dyDescent="0.25">
      <c r="A400" t="s">
        <v>1486</v>
      </c>
      <c r="B400" t="s">
        <v>34</v>
      </c>
      <c r="C400" t="s">
        <v>296</v>
      </c>
      <c r="D400" t="s">
        <v>1487</v>
      </c>
      <c r="E400" t="s">
        <v>21</v>
      </c>
      <c r="F400" t="s">
        <v>1488</v>
      </c>
    </row>
    <row r="401" spans="1:6" hidden="1" x14ac:dyDescent="0.25">
      <c r="A401" t="s">
        <v>80</v>
      </c>
      <c r="B401" t="s">
        <v>82</v>
      </c>
      <c r="C401" t="s">
        <v>296</v>
      </c>
      <c r="D401" t="s">
        <v>81</v>
      </c>
      <c r="E401" t="s">
        <v>21</v>
      </c>
      <c r="F401" t="s">
        <v>83</v>
      </c>
    </row>
    <row r="402" spans="1:6" hidden="1" x14ac:dyDescent="0.25">
      <c r="A402" t="s">
        <v>1489</v>
      </c>
      <c r="B402" t="s">
        <v>410</v>
      </c>
      <c r="C402" t="s">
        <v>296</v>
      </c>
      <c r="D402" t="s">
        <v>1490</v>
      </c>
      <c r="E402" t="s">
        <v>21</v>
      </c>
      <c r="F402" t="s">
        <v>1491</v>
      </c>
    </row>
    <row r="403" spans="1:6" hidden="1" x14ac:dyDescent="0.25">
      <c r="A403" t="s">
        <v>1492</v>
      </c>
      <c r="B403" t="s">
        <v>454</v>
      </c>
      <c r="C403" t="s">
        <v>296</v>
      </c>
      <c r="D403" t="s">
        <v>1493</v>
      </c>
      <c r="E403" t="s">
        <v>21</v>
      </c>
      <c r="F403" t="s">
        <v>1494</v>
      </c>
    </row>
    <row r="404" spans="1:6" hidden="1" x14ac:dyDescent="0.25">
      <c r="A404" t="s">
        <v>1495</v>
      </c>
      <c r="B404" t="s">
        <v>132</v>
      </c>
      <c r="C404" t="s">
        <v>296</v>
      </c>
      <c r="D404" t="s">
        <v>1496</v>
      </c>
      <c r="E404" t="s">
        <v>21</v>
      </c>
      <c r="F404" t="s">
        <v>1497</v>
      </c>
    </row>
    <row r="405" spans="1:6" hidden="1" x14ac:dyDescent="0.25">
      <c r="A405" t="s">
        <v>1498</v>
      </c>
      <c r="B405" t="s">
        <v>64</v>
      </c>
      <c r="C405" t="s">
        <v>296</v>
      </c>
      <c r="D405" t="s">
        <v>1499</v>
      </c>
      <c r="E405" t="s">
        <v>21</v>
      </c>
      <c r="F405" t="s">
        <v>1500</v>
      </c>
    </row>
    <row r="406" spans="1:6" hidden="1" x14ac:dyDescent="0.25">
      <c r="A406" t="s">
        <v>154</v>
      </c>
      <c r="B406" t="s">
        <v>386</v>
      </c>
      <c r="C406" t="s">
        <v>387</v>
      </c>
      <c r="D406" t="s">
        <v>155</v>
      </c>
      <c r="E406" t="s">
        <v>21</v>
      </c>
      <c r="F406" t="s">
        <v>157</v>
      </c>
    </row>
    <row r="407" spans="1:6" hidden="1" x14ac:dyDescent="0.25">
      <c r="A407" t="s">
        <v>1501</v>
      </c>
      <c r="B407" t="s">
        <v>533</v>
      </c>
      <c r="C407" t="s">
        <v>296</v>
      </c>
      <c r="D407" t="s">
        <v>1502</v>
      </c>
      <c r="E407" t="s">
        <v>21</v>
      </c>
      <c r="F407" t="s">
        <v>1503</v>
      </c>
    </row>
    <row r="408" spans="1:6" hidden="1" x14ac:dyDescent="0.25">
      <c r="A408" t="s">
        <v>1504</v>
      </c>
      <c r="B408" t="s">
        <v>132</v>
      </c>
      <c r="C408" t="s">
        <v>296</v>
      </c>
      <c r="D408" t="s">
        <v>1505</v>
      </c>
      <c r="E408" t="s">
        <v>21</v>
      </c>
      <c r="F408" t="s">
        <v>1506</v>
      </c>
    </row>
    <row r="409" spans="1:6" hidden="1" x14ac:dyDescent="0.25">
      <c r="A409" t="s">
        <v>1507</v>
      </c>
      <c r="B409" t="s">
        <v>97</v>
      </c>
      <c r="C409" t="s">
        <v>296</v>
      </c>
      <c r="D409" t="s">
        <v>1508</v>
      </c>
      <c r="E409" t="s">
        <v>21</v>
      </c>
      <c r="F409" t="s">
        <v>1509</v>
      </c>
    </row>
    <row r="410" spans="1:6" hidden="1" x14ac:dyDescent="0.25">
      <c r="A410" t="s">
        <v>1510</v>
      </c>
      <c r="B410" t="s">
        <v>326</v>
      </c>
      <c r="C410" t="s">
        <v>296</v>
      </c>
      <c r="D410" t="s">
        <v>1511</v>
      </c>
      <c r="E410" t="s">
        <v>21</v>
      </c>
      <c r="F410" t="s">
        <v>1512</v>
      </c>
    </row>
    <row r="411" spans="1:6" hidden="1" x14ac:dyDescent="0.25">
      <c r="A411" t="s">
        <v>1513</v>
      </c>
      <c r="B411" t="s">
        <v>628</v>
      </c>
      <c r="C411" t="s">
        <v>296</v>
      </c>
      <c r="D411" t="s">
        <v>1514</v>
      </c>
      <c r="E411" t="s">
        <v>21</v>
      </c>
      <c r="F411" t="s">
        <v>1515</v>
      </c>
    </row>
    <row r="412" spans="1:6" hidden="1" x14ac:dyDescent="0.25">
      <c r="A412" t="s">
        <v>1516</v>
      </c>
      <c r="B412" t="s">
        <v>533</v>
      </c>
      <c r="C412" t="s">
        <v>296</v>
      </c>
      <c r="D412" t="s">
        <v>1517</v>
      </c>
      <c r="E412" t="s">
        <v>21</v>
      </c>
      <c r="F412" t="s">
        <v>1518</v>
      </c>
    </row>
    <row r="413" spans="1:6" hidden="1" x14ac:dyDescent="0.25">
      <c r="A413" t="s">
        <v>1519</v>
      </c>
      <c r="B413" t="s">
        <v>1370</v>
      </c>
      <c r="C413" t="s">
        <v>296</v>
      </c>
      <c r="D413" t="s">
        <v>1520</v>
      </c>
      <c r="E413" t="s">
        <v>21</v>
      </c>
      <c r="F413" t="s">
        <v>1521</v>
      </c>
    </row>
    <row r="414" spans="1:6" hidden="1" x14ac:dyDescent="0.25">
      <c r="A414" t="s">
        <v>1522</v>
      </c>
      <c r="B414" t="s">
        <v>64</v>
      </c>
      <c r="C414" t="s">
        <v>296</v>
      </c>
      <c r="D414" t="s">
        <v>1523</v>
      </c>
      <c r="E414" t="s">
        <v>21</v>
      </c>
      <c r="F414" t="s">
        <v>1524</v>
      </c>
    </row>
    <row r="415" spans="1:6" hidden="1" x14ac:dyDescent="0.25">
      <c r="A415" t="s">
        <v>1525</v>
      </c>
      <c r="B415" t="s">
        <v>437</v>
      </c>
      <c r="C415" t="s">
        <v>480</v>
      </c>
      <c r="D415" t="s">
        <v>1526</v>
      </c>
      <c r="E415" t="s">
        <v>21</v>
      </c>
      <c r="F415" t="s">
        <v>1527</v>
      </c>
    </row>
    <row r="416" spans="1:6" hidden="1" x14ac:dyDescent="0.25">
      <c r="A416" t="s">
        <v>1528</v>
      </c>
      <c r="B416" t="s">
        <v>386</v>
      </c>
      <c r="C416" t="s">
        <v>387</v>
      </c>
      <c r="D416" t="s">
        <v>1529</v>
      </c>
      <c r="E416" t="s">
        <v>21</v>
      </c>
      <c r="F416" t="s">
        <v>1530</v>
      </c>
    </row>
    <row r="417" spans="1:6" hidden="1" x14ac:dyDescent="0.25">
      <c r="A417" t="s">
        <v>1531</v>
      </c>
      <c r="B417" t="s">
        <v>311</v>
      </c>
      <c r="C417" t="s">
        <v>296</v>
      </c>
      <c r="D417" t="s">
        <v>1532</v>
      </c>
      <c r="E417" t="s">
        <v>21</v>
      </c>
      <c r="F417" t="s">
        <v>1533</v>
      </c>
    </row>
    <row r="418" spans="1:6" hidden="1" x14ac:dyDescent="0.25">
      <c r="A418" t="s">
        <v>1534</v>
      </c>
      <c r="B418" t="s">
        <v>702</v>
      </c>
      <c r="C418" t="s">
        <v>478</v>
      </c>
      <c r="D418" t="s">
        <v>1535</v>
      </c>
      <c r="E418" t="s">
        <v>21</v>
      </c>
      <c r="F418" t="s">
        <v>1536</v>
      </c>
    </row>
    <row r="419" spans="1:6" hidden="1" x14ac:dyDescent="0.25">
      <c r="A419" t="s">
        <v>1537</v>
      </c>
      <c r="B419" t="s">
        <v>211</v>
      </c>
      <c r="C419" t="s">
        <v>296</v>
      </c>
      <c r="D419" t="s">
        <v>1538</v>
      </c>
      <c r="E419" t="s">
        <v>21</v>
      </c>
      <c r="F419" t="s">
        <v>1539</v>
      </c>
    </row>
    <row r="420" spans="1:6" hidden="1" x14ac:dyDescent="0.25">
      <c r="A420" t="s">
        <v>1540</v>
      </c>
      <c r="B420" t="s">
        <v>702</v>
      </c>
      <c r="C420" t="s">
        <v>825</v>
      </c>
      <c r="D420" t="s">
        <v>1541</v>
      </c>
      <c r="E420" t="s">
        <v>21</v>
      </c>
      <c r="F420" t="s">
        <v>1542</v>
      </c>
    </row>
    <row r="421" spans="1:6" hidden="1" x14ac:dyDescent="0.25">
      <c r="A421" t="s">
        <v>1543</v>
      </c>
      <c r="B421" t="s">
        <v>702</v>
      </c>
      <c r="C421" t="s">
        <v>825</v>
      </c>
      <c r="D421" t="s">
        <v>1544</v>
      </c>
      <c r="E421" t="s">
        <v>21</v>
      </c>
      <c r="F421" t="s">
        <v>1545</v>
      </c>
    </row>
    <row r="422" spans="1:6" hidden="1" x14ac:dyDescent="0.25">
      <c r="A422" t="s">
        <v>1546</v>
      </c>
      <c r="B422" t="s">
        <v>437</v>
      </c>
      <c r="C422" t="s">
        <v>480</v>
      </c>
      <c r="D422" t="s">
        <v>1547</v>
      </c>
      <c r="E422" t="s">
        <v>21</v>
      </c>
      <c r="F422" t="s">
        <v>1548</v>
      </c>
    </row>
    <row r="423" spans="1:6" hidden="1" x14ac:dyDescent="0.25">
      <c r="A423" t="s">
        <v>1549</v>
      </c>
      <c r="B423" t="s">
        <v>553</v>
      </c>
      <c r="C423" t="s">
        <v>296</v>
      </c>
      <c r="D423" t="s">
        <v>1550</v>
      </c>
      <c r="E423" t="s">
        <v>21</v>
      </c>
      <c r="F423" t="s">
        <v>1551</v>
      </c>
    </row>
    <row r="424" spans="1:6" hidden="1" x14ac:dyDescent="0.25">
      <c r="A424" t="s">
        <v>1552</v>
      </c>
      <c r="B424" t="s">
        <v>153</v>
      </c>
      <c r="C424" t="s">
        <v>296</v>
      </c>
      <c r="D424" t="s">
        <v>1553</v>
      </c>
      <c r="E424" t="s">
        <v>21</v>
      </c>
      <c r="F424" t="s">
        <v>1554</v>
      </c>
    </row>
    <row r="425" spans="1:6" hidden="1" x14ac:dyDescent="0.25">
      <c r="A425" t="s">
        <v>1555</v>
      </c>
      <c r="B425" t="s">
        <v>89</v>
      </c>
      <c r="C425" t="s">
        <v>296</v>
      </c>
      <c r="D425" t="s">
        <v>1556</v>
      </c>
      <c r="E425" t="s">
        <v>21</v>
      </c>
      <c r="F425" t="s">
        <v>1557</v>
      </c>
    </row>
    <row r="426" spans="1:6" hidden="1" x14ac:dyDescent="0.25">
      <c r="A426" t="s">
        <v>1558</v>
      </c>
      <c r="B426" t="s">
        <v>64</v>
      </c>
      <c r="C426" t="s">
        <v>296</v>
      </c>
      <c r="D426" t="s">
        <v>1559</v>
      </c>
      <c r="E426" t="s">
        <v>21</v>
      </c>
      <c r="F426" t="s">
        <v>1560</v>
      </c>
    </row>
    <row r="427" spans="1:6" hidden="1" x14ac:dyDescent="0.25">
      <c r="A427" t="s">
        <v>1561</v>
      </c>
      <c r="B427" t="s">
        <v>78</v>
      </c>
      <c r="C427" t="s">
        <v>296</v>
      </c>
      <c r="D427" t="s">
        <v>1562</v>
      </c>
      <c r="E427" t="s">
        <v>21</v>
      </c>
      <c r="F427" t="s">
        <v>1563</v>
      </c>
    </row>
    <row r="428" spans="1:6" hidden="1" x14ac:dyDescent="0.25">
      <c r="A428" t="s">
        <v>1564</v>
      </c>
      <c r="B428" t="s">
        <v>702</v>
      </c>
      <c r="C428" t="s">
        <v>825</v>
      </c>
      <c r="D428" t="s">
        <v>1565</v>
      </c>
      <c r="E428" t="s">
        <v>21</v>
      </c>
      <c r="F428" t="s">
        <v>1566</v>
      </c>
    </row>
    <row r="429" spans="1:6" hidden="1" x14ac:dyDescent="0.25">
      <c r="A429" t="s">
        <v>1567</v>
      </c>
      <c r="B429" t="s">
        <v>343</v>
      </c>
      <c r="C429" t="s">
        <v>296</v>
      </c>
      <c r="D429" t="s">
        <v>1568</v>
      </c>
      <c r="E429" t="s">
        <v>21</v>
      </c>
      <c r="F429" t="s">
        <v>1569</v>
      </c>
    </row>
    <row r="430" spans="1:6" hidden="1" x14ac:dyDescent="0.25">
      <c r="A430" t="s">
        <v>1570</v>
      </c>
      <c r="B430" t="s">
        <v>34</v>
      </c>
      <c r="C430" t="s">
        <v>296</v>
      </c>
      <c r="D430" t="s">
        <v>1571</v>
      </c>
      <c r="E430" t="s">
        <v>21</v>
      </c>
      <c r="F430" t="s">
        <v>1572</v>
      </c>
    </row>
    <row r="431" spans="1:6" hidden="1" x14ac:dyDescent="0.25">
      <c r="A431" t="s">
        <v>1573</v>
      </c>
      <c r="B431" t="s">
        <v>64</v>
      </c>
      <c r="C431" t="s">
        <v>296</v>
      </c>
      <c r="D431" t="s">
        <v>1574</v>
      </c>
      <c r="E431" t="s">
        <v>21</v>
      </c>
      <c r="F431" t="s">
        <v>1575</v>
      </c>
    </row>
    <row r="432" spans="1:6" hidden="1" x14ac:dyDescent="0.25">
      <c r="A432" t="s">
        <v>1576</v>
      </c>
      <c r="B432" t="s">
        <v>97</v>
      </c>
      <c r="C432" t="s">
        <v>296</v>
      </c>
      <c r="D432" t="s">
        <v>1577</v>
      </c>
      <c r="E432" t="s">
        <v>21</v>
      </c>
      <c r="F432" t="s">
        <v>1578</v>
      </c>
    </row>
    <row r="433" spans="1:6" hidden="1" x14ac:dyDescent="0.25">
      <c r="A433" t="s">
        <v>1579</v>
      </c>
      <c r="B433" t="s">
        <v>64</v>
      </c>
      <c r="C433" t="s">
        <v>296</v>
      </c>
      <c r="D433" t="s">
        <v>1580</v>
      </c>
      <c r="E433" t="s">
        <v>21</v>
      </c>
      <c r="F433" t="s">
        <v>1581</v>
      </c>
    </row>
    <row r="434" spans="1:6" hidden="1" x14ac:dyDescent="0.25">
      <c r="A434" t="s">
        <v>1582</v>
      </c>
      <c r="B434" t="s">
        <v>128</v>
      </c>
      <c r="C434" t="s">
        <v>296</v>
      </c>
      <c r="D434" t="s">
        <v>1583</v>
      </c>
      <c r="E434" t="s">
        <v>21</v>
      </c>
      <c r="F434" t="s">
        <v>1584</v>
      </c>
    </row>
    <row r="435" spans="1:6" hidden="1" x14ac:dyDescent="0.25">
      <c r="A435" t="s">
        <v>27</v>
      </c>
      <c r="B435" t="s">
        <v>326</v>
      </c>
      <c r="C435" t="s">
        <v>296</v>
      </c>
      <c r="D435" t="s">
        <v>112</v>
      </c>
      <c r="E435" t="s">
        <v>21</v>
      </c>
      <c r="F435" t="s">
        <v>31</v>
      </c>
    </row>
    <row r="436" spans="1:6" hidden="1" x14ac:dyDescent="0.25">
      <c r="A436" t="s">
        <v>1585</v>
      </c>
      <c r="B436" t="s">
        <v>326</v>
      </c>
      <c r="C436" t="s">
        <v>296</v>
      </c>
      <c r="D436" t="s">
        <v>1586</v>
      </c>
      <c r="E436" t="s">
        <v>21</v>
      </c>
      <c r="F436" t="s">
        <v>1587</v>
      </c>
    </row>
    <row r="437" spans="1:6" hidden="1" x14ac:dyDescent="0.25">
      <c r="A437" t="s">
        <v>1588</v>
      </c>
      <c r="B437" t="s">
        <v>454</v>
      </c>
      <c r="C437" t="s">
        <v>585</v>
      </c>
      <c r="D437" t="s">
        <v>1589</v>
      </c>
      <c r="E437" t="s">
        <v>21</v>
      </c>
      <c r="F437" t="s">
        <v>1590</v>
      </c>
    </row>
    <row r="438" spans="1:6" hidden="1" x14ac:dyDescent="0.25">
      <c r="A438" t="s">
        <v>1591</v>
      </c>
      <c r="B438" t="s">
        <v>322</v>
      </c>
      <c r="C438" t="s">
        <v>296</v>
      </c>
      <c r="D438" t="s">
        <v>1592</v>
      </c>
      <c r="E438" t="s">
        <v>21</v>
      </c>
      <c r="F438" t="s">
        <v>1593</v>
      </c>
    </row>
    <row r="439" spans="1:6" hidden="1" x14ac:dyDescent="0.25">
      <c r="A439" t="s">
        <v>1594</v>
      </c>
      <c r="B439" t="s">
        <v>363</v>
      </c>
      <c r="C439" t="s">
        <v>825</v>
      </c>
      <c r="D439" t="s">
        <v>1595</v>
      </c>
      <c r="E439" t="s">
        <v>21</v>
      </c>
      <c r="F439" t="s">
        <v>1596</v>
      </c>
    </row>
    <row r="440" spans="1:6" hidden="1" x14ac:dyDescent="0.25">
      <c r="A440" t="s">
        <v>1597</v>
      </c>
      <c r="B440" t="s">
        <v>702</v>
      </c>
      <c r="C440" t="s">
        <v>825</v>
      </c>
      <c r="D440" t="s">
        <v>1598</v>
      </c>
      <c r="E440" t="s">
        <v>21</v>
      </c>
      <c r="F440" t="s">
        <v>1599</v>
      </c>
    </row>
    <row r="441" spans="1:6" hidden="1" x14ac:dyDescent="0.25">
      <c r="A441" t="s">
        <v>1600</v>
      </c>
      <c r="B441" t="s">
        <v>15</v>
      </c>
      <c r="C441" t="s">
        <v>296</v>
      </c>
      <c r="D441" t="s">
        <v>1601</v>
      </c>
      <c r="E441" t="s">
        <v>21</v>
      </c>
      <c r="F441" t="s">
        <v>1602</v>
      </c>
    </row>
    <row r="442" spans="1:6" hidden="1" x14ac:dyDescent="0.25">
      <c r="A442" t="s">
        <v>1603</v>
      </c>
      <c r="B442" t="s">
        <v>437</v>
      </c>
      <c r="C442" t="s">
        <v>480</v>
      </c>
      <c r="D442" t="s">
        <v>1604</v>
      </c>
      <c r="E442" t="s">
        <v>21</v>
      </c>
      <c r="F442" t="s">
        <v>1605</v>
      </c>
    </row>
    <row r="443" spans="1:6" hidden="1" x14ac:dyDescent="0.25">
      <c r="A443" t="s">
        <v>1606</v>
      </c>
      <c r="B443" t="s">
        <v>702</v>
      </c>
      <c r="C443" t="s">
        <v>1067</v>
      </c>
      <c r="D443" t="s">
        <v>1607</v>
      </c>
      <c r="E443" t="s">
        <v>21</v>
      </c>
      <c r="F443" t="s">
        <v>1608</v>
      </c>
    </row>
    <row r="444" spans="1:6" hidden="1" x14ac:dyDescent="0.25">
      <c r="A444" t="s">
        <v>1609</v>
      </c>
      <c r="B444" t="s">
        <v>128</v>
      </c>
      <c r="C444" t="s">
        <v>296</v>
      </c>
      <c r="D444" t="s">
        <v>1610</v>
      </c>
      <c r="E444" t="s">
        <v>21</v>
      </c>
      <c r="F444" t="s">
        <v>1611</v>
      </c>
    </row>
    <row r="445" spans="1:6" hidden="1" x14ac:dyDescent="0.25">
      <c r="A445" t="s">
        <v>1612</v>
      </c>
      <c r="B445" t="s">
        <v>15</v>
      </c>
      <c r="C445" t="s">
        <v>296</v>
      </c>
      <c r="D445" t="s">
        <v>1613</v>
      </c>
      <c r="E445" t="s">
        <v>21</v>
      </c>
      <c r="F445" t="s">
        <v>1614</v>
      </c>
    </row>
    <row r="446" spans="1:6" hidden="1" x14ac:dyDescent="0.25">
      <c r="A446" t="s">
        <v>1615</v>
      </c>
      <c r="B446" t="s">
        <v>702</v>
      </c>
      <c r="C446" t="s">
        <v>974</v>
      </c>
      <c r="D446" t="s">
        <v>1616</v>
      </c>
      <c r="E446" t="s">
        <v>21</v>
      </c>
      <c r="F446" t="s">
        <v>1617</v>
      </c>
    </row>
    <row r="447" spans="1:6" hidden="1" x14ac:dyDescent="0.25">
      <c r="A447" t="s">
        <v>1618</v>
      </c>
      <c r="B447" t="s">
        <v>121</v>
      </c>
      <c r="C447" t="s">
        <v>400</v>
      </c>
      <c r="D447" t="s">
        <v>1619</v>
      </c>
      <c r="E447" t="s">
        <v>21</v>
      </c>
      <c r="F447" t="s">
        <v>1620</v>
      </c>
    </row>
    <row r="448" spans="1:6" hidden="1" x14ac:dyDescent="0.25">
      <c r="A448" t="s">
        <v>1621</v>
      </c>
      <c r="B448" t="s">
        <v>553</v>
      </c>
      <c r="C448" t="s">
        <v>296</v>
      </c>
      <c r="D448" t="s">
        <v>1622</v>
      </c>
      <c r="E448" t="s">
        <v>21</v>
      </c>
      <c r="F448" t="s">
        <v>1623</v>
      </c>
    </row>
    <row r="449" spans="1:6" x14ac:dyDescent="0.25">
      <c r="A449" t="s">
        <v>1624</v>
      </c>
      <c r="B449" t="s">
        <v>386</v>
      </c>
      <c r="C449" t="s">
        <v>387</v>
      </c>
      <c r="D449" t="s">
        <v>1625</v>
      </c>
      <c r="E449" t="s">
        <v>21</v>
      </c>
      <c r="F449" t="s">
        <v>1626</v>
      </c>
    </row>
    <row r="450" spans="1:6" hidden="1" x14ac:dyDescent="0.25">
      <c r="A450" t="s">
        <v>1627</v>
      </c>
      <c r="B450" t="s">
        <v>322</v>
      </c>
      <c r="C450" t="s">
        <v>296</v>
      </c>
      <c r="D450" t="s">
        <v>1628</v>
      </c>
      <c r="E450" t="s">
        <v>21</v>
      </c>
      <c r="F450" t="s">
        <v>1629</v>
      </c>
    </row>
    <row r="451" spans="1:6" hidden="1" x14ac:dyDescent="0.25">
      <c r="A451" t="s">
        <v>1630</v>
      </c>
      <c r="B451" t="s">
        <v>41</v>
      </c>
      <c r="C451" t="s">
        <v>296</v>
      </c>
      <c r="D451" t="s">
        <v>1631</v>
      </c>
      <c r="E451" t="s">
        <v>21</v>
      </c>
      <c r="F451" t="s">
        <v>1632</v>
      </c>
    </row>
    <row r="452" spans="1:6" hidden="1" x14ac:dyDescent="0.25">
      <c r="A452" t="s">
        <v>1633</v>
      </c>
      <c r="B452" t="s">
        <v>343</v>
      </c>
      <c r="C452" t="s">
        <v>400</v>
      </c>
      <c r="D452" t="s">
        <v>1634</v>
      </c>
      <c r="E452" t="s">
        <v>21</v>
      </c>
      <c r="F452" t="s">
        <v>1635</v>
      </c>
    </row>
    <row r="453" spans="1:6" hidden="1" x14ac:dyDescent="0.25">
      <c r="A453" t="s">
        <v>1636</v>
      </c>
      <c r="B453" t="s">
        <v>89</v>
      </c>
      <c r="C453" t="s">
        <v>296</v>
      </c>
      <c r="D453" t="s">
        <v>1637</v>
      </c>
      <c r="E453" t="s">
        <v>21</v>
      </c>
      <c r="F453" t="s">
        <v>1638</v>
      </c>
    </row>
    <row r="454" spans="1:6" hidden="1" x14ac:dyDescent="0.25">
      <c r="A454" t="s">
        <v>1639</v>
      </c>
      <c r="B454" t="s">
        <v>420</v>
      </c>
      <c r="C454" t="s">
        <v>296</v>
      </c>
      <c r="D454" t="s">
        <v>1640</v>
      </c>
      <c r="E454" t="s">
        <v>21</v>
      </c>
      <c r="F454" t="s">
        <v>1641</v>
      </c>
    </row>
    <row r="455" spans="1:6" hidden="1" x14ac:dyDescent="0.25">
      <c r="A455" t="s">
        <v>1642</v>
      </c>
      <c r="B455" t="s">
        <v>34</v>
      </c>
      <c r="C455" t="s">
        <v>296</v>
      </c>
      <c r="D455" t="s">
        <v>1643</v>
      </c>
      <c r="E455" t="s">
        <v>21</v>
      </c>
      <c r="F455" t="s">
        <v>1644</v>
      </c>
    </row>
    <row r="456" spans="1:6" hidden="1" x14ac:dyDescent="0.25">
      <c r="A456" t="s">
        <v>1645</v>
      </c>
      <c r="B456" t="s">
        <v>64</v>
      </c>
      <c r="C456" t="s">
        <v>296</v>
      </c>
      <c r="D456" t="s">
        <v>1646</v>
      </c>
      <c r="E456" t="s">
        <v>21</v>
      </c>
      <c r="F456" t="s">
        <v>1647</v>
      </c>
    </row>
    <row r="457" spans="1:6" hidden="1" x14ac:dyDescent="0.25">
      <c r="A457" t="s">
        <v>1648</v>
      </c>
      <c r="B457" t="s">
        <v>51</v>
      </c>
      <c r="C457" t="s">
        <v>296</v>
      </c>
      <c r="D457" t="s">
        <v>1649</v>
      </c>
      <c r="E457" t="s">
        <v>21</v>
      </c>
      <c r="F457" t="s">
        <v>1650</v>
      </c>
    </row>
    <row r="458" spans="1:6" hidden="1" x14ac:dyDescent="0.25">
      <c r="A458" t="s">
        <v>1651</v>
      </c>
      <c r="B458" t="s">
        <v>78</v>
      </c>
      <c r="C458" t="s">
        <v>296</v>
      </c>
      <c r="D458" t="s">
        <v>1652</v>
      </c>
      <c r="E458" t="s">
        <v>21</v>
      </c>
      <c r="F458" t="s">
        <v>1653</v>
      </c>
    </row>
    <row r="459" spans="1:6" hidden="1" x14ac:dyDescent="0.25">
      <c r="A459" t="s">
        <v>1654</v>
      </c>
      <c r="B459" t="s">
        <v>97</v>
      </c>
      <c r="C459" t="s">
        <v>296</v>
      </c>
      <c r="D459" t="s">
        <v>1655</v>
      </c>
      <c r="E459" t="s">
        <v>21</v>
      </c>
      <c r="F459" t="s">
        <v>1656</v>
      </c>
    </row>
    <row r="460" spans="1:6" hidden="1" x14ac:dyDescent="0.25">
      <c r="A460" t="s">
        <v>1657</v>
      </c>
      <c r="B460" t="s">
        <v>543</v>
      </c>
      <c r="C460" t="s">
        <v>296</v>
      </c>
      <c r="D460" t="s">
        <v>1658</v>
      </c>
      <c r="E460" t="s">
        <v>21</v>
      </c>
      <c r="F460" t="s">
        <v>1659</v>
      </c>
    </row>
    <row r="461" spans="1:6" hidden="1" x14ac:dyDescent="0.25">
      <c r="A461" t="s">
        <v>1660</v>
      </c>
      <c r="B461" t="s">
        <v>34</v>
      </c>
      <c r="C461" t="s">
        <v>296</v>
      </c>
      <c r="D461" t="s">
        <v>1661</v>
      </c>
      <c r="E461" t="s">
        <v>21</v>
      </c>
      <c r="F461" t="s">
        <v>1662</v>
      </c>
    </row>
    <row r="462" spans="1:6" hidden="1" x14ac:dyDescent="0.25">
      <c r="A462" t="s">
        <v>1663</v>
      </c>
      <c r="B462" t="s">
        <v>41</v>
      </c>
      <c r="C462" t="s">
        <v>296</v>
      </c>
      <c r="D462" t="s">
        <v>1664</v>
      </c>
      <c r="E462" t="s">
        <v>21</v>
      </c>
      <c r="F462" t="s">
        <v>1665</v>
      </c>
    </row>
    <row r="463" spans="1:6" hidden="1" x14ac:dyDescent="0.25">
      <c r="A463" t="s">
        <v>1666</v>
      </c>
      <c r="B463" t="s">
        <v>410</v>
      </c>
      <c r="C463" t="s">
        <v>296</v>
      </c>
      <c r="D463" t="s">
        <v>1667</v>
      </c>
      <c r="E463" t="s">
        <v>21</v>
      </c>
      <c r="F463" t="s">
        <v>1668</v>
      </c>
    </row>
    <row r="464" spans="1:6" hidden="1" x14ac:dyDescent="0.25">
      <c r="A464" t="s">
        <v>1669</v>
      </c>
      <c r="B464" t="s">
        <v>78</v>
      </c>
      <c r="C464" t="s">
        <v>296</v>
      </c>
      <c r="D464" t="s">
        <v>1670</v>
      </c>
      <c r="E464" t="s">
        <v>21</v>
      </c>
      <c r="F464" t="s">
        <v>1671</v>
      </c>
    </row>
    <row r="465" spans="1:6" hidden="1" x14ac:dyDescent="0.25">
      <c r="A465" t="s">
        <v>1672</v>
      </c>
      <c r="B465" t="s">
        <v>326</v>
      </c>
      <c r="C465" t="s">
        <v>296</v>
      </c>
      <c r="D465" t="s">
        <v>1673</v>
      </c>
      <c r="E465" t="s">
        <v>21</v>
      </c>
      <c r="F465" t="s">
        <v>1674</v>
      </c>
    </row>
    <row r="466" spans="1:6" hidden="1" x14ac:dyDescent="0.25">
      <c r="A466" t="s">
        <v>1675</v>
      </c>
      <c r="B466" t="s">
        <v>326</v>
      </c>
      <c r="C466" t="s">
        <v>296</v>
      </c>
      <c r="D466" t="s">
        <v>1676</v>
      </c>
      <c r="E466" t="s">
        <v>21</v>
      </c>
      <c r="F466" t="s">
        <v>1677</v>
      </c>
    </row>
    <row r="467" spans="1:6" hidden="1" x14ac:dyDescent="0.25">
      <c r="A467" t="s">
        <v>102</v>
      </c>
      <c r="B467" t="s">
        <v>64</v>
      </c>
      <c r="C467" t="s">
        <v>296</v>
      </c>
      <c r="D467" t="s">
        <v>103</v>
      </c>
      <c r="E467" t="s">
        <v>21</v>
      </c>
      <c r="F467" t="s">
        <v>104</v>
      </c>
    </row>
    <row r="468" spans="1:6" hidden="1" x14ac:dyDescent="0.25">
      <c r="A468" t="s">
        <v>1678</v>
      </c>
      <c r="B468" t="s">
        <v>702</v>
      </c>
      <c r="C468" t="s">
        <v>825</v>
      </c>
      <c r="D468" t="s">
        <v>1679</v>
      </c>
      <c r="E468" t="s">
        <v>21</v>
      </c>
      <c r="F468" t="s">
        <v>1680</v>
      </c>
    </row>
    <row r="469" spans="1:6" hidden="1" x14ac:dyDescent="0.25">
      <c r="A469" t="s">
        <v>1681</v>
      </c>
      <c r="B469" t="s">
        <v>1682</v>
      </c>
      <c r="C469" t="s">
        <v>296</v>
      </c>
      <c r="D469" t="s">
        <v>1683</v>
      </c>
      <c r="E469" t="s">
        <v>21</v>
      </c>
      <c r="F469" t="s">
        <v>1684</v>
      </c>
    </row>
    <row r="470" spans="1:6" hidden="1" x14ac:dyDescent="0.25">
      <c r="A470" t="s">
        <v>1685</v>
      </c>
      <c r="B470" t="s">
        <v>566</v>
      </c>
      <c r="C470" t="s">
        <v>296</v>
      </c>
      <c r="D470" t="s">
        <v>1686</v>
      </c>
      <c r="E470" t="s">
        <v>21</v>
      </c>
      <c r="F470" t="s">
        <v>1687</v>
      </c>
    </row>
    <row r="471" spans="1:6" hidden="1" x14ac:dyDescent="0.25">
      <c r="A471" t="s">
        <v>1688</v>
      </c>
      <c r="B471" t="s">
        <v>15</v>
      </c>
      <c r="C471" t="s">
        <v>296</v>
      </c>
      <c r="D471" t="s">
        <v>1689</v>
      </c>
      <c r="E471" t="s">
        <v>21</v>
      </c>
      <c r="F471" t="s">
        <v>1690</v>
      </c>
    </row>
    <row r="472" spans="1:6" hidden="1" x14ac:dyDescent="0.25">
      <c r="A472" t="s">
        <v>1691</v>
      </c>
      <c r="B472" t="s">
        <v>82</v>
      </c>
      <c r="C472" t="s">
        <v>296</v>
      </c>
      <c r="D472" t="s">
        <v>1692</v>
      </c>
      <c r="E472" t="s">
        <v>21</v>
      </c>
      <c r="F472" t="s">
        <v>1693</v>
      </c>
    </row>
    <row r="473" spans="1:6" hidden="1" x14ac:dyDescent="0.25">
      <c r="A473" t="s">
        <v>1694</v>
      </c>
      <c r="B473" t="s">
        <v>410</v>
      </c>
      <c r="C473" t="s">
        <v>296</v>
      </c>
      <c r="D473" t="s">
        <v>1695</v>
      </c>
      <c r="E473" t="s">
        <v>21</v>
      </c>
      <c r="F473" t="s">
        <v>1696</v>
      </c>
    </row>
    <row r="474" spans="1:6" hidden="1" x14ac:dyDescent="0.25">
      <c r="A474" t="s">
        <v>1697</v>
      </c>
      <c r="B474" t="s">
        <v>437</v>
      </c>
      <c r="C474" t="s">
        <v>598</v>
      </c>
      <c r="D474" t="s">
        <v>1698</v>
      </c>
      <c r="E474" t="s">
        <v>21</v>
      </c>
      <c r="F474" t="s">
        <v>1699</v>
      </c>
    </row>
    <row r="475" spans="1:6" hidden="1" x14ac:dyDescent="0.25">
      <c r="A475" t="s">
        <v>219</v>
      </c>
      <c r="B475" t="s">
        <v>64</v>
      </c>
      <c r="C475" t="s">
        <v>296</v>
      </c>
      <c r="D475" t="s">
        <v>220</v>
      </c>
      <c r="E475" t="s">
        <v>21</v>
      </c>
      <c r="F475" t="s">
        <v>221</v>
      </c>
    </row>
    <row r="476" spans="1:6" hidden="1" x14ac:dyDescent="0.25">
      <c r="A476" t="s">
        <v>1700</v>
      </c>
      <c r="B476" t="s">
        <v>1701</v>
      </c>
      <c r="C476" t="s">
        <v>296</v>
      </c>
      <c r="D476" t="s">
        <v>1702</v>
      </c>
      <c r="E476" t="s">
        <v>21</v>
      </c>
      <c r="F476" t="s">
        <v>1703</v>
      </c>
    </row>
    <row r="477" spans="1:6" hidden="1" x14ac:dyDescent="0.25">
      <c r="A477" t="s">
        <v>1704</v>
      </c>
      <c r="B477" t="s">
        <v>702</v>
      </c>
      <c r="C477" t="s">
        <v>478</v>
      </c>
      <c r="D477" t="s">
        <v>1705</v>
      </c>
      <c r="E477" t="s">
        <v>21</v>
      </c>
      <c r="F477" t="s">
        <v>1706</v>
      </c>
    </row>
    <row r="478" spans="1:6" hidden="1" x14ac:dyDescent="0.25">
      <c r="A478" t="s">
        <v>1707</v>
      </c>
      <c r="B478" t="s">
        <v>64</v>
      </c>
      <c r="C478" t="s">
        <v>296</v>
      </c>
      <c r="D478" t="s">
        <v>1708</v>
      </c>
      <c r="E478" t="s">
        <v>21</v>
      </c>
      <c r="F478" t="s">
        <v>1709</v>
      </c>
    </row>
    <row r="479" spans="1:6" hidden="1" x14ac:dyDescent="0.25">
      <c r="A479" t="s">
        <v>1710</v>
      </c>
      <c r="B479" t="s">
        <v>1711</v>
      </c>
      <c r="C479" t="s">
        <v>296</v>
      </c>
      <c r="D479" t="s">
        <v>1712</v>
      </c>
      <c r="E479" t="s">
        <v>21</v>
      </c>
      <c r="F479" t="s">
        <v>1713</v>
      </c>
    </row>
    <row r="480" spans="1:6" hidden="1" x14ac:dyDescent="0.25">
      <c r="A480" t="s">
        <v>1714</v>
      </c>
      <c r="B480" t="s">
        <v>410</v>
      </c>
      <c r="C480" t="s">
        <v>296</v>
      </c>
      <c r="D480" t="s">
        <v>1715</v>
      </c>
      <c r="E480" t="s">
        <v>21</v>
      </c>
      <c r="F480" t="s">
        <v>1716</v>
      </c>
    </row>
    <row r="481" spans="1:6" hidden="1" x14ac:dyDescent="0.25">
      <c r="A481" t="s">
        <v>1717</v>
      </c>
      <c r="B481" t="s">
        <v>437</v>
      </c>
      <c r="C481" t="s">
        <v>480</v>
      </c>
      <c r="D481" t="s">
        <v>1718</v>
      </c>
      <c r="E481" t="s">
        <v>21</v>
      </c>
      <c r="F481" t="s">
        <v>1719</v>
      </c>
    </row>
    <row r="482" spans="1:6" hidden="1" x14ac:dyDescent="0.25">
      <c r="A482" t="s">
        <v>1720</v>
      </c>
      <c r="B482" t="s">
        <v>153</v>
      </c>
      <c r="C482" t="s">
        <v>296</v>
      </c>
      <c r="D482" t="s">
        <v>1721</v>
      </c>
      <c r="E482" t="s">
        <v>21</v>
      </c>
      <c r="F482" t="s">
        <v>1722</v>
      </c>
    </row>
    <row r="483" spans="1:6" hidden="1" x14ac:dyDescent="0.25">
      <c r="A483" t="s">
        <v>1723</v>
      </c>
      <c r="B483" t="s">
        <v>34</v>
      </c>
      <c r="C483" t="s">
        <v>296</v>
      </c>
      <c r="D483" t="s">
        <v>1724</v>
      </c>
      <c r="E483" t="s">
        <v>21</v>
      </c>
      <c r="F483" t="s">
        <v>1725</v>
      </c>
    </row>
    <row r="484" spans="1:6" hidden="1" x14ac:dyDescent="0.25">
      <c r="A484" t="s">
        <v>1726</v>
      </c>
      <c r="B484" t="s">
        <v>153</v>
      </c>
      <c r="C484" t="s">
        <v>296</v>
      </c>
      <c r="D484" t="s">
        <v>1727</v>
      </c>
      <c r="E484" t="s">
        <v>21</v>
      </c>
      <c r="F484" t="s">
        <v>1728</v>
      </c>
    </row>
    <row r="485" spans="1:6" hidden="1" x14ac:dyDescent="0.25">
      <c r="A485" t="s">
        <v>1729</v>
      </c>
      <c r="B485" t="s">
        <v>78</v>
      </c>
      <c r="C485" t="s">
        <v>296</v>
      </c>
      <c r="D485" t="s">
        <v>1730</v>
      </c>
      <c r="E485" t="s">
        <v>21</v>
      </c>
      <c r="F485" t="s">
        <v>1731</v>
      </c>
    </row>
    <row r="486" spans="1:6" hidden="1" x14ac:dyDescent="0.25">
      <c r="A486" t="s">
        <v>1732</v>
      </c>
      <c r="B486" t="s">
        <v>34</v>
      </c>
      <c r="C486" t="s">
        <v>296</v>
      </c>
      <c r="D486" t="s">
        <v>1733</v>
      </c>
      <c r="E486" t="s">
        <v>21</v>
      </c>
      <c r="F486" t="s">
        <v>1734</v>
      </c>
    </row>
    <row r="487" spans="1:6" hidden="1" x14ac:dyDescent="0.25">
      <c r="A487" t="s">
        <v>1735</v>
      </c>
      <c r="B487" t="s">
        <v>326</v>
      </c>
      <c r="C487" t="s">
        <v>296</v>
      </c>
      <c r="D487" t="s">
        <v>1736</v>
      </c>
      <c r="E487" t="s">
        <v>21</v>
      </c>
      <c r="F487" t="s">
        <v>1737</v>
      </c>
    </row>
    <row r="488" spans="1:6" hidden="1" x14ac:dyDescent="0.25">
      <c r="A488" t="s">
        <v>1738</v>
      </c>
      <c r="B488" t="s">
        <v>15</v>
      </c>
      <c r="C488" t="s">
        <v>296</v>
      </c>
      <c r="D488" t="s">
        <v>1739</v>
      </c>
      <c r="E488" t="s">
        <v>21</v>
      </c>
      <c r="F488" t="s">
        <v>1740</v>
      </c>
    </row>
    <row r="489" spans="1:6" hidden="1" x14ac:dyDescent="0.25">
      <c r="A489" t="s">
        <v>1741</v>
      </c>
      <c r="B489" t="s">
        <v>132</v>
      </c>
      <c r="C489" t="s">
        <v>400</v>
      </c>
      <c r="D489" t="s">
        <v>1742</v>
      </c>
      <c r="E489" t="s">
        <v>21</v>
      </c>
      <c r="F489" t="s">
        <v>1743</v>
      </c>
    </row>
    <row r="490" spans="1:6" hidden="1" x14ac:dyDescent="0.25">
      <c r="A490" t="s">
        <v>1744</v>
      </c>
      <c r="B490" t="s">
        <v>437</v>
      </c>
      <c r="C490" t="s">
        <v>480</v>
      </c>
      <c r="D490" t="s">
        <v>1745</v>
      </c>
      <c r="E490" t="s">
        <v>21</v>
      </c>
      <c r="F490" t="s">
        <v>1746</v>
      </c>
    </row>
    <row r="491" spans="1:6" hidden="1" x14ac:dyDescent="0.25">
      <c r="A491" t="s">
        <v>1747</v>
      </c>
      <c r="B491" t="s">
        <v>454</v>
      </c>
      <c r="C491" t="s">
        <v>296</v>
      </c>
      <c r="D491" t="s">
        <v>1748</v>
      </c>
      <c r="E491" t="s">
        <v>21</v>
      </c>
      <c r="F491" t="s">
        <v>1749</v>
      </c>
    </row>
    <row r="492" spans="1:6" hidden="1" x14ac:dyDescent="0.25">
      <c r="A492" t="s">
        <v>1750</v>
      </c>
      <c r="B492" t="s">
        <v>356</v>
      </c>
      <c r="C492" t="s">
        <v>296</v>
      </c>
      <c r="D492" t="s">
        <v>1751</v>
      </c>
      <c r="E492" t="s">
        <v>21</v>
      </c>
      <c r="F492" t="s">
        <v>1752</v>
      </c>
    </row>
    <row r="493" spans="1:6" hidden="1" x14ac:dyDescent="0.25">
      <c r="A493" t="s">
        <v>1753</v>
      </c>
      <c r="B493" t="s">
        <v>41</v>
      </c>
      <c r="C493" t="s">
        <v>296</v>
      </c>
      <c r="D493" t="s">
        <v>1754</v>
      </c>
      <c r="E493" t="s">
        <v>21</v>
      </c>
      <c r="F493" t="s">
        <v>1755</v>
      </c>
    </row>
    <row r="494" spans="1:6" hidden="1" x14ac:dyDescent="0.25">
      <c r="A494" t="s">
        <v>206</v>
      </c>
      <c r="B494" t="s">
        <v>78</v>
      </c>
      <c r="C494" t="s">
        <v>296</v>
      </c>
      <c r="D494" t="s">
        <v>207</v>
      </c>
      <c r="E494" t="s">
        <v>21</v>
      </c>
      <c r="F494" t="s">
        <v>208</v>
      </c>
    </row>
    <row r="495" spans="1:6" hidden="1" x14ac:dyDescent="0.25">
      <c r="A495" t="s">
        <v>1756</v>
      </c>
      <c r="B495" t="s">
        <v>326</v>
      </c>
      <c r="C495" t="s">
        <v>296</v>
      </c>
      <c r="D495" t="s">
        <v>1757</v>
      </c>
      <c r="E495" t="s">
        <v>21</v>
      </c>
      <c r="F495" t="s">
        <v>1758</v>
      </c>
    </row>
    <row r="496" spans="1:6" hidden="1" x14ac:dyDescent="0.25">
      <c r="A496" t="s">
        <v>1759</v>
      </c>
      <c r="B496" t="s">
        <v>89</v>
      </c>
      <c r="C496" t="s">
        <v>296</v>
      </c>
      <c r="D496" t="s">
        <v>1760</v>
      </c>
      <c r="E496" t="s">
        <v>21</v>
      </c>
      <c r="F496" t="s">
        <v>1761</v>
      </c>
    </row>
    <row r="497" spans="1:6" hidden="1" x14ac:dyDescent="0.25">
      <c r="A497" t="s">
        <v>1762</v>
      </c>
      <c r="B497" t="s">
        <v>343</v>
      </c>
      <c r="C497" t="s">
        <v>296</v>
      </c>
      <c r="D497" t="s">
        <v>1763</v>
      </c>
      <c r="E497" t="s">
        <v>21</v>
      </c>
      <c r="F497" t="s">
        <v>1764</v>
      </c>
    </row>
    <row r="498" spans="1:6" hidden="1" x14ac:dyDescent="0.25">
      <c r="A498" t="s">
        <v>1765</v>
      </c>
      <c r="B498" t="s">
        <v>64</v>
      </c>
      <c r="C498" t="s">
        <v>296</v>
      </c>
      <c r="D498" t="s">
        <v>1766</v>
      </c>
      <c r="E498" t="s">
        <v>21</v>
      </c>
      <c r="F498" t="s">
        <v>1767</v>
      </c>
    </row>
    <row r="499" spans="1:6" hidden="1" x14ac:dyDescent="0.25">
      <c r="A499" t="s">
        <v>1768</v>
      </c>
      <c r="B499" t="s">
        <v>921</v>
      </c>
      <c r="C499" t="s">
        <v>400</v>
      </c>
      <c r="D499" t="s">
        <v>1769</v>
      </c>
      <c r="E499" t="s">
        <v>21</v>
      </c>
      <c r="F499" t="s">
        <v>1770</v>
      </c>
    </row>
    <row r="500" spans="1:6" hidden="1" x14ac:dyDescent="0.25">
      <c r="A500" t="s">
        <v>1771</v>
      </c>
      <c r="B500" t="s">
        <v>34</v>
      </c>
      <c r="C500" t="s">
        <v>296</v>
      </c>
      <c r="D500" t="s">
        <v>1772</v>
      </c>
      <c r="E500" t="s">
        <v>21</v>
      </c>
      <c r="F500" t="s">
        <v>1773</v>
      </c>
    </row>
    <row r="501" spans="1:6" hidden="1" x14ac:dyDescent="0.25">
      <c r="A501" t="s">
        <v>1774</v>
      </c>
      <c r="B501" t="s">
        <v>89</v>
      </c>
      <c r="C501" t="s">
        <v>296</v>
      </c>
      <c r="D501" t="s">
        <v>1775</v>
      </c>
      <c r="E501" t="s">
        <v>21</v>
      </c>
      <c r="F501" t="s">
        <v>1776</v>
      </c>
    </row>
    <row r="502" spans="1:6" hidden="1" x14ac:dyDescent="0.25">
      <c r="A502" t="s">
        <v>1777</v>
      </c>
      <c r="B502" t="s">
        <v>702</v>
      </c>
      <c r="C502" t="s">
        <v>478</v>
      </c>
      <c r="D502" t="s">
        <v>1778</v>
      </c>
      <c r="E502" t="s">
        <v>21</v>
      </c>
      <c r="F502" t="s">
        <v>1779</v>
      </c>
    </row>
    <row r="503" spans="1:6" hidden="1" x14ac:dyDescent="0.25">
      <c r="A503" t="s">
        <v>1780</v>
      </c>
      <c r="B503" t="s">
        <v>97</v>
      </c>
      <c r="C503" t="s">
        <v>296</v>
      </c>
      <c r="D503" t="s">
        <v>1781</v>
      </c>
      <c r="E503" t="s">
        <v>21</v>
      </c>
      <c r="F503" t="s">
        <v>1782</v>
      </c>
    </row>
    <row r="504" spans="1:6" hidden="1" x14ac:dyDescent="0.25">
      <c r="A504" t="s">
        <v>1783</v>
      </c>
      <c r="B504" t="s">
        <v>82</v>
      </c>
      <c r="C504" t="s">
        <v>296</v>
      </c>
      <c r="D504" t="s">
        <v>1784</v>
      </c>
      <c r="E504" t="s">
        <v>21</v>
      </c>
      <c r="F504" t="s">
        <v>1785</v>
      </c>
    </row>
    <row r="505" spans="1:6" hidden="1" x14ac:dyDescent="0.25">
      <c r="A505" t="s">
        <v>1786</v>
      </c>
      <c r="B505" t="s">
        <v>51</v>
      </c>
      <c r="C505" t="s">
        <v>296</v>
      </c>
      <c r="D505" t="s">
        <v>1787</v>
      </c>
      <c r="E505" t="s">
        <v>21</v>
      </c>
      <c r="F505" t="s">
        <v>1788</v>
      </c>
    </row>
    <row r="506" spans="1:6" hidden="1" x14ac:dyDescent="0.25">
      <c r="A506" t="s">
        <v>1789</v>
      </c>
      <c r="B506" t="s">
        <v>386</v>
      </c>
      <c r="C506" t="s">
        <v>387</v>
      </c>
      <c r="D506" t="s">
        <v>1790</v>
      </c>
      <c r="E506" t="s">
        <v>21</v>
      </c>
      <c r="F506" t="s">
        <v>1791</v>
      </c>
    </row>
    <row r="507" spans="1:6" hidden="1" x14ac:dyDescent="0.25">
      <c r="A507" t="s">
        <v>1792</v>
      </c>
      <c r="B507" t="s">
        <v>1682</v>
      </c>
      <c r="C507" t="s">
        <v>296</v>
      </c>
      <c r="D507" t="s">
        <v>1793</v>
      </c>
      <c r="E507" t="s">
        <v>21</v>
      </c>
      <c r="F507" t="s">
        <v>1794</v>
      </c>
    </row>
    <row r="508" spans="1:6" hidden="1" x14ac:dyDescent="0.25">
      <c r="A508" t="s">
        <v>1795</v>
      </c>
      <c r="B508" t="s">
        <v>64</v>
      </c>
      <c r="C508" t="s">
        <v>296</v>
      </c>
      <c r="D508" t="s">
        <v>1796</v>
      </c>
      <c r="E508" t="s">
        <v>21</v>
      </c>
      <c r="F508" t="s">
        <v>1797</v>
      </c>
    </row>
    <row r="509" spans="1:6" hidden="1" x14ac:dyDescent="0.25">
      <c r="A509" t="s">
        <v>1798</v>
      </c>
      <c r="B509" t="s">
        <v>197</v>
      </c>
      <c r="C509" t="s">
        <v>296</v>
      </c>
      <c r="D509" t="s">
        <v>1799</v>
      </c>
      <c r="E509" t="s">
        <v>21</v>
      </c>
      <c r="F509" t="s">
        <v>1800</v>
      </c>
    </row>
    <row r="510" spans="1:6" hidden="1" x14ac:dyDescent="0.25">
      <c r="A510" t="s">
        <v>1801</v>
      </c>
      <c r="B510" t="s">
        <v>78</v>
      </c>
      <c r="C510" t="s">
        <v>400</v>
      </c>
      <c r="D510" t="s">
        <v>1802</v>
      </c>
      <c r="E510" t="s">
        <v>21</v>
      </c>
      <c r="F510" t="s">
        <v>1803</v>
      </c>
    </row>
    <row r="511" spans="1:6" hidden="1" x14ac:dyDescent="0.25">
      <c r="A511" t="s">
        <v>1804</v>
      </c>
      <c r="B511" t="s">
        <v>64</v>
      </c>
      <c r="C511" t="s">
        <v>296</v>
      </c>
      <c r="D511" t="s">
        <v>1805</v>
      </c>
      <c r="E511" t="s">
        <v>21</v>
      </c>
      <c r="F511" t="s">
        <v>1806</v>
      </c>
    </row>
    <row r="512" spans="1:6" hidden="1" x14ac:dyDescent="0.25">
      <c r="A512" t="s">
        <v>1807</v>
      </c>
      <c r="B512" t="s">
        <v>543</v>
      </c>
      <c r="C512" t="s">
        <v>296</v>
      </c>
      <c r="D512" t="s">
        <v>1808</v>
      </c>
      <c r="E512" t="s">
        <v>21</v>
      </c>
      <c r="F512" t="s">
        <v>1809</v>
      </c>
    </row>
    <row r="513" spans="1:6" hidden="1" x14ac:dyDescent="0.25">
      <c r="A513" t="s">
        <v>1810</v>
      </c>
      <c r="B513" t="s">
        <v>553</v>
      </c>
      <c r="C513" t="s">
        <v>296</v>
      </c>
      <c r="D513" t="s">
        <v>1811</v>
      </c>
      <c r="E513" t="s">
        <v>21</v>
      </c>
      <c r="F513" t="s">
        <v>1812</v>
      </c>
    </row>
    <row r="514" spans="1:6" hidden="1" x14ac:dyDescent="0.25">
      <c r="A514" t="s">
        <v>1813</v>
      </c>
      <c r="B514" t="s">
        <v>128</v>
      </c>
      <c r="C514" t="s">
        <v>296</v>
      </c>
      <c r="D514" t="s">
        <v>1814</v>
      </c>
      <c r="E514" t="s">
        <v>21</v>
      </c>
      <c r="F514" t="s">
        <v>1815</v>
      </c>
    </row>
    <row r="515" spans="1:6" hidden="1" x14ac:dyDescent="0.25">
      <c r="A515" t="s">
        <v>1816</v>
      </c>
      <c r="B515" t="s">
        <v>82</v>
      </c>
      <c r="C515" t="s">
        <v>296</v>
      </c>
      <c r="D515" t="s">
        <v>1817</v>
      </c>
      <c r="E515" t="s">
        <v>21</v>
      </c>
      <c r="F515" t="s">
        <v>1818</v>
      </c>
    </row>
    <row r="516" spans="1:6" hidden="1" x14ac:dyDescent="0.25">
      <c r="A516" t="s">
        <v>1819</v>
      </c>
      <c r="B516" t="s">
        <v>64</v>
      </c>
      <c r="C516" t="s">
        <v>296</v>
      </c>
      <c r="D516" t="s">
        <v>1820</v>
      </c>
      <c r="E516" t="s">
        <v>21</v>
      </c>
      <c r="F516" t="s">
        <v>1821</v>
      </c>
    </row>
    <row r="517" spans="1:6" hidden="1" x14ac:dyDescent="0.25">
      <c r="A517" t="s">
        <v>1822</v>
      </c>
      <c r="B517" t="s">
        <v>211</v>
      </c>
      <c r="C517" t="s">
        <v>296</v>
      </c>
      <c r="D517" t="s">
        <v>1823</v>
      </c>
      <c r="E517" t="s">
        <v>21</v>
      </c>
      <c r="F517" t="s">
        <v>1824</v>
      </c>
    </row>
    <row r="518" spans="1:6" hidden="1" x14ac:dyDescent="0.25">
      <c r="A518" t="s">
        <v>1825</v>
      </c>
      <c r="B518" t="s">
        <v>15</v>
      </c>
      <c r="C518" t="s">
        <v>296</v>
      </c>
      <c r="D518" t="s">
        <v>1826</v>
      </c>
      <c r="E518" t="s">
        <v>21</v>
      </c>
      <c r="F518" t="s">
        <v>1827</v>
      </c>
    </row>
    <row r="519" spans="1:6" hidden="1" x14ac:dyDescent="0.25">
      <c r="A519" t="s">
        <v>1828</v>
      </c>
      <c r="B519" t="s">
        <v>702</v>
      </c>
      <c r="C519" t="s">
        <v>478</v>
      </c>
      <c r="D519" t="s">
        <v>1829</v>
      </c>
      <c r="E519" t="s">
        <v>21</v>
      </c>
      <c r="F519" t="s">
        <v>1830</v>
      </c>
    </row>
    <row r="520" spans="1:6" hidden="1" x14ac:dyDescent="0.25">
      <c r="A520" t="s">
        <v>1831</v>
      </c>
      <c r="B520" t="s">
        <v>427</v>
      </c>
      <c r="C520" t="s">
        <v>296</v>
      </c>
      <c r="D520" t="s">
        <v>1832</v>
      </c>
      <c r="E520" t="s">
        <v>21</v>
      </c>
      <c r="F520" t="s">
        <v>1833</v>
      </c>
    </row>
    <row r="521" spans="1:6" hidden="1" x14ac:dyDescent="0.25">
      <c r="A521" t="s">
        <v>1834</v>
      </c>
      <c r="B521" t="s">
        <v>326</v>
      </c>
      <c r="C521" t="s">
        <v>296</v>
      </c>
      <c r="D521" t="s">
        <v>1835</v>
      </c>
      <c r="E521" t="s">
        <v>21</v>
      </c>
      <c r="F521" t="s">
        <v>1836</v>
      </c>
    </row>
    <row r="522" spans="1:6" hidden="1" x14ac:dyDescent="0.25">
      <c r="A522" t="s">
        <v>1837</v>
      </c>
      <c r="B522" t="s">
        <v>128</v>
      </c>
      <c r="C522" t="s">
        <v>296</v>
      </c>
      <c r="D522" t="s">
        <v>1838</v>
      </c>
      <c r="E522" t="s">
        <v>21</v>
      </c>
      <c r="F522" t="s">
        <v>1839</v>
      </c>
    </row>
    <row r="523" spans="1:6" hidden="1" x14ac:dyDescent="0.25">
      <c r="A523" t="s">
        <v>1840</v>
      </c>
      <c r="B523" t="s">
        <v>64</v>
      </c>
      <c r="C523" t="s">
        <v>296</v>
      </c>
      <c r="D523" t="s">
        <v>1841</v>
      </c>
      <c r="E523" t="s">
        <v>21</v>
      </c>
      <c r="F523" t="s">
        <v>1842</v>
      </c>
    </row>
    <row r="524" spans="1:6" hidden="1" x14ac:dyDescent="0.25">
      <c r="A524" t="s">
        <v>1843</v>
      </c>
      <c r="B524" t="s">
        <v>121</v>
      </c>
      <c r="C524" t="s">
        <v>296</v>
      </c>
      <c r="D524" t="s">
        <v>1844</v>
      </c>
      <c r="E524" t="s">
        <v>21</v>
      </c>
      <c r="F524" t="s">
        <v>1845</v>
      </c>
    </row>
    <row r="525" spans="1:6" hidden="1" x14ac:dyDescent="0.25">
      <c r="A525" t="s">
        <v>1846</v>
      </c>
      <c r="B525" t="s">
        <v>41</v>
      </c>
      <c r="C525" t="s">
        <v>296</v>
      </c>
      <c r="D525" t="s">
        <v>1847</v>
      </c>
      <c r="E525" t="s">
        <v>21</v>
      </c>
      <c r="F525" t="s">
        <v>1848</v>
      </c>
    </row>
    <row r="526" spans="1:6" hidden="1" x14ac:dyDescent="0.25">
      <c r="A526" t="s">
        <v>273</v>
      </c>
      <c r="B526" t="s">
        <v>1711</v>
      </c>
      <c r="C526" t="s">
        <v>296</v>
      </c>
      <c r="D526" t="s">
        <v>1849</v>
      </c>
      <c r="E526" t="s">
        <v>21</v>
      </c>
      <c r="F526" t="s">
        <v>1850</v>
      </c>
    </row>
    <row r="527" spans="1:6" x14ac:dyDescent="0.25">
      <c r="A527" t="s">
        <v>1851</v>
      </c>
      <c r="B527" t="s">
        <v>386</v>
      </c>
      <c r="C527" t="s">
        <v>387</v>
      </c>
      <c r="D527" t="s">
        <v>1852</v>
      </c>
      <c r="E527" t="s">
        <v>21</v>
      </c>
      <c r="F527" t="s">
        <v>1853</v>
      </c>
    </row>
    <row r="528" spans="1:6" hidden="1" x14ac:dyDescent="0.25">
      <c r="A528" t="s">
        <v>1854</v>
      </c>
      <c r="B528" t="s">
        <v>153</v>
      </c>
      <c r="C528" t="s">
        <v>296</v>
      </c>
      <c r="D528" t="s">
        <v>1855</v>
      </c>
      <c r="E528" t="s">
        <v>21</v>
      </c>
      <c r="F528" t="s">
        <v>1856</v>
      </c>
    </row>
    <row r="529" spans="1:6" hidden="1" x14ac:dyDescent="0.25">
      <c r="A529" t="s">
        <v>1857</v>
      </c>
      <c r="B529" t="s">
        <v>420</v>
      </c>
      <c r="C529" t="s">
        <v>296</v>
      </c>
      <c r="D529" t="s">
        <v>1858</v>
      </c>
      <c r="E529" t="s">
        <v>21</v>
      </c>
      <c r="F529" t="s">
        <v>1859</v>
      </c>
    </row>
    <row r="530" spans="1:6" hidden="1" x14ac:dyDescent="0.25">
      <c r="A530" t="s">
        <v>1860</v>
      </c>
      <c r="B530" t="s">
        <v>15</v>
      </c>
      <c r="C530" t="s">
        <v>296</v>
      </c>
      <c r="D530" t="s">
        <v>1861</v>
      </c>
      <c r="E530" t="s">
        <v>21</v>
      </c>
      <c r="F530" t="s">
        <v>1862</v>
      </c>
    </row>
    <row r="531" spans="1:6" hidden="1" x14ac:dyDescent="0.25">
      <c r="A531" t="s">
        <v>144</v>
      </c>
      <c r="B531" t="s">
        <v>82</v>
      </c>
      <c r="C531" t="s">
        <v>296</v>
      </c>
      <c r="D531" t="s">
        <v>145</v>
      </c>
      <c r="E531" t="s">
        <v>21</v>
      </c>
      <c r="F531" t="s">
        <v>146</v>
      </c>
    </row>
    <row r="532" spans="1:6" hidden="1" x14ac:dyDescent="0.25">
      <c r="A532" t="s">
        <v>1863</v>
      </c>
      <c r="B532" t="s">
        <v>64</v>
      </c>
      <c r="C532" t="s">
        <v>296</v>
      </c>
      <c r="D532" t="s">
        <v>1864</v>
      </c>
      <c r="E532" t="s">
        <v>21</v>
      </c>
      <c r="F532" t="s">
        <v>1865</v>
      </c>
    </row>
    <row r="533" spans="1:6" hidden="1" x14ac:dyDescent="0.25">
      <c r="A533" t="s">
        <v>1866</v>
      </c>
      <c r="B533" t="s">
        <v>437</v>
      </c>
      <c r="C533" t="s">
        <v>296</v>
      </c>
      <c r="D533" t="s">
        <v>1867</v>
      </c>
      <c r="E533" t="s">
        <v>21</v>
      </c>
      <c r="F533" t="s">
        <v>1868</v>
      </c>
    </row>
    <row r="534" spans="1:6" hidden="1" x14ac:dyDescent="0.25">
      <c r="A534" t="s">
        <v>1869</v>
      </c>
      <c r="B534" t="s">
        <v>142</v>
      </c>
      <c r="C534" t="s">
        <v>296</v>
      </c>
      <c r="D534" t="s">
        <v>1870</v>
      </c>
      <c r="E534" t="s">
        <v>21</v>
      </c>
      <c r="F534" t="s">
        <v>1871</v>
      </c>
    </row>
    <row r="535" spans="1:6" hidden="1" x14ac:dyDescent="0.25">
      <c r="A535" t="s">
        <v>1872</v>
      </c>
      <c r="B535" t="s">
        <v>702</v>
      </c>
      <c r="C535" t="s">
        <v>478</v>
      </c>
      <c r="D535" t="s">
        <v>1873</v>
      </c>
      <c r="E535" t="s">
        <v>21</v>
      </c>
      <c r="F535" t="s">
        <v>1874</v>
      </c>
    </row>
    <row r="536" spans="1:6" hidden="1" x14ac:dyDescent="0.25">
      <c r="A536" t="s">
        <v>182</v>
      </c>
      <c r="B536" t="s">
        <v>356</v>
      </c>
      <c r="C536" t="s">
        <v>296</v>
      </c>
      <c r="D536" t="s">
        <v>183</v>
      </c>
      <c r="E536" t="s">
        <v>21</v>
      </c>
      <c r="F536" t="s">
        <v>184</v>
      </c>
    </row>
    <row r="537" spans="1:6" hidden="1" x14ac:dyDescent="0.25">
      <c r="A537" t="s">
        <v>1875</v>
      </c>
      <c r="B537" t="s">
        <v>702</v>
      </c>
      <c r="C537" t="s">
        <v>825</v>
      </c>
      <c r="D537" t="s">
        <v>1876</v>
      </c>
      <c r="E537" t="s">
        <v>21</v>
      </c>
      <c r="F537" t="s">
        <v>1877</v>
      </c>
    </row>
    <row r="538" spans="1:6" hidden="1" x14ac:dyDescent="0.25">
      <c r="A538" t="s">
        <v>1878</v>
      </c>
      <c r="B538" t="s">
        <v>142</v>
      </c>
      <c r="C538" t="s">
        <v>296</v>
      </c>
      <c r="D538" t="s">
        <v>1879</v>
      </c>
      <c r="E538" t="s">
        <v>21</v>
      </c>
      <c r="F538" t="s">
        <v>1880</v>
      </c>
    </row>
    <row r="539" spans="1:6" hidden="1" x14ac:dyDescent="0.25">
      <c r="A539" t="s">
        <v>1881</v>
      </c>
      <c r="B539" t="s">
        <v>326</v>
      </c>
      <c r="C539" t="s">
        <v>296</v>
      </c>
      <c r="D539" t="s">
        <v>1882</v>
      </c>
      <c r="E539" t="s">
        <v>21</v>
      </c>
      <c r="F539" t="s">
        <v>1883</v>
      </c>
    </row>
    <row r="540" spans="1:6" hidden="1" x14ac:dyDescent="0.25">
      <c r="A540" t="s">
        <v>1884</v>
      </c>
      <c r="B540" t="s">
        <v>197</v>
      </c>
      <c r="C540" t="s">
        <v>296</v>
      </c>
      <c r="D540" t="s">
        <v>1885</v>
      </c>
      <c r="E540" t="s">
        <v>21</v>
      </c>
      <c r="F540" t="s">
        <v>1886</v>
      </c>
    </row>
    <row r="541" spans="1:6" hidden="1" x14ac:dyDescent="0.25">
      <c r="A541" t="s">
        <v>1887</v>
      </c>
      <c r="B541" t="s">
        <v>702</v>
      </c>
      <c r="C541" t="s">
        <v>478</v>
      </c>
      <c r="D541" t="s">
        <v>1888</v>
      </c>
      <c r="E541" t="s">
        <v>21</v>
      </c>
      <c r="F541" t="s">
        <v>1889</v>
      </c>
    </row>
    <row r="542" spans="1:6" hidden="1" x14ac:dyDescent="0.25">
      <c r="A542" t="s">
        <v>1890</v>
      </c>
      <c r="B542" t="s">
        <v>121</v>
      </c>
      <c r="C542" t="s">
        <v>585</v>
      </c>
      <c r="D542" t="s">
        <v>1891</v>
      </c>
      <c r="E542" t="s">
        <v>21</v>
      </c>
      <c r="F542" t="s">
        <v>1892</v>
      </c>
    </row>
    <row r="543" spans="1:6" hidden="1" x14ac:dyDescent="0.25">
      <c r="A543" t="s">
        <v>1893</v>
      </c>
      <c r="B543" t="s">
        <v>64</v>
      </c>
      <c r="C543" t="s">
        <v>296</v>
      </c>
      <c r="D543" t="s">
        <v>1894</v>
      </c>
      <c r="E543" t="s">
        <v>21</v>
      </c>
      <c r="F543" t="s">
        <v>1895</v>
      </c>
    </row>
    <row r="544" spans="1:6" hidden="1" x14ac:dyDescent="0.25">
      <c r="A544" t="s">
        <v>1896</v>
      </c>
      <c r="B544" t="s">
        <v>64</v>
      </c>
      <c r="C544" t="s">
        <v>296</v>
      </c>
      <c r="D544" t="s">
        <v>1897</v>
      </c>
      <c r="E544" t="s">
        <v>21</v>
      </c>
      <c r="F544" t="s">
        <v>1898</v>
      </c>
    </row>
    <row r="545" spans="1:6" hidden="1" x14ac:dyDescent="0.25">
      <c r="A545" t="s">
        <v>1899</v>
      </c>
      <c r="B545" t="s">
        <v>89</v>
      </c>
      <c r="C545" t="s">
        <v>296</v>
      </c>
      <c r="D545" t="s">
        <v>1900</v>
      </c>
      <c r="E545" t="s">
        <v>21</v>
      </c>
      <c r="F545" t="s">
        <v>1901</v>
      </c>
    </row>
    <row r="546" spans="1:6" hidden="1" x14ac:dyDescent="0.25">
      <c r="A546" t="s">
        <v>1902</v>
      </c>
      <c r="B546" t="s">
        <v>142</v>
      </c>
      <c r="C546" t="s">
        <v>296</v>
      </c>
      <c r="D546" t="s">
        <v>1903</v>
      </c>
      <c r="E546" t="s">
        <v>21</v>
      </c>
      <c r="F546" t="s">
        <v>1904</v>
      </c>
    </row>
    <row r="547" spans="1:6" hidden="1" x14ac:dyDescent="0.25">
      <c r="A547" t="s">
        <v>1905</v>
      </c>
      <c r="B547" t="s">
        <v>420</v>
      </c>
      <c r="C547" t="s">
        <v>296</v>
      </c>
      <c r="D547" t="s">
        <v>1906</v>
      </c>
      <c r="E547" t="s">
        <v>21</v>
      </c>
      <c r="F547" t="s">
        <v>1907</v>
      </c>
    </row>
    <row r="548" spans="1:6" hidden="1" x14ac:dyDescent="0.25">
      <c r="A548" t="s">
        <v>1908</v>
      </c>
      <c r="B548" t="s">
        <v>553</v>
      </c>
      <c r="C548" t="s">
        <v>296</v>
      </c>
      <c r="D548" t="s">
        <v>1909</v>
      </c>
      <c r="E548" t="s">
        <v>21</v>
      </c>
      <c r="F548" t="s">
        <v>1910</v>
      </c>
    </row>
    <row r="549" spans="1:6" hidden="1" x14ac:dyDescent="0.25">
      <c r="A549" t="s">
        <v>1911</v>
      </c>
      <c r="B549" t="s">
        <v>356</v>
      </c>
      <c r="C549" t="s">
        <v>296</v>
      </c>
      <c r="D549" t="s">
        <v>1912</v>
      </c>
      <c r="E549" t="s">
        <v>21</v>
      </c>
      <c r="F549" t="s">
        <v>1913</v>
      </c>
    </row>
    <row r="550" spans="1:6" hidden="1" x14ac:dyDescent="0.25">
      <c r="A550" t="s">
        <v>1914</v>
      </c>
      <c r="B550" t="s">
        <v>121</v>
      </c>
      <c r="C550" t="s">
        <v>296</v>
      </c>
      <c r="D550" t="s">
        <v>1915</v>
      </c>
      <c r="E550" t="s">
        <v>21</v>
      </c>
      <c r="F550" t="s">
        <v>1916</v>
      </c>
    </row>
    <row r="551" spans="1:6" hidden="1" x14ac:dyDescent="0.25">
      <c r="A551" t="s">
        <v>1917</v>
      </c>
      <c r="B551" t="s">
        <v>410</v>
      </c>
      <c r="C551" t="s">
        <v>296</v>
      </c>
      <c r="D551" t="s">
        <v>1918</v>
      </c>
      <c r="E551" t="s">
        <v>21</v>
      </c>
      <c r="F551" t="s">
        <v>1919</v>
      </c>
    </row>
    <row r="552" spans="1:6" hidden="1" x14ac:dyDescent="0.25">
      <c r="A552" t="s">
        <v>1920</v>
      </c>
      <c r="B552" t="s">
        <v>41</v>
      </c>
      <c r="C552" t="s">
        <v>296</v>
      </c>
      <c r="D552" t="s">
        <v>1921</v>
      </c>
      <c r="E552" t="s">
        <v>21</v>
      </c>
      <c r="F552" t="s">
        <v>1922</v>
      </c>
    </row>
    <row r="553" spans="1:6" hidden="1" x14ac:dyDescent="0.25">
      <c r="A553" t="s">
        <v>4200</v>
      </c>
      <c r="B553" t="s">
        <v>702</v>
      </c>
      <c r="C553" t="s">
        <v>825</v>
      </c>
      <c r="D553" t="s">
        <v>4201</v>
      </c>
      <c r="E553" t="s">
        <v>21</v>
      </c>
      <c r="F553" t="s">
        <v>4202</v>
      </c>
    </row>
    <row r="554" spans="1:6" hidden="1" x14ac:dyDescent="0.25">
      <c r="A554" t="s">
        <v>1923</v>
      </c>
      <c r="B554" t="s">
        <v>211</v>
      </c>
      <c r="C554" t="s">
        <v>296</v>
      </c>
      <c r="D554" t="s">
        <v>1924</v>
      </c>
      <c r="E554" t="s">
        <v>21</v>
      </c>
      <c r="F554" t="s">
        <v>1925</v>
      </c>
    </row>
    <row r="555" spans="1:6" hidden="1" x14ac:dyDescent="0.25">
      <c r="A555" t="s">
        <v>1926</v>
      </c>
      <c r="B555" t="s">
        <v>29</v>
      </c>
      <c r="C555" t="s">
        <v>296</v>
      </c>
      <c r="D555" t="s">
        <v>1927</v>
      </c>
      <c r="E555" t="s">
        <v>21</v>
      </c>
      <c r="F555" t="s">
        <v>1928</v>
      </c>
    </row>
    <row r="556" spans="1:6" hidden="1" x14ac:dyDescent="0.25">
      <c r="A556" t="s">
        <v>1929</v>
      </c>
      <c r="B556" t="s">
        <v>702</v>
      </c>
      <c r="C556" t="s">
        <v>478</v>
      </c>
      <c r="D556" t="s">
        <v>1930</v>
      </c>
      <c r="E556" t="s">
        <v>21</v>
      </c>
      <c r="F556" t="s">
        <v>1931</v>
      </c>
    </row>
    <row r="557" spans="1:6" hidden="1" x14ac:dyDescent="0.25">
      <c r="A557" t="s">
        <v>252</v>
      </c>
      <c r="B557" t="s">
        <v>420</v>
      </c>
      <c r="C557" t="s">
        <v>296</v>
      </c>
      <c r="D557" t="s">
        <v>253</v>
      </c>
      <c r="E557" t="s">
        <v>21</v>
      </c>
      <c r="F557" t="s">
        <v>255</v>
      </c>
    </row>
    <row r="558" spans="1:6" hidden="1" x14ac:dyDescent="0.25">
      <c r="A558" t="s">
        <v>1932</v>
      </c>
      <c r="B558" t="s">
        <v>326</v>
      </c>
      <c r="C558" t="s">
        <v>296</v>
      </c>
      <c r="D558" t="s">
        <v>1933</v>
      </c>
      <c r="E558" t="s">
        <v>21</v>
      </c>
      <c r="F558" t="s">
        <v>1934</v>
      </c>
    </row>
    <row r="559" spans="1:6" hidden="1" x14ac:dyDescent="0.25">
      <c r="A559" t="s">
        <v>1935</v>
      </c>
      <c r="B559" t="s">
        <v>363</v>
      </c>
      <c r="C559" t="s">
        <v>478</v>
      </c>
      <c r="D559" t="s">
        <v>1936</v>
      </c>
      <c r="E559" t="s">
        <v>21</v>
      </c>
      <c r="F559" t="s">
        <v>1937</v>
      </c>
    </row>
    <row r="560" spans="1:6" x14ac:dyDescent="0.25">
      <c r="A560" t="s">
        <v>1938</v>
      </c>
      <c r="B560" t="s">
        <v>386</v>
      </c>
      <c r="C560" t="s">
        <v>387</v>
      </c>
      <c r="D560" t="s">
        <v>1939</v>
      </c>
      <c r="E560" t="s">
        <v>21</v>
      </c>
      <c r="F560" t="s">
        <v>1940</v>
      </c>
    </row>
    <row r="561" spans="1:6" hidden="1" x14ac:dyDescent="0.25">
      <c r="A561" t="s">
        <v>1941</v>
      </c>
      <c r="B561" t="s">
        <v>363</v>
      </c>
      <c r="C561" t="s">
        <v>1067</v>
      </c>
      <c r="D561" t="s">
        <v>1942</v>
      </c>
      <c r="E561" t="s">
        <v>21</v>
      </c>
      <c r="F561" t="s">
        <v>1943</v>
      </c>
    </row>
    <row r="562" spans="1:6" hidden="1" x14ac:dyDescent="0.25">
      <c r="A562" t="s">
        <v>1944</v>
      </c>
      <c r="B562" t="s">
        <v>326</v>
      </c>
      <c r="C562" t="s">
        <v>296</v>
      </c>
      <c r="D562" t="s">
        <v>1945</v>
      </c>
      <c r="E562" t="s">
        <v>21</v>
      </c>
      <c r="F562" t="s">
        <v>1946</v>
      </c>
    </row>
    <row r="563" spans="1:6" hidden="1" x14ac:dyDescent="0.25">
      <c r="A563" t="s">
        <v>1947</v>
      </c>
      <c r="B563" t="s">
        <v>322</v>
      </c>
      <c r="C563" t="s">
        <v>296</v>
      </c>
      <c r="D563" t="s">
        <v>1948</v>
      </c>
      <c r="E563" t="s">
        <v>21</v>
      </c>
      <c r="F563" t="s">
        <v>1949</v>
      </c>
    </row>
    <row r="564" spans="1:6" hidden="1" x14ac:dyDescent="0.25">
      <c r="A564" t="s">
        <v>1950</v>
      </c>
      <c r="B564" t="s">
        <v>78</v>
      </c>
      <c r="C564" t="s">
        <v>296</v>
      </c>
      <c r="D564" t="s">
        <v>1951</v>
      </c>
      <c r="E564" t="s">
        <v>21</v>
      </c>
      <c r="F564" t="s">
        <v>1952</v>
      </c>
    </row>
    <row r="565" spans="1:6" hidden="1" x14ac:dyDescent="0.25">
      <c r="A565" t="s">
        <v>1953</v>
      </c>
      <c r="B565" t="s">
        <v>64</v>
      </c>
      <c r="C565" t="s">
        <v>585</v>
      </c>
      <c r="D565" t="s">
        <v>1954</v>
      </c>
      <c r="E565" t="s">
        <v>21</v>
      </c>
      <c r="F565" t="s">
        <v>1955</v>
      </c>
    </row>
    <row r="566" spans="1:6" hidden="1" x14ac:dyDescent="0.25">
      <c r="A566" t="s">
        <v>39</v>
      </c>
      <c r="B566" t="s">
        <v>41</v>
      </c>
      <c r="C566" t="s">
        <v>296</v>
      </c>
      <c r="D566" t="s">
        <v>40</v>
      </c>
      <c r="E566" t="s">
        <v>21</v>
      </c>
      <c r="F566" t="s">
        <v>42</v>
      </c>
    </row>
    <row r="567" spans="1:6" hidden="1" x14ac:dyDescent="0.25">
      <c r="A567" t="s">
        <v>1956</v>
      </c>
      <c r="B567" t="s">
        <v>343</v>
      </c>
      <c r="C567" t="s">
        <v>296</v>
      </c>
      <c r="D567" t="s">
        <v>1957</v>
      </c>
      <c r="E567" t="s">
        <v>21</v>
      </c>
      <c r="F567" t="s">
        <v>1958</v>
      </c>
    </row>
    <row r="568" spans="1:6" hidden="1" x14ac:dyDescent="0.25">
      <c r="A568" t="s">
        <v>1959</v>
      </c>
      <c r="B568" t="s">
        <v>343</v>
      </c>
      <c r="C568" t="s">
        <v>296</v>
      </c>
      <c r="D568" t="s">
        <v>1960</v>
      </c>
      <c r="E568" t="s">
        <v>21</v>
      </c>
      <c r="F568" t="s">
        <v>1961</v>
      </c>
    </row>
    <row r="569" spans="1:6" hidden="1" x14ac:dyDescent="0.25">
      <c r="A569" t="s">
        <v>1962</v>
      </c>
      <c r="B569" t="s">
        <v>24</v>
      </c>
      <c r="C569" t="s">
        <v>296</v>
      </c>
      <c r="D569" t="s">
        <v>1963</v>
      </c>
      <c r="E569" t="s">
        <v>21</v>
      </c>
      <c r="F569" t="s">
        <v>1964</v>
      </c>
    </row>
    <row r="570" spans="1:6" hidden="1" x14ac:dyDescent="0.25">
      <c r="A570" t="s">
        <v>240</v>
      </c>
      <c r="B570" t="s">
        <v>386</v>
      </c>
      <c r="C570" t="s">
        <v>387</v>
      </c>
      <c r="D570" t="s">
        <v>241</v>
      </c>
      <c r="E570" t="s">
        <v>21</v>
      </c>
      <c r="F570" t="s">
        <v>242</v>
      </c>
    </row>
    <row r="571" spans="1:6" hidden="1" x14ac:dyDescent="0.25">
      <c r="A571" t="s">
        <v>1965</v>
      </c>
      <c r="B571" t="s">
        <v>29</v>
      </c>
      <c r="C571" t="s">
        <v>296</v>
      </c>
      <c r="D571" t="s">
        <v>1966</v>
      </c>
      <c r="E571" t="s">
        <v>21</v>
      </c>
      <c r="F571" t="s">
        <v>1967</v>
      </c>
    </row>
    <row r="572" spans="1:6" hidden="1" x14ac:dyDescent="0.25">
      <c r="A572" t="s">
        <v>1968</v>
      </c>
      <c r="B572" t="s">
        <v>748</v>
      </c>
      <c r="C572" t="s">
        <v>400</v>
      </c>
      <c r="D572" t="s">
        <v>1969</v>
      </c>
      <c r="E572" t="s">
        <v>21</v>
      </c>
      <c r="F572" t="s">
        <v>1970</v>
      </c>
    </row>
    <row r="573" spans="1:6" hidden="1" x14ac:dyDescent="0.25">
      <c r="A573" t="s">
        <v>1971</v>
      </c>
      <c r="B573" t="s">
        <v>34</v>
      </c>
      <c r="C573" t="s">
        <v>296</v>
      </c>
      <c r="D573" t="s">
        <v>1972</v>
      </c>
      <c r="E573" t="s">
        <v>21</v>
      </c>
      <c r="F573" t="s">
        <v>1973</v>
      </c>
    </row>
    <row r="574" spans="1:6" hidden="1" x14ac:dyDescent="0.25">
      <c r="A574" t="s">
        <v>1974</v>
      </c>
      <c r="B574" t="s">
        <v>82</v>
      </c>
      <c r="C574" t="s">
        <v>296</v>
      </c>
      <c r="D574" t="s">
        <v>1975</v>
      </c>
      <c r="E574" t="s">
        <v>21</v>
      </c>
      <c r="F574" t="s">
        <v>1976</v>
      </c>
    </row>
    <row r="575" spans="1:6" hidden="1" x14ac:dyDescent="0.25">
      <c r="A575" t="s">
        <v>1977</v>
      </c>
      <c r="B575" t="s">
        <v>132</v>
      </c>
      <c r="C575" t="s">
        <v>296</v>
      </c>
      <c r="D575" t="s">
        <v>1978</v>
      </c>
      <c r="E575" t="s">
        <v>21</v>
      </c>
      <c r="F575" t="s">
        <v>1979</v>
      </c>
    </row>
    <row r="576" spans="1:6" hidden="1" x14ac:dyDescent="0.25">
      <c r="A576" t="s">
        <v>1980</v>
      </c>
      <c r="B576" t="s">
        <v>78</v>
      </c>
      <c r="C576" t="s">
        <v>296</v>
      </c>
      <c r="D576" t="s">
        <v>1981</v>
      </c>
      <c r="E576" t="s">
        <v>21</v>
      </c>
      <c r="F576" t="s">
        <v>1982</v>
      </c>
    </row>
    <row r="577" spans="1:6" hidden="1" x14ac:dyDescent="0.25">
      <c r="A577" t="s">
        <v>1983</v>
      </c>
      <c r="B577" t="s">
        <v>211</v>
      </c>
      <c r="C577" t="s">
        <v>296</v>
      </c>
      <c r="D577" t="s">
        <v>1984</v>
      </c>
      <c r="E577" t="s">
        <v>21</v>
      </c>
      <c r="F577" t="s">
        <v>1985</v>
      </c>
    </row>
    <row r="578" spans="1:6" hidden="1" x14ac:dyDescent="0.25">
      <c r="A578" t="s">
        <v>1986</v>
      </c>
      <c r="B578" t="s">
        <v>533</v>
      </c>
      <c r="C578" t="s">
        <v>296</v>
      </c>
      <c r="D578" t="s">
        <v>1987</v>
      </c>
      <c r="E578" t="s">
        <v>21</v>
      </c>
      <c r="F578" t="s">
        <v>1988</v>
      </c>
    </row>
    <row r="579" spans="1:6" hidden="1" x14ac:dyDescent="0.25">
      <c r="A579" t="s">
        <v>185</v>
      </c>
      <c r="B579" t="s">
        <v>386</v>
      </c>
      <c r="C579" t="s">
        <v>387</v>
      </c>
      <c r="D579" t="s">
        <v>186</v>
      </c>
      <c r="E579" t="s">
        <v>21</v>
      </c>
      <c r="F579" t="s">
        <v>187</v>
      </c>
    </row>
    <row r="580" spans="1:6" hidden="1" x14ac:dyDescent="0.25">
      <c r="A580" t="s">
        <v>1989</v>
      </c>
      <c r="B580" t="s">
        <v>437</v>
      </c>
      <c r="C580" t="s">
        <v>480</v>
      </c>
      <c r="D580" t="s">
        <v>1990</v>
      </c>
      <c r="E580" t="s">
        <v>21</v>
      </c>
      <c r="F580" t="s">
        <v>1991</v>
      </c>
    </row>
    <row r="581" spans="1:6" hidden="1" x14ac:dyDescent="0.25">
      <c r="A581" t="s">
        <v>1992</v>
      </c>
      <c r="B581" t="s">
        <v>41</v>
      </c>
      <c r="C581" t="s">
        <v>296</v>
      </c>
      <c r="D581" t="s">
        <v>1993</v>
      </c>
      <c r="E581" t="s">
        <v>21</v>
      </c>
      <c r="F581" t="s">
        <v>1994</v>
      </c>
    </row>
    <row r="582" spans="1:6" hidden="1" x14ac:dyDescent="0.25">
      <c r="A582" t="s">
        <v>1995</v>
      </c>
      <c r="B582" t="s">
        <v>41</v>
      </c>
      <c r="C582" t="s">
        <v>296</v>
      </c>
      <c r="D582" t="s">
        <v>1996</v>
      </c>
      <c r="E582" t="s">
        <v>21</v>
      </c>
      <c r="F582" t="s">
        <v>1997</v>
      </c>
    </row>
    <row r="583" spans="1:6" hidden="1" x14ac:dyDescent="0.25">
      <c r="A583" t="s">
        <v>1998</v>
      </c>
      <c r="B583" t="s">
        <v>311</v>
      </c>
      <c r="C583" t="s">
        <v>296</v>
      </c>
      <c r="D583" t="s">
        <v>1999</v>
      </c>
      <c r="E583" t="s">
        <v>21</v>
      </c>
      <c r="F583" t="s">
        <v>2000</v>
      </c>
    </row>
    <row r="584" spans="1:6" hidden="1" x14ac:dyDescent="0.25">
      <c r="A584" t="s">
        <v>2001</v>
      </c>
      <c r="B584" t="s">
        <v>2002</v>
      </c>
      <c r="C584" t="s">
        <v>296</v>
      </c>
      <c r="D584" t="s">
        <v>2003</v>
      </c>
      <c r="E584" t="s">
        <v>21</v>
      </c>
      <c r="F584" t="s">
        <v>2004</v>
      </c>
    </row>
    <row r="585" spans="1:6" hidden="1" x14ac:dyDescent="0.25">
      <c r="A585" t="s">
        <v>2005</v>
      </c>
      <c r="B585" t="s">
        <v>1171</v>
      </c>
      <c r="C585" t="s">
        <v>2006</v>
      </c>
      <c r="D585" t="s">
        <v>2007</v>
      </c>
      <c r="E585" t="s">
        <v>21</v>
      </c>
      <c r="F585" t="s">
        <v>2008</v>
      </c>
    </row>
    <row r="586" spans="1:6" hidden="1" x14ac:dyDescent="0.25">
      <c r="A586" t="s">
        <v>2009</v>
      </c>
      <c r="B586" t="s">
        <v>15</v>
      </c>
      <c r="C586" t="s">
        <v>296</v>
      </c>
      <c r="D586" t="s">
        <v>2010</v>
      </c>
      <c r="E586" t="s">
        <v>21</v>
      </c>
      <c r="F586" t="s">
        <v>2011</v>
      </c>
    </row>
    <row r="587" spans="1:6" hidden="1" x14ac:dyDescent="0.25">
      <c r="A587" t="s">
        <v>2012</v>
      </c>
      <c r="B587" t="s">
        <v>121</v>
      </c>
      <c r="C587" t="s">
        <v>296</v>
      </c>
      <c r="D587" t="s">
        <v>2013</v>
      </c>
      <c r="E587" t="s">
        <v>21</v>
      </c>
      <c r="F587" t="s">
        <v>2014</v>
      </c>
    </row>
    <row r="588" spans="1:6" hidden="1" x14ac:dyDescent="0.25">
      <c r="A588" t="s">
        <v>2015</v>
      </c>
      <c r="B588" t="s">
        <v>78</v>
      </c>
      <c r="C588" t="s">
        <v>296</v>
      </c>
      <c r="D588" t="s">
        <v>2016</v>
      </c>
      <c r="E588" t="s">
        <v>21</v>
      </c>
      <c r="F588" t="s">
        <v>2017</v>
      </c>
    </row>
    <row r="589" spans="1:6" hidden="1" x14ac:dyDescent="0.25">
      <c r="A589" t="s">
        <v>2018</v>
      </c>
      <c r="B589" t="s">
        <v>2019</v>
      </c>
      <c r="C589" t="s">
        <v>296</v>
      </c>
      <c r="D589" t="s">
        <v>2020</v>
      </c>
      <c r="E589" t="s">
        <v>21</v>
      </c>
      <c r="F589" t="s">
        <v>2021</v>
      </c>
    </row>
    <row r="590" spans="1:6" hidden="1" x14ac:dyDescent="0.25">
      <c r="A590" t="s">
        <v>2022</v>
      </c>
      <c r="B590" t="s">
        <v>322</v>
      </c>
      <c r="C590" t="s">
        <v>296</v>
      </c>
      <c r="D590" t="s">
        <v>2023</v>
      </c>
      <c r="E590" t="s">
        <v>21</v>
      </c>
      <c r="F590" t="s">
        <v>2024</v>
      </c>
    </row>
    <row r="591" spans="1:6" hidden="1" x14ac:dyDescent="0.25">
      <c r="A591" t="s">
        <v>2025</v>
      </c>
      <c r="B591" t="s">
        <v>78</v>
      </c>
      <c r="C591" t="s">
        <v>296</v>
      </c>
      <c r="D591" t="s">
        <v>2026</v>
      </c>
      <c r="E591" t="s">
        <v>21</v>
      </c>
      <c r="F591" t="s">
        <v>2027</v>
      </c>
    </row>
    <row r="592" spans="1:6" hidden="1" x14ac:dyDescent="0.25">
      <c r="A592" t="s">
        <v>2028</v>
      </c>
      <c r="B592" t="s">
        <v>197</v>
      </c>
      <c r="C592" t="s">
        <v>296</v>
      </c>
      <c r="D592" t="s">
        <v>2029</v>
      </c>
      <c r="E592" t="s">
        <v>21</v>
      </c>
      <c r="F592" t="s">
        <v>2030</v>
      </c>
    </row>
    <row r="593" spans="1:6" hidden="1" x14ac:dyDescent="0.25">
      <c r="A593" t="s">
        <v>2031</v>
      </c>
      <c r="B593" t="s">
        <v>41</v>
      </c>
      <c r="C593" t="s">
        <v>296</v>
      </c>
      <c r="D593" t="s">
        <v>2032</v>
      </c>
      <c r="E593" t="s">
        <v>21</v>
      </c>
      <c r="F593" t="s">
        <v>2033</v>
      </c>
    </row>
    <row r="594" spans="1:6" hidden="1" x14ac:dyDescent="0.25">
      <c r="A594" t="s">
        <v>2034</v>
      </c>
      <c r="B594" t="s">
        <v>142</v>
      </c>
      <c r="C594" t="s">
        <v>296</v>
      </c>
      <c r="D594" t="s">
        <v>2035</v>
      </c>
      <c r="E594" t="s">
        <v>21</v>
      </c>
      <c r="F594" t="s">
        <v>2036</v>
      </c>
    </row>
    <row r="595" spans="1:6" hidden="1" x14ac:dyDescent="0.25">
      <c r="A595" t="s">
        <v>2037</v>
      </c>
      <c r="B595" t="s">
        <v>132</v>
      </c>
      <c r="C595" t="s">
        <v>296</v>
      </c>
      <c r="D595" t="s">
        <v>2038</v>
      </c>
      <c r="E595" t="s">
        <v>21</v>
      </c>
      <c r="F595" t="s">
        <v>2039</v>
      </c>
    </row>
    <row r="596" spans="1:6" hidden="1" x14ac:dyDescent="0.25">
      <c r="A596" t="s">
        <v>2040</v>
      </c>
      <c r="B596" t="s">
        <v>64</v>
      </c>
      <c r="C596" t="s">
        <v>296</v>
      </c>
      <c r="D596" t="s">
        <v>2041</v>
      </c>
      <c r="E596" t="s">
        <v>21</v>
      </c>
      <c r="F596" t="s">
        <v>2042</v>
      </c>
    </row>
    <row r="597" spans="1:6" hidden="1" x14ac:dyDescent="0.25">
      <c r="A597" t="s">
        <v>2043</v>
      </c>
      <c r="B597" t="s">
        <v>356</v>
      </c>
      <c r="C597" t="s">
        <v>296</v>
      </c>
      <c r="D597" t="s">
        <v>2044</v>
      </c>
      <c r="E597" t="s">
        <v>21</v>
      </c>
      <c r="F597" t="s">
        <v>2045</v>
      </c>
    </row>
    <row r="598" spans="1:6" hidden="1" x14ac:dyDescent="0.25">
      <c r="A598" t="s">
        <v>2046</v>
      </c>
      <c r="B598" t="s">
        <v>128</v>
      </c>
      <c r="C598" t="s">
        <v>296</v>
      </c>
      <c r="D598" t="s">
        <v>2047</v>
      </c>
      <c r="E598" t="s">
        <v>21</v>
      </c>
      <c r="F598" t="s">
        <v>2048</v>
      </c>
    </row>
    <row r="599" spans="1:6" hidden="1" x14ac:dyDescent="0.25">
      <c r="A599" t="s">
        <v>2049</v>
      </c>
      <c r="B599" t="s">
        <v>363</v>
      </c>
      <c r="C599" t="s">
        <v>825</v>
      </c>
      <c r="D599" t="s">
        <v>2050</v>
      </c>
      <c r="E599" t="s">
        <v>21</v>
      </c>
      <c r="F599" t="s">
        <v>2051</v>
      </c>
    </row>
    <row r="600" spans="1:6" hidden="1" x14ac:dyDescent="0.25">
      <c r="A600" t="s">
        <v>137</v>
      </c>
      <c r="B600" t="s">
        <v>64</v>
      </c>
      <c r="C600" t="s">
        <v>296</v>
      </c>
      <c r="D600" t="s">
        <v>138</v>
      </c>
      <c r="E600" t="s">
        <v>21</v>
      </c>
      <c r="F600" t="s">
        <v>139</v>
      </c>
    </row>
    <row r="601" spans="1:6" hidden="1" x14ac:dyDescent="0.25">
      <c r="A601" t="s">
        <v>2052</v>
      </c>
      <c r="B601" t="s">
        <v>454</v>
      </c>
      <c r="C601" t="s">
        <v>400</v>
      </c>
      <c r="D601" t="s">
        <v>2053</v>
      </c>
      <c r="E601" t="s">
        <v>21</v>
      </c>
      <c r="F601" t="s">
        <v>2054</v>
      </c>
    </row>
    <row r="602" spans="1:6" hidden="1" x14ac:dyDescent="0.25">
      <c r="A602" t="s">
        <v>2055</v>
      </c>
      <c r="B602" t="s">
        <v>514</v>
      </c>
      <c r="C602" t="s">
        <v>2056</v>
      </c>
      <c r="D602" t="s">
        <v>2057</v>
      </c>
      <c r="E602" t="s">
        <v>21</v>
      </c>
      <c r="F602" t="s">
        <v>2058</v>
      </c>
    </row>
    <row r="603" spans="1:6" hidden="1" x14ac:dyDescent="0.25">
      <c r="A603" t="s">
        <v>2059</v>
      </c>
      <c r="B603" t="s">
        <v>748</v>
      </c>
      <c r="C603" t="s">
        <v>400</v>
      </c>
      <c r="D603" t="s">
        <v>2060</v>
      </c>
      <c r="E603" t="s">
        <v>21</v>
      </c>
      <c r="F603" t="s">
        <v>2061</v>
      </c>
    </row>
    <row r="604" spans="1:6" hidden="1" x14ac:dyDescent="0.25">
      <c r="A604" t="s">
        <v>2062</v>
      </c>
      <c r="B604" t="s">
        <v>322</v>
      </c>
      <c r="C604" t="s">
        <v>296</v>
      </c>
      <c r="D604" t="s">
        <v>2063</v>
      </c>
      <c r="E604" t="s">
        <v>21</v>
      </c>
      <c r="F604" t="s">
        <v>2064</v>
      </c>
    </row>
    <row r="605" spans="1:6" hidden="1" x14ac:dyDescent="0.25">
      <c r="A605" t="s">
        <v>2065</v>
      </c>
      <c r="B605" t="s">
        <v>78</v>
      </c>
      <c r="C605" t="s">
        <v>296</v>
      </c>
      <c r="D605" t="s">
        <v>2066</v>
      </c>
      <c r="E605" t="s">
        <v>21</v>
      </c>
      <c r="F605" t="s">
        <v>2067</v>
      </c>
    </row>
    <row r="606" spans="1:6" hidden="1" x14ac:dyDescent="0.25">
      <c r="A606" t="s">
        <v>2068</v>
      </c>
      <c r="B606" t="s">
        <v>64</v>
      </c>
      <c r="C606" t="s">
        <v>296</v>
      </c>
      <c r="D606" t="s">
        <v>2069</v>
      </c>
      <c r="E606" t="s">
        <v>21</v>
      </c>
      <c r="F606" t="s">
        <v>2070</v>
      </c>
    </row>
    <row r="607" spans="1:6" hidden="1" x14ac:dyDescent="0.25">
      <c r="A607" t="s">
        <v>2071</v>
      </c>
      <c r="B607" t="s">
        <v>326</v>
      </c>
      <c r="C607" t="s">
        <v>296</v>
      </c>
      <c r="D607" t="s">
        <v>2072</v>
      </c>
      <c r="E607" t="s">
        <v>21</v>
      </c>
      <c r="F607" t="s">
        <v>2073</v>
      </c>
    </row>
    <row r="608" spans="1:6" hidden="1" x14ac:dyDescent="0.25">
      <c r="A608" t="s">
        <v>2074</v>
      </c>
      <c r="B608" t="s">
        <v>82</v>
      </c>
      <c r="C608" t="s">
        <v>296</v>
      </c>
      <c r="D608" t="s">
        <v>2075</v>
      </c>
      <c r="E608" t="s">
        <v>21</v>
      </c>
      <c r="F608" t="s">
        <v>2076</v>
      </c>
    </row>
    <row r="609" spans="1:6" hidden="1" x14ac:dyDescent="0.25">
      <c r="A609" t="s">
        <v>2077</v>
      </c>
      <c r="B609" t="s">
        <v>437</v>
      </c>
      <c r="C609" t="s">
        <v>598</v>
      </c>
      <c r="D609" t="s">
        <v>2078</v>
      </c>
      <c r="E609" t="s">
        <v>21</v>
      </c>
      <c r="F609" t="s">
        <v>2079</v>
      </c>
    </row>
    <row r="610" spans="1:6" hidden="1" x14ac:dyDescent="0.25">
      <c r="A610" t="s">
        <v>2080</v>
      </c>
      <c r="B610" t="s">
        <v>326</v>
      </c>
      <c r="C610" t="s">
        <v>296</v>
      </c>
      <c r="D610" t="s">
        <v>2081</v>
      </c>
      <c r="E610" t="s">
        <v>21</v>
      </c>
      <c r="F610" t="s">
        <v>2082</v>
      </c>
    </row>
    <row r="611" spans="1:6" hidden="1" x14ac:dyDescent="0.25">
      <c r="A611" t="s">
        <v>2083</v>
      </c>
      <c r="B611" t="s">
        <v>34</v>
      </c>
      <c r="C611" t="s">
        <v>296</v>
      </c>
      <c r="D611" t="s">
        <v>2084</v>
      </c>
      <c r="E611" t="s">
        <v>21</v>
      </c>
      <c r="F611" t="s">
        <v>2085</v>
      </c>
    </row>
    <row r="612" spans="1:6" hidden="1" x14ac:dyDescent="0.25">
      <c r="A612" t="s">
        <v>2086</v>
      </c>
      <c r="B612" t="s">
        <v>420</v>
      </c>
      <c r="C612" t="s">
        <v>296</v>
      </c>
      <c r="D612" t="s">
        <v>2087</v>
      </c>
      <c r="E612" t="s">
        <v>21</v>
      </c>
      <c r="F612" t="s">
        <v>2088</v>
      </c>
    </row>
    <row r="613" spans="1:6" hidden="1" x14ac:dyDescent="0.25">
      <c r="A613" t="s">
        <v>2089</v>
      </c>
      <c r="B613" t="s">
        <v>702</v>
      </c>
      <c r="C613" t="s">
        <v>825</v>
      </c>
      <c r="D613" t="s">
        <v>2090</v>
      </c>
      <c r="E613" t="s">
        <v>21</v>
      </c>
      <c r="F613" t="s">
        <v>2091</v>
      </c>
    </row>
    <row r="614" spans="1:6" hidden="1" x14ac:dyDescent="0.25">
      <c r="A614" t="s">
        <v>2092</v>
      </c>
      <c r="B614" t="s">
        <v>621</v>
      </c>
      <c r="C614" t="s">
        <v>296</v>
      </c>
      <c r="D614" t="s">
        <v>2093</v>
      </c>
      <c r="E614" t="s">
        <v>21</v>
      </c>
      <c r="F614" t="s">
        <v>2094</v>
      </c>
    </row>
    <row r="615" spans="1:6" hidden="1" x14ac:dyDescent="0.25">
      <c r="A615" t="s">
        <v>2095</v>
      </c>
      <c r="B615" t="s">
        <v>752</v>
      </c>
      <c r="C615" t="s">
        <v>296</v>
      </c>
      <c r="D615" t="s">
        <v>2096</v>
      </c>
      <c r="E615" t="s">
        <v>21</v>
      </c>
      <c r="F615" t="s">
        <v>2097</v>
      </c>
    </row>
    <row r="616" spans="1:6" hidden="1" x14ac:dyDescent="0.25">
      <c r="A616" t="s">
        <v>2098</v>
      </c>
      <c r="B616" t="s">
        <v>34</v>
      </c>
      <c r="C616" t="s">
        <v>296</v>
      </c>
      <c r="D616" t="s">
        <v>2099</v>
      </c>
      <c r="E616" t="s">
        <v>21</v>
      </c>
      <c r="F616" t="s">
        <v>2100</v>
      </c>
    </row>
    <row r="617" spans="1:6" hidden="1" x14ac:dyDescent="0.25">
      <c r="A617" t="s">
        <v>2101</v>
      </c>
      <c r="B617" t="s">
        <v>326</v>
      </c>
      <c r="C617" t="s">
        <v>296</v>
      </c>
      <c r="D617" t="s">
        <v>2102</v>
      </c>
      <c r="E617" t="s">
        <v>21</v>
      </c>
      <c r="F617" t="s">
        <v>2103</v>
      </c>
    </row>
    <row r="618" spans="1:6" hidden="1" x14ac:dyDescent="0.25">
      <c r="A618" t="s">
        <v>2104</v>
      </c>
      <c r="B618" t="s">
        <v>322</v>
      </c>
      <c r="C618" t="s">
        <v>296</v>
      </c>
      <c r="D618" t="s">
        <v>2105</v>
      </c>
      <c r="E618" t="s">
        <v>21</v>
      </c>
      <c r="F618" t="s">
        <v>2106</v>
      </c>
    </row>
    <row r="619" spans="1:6" hidden="1" x14ac:dyDescent="0.25">
      <c r="A619" t="s">
        <v>2107</v>
      </c>
      <c r="B619" t="s">
        <v>51</v>
      </c>
      <c r="C619" t="s">
        <v>296</v>
      </c>
      <c r="D619" t="s">
        <v>2108</v>
      </c>
      <c r="E619" t="s">
        <v>21</v>
      </c>
      <c r="F619" t="s">
        <v>2109</v>
      </c>
    </row>
    <row r="620" spans="1:6" hidden="1" x14ac:dyDescent="0.25">
      <c r="A620" t="s">
        <v>2110</v>
      </c>
      <c r="B620" t="s">
        <v>142</v>
      </c>
      <c r="C620" t="s">
        <v>296</v>
      </c>
      <c r="D620" t="s">
        <v>2111</v>
      </c>
      <c r="E620" t="s">
        <v>21</v>
      </c>
      <c r="F620" t="s">
        <v>2112</v>
      </c>
    </row>
    <row r="621" spans="1:6" hidden="1" x14ac:dyDescent="0.25">
      <c r="A621" t="s">
        <v>2113</v>
      </c>
      <c r="B621" t="s">
        <v>51</v>
      </c>
      <c r="C621" t="s">
        <v>296</v>
      </c>
      <c r="D621" t="s">
        <v>2114</v>
      </c>
      <c r="E621" t="s">
        <v>21</v>
      </c>
      <c r="F621" t="s">
        <v>2115</v>
      </c>
    </row>
    <row r="622" spans="1:6" hidden="1" x14ac:dyDescent="0.25">
      <c r="A622" t="s">
        <v>2116</v>
      </c>
      <c r="B622" t="s">
        <v>121</v>
      </c>
      <c r="C622" t="s">
        <v>296</v>
      </c>
      <c r="D622" t="s">
        <v>2117</v>
      </c>
      <c r="E622" t="s">
        <v>21</v>
      </c>
      <c r="F622" t="s">
        <v>2118</v>
      </c>
    </row>
    <row r="623" spans="1:6" hidden="1" x14ac:dyDescent="0.25">
      <c r="A623" t="s">
        <v>2119</v>
      </c>
      <c r="B623" t="s">
        <v>142</v>
      </c>
      <c r="C623" t="s">
        <v>296</v>
      </c>
      <c r="D623" t="s">
        <v>2120</v>
      </c>
      <c r="E623" t="s">
        <v>21</v>
      </c>
      <c r="F623" t="s">
        <v>2121</v>
      </c>
    </row>
    <row r="624" spans="1:6" hidden="1" x14ac:dyDescent="0.25">
      <c r="A624" t="s">
        <v>2122</v>
      </c>
      <c r="B624" t="s">
        <v>89</v>
      </c>
      <c r="C624" t="s">
        <v>296</v>
      </c>
      <c r="D624" t="s">
        <v>2123</v>
      </c>
      <c r="E624" t="s">
        <v>21</v>
      </c>
      <c r="F624" t="s">
        <v>2124</v>
      </c>
    </row>
    <row r="625" spans="1:6" hidden="1" x14ac:dyDescent="0.25">
      <c r="A625" t="s">
        <v>2125</v>
      </c>
      <c r="B625" t="s">
        <v>628</v>
      </c>
      <c r="C625" t="s">
        <v>296</v>
      </c>
      <c r="D625" t="s">
        <v>2126</v>
      </c>
      <c r="E625" t="s">
        <v>21</v>
      </c>
      <c r="F625" t="s">
        <v>2127</v>
      </c>
    </row>
    <row r="626" spans="1:6" hidden="1" x14ac:dyDescent="0.25">
      <c r="A626" t="s">
        <v>4203</v>
      </c>
      <c r="B626" t="s">
        <v>921</v>
      </c>
      <c r="C626" t="s">
        <v>400</v>
      </c>
      <c r="D626" t="s">
        <v>4204</v>
      </c>
      <c r="E626" t="s">
        <v>21</v>
      </c>
      <c r="F626" t="s">
        <v>4205</v>
      </c>
    </row>
    <row r="627" spans="1:6" hidden="1" x14ac:dyDescent="0.25">
      <c r="A627" t="s">
        <v>2128</v>
      </c>
      <c r="B627" t="s">
        <v>702</v>
      </c>
      <c r="C627" t="s">
        <v>478</v>
      </c>
      <c r="D627" t="s">
        <v>2129</v>
      </c>
      <c r="E627" t="s">
        <v>21</v>
      </c>
      <c r="F627" t="s">
        <v>2130</v>
      </c>
    </row>
    <row r="628" spans="1:6" hidden="1" x14ac:dyDescent="0.25">
      <c r="A628" t="s">
        <v>2131</v>
      </c>
      <c r="B628" t="s">
        <v>356</v>
      </c>
      <c r="C628" t="s">
        <v>296</v>
      </c>
      <c r="D628" t="s">
        <v>2132</v>
      </c>
      <c r="E628" t="s">
        <v>21</v>
      </c>
      <c r="F628" t="s">
        <v>2133</v>
      </c>
    </row>
    <row r="629" spans="1:6" hidden="1" x14ac:dyDescent="0.25">
      <c r="A629" t="s">
        <v>247</v>
      </c>
      <c r="B629" t="s">
        <v>386</v>
      </c>
      <c r="C629" t="s">
        <v>387</v>
      </c>
      <c r="D629" t="s">
        <v>248</v>
      </c>
      <c r="E629" t="s">
        <v>21</v>
      </c>
      <c r="F629" t="s">
        <v>249</v>
      </c>
    </row>
    <row r="630" spans="1:6" hidden="1" x14ac:dyDescent="0.25">
      <c r="A630" t="s">
        <v>119</v>
      </c>
      <c r="B630" t="s">
        <v>121</v>
      </c>
      <c r="C630" t="s">
        <v>296</v>
      </c>
      <c r="D630" t="s">
        <v>120</v>
      </c>
      <c r="E630" t="s">
        <v>21</v>
      </c>
      <c r="F630" t="s">
        <v>124</v>
      </c>
    </row>
    <row r="631" spans="1:6" hidden="1" x14ac:dyDescent="0.25">
      <c r="A631" t="s">
        <v>2134</v>
      </c>
      <c r="B631" t="s">
        <v>326</v>
      </c>
      <c r="C631" t="s">
        <v>296</v>
      </c>
      <c r="D631" t="s">
        <v>2135</v>
      </c>
      <c r="E631" t="s">
        <v>21</v>
      </c>
      <c r="F631" t="s">
        <v>2136</v>
      </c>
    </row>
    <row r="632" spans="1:6" hidden="1" x14ac:dyDescent="0.25">
      <c r="A632" t="s">
        <v>2137</v>
      </c>
      <c r="B632" t="s">
        <v>51</v>
      </c>
      <c r="C632" t="s">
        <v>296</v>
      </c>
      <c r="D632" t="s">
        <v>2138</v>
      </c>
      <c r="E632" t="s">
        <v>21</v>
      </c>
      <c r="F632" t="s">
        <v>2139</v>
      </c>
    </row>
    <row r="633" spans="1:6" hidden="1" x14ac:dyDescent="0.25">
      <c r="A633" t="s">
        <v>2140</v>
      </c>
      <c r="B633" t="s">
        <v>34</v>
      </c>
      <c r="C633" t="s">
        <v>296</v>
      </c>
      <c r="D633" t="s">
        <v>2141</v>
      </c>
      <c r="E633" t="s">
        <v>21</v>
      </c>
      <c r="F633" t="s">
        <v>2142</v>
      </c>
    </row>
    <row r="634" spans="1:6" hidden="1" x14ac:dyDescent="0.25">
      <c r="A634" t="s">
        <v>4197</v>
      </c>
      <c r="B634" t="s">
        <v>326</v>
      </c>
      <c r="C634" t="s">
        <v>400</v>
      </c>
      <c r="D634" t="s">
        <v>4198</v>
      </c>
      <c r="E634" t="s">
        <v>21</v>
      </c>
      <c r="F634" t="s">
        <v>4199</v>
      </c>
    </row>
    <row r="635" spans="1:6" hidden="1" x14ac:dyDescent="0.25">
      <c r="A635" t="s">
        <v>2143</v>
      </c>
      <c r="B635" t="s">
        <v>64</v>
      </c>
      <c r="C635" t="s">
        <v>296</v>
      </c>
      <c r="D635" t="s">
        <v>2144</v>
      </c>
      <c r="E635" t="s">
        <v>21</v>
      </c>
      <c r="F635" t="s">
        <v>2145</v>
      </c>
    </row>
    <row r="636" spans="1:6" hidden="1" x14ac:dyDescent="0.25">
      <c r="A636" t="s">
        <v>2146</v>
      </c>
      <c r="B636" t="s">
        <v>322</v>
      </c>
      <c r="C636" t="s">
        <v>296</v>
      </c>
      <c r="D636" t="s">
        <v>2147</v>
      </c>
      <c r="E636" t="s">
        <v>21</v>
      </c>
      <c r="F636" t="s">
        <v>2148</v>
      </c>
    </row>
    <row r="637" spans="1:6" hidden="1" x14ac:dyDescent="0.25">
      <c r="A637" t="s">
        <v>2149</v>
      </c>
      <c r="B637" t="s">
        <v>543</v>
      </c>
      <c r="C637" t="s">
        <v>296</v>
      </c>
      <c r="D637" t="s">
        <v>2150</v>
      </c>
      <c r="E637" t="s">
        <v>21</v>
      </c>
      <c r="F637" t="s">
        <v>2151</v>
      </c>
    </row>
    <row r="638" spans="1:6" hidden="1" x14ac:dyDescent="0.25">
      <c r="A638" t="s">
        <v>2152</v>
      </c>
      <c r="B638" t="s">
        <v>343</v>
      </c>
      <c r="C638" t="s">
        <v>296</v>
      </c>
      <c r="D638" t="s">
        <v>2153</v>
      </c>
      <c r="E638" t="s">
        <v>21</v>
      </c>
      <c r="F638" t="s">
        <v>2154</v>
      </c>
    </row>
    <row r="639" spans="1:6" hidden="1" x14ac:dyDescent="0.25">
      <c r="A639" t="s">
        <v>2155</v>
      </c>
      <c r="B639" t="s">
        <v>533</v>
      </c>
      <c r="C639" t="s">
        <v>296</v>
      </c>
      <c r="D639" t="s">
        <v>2156</v>
      </c>
      <c r="E639" t="s">
        <v>21</v>
      </c>
      <c r="F639" t="s">
        <v>2157</v>
      </c>
    </row>
    <row r="640" spans="1:6" hidden="1" x14ac:dyDescent="0.25">
      <c r="A640" t="s">
        <v>2158</v>
      </c>
      <c r="B640" t="s">
        <v>702</v>
      </c>
      <c r="C640" t="s">
        <v>1067</v>
      </c>
      <c r="D640" t="s">
        <v>2159</v>
      </c>
      <c r="E640" t="s">
        <v>21</v>
      </c>
      <c r="F640" t="s">
        <v>2160</v>
      </c>
    </row>
    <row r="641" spans="1:6" hidden="1" x14ac:dyDescent="0.25">
      <c r="A641" t="s">
        <v>2161</v>
      </c>
      <c r="B641" t="s">
        <v>702</v>
      </c>
      <c r="C641" t="s">
        <v>825</v>
      </c>
      <c r="D641" t="s">
        <v>2162</v>
      </c>
      <c r="E641" t="s">
        <v>21</v>
      </c>
      <c r="F641" t="s">
        <v>2163</v>
      </c>
    </row>
    <row r="642" spans="1:6" hidden="1" x14ac:dyDescent="0.25">
      <c r="A642" t="s">
        <v>278</v>
      </c>
      <c r="B642" t="s">
        <v>752</v>
      </c>
      <c r="C642" t="s">
        <v>296</v>
      </c>
      <c r="D642" t="s">
        <v>2164</v>
      </c>
      <c r="E642" t="s">
        <v>21</v>
      </c>
      <c r="F642" t="s">
        <v>2165</v>
      </c>
    </row>
    <row r="643" spans="1:6" hidden="1" x14ac:dyDescent="0.25">
      <c r="A643" t="s">
        <v>2166</v>
      </c>
      <c r="B643" t="s">
        <v>64</v>
      </c>
      <c r="C643" t="s">
        <v>296</v>
      </c>
      <c r="D643" t="s">
        <v>2167</v>
      </c>
      <c r="E643" t="s">
        <v>21</v>
      </c>
      <c r="F643" t="s">
        <v>2168</v>
      </c>
    </row>
    <row r="644" spans="1:6" hidden="1" x14ac:dyDescent="0.25">
      <c r="A644" t="s">
        <v>2169</v>
      </c>
      <c r="B644" t="s">
        <v>533</v>
      </c>
      <c r="C644" t="s">
        <v>296</v>
      </c>
      <c r="D644" t="s">
        <v>2170</v>
      </c>
      <c r="E644" t="s">
        <v>21</v>
      </c>
      <c r="F644" t="s">
        <v>2171</v>
      </c>
    </row>
    <row r="645" spans="1:6" hidden="1" x14ac:dyDescent="0.25">
      <c r="A645" t="s">
        <v>2172</v>
      </c>
      <c r="B645" t="s">
        <v>326</v>
      </c>
      <c r="C645" t="s">
        <v>296</v>
      </c>
      <c r="D645" t="s">
        <v>2173</v>
      </c>
      <c r="E645" t="s">
        <v>21</v>
      </c>
      <c r="F645" t="s">
        <v>2174</v>
      </c>
    </row>
    <row r="646" spans="1:6" hidden="1" x14ac:dyDescent="0.25">
      <c r="A646" t="s">
        <v>2175</v>
      </c>
      <c r="B646" t="s">
        <v>437</v>
      </c>
      <c r="C646" t="s">
        <v>2176</v>
      </c>
      <c r="D646" t="s">
        <v>2177</v>
      </c>
      <c r="E646" t="s">
        <v>21</v>
      </c>
      <c r="F646" t="s">
        <v>2178</v>
      </c>
    </row>
    <row r="647" spans="1:6" hidden="1" x14ac:dyDescent="0.25">
      <c r="A647" t="s">
        <v>2179</v>
      </c>
      <c r="B647" t="s">
        <v>51</v>
      </c>
      <c r="C647" t="s">
        <v>296</v>
      </c>
      <c r="D647" t="s">
        <v>2180</v>
      </c>
      <c r="E647" t="s">
        <v>21</v>
      </c>
      <c r="F647" t="s">
        <v>2181</v>
      </c>
    </row>
    <row r="648" spans="1:6" hidden="1" x14ac:dyDescent="0.25">
      <c r="A648" t="s">
        <v>2182</v>
      </c>
      <c r="B648" t="s">
        <v>748</v>
      </c>
      <c r="C648" t="s">
        <v>400</v>
      </c>
      <c r="D648" t="s">
        <v>2183</v>
      </c>
      <c r="E648" t="s">
        <v>21</v>
      </c>
      <c r="F648" t="s">
        <v>2184</v>
      </c>
    </row>
    <row r="649" spans="1:6" hidden="1" x14ac:dyDescent="0.25">
      <c r="A649" t="s">
        <v>209</v>
      </c>
      <c r="B649" t="s">
        <v>2185</v>
      </c>
      <c r="C649" t="s">
        <v>296</v>
      </c>
      <c r="D649" t="s">
        <v>210</v>
      </c>
      <c r="E649" t="s">
        <v>21</v>
      </c>
      <c r="F649" t="s">
        <v>214</v>
      </c>
    </row>
    <row r="650" spans="1:6" hidden="1" x14ac:dyDescent="0.25">
      <c r="A650" t="s">
        <v>2186</v>
      </c>
      <c r="B650" t="s">
        <v>64</v>
      </c>
      <c r="C650" t="s">
        <v>296</v>
      </c>
      <c r="D650" t="s">
        <v>2187</v>
      </c>
      <c r="E650" t="s">
        <v>21</v>
      </c>
      <c r="F650" t="s">
        <v>2188</v>
      </c>
    </row>
    <row r="651" spans="1:6" hidden="1" x14ac:dyDescent="0.25">
      <c r="A651" t="s">
        <v>2189</v>
      </c>
      <c r="B651" t="s">
        <v>410</v>
      </c>
      <c r="C651" t="s">
        <v>296</v>
      </c>
      <c r="D651" t="s">
        <v>2190</v>
      </c>
      <c r="E651" t="s">
        <v>21</v>
      </c>
      <c r="F651" t="s">
        <v>2191</v>
      </c>
    </row>
    <row r="652" spans="1:6" hidden="1" x14ac:dyDescent="0.25">
      <c r="A652" t="s">
        <v>2192</v>
      </c>
      <c r="B652" t="s">
        <v>89</v>
      </c>
      <c r="C652" t="s">
        <v>296</v>
      </c>
      <c r="D652" t="s">
        <v>2193</v>
      </c>
      <c r="E652" t="s">
        <v>21</v>
      </c>
      <c r="F652" t="s">
        <v>2194</v>
      </c>
    </row>
    <row r="653" spans="1:6" hidden="1" x14ac:dyDescent="0.25">
      <c r="A653" t="s">
        <v>2195</v>
      </c>
      <c r="B653" t="s">
        <v>437</v>
      </c>
      <c r="C653" t="s">
        <v>598</v>
      </c>
      <c r="D653" t="s">
        <v>2196</v>
      </c>
      <c r="E653" t="s">
        <v>21</v>
      </c>
      <c r="F653" t="s">
        <v>2197</v>
      </c>
    </row>
    <row r="654" spans="1:6" hidden="1" x14ac:dyDescent="0.25">
      <c r="A654" t="s">
        <v>2198</v>
      </c>
      <c r="B654" t="s">
        <v>64</v>
      </c>
      <c r="C654" t="s">
        <v>296</v>
      </c>
      <c r="D654" t="s">
        <v>2199</v>
      </c>
      <c r="E654" t="s">
        <v>21</v>
      </c>
      <c r="F654" t="s">
        <v>2200</v>
      </c>
    </row>
    <row r="655" spans="1:6" hidden="1" x14ac:dyDescent="0.25">
      <c r="A655" t="s">
        <v>2201</v>
      </c>
      <c r="B655" t="s">
        <v>160</v>
      </c>
      <c r="C655" t="s">
        <v>296</v>
      </c>
      <c r="D655" t="s">
        <v>2202</v>
      </c>
      <c r="E655" t="s">
        <v>21</v>
      </c>
      <c r="F655" t="s">
        <v>2203</v>
      </c>
    </row>
    <row r="656" spans="1:6" hidden="1" x14ac:dyDescent="0.25">
      <c r="A656" t="s">
        <v>2204</v>
      </c>
      <c r="B656" t="s">
        <v>64</v>
      </c>
      <c r="C656" t="s">
        <v>296</v>
      </c>
      <c r="D656" t="s">
        <v>2205</v>
      </c>
      <c r="E656" t="s">
        <v>21</v>
      </c>
      <c r="F656" t="s">
        <v>2206</v>
      </c>
    </row>
    <row r="657" spans="1:6" hidden="1" x14ac:dyDescent="0.25">
      <c r="A657" t="s">
        <v>2207</v>
      </c>
      <c r="B657" t="s">
        <v>702</v>
      </c>
      <c r="C657" t="s">
        <v>974</v>
      </c>
      <c r="D657" t="s">
        <v>2208</v>
      </c>
      <c r="E657" t="s">
        <v>21</v>
      </c>
      <c r="F657" t="s">
        <v>2209</v>
      </c>
    </row>
    <row r="658" spans="1:6" hidden="1" x14ac:dyDescent="0.25">
      <c r="A658" t="s">
        <v>2210</v>
      </c>
      <c r="B658" t="s">
        <v>121</v>
      </c>
      <c r="C658" t="s">
        <v>296</v>
      </c>
      <c r="D658" t="s">
        <v>2211</v>
      </c>
      <c r="E658" t="s">
        <v>21</v>
      </c>
      <c r="F658" t="s">
        <v>2212</v>
      </c>
    </row>
    <row r="659" spans="1:6" hidden="1" x14ac:dyDescent="0.25">
      <c r="A659" t="s">
        <v>2213</v>
      </c>
      <c r="B659" t="s">
        <v>454</v>
      </c>
      <c r="C659" t="s">
        <v>296</v>
      </c>
      <c r="D659" t="s">
        <v>2214</v>
      </c>
      <c r="E659" t="s">
        <v>21</v>
      </c>
      <c r="F659" t="s">
        <v>2215</v>
      </c>
    </row>
    <row r="660" spans="1:6" hidden="1" x14ac:dyDescent="0.25">
      <c r="A660" t="s">
        <v>2216</v>
      </c>
      <c r="B660" t="s">
        <v>51</v>
      </c>
      <c r="C660" t="s">
        <v>296</v>
      </c>
      <c r="D660" t="s">
        <v>2217</v>
      </c>
      <c r="E660" t="s">
        <v>21</v>
      </c>
      <c r="F660" t="s">
        <v>2218</v>
      </c>
    </row>
    <row r="661" spans="1:6" hidden="1" x14ac:dyDescent="0.25">
      <c r="A661" t="s">
        <v>2219</v>
      </c>
      <c r="B661" t="s">
        <v>427</v>
      </c>
      <c r="C661" t="s">
        <v>296</v>
      </c>
      <c r="D661" t="s">
        <v>2220</v>
      </c>
      <c r="E661" t="s">
        <v>21</v>
      </c>
      <c r="F661" t="s">
        <v>2221</v>
      </c>
    </row>
    <row r="662" spans="1:6" hidden="1" x14ac:dyDescent="0.25">
      <c r="A662" t="s">
        <v>2222</v>
      </c>
      <c r="B662" t="s">
        <v>197</v>
      </c>
      <c r="C662" t="s">
        <v>296</v>
      </c>
      <c r="D662" t="s">
        <v>2223</v>
      </c>
      <c r="E662" t="s">
        <v>21</v>
      </c>
      <c r="F662" t="s">
        <v>2224</v>
      </c>
    </row>
    <row r="663" spans="1:6" hidden="1" x14ac:dyDescent="0.25">
      <c r="A663" t="s">
        <v>2225</v>
      </c>
      <c r="B663" t="s">
        <v>89</v>
      </c>
      <c r="C663" t="s">
        <v>296</v>
      </c>
      <c r="D663" t="s">
        <v>2226</v>
      </c>
      <c r="E663" t="s">
        <v>21</v>
      </c>
      <c r="F663" t="s">
        <v>2227</v>
      </c>
    </row>
    <row r="664" spans="1:6" hidden="1" x14ac:dyDescent="0.25">
      <c r="A664" t="s">
        <v>2228</v>
      </c>
      <c r="B664" t="s">
        <v>2185</v>
      </c>
      <c r="C664" t="s">
        <v>296</v>
      </c>
      <c r="D664" t="s">
        <v>2229</v>
      </c>
      <c r="E664" t="s">
        <v>21</v>
      </c>
      <c r="F664" t="s">
        <v>2230</v>
      </c>
    </row>
    <row r="665" spans="1:6" hidden="1" x14ac:dyDescent="0.25">
      <c r="A665" t="s">
        <v>2231</v>
      </c>
      <c r="B665" t="s">
        <v>326</v>
      </c>
      <c r="C665" t="s">
        <v>296</v>
      </c>
      <c r="D665" t="s">
        <v>2232</v>
      </c>
      <c r="E665" t="s">
        <v>21</v>
      </c>
      <c r="F665" t="s">
        <v>2233</v>
      </c>
    </row>
    <row r="666" spans="1:6" hidden="1" x14ac:dyDescent="0.25">
      <c r="A666" t="s">
        <v>2234</v>
      </c>
      <c r="B666" t="s">
        <v>64</v>
      </c>
      <c r="C666" t="s">
        <v>296</v>
      </c>
      <c r="D666" t="s">
        <v>2235</v>
      </c>
      <c r="E666" t="s">
        <v>21</v>
      </c>
      <c r="F666" t="s">
        <v>2236</v>
      </c>
    </row>
    <row r="667" spans="1:6" hidden="1" x14ac:dyDescent="0.25">
      <c r="A667" t="s">
        <v>43</v>
      </c>
      <c r="B667" t="s">
        <v>41</v>
      </c>
      <c r="C667" t="s">
        <v>296</v>
      </c>
      <c r="D667" t="s">
        <v>44</v>
      </c>
      <c r="E667" t="s">
        <v>21</v>
      </c>
      <c r="F667" t="s">
        <v>45</v>
      </c>
    </row>
    <row r="668" spans="1:6" hidden="1" x14ac:dyDescent="0.25">
      <c r="A668" t="s">
        <v>2237</v>
      </c>
      <c r="B668" t="s">
        <v>51</v>
      </c>
      <c r="C668" t="s">
        <v>296</v>
      </c>
      <c r="D668" t="s">
        <v>2238</v>
      </c>
      <c r="E668" t="s">
        <v>21</v>
      </c>
      <c r="F668" t="s">
        <v>2239</v>
      </c>
    </row>
    <row r="669" spans="1:6" hidden="1" x14ac:dyDescent="0.25">
      <c r="A669" t="s">
        <v>2240</v>
      </c>
      <c r="B669" t="s">
        <v>78</v>
      </c>
      <c r="C669" t="s">
        <v>296</v>
      </c>
      <c r="D669" t="s">
        <v>2241</v>
      </c>
      <c r="E669" t="s">
        <v>21</v>
      </c>
      <c r="F669" t="s">
        <v>2242</v>
      </c>
    </row>
    <row r="670" spans="1:6" hidden="1" x14ac:dyDescent="0.25">
      <c r="A670" t="s">
        <v>2243</v>
      </c>
      <c r="B670" t="s">
        <v>51</v>
      </c>
      <c r="C670" t="s">
        <v>296</v>
      </c>
      <c r="D670" t="s">
        <v>2244</v>
      </c>
      <c r="E670" t="s">
        <v>21</v>
      </c>
      <c r="F670" t="s">
        <v>2245</v>
      </c>
    </row>
    <row r="671" spans="1:6" hidden="1" x14ac:dyDescent="0.25">
      <c r="A671" t="s">
        <v>2246</v>
      </c>
      <c r="B671" t="s">
        <v>64</v>
      </c>
      <c r="C671" t="s">
        <v>296</v>
      </c>
      <c r="D671" t="s">
        <v>2247</v>
      </c>
      <c r="E671" t="s">
        <v>21</v>
      </c>
      <c r="F671" t="s">
        <v>2248</v>
      </c>
    </row>
    <row r="672" spans="1:6" hidden="1" x14ac:dyDescent="0.25">
      <c r="A672" t="s">
        <v>2249</v>
      </c>
      <c r="B672" t="s">
        <v>121</v>
      </c>
      <c r="C672" t="s">
        <v>296</v>
      </c>
      <c r="D672" t="s">
        <v>2250</v>
      </c>
      <c r="E672" t="s">
        <v>21</v>
      </c>
      <c r="F672" t="s">
        <v>2251</v>
      </c>
    </row>
    <row r="673" spans="1:6" hidden="1" x14ac:dyDescent="0.25">
      <c r="A673" t="s">
        <v>2252</v>
      </c>
      <c r="B673" t="s">
        <v>621</v>
      </c>
      <c r="C673" t="s">
        <v>296</v>
      </c>
      <c r="D673" t="s">
        <v>2253</v>
      </c>
      <c r="E673" t="s">
        <v>21</v>
      </c>
      <c r="F673" t="s">
        <v>2254</v>
      </c>
    </row>
    <row r="674" spans="1:6" hidden="1" x14ac:dyDescent="0.25">
      <c r="A674" t="s">
        <v>2255</v>
      </c>
      <c r="B674" t="s">
        <v>82</v>
      </c>
      <c r="C674" t="s">
        <v>296</v>
      </c>
      <c r="D674" t="s">
        <v>2256</v>
      </c>
      <c r="E674" t="s">
        <v>21</v>
      </c>
      <c r="F674" t="s">
        <v>2257</v>
      </c>
    </row>
    <row r="675" spans="1:6" hidden="1" x14ac:dyDescent="0.25">
      <c r="A675" t="s">
        <v>126</v>
      </c>
      <c r="B675" t="s">
        <v>128</v>
      </c>
      <c r="C675" t="s">
        <v>296</v>
      </c>
      <c r="D675" t="s">
        <v>127</v>
      </c>
      <c r="E675" t="s">
        <v>21</v>
      </c>
      <c r="F675" t="s">
        <v>129</v>
      </c>
    </row>
    <row r="676" spans="1:6" hidden="1" x14ac:dyDescent="0.25">
      <c r="A676" t="s">
        <v>2258</v>
      </c>
      <c r="B676" t="s">
        <v>197</v>
      </c>
      <c r="C676" t="s">
        <v>296</v>
      </c>
      <c r="D676" t="s">
        <v>2259</v>
      </c>
      <c r="E676" t="s">
        <v>21</v>
      </c>
      <c r="F676" t="s">
        <v>2260</v>
      </c>
    </row>
    <row r="677" spans="1:6" hidden="1" x14ac:dyDescent="0.25">
      <c r="A677" t="s">
        <v>2261</v>
      </c>
      <c r="B677" t="s">
        <v>1370</v>
      </c>
      <c r="C677" t="s">
        <v>296</v>
      </c>
      <c r="D677" t="s">
        <v>2262</v>
      </c>
      <c r="E677" t="s">
        <v>21</v>
      </c>
      <c r="F677" t="s">
        <v>2263</v>
      </c>
    </row>
    <row r="678" spans="1:6" hidden="1" x14ac:dyDescent="0.25">
      <c r="A678" t="s">
        <v>2264</v>
      </c>
      <c r="B678" t="s">
        <v>702</v>
      </c>
      <c r="C678" t="s">
        <v>478</v>
      </c>
      <c r="D678" t="s">
        <v>2265</v>
      </c>
      <c r="E678" t="s">
        <v>21</v>
      </c>
      <c r="F678" t="s">
        <v>2266</v>
      </c>
    </row>
    <row r="679" spans="1:6" hidden="1" x14ac:dyDescent="0.25">
      <c r="A679" t="s">
        <v>2267</v>
      </c>
      <c r="B679" t="s">
        <v>64</v>
      </c>
      <c r="C679" t="s">
        <v>296</v>
      </c>
      <c r="D679" t="s">
        <v>2268</v>
      </c>
      <c r="E679" t="s">
        <v>21</v>
      </c>
      <c r="F679" t="s">
        <v>2269</v>
      </c>
    </row>
    <row r="680" spans="1:6" hidden="1" x14ac:dyDescent="0.25">
      <c r="A680" t="s">
        <v>2270</v>
      </c>
      <c r="B680" t="s">
        <v>211</v>
      </c>
      <c r="C680" t="s">
        <v>296</v>
      </c>
      <c r="D680" t="s">
        <v>2271</v>
      </c>
      <c r="E680" t="s">
        <v>21</v>
      </c>
      <c r="F680" t="s">
        <v>2272</v>
      </c>
    </row>
    <row r="681" spans="1:6" hidden="1" x14ac:dyDescent="0.25">
      <c r="A681" t="s">
        <v>2273</v>
      </c>
      <c r="B681" t="s">
        <v>437</v>
      </c>
      <c r="C681" t="s">
        <v>480</v>
      </c>
      <c r="D681" t="s">
        <v>2274</v>
      </c>
      <c r="E681" t="s">
        <v>21</v>
      </c>
      <c r="F681" t="s">
        <v>2275</v>
      </c>
    </row>
    <row r="682" spans="1:6" hidden="1" x14ac:dyDescent="0.25">
      <c r="A682" t="s">
        <v>2276</v>
      </c>
      <c r="B682" t="s">
        <v>128</v>
      </c>
      <c r="C682" t="s">
        <v>296</v>
      </c>
      <c r="D682" t="s">
        <v>2277</v>
      </c>
      <c r="E682" t="s">
        <v>21</v>
      </c>
      <c r="F682" t="s">
        <v>2278</v>
      </c>
    </row>
    <row r="683" spans="1:6" hidden="1" x14ac:dyDescent="0.25">
      <c r="A683" t="s">
        <v>2279</v>
      </c>
      <c r="B683" t="s">
        <v>211</v>
      </c>
      <c r="C683" t="s">
        <v>296</v>
      </c>
      <c r="D683" t="s">
        <v>2280</v>
      </c>
      <c r="E683" t="s">
        <v>21</v>
      </c>
      <c r="F683" t="s">
        <v>2281</v>
      </c>
    </row>
    <row r="684" spans="1:6" hidden="1" x14ac:dyDescent="0.25">
      <c r="A684" t="s">
        <v>2282</v>
      </c>
      <c r="B684" t="s">
        <v>41</v>
      </c>
      <c r="C684" t="s">
        <v>296</v>
      </c>
      <c r="D684" t="s">
        <v>2283</v>
      </c>
      <c r="E684" t="s">
        <v>21</v>
      </c>
      <c r="F684" t="s">
        <v>2284</v>
      </c>
    </row>
    <row r="685" spans="1:6" hidden="1" x14ac:dyDescent="0.25">
      <c r="A685" t="s">
        <v>2285</v>
      </c>
      <c r="B685" t="s">
        <v>1370</v>
      </c>
      <c r="C685" t="s">
        <v>296</v>
      </c>
      <c r="D685" t="s">
        <v>2286</v>
      </c>
      <c r="E685" t="s">
        <v>21</v>
      </c>
      <c r="F685" t="s">
        <v>2287</v>
      </c>
    </row>
    <row r="686" spans="1:6" hidden="1" x14ac:dyDescent="0.25">
      <c r="A686" t="s">
        <v>230</v>
      </c>
      <c r="B686" t="s">
        <v>386</v>
      </c>
      <c r="C686" t="s">
        <v>387</v>
      </c>
      <c r="D686" t="s">
        <v>231</v>
      </c>
      <c r="E686" t="s">
        <v>21</v>
      </c>
      <c r="F686" t="s">
        <v>233</v>
      </c>
    </row>
    <row r="687" spans="1:6" hidden="1" x14ac:dyDescent="0.25">
      <c r="A687" t="s">
        <v>2288</v>
      </c>
      <c r="B687" t="s">
        <v>82</v>
      </c>
      <c r="C687" t="s">
        <v>296</v>
      </c>
      <c r="D687" t="s">
        <v>2289</v>
      </c>
      <c r="E687" t="s">
        <v>21</v>
      </c>
      <c r="F687" t="s">
        <v>2290</v>
      </c>
    </row>
    <row r="688" spans="1:6" hidden="1" x14ac:dyDescent="0.25">
      <c r="A688" t="s">
        <v>2291</v>
      </c>
      <c r="B688" t="s">
        <v>356</v>
      </c>
      <c r="C688" t="s">
        <v>296</v>
      </c>
      <c r="D688" t="s">
        <v>2292</v>
      </c>
      <c r="E688" t="s">
        <v>21</v>
      </c>
      <c r="F688" t="s">
        <v>2293</v>
      </c>
    </row>
    <row r="689" spans="1:6" hidden="1" x14ac:dyDescent="0.25">
      <c r="A689" t="s">
        <v>2294</v>
      </c>
      <c r="B689" t="s">
        <v>15</v>
      </c>
      <c r="C689" t="s">
        <v>296</v>
      </c>
      <c r="D689" t="s">
        <v>2295</v>
      </c>
      <c r="E689" t="s">
        <v>21</v>
      </c>
      <c r="F689" t="s">
        <v>2296</v>
      </c>
    </row>
    <row r="690" spans="1:6" hidden="1" x14ac:dyDescent="0.25">
      <c r="A690" t="s">
        <v>2297</v>
      </c>
      <c r="B690" t="s">
        <v>410</v>
      </c>
      <c r="C690" t="s">
        <v>296</v>
      </c>
      <c r="D690" t="s">
        <v>2298</v>
      </c>
      <c r="E690" t="s">
        <v>21</v>
      </c>
      <c r="F690" t="s">
        <v>2299</v>
      </c>
    </row>
    <row r="691" spans="1:6" hidden="1" x14ac:dyDescent="0.25">
      <c r="A691" t="s">
        <v>2300</v>
      </c>
      <c r="B691" t="s">
        <v>142</v>
      </c>
      <c r="C691" t="s">
        <v>296</v>
      </c>
      <c r="D691" t="s">
        <v>2301</v>
      </c>
      <c r="E691" t="s">
        <v>21</v>
      </c>
      <c r="F691" t="s">
        <v>2302</v>
      </c>
    </row>
    <row r="692" spans="1:6" hidden="1" x14ac:dyDescent="0.25">
      <c r="A692" t="s">
        <v>2303</v>
      </c>
      <c r="B692" t="s">
        <v>64</v>
      </c>
      <c r="C692" t="s">
        <v>296</v>
      </c>
      <c r="D692" t="s">
        <v>2304</v>
      </c>
      <c r="E692" t="s">
        <v>21</v>
      </c>
      <c r="F692" t="s">
        <v>2305</v>
      </c>
    </row>
    <row r="693" spans="1:6" hidden="1" x14ac:dyDescent="0.25">
      <c r="A693" t="s">
        <v>2306</v>
      </c>
      <c r="B693" t="s">
        <v>437</v>
      </c>
      <c r="C693" t="s">
        <v>480</v>
      </c>
      <c r="D693" t="s">
        <v>2307</v>
      </c>
      <c r="E693" t="s">
        <v>21</v>
      </c>
      <c r="F693" t="s">
        <v>2308</v>
      </c>
    </row>
    <row r="694" spans="1:6" hidden="1" x14ac:dyDescent="0.25">
      <c r="A694" t="s">
        <v>2309</v>
      </c>
      <c r="B694" t="s">
        <v>420</v>
      </c>
      <c r="C694" t="s">
        <v>296</v>
      </c>
      <c r="D694" t="s">
        <v>2310</v>
      </c>
      <c r="E694" t="s">
        <v>21</v>
      </c>
      <c r="F694" t="s">
        <v>2311</v>
      </c>
    </row>
    <row r="695" spans="1:6" hidden="1" x14ac:dyDescent="0.25">
      <c r="A695" t="s">
        <v>2312</v>
      </c>
      <c r="B695" t="s">
        <v>128</v>
      </c>
      <c r="C695" t="s">
        <v>296</v>
      </c>
      <c r="D695" t="s">
        <v>2313</v>
      </c>
      <c r="E695" t="s">
        <v>21</v>
      </c>
      <c r="F695" t="s">
        <v>2314</v>
      </c>
    </row>
    <row r="696" spans="1:6" hidden="1" x14ac:dyDescent="0.25">
      <c r="A696" t="s">
        <v>2315</v>
      </c>
      <c r="B696" t="s">
        <v>82</v>
      </c>
      <c r="C696" t="s">
        <v>296</v>
      </c>
      <c r="D696" t="s">
        <v>2316</v>
      </c>
      <c r="E696" t="s">
        <v>21</v>
      </c>
      <c r="F696" t="s">
        <v>2317</v>
      </c>
    </row>
    <row r="697" spans="1:6" hidden="1" x14ac:dyDescent="0.25">
      <c r="A697" t="s">
        <v>2318</v>
      </c>
      <c r="B697" t="s">
        <v>326</v>
      </c>
      <c r="C697" t="s">
        <v>296</v>
      </c>
      <c r="D697" t="s">
        <v>2319</v>
      </c>
      <c r="E697" t="s">
        <v>21</v>
      </c>
      <c r="F697" t="s">
        <v>2320</v>
      </c>
    </row>
    <row r="698" spans="1:6" hidden="1" x14ac:dyDescent="0.25">
      <c r="A698" t="s">
        <v>2321</v>
      </c>
      <c r="B698" t="s">
        <v>51</v>
      </c>
      <c r="C698" t="s">
        <v>296</v>
      </c>
      <c r="D698" t="s">
        <v>2322</v>
      </c>
      <c r="E698" t="s">
        <v>21</v>
      </c>
      <c r="F698" t="s">
        <v>2323</v>
      </c>
    </row>
    <row r="699" spans="1:6" hidden="1" x14ac:dyDescent="0.25">
      <c r="A699" t="s">
        <v>2324</v>
      </c>
      <c r="B699" t="s">
        <v>128</v>
      </c>
      <c r="C699" t="s">
        <v>296</v>
      </c>
      <c r="D699" t="s">
        <v>2325</v>
      </c>
      <c r="E699" t="s">
        <v>21</v>
      </c>
      <c r="F699" t="s">
        <v>2326</v>
      </c>
    </row>
    <row r="700" spans="1:6" hidden="1" x14ac:dyDescent="0.25">
      <c r="A700" t="s">
        <v>2327</v>
      </c>
      <c r="B700" t="s">
        <v>211</v>
      </c>
      <c r="C700" t="s">
        <v>296</v>
      </c>
      <c r="D700" t="s">
        <v>2328</v>
      </c>
      <c r="E700" t="s">
        <v>21</v>
      </c>
      <c r="F700" t="s">
        <v>2329</v>
      </c>
    </row>
    <row r="701" spans="1:6" hidden="1" x14ac:dyDescent="0.25">
      <c r="A701" t="s">
        <v>2330</v>
      </c>
      <c r="B701" t="s">
        <v>197</v>
      </c>
      <c r="C701" t="s">
        <v>296</v>
      </c>
      <c r="D701" t="s">
        <v>2331</v>
      </c>
      <c r="E701" t="s">
        <v>21</v>
      </c>
      <c r="F701" t="s">
        <v>2332</v>
      </c>
    </row>
    <row r="702" spans="1:6" hidden="1" x14ac:dyDescent="0.25">
      <c r="A702" t="s">
        <v>276</v>
      </c>
      <c r="B702" t="s">
        <v>34</v>
      </c>
      <c r="C702" t="s">
        <v>296</v>
      </c>
      <c r="D702" t="s">
        <v>2333</v>
      </c>
      <c r="E702" t="s">
        <v>21</v>
      </c>
      <c r="F702" t="s">
        <v>2334</v>
      </c>
    </row>
    <row r="703" spans="1:6" hidden="1" x14ac:dyDescent="0.25">
      <c r="A703" t="s">
        <v>2335</v>
      </c>
      <c r="B703" t="s">
        <v>343</v>
      </c>
      <c r="C703" t="s">
        <v>296</v>
      </c>
      <c r="D703" t="s">
        <v>2336</v>
      </c>
      <c r="E703" t="s">
        <v>21</v>
      </c>
      <c r="F703" t="s">
        <v>2337</v>
      </c>
    </row>
    <row r="704" spans="1:6" hidden="1" x14ac:dyDescent="0.25">
      <c r="A704" t="s">
        <v>2338</v>
      </c>
      <c r="B704" t="s">
        <v>2019</v>
      </c>
      <c r="C704" t="s">
        <v>296</v>
      </c>
      <c r="D704" t="s">
        <v>2339</v>
      </c>
      <c r="E704" t="s">
        <v>21</v>
      </c>
      <c r="F704" t="s">
        <v>2340</v>
      </c>
    </row>
    <row r="705" spans="1:6" hidden="1" x14ac:dyDescent="0.25">
      <c r="A705" t="s">
        <v>272</v>
      </c>
      <c r="B705" t="s">
        <v>454</v>
      </c>
      <c r="C705" t="s">
        <v>296</v>
      </c>
      <c r="D705" t="s">
        <v>2341</v>
      </c>
      <c r="E705" t="s">
        <v>21</v>
      </c>
      <c r="F705" t="s">
        <v>2342</v>
      </c>
    </row>
    <row r="706" spans="1:6" hidden="1" x14ac:dyDescent="0.25">
      <c r="A706" t="s">
        <v>2343</v>
      </c>
      <c r="B706" t="s">
        <v>326</v>
      </c>
      <c r="C706" t="s">
        <v>296</v>
      </c>
      <c r="D706" t="s">
        <v>2344</v>
      </c>
      <c r="E706" t="s">
        <v>21</v>
      </c>
      <c r="F706" t="s">
        <v>2345</v>
      </c>
    </row>
    <row r="707" spans="1:6" hidden="1" x14ac:dyDescent="0.25">
      <c r="A707" t="s">
        <v>2346</v>
      </c>
      <c r="B707" t="s">
        <v>78</v>
      </c>
      <c r="C707" t="s">
        <v>296</v>
      </c>
      <c r="D707" t="s">
        <v>2347</v>
      </c>
      <c r="E707" t="s">
        <v>21</v>
      </c>
      <c r="F707" t="s">
        <v>2348</v>
      </c>
    </row>
    <row r="708" spans="1:6" hidden="1" x14ac:dyDescent="0.25">
      <c r="A708" t="s">
        <v>2349</v>
      </c>
      <c r="B708" t="s">
        <v>621</v>
      </c>
      <c r="C708" t="s">
        <v>296</v>
      </c>
      <c r="D708" t="s">
        <v>2350</v>
      </c>
      <c r="E708" t="s">
        <v>21</v>
      </c>
      <c r="F708" t="s">
        <v>2351</v>
      </c>
    </row>
    <row r="709" spans="1:6" hidden="1" x14ac:dyDescent="0.25">
      <c r="A709" t="s">
        <v>2352</v>
      </c>
      <c r="B709" t="s">
        <v>34</v>
      </c>
      <c r="C709" t="s">
        <v>296</v>
      </c>
      <c r="D709" t="s">
        <v>2353</v>
      </c>
      <c r="E709" t="s">
        <v>21</v>
      </c>
      <c r="F709" t="s">
        <v>2354</v>
      </c>
    </row>
    <row r="710" spans="1:6" hidden="1" x14ac:dyDescent="0.25">
      <c r="A710" t="s">
        <v>2355</v>
      </c>
      <c r="B710" t="s">
        <v>153</v>
      </c>
      <c r="C710" t="s">
        <v>296</v>
      </c>
      <c r="D710" t="s">
        <v>2356</v>
      </c>
      <c r="E710" t="s">
        <v>21</v>
      </c>
      <c r="F710" t="s">
        <v>2357</v>
      </c>
    </row>
    <row r="711" spans="1:6" hidden="1" x14ac:dyDescent="0.25">
      <c r="A711" t="s">
        <v>2358</v>
      </c>
      <c r="B711" t="s">
        <v>41</v>
      </c>
      <c r="C711" t="s">
        <v>296</v>
      </c>
      <c r="D711" t="s">
        <v>2359</v>
      </c>
      <c r="E711" t="s">
        <v>21</v>
      </c>
      <c r="F711" t="s">
        <v>2360</v>
      </c>
    </row>
    <row r="712" spans="1:6" hidden="1" x14ac:dyDescent="0.25">
      <c r="A712" t="s">
        <v>277</v>
      </c>
      <c r="B712" t="s">
        <v>2361</v>
      </c>
      <c r="C712" t="s">
        <v>296</v>
      </c>
      <c r="D712" t="s">
        <v>2362</v>
      </c>
      <c r="E712" t="s">
        <v>21</v>
      </c>
      <c r="F712" t="s">
        <v>2363</v>
      </c>
    </row>
    <row r="713" spans="1:6" hidden="1" x14ac:dyDescent="0.25">
      <c r="A713" t="s">
        <v>2364</v>
      </c>
      <c r="B713" t="s">
        <v>533</v>
      </c>
      <c r="C713" t="s">
        <v>296</v>
      </c>
      <c r="D713" t="s">
        <v>2365</v>
      </c>
      <c r="E713" t="s">
        <v>21</v>
      </c>
      <c r="F713" t="s">
        <v>2366</v>
      </c>
    </row>
    <row r="714" spans="1:6" hidden="1" x14ac:dyDescent="0.25">
      <c r="A714" t="s">
        <v>2367</v>
      </c>
      <c r="B714" t="s">
        <v>51</v>
      </c>
      <c r="C714" t="s">
        <v>296</v>
      </c>
      <c r="D714" t="s">
        <v>2368</v>
      </c>
      <c r="E714" t="s">
        <v>21</v>
      </c>
      <c r="F714" t="s">
        <v>2369</v>
      </c>
    </row>
    <row r="715" spans="1:6" hidden="1" x14ac:dyDescent="0.25">
      <c r="A715" t="s">
        <v>2370</v>
      </c>
      <c r="B715" t="s">
        <v>343</v>
      </c>
      <c r="C715" t="s">
        <v>296</v>
      </c>
      <c r="D715" t="s">
        <v>2371</v>
      </c>
      <c r="E715" t="s">
        <v>21</v>
      </c>
      <c r="F715" t="s">
        <v>2372</v>
      </c>
    </row>
    <row r="716" spans="1:6" hidden="1" x14ac:dyDescent="0.25">
      <c r="A716" t="s">
        <v>2373</v>
      </c>
      <c r="B716" t="s">
        <v>343</v>
      </c>
      <c r="C716" t="s">
        <v>296</v>
      </c>
      <c r="D716" t="s">
        <v>2374</v>
      </c>
      <c r="E716" t="s">
        <v>21</v>
      </c>
      <c r="F716" t="s">
        <v>2375</v>
      </c>
    </row>
    <row r="717" spans="1:6" hidden="1" x14ac:dyDescent="0.25">
      <c r="A717" t="s">
        <v>2376</v>
      </c>
      <c r="B717" t="s">
        <v>702</v>
      </c>
      <c r="C717" t="s">
        <v>974</v>
      </c>
      <c r="D717" t="s">
        <v>2377</v>
      </c>
      <c r="E717" t="s">
        <v>21</v>
      </c>
      <c r="F717" t="s">
        <v>2378</v>
      </c>
    </row>
    <row r="718" spans="1:6" hidden="1" x14ac:dyDescent="0.25">
      <c r="A718" t="s">
        <v>2379</v>
      </c>
      <c r="B718" t="s">
        <v>752</v>
      </c>
      <c r="C718" t="s">
        <v>296</v>
      </c>
      <c r="D718" t="s">
        <v>2380</v>
      </c>
      <c r="E718" t="s">
        <v>21</v>
      </c>
      <c r="F718" t="s">
        <v>2381</v>
      </c>
    </row>
    <row r="719" spans="1:6" hidden="1" x14ac:dyDescent="0.25">
      <c r="A719" t="s">
        <v>2382</v>
      </c>
      <c r="B719" t="s">
        <v>343</v>
      </c>
      <c r="C719" t="s">
        <v>296</v>
      </c>
      <c r="D719" t="s">
        <v>2383</v>
      </c>
      <c r="E719" t="s">
        <v>21</v>
      </c>
      <c r="F719" t="s">
        <v>2384</v>
      </c>
    </row>
    <row r="720" spans="1:6" hidden="1" x14ac:dyDescent="0.25">
      <c r="A720" t="s">
        <v>2385</v>
      </c>
      <c r="B720" t="s">
        <v>437</v>
      </c>
      <c r="C720" t="s">
        <v>480</v>
      </c>
      <c r="D720" t="s">
        <v>2386</v>
      </c>
      <c r="E720" t="s">
        <v>21</v>
      </c>
      <c r="F720" t="s">
        <v>2387</v>
      </c>
    </row>
    <row r="721" spans="1:6" hidden="1" x14ac:dyDescent="0.25">
      <c r="A721" t="s">
        <v>2388</v>
      </c>
      <c r="B721" t="s">
        <v>702</v>
      </c>
      <c r="C721" t="s">
        <v>825</v>
      </c>
      <c r="D721" t="s">
        <v>2389</v>
      </c>
      <c r="E721" t="s">
        <v>21</v>
      </c>
      <c r="F721" t="s">
        <v>2390</v>
      </c>
    </row>
    <row r="722" spans="1:6" hidden="1" x14ac:dyDescent="0.25">
      <c r="A722" t="s">
        <v>2391</v>
      </c>
      <c r="B722" t="s">
        <v>543</v>
      </c>
      <c r="C722" t="s">
        <v>296</v>
      </c>
      <c r="D722" t="s">
        <v>2392</v>
      </c>
      <c r="E722" t="s">
        <v>21</v>
      </c>
      <c r="F722" t="s">
        <v>2393</v>
      </c>
    </row>
    <row r="723" spans="1:6" hidden="1" x14ac:dyDescent="0.25">
      <c r="A723" t="s">
        <v>4193</v>
      </c>
      <c r="B723" t="s">
        <v>51</v>
      </c>
      <c r="C723" t="s">
        <v>400</v>
      </c>
      <c r="D723" t="s">
        <v>4194</v>
      </c>
      <c r="E723" t="s">
        <v>21</v>
      </c>
      <c r="F723" t="s">
        <v>4195</v>
      </c>
    </row>
    <row r="724" spans="1:6" hidden="1" x14ac:dyDescent="0.25">
      <c r="A724" t="s">
        <v>2394</v>
      </c>
      <c r="B724" t="s">
        <v>41</v>
      </c>
      <c r="C724" t="s">
        <v>296</v>
      </c>
      <c r="D724" t="s">
        <v>2395</v>
      </c>
      <c r="E724" t="s">
        <v>21</v>
      </c>
      <c r="F724" t="s">
        <v>2396</v>
      </c>
    </row>
    <row r="725" spans="1:6" hidden="1" x14ac:dyDescent="0.25">
      <c r="A725" t="s">
        <v>2397</v>
      </c>
      <c r="B725" t="s">
        <v>29</v>
      </c>
      <c r="C725" t="s">
        <v>387</v>
      </c>
      <c r="D725" t="s">
        <v>2398</v>
      </c>
      <c r="E725" t="s">
        <v>21</v>
      </c>
      <c r="F725" t="s">
        <v>2399</v>
      </c>
    </row>
    <row r="726" spans="1:6" hidden="1" x14ac:dyDescent="0.25">
      <c r="A726" t="s">
        <v>2400</v>
      </c>
      <c r="B726" t="s">
        <v>702</v>
      </c>
      <c r="C726" t="s">
        <v>1067</v>
      </c>
      <c r="D726" t="s">
        <v>2401</v>
      </c>
      <c r="E726" t="s">
        <v>21</v>
      </c>
      <c r="F726" t="s">
        <v>2402</v>
      </c>
    </row>
    <row r="727" spans="1:6" hidden="1" x14ac:dyDescent="0.25">
      <c r="A727" t="s">
        <v>2403</v>
      </c>
      <c r="B727" t="s">
        <v>2404</v>
      </c>
      <c r="C727" t="s">
        <v>296</v>
      </c>
      <c r="D727" t="s">
        <v>2405</v>
      </c>
      <c r="E727" t="s">
        <v>21</v>
      </c>
      <c r="F727" t="s">
        <v>2406</v>
      </c>
    </row>
    <row r="728" spans="1:6" hidden="1" x14ac:dyDescent="0.25">
      <c r="A728" t="s">
        <v>2407</v>
      </c>
      <c r="B728" t="s">
        <v>197</v>
      </c>
      <c r="C728" t="s">
        <v>296</v>
      </c>
      <c r="D728" t="s">
        <v>2408</v>
      </c>
      <c r="E728" t="s">
        <v>21</v>
      </c>
      <c r="F728" t="s">
        <v>2409</v>
      </c>
    </row>
    <row r="729" spans="1:6" hidden="1" x14ac:dyDescent="0.25">
      <c r="A729" t="s">
        <v>281</v>
      </c>
      <c r="B729" t="s">
        <v>41</v>
      </c>
      <c r="C729" t="s">
        <v>296</v>
      </c>
      <c r="D729" t="s">
        <v>2410</v>
      </c>
      <c r="E729" t="s">
        <v>21</v>
      </c>
      <c r="F729" t="s">
        <v>2411</v>
      </c>
    </row>
    <row r="730" spans="1:6" hidden="1" x14ac:dyDescent="0.25">
      <c r="A730" t="s">
        <v>2412</v>
      </c>
      <c r="B730" t="s">
        <v>702</v>
      </c>
      <c r="C730" t="s">
        <v>1067</v>
      </c>
      <c r="D730" t="s">
        <v>2413</v>
      </c>
      <c r="E730" t="s">
        <v>21</v>
      </c>
      <c r="F730" t="s">
        <v>2414</v>
      </c>
    </row>
    <row r="731" spans="1:6" hidden="1" x14ac:dyDescent="0.25">
      <c r="A731" t="s">
        <v>2415</v>
      </c>
      <c r="B731" t="s">
        <v>514</v>
      </c>
      <c r="C731" t="s">
        <v>2416</v>
      </c>
      <c r="D731" t="s">
        <v>2417</v>
      </c>
      <c r="E731" t="s">
        <v>21</v>
      </c>
      <c r="F731" t="s">
        <v>2418</v>
      </c>
    </row>
    <row r="732" spans="1:6" hidden="1" x14ac:dyDescent="0.25">
      <c r="A732" t="s">
        <v>2419</v>
      </c>
      <c r="B732" t="s">
        <v>326</v>
      </c>
      <c r="C732" t="s">
        <v>296</v>
      </c>
      <c r="D732" t="s">
        <v>2420</v>
      </c>
      <c r="E732" t="s">
        <v>21</v>
      </c>
      <c r="F732" t="s">
        <v>2421</v>
      </c>
    </row>
    <row r="733" spans="1:6" hidden="1" x14ac:dyDescent="0.25">
      <c r="A733" t="s">
        <v>58</v>
      </c>
      <c r="B733" t="s">
        <v>78</v>
      </c>
      <c r="C733" t="s">
        <v>296</v>
      </c>
      <c r="D733" t="s">
        <v>59</v>
      </c>
      <c r="E733" t="s">
        <v>21</v>
      </c>
      <c r="F733" t="s">
        <v>61</v>
      </c>
    </row>
    <row r="734" spans="1:6" hidden="1" x14ac:dyDescent="0.25">
      <c r="A734" t="s">
        <v>2422</v>
      </c>
      <c r="B734" t="s">
        <v>326</v>
      </c>
      <c r="C734" t="s">
        <v>296</v>
      </c>
      <c r="D734" t="s">
        <v>2423</v>
      </c>
      <c r="E734" t="s">
        <v>21</v>
      </c>
      <c r="F734" t="s">
        <v>2424</v>
      </c>
    </row>
    <row r="735" spans="1:6" hidden="1" x14ac:dyDescent="0.25">
      <c r="A735" t="s">
        <v>2425</v>
      </c>
      <c r="B735" t="s">
        <v>132</v>
      </c>
      <c r="C735" t="s">
        <v>296</v>
      </c>
      <c r="D735" t="s">
        <v>2426</v>
      </c>
      <c r="E735" t="s">
        <v>21</v>
      </c>
      <c r="F735" t="s">
        <v>2427</v>
      </c>
    </row>
    <row r="736" spans="1:6" hidden="1" x14ac:dyDescent="0.25">
      <c r="A736" t="s">
        <v>2428</v>
      </c>
      <c r="B736" t="s">
        <v>454</v>
      </c>
      <c r="C736" t="s">
        <v>400</v>
      </c>
      <c r="D736" t="s">
        <v>2429</v>
      </c>
      <c r="E736" t="s">
        <v>21</v>
      </c>
      <c r="F736" t="s">
        <v>2430</v>
      </c>
    </row>
    <row r="737" spans="1:6" hidden="1" x14ac:dyDescent="0.25">
      <c r="A737" t="s">
        <v>2431</v>
      </c>
      <c r="B737" t="s">
        <v>343</v>
      </c>
      <c r="C737" t="s">
        <v>296</v>
      </c>
      <c r="D737" t="s">
        <v>2432</v>
      </c>
      <c r="E737" t="s">
        <v>21</v>
      </c>
      <c r="F737" t="s">
        <v>2433</v>
      </c>
    </row>
    <row r="738" spans="1:6" hidden="1" x14ac:dyDescent="0.25">
      <c r="A738" t="s">
        <v>2434</v>
      </c>
      <c r="B738" t="s">
        <v>41</v>
      </c>
      <c r="C738" t="s">
        <v>296</v>
      </c>
      <c r="D738" t="s">
        <v>2435</v>
      </c>
      <c r="E738" t="s">
        <v>21</v>
      </c>
      <c r="F738" t="s">
        <v>2436</v>
      </c>
    </row>
    <row r="739" spans="1:6" hidden="1" x14ac:dyDescent="0.25">
      <c r="A739" t="s">
        <v>2437</v>
      </c>
      <c r="B739" t="s">
        <v>1370</v>
      </c>
      <c r="C739" t="s">
        <v>296</v>
      </c>
      <c r="D739" t="s">
        <v>2438</v>
      </c>
      <c r="E739" t="s">
        <v>21</v>
      </c>
      <c r="F739" t="s">
        <v>2439</v>
      </c>
    </row>
    <row r="740" spans="1:6" hidden="1" x14ac:dyDescent="0.25">
      <c r="A740" t="s">
        <v>2440</v>
      </c>
      <c r="B740" t="s">
        <v>211</v>
      </c>
      <c r="C740" t="s">
        <v>296</v>
      </c>
      <c r="D740" t="s">
        <v>2441</v>
      </c>
      <c r="E740" t="s">
        <v>21</v>
      </c>
      <c r="F740" t="s">
        <v>2442</v>
      </c>
    </row>
    <row r="741" spans="1:6" hidden="1" x14ac:dyDescent="0.25">
      <c r="A741" t="s">
        <v>2443</v>
      </c>
      <c r="B741" t="s">
        <v>702</v>
      </c>
      <c r="C741" t="s">
        <v>478</v>
      </c>
      <c r="D741" t="s">
        <v>2444</v>
      </c>
      <c r="E741" t="s">
        <v>21</v>
      </c>
      <c r="F741" t="s">
        <v>2445</v>
      </c>
    </row>
    <row r="742" spans="1:6" hidden="1" x14ac:dyDescent="0.25">
      <c r="A742" t="s">
        <v>178</v>
      </c>
      <c r="B742" t="s">
        <v>386</v>
      </c>
      <c r="C742" t="s">
        <v>387</v>
      </c>
      <c r="D742" t="s">
        <v>179</v>
      </c>
      <c r="E742" t="s">
        <v>21</v>
      </c>
      <c r="F742" t="s">
        <v>181</v>
      </c>
    </row>
    <row r="743" spans="1:6" hidden="1" x14ac:dyDescent="0.25">
      <c r="A743" t="s">
        <v>2446</v>
      </c>
      <c r="B743" t="s">
        <v>197</v>
      </c>
      <c r="C743" t="s">
        <v>296</v>
      </c>
      <c r="D743" t="s">
        <v>2447</v>
      </c>
      <c r="E743" t="s">
        <v>21</v>
      </c>
      <c r="F743" t="s">
        <v>2448</v>
      </c>
    </row>
    <row r="744" spans="1:6" hidden="1" x14ac:dyDescent="0.25">
      <c r="A744" t="s">
        <v>2449</v>
      </c>
      <c r="B744" t="s">
        <v>326</v>
      </c>
      <c r="C744" t="s">
        <v>296</v>
      </c>
      <c r="D744" t="s">
        <v>2450</v>
      </c>
      <c r="E744" t="s">
        <v>21</v>
      </c>
      <c r="F744" t="s">
        <v>2451</v>
      </c>
    </row>
    <row r="745" spans="1:6" hidden="1" x14ac:dyDescent="0.25">
      <c r="A745" t="s">
        <v>279</v>
      </c>
      <c r="B745" t="s">
        <v>142</v>
      </c>
      <c r="C745" t="s">
        <v>296</v>
      </c>
      <c r="D745" t="s">
        <v>2452</v>
      </c>
      <c r="E745" t="s">
        <v>21</v>
      </c>
      <c r="F745" t="s">
        <v>2453</v>
      </c>
    </row>
    <row r="746" spans="1:6" hidden="1" x14ac:dyDescent="0.25">
      <c r="A746" t="s">
        <v>2454</v>
      </c>
      <c r="B746" t="s">
        <v>702</v>
      </c>
      <c r="C746" t="s">
        <v>825</v>
      </c>
      <c r="D746" t="s">
        <v>2455</v>
      </c>
      <c r="E746" t="s">
        <v>21</v>
      </c>
      <c r="F746" t="s">
        <v>2456</v>
      </c>
    </row>
    <row r="747" spans="1:6" hidden="1" x14ac:dyDescent="0.25">
      <c r="A747" t="s">
        <v>2457</v>
      </c>
      <c r="B747" t="s">
        <v>64</v>
      </c>
      <c r="C747" t="s">
        <v>296</v>
      </c>
      <c r="D747" t="s">
        <v>2458</v>
      </c>
      <c r="E747" t="s">
        <v>21</v>
      </c>
      <c r="F747" t="s">
        <v>2459</v>
      </c>
    </row>
    <row r="748" spans="1:6" hidden="1" x14ac:dyDescent="0.25">
      <c r="A748" t="s">
        <v>2460</v>
      </c>
      <c r="B748" t="s">
        <v>702</v>
      </c>
      <c r="C748" t="s">
        <v>974</v>
      </c>
      <c r="D748" t="s">
        <v>2461</v>
      </c>
      <c r="E748" t="s">
        <v>21</v>
      </c>
      <c r="F748" t="s">
        <v>2462</v>
      </c>
    </row>
    <row r="749" spans="1:6" hidden="1" x14ac:dyDescent="0.25">
      <c r="A749" t="s">
        <v>2463</v>
      </c>
      <c r="B749" t="s">
        <v>702</v>
      </c>
      <c r="C749" t="s">
        <v>1067</v>
      </c>
      <c r="D749" t="s">
        <v>2464</v>
      </c>
      <c r="E749" t="s">
        <v>21</v>
      </c>
      <c r="F749" t="s">
        <v>2465</v>
      </c>
    </row>
    <row r="750" spans="1:6" hidden="1" x14ac:dyDescent="0.25">
      <c r="A750" t="s">
        <v>2466</v>
      </c>
      <c r="B750" t="s">
        <v>343</v>
      </c>
      <c r="C750" t="s">
        <v>296</v>
      </c>
      <c r="D750" t="s">
        <v>2467</v>
      </c>
      <c r="E750" t="s">
        <v>21</v>
      </c>
      <c r="F750" t="s">
        <v>2468</v>
      </c>
    </row>
    <row r="751" spans="1:6" hidden="1" x14ac:dyDescent="0.25">
      <c r="A751" t="s">
        <v>2469</v>
      </c>
      <c r="B751" t="s">
        <v>303</v>
      </c>
      <c r="C751" t="s">
        <v>304</v>
      </c>
      <c r="D751" t="s">
        <v>2470</v>
      </c>
      <c r="E751" t="s">
        <v>21</v>
      </c>
      <c r="F751" t="s">
        <v>2471</v>
      </c>
    </row>
    <row r="752" spans="1:6" hidden="1" x14ac:dyDescent="0.25">
      <c r="A752" t="s">
        <v>2472</v>
      </c>
      <c r="B752" t="s">
        <v>64</v>
      </c>
      <c r="C752" t="s">
        <v>296</v>
      </c>
      <c r="D752" t="s">
        <v>2473</v>
      </c>
      <c r="E752" t="s">
        <v>21</v>
      </c>
      <c r="F752" t="s">
        <v>2474</v>
      </c>
    </row>
    <row r="753" spans="1:6" hidden="1" x14ac:dyDescent="0.25">
      <c r="A753" t="s">
        <v>2475</v>
      </c>
      <c r="B753" t="s">
        <v>121</v>
      </c>
      <c r="C753" t="s">
        <v>296</v>
      </c>
      <c r="D753" t="s">
        <v>2476</v>
      </c>
      <c r="E753" t="s">
        <v>21</v>
      </c>
      <c r="F753" t="s">
        <v>2477</v>
      </c>
    </row>
    <row r="754" spans="1:6" hidden="1" x14ac:dyDescent="0.25">
      <c r="A754" t="s">
        <v>2478</v>
      </c>
      <c r="B754" t="s">
        <v>64</v>
      </c>
      <c r="C754" t="s">
        <v>296</v>
      </c>
      <c r="D754" t="s">
        <v>2479</v>
      </c>
      <c r="E754" t="s">
        <v>21</v>
      </c>
      <c r="F754" t="s">
        <v>2480</v>
      </c>
    </row>
    <row r="755" spans="1:6" hidden="1" x14ac:dyDescent="0.25">
      <c r="A755" t="s">
        <v>2481</v>
      </c>
      <c r="B755" t="s">
        <v>702</v>
      </c>
      <c r="C755" t="s">
        <v>1067</v>
      </c>
      <c r="D755" t="s">
        <v>2482</v>
      </c>
      <c r="E755" t="s">
        <v>21</v>
      </c>
      <c r="F755" t="s">
        <v>2483</v>
      </c>
    </row>
    <row r="756" spans="1:6" hidden="1" x14ac:dyDescent="0.25">
      <c r="A756" t="s">
        <v>2484</v>
      </c>
      <c r="B756" t="s">
        <v>64</v>
      </c>
      <c r="C756" t="s">
        <v>296</v>
      </c>
      <c r="D756" t="s">
        <v>2485</v>
      </c>
      <c r="E756" t="s">
        <v>21</v>
      </c>
      <c r="F756" t="s">
        <v>2486</v>
      </c>
    </row>
    <row r="757" spans="1:6" hidden="1" x14ac:dyDescent="0.25">
      <c r="A757" t="s">
        <v>2487</v>
      </c>
      <c r="B757" t="s">
        <v>121</v>
      </c>
      <c r="C757" t="s">
        <v>296</v>
      </c>
      <c r="D757" t="s">
        <v>2488</v>
      </c>
      <c r="E757" t="s">
        <v>21</v>
      </c>
      <c r="F757" t="s">
        <v>2489</v>
      </c>
    </row>
    <row r="758" spans="1:6" hidden="1" x14ac:dyDescent="0.25">
      <c r="A758" t="s">
        <v>2490</v>
      </c>
      <c r="B758" t="s">
        <v>15</v>
      </c>
      <c r="C758" t="s">
        <v>296</v>
      </c>
      <c r="D758" t="s">
        <v>2491</v>
      </c>
      <c r="E758" t="s">
        <v>21</v>
      </c>
      <c r="F758" t="s">
        <v>2492</v>
      </c>
    </row>
    <row r="759" spans="1:6" hidden="1" x14ac:dyDescent="0.25">
      <c r="A759" t="s">
        <v>2493</v>
      </c>
      <c r="B759" t="s">
        <v>410</v>
      </c>
      <c r="C759" t="s">
        <v>296</v>
      </c>
      <c r="D759" t="s">
        <v>2494</v>
      </c>
      <c r="E759" t="s">
        <v>21</v>
      </c>
      <c r="F759" t="s">
        <v>2495</v>
      </c>
    </row>
    <row r="760" spans="1:6" hidden="1" x14ac:dyDescent="0.25">
      <c r="A760" t="s">
        <v>2496</v>
      </c>
      <c r="B760" t="s">
        <v>702</v>
      </c>
      <c r="C760" t="s">
        <v>478</v>
      </c>
      <c r="D760" t="s">
        <v>2497</v>
      </c>
      <c r="E760" t="s">
        <v>21</v>
      </c>
      <c r="F760" t="s">
        <v>2498</v>
      </c>
    </row>
    <row r="761" spans="1:6" hidden="1" x14ac:dyDescent="0.25">
      <c r="A761" t="s">
        <v>2499</v>
      </c>
      <c r="B761" t="s">
        <v>326</v>
      </c>
      <c r="C761" t="s">
        <v>296</v>
      </c>
      <c r="D761" t="s">
        <v>2500</v>
      </c>
      <c r="E761" t="s">
        <v>21</v>
      </c>
      <c r="F761" t="s">
        <v>2501</v>
      </c>
    </row>
    <row r="762" spans="1:6" hidden="1" x14ac:dyDescent="0.25">
      <c r="A762" t="s">
        <v>2502</v>
      </c>
      <c r="B762" t="s">
        <v>121</v>
      </c>
      <c r="C762" t="s">
        <v>296</v>
      </c>
      <c r="D762" t="s">
        <v>2503</v>
      </c>
      <c r="E762" t="s">
        <v>21</v>
      </c>
      <c r="F762" t="s">
        <v>2504</v>
      </c>
    </row>
    <row r="763" spans="1:6" hidden="1" x14ac:dyDescent="0.25">
      <c r="A763" t="s">
        <v>2505</v>
      </c>
      <c r="B763" t="s">
        <v>356</v>
      </c>
      <c r="C763" t="s">
        <v>296</v>
      </c>
      <c r="D763" t="s">
        <v>2506</v>
      </c>
      <c r="E763" t="s">
        <v>21</v>
      </c>
      <c r="F763" t="s">
        <v>2507</v>
      </c>
    </row>
    <row r="764" spans="1:6" hidden="1" x14ac:dyDescent="0.25">
      <c r="A764" t="s">
        <v>2508</v>
      </c>
      <c r="B764" t="s">
        <v>142</v>
      </c>
      <c r="C764" t="s">
        <v>296</v>
      </c>
      <c r="D764" t="s">
        <v>2509</v>
      </c>
      <c r="E764" t="s">
        <v>21</v>
      </c>
      <c r="F764" t="s">
        <v>2510</v>
      </c>
    </row>
    <row r="765" spans="1:6" hidden="1" x14ac:dyDescent="0.25">
      <c r="A765" t="s">
        <v>2511</v>
      </c>
      <c r="B765" t="s">
        <v>322</v>
      </c>
      <c r="C765" t="s">
        <v>296</v>
      </c>
      <c r="D765" t="s">
        <v>2512</v>
      </c>
      <c r="E765" t="s">
        <v>21</v>
      </c>
      <c r="F765" t="s">
        <v>2513</v>
      </c>
    </row>
    <row r="766" spans="1:6" hidden="1" x14ac:dyDescent="0.25">
      <c r="A766" t="s">
        <v>2514</v>
      </c>
      <c r="B766" t="s">
        <v>326</v>
      </c>
      <c r="C766" t="s">
        <v>296</v>
      </c>
      <c r="D766" t="s">
        <v>2515</v>
      </c>
      <c r="E766" t="s">
        <v>21</v>
      </c>
      <c r="F766" t="s">
        <v>2516</v>
      </c>
    </row>
    <row r="767" spans="1:6" hidden="1" x14ac:dyDescent="0.25">
      <c r="A767" t="s">
        <v>2517</v>
      </c>
      <c r="B767" t="s">
        <v>514</v>
      </c>
      <c r="C767" t="s">
        <v>2416</v>
      </c>
      <c r="D767" t="s">
        <v>2518</v>
      </c>
      <c r="E767" t="s">
        <v>21</v>
      </c>
      <c r="F767" t="s">
        <v>2519</v>
      </c>
    </row>
    <row r="768" spans="1:6" hidden="1" x14ac:dyDescent="0.25">
      <c r="A768" t="s">
        <v>2520</v>
      </c>
      <c r="B768" t="s">
        <v>24</v>
      </c>
      <c r="C768" t="s">
        <v>296</v>
      </c>
      <c r="D768" t="s">
        <v>2521</v>
      </c>
      <c r="E768" t="s">
        <v>21</v>
      </c>
      <c r="F768" t="s">
        <v>2522</v>
      </c>
    </row>
    <row r="769" spans="1:6" hidden="1" x14ac:dyDescent="0.25">
      <c r="A769" t="s">
        <v>2523</v>
      </c>
      <c r="B769" t="s">
        <v>318</v>
      </c>
      <c r="C769" t="s">
        <v>296</v>
      </c>
      <c r="D769" t="s">
        <v>2524</v>
      </c>
      <c r="E769" t="s">
        <v>21</v>
      </c>
      <c r="F769" t="s">
        <v>2525</v>
      </c>
    </row>
    <row r="770" spans="1:6" hidden="1" x14ac:dyDescent="0.25">
      <c r="A770" t="s">
        <v>2526</v>
      </c>
      <c r="B770" t="s">
        <v>64</v>
      </c>
      <c r="C770" t="s">
        <v>296</v>
      </c>
      <c r="D770" t="s">
        <v>2527</v>
      </c>
      <c r="E770" t="s">
        <v>21</v>
      </c>
      <c r="F770" t="s">
        <v>2528</v>
      </c>
    </row>
    <row r="771" spans="1:6" hidden="1" x14ac:dyDescent="0.25">
      <c r="A771" t="s">
        <v>2529</v>
      </c>
      <c r="B771" t="s">
        <v>82</v>
      </c>
      <c r="C771" t="s">
        <v>296</v>
      </c>
      <c r="D771" t="s">
        <v>2530</v>
      </c>
      <c r="E771" t="s">
        <v>21</v>
      </c>
      <c r="F771" t="s">
        <v>2531</v>
      </c>
    </row>
    <row r="772" spans="1:6" hidden="1" x14ac:dyDescent="0.25">
      <c r="A772" t="s">
        <v>2532</v>
      </c>
      <c r="B772" t="s">
        <v>437</v>
      </c>
      <c r="C772" t="s">
        <v>598</v>
      </c>
      <c r="D772" t="s">
        <v>2533</v>
      </c>
      <c r="E772" t="s">
        <v>21</v>
      </c>
      <c r="F772" t="s">
        <v>2534</v>
      </c>
    </row>
    <row r="773" spans="1:6" hidden="1" x14ac:dyDescent="0.25">
      <c r="A773" t="s">
        <v>2535</v>
      </c>
      <c r="B773" t="s">
        <v>82</v>
      </c>
      <c r="C773" t="s">
        <v>296</v>
      </c>
      <c r="D773" t="s">
        <v>2536</v>
      </c>
      <c r="E773" t="s">
        <v>21</v>
      </c>
      <c r="F773" t="s">
        <v>2537</v>
      </c>
    </row>
    <row r="774" spans="1:6" hidden="1" x14ac:dyDescent="0.25">
      <c r="A774" t="s">
        <v>2538</v>
      </c>
      <c r="B774" t="s">
        <v>363</v>
      </c>
      <c r="C774" t="s">
        <v>1067</v>
      </c>
      <c r="D774" t="s">
        <v>2539</v>
      </c>
      <c r="E774" t="s">
        <v>21</v>
      </c>
      <c r="F774" t="s">
        <v>2540</v>
      </c>
    </row>
    <row r="775" spans="1:6" hidden="1" x14ac:dyDescent="0.25">
      <c r="A775" t="s">
        <v>2541</v>
      </c>
      <c r="B775" t="s">
        <v>24</v>
      </c>
      <c r="C775" t="s">
        <v>296</v>
      </c>
      <c r="D775" t="s">
        <v>2542</v>
      </c>
      <c r="E775" t="s">
        <v>21</v>
      </c>
      <c r="F775" t="s">
        <v>2543</v>
      </c>
    </row>
    <row r="776" spans="1:6" hidden="1" x14ac:dyDescent="0.25">
      <c r="A776" t="s">
        <v>2544</v>
      </c>
      <c r="B776" t="s">
        <v>427</v>
      </c>
      <c r="C776" t="s">
        <v>296</v>
      </c>
      <c r="D776" t="s">
        <v>2545</v>
      </c>
      <c r="E776" t="s">
        <v>21</v>
      </c>
      <c r="F776" t="s">
        <v>2546</v>
      </c>
    </row>
    <row r="777" spans="1:6" hidden="1" x14ac:dyDescent="0.25">
      <c r="A777" t="s">
        <v>2547</v>
      </c>
      <c r="B777" t="s">
        <v>64</v>
      </c>
      <c r="C777" t="s">
        <v>296</v>
      </c>
      <c r="D777" t="s">
        <v>2548</v>
      </c>
      <c r="E777" t="s">
        <v>21</v>
      </c>
      <c r="F777" t="s">
        <v>2549</v>
      </c>
    </row>
    <row r="778" spans="1:6" hidden="1" x14ac:dyDescent="0.25">
      <c r="A778" t="s">
        <v>2550</v>
      </c>
      <c r="B778" t="s">
        <v>343</v>
      </c>
      <c r="C778" t="s">
        <v>296</v>
      </c>
      <c r="D778" t="s">
        <v>2551</v>
      </c>
      <c r="E778" t="s">
        <v>21</v>
      </c>
      <c r="F778" t="s">
        <v>2552</v>
      </c>
    </row>
    <row r="779" spans="1:6" hidden="1" x14ac:dyDescent="0.25">
      <c r="A779" t="s">
        <v>2553</v>
      </c>
      <c r="B779" t="s">
        <v>78</v>
      </c>
      <c r="C779" t="s">
        <v>296</v>
      </c>
      <c r="D779" t="s">
        <v>2554</v>
      </c>
      <c r="E779" t="s">
        <v>21</v>
      </c>
      <c r="F779" t="s">
        <v>2555</v>
      </c>
    </row>
    <row r="780" spans="1:6" hidden="1" x14ac:dyDescent="0.25">
      <c r="A780" t="s">
        <v>2556</v>
      </c>
      <c r="B780" t="s">
        <v>1171</v>
      </c>
      <c r="C780" t="s">
        <v>2006</v>
      </c>
      <c r="D780" t="s">
        <v>2557</v>
      </c>
      <c r="E780" t="s">
        <v>21</v>
      </c>
      <c r="F780" t="s">
        <v>2558</v>
      </c>
    </row>
    <row r="781" spans="1:6" hidden="1" x14ac:dyDescent="0.25">
      <c r="A781" t="s">
        <v>2559</v>
      </c>
      <c r="B781" t="s">
        <v>410</v>
      </c>
      <c r="C781" t="s">
        <v>296</v>
      </c>
      <c r="D781" t="s">
        <v>2560</v>
      </c>
      <c r="E781" t="s">
        <v>21</v>
      </c>
      <c r="F781" t="s">
        <v>2561</v>
      </c>
    </row>
    <row r="782" spans="1:6" hidden="1" x14ac:dyDescent="0.25">
      <c r="A782" t="s">
        <v>2562</v>
      </c>
      <c r="B782" t="s">
        <v>128</v>
      </c>
      <c r="C782" t="s">
        <v>296</v>
      </c>
      <c r="D782" t="s">
        <v>2563</v>
      </c>
      <c r="E782" t="s">
        <v>21</v>
      </c>
      <c r="F782" t="s">
        <v>2564</v>
      </c>
    </row>
    <row r="783" spans="1:6" hidden="1" x14ac:dyDescent="0.25">
      <c r="A783" t="s">
        <v>32</v>
      </c>
      <c r="B783" t="s">
        <v>34</v>
      </c>
      <c r="C783" t="s">
        <v>296</v>
      </c>
      <c r="D783" t="s">
        <v>33</v>
      </c>
      <c r="E783" t="s">
        <v>21</v>
      </c>
      <c r="F783" t="s">
        <v>37</v>
      </c>
    </row>
    <row r="784" spans="1:6" hidden="1" x14ac:dyDescent="0.25">
      <c r="A784" t="s">
        <v>2565</v>
      </c>
      <c r="B784" t="s">
        <v>82</v>
      </c>
      <c r="C784" t="s">
        <v>296</v>
      </c>
      <c r="D784" t="s">
        <v>2566</v>
      </c>
      <c r="E784" t="s">
        <v>21</v>
      </c>
      <c r="F784" t="s">
        <v>2567</v>
      </c>
    </row>
    <row r="785" spans="1:6" hidden="1" x14ac:dyDescent="0.25">
      <c r="A785" t="s">
        <v>2568</v>
      </c>
      <c r="B785" t="s">
        <v>15</v>
      </c>
      <c r="C785" t="s">
        <v>296</v>
      </c>
      <c r="D785" t="s">
        <v>2569</v>
      </c>
      <c r="E785" t="s">
        <v>21</v>
      </c>
      <c r="F785" t="s">
        <v>2570</v>
      </c>
    </row>
    <row r="786" spans="1:6" hidden="1" x14ac:dyDescent="0.25">
      <c r="A786" t="s">
        <v>2571</v>
      </c>
      <c r="B786" t="s">
        <v>64</v>
      </c>
      <c r="C786" t="s">
        <v>296</v>
      </c>
      <c r="D786" t="s">
        <v>2572</v>
      </c>
      <c r="E786" t="s">
        <v>21</v>
      </c>
      <c r="F786" t="s">
        <v>2573</v>
      </c>
    </row>
    <row r="787" spans="1:6" hidden="1" x14ac:dyDescent="0.25">
      <c r="A787" t="s">
        <v>2574</v>
      </c>
      <c r="B787" t="s">
        <v>51</v>
      </c>
      <c r="C787" t="s">
        <v>296</v>
      </c>
      <c r="D787" t="s">
        <v>2575</v>
      </c>
      <c r="E787" t="s">
        <v>21</v>
      </c>
      <c r="F787" t="s">
        <v>2576</v>
      </c>
    </row>
    <row r="788" spans="1:6" hidden="1" x14ac:dyDescent="0.25">
      <c r="A788" t="s">
        <v>2577</v>
      </c>
      <c r="B788" t="s">
        <v>78</v>
      </c>
      <c r="C788" t="s">
        <v>296</v>
      </c>
      <c r="D788" t="s">
        <v>2578</v>
      </c>
      <c r="E788" t="s">
        <v>21</v>
      </c>
      <c r="F788" t="s">
        <v>2579</v>
      </c>
    </row>
    <row r="789" spans="1:6" hidden="1" x14ac:dyDescent="0.25">
      <c r="A789" t="s">
        <v>2580</v>
      </c>
      <c r="B789" t="s">
        <v>51</v>
      </c>
      <c r="C789" t="s">
        <v>296</v>
      </c>
      <c r="D789" t="s">
        <v>2581</v>
      </c>
      <c r="E789" t="s">
        <v>21</v>
      </c>
      <c r="F789" t="s">
        <v>2582</v>
      </c>
    </row>
    <row r="790" spans="1:6" hidden="1" x14ac:dyDescent="0.25">
      <c r="A790" t="s">
        <v>2583</v>
      </c>
      <c r="B790" t="s">
        <v>211</v>
      </c>
      <c r="C790" t="s">
        <v>296</v>
      </c>
      <c r="D790" t="s">
        <v>2584</v>
      </c>
      <c r="E790" t="s">
        <v>21</v>
      </c>
      <c r="F790" t="s">
        <v>2585</v>
      </c>
    </row>
    <row r="791" spans="1:6" hidden="1" x14ac:dyDescent="0.25">
      <c r="A791" t="s">
        <v>2586</v>
      </c>
      <c r="B791" t="s">
        <v>64</v>
      </c>
      <c r="C791" t="s">
        <v>400</v>
      </c>
      <c r="D791" t="s">
        <v>2587</v>
      </c>
      <c r="E791" t="s">
        <v>21</v>
      </c>
      <c r="F791" t="s">
        <v>2588</v>
      </c>
    </row>
    <row r="792" spans="1:6" hidden="1" x14ac:dyDescent="0.25">
      <c r="A792" t="s">
        <v>2589</v>
      </c>
      <c r="B792" t="s">
        <v>211</v>
      </c>
      <c r="C792" t="s">
        <v>296</v>
      </c>
      <c r="D792" t="s">
        <v>2590</v>
      </c>
      <c r="E792" t="s">
        <v>21</v>
      </c>
      <c r="F792" t="s">
        <v>2591</v>
      </c>
    </row>
    <row r="793" spans="1:6" hidden="1" x14ac:dyDescent="0.25">
      <c r="A793" t="s">
        <v>2592</v>
      </c>
      <c r="B793" t="s">
        <v>197</v>
      </c>
      <c r="C793" t="s">
        <v>296</v>
      </c>
      <c r="D793" t="s">
        <v>2593</v>
      </c>
      <c r="E793" t="s">
        <v>21</v>
      </c>
      <c r="F793" t="s">
        <v>2594</v>
      </c>
    </row>
    <row r="794" spans="1:6" hidden="1" x14ac:dyDescent="0.25">
      <c r="A794" t="s">
        <v>225</v>
      </c>
      <c r="B794" t="s">
        <v>326</v>
      </c>
      <c r="C794" t="s">
        <v>296</v>
      </c>
      <c r="D794" t="s">
        <v>226</v>
      </c>
      <c r="E794" t="s">
        <v>21</v>
      </c>
      <c r="F794" t="s">
        <v>227</v>
      </c>
    </row>
    <row r="795" spans="1:6" hidden="1" x14ac:dyDescent="0.25">
      <c r="A795" t="s">
        <v>2595</v>
      </c>
      <c r="B795" t="s">
        <v>15</v>
      </c>
      <c r="C795" t="s">
        <v>296</v>
      </c>
      <c r="D795" t="s">
        <v>2596</v>
      </c>
      <c r="E795" t="s">
        <v>21</v>
      </c>
      <c r="F795" t="s">
        <v>2597</v>
      </c>
    </row>
    <row r="796" spans="1:6" hidden="1" x14ac:dyDescent="0.25">
      <c r="A796" t="s">
        <v>2598</v>
      </c>
      <c r="B796" t="s">
        <v>702</v>
      </c>
      <c r="C796" t="s">
        <v>825</v>
      </c>
      <c r="D796" t="s">
        <v>2599</v>
      </c>
      <c r="E796" t="s">
        <v>21</v>
      </c>
      <c r="F796" t="s">
        <v>2600</v>
      </c>
    </row>
    <row r="797" spans="1:6" x14ac:dyDescent="0.25">
      <c r="A797" t="s">
        <v>2601</v>
      </c>
      <c r="B797" t="s">
        <v>386</v>
      </c>
      <c r="C797" t="s">
        <v>387</v>
      </c>
      <c r="D797" t="s">
        <v>2602</v>
      </c>
      <c r="E797" t="s">
        <v>21</v>
      </c>
      <c r="F797" t="s">
        <v>2603</v>
      </c>
    </row>
    <row r="798" spans="1:6" hidden="1" x14ac:dyDescent="0.25">
      <c r="A798" t="s">
        <v>285</v>
      </c>
      <c r="B798" t="s">
        <v>533</v>
      </c>
      <c r="C798" t="s">
        <v>296</v>
      </c>
      <c r="D798" t="s">
        <v>2604</v>
      </c>
      <c r="E798" t="s">
        <v>21</v>
      </c>
      <c r="F798" t="s">
        <v>2605</v>
      </c>
    </row>
    <row r="799" spans="1:6" hidden="1" x14ac:dyDescent="0.25">
      <c r="A799" t="s">
        <v>2606</v>
      </c>
      <c r="B799" t="s">
        <v>999</v>
      </c>
      <c r="C799" t="s">
        <v>2607</v>
      </c>
      <c r="D799" t="s">
        <v>2608</v>
      </c>
      <c r="E799" t="s">
        <v>21</v>
      </c>
      <c r="F799" t="s">
        <v>2609</v>
      </c>
    </row>
    <row r="800" spans="1:6" hidden="1" x14ac:dyDescent="0.25">
      <c r="A800" t="s">
        <v>2610</v>
      </c>
      <c r="B800" t="s">
        <v>64</v>
      </c>
      <c r="C800" t="s">
        <v>296</v>
      </c>
      <c r="D800" t="s">
        <v>2611</v>
      </c>
      <c r="E800" t="s">
        <v>21</v>
      </c>
      <c r="F800" t="s">
        <v>2612</v>
      </c>
    </row>
    <row r="801" spans="1:6" hidden="1" x14ac:dyDescent="0.25">
      <c r="A801" t="s">
        <v>49</v>
      </c>
      <c r="B801" t="s">
        <v>51</v>
      </c>
      <c r="C801" t="s">
        <v>296</v>
      </c>
      <c r="D801" t="s">
        <v>50</v>
      </c>
      <c r="E801" t="s">
        <v>21</v>
      </c>
      <c r="F801" t="s">
        <v>52</v>
      </c>
    </row>
    <row r="802" spans="1:6" hidden="1" x14ac:dyDescent="0.25">
      <c r="A802" t="s">
        <v>2613</v>
      </c>
      <c r="B802" t="s">
        <v>318</v>
      </c>
      <c r="C802" t="s">
        <v>296</v>
      </c>
      <c r="D802" t="s">
        <v>2614</v>
      </c>
      <c r="E802" t="s">
        <v>21</v>
      </c>
      <c r="F802" t="s">
        <v>2615</v>
      </c>
    </row>
    <row r="803" spans="1:6" hidden="1" x14ac:dyDescent="0.25">
      <c r="A803" t="s">
        <v>162</v>
      </c>
      <c r="B803" t="s">
        <v>386</v>
      </c>
      <c r="C803" t="s">
        <v>387</v>
      </c>
      <c r="D803" t="s">
        <v>163</v>
      </c>
      <c r="E803" t="s">
        <v>21</v>
      </c>
      <c r="F803" t="s">
        <v>164</v>
      </c>
    </row>
    <row r="804" spans="1:6" hidden="1" x14ac:dyDescent="0.25">
      <c r="A804" t="s">
        <v>2616</v>
      </c>
      <c r="B804" t="s">
        <v>78</v>
      </c>
      <c r="C804" t="s">
        <v>296</v>
      </c>
      <c r="D804" t="s">
        <v>2617</v>
      </c>
      <c r="E804" t="s">
        <v>21</v>
      </c>
      <c r="F804" t="s">
        <v>2618</v>
      </c>
    </row>
    <row r="805" spans="1:6" hidden="1" x14ac:dyDescent="0.25">
      <c r="A805" t="s">
        <v>2619</v>
      </c>
      <c r="B805" t="s">
        <v>702</v>
      </c>
      <c r="C805" t="s">
        <v>974</v>
      </c>
      <c r="D805" t="s">
        <v>2620</v>
      </c>
      <c r="E805" t="s">
        <v>21</v>
      </c>
      <c r="F805" t="s">
        <v>2621</v>
      </c>
    </row>
    <row r="806" spans="1:6" hidden="1" x14ac:dyDescent="0.25">
      <c r="A806" t="s">
        <v>2622</v>
      </c>
      <c r="B806" t="s">
        <v>89</v>
      </c>
      <c r="C806" t="s">
        <v>296</v>
      </c>
      <c r="D806" t="s">
        <v>2623</v>
      </c>
      <c r="E806" t="s">
        <v>21</v>
      </c>
      <c r="F806" t="s">
        <v>2624</v>
      </c>
    </row>
    <row r="807" spans="1:6" hidden="1" x14ac:dyDescent="0.25">
      <c r="A807" t="s">
        <v>2625</v>
      </c>
      <c r="B807" t="s">
        <v>34</v>
      </c>
      <c r="C807" t="s">
        <v>296</v>
      </c>
      <c r="D807" t="s">
        <v>2626</v>
      </c>
      <c r="E807" t="s">
        <v>21</v>
      </c>
      <c r="F807" t="s">
        <v>2627</v>
      </c>
    </row>
    <row r="808" spans="1:6" hidden="1" x14ac:dyDescent="0.25">
      <c r="A808" t="s">
        <v>2628</v>
      </c>
      <c r="B808" t="s">
        <v>420</v>
      </c>
      <c r="C808" t="s">
        <v>296</v>
      </c>
      <c r="D808" t="s">
        <v>2629</v>
      </c>
      <c r="E808" t="s">
        <v>21</v>
      </c>
      <c r="F808" t="s">
        <v>2630</v>
      </c>
    </row>
    <row r="809" spans="1:6" hidden="1" x14ac:dyDescent="0.25">
      <c r="A809" t="s">
        <v>2631</v>
      </c>
      <c r="B809" t="s">
        <v>41</v>
      </c>
      <c r="C809" t="s">
        <v>296</v>
      </c>
      <c r="D809" t="s">
        <v>2632</v>
      </c>
      <c r="E809" t="s">
        <v>21</v>
      </c>
      <c r="F809" t="s">
        <v>2633</v>
      </c>
    </row>
    <row r="810" spans="1:6" hidden="1" x14ac:dyDescent="0.25">
      <c r="A810" t="s">
        <v>2634</v>
      </c>
      <c r="B810" t="s">
        <v>197</v>
      </c>
      <c r="C810" t="s">
        <v>400</v>
      </c>
      <c r="D810" t="s">
        <v>2635</v>
      </c>
      <c r="E810" t="s">
        <v>21</v>
      </c>
      <c r="F810" t="s">
        <v>2636</v>
      </c>
    </row>
    <row r="811" spans="1:6" hidden="1" x14ac:dyDescent="0.25">
      <c r="A811" t="s">
        <v>2637</v>
      </c>
      <c r="B811" t="s">
        <v>1370</v>
      </c>
      <c r="C811" t="s">
        <v>296</v>
      </c>
      <c r="D811" t="s">
        <v>2638</v>
      </c>
      <c r="E811" t="s">
        <v>21</v>
      </c>
      <c r="F811" t="s">
        <v>2639</v>
      </c>
    </row>
    <row r="812" spans="1:6" hidden="1" x14ac:dyDescent="0.25">
      <c r="A812" t="s">
        <v>228</v>
      </c>
      <c r="B812" t="s">
        <v>211</v>
      </c>
      <c r="C812" t="s">
        <v>296</v>
      </c>
      <c r="D812" t="s">
        <v>2640</v>
      </c>
      <c r="E812" t="s">
        <v>21</v>
      </c>
      <c r="F812" t="s">
        <v>232</v>
      </c>
    </row>
    <row r="813" spans="1:6" hidden="1" x14ac:dyDescent="0.25">
      <c r="A813" t="s">
        <v>2641</v>
      </c>
      <c r="B813" t="s">
        <v>34</v>
      </c>
      <c r="C813" t="s">
        <v>296</v>
      </c>
      <c r="D813" t="s">
        <v>2642</v>
      </c>
      <c r="E813" t="s">
        <v>21</v>
      </c>
      <c r="F813" t="s">
        <v>2643</v>
      </c>
    </row>
    <row r="814" spans="1:6" hidden="1" x14ac:dyDescent="0.25">
      <c r="A814" t="s">
        <v>2644</v>
      </c>
      <c r="B814" t="s">
        <v>78</v>
      </c>
      <c r="C814" t="s">
        <v>296</v>
      </c>
      <c r="D814" t="s">
        <v>2645</v>
      </c>
      <c r="E814" t="s">
        <v>21</v>
      </c>
      <c r="F814" t="s">
        <v>2646</v>
      </c>
    </row>
    <row r="815" spans="1:6" hidden="1" x14ac:dyDescent="0.25">
      <c r="A815" t="s">
        <v>2647</v>
      </c>
      <c r="B815" t="s">
        <v>78</v>
      </c>
      <c r="C815" t="s">
        <v>296</v>
      </c>
      <c r="D815" t="s">
        <v>2648</v>
      </c>
      <c r="E815" t="s">
        <v>21</v>
      </c>
      <c r="F815" t="s">
        <v>2649</v>
      </c>
    </row>
    <row r="816" spans="1:6" hidden="1" x14ac:dyDescent="0.25">
      <c r="A816" t="s">
        <v>2650</v>
      </c>
      <c r="B816" t="s">
        <v>343</v>
      </c>
      <c r="C816" t="s">
        <v>296</v>
      </c>
      <c r="D816" t="s">
        <v>2651</v>
      </c>
      <c r="E816" t="s">
        <v>21</v>
      </c>
      <c r="F816" t="s">
        <v>2652</v>
      </c>
    </row>
    <row r="817" spans="1:6" hidden="1" x14ac:dyDescent="0.25">
      <c r="A817" t="s">
        <v>2653</v>
      </c>
      <c r="B817" t="s">
        <v>211</v>
      </c>
      <c r="C817" t="s">
        <v>296</v>
      </c>
      <c r="D817" t="s">
        <v>2654</v>
      </c>
      <c r="E817" t="s">
        <v>21</v>
      </c>
      <c r="F817" t="s">
        <v>2655</v>
      </c>
    </row>
    <row r="818" spans="1:6" hidden="1" x14ac:dyDescent="0.25">
      <c r="A818" t="s">
        <v>2656</v>
      </c>
      <c r="B818" t="s">
        <v>121</v>
      </c>
      <c r="C818" t="s">
        <v>296</v>
      </c>
      <c r="D818" t="s">
        <v>2657</v>
      </c>
      <c r="E818" t="s">
        <v>21</v>
      </c>
      <c r="F818" t="s">
        <v>2658</v>
      </c>
    </row>
    <row r="819" spans="1:6" hidden="1" x14ac:dyDescent="0.25">
      <c r="A819" t="s">
        <v>2659</v>
      </c>
      <c r="B819" t="s">
        <v>410</v>
      </c>
      <c r="C819" t="s">
        <v>296</v>
      </c>
      <c r="D819" t="s">
        <v>2660</v>
      </c>
      <c r="E819" t="s">
        <v>21</v>
      </c>
      <c r="F819" t="s">
        <v>2661</v>
      </c>
    </row>
    <row r="820" spans="1:6" hidden="1" x14ac:dyDescent="0.25">
      <c r="A820" t="s">
        <v>2662</v>
      </c>
      <c r="B820" t="s">
        <v>326</v>
      </c>
      <c r="C820" t="s">
        <v>296</v>
      </c>
      <c r="D820" t="s">
        <v>2663</v>
      </c>
      <c r="E820" t="s">
        <v>21</v>
      </c>
      <c r="F820" t="s">
        <v>2664</v>
      </c>
    </row>
    <row r="821" spans="1:6" hidden="1" x14ac:dyDescent="0.25">
      <c r="A821" t="s">
        <v>2665</v>
      </c>
      <c r="B821" t="s">
        <v>78</v>
      </c>
      <c r="C821" t="s">
        <v>296</v>
      </c>
      <c r="D821" t="s">
        <v>2666</v>
      </c>
      <c r="E821" t="s">
        <v>21</v>
      </c>
      <c r="F821" t="s">
        <v>2667</v>
      </c>
    </row>
    <row r="822" spans="1:6" hidden="1" x14ac:dyDescent="0.25">
      <c r="A822" t="s">
        <v>2668</v>
      </c>
      <c r="B822" t="s">
        <v>41</v>
      </c>
      <c r="C822" t="s">
        <v>296</v>
      </c>
      <c r="D822" t="s">
        <v>2669</v>
      </c>
      <c r="E822" t="s">
        <v>21</v>
      </c>
      <c r="F822" t="s">
        <v>2670</v>
      </c>
    </row>
    <row r="823" spans="1:6" hidden="1" x14ac:dyDescent="0.25">
      <c r="A823" t="s">
        <v>2671</v>
      </c>
      <c r="B823" t="s">
        <v>322</v>
      </c>
      <c r="C823" t="s">
        <v>296</v>
      </c>
      <c r="D823" t="s">
        <v>2672</v>
      </c>
      <c r="E823" t="s">
        <v>21</v>
      </c>
      <c r="F823" t="s">
        <v>2673</v>
      </c>
    </row>
    <row r="824" spans="1:6" hidden="1" x14ac:dyDescent="0.25">
      <c r="A824" t="s">
        <v>2674</v>
      </c>
      <c r="B824" t="s">
        <v>211</v>
      </c>
      <c r="C824" t="s">
        <v>296</v>
      </c>
      <c r="D824" t="s">
        <v>2675</v>
      </c>
      <c r="E824" t="s">
        <v>21</v>
      </c>
      <c r="F824" t="s">
        <v>2676</v>
      </c>
    </row>
    <row r="825" spans="1:6" hidden="1" x14ac:dyDescent="0.25">
      <c r="A825" t="s">
        <v>2677</v>
      </c>
      <c r="B825" t="s">
        <v>121</v>
      </c>
      <c r="C825" t="s">
        <v>296</v>
      </c>
      <c r="D825" t="s">
        <v>2678</v>
      </c>
      <c r="E825" t="s">
        <v>21</v>
      </c>
      <c r="F825" t="s">
        <v>2679</v>
      </c>
    </row>
    <row r="826" spans="1:6" hidden="1" x14ac:dyDescent="0.25">
      <c r="A826" t="s">
        <v>2680</v>
      </c>
      <c r="B826" t="s">
        <v>326</v>
      </c>
      <c r="C826" t="s">
        <v>296</v>
      </c>
      <c r="D826" t="s">
        <v>2681</v>
      </c>
      <c r="E826" t="s">
        <v>21</v>
      </c>
      <c r="F826" t="s">
        <v>2682</v>
      </c>
    </row>
    <row r="827" spans="1:6" hidden="1" x14ac:dyDescent="0.25">
      <c r="A827" t="s">
        <v>2683</v>
      </c>
      <c r="B827" t="s">
        <v>121</v>
      </c>
      <c r="C827" t="s">
        <v>296</v>
      </c>
      <c r="D827" t="s">
        <v>2684</v>
      </c>
      <c r="E827" t="s">
        <v>21</v>
      </c>
      <c r="F827" t="s">
        <v>2685</v>
      </c>
    </row>
    <row r="828" spans="1:6" hidden="1" x14ac:dyDescent="0.25">
      <c r="A828" t="s">
        <v>2686</v>
      </c>
      <c r="B828" t="s">
        <v>999</v>
      </c>
      <c r="C828" t="s">
        <v>2687</v>
      </c>
      <c r="D828" t="s">
        <v>2688</v>
      </c>
      <c r="E828" t="s">
        <v>21</v>
      </c>
      <c r="F828" t="s">
        <v>2689</v>
      </c>
    </row>
    <row r="829" spans="1:6" hidden="1" x14ac:dyDescent="0.25">
      <c r="A829" t="s">
        <v>2690</v>
      </c>
      <c r="B829" t="s">
        <v>2691</v>
      </c>
      <c r="C829" t="s">
        <v>296</v>
      </c>
      <c r="D829" t="s">
        <v>2692</v>
      </c>
      <c r="E829" t="s">
        <v>21</v>
      </c>
      <c r="F829" t="s">
        <v>2693</v>
      </c>
    </row>
    <row r="830" spans="1:6" hidden="1" x14ac:dyDescent="0.25">
      <c r="A830" t="s">
        <v>2694</v>
      </c>
      <c r="B830" t="s">
        <v>702</v>
      </c>
      <c r="C830" t="s">
        <v>1067</v>
      </c>
      <c r="D830" t="s">
        <v>2695</v>
      </c>
      <c r="E830" t="s">
        <v>21</v>
      </c>
      <c r="F830" t="s">
        <v>2696</v>
      </c>
    </row>
    <row r="831" spans="1:6" hidden="1" x14ac:dyDescent="0.25">
      <c r="A831" t="s">
        <v>2697</v>
      </c>
      <c r="B831" t="s">
        <v>121</v>
      </c>
      <c r="C831" t="s">
        <v>296</v>
      </c>
      <c r="D831" t="s">
        <v>2698</v>
      </c>
      <c r="E831" t="s">
        <v>21</v>
      </c>
      <c r="F831" t="s">
        <v>2699</v>
      </c>
    </row>
    <row r="832" spans="1:6" hidden="1" x14ac:dyDescent="0.25">
      <c r="A832" t="s">
        <v>2700</v>
      </c>
      <c r="B832" t="s">
        <v>921</v>
      </c>
      <c r="C832" t="s">
        <v>400</v>
      </c>
      <c r="D832" t="s">
        <v>2701</v>
      </c>
      <c r="E832" t="s">
        <v>21</v>
      </c>
      <c r="F832" t="s">
        <v>2702</v>
      </c>
    </row>
    <row r="833" spans="1:6" hidden="1" x14ac:dyDescent="0.25">
      <c r="A833" t="s">
        <v>2703</v>
      </c>
      <c r="B833" t="s">
        <v>34</v>
      </c>
      <c r="C833" t="s">
        <v>296</v>
      </c>
      <c r="D833" t="s">
        <v>2704</v>
      </c>
      <c r="E833" t="s">
        <v>21</v>
      </c>
      <c r="F833" t="s">
        <v>2705</v>
      </c>
    </row>
    <row r="834" spans="1:6" hidden="1" x14ac:dyDescent="0.25">
      <c r="A834" t="s">
        <v>2706</v>
      </c>
      <c r="B834" t="s">
        <v>41</v>
      </c>
      <c r="C834" t="s">
        <v>296</v>
      </c>
      <c r="D834" t="s">
        <v>2707</v>
      </c>
      <c r="E834" t="s">
        <v>21</v>
      </c>
      <c r="F834" t="s">
        <v>2708</v>
      </c>
    </row>
    <row r="835" spans="1:6" hidden="1" x14ac:dyDescent="0.25">
      <c r="A835" t="s">
        <v>2709</v>
      </c>
      <c r="B835" t="s">
        <v>15</v>
      </c>
      <c r="C835" t="s">
        <v>296</v>
      </c>
      <c r="D835" t="s">
        <v>2710</v>
      </c>
      <c r="E835" t="s">
        <v>21</v>
      </c>
      <c r="F835" t="s">
        <v>2711</v>
      </c>
    </row>
    <row r="836" spans="1:6" hidden="1" x14ac:dyDescent="0.25">
      <c r="A836" t="s">
        <v>2712</v>
      </c>
      <c r="B836" t="s">
        <v>89</v>
      </c>
      <c r="C836" t="s">
        <v>296</v>
      </c>
      <c r="D836" t="s">
        <v>2713</v>
      </c>
      <c r="E836" t="s">
        <v>21</v>
      </c>
      <c r="F836" t="s">
        <v>2714</v>
      </c>
    </row>
    <row r="837" spans="1:6" hidden="1" x14ac:dyDescent="0.25">
      <c r="A837" t="s">
        <v>286</v>
      </c>
      <c r="B837" t="s">
        <v>533</v>
      </c>
      <c r="C837" t="s">
        <v>296</v>
      </c>
      <c r="D837" t="s">
        <v>2715</v>
      </c>
      <c r="E837" t="s">
        <v>21</v>
      </c>
      <c r="F837" t="s">
        <v>2716</v>
      </c>
    </row>
    <row r="838" spans="1:6" hidden="1" x14ac:dyDescent="0.25">
      <c r="A838" t="s">
        <v>2717</v>
      </c>
      <c r="B838" t="s">
        <v>343</v>
      </c>
      <c r="C838" t="s">
        <v>296</v>
      </c>
      <c r="D838" t="s">
        <v>2718</v>
      </c>
      <c r="E838" t="s">
        <v>21</v>
      </c>
      <c r="F838" t="s">
        <v>2719</v>
      </c>
    </row>
    <row r="839" spans="1:6" hidden="1" x14ac:dyDescent="0.25">
      <c r="A839" t="s">
        <v>2720</v>
      </c>
      <c r="B839" t="s">
        <v>34</v>
      </c>
      <c r="C839" t="s">
        <v>296</v>
      </c>
      <c r="D839" t="s">
        <v>2721</v>
      </c>
      <c r="E839" t="s">
        <v>21</v>
      </c>
      <c r="F839" t="s">
        <v>2722</v>
      </c>
    </row>
    <row r="840" spans="1:6" hidden="1" x14ac:dyDescent="0.25">
      <c r="A840" t="s">
        <v>140</v>
      </c>
      <c r="B840" t="s">
        <v>142</v>
      </c>
      <c r="C840" t="s">
        <v>296</v>
      </c>
      <c r="D840" t="s">
        <v>150</v>
      </c>
      <c r="E840" t="s">
        <v>21</v>
      </c>
      <c r="F840" t="s">
        <v>143</v>
      </c>
    </row>
    <row r="841" spans="1:6" hidden="1" x14ac:dyDescent="0.25">
      <c r="A841" t="s">
        <v>2723</v>
      </c>
      <c r="B841" t="s">
        <v>142</v>
      </c>
      <c r="C841" t="s">
        <v>296</v>
      </c>
      <c r="D841" t="s">
        <v>2724</v>
      </c>
      <c r="E841" t="s">
        <v>21</v>
      </c>
      <c r="F841" t="s">
        <v>2725</v>
      </c>
    </row>
    <row r="842" spans="1:6" hidden="1" x14ac:dyDescent="0.25">
      <c r="A842" t="s">
        <v>2726</v>
      </c>
      <c r="B842" t="s">
        <v>702</v>
      </c>
      <c r="C842" t="s">
        <v>478</v>
      </c>
      <c r="D842" t="s">
        <v>2727</v>
      </c>
      <c r="E842" t="s">
        <v>21</v>
      </c>
      <c r="F842" t="s">
        <v>2728</v>
      </c>
    </row>
    <row r="843" spans="1:6" hidden="1" x14ac:dyDescent="0.25">
      <c r="A843" t="s">
        <v>91</v>
      </c>
      <c r="B843" t="s">
        <v>386</v>
      </c>
      <c r="C843" t="s">
        <v>387</v>
      </c>
      <c r="D843" t="s">
        <v>92</v>
      </c>
      <c r="E843" t="s">
        <v>21</v>
      </c>
      <c r="F843" t="s">
        <v>94</v>
      </c>
    </row>
    <row r="844" spans="1:6" hidden="1" x14ac:dyDescent="0.25">
      <c r="A844" t="s">
        <v>2729</v>
      </c>
      <c r="B844" t="s">
        <v>322</v>
      </c>
      <c r="C844" t="s">
        <v>296</v>
      </c>
      <c r="D844" t="s">
        <v>2730</v>
      </c>
      <c r="E844" t="s">
        <v>21</v>
      </c>
      <c r="F844" t="s">
        <v>2731</v>
      </c>
    </row>
    <row r="845" spans="1:6" hidden="1" x14ac:dyDescent="0.25">
      <c r="A845" t="s">
        <v>2732</v>
      </c>
      <c r="B845" t="s">
        <v>34</v>
      </c>
      <c r="C845" t="s">
        <v>400</v>
      </c>
      <c r="D845" t="s">
        <v>2733</v>
      </c>
      <c r="E845" t="s">
        <v>21</v>
      </c>
      <c r="F845" t="s">
        <v>2734</v>
      </c>
    </row>
    <row r="846" spans="1:6" hidden="1" x14ac:dyDescent="0.25">
      <c r="A846" t="s">
        <v>2735</v>
      </c>
      <c r="B846" t="s">
        <v>197</v>
      </c>
      <c r="C846" t="s">
        <v>296</v>
      </c>
      <c r="D846" t="s">
        <v>2736</v>
      </c>
      <c r="E846" t="s">
        <v>21</v>
      </c>
      <c r="F846" t="s">
        <v>2737</v>
      </c>
    </row>
    <row r="847" spans="1:6" hidden="1" x14ac:dyDescent="0.25">
      <c r="A847" t="s">
        <v>2738</v>
      </c>
      <c r="B847" t="s">
        <v>326</v>
      </c>
      <c r="C847" t="s">
        <v>296</v>
      </c>
      <c r="D847" t="s">
        <v>2739</v>
      </c>
      <c r="E847" t="s">
        <v>21</v>
      </c>
      <c r="F847" t="s">
        <v>2740</v>
      </c>
    </row>
    <row r="848" spans="1:6" hidden="1" x14ac:dyDescent="0.25">
      <c r="A848" t="s">
        <v>2741</v>
      </c>
      <c r="B848" t="s">
        <v>326</v>
      </c>
      <c r="C848" t="s">
        <v>296</v>
      </c>
      <c r="D848" t="s">
        <v>2742</v>
      </c>
      <c r="E848" t="s">
        <v>21</v>
      </c>
      <c r="F848" t="s">
        <v>2743</v>
      </c>
    </row>
    <row r="849" spans="1:6" hidden="1" x14ac:dyDescent="0.25">
      <c r="A849" t="s">
        <v>2744</v>
      </c>
      <c r="B849" t="s">
        <v>322</v>
      </c>
      <c r="C849" t="s">
        <v>296</v>
      </c>
      <c r="D849" t="s">
        <v>2745</v>
      </c>
      <c r="E849" t="s">
        <v>21</v>
      </c>
      <c r="F849" t="s">
        <v>2746</v>
      </c>
    </row>
    <row r="850" spans="1:6" hidden="1" x14ac:dyDescent="0.25">
      <c r="A850" t="s">
        <v>2747</v>
      </c>
      <c r="B850" t="s">
        <v>128</v>
      </c>
      <c r="C850" t="s">
        <v>296</v>
      </c>
      <c r="D850" t="s">
        <v>2748</v>
      </c>
      <c r="E850" t="s">
        <v>21</v>
      </c>
      <c r="F850" t="s">
        <v>2749</v>
      </c>
    </row>
    <row r="851" spans="1:6" hidden="1" x14ac:dyDescent="0.25">
      <c r="A851" t="s">
        <v>2750</v>
      </c>
      <c r="B851" t="s">
        <v>160</v>
      </c>
      <c r="C851" t="s">
        <v>296</v>
      </c>
      <c r="D851" t="s">
        <v>2751</v>
      </c>
      <c r="E851" t="s">
        <v>21</v>
      </c>
      <c r="F851" t="s">
        <v>2752</v>
      </c>
    </row>
    <row r="852" spans="1:6" hidden="1" x14ac:dyDescent="0.25">
      <c r="A852" t="s">
        <v>2753</v>
      </c>
      <c r="B852" t="s">
        <v>356</v>
      </c>
      <c r="C852" t="s">
        <v>296</v>
      </c>
      <c r="D852" t="s">
        <v>2754</v>
      </c>
      <c r="E852" t="s">
        <v>21</v>
      </c>
      <c r="F852" t="s">
        <v>2755</v>
      </c>
    </row>
    <row r="853" spans="1:6" hidden="1" x14ac:dyDescent="0.25">
      <c r="A853" t="s">
        <v>2756</v>
      </c>
      <c r="B853" t="s">
        <v>41</v>
      </c>
      <c r="C853" t="s">
        <v>296</v>
      </c>
      <c r="D853" t="s">
        <v>2757</v>
      </c>
      <c r="E853" t="s">
        <v>21</v>
      </c>
      <c r="F853" t="s">
        <v>2758</v>
      </c>
    </row>
    <row r="854" spans="1:6" hidden="1" x14ac:dyDescent="0.25">
      <c r="A854" t="s">
        <v>2759</v>
      </c>
      <c r="B854" t="s">
        <v>89</v>
      </c>
      <c r="C854" t="s">
        <v>296</v>
      </c>
      <c r="D854" t="s">
        <v>2760</v>
      </c>
      <c r="E854" t="s">
        <v>21</v>
      </c>
      <c r="F854" t="s">
        <v>2761</v>
      </c>
    </row>
    <row r="855" spans="1:6" hidden="1" x14ac:dyDescent="0.25">
      <c r="A855" t="s">
        <v>2762</v>
      </c>
      <c r="B855" t="s">
        <v>553</v>
      </c>
      <c r="C855" t="s">
        <v>296</v>
      </c>
      <c r="D855" t="s">
        <v>2763</v>
      </c>
      <c r="E855" t="s">
        <v>21</v>
      </c>
      <c r="F855" t="s">
        <v>2764</v>
      </c>
    </row>
    <row r="856" spans="1:6" hidden="1" x14ac:dyDescent="0.25">
      <c r="A856" t="s">
        <v>2765</v>
      </c>
      <c r="B856" t="s">
        <v>1171</v>
      </c>
      <c r="C856" t="s">
        <v>2766</v>
      </c>
      <c r="D856" t="s">
        <v>2767</v>
      </c>
      <c r="E856" t="s">
        <v>21</v>
      </c>
      <c r="F856" t="s">
        <v>2768</v>
      </c>
    </row>
    <row r="857" spans="1:6" hidden="1" x14ac:dyDescent="0.25">
      <c r="A857" t="s">
        <v>2769</v>
      </c>
      <c r="B857" t="s">
        <v>78</v>
      </c>
      <c r="C857" t="s">
        <v>296</v>
      </c>
      <c r="D857" t="s">
        <v>2770</v>
      </c>
      <c r="E857" t="s">
        <v>21</v>
      </c>
      <c r="F857" t="s">
        <v>2771</v>
      </c>
    </row>
    <row r="858" spans="1:6" hidden="1" x14ac:dyDescent="0.25">
      <c r="A858" t="s">
        <v>115</v>
      </c>
      <c r="B858" t="s">
        <v>51</v>
      </c>
      <c r="C858" t="s">
        <v>296</v>
      </c>
      <c r="D858" t="s">
        <v>116</v>
      </c>
      <c r="E858" t="s">
        <v>21</v>
      </c>
      <c r="F858" t="s">
        <v>118</v>
      </c>
    </row>
    <row r="859" spans="1:6" hidden="1" x14ac:dyDescent="0.25">
      <c r="A859" t="s">
        <v>2772</v>
      </c>
      <c r="B859" t="s">
        <v>543</v>
      </c>
      <c r="C859" t="s">
        <v>296</v>
      </c>
      <c r="D859" t="s">
        <v>2773</v>
      </c>
      <c r="E859" t="s">
        <v>21</v>
      </c>
      <c r="F859" t="s">
        <v>2774</v>
      </c>
    </row>
    <row r="860" spans="1:6" hidden="1" x14ac:dyDescent="0.25">
      <c r="A860" t="s">
        <v>2775</v>
      </c>
      <c r="B860" t="s">
        <v>15</v>
      </c>
      <c r="C860" t="s">
        <v>296</v>
      </c>
      <c r="D860" t="s">
        <v>2776</v>
      </c>
      <c r="E860" t="s">
        <v>21</v>
      </c>
      <c r="F860" t="s">
        <v>2777</v>
      </c>
    </row>
    <row r="861" spans="1:6" hidden="1" x14ac:dyDescent="0.25">
      <c r="A861" t="s">
        <v>2778</v>
      </c>
      <c r="B861" t="s">
        <v>15</v>
      </c>
      <c r="C861" t="s">
        <v>296</v>
      </c>
      <c r="D861" t="s">
        <v>2779</v>
      </c>
      <c r="E861" t="s">
        <v>21</v>
      </c>
      <c r="F861" t="s">
        <v>2780</v>
      </c>
    </row>
    <row r="862" spans="1:6" hidden="1" x14ac:dyDescent="0.25">
      <c r="A862" t="s">
        <v>2781</v>
      </c>
      <c r="B862" t="s">
        <v>142</v>
      </c>
      <c r="C862" t="s">
        <v>296</v>
      </c>
      <c r="D862" t="s">
        <v>2782</v>
      </c>
      <c r="E862" t="s">
        <v>21</v>
      </c>
      <c r="F862" t="s">
        <v>2783</v>
      </c>
    </row>
    <row r="863" spans="1:6" hidden="1" x14ac:dyDescent="0.25">
      <c r="A863" t="s">
        <v>2784</v>
      </c>
      <c r="B863" t="s">
        <v>41</v>
      </c>
      <c r="C863" t="s">
        <v>296</v>
      </c>
      <c r="D863" t="s">
        <v>2785</v>
      </c>
      <c r="E863" t="s">
        <v>21</v>
      </c>
      <c r="F863" t="s">
        <v>2786</v>
      </c>
    </row>
    <row r="864" spans="1:6" hidden="1" x14ac:dyDescent="0.25">
      <c r="A864" t="s">
        <v>2787</v>
      </c>
      <c r="B864" t="s">
        <v>356</v>
      </c>
      <c r="C864" t="s">
        <v>296</v>
      </c>
      <c r="D864" t="s">
        <v>2788</v>
      </c>
      <c r="E864" t="s">
        <v>21</v>
      </c>
      <c r="F864" t="s">
        <v>2789</v>
      </c>
    </row>
    <row r="865" spans="1:6" hidden="1" x14ac:dyDescent="0.25">
      <c r="A865" t="s">
        <v>2790</v>
      </c>
      <c r="B865" t="s">
        <v>553</v>
      </c>
      <c r="C865" t="s">
        <v>296</v>
      </c>
      <c r="D865" t="s">
        <v>2791</v>
      </c>
      <c r="E865" t="s">
        <v>21</v>
      </c>
      <c r="F865" t="s">
        <v>2792</v>
      </c>
    </row>
    <row r="866" spans="1:6" hidden="1" x14ac:dyDescent="0.25">
      <c r="A866" t="s">
        <v>2793</v>
      </c>
      <c r="B866" t="s">
        <v>153</v>
      </c>
      <c r="C866" t="s">
        <v>296</v>
      </c>
      <c r="D866" t="s">
        <v>2794</v>
      </c>
      <c r="E866" t="s">
        <v>21</v>
      </c>
      <c r="F866" t="s">
        <v>2795</v>
      </c>
    </row>
    <row r="867" spans="1:6" hidden="1" x14ac:dyDescent="0.25">
      <c r="A867" t="s">
        <v>2796</v>
      </c>
      <c r="B867" t="s">
        <v>29</v>
      </c>
      <c r="C867" t="s">
        <v>296</v>
      </c>
      <c r="D867" t="s">
        <v>2797</v>
      </c>
      <c r="E867" t="s">
        <v>21</v>
      </c>
      <c r="F867" t="s">
        <v>2798</v>
      </c>
    </row>
    <row r="868" spans="1:6" hidden="1" x14ac:dyDescent="0.25">
      <c r="A868" t="s">
        <v>2799</v>
      </c>
      <c r="B868" t="s">
        <v>410</v>
      </c>
      <c r="C868" t="s">
        <v>296</v>
      </c>
      <c r="D868" t="s">
        <v>2800</v>
      </c>
      <c r="E868" t="s">
        <v>21</v>
      </c>
      <c r="F868" t="s">
        <v>2801</v>
      </c>
    </row>
    <row r="869" spans="1:6" hidden="1" x14ac:dyDescent="0.25">
      <c r="A869" t="s">
        <v>2802</v>
      </c>
      <c r="B869" t="s">
        <v>41</v>
      </c>
      <c r="C869" t="s">
        <v>296</v>
      </c>
      <c r="D869" t="s">
        <v>2803</v>
      </c>
      <c r="E869" t="s">
        <v>21</v>
      </c>
      <c r="F869" t="s">
        <v>2804</v>
      </c>
    </row>
    <row r="870" spans="1:6" hidden="1" x14ac:dyDescent="0.25">
      <c r="A870" t="s">
        <v>2805</v>
      </c>
      <c r="B870" t="s">
        <v>142</v>
      </c>
      <c r="C870" t="s">
        <v>296</v>
      </c>
      <c r="D870" t="s">
        <v>2806</v>
      </c>
      <c r="E870" t="s">
        <v>21</v>
      </c>
      <c r="F870" t="s">
        <v>2807</v>
      </c>
    </row>
    <row r="871" spans="1:6" hidden="1" x14ac:dyDescent="0.25">
      <c r="A871" t="s">
        <v>2808</v>
      </c>
      <c r="B871" t="s">
        <v>51</v>
      </c>
      <c r="C871" t="s">
        <v>296</v>
      </c>
      <c r="D871" t="s">
        <v>2809</v>
      </c>
      <c r="E871" t="s">
        <v>21</v>
      </c>
      <c r="F871" t="s">
        <v>2810</v>
      </c>
    </row>
    <row r="872" spans="1:6" hidden="1" x14ac:dyDescent="0.25">
      <c r="A872" t="s">
        <v>2811</v>
      </c>
      <c r="B872" t="s">
        <v>160</v>
      </c>
      <c r="C872" t="s">
        <v>296</v>
      </c>
      <c r="D872" t="s">
        <v>2812</v>
      </c>
      <c r="E872" t="s">
        <v>21</v>
      </c>
      <c r="F872" t="s">
        <v>2813</v>
      </c>
    </row>
    <row r="873" spans="1:6" hidden="1" x14ac:dyDescent="0.25">
      <c r="A873" t="s">
        <v>2814</v>
      </c>
      <c r="B873" t="s">
        <v>553</v>
      </c>
      <c r="C873" t="s">
        <v>296</v>
      </c>
      <c r="D873" t="s">
        <v>2815</v>
      </c>
      <c r="E873" t="s">
        <v>21</v>
      </c>
      <c r="F873" t="s">
        <v>2816</v>
      </c>
    </row>
    <row r="874" spans="1:6" hidden="1" x14ac:dyDescent="0.25">
      <c r="A874" t="s">
        <v>55</v>
      </c>
      <c r="B874" t="s">
        <v>356</v>
      </c>
      <c r="C874" t="s">
        <v>296</v>
      </c>
      <c r="D874" t="s">
        <v>56</v>
      </c>
      <c r="E874" t="s">
        <v>21</v>
      </c>
      <c r="F874" t="s">
        <v>60</v>
      </c>
    </row>
    <row r="875" spans="1:6" hidden="1" x14ac:dyDescent="0.25">
      <c r="A875" t="s">
        <v>2817</v>
      </c>
      <c r="B875" t="s">
        <v>64</v>
      </c>
      <c r="C875" t="s">
        <v>296</v>
      </c>
      <c r="D875" t="s">
        <v>2818</v>
      </c>
      <c r="E875" t="s">
        <v>21</v>
      </c>
      <c r="F875" t="s">
        <v>2819</v>
      </c>
    </row>
    <row r="876" spans="1:6" hidden="1" x14ac:dyDescent="0.25">
      <c r="A876" t="s">
        <v>2820</v>
      </c>
      <c r="B876" t="s">
        <v>363</v>
      </c>
      <c r="C876" t="s">
        <v>478</v>
      </c>
      <c r="D876" t="s">
        <v>2821</v>
      </c>
      <c r="E876" t="s">
        <v>21</v>
      </c>
      <c r="F876" t="s">
        <v>2822</v>
      </c>
    </row>
    <row r="877" spans="1:6" hidden="1" x14ac:dyDescent="0.25">
      <c r="A877" t="s">
        <v>2823</v>
      </c>
      <c r="B877" t="s">
        <v>64</v>
      </c>
      <c r="C877" t="s">
        <v>296</v>
      </c>
      <c r="D877" t="s">
        <v>2824</v>
      </c>
      <c r="E877" t="s">
        <v>21</v>
      </c>
      <c r="F877" t="s">
        <v>2825</v>
      </c>
    </row>
    <row r="878" spans="1:6" hidden="1" x14ac:dyDescent="0.25">
      <c r="A878" t="s">
        <v>2826</v>
      </c>
      <c r="B878" t="s">
        <v>356</v>
      </c>
      <c r="C878" t="s">
        <v>296</v>
      </c>
      <c r="D878" t="s">
        <v>2827</v>
      </c>
      <c r="E878" t="s">
        <v>21</v>
      </c>
      <c r="F878" t="s">
        <v>2828</v>
      </c>
    </row>
    <row r="879" spans="1:6" hidden="1" x14ac:dyDescent="0.25">
      <c r="A879" t="s">
        <v>2829</v>
      </c>
      <c r="B879" t="s">
        <v>82</v>
      </c>
      <c r="C879" t="s">
        <v>296</v>
      </c>
      <c r="D879" t="s">
        <v>2830</v>
      </c>
      <c r="E879" t="s">
        <v>21</v>
      </c>
      <c r="F879" t="s">
        <v>2831</v>
      </c>
    </row>
    <row r="880" spans="1:6" hidden="1" x14ac:dyDescent="0.25">
      <c r="A880" t="s">
        <v>2832</v>
      </c>
      <c r="B880" t="s">
        <v>82</v>
      </c>
      <c r="C880" t="s">
        <v>296</v>
      </c>
      <c r="D880" t="s">
        <v>2833</v>
      </c>
      <c r="E880" t="s">
        <v>21</v>
      </c>
      <c r="F880" t="s">
        <v>2834</v>
      </c>
    </row>
    <row r="881" spans="1:6" hidden="1" x14ac:dyDescent="0.25">
      <c r="A881" t="s">
        <v>2835</v>
      </c>
      <c r="B881" t="s">
        <v>553</v>
      </c>
      <c r="C881" t="s">
        <v>296</v>
      </c>
      <c r="D881" t="s">
        <v>2836</v>
      </c>
      <c r="E881" t="s">
        <v>21</v>
      </c>
      <c r="F881" t="s">
        <v>2837</v>
      </c>
    </row>
    <row r="882" spans="1:6" hidden="1" x14ac:dyDescent="0.25">
      <c r="A882" t="s">
        <v>2838</v>
      </c>
      <c r="B882" t="s">
        <v>702</v>
      </c>
      <c r="C882" t="s">
        <v>1067</v>
      </c>
      <c r="D882" t="s">
        <v>2839</v>
      </c>
      <c r="E882" t="s">
        <v>21</v>
      </c>
      <c r="F882" t="s">
        <v>2840</v>
      </c>
    </row>
    <row r="883" spans="1:6" hidden="1" x14ac:dyDescent="0.25">
      <c r="A883" t="s">
        <v>2841</v>
      </c>
      <c r="B883" t="s">
        <v>29</v>
      </c>
      <c r="C883" t="s">
        <v>296</v>
      </c>
      <c r="D883" t="s">
        <v>2842</v>
      </c>
      <c r="E883" t="s">
        <v>21</v>
      </c>
      <c r="F883" t="s">
        <v>2843</v>
      </c>
    </row>
    <row r="884" spans="1:6" hidden="1" x14ac:dyDescent="0.25">
      <c r="A884" t="s">
        <v>2844</v>
      </c>
      <c r="B884" t="s">
        <v>326</v>
      </c>
      <c r="C884" t="s">
        <v>296</v>
      </c>
      <c r="D884" t="s">
        <v>2845</v>
      </c>
      <c r="E884" t="s">
        <v>21</v>
      </c>
      <c r="F884" t="s">
        <v>2846</v>
      </c>
    </row>
    <row r="885" spans="1:6" hidden="1" x14ac:dyDescent="0.25">
      <c r="A885" t="s">
        <v>151</v>
      </c>
      <c r="B885" t="s">
        <v>153</v>
      </c>
      <c r="C885" t="s">
        <v>296</v>
      </c>
      <c r="D885" t="s">
        <v>152</v>
      </c>
      <c r="E885" t="s">
        <v>21</v>
      </c>
      <c r="F885" t="s">
        <v>156</v>
      </c>
    </row>
    <row r="886" spans="1:6" hidden="1" x14ac:dyDescent="0.25">
      <c r="A886" t="s">
        <v>2847</v>
      </c>
      <c r="B886" t="s">
        <v>363</v>
      </c>
      <c r="C886" t="s">
        <v>825</v>
      </c>
      <c r="D886" t="s">
        <v>2848</v>
      </c>
      <c r="E886" t="s">
        <v>21</v>
      </c>
      <c r="F886" t="s">
        <v>2849</v>
      </c>
    </row>
    <row r="887" spans="1:6" hidden="1" x14ac:dyDescent="0.25">
      <c r="A887" t="s">
        <v>2850</v>
      </c>
      <c r="B887" t="s">
        <v>322</v>
      </c>
      <c r="C887" t="s">
        <v>296</v>
      </c>
      <c r="D887" t="s">
        <v>2851</v>
      </c>
      <c r="E887" t="s">
        <v>21</v>
      </c>
      <c r="F887" t="s">
        <v>2852</v>
      </c>
    </row>
    <row r="888" spans="1:6" hidden="1" x14ac:dyDescent="0.25">
      <c r="A888" t="s">
        <v>2853</v>
      </c>
      <c r="B888" t="s">
        <v>128</v>
      </c>
      <c r="C888" t="s">
        <v>296</v>
      </c>
      <c r="D888" t="s">
        <v>2854</v>
      </c>
      <c r="E888" t="s">
        <v>21</v>
      </c>
      <c r="F888" t="s">
        <v>2855</v>
      </c>
    </row>
    <row r="889" spans="1:6" hidden="1" x14ac:dyDescent="0.25">
      <c r="A889" t="s">
        <v>2856</v>
      </c>
      <c r="B889" t="s">
        <v>41</v>
      </c>
      <c r="C889" t="s">
        <v>296</v>
      </c>
      <c r="D889" t="s">
        <v>2857</v>
      </c>
      <c r="E889" t="s">
        <v>21</v>
      </c>
      <c r="F889" t="s">
        <v>2858</v>
      </c>
    </row>
    <row r="890" spans="1:6" hidden="1" x14ac:dyDescent="0.25">
      <c r="A890" t="s">
        <v>2859</v>
      </c>
      <c r="B890" t="s">
        <v>382</v>
      </c>
      <c r="C890" t="s">
        <v>296</v>
      </c>
      <c r="D890" t="s">
        <v>2860</v>
      </c>
      <c r="E890" t="s">
        <v>21</v>
      </c>
      <c r="F890" t="s">
        <v>2861</v>
      </c>
    </row>
    <row r="891" spans="1:6" hidden="1" x14ac:dyDescent="0.25">
      <c r="A891" t="s">
        <v>2862</v>
      </c>
      <c r="B891" t="s">
        <v>41</v>
      </c>
      <c r="C891" t="s">
        <v>296</v>
      </c>
      <c r="D891" t="s">
        <v>2863</v>
      </c>
      <c r="E891" t="s">
        <v>21</v>
      </c>
      <c r="F891" t="s">
        <v>2864</v>
      </c>
    </row>
    <row r="892" spans="1:6" hidden="1" x14ac:dyDescent="0.25">
      <c r="A892" t="s">
        <v>2865</v>
      </c>
      <c r="B892" t="s">
        <v>15</v>
      </c>
      <c r="C892" t="s">
        <v>296</v>
      </c>
      <c r="D892" t="s">
        <v>2866</v>
      </c>
      <c r="E892" t="s">
        <v>21</v>
      </c>
      <c r="F892" t="s">
        <v>2867</v>
      </c>
    </row>
    <row r="893" spans="1:6" hidden="1" x14ac:dyDescent="0.25">
      <c r="A893" t="s">
        <v>2868</v>
      </c>
      <c r="B893" t="s">
        <v>51</v>
      </c>
      <c r="C893" t="s">
        <v>296</v>
      </c>
      <c r="D893" t="s">
        <v>2869</v>
      </c>
      <c r="E893" t="s">
        <v>21</v>
      </c>
      <c r="F893" t="s">
        <v>2870</v>
      </c>
    </row>
    <row r="894" spans="1:6" hidden="1" x14ac:dyDescent="0.25">
      <c r="A894" t="s">
        <v>2871</v>
      </c>
      <c r="B894" t="s">
        <v>427</v>
      </c>
      <c r="C894" t="s">
        <v>296</v>
      </c>
      <c r="D894" t="s">
        <v>2872</v>
      </c>
      <c r="E894" t="s">
        <v>21</v>
      </c>
      <c r="F894" t="s">
        <v>2873</v>
      </c>
    </row>
    <row r="895" spans="1:6" hidden="1" x14ac:dyDescent="0.25">
      <c r="A895" t="s">
        <v>2874</v>
      </c>
      <c r="B895" t="s">
        <v>121</v>
      </c>
      <c r="C895" t="s">
        <v>296</v>
      </c>
      <c r="D895" t="s">
        <v>2875</v>
      </c>
      <c r="E895" t="s">
        <v>21</v>
      </c>
      <c r="F895" t="s">
        <v>2876</v>
      </c>
    </row>
    <row r="896" spans="1:6" hidden="1" x14ac:dyDescent="0.25">
      <c r="A896" t="s">
        <v>2877</v>
      </c>
      <c r="B896" t="s">
        <v>752</v>
      </c>
      <c r="C896" t="s">
        <v>296</v>
      </c>
      <c r="D896" t="s">
        <v>2878</v>
      </c>
      <c r="E896" t="s">
        <v>21</v>
      </c>
      <c r="F896" t="s">
        <v>2879</v>
      </c>
    </row>
    <row r="897" spans="1:6" hidden="1" x14ac:dyDescent="0.25">
      <c r="A897" t="s">
        <v>2880</v>
      </c>
      <c r="B897" t="s">
        <v>702</v>
      </c>
      <c r="C897" t="s">
        <v>1067</v>
      </c>
      <c r="D897" t="s">
        <v>2881</v>
      </c>
      <c r="E897" t="s">
        <v>21</v>
      </c>
      <c r="F897" t="s">
        <v>2882</v>
      </c>
    </row>
    <row r="898" spans="1:6" hidden="1" x14ac:dyDescent="0.25">
      <c r="A898" t="s">
        <v>2883</v>
      </c>
      <c r="B898" t="s">
        <v>64</v>
      </c>
      <c r="C898" t="s">
        <v>296</v>
      </c>
      <c r="D898" t="s">
        <v>2884</v>
      </c>
      <c r="E898" t="s">
        <v>21</v>
      </c>
      <c r="F898" t="s">
        <v>2885</v>
      </c>
    </row>
    <row r="899" spans="1:6" hidden="1" x14ac:dyDescent="0.25">
      <c r="A899" t="s">
        <v>13</v>
      </c>
      <c r="B899" t="s">
        <v>15</v>
      </c>
      <c r="C899" t="s">
        <v>296</v>
      </c>
      <c r="D899" t="s">
        <v>14</v>
      </c>
      <c r="E899" t="s">
        <v>21</v>
      </c>
      <c r="F899" t="s">
        <v>19</v>
      </c>
    </row>
    <row r="900" spans="1:6" hidden="1" x14ac:dyDescent="0.25">
      <c r="A900" t="s">
        <v>2886</v>
      </c>
      <c r="B900" t="s">
        <v>386</v>
      </c>
      <c r="C900" t="s">
        <v>387</v>
      </c>
      <c r="D900" t="s">
        <v>2887</v>
      </c>
      <c r="E900" t="s">
        <v>21</v>
      </c>
      <c r="F900" t="s">
        <v>2888</v>
      </c>
    </row>
    <row r="901" spans="1:6" hidden="1" x14ac:dyDescent="0.25">
      <c r="A901" t="s">
        <v>2889</v>
      </c>
      <c r="B901" t="s">
        <v>382</v>
      </c>
      <c r="C901" t="s">
        <v>296</v>
      </c>
      <c r="D901" t="s">
        <v>2890</v>
      </c>
      <c r="E901" t="s">
        <v>21</v>
      </c>
      <c r="F901" t="s">
        <v>2891</v>
      </c>
    </row>
    <row r="902" spans="1:6" hidden="1" x14ac:dyDescent="0.25">
      <c r="A902" t="s">
        <v>2892</v>
      </c>
      <c r="B902" t="s">
        <v>702</v>
      </c>
      <c r="C902" t="s">
        <v>825</v>
      </c>
      <c r="D902" t="s">
        <v>2893</v>
      </c>
      <c r="E902" t="s">
        <v>21</v>
      </c>
      <c r="F902" t="s">
        <v>2894</v>
      </c>
    </row>
    <row r="903" spans="1:6" hidden="1" x14ac:dyDescent="0.25">
      <c r="A903" t="s">
        <v>2895</v>
      </c>
      <c r="B903" t="s">
        <v>78</v>
      </c>
      <c r="C903" t="s">
        <v>296</v>
      </c>
      <c r="D903" t="s">
        <v>2896</v>
      </c>
      <c r="E903" t="s">
        <v>21</v>
      </c>
      <c r="F903" t="s">
        <v>2897</v>
      </c>
    </row>
    <row r="904" spans="1:6" hidden="1" x14ac:dyDescent="0.25">
      <c r="A904" t="s">
        <v>2898</v>
      </c>
      <c r="B904" t="s">
        <v>197</v>
      </c>
      <c r="C904" t="s">
        <v>296</v>
      </c>
      <c r="D904" t="s">
        <v>2899</v>
      </c>
      <c r="E904" t="s">
        <v>21</v>
      </c>
      <c r="F904" t="s">
        <v>2900</v>
      </c>
    </row>
    <row r="905" spans="1:6" hidden="1" x14ac:dyDescent="0.25">
      <c r="A905" t="s">
        <v>2901</v>
      </c>
      <c r="B905" t="s">
        <v>326</v>
      </c>
      <c r="C905" t="s">
        <v>296</v>
      </c>
      <c r="D905" t="s">
        <v>2902</v>
      </c>
      <c r="E905" t="s">
        <v>21</v>
      </c>
      <c r="F905" t="s">
        <v>2903</v>
      </c>
    </row>
    <row r="906" spans="1:6" hidden="1" x14ac:dyDescent="0.25">
      <c r="A906" t="s">
        <v>2904</v>
      </c>
      <c r="B906" t="s">
        <v>410</v>
      </c>
      <c r="C906" t="s">
        <v>296</v>
      </c>
      <c r="D906" t="s">
        <v>2905</v>
      </c>
      <c r="E906" t="s">
        <v>21</v>
      </c>
      <c r="F906" t="s">
        <v>2906</v>
      </c>
    </row>
    <row r="907" spans="1:6" hidden="1" x14ac:dyDescent="0.25">
      <c r="A907" t="s">
        <v>2907</v>
      </c>
      <c r="B907" t="s">
        <v>153</v>
      </c>
      <c r="C907" t="s">
        <v>296</v>
      </c>
      <c r="D907" t="s">
        <v>2908</v>
      </c>
      <c r="E907" t="s">
        <v>21</v>
      </c>
      <c r="F907" t="s">
        <v>2909</v>
      </c>
    </row>
    <row r="908" spans="1:6" hidden="1" x14ac:dyDescent="0.25">
      <c r="A908" t="s">
        <v>2910</v>
      </c>
      <c r="B908" t="s">
        <v>41</v>
      </c>
      <c r="C908" t="s">
        <v>296</v>
      </c>
      <c r="D908" t="s">
        <v>2911</v>
      </c>
      <c r="E908" t="s">
        <v>21</v>
      </c>
      <c r="F908" t="s">
        <v>2912</v>
      </c>
    </row>
    <row r="909" spans="1:6" hidden="1" x14ac:dyDescent="0.25">
      <c r="A909" t="s">
        <v>2913</v>
      </c>
      <c r="B909" t="s">
        <v>41</v>
      </c>
      <c r="C909" t="s">
        <v>296</v>
      </c>
      <c r="D909" t="s">
        <v>2914</v>
      </c>
      <c r="E909" t="s">
        <v>21</v>
      </c>
      <c r="F909" t="s">
        <v>2915</v>
      </c>
    </row>
    <row r="910" spans="1:6" hidden="1" x14ac:dyDescent="0.25">
      <c r="A910" t="s">
        <v>2916</v>
      </c>
      <c r="B910" t="s">
        <v>51</v>
      </c>
      <c r="C910" t="s">
        <v>296</v>
      </c>
      <c r="D910" t="s">
        <v>2917</v>
      </c>
      <c r="E910" t="s">
        <v>21</v>
      </c>
      <c r="F910" t="s">
        <v>2918</v>
      </c>
    </row>
    <row r="911" spans="1:6" hidden="1" x14ac:dyDescent="0.25">
      <c r="A911" t="s">
        <v>2919</v>
      </c>
      <c r="B911" t="s">
        <v>553</v>
      </c>
      <c r="C911" t="s">
        <v>296</v>
      </c>
      <c r="D911" t="s">
        <v>2920</v>
      </c>
      <c r="E911" t="s">
        <v>21</v>
      </c>
      <c r="F911" t="s">
        <v>2921</v>
      </c>
    </row>
    <row r="912" spans="1:6" hidden="1" x14ac:dyDescent="0.25">
      <c r="A912" t="s">
        <v>283</v>
      </c>
      <c r="B912" t="s">
        <v>1711</v>
      </c>
      <c r="C912" t="s">
        <v>296</v>
      </c>
      <c r="D912" t="s">
        <v>2922</v>
      </c>
      <c r="E912" t="s">
        <v>21</v>
      </c>
      <c r="F912" t="s">
        <v>2923</v>
      </c>
    </row>
    <row r="913" spans="1:6" hidden="1" x14ac:dyDescent="0.25">
      <c r="A913" t="s">
        <v>2924</v>
      </c>
      <c r="B913" t="s">
        <v>336</v>
      </c>
      <c r="C913" t="s">
        <v>296</v>
      </c>
      <c r="D913" t="s">
        <v>2925</v>
      </c>
      <c r="E913" t="s">
        <v>21</v>
      </c>
      <c r="F913" t="s">
        <v>2926</v>
      </c>
    </row>
    <row r="914" spans="1:6" hidden="1" x14ac:dyDescent="0.25">
      <c r="A914" t="s">
        <v>2927</v>
      </c>
      <c r="B914" t="s">
        <v>64</v>
      </c>
      <c r="C914" t="s">
        <v>296</v>
      </c>
      <c r="D914" t="s">
        <v>2928</v>
      </c>
      <c r="E914" t="s">
        <v>21</v>
      </c>
      <c r="F914" t="s">
        <v>2929</v>
      </c>
    </row>
    <row r="915" spans="1:6" hidden="1" x14ac:dyDescent="0.25">
      <c r="A915" t="s">
        <v>2930</v>
      </c>
      <c r="B915" t="s">
        <v>97</v>
      </c>
      <c r="C915" t="s">
        <v>296</v>
      </c>
      <c r="D915" t="s">
        <v>2931</v>
      </c>
      <c r="E915" t="s">
        <v>21</v>
      </c>
      <c r="F915" t="s">
        <v>2932</v>
      </c>
    </row>
    <row r="916" spans="1:6" hidden="1" x14ac:dyDescent="0.25">
      <c r="A916" t="s">
        <v>2933</v>
      </c>
      <c r="B916" t="s">
        <v>121</v>
      </c>
      <c r="C916" t="s">
        <v>296</v>
      </c>
      <c r="D916" t="s">
        <v>2934</v>
      </c>
      <c r="E916" t="s">
        <v>21</v>
      </c>
      <c r="F916" t="s">
        <v>2935</v>
      </c>
    </row>
    <row r="917" spans="1:6" hidden="1" x14ac:dyDescent="0.25">
      <c r="A917" t="s">
        <v>2936</v>
      </c>
      <c r="B917" t="s">
        <v>326</v>
      </c>
      <c r="C917" t="s">
        <v>296</v>
      </c>
      <c r="D917" t="s">
        <v>2937</v>
      </c>
      <c r="E917" t="s">
        <v>21</v>
      </c>
      <c r="F917" t="s">
        <v>2938</v>
      </c>
    </row>
    <row r="918" spans="1:6" hidden="1" x14ac:dyDescent="0.25">
      <c r="A918" t="s">
        <v>2939</v>
      </c>
      <c r="B918" t="s">
        <v>553</v>
      </c>
      <c r="C918" t="s">
        <v>296</v>
      </c>
      <c r="D918" t="s">
        <v>2940</v>
      </c>
      <c r="E918" t="s">
        <v>21</v>
      </c>
      <c r="F918" t="s">
        <v>2941</v>
      </c>
    </row>
    <row r="919" spans="1:6" hidden="1" x14ac:dyDescent="0.25">
      <c r="A919" t="s">
        <v>2942</v>
      </c>
      <c r="B919" t="s">
        <v>128</v>
      </c>
      <c r="C919" t="s">
        <v>296</v>
      </c>
      <c r="D919" t="s">
        <v>2943</v>
      </c>
      <c r="E919" t="s">
        <v>21</v>
      </c>
      <c r="F919" t="s">
        <v>2944</v>
      </c>
    </row>
    <row r="920" spans="1:6" hidden="1" x14ac:dyDescent="0.25">
      <c r="A920" t="s">
        <v>2945</v>
      </c>
      <c r="B920" t="s">
        <v>410</v>
      </c>
      <c r="C920" t="s">
        <v>296</v>
      </c>
      <c r="D920" t="s">
        <v>2946</v>
      </c>
      <c r="E920" t="s">
        <v>21</v>
      </c>
      <c r="F920" t="s">
        <v>2947</v>
      </c>
    </row>
    <row r="921" spans="1:6" hidden="1" x14ac:dyDescent="0.25">
      <c r="A921" t="s">
        <v>2948</v>
      </c>
      <c r="B921" t="s">
        <v>160</v>
      </c>
      <c r="C921" t="s">
        <v>296</v>
      </c>
      <c r="D921" t="s">
        <v>2949</v>
      </c>
      <c r="E921" t="s">
        <v>21</v>
      </c>
      <c r="F921" t="s">
        <v>2950</v>
      </c>
    </row>
    <row r="922" spans="1:6" hidden="1" x14ac:dyDescent="0.25">
      <c r="A922" t="s">
        <v>2951</v>
      </c>
      <c r="B922" t="s">
        <v>356</v>
      </c>
      <c r="C922" t="s">
        <v>296</v>
      </c>
      <c r="D922" t="s">
        <v>2952</v>
      </c>
      <c r="E922" t="s">
        <v>21</v>
      </c>
      <c r="F922" t="s">
        <v>2953</v>
      </c>
    </row>
    <row r="923" spans="1:6" hidden="1" x14ac:dyDescent="0.25">
      <c r="A923" t="s">
        <v>2954</v>
      </c>
      <c r="B923" t="s">
        <v>142</v>
      </c>
      <c r="C923" t="s">
        <v>296</v>
      </c>
      <c r="D923" t="s">
        <v>2955</v>
      </c>
      <c r="E923" t="s">
        <v>21</v>
      </c>
      <c r="F923" t="s">
        <v>2956</v>
      </c>
    </row>
    <row r="924" spans="1:6" hidden="1" x14ac:dyDescent="0.25">
      <c r="A924" t="s">
        <v>222</v>
      </c>
      <c r="B924" t="s">
        <v>142</v>
      </c>
      <c r="C924" t="s">
        <v>296</v>
      </c>
      <c r="D924" t="s">
        <v>223</v>
      </c>
      <c r="E924" t="s">
        <v>21</v>
      </c>
      <c r="F924" t="s">
        <v>224</v>
      </c>
    </row>
    <row r="925" spans="1:6" hidden="1" x14ac:dyDescent="0.25">
      <c r="A925" t="s">
        <v>2957</v>
      </c>
      <c r="B925" t="s">
        <v>514</v>
      </c>
      <c r="C925" t="s">
        <v>2958</v>
      </c>
      <c r="D925" t="s">
        <v>2959</v>
      </c>
      <c r="E925" t="s">
        <v>21</v>
      </c>
      <c r="F925" t="s">
        <v>2960</v>
      </c>
    </row>
    <row r="926" spans="1:6" hidden="1" x14ac:dyDescent="0.25">
      <c r="A926" t="s">
        <v>2961</v>
      </c>
      <c r="B926" t="s">
        <v>24</v>
      </c>
      <c r="C926" t="s">
        <v>296</v>
      </c>
      <c r="D926" t="s">
        <v>2962</v>
      </c>
      <c r="E926" t="s">
        <v>21</v>
      </c>
      <c r="F926" t="s">
        <v>2963</v>
      </c>
    </row>
    <row r="927" spans="1:6" hidden="1" x14ac:dyDescent="0.25">
      <c r="A927" t="s">
        <v>2964</v>
      </c>
      <c r="B927" t="s">
        <v>1711</v>
      </c>
      <c r="C927" t="s">
        <v>296</v>
      </c>
      <c r="D927" t="s">
        <v>2965</v>
      </c>
      <c r="E927" t="s">
        <v>21</v>
      </c>
      <c r="F927" t="s">
        <v>2966</v>
      </c>
    </row>
    <row r="928" spans="1:6" hidden="1" x14ac:dyDescent="0.25">
      <c r="A928" t="s">
        <v>2967</v>
      </c>
      <c r="B928" t="s">
        <v>24</v>
      </c>
      <c r="C928" t="s">
        <v>296</v>
      </c>
      <c r="D928" t="s">
        <v>2968</v>
      </c>
      <c r="E928" t="s">
        <v>21</v>
      </c>
      <c r="F928" t="s">
        <v>2969</v>
      </c>
    </row>
    <row r="929" spans="1:6" hidden="1" x14ac:dyDescent="0.25">
      <c r="A929" t="s">
        <v>2970</v>
      </c>
      <c r="B929" t="s">
        <v>533</v>
      </c>
      <c r="C929" t="s">
        <v>296</v>
      </c>
      <c r="D929" t="s">
        <v>2971</v>
      </c>
      <c r="E929" t="s">
        <v>21</v>
      </c>
      <c r="F929" t="s">
        <v>2972</v>
      </c>
    </row>
    <row r="930" spans="1:6" hidden="1" x14ac:dyDescent="0.25">
      <c r="A930" t="s">
        <v>2973</v>
      </c>
      <c r="B930" t="s">
        <v>89</v>
      </c>
      <c r="C930" t="s">
        <v>296</v>
      </c>
      <c r="D930" t="s">
        <v>2974</v>
      </c>
      <c r="E930" t="s">
        <v>21</v>
      </c>
      <c r="F930" t="s">
        <v>2975</v>
      </c>
    </row>
    <row r="931" spans="1:6" hidden="1" x14ac:dyDescent="0.25">
      <c r="A931" t="s">
        <v>2976</v>
      </c>
      <c r="B931" t="s">
        <v>553</v>
      </c>
      <c r="C931" t="s">
        <v>296</v>
      </c>
      <c r="D931" t="s">
        <v>2977</v>
      </c>
      <c r="E931" t="s">
        <v>21</v>
      </c>
      <c r="F931" t="s">
        <v>2978</v>
      </c>
    </row>
    <row r="932" spans="1:6" hidden="1" x14ac:dyDescent="0.25">
      <c r="A932" t="s">
        <v>2979</v>
      </c>
      <c r="B932" t="s">
        <v>64</v>
      </c>
      <c r="C932" t="s">
        <v>296</v>
      </c>
      <c r="D932" t="s">
        <v>2980</v>
      </c>
      <c r="E932" t="s">
        <v>21</v>
      </c>
      <c r="F932" t="s">
        <v>2981</v>
      </c>
    </row>
    <row r="933" spans="1:6" hidden="1" x14ac:dyDescent="0.25">
      <c r="A933" t="s">
        <v>2982</v>
      </c>
      <c r="B933" t="s">
        <v>197</v>
      </c>
      <c r="C933" t="s">
        <v>296</v>
      </c>
      <c r="D933" t="s">
        <v>2983</v>
      </c>
      <c r="E933" t="s">
        <v>21</v>
      </c>
      <c r="F933" t="s">
        <v>2984</v>
      </c>
    </row>
    <row r="934" spans="1:6" hidden="1" x14ac:dyDescent="0.25">
      <c r="A934" t="s">
        <v>2985</v>
      </c>
      <c r="B934" t="s">
        <v>553</v>
      </c>
      <c r="C934" t="s">
        <v>296</v>
      </c>
      <c r="D934" t="s">
        <v>2986</v>
      </c>
      <c r="E934" t="s">
        <v>21</v>
      </c>
      <c r="F934" t="s">
        <v>2987</v>
      </c>
    </row>
    <row r="935" spans="1:6" hidden="1" x14ac:dyDescent="0.25">
      <c r="A935" t="s">
        <v>2988</v>
      </c>
      <c r="B935" t="s">
        <v>752</v>
      </c>
      <c r="C935" t="s">
        <v>296</v>
      </c>
      <c r="D935" t="s">
        <v>2989</v>
      </c>
      <c r="E935" t="s">
        <v>21</v>
      </c>
      <c r="F935" t="s">
        <v>2990</v>
      </c>
    </row>
    <row r="936" spans="1:6" hidden="1" x14ac:dyDescent="0.25">
      <c r="A936" t="s">
        <v>2991</v>
      </c>
      <c r="B936" t="s">
        <v>514</v>
      </c>
      <c r="C936" t="s">
        <v>2992</v>
      </c>
      <c r="D936" t="s">
        <v>2993</v>
      </c>
      <c r="E936" t="s">
        <v>21</v>
      </c>
      <c r="F936" t="s">
        <v>2994</v>
      </c>
    </row>
    <row r="937" spans="1:6" hidden="1" x14ac:dyDescent="0.25">
      <c r="A937" t="s">
        <v>2995</v>
      </c>
      <c r="B937" t="s">
        <v>64</v>
      </c>
      <c r="C937" t="s">
        <v>296</v>
      </c>
      <c r="D937" t="s">
        <v>2996</v>
      </c>
      <c r="E937" t="s">
        <v>21</v>
      </c>
      <c r="F937" t="s">
        <v>2997</v>
      </c>
    </row>
    <row r="938" spans="1:6" hidden="1" x14ac:dyDescent="0.25">
      <c r="A938" t="s">
        <v>2998</v>
      </c>
      <c r="B938" t="s">
        <v>132</v>
      </c>
      <c r="C938" t="s">
        <v>296</v>
      </c>
      <c r="D938" t="s">
        <v>2999</v>
      </c>
      <c r="E938" t="s">
        <v>21</v>
      </c>
      <c r="F938" t="s">
        <v>3000</v>
      </c>
    </row>
    <row r="939" spans="1:6" hidden="1" x14ac:dyDescent="0.25">
      <c r="A939" t="s">
        <v>3001</v>
      </c>
      <c r="B939" t="s">
        <v>64</v>
      </c>
      <c r="C939" t="s">
        <v>296</v>
      </c>
      <c r="D939" t="s">
        <v>3002</v>
      </c>
      <c r="E939" t="s">
        <v>21</v>
      </c>
      <c r="F939" t="s">
        <v>3003</v>
      </c>
    </row>
    <row r="940" spans="1:6" hidden="1" x14ac:dyDescent="0.25">
      <c r="A940" t="s">
        <v>3004</v>
      </c>
      <c r="B940" t="s">
        <v>160</v>
      </c>
      <c r="C940" t="s">
        <v>296</v>
      </c>
      <c r="D940" t="s">
        <v>3005</v>
      </c>
      <c r="E940" t="s">
        <v>21</v>
      </c>
      <c r="F940" t="s">
        <v>3006</v>
      </c>
    </row>
    <row r="941" spans="1:6" hidden="1" x14ac:dyDescent="0.25">
      <c r="A941" t="s">
        <v>3007</v>
      </c>
      <c r="B941" t="s">
        <v>41</v>
      </c>
      <c r="C941" t="s">
        <v>296</v>
      </c>
      <c r="D941" t="s">
        <v>3008</v>
      </c>
      <c r="E941" t="s">
        <v>21</v>
      </c>
      <c r="F941" t="s">
        <v>3009</v>
      </c>
    </row>
    <row r="942" spans="1:6" hidden="1" x14ac:dyDescent="0.25">
      <c r="A942" t="s">
        <v>3010</v>
      </c>
      <c r="B942" t="s">
        <v>420</v>
      </c>
      <c r="C942" t="s">
        <v>296</v>
      </c>
      <c r="D942" t="s">
        <v>3011</v>
      </c>
      <c r="E942" t="s">
        <v>21</v>
      </c>
      <c r="F942" t="s">
        <v>3012</v>
      </c>
    </row>
    <row r="943" spans="1:6" hidden="1" x14ac:dyDescent="0.25">
      <c r="A943" t="s">
        <v>3013</v>
      </c>
      <c r="B943" t="s">
        <v>82</v>
      </c>
      <c r="C943" t="s">
        <v>296</v>
      </c>
      <c r="D943" t="s">
        <v>3014</v>
      </c>
      <c r="E943" t="s">
        <v>21</v>
      </c>
      <c r="F943" t="s">
        <v>3015</v>
      </c>
    </row>
    <row r="944" spans="1:6" hidden="1" x14ac:dyDescent="0.25">
      <c r="A944" t="s">
        <v>3016</v>
      </c>
      <c r="B944" t="s">
        <v>322</v>
      </c>
      <c r="C944" t="s">
        <v>296</v>
      </c>
      <c r="D944" t="s">
        <v>3017</v>
      </c>
      <c r="E944" t="s">
        <v>21</v>
      </c>
      <c r="F944" t="s">
        <v>3018</v>
      </c>
    </row>
    <row r="945" spans="1:6" hidden="1" x14ac:dyDescent="0.25">
      <c r="A945" t="s">
        <v>3019</v>
      </c>
      <c r="B945" t="s">
        <v>29</v>
      </c>
      <c r="C945" t="s">
        <v>296</v>
      </c>
      <c r="D945" t="s">
        <v>3020</v>
      </c>
      <c r="E945" t="s">
        <v>21</v>
      </c>
      <c r="F945" t="s">
        <v>3021</v>
      </c>
    </row>
    <row r="946" spans="1:6" hidden="1" x14ac:dyDescent="0.25">
      <c r="A946" t="s">
        <v>3022</v>
      </c>
      <c r="B946" t="s">
        <v>343</v>
      </c>
      <c r="C946" t="s">
        <v>296</v>
      </c>
      <c r="D946" t="s">
        <v>3023</v>
      </c>
      <c r="E946" t="s">
        <v>21</v>
      </c>
      <c r="F946" t="s">
        <v>3024</v>
      </c>
    </row>
    <row r="947" spans="1:6" hidden="1" x14ac:dyDescent="0.25">
      <c r="A947" t="s">
        <v>3025</v>
      </c>
      <c r="B947" t="s">
        <v>160</v>
      </c>
      <c r="C947" t="s">
        <v>296</v>
      </c>
      <c r="D947" t="s">
        <v>3026</v>
      </c>
      <c r="E947" t="s">
        <v>21</v>
      </c>
      <c r="F947" t="s">
        <v>3027</v>
      </c>
    </row>
    <row r="948" spans="1:6" hidden="1" x14ac:dyDescent="0.25">
      <c r="A948" t="s">
        <v>3028</v>
      </c>
      <c r="B948" t="s">
        <v>51</v>
      </c>
      <c r="C948" t="s">
        <v>296</v>
      </c>
      <c r="D948" t="s">
        <v>3029</v>
      </c>
      <c r="E948" t="s">
        <v>21</v>
      </c>
      <c r="F948" t="s">
        <v>3030</v>
      </c>
    </row>
    <row r="949" spans="1:6" hidden="1" x14ac:dyDescent="0.25">
      <c r="A949" t="s">
        <v>3031</v>
      </c>
      <c r="B949" t="s">
        <v>82</v>
      </c>
      <c r="C949" t="s">
        <v>296</v>
      </c>
      <c r="D949" t="s">
        <v>3032</v>
      </c>
      <c r="E949" t="s">
        <v>21</v>
      </c>
      <c r="F949" t="s">
        <v>3033</v>
      </c>
    </row>
    <row r="950" spans="1:6" hidden="1" x14ac:dyDescent="0.25">
      <c r="A950" t="s">
        <v>3034</v>
      </c>
      <c r="B950" t="s">
        <v>311</v>
      </c>
      <c r="C950" t="s">
        <v>296</v>
      </c>
      <c r="D950" t="s">
        <v>3035</v>
      </c>
      <c r="E950" t="s">
        <v>21</v>
      </c>
      <c r="F950" t="s">
        <v>3036</v>
      </c>
    </row>
    <row r="951" spans="1:6" hidden="1" x14ac:dyDescent="0.25">
      <c r="A951" t="s">
        <v>3037</v>
      </c>
      <c r="B951" t="s">
        <v>410</v>
      </c>
      <c r="C951" t="s">
        <v>296</v>
      </c>
      <c r="D951" t="s">
        <v>3038</v>
      </c>
      <c r="E951" t="s">
        <v>21</v>
      </c>
      <c r="F951" t="s">
        <v>3039</v>
      </c>
    </row>
    <row r="952" spans="1:6" hidden="1" x14ac:dyDescent="0.25">
      <c r="A952" t="s">
        <v>3040</v>
      </c>
      <c r="B952" t="s">
        <v>303</v>
      </c>
      <c r="C952" t="s">
        <v>304</v>
      </c>
      <c r="D952" t="s">
        <v>3041</v>
      </c>
      <c r="E952" t="s">
        <v>21</v>
      </c>
      <c r="F952" t="s">
        <v>3042</v>
      </c>
    </row>
    <row r="953" spans="1:6" hidden="1" x14ac:dyDescent="0.25">
      <c r="A953" t="s">
        <v>3043</v>
      </c>
      <c r="B953" t="s">
        <v>702</v>
      </c>
      <c r="C953" t="s">
        <v>1067</v>
      </c>
      <c r="D953" t="s">
        <v>3044</v>
      </c>
      <c r="E953" t="s">
        <v>21</v>
      </c>
      <c r="F953" t="s">
        <v>3045</v>
      </c>
    </row>
    <row r="954" spans="1:6" hidden="1" x14ac:dyDescent="0.25">
      <c r="A954" t="s">
        <v>3046</v>
      </c>
      <c r="B954" t="s">
        <v>3047</v>
      </c>
      <c r="C954" t="s">
        <v>296</v>
      </c>
      <c r="D954" t="s">
        <v>3048</v>
      </c>
      <c r="E954" t="s">
        <v>21</v>
      </c>
      <c r="F954" t="s">
        <v>3049</v>
      </c>
    </row>
    <row r="955" spans="1:6" hidden="1" x14ac:dyDescent="0.25">
      <c r="A955" t="s">
        <v>3050</v>
      </c>
      <c r="B955" t="s">
        <v>153</v>
      </c>
      <c r="C955" t="s">
        <v>296</v>
      </c>
      <c r="D955" t="s">
        <v>3051</v>
      </c>
      <c r="E955" t="s">
        <v>21</v>
      </c>
      <c r="F955" t="s">
        <v>3052</v>
      </c>
    </row>
    <row r="956" spans="1:6" hidden="1" x14ac:dyDescent="0.25">
      <c r="A956" t="s">
        <v>3053</v>
      </c>
      <c r="B956" t="s">
        <v>64</v>
      </c>
      <c r="C956" t="s">
        <v>296</v>
      </c>
      <c r="D956" t="s">
        <v>3054</v>
      </c>
      <c r="E956" t="s">
        <v>21</v>
      </c>
      <c r="F956" t="s">
        <v>3055</v>
      </c>
    </row>
    <row r="957" spans="1:6" hidden="1" x14ac:dyDescent="0.25">
      <c r="A957" t="s">
        <v>3056</v>
      </c>
      <c r="B957" t="s">
        <v>702</v>
      </c>
      <c r="C957" t="s">
        <v>825</v>
      </c>
      <c r="D957" t="s">
        <v>3057</v>
      </c>
      <c r="E957" t="s">
        <v>21</v>
      </c>
      <c r="F957" t="s">
        <v>3058</v>
      </c>
    </row>
    <row r="958" spans="1:6" hidden="1" x14ac:dyDescent="0.25">
      <c r="A958" t="s">
        <v>3059</v>
      </c>
      <c r="B958" t="s">
        <v>702</v>
      </c>
      <c r="C958" t="s">
        <v>478</v>
      </c>
      <c r="D958" t="s">
        <v>3060</v>
      </c>
      <c r="E958" t="s">
        <v>21</v>
      </c>
      <c r="F958" t="s">
        <v>3061</v>
      </c>
    </row>
    <row r="959" spans="1:6" hidden="1" x14ac:dyDescent="0.25">
      <c r="A959" t="s">
        <v>76</v>
      </c>
      <c r="B959" t="s">
        <v>78</v>
      </c>
      <c r="C959" t="s">
        <v>296</v>
      </c>
      <c r="D959" t="s">
        <v>77</v>
      </c>
      <c r="E959" t="s">
        <v>21</v>
      </c>
      <c r="F959" t="s">
        <v>79</v>
      </c>
    </row>
    <row r="960" spans="1:6" hidden="1" x14ac:dyDescent="0.25">
      <c r="A960" t="s">
        <v>3062</v>
      </c>
      <c r="B960" t="s">
        <v>1356</v>
      </c>
      <c r="C960" t="s">
        <v>3063</v>
      </c>
      <c r="D960" t="s">
        <v>3064</v>
      </c>
      <c r="E960" t="s">
        <v>21</v>
      </c>
      <c r="F960" t="s">
        <v>3065</v>
      </c>
    </row>
    <row r="961" spans="1:6" hidden="1" x14ac:dyDescent="0.25">
      <c r="A961" t="s">
        <v>3066</v>
      </c>
      <c r="B961" t="s">
        <v>454</v>
      </c>
      <c r="C961" t="s">
        <v>296</v>
      </c>
      <c r="D961" t="s">
        <v>3067</v>
      </c>
      <c r="E961" t="s">
        <v>21</v>
      </c>
      <c r="F961" t="s">
        <v>3068</v>
      </c>
    </row>
    <row r="962" spans="1:6" hidden="1" x14ac:dyDescent="0.25">
      <c r="A962" t="s">
        <v>3069</v>
      </c>
      <c r="B962" t="s">
        <v>121</v>
      </c>
      <c r="C962" t="s">
        <v>296</v>
      </c>
      <c r="D962" t="s">
        <v>3070</v>
      </c>
      <c r="E962" t="s">
        <v>21</v>
      </c>
      <c r="F962" t="s">
        <v>3071</v>
      </c>
    </row>
    <row r="963" spans="1:6" hidden="1" x14ac:dyDescent="0.25">
      <c r="A963" t="s">
        <v>3072</v>
      </c>
      <c r="B963" t="s">
        <v>142</v>
      </c>
      <c r="C963" t="s">
        <v>296</v>
      </c>
      <c r="D963" t="s">
        <v>3073</v>
      </c>
      <c r="E963" t="s">
        <v>21</v>
      </c>
      <c r="F963" t="s">
        <v>3074</v>
      </c>
    </row>
    <row r="964" spans="1:6" hidden="1" x14ac:dyDescent="0.25">
      <c r="A964" t="s">
        <v>3075</v>
      </c>
      <c r="B964" t="s">
        <v>363</v>
      </c>
      <c r="C964" t="s">
        <v>825</v>
      </c>
      <c r="D964" t="s">
        <v>3076</v>
      </c>
      <c r="E964" t="s">
        <v>21</v>
      </c>
      <c r="F964" t="s">
        <v>3077</v>
      </c>
    </row>
    <row r="965" spans="1:6" hidden="1" x14ac:dyDescent="0.25">
      <c r="A965" t="s">
        <v>3078</v>
      </c>
      <c r="B965" t="s">
        <v>64</v>
      </c>
      <c r="C965" t="s">
        <v>296</v>
      </c>
      <c r="D965" t="s">
        <v>3079</v>
      </c>
      <c r="E965" t="s">
        <v>21</v>
      </c>
      <c r="F965" t="s">
        <v>3080</v>
      </c>
    </row>
    <row r="966" spans="1:6" hidden="1" x14ac:dyDescent="0.25">
      <c r="A966" t="s">
        <v>3081</v>
      </c>
      <c r="B966" t="s">
        <v>702</v>
      </c>
      <c r="C966" t="s">
        <v>478</v>
      </c>
      <c r="D966" t="s">
        <v>3082</v>
      </c>
      <c r="E966" t="s">
        <v>21</v>
      </c>
      <c r="F966" t="s">
        <v>3083</v>
      </c>
    </row>
    <row r="967" spans="1:6" hidden="1" x14ac:dyDescent="0.25">
      <c r="A967" t="s">
        <v>3084</v>
      </c>
      <c r="B967" t="s">
        <v>121</v>
      </c>
      <c r="C967" t="s">
        <v>296</v>
      </c>
      <c r="D967" t="s">
        <v>3085</v>
      </c>
      <c r="E967" t="s">
        <v>21</v>
      </c>
      <c r="F967" t="s">
        <v>3086</v>
      </c>
    </row>
    <row r="968" spans="1:6" hidden="1" x14ac:dyDescent="0.25">
      <c r="A968" t="s">
        <v>188</v>
      </c>
      <c r="B968" t="s">
        <v>386</v>
      </c>
      <c r="C968" t="s">
        <v>387</v>
      </c>
      <c r="D968" t="s">
        <v>189</v>
      </c>
      <c r="E968" t="s">
        <v>21</v>
      </c>
      <c r="F968" t="s">
        <v>190</v>
      </c>
    </row>
    <row r="969" spans="1:6" hidden="1" x14ac:dyDescent="0.25">
      <c r="A969" t="s">
        <v>3087</v>
      </c>
      <c r="B969" t="s">
        <v>78</v>
      </c>
      <c r="C969" t="s">
        <v>296</v>
      </c>
      <c r="D969" t="s">
        <v>3088</v>
      </c>
      <c r="E969" t="s">
        <v>21</v>
      </c>
      <c r="F969" t="s">
        <v>3089</v>
      </c>
    </row>
    <row r="970" spans="1:6" hidden="1" x14ac:dyDescent="0.25">
      <c r="A970" t="s">
        <v>3090</v>
      </c>
      <c r="B970" t="s">
        <v>64</v>
      </c>
      <c r="C970" t="s">
        <v>296</v>
      </c>
      <c r="D970" t="s">
        <v>3091</v>
      </c>
      <c r="E970" t="s">
        <v>21</v>
      </c>
      <c r="F970" t="s">
        <v>3092</v>
      </c>
    </row>
    <row r="971" spans="1:6" hidden="1" x14ac:dyDescent="0.25">
      <c r="A971" t="s">
        <v>3093</v>
      </c>
      <c r="B971" t="s">
        <v>382</v>
      </c>
      <c r="C971" t="s">
        <v>296</v>
      </c>
      <c r="D971" t="s">
        <v>3094</v>
      </c>
      <c r="E971" t="s">
        <v>21</v>
      </c>
      <c r="F971" t="s">
        <v>3095</v>
      </c>
    </row>
    <row r="972" spans="1:6" hidden="1" x14ac:dyDescent="0.25">
      <c r="A972" t="s">
        <v>3096</v>
      </c>
      <c r="B972" t="s">
        <v>2002</v>
      </c>
      <c r="C972" t="s">
        <v>296</v>
      </c>
      <c r="D972" t="s">
        <v>3097</v>
      </c>
      <c r="E972" t="s">
        <v>21</v>
      </c>
      <c r="F972" t="s">
        <v>3098</v>
      </c>
    </row>
    <row r="973" spans="1:6" hidden="1" x14ac:dyDescent="0.25">
      <c r="A973" t="s">
        <v>3099</v>
      </c>
      <c r="B973" t="s">
        <v>132</v>
      </c>
      <c r="C973" t="s">
        <v>296</v>
      </c>
      <c r="D973" t="s">
        <v>3100</v>
      </c>
      <c r="E973" t="s">
        <v>21</v>
      </c>
      <c r="F973" t="s">
        <v>3101</v>
      </c>
    </row>
    <row r="974" spans="1:6" hidden="1" x14ac:dyDescent="0.25">
      <c r="A974" t="s">
        <v>216</v>
      </c>
      <c r="B974" t="s">
        <v>64</v>
      </c>
      <c r="C974" t="s">
        <v>296</v>
      </c>
      <c r="D974" t="s">
        <v>217</v>
      </c>
      <c r="E974" t="s">
        <v>21</v>
      </c>
      <c r="F974" t="s">
        <v>218</v>
      </c>
    </row>
    <row r="975" spans="1:6" hidden="1" x14ac:dyDescent="0.25">
      <c r="A975" t="s">
        <v>3102</v>
      </c>
      <c r="B975" t="s">
        <v>702</v>
      </c>
      <c r="C975" t="s">
        <v>825</v>
      </c>
      <c r="D975" t="s">
        <v>3103</v>
      </c>
      <c r="E975" t="s">
        <v>21</v>
      </c>
      <c r="F975" t="s">
        <v>3104</v>
      </c>
    </row>
    <row r="976" spans="1:6" hidden="1" x14ac:dyDescent="0.25">
      <c r="A976" t="s">
        <v>3105</v>
      </c>
      <c r="B976" t="s">
        <v>24</v>
      </c>
      <c r="C976" t="s">
        <v>400</v>
      </c>
      <c r="D976" t="s">
        <v>3106</v>
      </c>
      <c r="E976" t="s">
        <v>21</v>
      </c>
      <c r="F976" t="s">
        <v>3107</v>
      </c>
    </row>
    <row r="977" spans="1:6" hidden="1" x14ac:dyDescent="0.25">
      <c r="A977" t="s">
        <v>3108</v>
      </c>
      <c r="B977" t="s">
        <v>322</v>
      </c>
      <c r="C977" t="s">
        <v>296</v>
      </c>
      <c r="D977" t="s">
        <v>3109</v>
      </c>
      <c r="E977" t="s">
        <v>21</v>
      </c>
      <c r="F977" t="s">
        <v>3110</v>
      </c>
    </row>
    <row r="978" spans="1:6" hidden="1" x14ac:dyDescent="0.25">
      <c r="A978" t="s">
        <v>3111</v>
      </c>
      <c r="B978" t="s">
        <v>356</v>
      </c>
      <c r="C978" t="s">
        <v>296</v>
      </c>
      <c r="D978" t="s">
        <v>3112</v>
      </c>
      <c r="E978" t="s">
        <v>21</v>
      </c>
      <c r="F978" t="s">
        <v>3113</v>
      </c>
    </row>
    <row r="979" spans="1:6" hidden="1" x14ac:dyDescent="0.25">
      <c r="A979" t="s">
        <v>280</v>
      </c>
      <c r="B979" t="s">
        <v>142</v>
      </c>
      <c r="C979" t="s">
        <v>296</v>
      </c>
      <c r="D979" t="s">
        <v>3114</v>
      </c>
      <c r="E979" t="s">
        <v>21</v>
      </c>
      <c r="F979" t="s">
        <v>3115</v>
      </c>
    </row>
    <row r="980" spans="1:6" hidden="1" x14ac:dyDescent="0.25">
      <c r="A980" t="s">
        <v>3116</v>
      </c>
      <c r="B980" t="s">
        <v>153</v>
      </c>
      <c r="C980" t="s">
        <v>296</v>
      </c>
      <c r="D980" t="s">
        <v>3117</v>
      </c>
      <c r="E980" t="s">
        <v>21</v>
      </c>
      <c r="F980" t="s">
        <v>3118</v>
      </c>
    </row>
    <row r="981" spans="1:6" hidden="1" x14ac:dyDescent="0.25">
      <c r="A981" t="s">
        <v>3119</v>
      </c>
      <c r="B981" t="s">
        <v>303</v>
      </c>
      <c r="C981" t="s">
        <v>304</v>
      </c>
      <c r="D981" t="s">
        <v>3120</v>
      </c>
      <c r="E981" t="s">
        <v>21</v>
      </c>
      <c r="F981" t="s">
        <v>3121</v>
      </c>
    </row>
    <row r="982" spans="1:6" hidden="1" x14ac:dyDescent="0.25">
      <c r="A982" t="s">
        <v>3122</v>
      </c>
      <c r="B982" t="s">
        <v>41</v>
      </c>
      <c r="C982" t="s">
        <v>400</v>
      </c>
      <c r="D982" t="s">
        <v>3123</v>
      </c>
      <c r="E982" t="s">
        <v>21</v>
      </c>
      <c r="F982" t="s">
        <v>3124</v>
      </c>
    </row>
    <row r="983" spans="1:6" hidden="1" x14ac:dyDescent="0.25">
      <c r="A983" t="s">
        <v>3125</v>
      </c>
      <c r="B983" t="s">
        <v>326</v>
      </c>
      <c r="C983" t="s">
        <v>400</v>
      </c>
      <c r="D983" t="s">
        <v>3126</v>
      </c>
      <c r="E983" t="s">
        <v>21</v>
      </c>
      <c r="F983" t="s">
        <v>3127</v>
      </c>
    </row>
    <row r="984" spans="1:6" hidden="1" x14ac:dyDescent="0.25">
      <c r="A984" t="s">
        <v>3128</v>
      </c>
      <c r="B984" t="s">
        <v>197</v>
      </c>
      <c r="C984" t="s">
        <v>296</v>
      </c>
      <c r="D984" t="s">
        <v>3129</v>
      </c>
      <c r="E984" t="s">
        <v>21</v>
      </c>
      <c r="F984" t="s">
        <v>3130</v>
      </c>
    </row>
    <row r="985" spans="1:6" hidden="1" x14ac:dyDescent="0.25">
      <c r="A985" t="s">
        <v>3131</v>
      </c>
      <c r="B985" t="s">
        <v>41</v>
      </c>
      <c r="C985" t="s">
        <v>296</v>
      </c>
      <c r="D985" t="s">
        <v>3132</v>
      </c>
      <c r="E985" t="s">
        <v>21</v>
      </c>
      <c r="F985" t="s">
        <v>3133</v>
      </c>
    </row>
    <row r="986" spans="1:6" hidden="1" x14ac:dyDescent="0.25">
      <c r="A986" t="s">
        <v>3134</v>
      </c>
      <c r="B986" t="s">
        <v>142</v>
      </c>
      <c r="C986" t="s">
        <v>296</v>
      </c>
      <c r="D986" t="s">
        <v>3135</v>
      </c>
      <c r="E986" t="s">
        <v>21</v>
      </c>
      <c r="F986" t="s">
        <v>3136</v>
      </c>
    </row>
    <row r="987" spans="1:6" hidden="1" x14ac:dyDescent="0.25">
      <c r="A987" t="s">
        <v>3137</v>
      </c>
      <c r="B987" t="s">
        <v>121</v>
      </c>
      <c r="C987" t="s">
        <v>296</v>
      </c>
      <c r="D987" t="s">
        <v>3138</v>
      </c>
      <c r="E987" t="s">
        <v>21</v>
      </c>
      <c r="F987" t="s">
        <v>3139</v>
      </c>
    </row>
    <row r="988" spans="1:6" hidden="1" x14ac:dyDescent="0.25">
      <c r="A988" t="s">
        <v>3140</v>
      </c>
      <c r="B988" t="s">
        <v>34</v>
      </c>
      <c r="C988" t="s">
        <v>296</v>
      </c>
      <c r="D988" t="s">
        <v>3141</v>
      </c>
      <c r="E988" t="s">
        <v>21</v>
      </c>
      <c r="F988" t="s">
        <v>3142</v>
      </c>
    </row>
    <row r="989" spans="1:6" hidden="1" x14ac:dyDescent="0.25">
      <c r="A989" t="s">
        <v>3143</v>
      </c>
      <c r="B989" t="s">
        <v>752</v>
      </c>
      <c r="C989" t="s">
        <v>296</v>
      </c>
      <c r="D989" t="s">
        <v>3144</v>
      </c>
      <c r="E989" t="s">
        <v>21</v>
      </c>
      <c r="F989" t="s">
        <v>3145</v>
      </c>
    </row>
    <row r="990" spans="1:6" hidden="1" x14ac:dyDescent="0.25">
      <c r="A990" t="s">
        <v>35</v>
      </c>
      <c r="B990" t="s">
        <v>386</v>
      </c>
      <c r="C990" t="s">
        <v>387</v>
      </c>
      <c r="D990" t="s">
        <v>36</v>
      </c>
      <c r="E990" t="s">
        <v>21</v>
      </c>
      <c r="F990" t="s">
        <v>38</v>
      </c>
    </row>
    <row r="991" spans="1:6" hidden="1" x14ac:dyDescent="0.25">
      <c r="A991" t="s">
        <v>3146</v>
      </c>
      <c r="B991" t="s">
        <v>553</v>
      </c>
      <c r="C991" t="s">
        <v>296</v>
      </c>
      <c r="D991" t="s">
        <v>3147</v>
      </c>
      <c r="E991" t="s">
        <v>21</v>
      </c>
      <c r="F991" t="s">
        <v>3148</v>
      </c>
    </row>
    <row r="992" spans="1:6" hidden="1" x14ac:dyDescent="0.25">
      <c r="A992" t="s">
        <v>3149</v>
      </c>
      <c r="B992" t="s">
        <v>24</v>
      </c>
      <c r="C992" t="s">
        <v>296</v>
      </c>
      <c r="D992" t="s">
        <v>3150</v>
      </c>
      <c r="E992" t="s">
        <v>21</v>
      </c>
      <c r="F992" t="s">
        <v>3151</v>
      </c>
    </row>
    <row r="993" spans="1:6" hidden="1" x14ac:dyDescent="0.25">
      <c r="A993" t="s">
        <v>3152</v>
      </c>
      <c r="B993" t="s">
        <v>410</v>
      </c>
      <c r="C993" t="s">
        <v>296</v>
      </c>
      <c r="D993" t="s">
        <v>3153</v>
      </c>
      <c r="E993" t="s">
        <v>21</v>
      </c>
      <c r="F993" t="s">
        <v>3154</v>
      </c>
    </row>
    <row r="994" spans="1:6" hidden="1" x14ac:dyDescent="0.25">
      <c r="A994" t="s">
        <v>3155</v>
      </c>
      <c r="B994" t="s">
        <v>2361</v>
      </c>
      <c r="C994" t="s">
        <v>296</v>
      </c>
      <c r="D994" t="s">
        <v>3156</v>
      </c>
      <c r="E994" t="s">
        <v>21</v>
      </c>
      <c r="F994" t="s">
        <v>3157</v>
      </c>
    </row>
    <row r="995" spans="1:6" hidden="1" x14ac:dyDescent="0.25">
      <c r="A995" t="s">
        <v>3158</v>
      </c>
      <c r="B995" t="s">
        <v>514</v>
      </c>
      <c r="C995" t="s">
        <v>1474</v>
      </c>
      <c r="D995" t="s">
        <v>3159</v>
      </c>
      <c r="E995" t="s">
        <v>21</v>
      </c>
      <c r="F995" t="s">
        <v>3160</v>
      </c>
    </row>
    <row r="996" spans="1:6" hidden="1" x14ac:dyDescent="0.25">
      <c r="A996" t="s">
        <v>3161</v>
      </c>
      <c r="B996" t="s">
        <v>702</v>
      </c>
      <c r="C996" t="s">
        <v>478</v>
      </c>
      <c r="D996" t="s">
        <v>3162</v>
      </c>
      <c r="E996" t="s">
        <v>21</v>
      </c>
      <c r="F996" t="s">
        <v>3163</v>
      </c>
    </row>
    <row r="997" spans="1:6" hidden="1" x14ac:dyDescent="0.25">
      <c r="A997" t="s">
        <v>3164</v>
      </c>
      <c r="B997" t="s">
        <v>41</v>
      </c>
      <c r="C997" t="s">
        <v>296</v>
      </c>
      <c r="D997" t="s">
        <v>3165</v>
      </c>
      <c r="E997" t="s">
        <v>21</v>
      </c>
      <c r="F997" t="s">
        <v>3166</v>
      </c>
    </row>
    <row r="998" spans="1:6" hidden="1" x14ac:dyDescent="0.25">
      <c r="A998" t="s">
        <v>3167</v>
      </c>
      <c r="B998" t="s">
        <v>702</v>
      </c>
      <c r="C998" t="s">
        <v>478</v>
      </c>
      <c r="D998" t="s">
        <v>3168</v>
      </c>
      <c r="E998" t="s">
        <v>21</v>
      </c>
      <c r="F998" t="s">
        <v>3169</v>
      </c>
    </row>
    <row r="999" spans="1:6" hidden="1" x14ac:dyDescent="0.25">
      <c r="A999" t="s">
        <v>3170</v>
      </c>
      <c r="B999" t="s">
        <v>410</v>
      </c>
      <c r="C999" t="s">
        <v>296</v>
      </c>
      <c r="D999" t="s">
        <v>3171</v>
      </c>
      <c r="E999" t="s">
        <v>21</v>
      </c>
      <c r="F999" t="s">
        <v>3172</v>
      </c>
    </row>
    <row r="1000" spans="1:6" hidden="1" x14ac:dyDescent="0.25">
      <c r="A1000" t="s">
        <v>3173</v>
      </c>
      <c r="B1000" t="s">
        <v>97</v>
      </c>
      <c r="C1000" t="s">
        <v>296</v>
      </c>
      <c r="D1000" t="s">
        <v>3174</v>
      </c>
      <c r="E1000" t="s">
        <v>21</v>
      </c>
      <c r="F1000" t="s">
        <v>3175</v>
      </c>
    </row>
    <row r="1001" spans="1:6" hidden="1" x14ac:dyDescent="0.25">
      <c r="A1001" t="s">
        <v>3176</v>
      </c>
      <c r="B1001" t="s">
        <v>1370</v>
      </c>
      <c r="C1001" t="s">
        <v>296</v>
      </c>
      <c r="D1001" t="s">
        <v>3177</v>
      </c>
      <c r="E1001" t="s">
        <v>21</v>
      </c>
      <c r="F1001" t="s">
        <v>3178</v>
      </c>
    </row>
    <row r="1002" spans="1:6" hidden="1" x14ac:dyDescent="0.25">
      <c r="A1002" t="s">
        <v>3179</v>
      </c>
      <c r="B1002" t="s">
        <v>420</v>
      </c>
      <c r="C1002" t="s">
        <v>296</v>
      </c>
      <c r="D1002" t="s">
        <v>3180</v>
      </c>
      <c r="E1002" t="s">
        <v>21</v>
      </c>
      <c r="F1002" t="s">
        <v>3181</v>
      </c>
    </row>
    <row r="1003" spans="1:6" hidden="1" x14ac:dyDescent="0.25">
      <c r="A1003" t="s">
        <v>3182</v>
      </c>
      <c r="B1003" t="s">
        <v>51</v>
      </c>
      <c r="C1003" t="s">
        <v>296</v>
      </c>
      <c r="D1003" t="s">
        <v>3183</v>
      </c>
      <c r="E1003" t="s">
        <v>21</v>
      </c>
      <c r="F1003" t="s">
        <v>3184</v>
      </c>
    </row>
    <row r="1004" spans="1:6" hidden="1" x14ac:dyDescent="0.25">
      <c r="A1004" t="s">
        <v>3185</v>
      </c>
      <c r="B1004" t="s">
        <v>64</v>
      </c>
      <c r="C1004" t="s">
        <v>296</v>
      </c>
      <c r="D1004" t="s">
        <v>3186</v>
      </c>
      <c r="E1004" t="s">
        <v>21</v>
      </c>
      <c r="F1004" t="s">
        <v>3187</v>
      </c>
    </row>
    <row r="1005" spans="1:6" hidden="1" x14ac:dyDescent="0.25">
      <c r="A1005" t="s">
        <v>3188</v>
      </c>
      <c r="B1005" t="s">
        <v>322</v>
      </c>
      <c r="C1005" t="s">
        <v>296</v>
      </c>
      <c r="D1005" t="s">
        <v>3189</v>
      </c>
      <c r="E1005" t="s">
        <v>21</v>
      </c>
      <c r="F1005" t="s">
        <v>3190</v>
      </c>
    </row>
    <row r="1006" spans="1:6" hidden="1" x14ac:dyDescent="0.25">
      <c r="A1006" t="s">
        <v>3191</v>
      </c>
      <c r="B1006" t="s">
        <v>1701</v>
      </c>
      <c r="C1006" t="s">
        <v>296</v>
      </c>
      <c r="D1006" t="s">
        <v>3192</v>
      </c>
      <c r="E1006" t="s">
        <v>21</v>
      </c>
      <c r="F1006" t="s">
        <v>3193</v>
      </c>
    </row>
    <row r="1007" spans="1:6" hidden="1" x14ac:dyDescent="0.25">
      <c r="A1007" t="s">
        <v>3194</v>
      </c>
      <c r="B1007" t="s">
        <v>702</v>
      </c>
      <c r="C1007" t="s">
        <v>478</v>
      </c>
      <c r="D1007" t="s">
        <v>3195</v>
      </c>
      <c r="E1007" t="s">
        <v>21</v>
      </c>
      <c r="F1007" t="s">
        <v>3196</v>
      </c>
    </row>
    <row r="1008" spans="1:6" hidden="1" x14ac:dyDescent="0.25">
      <c r="A1008" t="s">
        <v>3197</v>
      </c>
      <c r="B1008" t="s">
        <v>34</v>
      </c>
      <c r="C1008" t="s">
        <v>296</v>
      </c>
      <c r="D1008" t="s">
        <v>3198</v>
      </c>
      <c r="E1008" t="s">
        <v>21</v>
      </c>
      <c r="F1008" t="s">
        <v>3199</v>
      </c>
    </row>
    <row r="1009" spans="1:6" hidden="1" x14ac:dyDescent="0.25">
      <c r="A1009" t="s">
        <v>3200</v>
      </c>
      <c r="B1009" t="s">
        <v>15</v>
      </c>
      <c r="C1009" t="s">
        <v>296</v>
      </c>
      <c r="D1009" t="s">
        <v>3201</v>
      </c>
      <c r="E1009" t="s">
        <v>21</v>
      </c>
      <c r="F1009" t="s">
        <v>3202</v>
      </c>
    </row>
    <row r="1010" spans="1:6" hidden="1" x14ac:dyDescent="0.25">
      <c r="A1010" t="s">
        <v>3203</v>
      </c>
      <c r="B1010" t="s">
        <v>41</v>
      </c>
      <c r="C1010" t="s">
        <v>296</v>
      </c>
      <c r="D1010" t="s">
        <v>3204</v>
      </c>
      <c r="E1010" t="s">
        <v>21</v>
      </c>
      <c r="F1010" t="s">
        <v>3205</v>
      </c>
    </row>
    <row r="1011" spans="1:6" hidden="1" x14ac:dyDescent="0.25">
      <c r="A1011" t="s">
        <v>3206</v>
      </c>
      <c r="B1011" t="s">
        <v>64</v>
      </c>
      <c r="C1011" t="s">
        <v>296</v>
      </c>
      <c r="D1011" t="s">
        <v>3207</v>
      </c>
      <c r="E1011" t="s">
        <v>21</v>
      </c>
      <c r="F1011" t="s">
        <v>3208</v>
      </c>
    </row>
    <row r="1012" spans="1:6" hidden="1" x14ac:dyDescent="0.25">
      <c r="A1012" t="s">
        <v>3209</v>
      </c>
      <c r="B1012" t="s">
        <v>514</v>
      </c>
      <c r="C1012" t="s">
        <v>3210</v>
      </c>
      <c r="D1012" t="s">
        <v>3211</v>
      </c>
      <c r="E1012" t="s">
        <v>21</v>
      </c>
      <c r="F1012" t="s">
        <v>3212</v>
      </c>
    </row>
    <row r="1013" spans="1:6" hidden="1" x14ac:dyDescent="0.25">
      <c r="A1013" t="s">
        <v>3213</v>
      </c>
      <c r="B1013" t="s">
        <v>160</v>
      </c>
      <c r="C1013" t="s">
        <v>296</v>
      </c>
      <c r="D1013" t="s">
        <v>3214</v>
      </c>
      <c r="E1013" t="s">
        <v>21</v>
      </c>
      <c r="F1013" t="s">
        <v>3215</v>
      </c>
    </row>
    <row r="1014" spans="1:6" hidden="1" x14ac:dyDescent="0.25">
      <c r="A1014" t="s">
        <v>3216</v>
      </c>
      <c r="B1014" t="s">
        <v>64</v>
      </c>
      <c r="C1014" t="s">
        <v>296</v>
      </c>
      <c r="D1014" t="s">
        <v>3217</v>
      </c>
      <c r="E1014" t="s">
        <v>21</v>
      </c>
      <c r="F1014" t="s">
        <v>3218</v>
      </c>
    </row>
    <row r="1015" spans="1:6" hidden="1" x14ac:dyDescent="0.25">
      <c r="A1015" t="s">
        <v>3219</v>
      </c>
      <c r="B1015" t="s">
        <v>51</v>
      </c>
      <c r="C1015" t="s">
        <v>296</v>
      </c>
      <c r="D1015" t="s">
        <v>3220</v>
      </c>
      <c r="E1015" t="s">
        <v>21</v>
      </c>
      <c r="F1015" t="s">
        <v>3221</v>
      </c>
    </row>
    <row r="1016" spans="1:6" hidden="1" x14ac:dyDescent="0.25">
      <c r="A1016" t="s">
        <v>3222</v>
      </c>
      <c r="B1016" t="s">
        <v>3223</v>
      </c>
      <c r="C1016" t="s">
        <v>296</v>
      </c>
      <c r="D1016" t="s">
        <v>3224</v>
      </c>
      <c r="E1016" t="s">
        <v>21</v>
      </c>
      <c r="F1016" t="s">
        <v>3225</v>
      </c>
    </row>
    <row r="1017" spans="1:6" hidden="1" x14ac:dyDescent="0.25">
      <c r="A1017" t="s">
        <v>3226</v>
      </c>
      <c r="B1017" t="s">
        <v>64</v>
      </c>
      <c r="C1017" t="s">
        <v>296</v>
      </c>
      <c r="D1017" t="s">
        <v>3227</v>
      </c>
      <c r="E1017" t="s">
        <v>21</v>
      </c>
      <c r="F1017" t="s">
        <v>3228</v>
      </c>
    </row>
    <row r="1018" spans="1:6" hidden="1" x14ac:dyDescent="0.25">
      <c r="A1018" t="s">
        <v>3229</v>
      </c>
      <c r="B1018" t="s">
        <v>454</v>
      </c>
      <c r="C1018" t="s">
        <v>296</v>
      </c>
      <c r="D1018" t="s">
        <v>3230</v>
      </c>
      <c r="E1018" t="s">
        <v>21</v>
      </c>
      <c r="F1018" t="s">
        <v>3231</v>
      </c>
    </row>
    <row r="1019" spans="1:6" hidden="1" x14ac:dyDescent="0.25">
      <c r="A1019" t="s">
        <v>130</v>
      </c>
      <c r="B1019" t="s">
        <v>132</v>
      </c>
      <c r="C1019" t="s">
        <v>296</v>
      </c>
      <c r="D1019" t="s">
        <v>131</v>
      </c>
      <c r="E1019" t="s">
        <v>21</v>
      </c>
      <c r="F1019" t="s">
        <v>133</v>
      </c>
    </row>
    <row r="1020" spans="1:6" hidden="1" x14ac:dyDescent="0.25">
      <c r="A1020" t="s">
        <v>3232</v>
      </c>
      <c r="B1020" t="s">
        <v>553</v>
      </c>
      <c r="C1020" t="s">
        <v>296</v>
      </c>
      <c r="D1020" t="s">
        <v>3233</v>
      </c>
      <c r="E1020" t="s">
        <v>21</v>
      </c>
      <c r="F1020" t="s">
        <v>3234</v>
      </c>
    </row>
    <row r="1021" spans="1:6" hidden="1" x14ac:dyDescent="0.25">
      <c r="A1021" t="s">
        <v>3235</v>
      </c>
      <c r="B1021" t="s">
        <v>363</v>
      </c>
      <c r="C1021" t="s">
        <v>825</v>
      </c>
      <c r="D1021" t="s">
        <v>3236</v>
      </c>
      <c r="E1021" t="s">
        <v>21</v>
      </c>
      <c r="F1021" t="s">
        <v>3237</v>
      </c>
    </row>
    <row r="1022" spans="1:6" hidden="1" x14ac:dyDescent="0.25">
      <c r="A1022" t="s">
        <v>3238</v>
      </c>
      <c r="B1022" t="s">
        <v>326</v>
      </c>
      <c r="C1022" t="s">
        <v>296</v>
      </c>
      <c r="D1022" t="s">
        <v>3239</v>
      </c>
      <c r="E1022" t="s">
        <v>21</v>
      </c>
      <c r="F1022" t="s">
        <v>3240</v>
      </c>
    </row>
    <row r="1023" spans="1:6" hidden="1" x14ac:dyDescent="0.25">
      <c r="A1023" t="s">
        <v>3241</v>
      </c>
      <c r="B1023" t="s">
        <v>326</v>
      </c>
      <c r="C1023" t="s">
        <v>296</v>
      </c>
      <c r="D1023" t="s">
        <v>3242</v>
      </c>
      <c r="E1023" t="s">
        <v>21</v>
      </c>
      <c r="F1023" t="s">
        <v>3243</v>
      </c>
    </row>
    <row r="1024" spans="1:6" hidden="1" x14ac:dyDescent="0.25">
      <c r="A1024" t="s">
        <v>3244</v>
      </c>
      <c r="B1024" t="s">
        <v>15</v>
      </c>
      <c r="C1024" t="s">
        <v>296</v>
      </c>
      <c r="D1024" t="s">
        <v>3245</v>
      </c>
      <c r="E1024" t="s">
        <v>21</v>
      </c>
      <c r="F1024" t="s">
        <v>3246</v>
      </c>
    </row>
    <row r="1025" spans="1:6" hidden="1" x14ac:dyDescent="0.25">
      <c r="A1025" t="s">
        <v>3247</v>
      </c>
      <c r="B1025" t="s">
        <v>142</v>
      </c>
      <c r="C1025" t="s">
        <v>296</v>
      </c>
      <c r="D1025" t="s">
        <v>3248</v>
      </c>
      <c r="E1025" t="s">
        <v>21</v>
      </c>
      <c r="F1025" t="s">
        <v>3249</v>
      </c>
    </row>
    <row r="1026" spans="1:6" hidden="1" x14ac:dyDescent="0.25">
      <c r="A1026" t="s">
        <v>3250</v>
      </c>
      <c r="B1026" t="s">
        <v>64</v>
      </c>
      <c r="C1026" t="s">
        <v>296</v>
      </c>
      <c r="D1026" t="s">
        <v>3251</v>
      </c>
      <c r="E1026" t="s">
        <v>21</v>
      </c>
      <c r="F1026" t="s">
        <v>3252</v>
      </c>
    </row>
    <row r="1027" spans="1:6" hidden="1" x14ac:dyDescent="0.25">
      <c r="A1027" t="s">
        <v>3253</v>
      </c>
      <c r="B1027" t="s">
        <v>322</v>
      </c>
      <c r="C1027" t="s">
        <v>296</v>
      </c>
      <c r="D1027" t="s">
        <v>3254</v>
      </c>
      <c r="E1027" t="s">
        <v>21</v>
      </c>
      <c r="F1027" t="s">
        <v>3255</v>
      </c>
    </row>
    <row r="1028" spans="1:6" hidden="1" x14ac:dyDescent="0.25">
      <c r="A1028" t="s">
        <v>3256</v>
      </c>
      <c r="B1028" t="s">
        <v>41</v>
      </c>
      <c r="C1028" t="s">
        <v>296</v>
      </c>
      <c r="D1028" t="s">
        <v>3257</v>
      </c>
      <c r="E1028" t="s">
        <v>21</v>
      </c>
      <c r="F1028" t="s">
        <v>3258</v>
      </c>
    </row>
    <row r="1029" spans="1:6" hidden="1" x14ac:dyDescent="0.25">
      <c r="A1029" t="s">
        <v>3259</v>
      </c>
      <c r="B1029" t="s">
        <v>121</v>
      </c>
      <c r="C1029" t="s">
        <v>296</v>
      </c>
      <c r="D1029" t="s">
        <v>3260</v>
      </c>
      <c r="E1029" t="s">
        <v>21</v>
      </c>
      <c r="F1029" t="s">
        <v>3261</v>
      </c>
    </row>
    <row r="1030" spans="1:6" hidden="1" x14ac:dyDescent="0.25">
      <c r="A1030" t="s">
        <v>3262</v>
      </c>
      <c r="B1030" t="s">
        <v>454</v>
      </c>
      <c r="C1030" t="s">
        <v>400</v>
      </c>
      <c r="D1030" t="s">
        <v>3263</v>
      </c>
      <c r="E1030" t="s">
        <v>21</v>
      </c>
      <c r="F1030" t="s">
        <v>3264</v>
      </c>
    </row>
    <row r="1031" spans="1:6" hidden="1" x14ac:dyDescent="0.25">
      <c r="A1031" t="s">
        <v>3265</v>
      </c>
      <c r="B1031" t="s">
        <v>1171</v>
      </c>
      <c r="C1031" t="s">
        <v>3266</v>
      </c>
      <c r="D1031" t="s">
        <v>3267</v>
      </c>
      <c r="E1031" t="s">
        <v>21</v>
      </c>
      <c r="F1031" t="s">
        <v>3268</v>
      </c>
    </row>
    <row r="1032" spans="1:6" hidden="1" x14ac:dyDescent="0.25">
      <c r="A1032" t="s">
        <v>176</v>
      </c>
      <c r="B1032" t="s">
        <v>343</v>
      </c>
      <c r="C1032" t="s">
        <v>296</v>
      </c>
      <c r="D1032" t="s">
        <v>243</v>
      </c>
      <c r="E1032" t="s">
        <v>21</v>
      </c>
      <c r="F1032" t="s">
        <v>180</v>
      </c>
    </row>
    <row r="1033" spans="1:6" hidden="1" x14ac:dyDescent="0.25">
      <c r="A1033" t="s">
        <v>3269</v>
      </c>
      <c r="B1033" t="s">
        <v>326</v>
      </c>
      <c r="C1033" t="s">
        <v>296</v>
      </c>
      <c r="D1033" t="s">
        <v>3270</v>
      </c>
      <c r="E1033" t="s">
        <v>21</v>
      </c>
      <c r="F1033" t="s">
        <v>3271</v>
      </c>
    </row>
    <row r="1034" spans="1:6" hidden="1" x14ac:dyDescent="0.25">
      <c r="A1034" t="s">
        <v>3272</v>
      </c>
      <c r="B1034" t="s">
        <v>82</v>
      </c>
      <c r="C1034" t="s">
        <v>296</v>
      </c>
      <c r="D1034" t="s">
        <v>3273</v>
      </c>
      <c r="E1034" t="s">
        <v>21</v>
      </c>
      <c r="F1034" t="s">
        <v>3274</v>
      </c>
    </row>
    <row r="1035" spans="1:6" hidden="1" x14ac:dyDescent="0.25">
      <c r="A1035" t="s">
        <v>3275</v>
      </c>
      <c r="B1035" t="s">
        <v>702</v>
      </c>
      <c r="C1035" t="s">
        <v>825</v>
      </c>
      <c r="D1035" t="s">
        <v>3276</v>
      </c>
      <c r="E1035" t="s">
        <v>21</v>
      </c>
      <c r="F1035" t="s">
        <v>3277</v>
      </c>
    </row>
    <row r="1036" spans="1:6" hidden="1" x14ac:dyDescent="0.25">
      <c r="A1036" t="s">
        <v>3278</v>
      </c>
      <c r="B1036" t="s">
        <v>89</v>
      </c>
      <c r="C1036" t="s">
        <v>296</v>
      </c>
      <c r="D1036" t="s">
        <v>3279</v>
      </c>
      <c r="E1036" t="s">
        <v>21</v>
      </c>
      <c r="F1036" t="s">
        <v>3280</v>
      </c>
    </row>
    <row r="1037" spans="1:6" hidden="1" x14ac:dyDescent="0.25">
      <c r="A1037" t="s">
        <v>3281</v>
      </c>
      <c r="B1037" t="s">
        <v>410</v>
      </c>
      <c r="C1037" t="s">
        <v>296</v>
      </c>
      <c r="D1037" t="s">
        <v>3282</v>
      </c>
      <c r="E1037" t="s">
        <v>21</v>
      </c>
      <c r="F1037" t="s">
        <v>3283</v>
      </c>
    </row>
    <row r="1038" spans="1:6" hidden="1" x14ac:dyDescent="0.25">
      <c r="A1038" t="s">
        <v>3284</v>
      </c>
      <c r="B1038" t="s">
        <v>211</v>
      </c>
      <c r="C1038" t="s">
        <v>585</v>
      </c>
      <c r="D1038" t="s">
        <v>3285</v>
      </c>
      <c r="E1038" t="s">
        <v>21</v>
      </c>
      <c r="F1038" t="s">
        <v>3286</v>
      </c>
    </row>
    <row r="1039" spans="1:6" hidden="1" x14ac:dyDescent="0.25">
      <c r="A1039" t="s">
        <v>3287</v>
      </c>
      <c r="B1039" t="s">
        <v>82</v>
      </c>
      <c r="C1039" t="s">
        <v>296</v>
      </c>
      <c r="D1039" t="s">
        <v>3288</v>
      </c>
      <c r="E1039" t="s">
        <v>21</v>
      </c>
      <c r="F1039" t="s">
        <v>3289</v>
      </c>
    </row>
    <row r="1040" spans="1:6" hidden="1" x14ac:dyDescent="0.25">
      <c r="A1040" t="s">
        <v>3290</v>
      </c>
      <c r="B1040" t="s">
        <v>702</v>
      </c>
      <c r="C1040" t="s">
        <v>478</v>
      </c>
      <c r="D1040" t="s">
        <v>3291</v>
      </c>
      <c r="E1040" t="s">
        <v>21</v>
      </c>
      <c r="F1040" t="s">
        <v>3292</v>
      </c>
    </row>
    <row r="1041" spans="1:6" hidden="1" x14ac:dyDescent="0.25">
      <c r="A1041" t="s">
        <v>3293</v>
      </c>
      <c r="B1041" t="s">
        <v>702</v>
      </c>
      <c r="C1041" t="s">
        <v>478</v>
      </c>
      <c r="D1041" t="s">
        <v>3294</v>
      </c>
      <c r="E1041" t="s">
        <v>21</v>
      </c>
      <c r="F1041" t="s">
        <v>3295</v>
      </c>
    </row>
    <row r="1042" spans="1:6" hidden="1" x14ac:dyDescent="0.25">
      <c r="A1042" t="s">
        <v>3296</v>
      </c>
      <c r="B1042" t="s">
        <v>15</v>
      </c>
      <c r="C1042" t="s">
        <v>296</v>
      </c>
      <c r="D1042" t="s">
        <v>3297</v>
      </c>
      <c r="E1042" t="s">
        <v>21</v>
      </c>
      <c r="F1042" t="s">
        <v>3298</v>
      </c>
    </row>
    <row r="1043" spans="1:6" hidden="1" x14ac:dyDescent="0.25">
      <c r="A1043" t="s">
        <v>3299</v>
      </c>
      <c r="B1043" t="s">
        <v>153</v>
      </c>
      <c r="C1043" t="s">
        <v>296</v>
      </c>
      <c r="D1043" t="s">
        <v>3300</v>
      </c>
      <c r="E1043" t="s">
        <v>21</v>
      </c>
      <c r="F1043" t="s">
        <v>3301</v>
      </c>
    </row>
    <row r="1044" spans="1:6" hidden="1" x14ac:dyDescent="0.25">
      <c r="A1044" t="s">
        <v>3302</v>
      </c>
      <c r="B1044" t="s">
        <v>64</v>
      </c>
      <c r="C1044" t="s">
        <v>296</v>
      </c>
      <c r="D1044" t="s">
        <v>3303</v>
      </c>
      <c r="E1044" t="s">
        <v>21</v>
      </c>
      <c r="F1044" t="s">
        <v>3304</v>
      </c>
    </row>
    <row r="1045" spans="1:6" hidden="1" x14ac:dyDescent="0.25">
      <c r="A1045" t="s">
        <v>3305</v>
      </c>
      <c r="B1045" t="s">
        <v>326</v>
      </c>
      <c r="C1045" t="s">
        <v>296</v>
      </c>
      <c r="D1045" t="s">
        <v>3306</v>
      </c>
      <c r="E1045" t="s">
        <v>21</v>
      </c>
      <c r="F1045" t="s">
        <v>3307</v>
      </c>
    </row>
    <row r="1046" spans="1:6" hidden="1" x14ac:dyDescent="0.25">
      <c r="A1046" t="s">
        <v>282</v>
      </c>
      <c r="B1046" t="s">
        <v>41</v>
      </c>
      <c r="C1046" t="s">
        <v>296</v>
      </c>
      <c r="D1046" t="s">
        <v>3308</v>
      </c>
      <c r="E1046" t="s">
        <v>21</v>
      </c>
      <c r="F1046" t="s">
        <v>3309</v>
      </c>
    </row>
    <row r="1047" spans="1:6" hidden="1" x14ac:dyDescent="0.25">
      <c r="A1047" t="s">
        <v>3310</v>
      </c>
      <c r="B1047" t="s">
        <v>702</v>
      </c>
      <c r="C1047" t="s">
        <v>974</v>
      </c>
      <c r="D1047" t="s">
        <v>3311</v>
      </c>
      <c r="E1047" t="s">
        <v>21</v>
      </c>
      <c r="F1047" t="s">
        <v>3312</v>
      </c>
    </row>
    <row r="1048" spans="1:6" hidden="1" x14ac:dyDescent="0.25">
      <c r="A1048" t="s">
        <v>3313</v>
      </c>
      <c r="B1048" t="s">
        <v>89</v>
      </c>
      <c r="C1048" t="s">
        <v>296</v>
      </c>
      <c r="D1048" t="s">
        <v>3314</v>
      </c>
      <c r="E1048" t="s">
        <v>21</v>
      </c>
      <c r="F1048" t="s">
        <v>3315</v>
      </c>
    </row>
    <row r="1049" spans="1:6" hidden="1" x14ac:dyDescent="0.25">
      <c r="A1049" t="s">
        <v>3316</v>
      </c>
      <c r="B1049" t="s">
        <v>326</v>
      </c>
      <c r="C1049" t="s">
        <v>296</v>
      </c>
      <c r="D1049" t="s">
        <v>3317</v>
      </c>
      <c r="E1049" t="s">
        <v>21</v>
      </c>
      <c r="F1049" t="s">
        <v>3318</v>
      </c>
    </row>
    <row r="1050" spans="1:6" hidden="1" x14ac:dyDescent="0.25">
      <c r="A1050" t="s">
        <v>98</v>
      </c>
      <c r="B1050" t="s">
        <v>64</v>
      </c>
      <c r="C1050" t="s">
        <v>296</v>
      </c>
      <c r="D1050" t="s">
        <v>99</v>
      </c>
      <c r="E1050" t="s">
        <v>21</v>
      </c>
      <c r="F1050" t="s">
        <v>101</v>
      </c>
    </row>
    <row r="1051" spans="1:6" hidden="1" x14ac:dyDescent="0.25">
      <c r="A1051" t="s">
        <v>3319</v>
      </c>
      <c r="B1051" t="s">
        <v>211</v>
      </c>
      <c r="C1051" t="s">
        <v>296</v>
      </c>
      <c r="D1051" t="s">
        <v>3320</v>
      </c>
      <c r="E1051" t="s">
        <v>21</v>
      </c>
      <c r="F1051" t="s">
        <v>3321</v>
      </c>
    </row>
    <row r="1052" spans="1:6" hidden="1" x14ac:dyDescent="0.25">
      <c r="A1052" t="s">
        <v>3322</v>
      </c>
      <c r="B1052" t="s">
        <v>132</v>
      </c>
      <c r="C1052" t="s">
        <v>296</v>
      </c>
      <c r="D1052" t="s">
        <v>3323</v>
      </c>
      <c r="E1052" t="s">
        <v>21</v>
      </c>
      <c r="F1052" t="s">
        <v>3324</v>
      </c>
    </row>
    <row r="1053" spans="1:6" hidden="1" x14ac:dyDescent="0.25">
      <c r="A1053" t="s">
        <v>3325</v>
      </c>
      <c r="B1053" t="s">
        <v>142</v>
      </c>
      <c r="C1053" t="s">
        <v>296</v>
      </c>
      <c r="D1053" t="s">
        <v>3326</v>
      </c>
      <c r="E1053" t="s">
        <v>21</v>
      </c>
      <c r="F1053" t="s">
        <v>3327</v>
      </c>
    </row>
    <row r="1054" spans="1:6" hidden="1" x14ac:dyDescent="0.25">
      <c r="A1054" t="s">
        <v>237</v>
      </c>
      <c r="B1054" t="s">
        <v>326</v>
      </c>
      <c r="C1054" t="s">
        <v>296</v>
      </c>
      <c r="D1054" t="s">
        <v>238</v>
      </c>
      <c r="E1054" t="s">
        <v>21</v>
      </c>
      <c r="F1054" t="s">
        <v>239</v>
      </c>
    </row>
    <row r="1055" spans="1:6" hidden="1" x14ac:dyDescent="0.25">
      <c r="A1055" t="s">
        <v>3328</v>
      </c>
      <c r="B1055" t="s">
        <v>34</v>
      </c>
      <c r="C1055" t="s">
        <v>296</v>
      </c>
      <c r="D1055" t="s">
        <v>3329</v>
      </c>
      <c r="E1055" t="s">
        <v>21</v>
      </c>
      <c r="F1055" t="s">
        <v>3330</v>
      </c>
    </row>
    <row r="1056" spans="1:6" hidden="1" x14ac:dyDescent="0.25">
      <c r="A1056" t="s">
        <v>3331</v>
      </c>
      <c r="B1056" t="s">
        <v>41</v>
      </c>
      <c r="C1056" t="s">
        <v>296</v>
      </c>
      <c r="D1056" t="s">
        <v>3332</v>
      </c>
      <c r="E1056" t="s">
        <v>21</v>
      </c>
      <c r="F1056" t="s">
        <v>3333</v>
      </c>
    </row>
    <row r="1057" spans="1:6" hidden="1" x14ac:dyDescent="0.25">
      <c r="A1057" t="s">
        <v>3334</v>
      </c>
      <c r="B1057" t="s">
        <v>326</v>
      </c>
      <c r="C1057" t="s">
        <v>296</v>
      </c>
      <c r="D1057" t="s">
        <v>3335</v>
      </c>
      <c r="E1057" t="s">
        <v>21</v>
      </c>
      <c r="F1057" t="s">
        <v>3336</v>
      </c>
    </row>
    <row r="1058" spans="1:6" hidden="1" x14ac:dyDescent="0.25">
      <c r="A1058" t="s">
        <v>3337</v>
      </c>
      <c r="B1058" t="s">
        <v>326</v>
      </c>
      <c r="C1058" t="s">
        <v>296</v>
      </c>
      <c r="D1058" t="s">
        <v>3338</v>
      </c>
      <c r="E1058" t="s">
        <v>21</v>
      </c>
      <c r="F1058" t="s">
        <v>3339</v>
      </c>
    </row>
    <row r="1059" spans="1:6" hidden="1" x14ac:dyDescent="0.25">
      <c r="A1059" t="s">
        <v>3340</v>
      </c>
      <c r="B1059" t="s">
        <v>326</v>
      </c>
      <c r="C1059" t="s">
        <v>296</v>
      </c>
      <c r="D1059" t="s">
        <v>3341</v>
      </c>
      <c r="E1059" t="s">
        <v>21</v>
      </c>
      <c r="F1059" t="s">
        <v>3342</v>
      </c>
    </row>
    <row r="1060" spans="1:6" hidden="1" x14ac:dyDescent="0.25">
      <c r="A1060" t="s">
        <v>3343</v>
      </c>
      <c r="B1060" t="s">
        <v>702</v>
      </c>
      <c r="C1060" t="s">
        <v>478</v>
      </c>
      <c r="D1060" t="s">
        <v>3344</v>
      </c>
      <c r="E1060" t="s">
        <v>21</v>
      </c>
      <c r="F1060" t="s">
        <v>3345</v>
      </c>
    </row>
    <row r="1061" spans="1:6" hidden="1" x14ac:dyDescent="0.25">
      <c r="A1061" t="s">
        <v>3346</v>
      </c>
      <c r="B1061" t="s">
        <v>89</v>
      </c>
      <c r="C1061" t="s">
        <v>296</v>
      </c>
      <c r="D1061" t="s">
        <v>3347</v>
      </c>
      <c r="E1061" t="s">
        <v>21</v>
      </c>
      <c r="F1061" t="s">
        <v>3348</v>
      </c>
    </row>
    <row r="1062" spans="1:6" hidden="1" x14ac:dyDescent="0.25">
      <c r="A1062" t="s">
        <v>3349</v>
      </c>
      <c r="B1062" t="s">
        <v>34</v>
      </c>
      <c r="C1062" t="s">
        <v>296</v>
      </c>
      <c r="D1062" t="s">
        <v>3350</v>
      </c>
      <c r="E1062" t="s">
        <v>21</v>
      </c>
      <c r="F1062" t="s">
        <v>3351</v>
      </c>
    </row>
    <row r="1063" spans="1:6" hidden="1" x14ac:dyDescent="0.25">
      <c r="A1063" t="s">
        <v>3352</v>
      </c>
      <c r="B1063" t="s">
        <v>853</v>
      </c>
      <c r="C1063" t="s">
        <v>296</v>
      </c>
      <c r="D1063" t="s">
        <v>3353</v>
      </c>
      <c r="E1063" t="s">
        <v>21</v>
      </c>
      <c r="F1063" t="s">
        <v>3354</v>
      </c>
    </row>
    <row r="1064" spans="1:6" hidden="1" x14ac:dyDescent="0.25">
      <c r="A1064" t="s">
        <v>3355</v>
      </c>
      <c r="B1064" t="s">
        <v>543</v>
      </c>
      <c r="C1064" t="s">
        <v>296</v>
      </c>
      <c r="D1064" t="s">
        <v>3356</v>
      </c>
      <c r="E1064" t="s">
        <v>21</v>
      </c>
      <c r="F1064" t="s">
        <v>3357</v>
      </c>
    </row>
    <row r="1065" spans="1:6" hidden="1" x14ac:dyDescent="0.25">
      <c r="A1065" t="s">
        <v>3358</v>
      </c>
      <c r="B1065" t="s">
        <v>78</v>
      </c>
      <c r="C1065" t="s">
        <v>296</v>
      </c>
      <c r="D1065" t="s">
        <v>3359</v>
      </c>
      <c r="E1065" t="s">
        <v>21</v>
      </c>
      <c r="F1065" t="s">
        <v>3360</v>
      </c>
    </row>
    <row r="1066" spans="1:6" hidden="1" x14ac:dyDescent="0.25">
      <c r="A1066" t="s">
        <v>3361</v>
      </c>
      <c r="B1066" t="s">
        <v>142</v>
      </c>
      <c r="C1066" t="s">
        <v>296</v>
      </c>
      <c r="D1066" t="s">
        <v>3362</v>
      </c>
      <c r="E1066" t="s">
        <v>21</v>
      </c>
      <c r="F1066" t="s">
        <v>3363</v>
      </c>
    </row>
    <row r="1067" spans="1:6" hidden="1" x14ac:dyDescent="0.25">
      <c r="A1067" t="s">
        <v>3364</v>
      </c>
      <c r="B1067" t="s">
        <v>160</v>
      </c>
      <c r="C1067" t="s">
        <v>296</v>
      </c>
      <c r="D1067" t="s">
        <v>3365</v>
      </c>
      <c r="E1067" t="s">
        <v>21</v>
      </c>
      <c r="F1067" t="s">
        <v>3366</v>
      </c>
    </row>
    <row r="1068" spans="1:6" hidden="1" x14ac:dyDescent="0.25">
      <c r="A1068" t="s">
        <v>3367</v>
      </c>
      <c r="B1068" t="s">
        <v>326</v>
      </c>
      <c r="C1068" t="s">
        <v>296</v>
      </c>
      <c r="D1068" t="s">
        <v>3368</v>
      </c>
      <c r="E1068" t="s">
        <v>21</v>
      </c>
      <c r="F1068" t="s">
        <v>3369</v>
      </c>
    </row>
    <row r="1069" spans="1:6" hidden="1" x14ac:dyDescent="0.25">
      <c r="A1069" t="s">
        <v>3370</v>
      </c>
      <c r="B1069" t="s">
        <v>621</v>
      </c>
      <c r="C1069" t="s">
        <v>296</v>
      </c>
      <c r="D1069" t="s">
        <v>3371</v>
      </c>
      <c r="E1069" t="s">
        <v>21</v>
      </c>
      <c r="F1069" t="s">
        <v>3372</v>
      </c>
    </row>
    <row r="1070" spans="1:6" hidden="1" x14ac:dyDescent="0.25">
      <c r="A1070" t="s">
        <v>46</v>
      </c>
      <c r="B1070" t="s">
        <v>34</v>
      </c>
      <c r="C1070" t="s">
        <v>296</v>
      </c>
      <c r="D1070" t="s">
        <v>47</v>
      </c>
      <c r="E1070" t="s">
        <v>21</v>
      </c>
      <c r="F1070" t="s">
        <v>48</v>
      </c>
    </row>
    <row r="1071" spans="1:6" hidden="1" x14ac:dyDescent="0.25">
      <c r="A1071" t="s">
        <v>3373</v>
      </c>
      <c r="B1071" t="s">
        <v>311</v>
      </c>
      <c r="C1071" t="s">
        <v>296</v>
      </c>
      <c r="D1071" t="s">
        <v>3374</v>
      </c>
      <c r="E1071" t="s">
        <v>21</v>
      </c>
      <c r="F1071" t="s">
        <v>3375</v>
      </c>
    </row>
    <row r="1072" spans="1:6" hidden="1" x14ac:dyDescent="0.25">
      <c r="A1072" t="s">
        <v>3376</v>
      </c>
      <c r="B1072" t="s">
        <v>356</v>
      </c>
      <c r="C1072" t="s">
        <v>296</v>
      </c>
      <c r="D1072" t="s">
        <v>3377</v>
      </c>
      <c r="E1072" t="s">
        <v>21</v>
      </c>
      <c r="F1072" t="s">
        <v>3378</v>
      </c>
    </row>
    <row r="1073" spans="1:6" hidden="1" x14ac:dyDescent="0.25">
      <c r="A1073" t="s">
        <v>3379</v>
      </c>
      <c r="B1073" t="s">
        <v>34</v>
      </c>
      <c r="C1073" t="s">
        <v>296</v>
      </c>
      <c r="D1073" t="s">
        <v>3380</v>
      </c>
      <c r="E1073" t="s">
        <v>21</v>
      </c>
      <c r="F1073" t="s">
        <v>3381</v>
      </c>
    </row>
    <row r="1074" spans="1:6" hidden="1" x14ac:dyDescent="0.25">
      <c r="A1074" t="s">
        <v>3382</v>
      </c>
      <c r="B1074" t="s">
        <v>29</v>
      </c>
      <c r="C1074" t="s">
        <v>296</v>
      </c>
      <c r="D1074" t="s">
        <v>3383</v>
      </c>
      <c r="E1074" t="s">
        <v>21</v>
      </c>
      <c r="F1074" t="s">
        <v>3384</v>
      </c>
    </row>
    <row r="1075" spans="1:6" hidden="1" x14ac:dyDescent="0.25">
      <c r="A1075" t="s">
        <v>3385</v>
      </c>
      <c r="B1075" t="s">
        <v>311</v>
      </c>
      <c r="C1075" t="s">
        <v>585</v>
      </c>
      <c r="D1075" t="s">
        <v>3386</v>
      </c>
      <c r="E1075" t="s">
        <v>21</v>
      </c>
      <c r="F1075" t="s">
        <v>3387</v>
      </c>
    </row>
    <row r="1076" spans="1:6" hidden="1" x14ac:dyDescent="0.25">
      <c r="A1076" t="s">
        <v>3388</v>
      </c>
      <c r="B1076" t="s">
        <v>702</v>
      </c>
      <c r="C1076" t="s">
        <v>1067</v>
      </c>
      <c r="D1076" t="s">
        <v>3389</v>
      </c>
      <c r="E1076" t="s">
        <v>21</v>
      </c>
      <c r="F1076" t="s">
        <v>3390</v>
      </c>
    </row>
    <row r="1077" spans="1:6" hidden="1" x14ac:dyDescent="0.25">
      <c r="A1077" t="s">
        <v>3391</v>
      </c>
      <c r="B1077" t="s">
        <v>142</v>
      </c>
      <c r="C1077" t="s">
        <v>296</v>
      </c>
      <c r="D1077" t="s">
        <v>3392</v>
      </c>
      <c r="E1077" t="s">
        <v>21</v>
      </c>
      <c r="F1077" t="s">
        <v>3393</v>
      </c>
    </row>
    <row r="1078" spans="1:6" hidden="1" x14ac:dyDescent="0.25">
      <c r="A1078" t="s">
        <v>3394</v>
      </c>
      <c r="B1078" t="s">
        <v>128</v>
      </c>
      <c r="C1078" t="s">
        <v>296</v>
      </c>
      <c r="D1078" t="s">
        <v>3395</v>
      </c>
      <c r="E1078" t="s">
        <v>21</v>
      </c>
      <c r="F1078" t="s">
        <v>3396</v>
      </c>
    </row>
    <row r="1079" spans="1:6" hidden="1" x14ac:dyDescent="0.25">
      <c r="A1079" t="s">
        <v>3397</v>
      </c>
      <c r="B1079" t="s">
        <v>343</v>
      </c>
      <c r="C1079" t="s">
        <v>296</v>
      </c>
      <c r="D1079" t="s">
        <v>3398</v>
      </c>
      <c r="E1079" t="s">
        <v>21</v>
      </c>
      <c r="F1079" t="s">
        <v>3399</v>
      </c>
    </row>
    <row r="1080" spans="1:6" hidden="1" x14ac:dyDescent="0.25">
      <c r="A1080" t="s">
        <v>3400</v>
      </c>
      <c r="B1080" t="s">
        <v>128</v>
      </c>
      <c r="C1080" t="s">
        <v>296</v>
      </c>
      <c r="D1080" t="s">
        <v>3401</v>
      </c>
      <c r="E1080" t="s">
        <v>21</v>
      </c>
      <c r="F1080" t="s">
        <v>3402</v>
      </c>
    </row>
    <row r="1081" spans="1:6" hidden="1" x14ac:dyDescent="0.25">
      <c r="A1081" t="s">
        <v>3403</v>
      </c>
      <c r="B1081" t="s">
        <v>621</v>
      </c>
      <c r="C1081" t="s">
        <v>296</v>
      </c>
      <c r="D1081" t="s">
        <v>3404</v>
      </c>
      <c r="E1081" t="s">
        <v>21</v>
      </c>
      <c r="F1081" t="s">
        <v>3405</v>
      </c>
    </row>
    <row r="1082" spans="1:6" hidden="1" x14ac:dyDescent="0.25">
      <c r="A1082" t="s">
        <v>3406</v>
      </c>
      <c r="B1082" t="s">
        <v>702</v>
      </c>
      <c r="C1082" t="s">
        <v>478</v>
      </c>
      <c r="D1082" t="s">
        <v>3407</v>
      </c>
      <c r="E1082" t="s">
        <v>21</v>
      </c>
      <c r="F1082" t="s">
        <v>3408</v>
      </c>
    </row>
    <row r="1083" spans="1:6" hidden="1" x14ac:dyDescent="0.25">
      <c r="A1083" t="s">
        <v>3409</v>
      </c>
      <c r="B1083" t="s">
        <v>702</v>
      </c>
      <c r="C1083" t="s">
        <v>478</v>
      </c>
      <c r="D1083" t="s">
        <v>3410</v>
      </c>
      <c r="E1083" t="s">
        <v>21</v>
      </c>
      <c r="F1083" t="s">
        <v>3411</v>
      </c>
    </row>
    <row r="1084" spans="1:6" hidden="1" x14ac:dyDescent="0.25">
      <c r="A1084" t="s">
        <v>3412</v>
      </c>
      <c r="B1084" t="s">
        <v>64</v>
      </c>
      <c r="C1084" t="s">
        <v>296</v>
      </c>
      <c r="D1084" t="s">
        <v>3413</v>
      </c>
      <c r="E1084" t="s">
        <v>21</v>
      </c>
      <c r="F1084" t="s">
        <v>3414</v>
      </c>
    </row>
    <row r="1085" spans="1:6" hidden="1" x14ac:dyDescent="0.25">
      <c r="A1085" t="s">
        <v>3415</v>
      </c>
      <c r="B1085" t="s">
        <v>121</v>
      </c>
      <c r="C1085" t="s">
        <v>296</v>
      </c>
      <c r="D1085" t="s">
        <v>3416</v>
      </c>
      <c r="E1085" t="s">
        <v>21</v>
      </c>
      <c r="F1085" t="s">
        <v>3417</v>
      </c>
    </row>
    <row r="1086" spans="1:6" hidden="1" x14ac:dyDescent="0.25">
      <c r="A1086" t="s">
        <v>3418</v>
      </c>
      <c r="B1086" t="s">
        <v>702</v>
      </c>
      <c r="C1086" t="s">
        <v>825</v>
      </c>
      <c r="D1086" t="s">
        <v>3419</v>
      </c>
      <c r="E1086" t="s">
        <v>21</v>
      </c>
      <c r="F1086" t="s">
        <v>3420</v>
      </c>
    </row>
    <row r="1087" spans="1:6" hidden="1" x14ac:dyDescent="0.25">
      <c r="A1087" t="s">
        <v>122</v>
      </c>
      <c r="B1087" t="s">
        <v>386</v>
      </c>
      <c r="C1087" t="s">
        <v>387</v>
      </c>
      <c r="D1087" t="s">
        <v>123</v>
      </c>
      <c r="E1087" t="s">
        <v>21</v>
      </c>
      <c r="F1087" t="s">
        <v>125</v>
      </c>
    </row>
    <row r="1088" spans="1:6" hidden="1" x14ac:dyDescent="0.25">
      <c r="A1088" t="s">
        <v>3421</v>
      </c>
      <c r="B1088" t="s">
        <v>322</v>
      </c>
      <c r="C1088" t="s">
        <v>296</v>
      </c>
      <c r="D1088" t="s">
        <v>3422</v>
      </c>
      <c r="E1088" t="s">
        <v>21</v>
      </c>
      <c r="F1088" t="s">
        <v>3423</v>
      </c>
    </row>
    <row r="1089" spans="1:6" hidden="1" x14ac:dyDescent="0.25">
      <c r="A1089" t="s">
        <v>3424</v>
      </c>
      <c r="B1089" t="s">
        <v>160</v>
      </c>
      <c r="C1089" t="s">
        <v>296</v>
      </c>
      <c r="D1089" t="s">
        <v>3425</v>
      </c>
      <c r="E1089" t="s">
        <v>21</v>
      </c>
      <c r="F1089" t="s">
        <v>3426</v>
      </c>
    </row>
    <row r="1090" spans="1:6" hidden="1" x14ac:dyDescent="0.25">
      <c r="A1090" t="s">
        <v>3427</v>
      </c>
      <c r="B1090" t="s">
        <v>326</v>
      </c>
      <c r="C1090" t="s">
        <v>296</v>
      </c>
      <c r="D1090" t="s">
        <v>3428</v>
      </c>
      <c r="E1090" t="s">
        <v>21</v>
      </c>
      <c r="F1090" t="s">
        <v>3429</v>
      </c>
    </row>
    <row r="1091" spans="1:6" hidden="1" x14ac:dyDescent="0.25">
      <c r="A1091" t="s">
        <v>3430</v>
      </c>
      <c r="B1091" t="s">
        <v>326</v>
      </c>
      <c r="C1091" t="s">
        <v>296</v>
      </c>
      <c r="D1091" t="s">
        <v>3431</v>
      </c>
      <c r="E1091" t="s">
        <v>21</v>
      </c>
      <c r="F1091" t="s">
        <v>3432</v>
      </c>
    </row>
    <row r="1092" spans="1:6" hidden="1" x14ac:dyDescent="0.25">
      <c r="A1092" t="s">
        <v>3433</v>
      </c>
      <c r="B1092" t="s">
        <v>64</v>
      </c>
      <c r="C1092" t="s">
        <v>296</v>
      </c>
      <c r="D1092" t="s">
        <v>3434</v>
      </c>
      <c r="E1092" t="s">
        <v>21</v>
      </c>
      <c r="F1092" t="s">
        <v>3435</v>
      </c>
    </row>
    <row r="1093" spans="1:6" hidden="1" x14ac:dyDescent="0.25">
      <c r="A1093" t="s">
        <v>250</v>
      </c>
      <c r="B1093" t="s">
        <v>132</v>
      </c>
      <c r="C1093" t="s">
        <v>296</v>
      </c>
      <c r="D1093" t="s">
        <v>263</v>
      </c>
      <c r="E1093" t="s">
        <v>21</v>
      </c>
      <c r="F1093" t="s">
        <v>254</v>
      </c>
    </row>
    <row r="1094" spans="1:6" hidden="1" x14ac:dyDescent="0.25">
      <c r="A1094" t="s">
        <v>3436</v>
      </c>
      <c r="B1094" t="s">
        <v>211</v>
      </c>
      <c r="C1094" t="s">
        <v>296</v>
      </c>
      <c r="D1094" t="s">
        <v>3437</v>
      </c>
      <c r="E1094" t="s">
        <v>21</v>
      </c>
      <c r="F1094" t="s">
        <v>3438</v>
      </c>
    </row>
    <row r="1095" spans="1:6" hidden="1" x14ac:dyDescent="0.25">
      <c r="A1095" t="s">
        <v>3439</v>
      </c>
      <c r="B1095" t="s">
        <v>437</v>
      </c>
      <c r="C1095" t="s">
        <v>598</v>
      </c>
      <c r="D1095" t="s">
        <v>3440</v>
      </c>
      <c r="E1095" t="s">
        <v>21</v>
      </c>
      <c r="F1095" t="s">
        <v>3441</v>
      </c>
    </row>
    <row r="1096" spans="1:6" hidden="1" x14ac:dyDescent="0.25">
      <c r="A1096" t="s">
        <v>3442</v>
      </c>
      <c r="B1096" t="s">
        <v>702</v>
      </c>
      <c r="C1096" t="s">
        <v>478</v>
      </c>
      <c r="D1096" t="s">
        <v>3443</v>
      </c>
      <c r="E1096" t="s">
        <v>21</v>
      </c>
      <c r="F1096" t="s">
        <v>3444</v>
      </c>
    </row>
    <row r="1097" spans="1:6" hidden="1" x14ac:dyDescent="0.25">
      <c r="A1097" t="s">
        <v>3445</v>
      </c>
      <c r="B1097" t="s">
        <v>322</v>
      </c>
      <c r="C1097" t="s">
        <v>296</v>
      </c>
      <c r="D1097" t="s">
        <v>3446</v>
      </c>
      <c r="E1097" t="s">
        <v>21</v>
      </c>
      <c r="F1097" t="s">
        <v>3447</v>
      </c>
    </row>
    <row r="1098" spans="1:6" hidden="1" x14ac:dyDescent="0.25">
      <c r="A1098" t="s">
        <v>3448</v>
      </c>
      <c r="B1098" t="s">
        <v>197</v>
      </c>
      <c r="C1098" t="s">
        <v>296</v>
      </c>
      <c r="D1098" t="s">
        <v>3449</v>
      </c>
      <c r="E1098" t="s">
        <v>21</v>
      </c>
      <c r="F1098" t="s">
        <v>3450</v>
      </c>
    </row>
    <row r="1099" spans="1:6" hidden="1" x14ac:dyDescent="0.25">
      <c r="A1099" t="s">
        <v>3451</v>
      </c>
      <c r="B1099" t="s">
        <v>82</v>
      </c>
      <c r="C1099" t="s">
        <v>296</v>
      </c>
      <c r="D1099" t="s">
        <v>3452</v>
      </c>
      <c r="E1099" t="s">
        <v>21</v>
      </c>
      <c r="F1099" t="s">
        <v>3453</v>
      </c>
    </row>
    <row r="1100" spans="1:6" hidden="1" x14ac:dyDescent="0.25">
      <c r="A1100" t="s">
        <v>3454</v>
      </c>
      <c r="B1100" t="s">
        <v>89</v>
      </c>
      <c r="C1100" t="s">
        <v>296</v>
      </c>
      <c r="D1100" t="s">
        <v>3455</v>
      </c>
      <c r="E1100" t="s">
        <v>21</v>
      </c>
      <c r="F1100" t="s">
        <v>3456</v>
      </c>
    </row>
    <row r="1101" spans="1:6" hidden="1" x14ac:dyDescent="0.25">
      <c r="A1101" t="s">
        <v>3457</v>
      </c>
      <c r="B1101" t="s">
        <v>82</v>
      </c>
      <c r="C1101" t="s">
        <v>296</v>
      </c>
      <c r="D1101" t="s">
        <v>3458</v>
      </c>
      <c r="E1101" t="s">
        <v>21</v>
      </c>
      <c r="F1101" t="s">
        <v>3459</v>
      </c>
    </row>
    <row r="1102" spans="1:6" hidden="1" x14ac:dyDescent="0.25">
      <c r="A1102" t="s">
        <v>3460</v>
      </c>
      <c r="B1102" t="s">
        <v>128</v>
      </c>
      <c r="C1102" t="s">
        <v>296</v>
      </c>
      <c r="D1102" t="s">
        <v>3461</v>
      </c>
      <c r="E1102" t="s">
        <v>21</v>
      </c>
      <c r="F1102" t="s">
        <v>3462</v>
      </c>
    </row>
    <row r="1103" spans="1:6" hidden="1" x14ac:dyDescent="0.25">
      <c r="A1103" t="s">
        <v>3463</v>
      </c>
      <c r="B1103" t="s">
        <v>311</v>
      </c>
      <c r="C1103" t="s">
        <v>296</v>
      </c>
      <c r="D1103" t="s">
        <v>3464</v>
      </c>
      <c r="E1103" t="s">
        <v>21</v>
      </c>
      <c r="F1103" t="s">
        <v>3465</v>
      </c>
    </row>
    <row r="1104" spans="1:6" hidden="1" x14ac:dyDescent="0.25">
      <c r="A1104" t="s">
        <v>3466</v>
      </c>
      <c r="B1104" t="s">
        <v>41</v>
      </c>
      <c r="C1104" t="s">
        <v>296</v>
      </c>
      <c r="D1104" t="s">
        <v>3467</v>
      </c>
      <c r="E1104" t="s">
        <v>21</v>
      </c>
      <c r="F1104" t="s">
        <v>3468</v>
      </c>
    </row>
    <row r="1105" spans="1:6" hidden="1" x14ac:dyDescent="0.25">
      <c r="A1105" t="s">
        <v>3469</v>
      </c>
      <c r="B1105" t="s">
        <v>3047</v>
      </c>
      <c r="C1105" t="s">
        <v>296</v>
      </c>
      <c r="D1105" t="s">
        <v>3470</v>
      </c>
      <c r="E1105" t="s">
        <v>21</v>
      </c>
      <c r="F1105" t="s">
        <v>3471</v>
      </c>
    </row>
    <row r="1106" spans="1:6" hidden="1" x14ac:dyDescent="0.25">
      <c r="A1106" t="s">
        <v>3472</v>
      </c>
      <c r="B1106" t="s">
        <v>160</v>
      </c>
      <c r="C1106" t="s">
        <v>296</v>
      </c>
      <c r="D1106" t="s">
        <v>3473</v>
      </c>
      <c r="E1106" t="s">
        <v>21</v>
      </c>
      <c r="F1106" t="s">
        <v>3474</v>
      </c>
    </row>
    <row r="1107" spans="1:6" hidden="1" x14ac:dyDescent="0.25">
      <c r="A1107" t="s">
        <v>3475</v>
      </c>
      <c r="B1107" t="s">
        <v>3047</v>
      </c>
      <c r="C1107" t="s">
        <v>296</v>
      </c>
      <c r="D1107" t="s">
        <v>3476</v>
      </c>
      <c r="E1107" t="s">
        <v>21</v>
      </c>
      <c r="F1107" t="s">
        <v>3477</v>
      </c>
    </row>
    <row r="1108" spans="1:6" hidden="1" x14ac:dyDescent="0.25">
      <c r="A1108" t="s">
        <v>3478</v>
      </c>
      <c r="B1108" t="s">
        <v>1171</v>
      </c>
      <c r="C1108" t="s">
        <v>2006</v>
      </c>
      <c r="D1108" t="s">
        <v>3479</v>
      </c>
      <c r="E1108" t="s">
        <v>21</v>
      </c>
      <c r="F1108" t="s">
        <v>3480</v>
      </c>
    </row>
    <row r="1109" spans="1:6" hidden="1" x14ac:dyDescent="0.25">
      <c r="A1109" t="s">
        <v>3481</v>
      </c>
      <c r="B1109" t="s">
        <v>64</v>
      </c>
      <c r="C1109" t="s">
        <v>296</v>
      </c>
      <c r="D1109" t="s">
        <v>3482</v>
      </c>
      <c r="E1109" t="s">
        <v>21</v>
      </c>
      <c r="F1109" t="s">
        <v>3483</v>
      </c>
    </row>
    <row r="1110" spans="1:6" hidden="1" x14ac:dyDescent="0.25">
      <c r="A1110" t="s">
        <v>3484</v>
      </c>
      <c r="B1110" t="s">
        <v>326</v>
      </c>
      <c r="C1110" t="s">
        <v>296</v>
      </c>
      <c r="D1110" t="s">
        <v>3485</v>
      </c>
      <c r="E1110" t="s">
        <v>21</v>
      </c>
      <c r="F1110" t="s">
        <v>3486</v>
      </c>
    </row>
    <row r="1111" spans="1:6" hidden="1" x14ac:dyDescent="0.25">
      <c r="A1111" t="s">
        <v>3487</v>
      </c>
      <c r="B1111" t="s">
        <v>356</v>
      </c>
      <c r="C1111" t="s">
        <v>296</v>
      </c>
      <c r="D1111" t="s">
        <v>3488</v>
      </c>
      <c r="E1111" t="s">
        <v>21</v>
      </c>
      <c r="F1111" t="s">
        <v>3489</v>
      </c>
    </row>
    <row r="1112" spans="1:6" hidden="1" x14ac:dyDescent="0.25">
      <c r="A1112" t="s">
        <v>3490</v>
      </c>
      <c r="B1112" t="s">
        <v>702</v>
      </c>
      <c r="C1112" t="s">
        <v>825</v>
      </c>
      <c r="D1112" t="s">
        <v>3491</v>
      </c>
      <c r="E1112" t="s">
        <v>21</v>
      </c>
      <c r="F1112" t="s">
        <v>3492</v>
      </c>
    </row>
    <row r="1113" spans="1:6" hidden="1" x14ac:dyDescent="0.25">
      <c r="A1113" t="s">
        <v>3493</v>
      </c>
      <c r="B1113" t="s">
        <v>437</v>
      </c>
      <c r="C1113" t="s">
        <v>480</v>
      </c>
      <c r="D1113" t="s">
        <v>3494</v>
      </c>
      <c r="E1113" t="s">
        <v>21</v>
      </c>
      <c r="F1113" t="s">
        <v>3495</v>
      </c>
    </row>
    <row r="1114" spans="1:6" hidden="1" x14ac:dyDescent="0.25">
      <c r="A1114" t="s">
        <v>3496</v>
      </c>
      <c r="B1114" t="s">
        <v>311</v>
      </c>
      <c r="C1114" t="s">
        <v>296</v>
      </c>
      <c r="D1114" t="s">
        <v>3497</v>
      </c>
      <c r="E1114" t="s">
        <v>21</v>
      </c>
      <c r="F1114" t="s">
        <v>3498</v>
      </c>
    </row>
    <row r="1115" spans="1:6" hidden="1" x14ac:dyDescent="0.25">
      <c r="A1115" t="s">
        <v>3499</v>
      </c>
      <c r="B1115" t="s">
        <v>382</v>
      </c>
      <c r="C1115" t="s">
        <v>296</v>
      </c>
      <c r="D1115" t="s">
        <v>3500</v>
      </c>
      <c r="E1115" t="s">
        <v>21</v>
      </c>
      <c r="F1115" t="s">
        <v>3501</v>
      </c>
    </row>
    <row r="1116" spans="1:6" hidden="1" x14ac:dyDescent="0.25">
      <c r="A1116" t="s">
        <v>3502</v>
      </c>
      <c r="B1116" t="s">
        <v>343</v>
      </c>
      <c r="C1116" t="s">
        <v>296</v>
      </c>
      <c r="D1116" t="s">
        <v>3503</v>
      </c>
      <c r="E1116" t="s">
        <v>21</v>
      </c>
      <c r="F1116" t="s">
        <v>3504</v>
      </c>
    </row>
    <row r="1117" spans="1:6" hidden="1" x14ac:dyDescent="0.25">
      <c r="A1117" t="s">
        <v>3505</v>
      </c>
      <c r="B1117" t="s">
        <v>64</v>
      </c>
      <c r="C1117" t="s">
        <v>296</v>
      </c>
      <c r="D1117" t="s">
        <v>3506</v>
      </c>
      <c r="E1117" t="s">
        <v>21</v>
      </c>
      <c r="F1117" t="s">
        <v>3507</v>
      </c>
    </row>
    <row r="1118" spans="1:6" hidden="1" x14ac:dyDescent="0.25">
      <c r="A1118" t="s">
        <v>65</v>
      </c>
      <c r="B1118" t="s">
        <v>211</v>
      </c>
      <c r="C1118" t="s">
        <v>296</v>
      </c>
      <c r="D1118" t="s">
        <v>66</v>
      </c>
      <c r="E1118" t="s">
        <v>21</v>
      </c>
      <c r="F1118" t="s">
        <v>68</v>
      </c>
    </row>
    <row r="1119" spans="1:6" hidden="1" x14ac:dyDescent="0.25">
      <c r="A1119" t="s">
        <v>95</v>
      </c>
      <c r="B1119" t="s">
        <v>97</v>
      </c>
      <c r="C1119" t="s">
        <v>296</v>
      </c>
      <c r="D1119" t="s">
        <v>96</v>
      </c>
      <c r="E1119" t="s">
        <v>21</v>
      </c>
      <c r="F1119" t="s">
        <v>100</v>
      </c>
    </row>
    <row r="1120" spans="1:6" hidden="1" x14ac:dyDescent="0.25">
      <c r="A1120" t="s">
        <v>3508</v>
      </c>
      <c r="B1120" t="s">
        <v>566</v>
      </c>
      <c r="C1120" t="s">
        <v>296</v>
      </c>
      <c r="D1120" t="s">
        <v>3509</v>
      </c>
      <c r="E1120" t="s">
        <v>21</v>
      </c>
      <c r="F1120" t="s">
        <v>3510</v>
      </c>
    </row>
    <row r="1121" spans="1:6" hidden="1" x14ac:dyDescent="0.25">
      <c r="A1121" t="s">
        <v>17</v>
      </c>
      <c r="B1121" t="s">
        <v>386</v>
      </c>
      <c r="C1121" t="s">
        <v>387</v>
      </c>
      <c r="D1121" t="s">
        <v>18</v>
      </c>
      <c r="E1121" t="s">
        <v>21</v>
      </c>
      <c r="F1121" t="s">
        <v>20</v>
      </c>
    </row>
    <row r="1122" spans="1:6" hidden="1" x14ac:dyDescent="0.25">
      <c r="A1122" t="s">
        <v>3511</v>
      </c>
      <c r="B1122" t="s">
        <v>89</v>
      </c>
      <c r="C1122" t="s">
        <v>296</v>
      </c>
      <c r="D1122" t="s">
        <v>3512</v>
      </c>
      <c r="E1122" t="s">
        <v>21</v>
      </c>
      <c r="F1122" t="s">
        <v>3513</v>
      </c>
    </row>
    <row r="1123" spans="1:6" hidden="1" x14ac:dyDescent="0.25">
      <c r="A1123" t="s">
        <v>3514</v>
      </c>
      <c r="B1123" t="s">
        <v>702</v>
      </c>
      <c r="C1123" t="s">
        <v>825</v>
      </c>
      <c r="D1123" t="s">
        <v>3515</v>
      </c>
      <c r="E1123" t="s">
        <v>21</v>
      </c>
      <c r="F1123" t="s">
        <v>3516</v>
      </c>
    </row>
    <row r="1124" spans="1:6" hidden="1" x14ac:dyDescent="0.25">
      <c r="A1124" t="s">
        <v>3517</v>
      </c>
      <c r="B1124" t="s">
        <v>34</v>
      </c>
      <c r="C1124" t="s">
        <v>296</v>
      </c>
      <c r="D1124" t="s">
        <v>3518</v>
      </c>
      <c r="E1124" t="s">
        <v>21</v>
      </c>
      <c r="F1124" t="s">
        <v>3519</v>
      </c>
    </row>
    <row r="1125" spans="1:6" hidden="1" x14ac:dyDescent="0.25">
      <c r="A1125" t="s">
        <v>3520</v>
      </c>
      <c r="B1125" t="s">
        <v>322</v>
      </c>
      <c r="C1125" t="s">
        <v>585</v>
      </c>
      <c r="D1125" t="s">
        <v>3521</v>
      </c>
      <c r="E1125" t="s">
        <v>21</v>
      </c>
      <c r="F1125" t="s">
        <v>3522</v>
      </c>
    </row>
    <row r="1126" spans="1:6" hidden="1" x14ac:dyDescent="0.25">
      <c r="A1126" t="s">
        <v>3523</v>
      </c>
      <c r="B1126" t="s">
        <v>24</v>
      </c>
      <c r="C1126" t="s">
        <v>296</v>
      </c>
      <c r="D1126" t="s">
        <v>3524</v>
      </c>
      <c r="E1126" t="s">
        <v>21</v>
      </c>
      <c r="F1126" t="s">
        <v>3525</v>
      </c>
    </row>
    <row r="1127" spans="1:6" hidden="1" x14ac:dyDescent="0.25">
      <c r="A1127" t="s">
        <v>3526</v>
      </c>
      <c r="B1127" t="s">
        <v>15</v>
      </c>
      <c r="C1127" t="s">
        <v>296</v>
      </c>
      <c r="D1127" t="s">
        <v>3527</v>
      </c>
      <c r="E1127" t="s">
        <v>21</v>
      </c>
      <c r="F1127" t="s">
        <v>3528</v>
      </c>
    </row>
    <row r="1128" spans="1:6" hidden="1" x14ac:dyDescent="0.25">
      <c r="A1128" t="s">
        <v>3529</v>
      </c>
      <c r="B1128" t="s">
        <v>24</v>
      </c>
      <c r="C1128" t="s">
        <v>296</v>
      </c>
      <c r="D1128" t="s">
        <v>3530</v>
      </c>
      <c r="E1128" t="s">
        <v>21</v>
      </c>
      <c r="F1128" t="s">
        <v>3531</v>
      </c>
    </row>
    <row r="1129" spans="1:6" hidden="1" x14ac:dyDescent="0.25">
      <c r="A1129" t="s">
        <v>3532</v>
      </c>
      <c r="B1129" t="s">
        <v>748</v>
      </c>
      <c r="C1129" t="s">
        <v>400</v>
      </c>
      <c r="D1129" t="s">
        <v>3533</v>
      </c>
      <c r="E1129" t="s">
        <v>21</v>
      </c>
      <c r="F1129" t="s">
        <v>3534</v>
      </c>
    </row>
    <row r="1130" spans="1:6" hidden="1" x14ac:dyDescent="0.25">
      <c r="A1130" t="s">
        <v>275</v>
      </c>
      <c r="B1130" t="s">
        <v>34</v>
      </c>
      <c r="C1130" t="s">
        <v>296</v>
      </c>
      <c r="D1130" t="s">
        <v>3535</v>
      </c>
      <c r="E1130" t="s">
        <v>21</v>
      </c>
      <c r="F1130" t="s">
        <v>3536</v>
      </c>
    </row>
    <row r="1131" spans="1:6" hidden="1" x14ac:dyDescent="0.25">
      <c r="A1131" t="s">
        <v>3537</v>
      </c>
      <c r="B1131" t="s">
        <v>128</v>
      </c>
      <c r="C1131" t="s">
        <v>296</v>
      </c>
      <c r="D1131" t="s">
        <v>3538</v>
      </c>
      <c r="E1131" t="s">
        <v>21</v>
      </c>
      <c r="F1131" t="s">
        <v>3539</v>
      </c>
    </row>
    <row r="1132" spans="1:6" hidden="1" x14ac:dyDescent="0.25">
      <c r="A1132" t="s">
        <v>147</v>
      </c>
      <c r="B1132" t="s">
        <v>386</v>
      </c>
      <c r="C1132" t="s">
        <v>387</v>
      </c>
      <c r="D1132" t="s">
        <v>148</v>
      </c>
      <c r="E1132" t="s">
        <v>21</v>
      </c>
      <c r="F1132" t="s">
        <v>149</v>
      </c>
    </row>
    <row r="1133" spans="1:6" hidden="1" x14ac:dyDescent="0.25">
      <c r="A1133" t="s">
        <v>3540</v>
      </c>
      <c r="B1133" t="s">
        <v>514</v>
      </c>
      <c r="C1133" t="s">
        <v>2958</v>
      </c>
      <c r="D1133" t="s">
        <v>3541</v>
      </c>
      <c r="E1133" t="s">
        <v>21</v>
      </c>
      <c r="F1133" t="s">
        <v>3542</v>
      </c>
    </row>
    <row r="1134" spans="1:6" hidden="1" x14ac:dyDescent="0.25">
      <c r="A1134" t="s">
        <v>3543</v>
      </c>
      <c r="B1134" t="s">
        <v>97</v>
      </c>
      <c r="C1134" t="s">
        <v>296</v>
      </c>
      <c r="D1134" t="s">
        <v>3544</v>
      </c>
      <c r="E1134" t="s">
        <v>21</v>
      </c>
      <c r="F1134" t="s">
        <v>3545</v>
      </c>
    </row>
    <row r="1135" spans="1:6" hidden="1" x14ac:dyDescent="0.25">
      <c r="A1135" t="s">
        <v>3546</v>
      </c>
      <c r="B1135" t="s">
        <v>64</v>
      </c>
      <c r="C1135" t="s">
        <v>296</v>
      </c>
      <c r="D1135" t="s">
        <v>3547</v>
      </c>
      <c r="E1135" t="s">
        <v>21</v>
      </c>
      <c r="F1135" t="s">
        <v>3548</v>
      </c>
    </row>
    <row r="1136" spans="1:6" hidden="1" x14ac:dyDescent="0.25">
      <c r="A1136" t="s">
        <v>3549</v>
      </c>
      <c r="B1136" t="s">
        <v>132</v>
      </c>
      <c r="C1136" t="s">
        <v>296</v>
      </c>
      <c r="D1136" t="s">
        <v>3550</v>
      </c>
      <c r="E1136" t="s">
        <v>21</v>
      </c>
      <c r="F1136" t="s">
        <v>3551</v>
      </c>
    </row>
    <row r="1137" spans="1:6" hidden="1" x14ac:dyDescent="0.25">
      <c r="A1137" t="s">
        <v>3552</v>
      </c>
      <c r="B1137" t="s">
        <v>748</v>
      </c>
      <c r="C1137" t="s">
        <v>400</v>
      </c>
      <c r="D1137" t="s">
        <v>3553</v>
      </c>
      <c r="E1137" t="s">
        <v>21</v>
      </c>
      <c r="F1137" t="s">
        <v>3554</v>
      </c>
    </row>
    <row r="1138" spans="1:6" hidden="1" x14ac:dyDescent="0.25">
      <c r="A1138" t="s">
        <v>3555</v>
      </c>
      <c r="B1138" t="s">
        <v>34</v>
      </c>
      <c r="C1138" t="s">
        <v>296</v>
      </c>
      <c r="D1138" t="s">
        <v>3556</v>
      </c>
      <c r="E1138" t="s">
        <v>21</v>
      </c>
      <c r="F1138" t="s">
        <v>3557</v>
      </c>
    </row>
    <row r="1139" spans="1:6" hidden="1" x14ac:dyDescent="0.25">
      <c r="A1139" t="s">
        <v>3558</v>
      </c>
      <c r="B1139" t="s">
        <v>356</v>
      </c>
      <c r="C1139" t="s">
        <v>296</v>
      </c>
      <c r="D1139" t="s">
        <v>3559</v>
      </c>
      <c r="E1139" t="s">
        <v>21</v>
      </c>
      <c r="F1139" t="s">
        <v>3560</v>
      </c>
    </row>
    <row r="1140" spans="1:6" hidden="1" x14ac:dyDescent="0.25">
      <c r="A1140" t="s">
        <v>3561</v>
      </c>
      <c r="B1140" t="s">
        <v>64</v>
      </c>
      <c r="C1140" t="s">
        <v>296</v>
      </c>
      <c r="D1140" t="s">
        <v>3562</v>
      </c>
      <c r="E1140" t="s">
        <v>21</v>
      </c>
      <c r="F1140" t="s">
        <v>3563</v>
      </c>
    </row>
    <row r="1141" spans="1:6" hidden="1" x14ac:dyDescent="0.25">
      <c r="A1141" t="s">
        <v>3564</v>
      </c>
      <c r="B1141" t="s">
        <v>382</v>
      </c>
      <c r="C1141" t="s">
        <v>296</v>
      </c>
      <c r="D1141" t="s">
        <v>3565</v>
      </c>
      <c r="E1141" t="s">
        <v>21</v>
      </c>
      <c r="F1141" t="s">
        <v>3566</v>
      </c>
    </row>
    <row r="1142" spans="1:6" hidden="1" x14ac:dyDescent="0.25">
      <c r="A1142" t="s">
        <v>3567</v>
      </c>
      <c r="B1142" t="s">
        <v>543</v>
      </c>
      <c r="C1142" t="s">
        <v>296</v>
      </c>
      <c r="D1142" t="s">
        <v>3568</v>
      </c>
      <c r="E1142" t="s">
        <v>21</v>
      </c>
      <c r="F1142" t="s">
        <v>3569</v>
      </c>
    </row>
    <row r="1143" spans="1:6" hidden="1" x14ac:dyDescent="0.25">
      <c r="A1143" t="s">
        <v>3570</v>
      </c>
      <c r="B1143" t="s">
        <v>211</v>
      </c>
      <c r="C1143" t="s">
        <v>296</v>
      </c>
      <c r="D1143" t="s">
        <v>3571</v>
      </c>
      <c r="E1143" t="s">
        <v>21</v>
      </c>
      <c r="F1143" t="s">
        <v>3572</v>
      </c>
    </row>
    <row r="1144" spans="1:6" hidden="1" x14ac:dyDescent="0.25">
      <c r="A1144" t="s">
        <v>3573</v>
      </c>
      <c r="B1144" t="s">
        <v>160</v>
      </c>
      <c r="C1144" t="s">
        <v>296</v>
      </c>
      <c r="D1144" t="s">
        <v>3574</v>
      </c>
      <c r="E1144" t="s">
        <v>21</v>
      </c>
      <c r="F1144" t="s">
        <v>3575</v>
      </c>
    </row>
    <row r="1145" spans="1:6" hidden="1" x14ac:dyDescent="0.25">
      <c r="A1145" t="s">
        <v>3576</v>
      </c>
      <c r="B1145" t="s">
        <v>15</v>
      </c>
      <c r="C1145" t="s">
        <v>296</v>
      </c>
      <c r="D1145" t="s">
        <v>3577</v>
      </c>
      <c r="E1145" t="s">
        <v>21</v>
      </c>
      <c r="F1145" t="s">
        <v>3578</v>
      </c>
    </row>
    <row r="1146" spans="1:6" hidden="1" x14ac:dyDescent="0.25">
      <c r="A1146" t="s">
        <v>3579</v>
      </c>
      <c r="B1146" t="s">
        <v>702</v>
      </c>
      <c r="C1146" t="s">
        <v>478</v>
      </c>
      <c r="D1146" t="s">
        <v>3580</v>
      </c>
      <c r="E1146" t="s">
        <v>21</v>
      </c>
      <c r="F1146" t="s">
        <v>3581</v>
      </c>
    </row>
    <row r="1147" spans="1:6" hidden="1" x14ac:dyDescent="0.25">
      <c r="A1147" t="s">
        <v>3582</v>
      </c>
      <c r="B1147" t="s">
        <v>1682</v>
      </c>
      <c r="C1147" t="s">
        <v>296</v>
      </c>
      <c r="D1147" t="s">
        <v>3583</v>
      </c>
      <c r="E1147" t="s">
        <v>21</v>
      </c>
      <c r="F1147" t="s">
        <v>3584</v>
      </c>
    </row>
    <row r="1148" spans="1:6" hidden="1" x14ac:dyDescent="0.25">
      <c r="A1148" t="s">
        <v>3585</v>
      </c>
      <c r="B1148" t="s">
        <v>142</v>
      </c>
      <c r="C1148" t="s">
        <v>296</v>
      </c>
      <c r="D1148" t="s">
        <v>3586</v>
      </c>
      <c r="E1148" t="s">
        <v>21</v>
      </c>
      <c r="F1148" t="s">
        <v>3587</v>
      </c>
    </row>
    <row r="1149" spans="1:6" hidden="1" x14ac:dyDescent="0.25">
      <c r="A1149" t="s">
        <v>3588</v>
      </c>
      <c r="B1149" t="s">
        <v>326</v>
      </c>
      <c r="C1149" t="s">
        <v>296</v>
      </c>
      <c r="D1149" t="s">
        <v>3589</v>
      </c>
      <c r="E1149" t="s">
        <v>21</v>
      </c>
      <c r="F1149" t="s">
        <v>3590</v>
      </c>
    </row>
    <row r="1150" spans="1:6" hidden="1" x14ac:dyDescent="0.25">
      <c r="A1150" t="s">
        <v>3591</v>
      </c>
      <c r="B1150" t="s">
        <v>82</v>
      </c>
      <c r="C1150" t="s">
        <v>296</v>
      </c>
      <c r="D1150" t="s">
        <v>3592</v>
      </c>
      <c r="E1150" t="s">
        <v>21</v>
      </c>
      <c r="F1150" t="s">
        <v>3593</v>
      </c>
    </row>
    <row r="1151" spans="1:6" hidden="1" x14ac:dyDescent="0.25">
      <c r="A1151" t="s">
        <v>3594</v>
      </c>
      <c r="B1151" t="s">
        <v>64</v>
      </c>
      <c r="C1151" t="s">
        <v>296</v>
      </c>
      <c r="D1151" t="s">
        <v>3595</v>
      </c>
      <c r="E1151" t="s">
        <v>21</v>
      </c>
      <c r="F1151" t="s">
        <v>3596</v>
      </c>
    </row>
    <row r="1152" spans="1:6" hidden="1" x14ac:dyDescent="0.25">
      <c r="A1152" t="s">
        <v>3597</v>
      </c>
      <c r="B1152" t="s">
        <v>64</v>
      </c>
      <c r="C1152" t="s">
        <v>296</v>
      </c>
      <c r="D1152" t="s">
        <v>3598</v>
      </c>
      <c r="E1152" t="s">
        <v>21</v>
      </c>
      <c r="F1152" t="s">
        <v>3599</v>
      </c>
    </row>
    <row r="1153" spans="1:6" hidden="1" x14ac:dyDescent="0.25">
      <c r="A1153" t="s">
        <v>3600</v>
      </c>
      <c r="B1153" t="s">
        <v>64</v>
      </c>
      <c r="C1153" t="s">
        <v>296</v>
      </c>
      <c r="D1153" t="s">
        <v>3601</v>
      </c>
      <c r="E1153" t="s">
        <v>21</v>
      </c>
      <c r="F1153" t="s">
        <v>3602</v>
      </c>
    </row>
    <row r="1154" spans="1:6" hidden="1" x14ac:dyDescent="0.25">
      <c r="A1154" t="s">
        <v>3603</v>
      </c>
      <c r="B1154" t="s">
        <v>128</v>
      </c>
      <c r="C1154" t="s">
        <v>585</v>
      </c>
      <c r="D1154" t="s">
        <v>3604</v>
      </c>
      <c r="E1154" t="s">
        <v>21</v>
      </c>
      <c r="F1154" t="s">
        <v>3605</v>
      </c>
    </row>
    <row r="1155" spans="1:6" hidden="1" x14ac:dyDescent="0.25">
      <c r="A1155" t="s">
        <v>3606</v>
      </c>
      <c r="B1155" t="s">
        <v>89</v>
      </c>
      <c r="C1155" t="s">
        <v>585</v>
      </c>
      <c r="D1155" t="s">
        <v>3607</v>
      </c>
      <c r="E1155" t="s">
        <v>21</v>
      </c>
      <c r="F1155" t="s">
        <v>3608</v>
      </c>
    </row>
    <row r="1156" spans="1:6" hidden="1" x14ac:dyDescent="0.25">
      <c r="A1156" t="s">
        <v>3609</v>
      </c>
      <c r="B1156" t="s">
        <v>64</v>
      </c>
      <c r="C1156" t="s">
        <v>296</v>
      </c>
      <c r="D1156" t="s">
        <v>3610</v>
      </c>
      <c r="E1156" t="s">
        <v>21</v>
      </c>
      <c r="F1156" t="s">
        <v>3611</v>
      </c>
    </row>
    <row r="1157" spans="1:6" hidden="1" x14ac:dyDescent="0.25">
      <c r="A1157" t="s">
        <v>3612</v>
      </c>
      <c r="B1157" t="s">
        <v>326</v>
      </c>
      <c r="C1157" t="s">
        <v>296</v>
      </c>
      <c r="D1157" t="s">
        <v>3613</v>
      </c>
      <c r="E1157" t="s">
        <v>21</v>
      </c>
      <c r="F1157" t="s">
        <v>3614</v>
      </c>
    </row>
    <row r="1158" spans="1:6" hidden="1" x14ac:dyDescent="0.25">
      <c r="A1158" t="s">
        <v>3615</v>
      </c>
      <c r="B1158" t="s">
        <v>15</v>
      </c>
      <c r="C1158" t="s">
        <v>296</v>
      </c>
      <c r="D1158" t="s">
        <v>3616</v>
      </c>
      <c r="E1158" t="s">
        <v>21</v>
      </c>
      <c r="F1158" t="s">
        <v>3617</v>
      </c>
    </row>
    <row r="1159" spans="1:6" hidden="1" x14ac:dyDescent="0.25">
      <c r="A1159" t="s">
        <v>3618</v>
      </c>
      <c r="B1159" t="s">
        <v>29</v>
      </c>
      <c r="C1159" t="s">
        <v>387</v>
      </c>
      <c r="D1159" t="s">
        <v>3619</v>
      </c>
      <c r="E1159" t="s">
        <v>21</v>
      </c>
      <c r="F1159" t="s">
        <v>3620</v>
      </c>
    </row>
    <row r="1160" spans="1:6" hidden="1" x14ac:dyDescent="0.25">
      <c r="A1160" t="s">
        <v>3621</v>
      </c>
      <c r="B1160" t="s">
        <v>386</v>
      </c>
      <c r="C1160" t="s">
        <v>387</v>
      </c>
      <c r="D1160" t="s">
        <v>3622</v>
      </c>
      <c r="E1160" t="s">
        <v>21</v>
      </c>
      <c r="F1160" t="s">
        <v>3623</v>
      </c>
    </row>
    <row r="1161" spans="1:6" hidden="1" x14ac:dyDescent="0.25">
      <c r="A1161" t="s">
        <v>3624</v>
      </c>
      <c r="B1161" t="s">
        <v>437</v>
      </c>
      <c r="C1161" t="s">
        <v>480</v>
      </c>
      <c r="D1161" t="s">
        <v>3625</v>
      </c>
      <c r="E1161" t="s">
        <v>21</v>
      </c>
      <c r="F1161" t="s">
        <v>3626</v>
      </c>
    </row>
    <row r="1162" spans="1:6" hidden="1" x14ac:dyDescent="0.25">
      <c r="A1162" t="s">
        <v>3627</v>
      </c>
      <c r="B1162" t="s">
        <v>211</v>
      </c>
      <c r="C1162" t="s">
        <v>296</v>
      </c>
      <c r="D1162" t="s">
        <v>3628</v>
      </c>
      <c r="E1162" t="s">
        <v>21</v>
      </c>
      <c r="F1162" t="s">
        <v>3629</v>
      </c>
    </row>
    <row r="1163" spans="1:6" hidden="1" x14ac:dyDescent="0.25">
      <c r="A1163" t="s">
        <v>3630</v>
      </c>
      <c r="B1163" t="s">
        <v>2002</v>
      </c>
      <c r="C1163" t="s">
        <v>296</v>
      </c>
      <c r="D1163" t="s">
        <v>3631</v>
      </c>
      <c r="E1163" t="s">
        <v>21</v>
      </c>
      <c r="F1163" t="s">
        <v>3632</v>
      </c>
    </row>
    <row r="1164" spans="1:6" hidden="1" x14ac:dyDescent="0.25">
      <c r="A1164" t="s">
        <v>3633</v>
      </c>
      <c r="B1164" t="s">
        <v>78</v>
      </c>
      <c r="C1164" t="s">
        <v>296</v>
      </c>
      <c r="D1164" t="s">
        <v>3634</v>
      </c>
      <c r="E1164" t="s">
        <v>21</v>
      </c>
      <c r="F1164" t="s">
        <v>3635</v>
      </c>
    </row>
    <row r="1165" spans="1:6" hidden="1" x14ac:dyDescent="0.25">
      <c r="A1165" t="s">
        <v>288</v>
      </c>
      <c r="B1165" t="s">
        <v>34</v>
      </c>
      <c r="C1165" t="s">
        <v>296</v>
      </c>
      <c r="D1165" t="s">
        <v>3636</v>
      </c>
      <c r="E1165" t="s">
        <v>21</v>
      </c>
      <c r="F1165" t="s">
        <v>3637</v>
      </c>
    </row>
    <row r="1166" spans="1:6" x14ac:dyDescent="0.25">
      <c r="A1166" t="s">
        <v>3638</v>
      </c>
      <c r="B1166" t="s">
        <v>386</v>
      </c>
      <c r="C1166" t="s">
        <v>387</v>
      </c>
      <c r="D1166" t="s">
        <v>3639</v>
      </c>
      <c r="E1166" t="s">
        <v>21</v>
      </c>
      <c r="F1166" t="s">
        <v>3640</v>
      </c>
    </row>
    <row r="1167" spans="1:6" hidden="1" x14ac:dyDescent="0.25">
      <c r="A1167" t="s">
        <v>3641</v>
      </c>
      <c r="B1167" t="s">
        <v>78</v>
      </c>
      <c r="C1167" t="s">
        <v>296</v>
      </c>
      <c r="D1167" t="s">
        <v>3642</v>
      </c>
      <c r="E1167" t="s">
        <v>21</v>
      </c>
      <c r="F1167" t="s">
        <v>3643</v>
      </c>
    </row>
    <row r="1168" spans="1:6" hidden="1" x14ac:dyDescent="0.25">
      <c r="A1168" t="s">
        <v>3644</v>
      </c>
      <c r="B1168" t="s">
        <v>702</v>
      </c>
      <c r="C1168" t="s">
        <v>825</v>
      </c>
      <c r="D1168" t="s">
        <v>3645</v>
      </c>
      <c r="E1168" t="s">
        <v>21</v>
      </c>
      <c r="F1168" t="s">
        <v>3646</v>
      </c>
    </row>
    <row r="1169" spans="1:6" hidden="1" x14ac:dyDescent="0.25">
      <c r="A1169" t="s">
        <v>3647</v>
      </c>
      <c r="B1169" t="s">
        <v>34</v>
      </c>
      <c r="C1169" t="s">
        <v>296</v>
      </c>
      <c r="D1169" t="s">
        <v>3648</v>
      </c>
      <c r="E1169" t="s">
        <v>21</v>
      </c>
      <c r="F1169" t="s">
        <v>3649</v>
      </c>
    </row>
    <row r="1170" spans="1:6" hidden="1" x14ac:dyDescent="0.25">
      <c r="A1170" t="s">
        <v>3650</v>
      </c>
      <c r="B1170" t="s">
        <v>3223</v>
      </c>
      <c r="C1170" t="s">
        <v>296</v>
      </c>
      <c r="D1170" t="s">
        <v>3651</v>
      </c>
      <c r="E1170" t="s">
        <v>21</v>
      </c>
      <c r="F1170" t="s">
        <v>3652</v>
      </c>
    </row>
    <row r="1171" spans="1:6" hidden="1" x14ac:dyDescent="0.25">
      <c r="A1171" t="s">
        <v>3653</v>
      </c>
      <c r="B1171" t="s">
        <v>51</v>
      </c>
      <c r="C1171" t="s">
        <v>296</v>
      </c>
      <c r="D1171" t="s">
        <v>3654</v>
      </c>
      <c r="E1171" t="s">
        <v>21</v>
      </c>
      <c r="F1171" t="s">
        <v>3655</v>
      </c>
    </row>
    <row r="1172" spans="1:6" hidden="1" x14ac:dyDescent="0.25">
      <c r="A1172" t="s">
        <v>3656</v>
      </c>
      <c r="B1172" t="s">
        <v>41</v>
      </c>
      <c r="C1172" t="s">
        <v>296</v>
      </c>
      <c r="D1172" t="s">
        <v>3657</v>
      </c>
      <c r="E1172" t="s">
        <v>21</v>
      </c>
      <c r="F1172" t="s">
        <v>3658</v>
      </c>
    </row>
    <row r="1173" spans="1:6" hidden="1" x14ac:dyDescent="0.25">
      <c r="A1173" t="s">
        <v>3659</v>
      </c>
      <c r="B1173" t="s">
        <v>15</v>
      </c>
      <c r="C1173" t="s">
        <v>296</v>
      </c>
      <c r="D1173" t="s">
        <v>3660</v>
      </c>
      <c r="E1173" t="s">
        <v>21</v>
      </c>
      <c r="F1173" t="s">
        <v>3661</v>
      </c>
    </row>
    <row r="1174" spans="1:6" hidden="1" x14ac:dyDescent="0.25">
      <c r="A1174" t="s">
        <v>158</v>
      </c>
      <c r="B1174" t="s">
        <v>160</v>
      </c>
      <c r="C1174" t="s">
        <v>296</v>
      </c>
      <c r="D1174" t="s">
        <v>194</v>
      </c>
      <c r="E1174" t="s">
        <v>21</v>
      </c>
      <c r="F1174" t="s">
        <v>161</v>
      </c>
    </row>
    <row r="1175" spans="1:6" hidden="1" x14ac:dyDescent="0.25">
      <c r="A1175" t="s">
        <v>3662</v>
      </c>
      <c r="B1175" t="s">
        <v>1711</v>
      </c>
      <c r="C1175" t="s">
        <v>296</v>
      </c>
      <c r="D1175" t="s">
        <v>3663</v>
      </c>
      <c r="E1175" t="s">
        <v>21</v>
      </c>
      <c r="F1175" t="s">
        <v>3664</v>
      </c>
    </row>
    <row r="1176" spans="1:6" hidden="1" x14ac:dyDescent="0.25">
      <c r="A1176" t="s">
        <v>3665</v>
      </c>
      <c r="B1176" t="s">
        <v>78</v>
      </c>
      <c r="C1176" t="s">
        <v>296</v>
      </c>
      <c r="D1176" t="s">
        <v>3666</v>
      </c>
      <c r="E1176" t="s">
        <v>21</v>
      </c>
      <c r="F1176" t="s">
        <v>3667</v>
      </c>
    </row>
    <row r="1177" spans="1:6" hidden="1" x14ac:dyDescent="0.25">
      <c r="A1177" t="s">
        <v>3668</v>
      </c>
      <c r="B1177" t="s">
        <v>15</v>
      </c>
      <c r="C1177" t="s">
        <v>296</v>
      </c>
      <c r="D1177" t="s">
        <v>3669</v>
      </c>
      <c r="E1177" t="s">
        <v>21</v>
      </c>
      <c r="F1177" t="s">
        <v>3670</v>
      </c>
    </row>
    <row r="1178" spans="1:6" hidden="1" x14ac:dyDescent="0.25">
      <c r="A1178" t="s">
        <v>3671</v>
      </c>
      <c r="B1178" t="s">
        <v>121</v>
      </c>
      <c r="C1178" t="s">
        <v>296</v>
      </c>
      <c r="D1178" t="s">
        <v>3672</v>
      </c>
      <c r="E1178" t="s">
        <v>21</v>
      </c>
      <c r="F1178" t="s">
        <v>3673</v>
      </c>
    </row>
    <row r="1179" spans="1:6" hidden="1" x14ac:dyDescent="0.25">
      <c r="A1179" t="s">
        <v>3674</v>
      </c>
      <c r="B1179" t="s">
        <v>382</v>
      </c>
      <c r="C1179" t="s">
        <v>296</v>
      </c>
      <c r="D1179" t="s">
        <v>3675</v>
      </c>
      <c r="E1179" t="s">
        <v>21</v>
      </c>
      <c r="F1179" t="s">
        <v>3676</v>
      </c>
    </row>
    <row r="1180" spans="1:6" hidden="1" x14ac:dyDescent="0.25">
      <c r="A1180" t="s">
        <v>171</v>
      </c>
      <c r="B1180" t="s">
        <v>386</v>
      </c>
      <c r="C1180" t="s">
        <v>387</v>
      </c>
      <c r="D1180" t="s">
        <v>172</v>
      </c>
      <c r="E1180" t="s">
        <v>21</v>
      </c>
      <c r="F1180" t="s">
        <v>173</v>
      </c>
    </row>
    <row r="1181" spans="1:6" hidden="1" x14ac:dyDescent="0.25">
      <c r="A1181" t="s">
        <v>3677</v>
      </c>
      <c r="B1181" t="s">
        <v>322</v>
      </c>
      <c r="C1181" t="s">
        <v>296</v>
      </c>
      <c r="D1181" t="s">
        <v>3678</v>
      </c>
      <c r="E1181" t="s">
        <v>21</v>
      </c>
      <c r="F1181" t="s">
        <v>3679</v>
      </c>
    </row>
    <row r="1182" spans="1:6" hidden="1" x14ac:dyDescent="0.25">
      <c r="A1182" t="s">
        <v>234</v>
      </c>
      <c r="B1182" t="s">
        <v>211</v>
      </c>
      <c r="C1182" t="s">
        <v>296</v>
      </c>
      <c r="D1182" t="s">
        <v>235</v>
      </c>
      <c r="E1182" t="s">
        <v>21</v>
      </c>
      <c r="F1182" t="s">
        <v>236</v>
      </c>
    </row>
    <row r="1183" spans="1:6" hidden="1" x14ac:dyDescent="0.25">
      <c r="A1183" t="s">
        <v>3680</v>
      </c>
      <c r="B1183" t="s">
        <v>142</v>
      </c>
      <c r="C1183" t="s">
        <v>296</v>
      </c>
      <c r="D1183" t="s">
        <v>3681</v>
      </c>
      <c r="E1183" t="s">
        <v>21</v>
      </c>
      <c r="F1183" t="s">
        <v>3682</v>
      </c>
    </row>
    <row r="1184" spans="1:6" hidden="1" x14ac:dyDescent="0.25">
      <c r="A1184" t="s">
        <v>3683</v>
      </c>
      <c r="B1184" t="s">
        <v>132</v>
      </c>
      <c r="C1184" t="s">
        <v>296</v>
      </c>
      <c r="D1184" t="s">
        <v>3684</v>
      </c>
      <c r="E1184" t="s">
        <v>21</v>
      </c>
      <c r="F1184" t="s">
        <v>3685</v>
      </c>
    </row>
    <row r="1185" spans="1:6" hidden="1" x14ac:dyDescent="0.25">
      <c r="A1185" t="s">
        <v>3686</v>
      </c>
      <c r="B1185" t="s">
        <v>543</v>
      </c>
      <c r="C1185" t="s">
        <v>296</v>
      </c>
      <c r="D1185" t="s">
        <v>3687</v>
      </c>
      <c r="E1185" t="s">
        <v>21</v>
      </c>
      <c r="F1185" t="s">
        <v>3688</v>
      </c>
    </row>
    <row r="1186" spans="1:6" hidden="1" x14ac:dyDescent="0.25">
      <c r="A1186" t="s">
        <v>3689</v>
      </c>
      <c r="B1186" t="s">
        <v>24</v>
      </c>
      <c r="C1186" t="s">
        <v>296</v>
      </c>
      <c r="D1186" t="s">
        <v>3690</v>
      </c>
      <c r="E1186" t="s">
        <v>21</v>
      </c>
      <c r="F1186" t="s">
        <v>3691</v>
      </c>
    </row>
    <row r="1187" spans="1:6" hidden="1" x14ac:dyDescent="0.25">
      <c r="A1187" t="s">
        <v>3692</v>
      </c>
      <c r="B1187" t="s">
        <v>82</v>
      </c>
      <c r="C1187" t="s">
        <v>296</v>
      </c>
      <c r="D1187" t="s">
        <v>3693</v>
      </c>
      <c r="E1187" t="s">
        <v>21</v>
      </c>
      <c r="F1187" t="s">
        <v>3694</v>
      </c>
    </row>
    <row r="1188" spans="1:6" hidden="1" x14ac:dyDescent="0.25">
      <c r="A1188" t="s">
        <v>3695</v>
      </c>
      <c r="B1188" t="s">
        <v>420</v>
      </c>
      <c r="C1188" t="s">
        <v>296</v>
      </c>
      <c r="D1188" t="s">
        <v>3696</v>
      </c>
      <c r="E1188" t="s">
        <v>21</v>
      </c>
      <c r="F1188" t="s">
        <v>3697</v>
      </c>
    </row>
    <row r="1189" spans="1:6" hidden="1" x14ac:dyDescent="0.25">
      <c r="A1189" t="s">
        <v>3698</v>
      </c>
      <c r="B1189" t="s">
        <v>752</v>
      </c>
      <c r="C1189" t="s">
        <v>296</v>
      </c>
      <c r="D1189" t="s">
        <v>3699</v>
      </c>
      <c r="E1189" t="s">
        <v>21</v>
      </c>
      <c r="F1189" t="s">
        <v>3700</v>
      </c>
    </row>
    <row r="1190" spans="1:6" hidden="1" x14ac:dyDescent="0.25">
      <c r="A1190" t="s">
        <v>3701</v>
      </c>
      <c r="B1190" t="s">
        <v>514</v>
      </c>
      <c r="C1190" t="s">
        <v>400</v>
      </c>
      <c r="D1190" t="s">
        <v>3702</v>
      </c>
      <c r="E1190" t="s">
        <v>21</v>
      </c>
      <c r="F1190" t="s">
        <v>3703</v>
      </c>
    </row>
    <row r="1191" spans="1:6" hidden="1" x14ac:dyDescent="0.25">
      <c r="A1191" t="s">
        <v>3704</v>
      </c>
      <c r="B1191" t="s">
        <v>153</v>
      </c>
      <c r="C1191" t="s">
        <v>296</v>
      </c>
      <c r="D1191" t="s">
        <v>3705</v>
      </c>
      <c r="E1191" t="s">
        <v>21</v>
      </c>
      <c r="F1191" t="s">
        <v>3706</v>
      </c>
    </row>
    <row r="1192" spans="1:6" hidden="1" x14ac:dyDescent="0.25">
      <c r="A1192" t="s">
        <v>3707</v>
      </c>
      <c r="B1192" t="s">
        <v>437</v>
      </c>
      <c r="C1192" t="s">
        <v>480</v>
      </c>
      <c r="D1192" t="s">
        <v>3708</v>
      </c>
      <c r="E1192" t="s">
        <v>21</v>
      </c>
      <c r="F1192" t="s">
        <v>3709</v>
      </c>
    </row>
    <row r="1193" spans="1:6" hidden="1" x14ac:dyDescent="0.25">
      <c r="A1193" t="s">
        <v>3710</v>
      </c>
      <c r="B1193" t="s">
        <v>322</v>
      </c>
      <c r="C1193" t="s">
        <v>296</v>
      </c>
      <c r="D1193" t="s">
        <v>3711</v>
      </c>
      <c r="E1193" t="s">
        <v>21</v>
      </c>
      <c r="F1193" t="s">
        <v>3712</v>
      </c>
    </row>
    <row r="1194" spans="1:6" hidden="1" x14ac:dyDescent="0.25">
      <c r="A1194" t="s">
        <v>3713</v>
      </c>
      <c r="B1194" t="s">
        <v>197</v>
      </c>
      <c r="C1194" t="s">
        <v>296</v>
      </c>
      <c r="D1194" t="s">
        <v>3714</v>
      </c>
      <c r="E1194" t="s">
        <v>21</v>
      </c>
      <c r="F1194" t="s">
        <v>3715</v>
      </c>
    </row>
    <row r="1195" spans="1:6" hidden="1" x14ac:dyDescent="0.25">
      <c r="A1195" t="s">
        <v>3716</v>
      </c>
      <c r="B1195" t="s">
        <v>454</v>
      </c>
      <c r="C1195" t="s">
        <v>296</v>
      </c>
      <c r="D1195" t="s">
        <v>3717</v>
      </c>
      <c r="E1195" t="s">
        <v>21</v>
      </c>
      <c r="F1195" t="s">
        <v>3718</v>
      </c>
    </row>
    <row r="1196" spans="1:6" hidden="1" x14ac:dyDescent="0.25">
      <c r="A1196" t="s">
        <v>3719</v>
      </c>
      <c r="B1196" t="s">
        <v>211</v>
      </c>
      <c r="C1196" t="s">
        <v>296</v>
      </c>
      <c r="D1196" t="s">
        <v>3720</v>
      </c>
      <c r="E1196" t="s">
        <v>21</v>
      </c>
      <c r="F1196" t="s">
        <v>3721</v>
      </c>
    </row>
    <row r="1197" spans="1:6" hidden="1" x14ac:dyDescent="0.25">
      <c r="A1197" t="s">
        <v>259</v>
      </c>
      <c r="B1197" t="s">
        <v>64</v>
      </c>
      <c r="C1197" t="s">
        <v>296</v>
      </c>
      <c r="D1197" t="s">
        <v>260</v>
      </c>
      <c r="E1197" t="s">
        <v>21</v>
      </c>
      <c r="F1197" t="s">
        <v>262</v>
      </c>
    </row>
    <row r="1198" spans="1:6" hidden="1" x14ac:dyDescent="0.25">
      <c r="A1198" t="s">
        <v>3722</v>
      </c>
      <c r="B1198" t="s">
        <v>326</v>
      </c>
      <c r="C1198" t="s">
        <v>296</v>
      </c>
      <c r="D1198" t="s">
        <v>3723</v>
      </c>
      <c r="E1198" t="s">
        <v>21</v>
      </c>
      <c r="F1198" t="s">
        <v>3724</v>
      </c>
    </row>
    <row r="1199" spans="1:6" hidden="1" x14ac:dyDescent="0.25">
      <c r="A1199" t="s">
        <v>3725</v>
      </c>
      <c r="B1199" t="s">
        <v>160</v>
      </c>
      <c r="C1199" t="s">
        <v>296</v>
      </c>
      <c r="D1199" t="s">
        <v>3726</v>
      </c>
      <c r="E1199" t="s">
        <v>21</v>
      </c>
      <c r="F1199" t="s">
        <v>3727</v>
      </c>
    </row>
    <row r="1200" spans="1:6" hidden="1" x14ac:dyDescent="0.25">
      <c r="A1200" t="s">
        <v>3728</v>
      </c>
      <c r="B1200" t="s">
        <v>132</v>
      </c>
      <c r="C1200" t="s">
        <v>296</v>
      </c>
      <c r="D1200" t="s">
        <v>3729</v>
      </c>
      <c r="E1200" t="s">
        <v>21</v>
      </c>
      <c r="F1200" t="s">
        <v>3730</v>
      </c>
    </row>
    <row r="1201" spans="1:6" hidden="1" x14ac:dyDescent="0.25">
      <c r="A1201" t="s">
        <v>3731</v>
      </c>
      <c r="B1201" t="s">
        <v>326</v>
      </c>
      <c r="C1201" t="s">
        <v>296</v>
      </c>
      <c r="D1201" t="s">
        <v>3732</v>
      </c>
      <c r="E1201" t="s">
        <v>21</v>
      </c>
      <c r="F1201" t="s">
        <v>3733</v>
      </c>
    </row>
    <row r="1202" spans="1:6" hidden="1" x14ac:dyDescent="0.25">
      <c r="A1202" t="s">
        <v>3734</v>
      </c>
      <c r="B1202" t="s">
        <v>752</v>
      </c>
      <c r="C1202" t="s">
        <v>296</v>
      </c>
      <c r="D1202" t="s">
        <v>3735</v>
      </c>
      <c r="E1202" t="s">
        <v>21</v>
      </c>
      <c r="F1202" t="s">
        <v>3736</v>
      </c>
    </row>
    <row r="1203" spans="1:6" hidden="1" x14ac:dyDescent="0.25">
      <c r="A1203" t="s">
        <v>3737</v>
      </c>
      <c r="B1203" t="s">
        <v>343</v>
      </c>
      <c r="C1203" t="s">
        <v>296</v>
      </c>
      <c r="D1203" t="s">
        <v>3738</v>
      </c>
      <c r="E1203" t="s">
        <v>21</v>
      </c>
      <c r="F1203" t="s">
        <v>3739</v>
      </c>
    </row>
    <row r="1204" spans="1:6" hidden="1" x14ac:dyDescent="0.25">
      <c r="A1204" t="s">
        <v>3740</v>
      </c>
      <c r="B1204" t="s">
        <v>326</v>
      </c>
      <c r="C1204" t="s">
        <v>585</v>
      </c>
      <c r="D1204" t="s">
        <v>3741</v>
      </c>
      <c r="E1204" t="s">
        <v>21</v>
      </c>
      <c r="F1204" t="s">
        <v>3742</v>
      </c>
    </row>
    <row r="1205" spans="1:6" hidden="1" x14ac:dyDescent="0.25">
      <c r="A1205" t="s">
        <v>3743</v>
      </c>
      <c r="B1205" t="s">
        <v>34</v>
      </c>
      <c r="C1205" t="s">
        <v>296</v>
      </c>
      <c r="D1205" t="s">
        <v>3744</v>
      </c>
      <c r="E1205" t="s">
        <v>21</v>
      </c>
      <c r="F1205" t="s">
        <v>3745</v>
      </c>
    </row>
    <row r="1206" spans="1:6" hidden="1" x14ac:dyDescent="0.25">
      <c r="A1206" t="s">
        <v>3746</v>
      </c>
      <c r="B1206" t="s">
        <v>420</v>
      </c>
      <c r="C1206" t="s">
        <v>296</v>
      </c>
      <c r="D1206" t="s">
        <v>3747</v>
      </c>
      <c r="E1206" t="s">
        <v>21</v>
      </c>
      <c r="F1206" t="s">
        <v>3748</v>
      </c>
    </row>
    <row r="1207" spans="1:6" hidden="1" x14ac:dyDescent="0.25">
      <c r="A1207" t="s">
        <v>3749</v>
      </c>
      <c r="B1207" t="s">
        <v>64</v>
      </c>
      <c r="C1207" t="s">
        <v>296</v>
      </c>
      <c r="D1207" t="s">
        <v>3750</v>
      </c>
      <c r="E1207" t="s">
        <v>21</v>
      </c>
      <c r="F1207" t="s">
        <v>3751</v>
      </c>
    </row>
    <row r="1208" spans="1:6" hidden="1" x14ac:dyDescent="0.25">
      <c r="A1208" t="s">
        <v>3752</v>
      </c>
      <c r="B1208" t="s">
        <v>29</v>
      </c>
      <c r="C1208" t="s">
        <v>296</v>
      </c>
      <c r="D1208" t="s">
        <v>3753</v>
      </c>
      <c r="E1208" t="s">
        <v>21</v>
      </c>
      <c r="F1208" t="s">
        <v>3754</v>
      </c>
    </row>
    <row r="1209" spans="1:6" hidden="1" x14ac:dyDescent="0.25">
      <c r="A1209" t="s">
        <v>3755</v>
      </c>
      <c r="B1209" t="s">
        <v>160</v>
      </c>
      <c r="C1209" t="s">
        <v>296</v>
      </c>
      <c r="D1209" t="s">
        <v>3756</v>
      </c>
      <c r="E1209" t="s">
        <v>21</v>
      </c>
      <c r="F1209" t="s">
        <v>3757</v>
      </c>
    </row>
    <row r="1210" spans="1:6" hidden="1" x14ac:dyDescent="0.25">
      <c r="A1210" t="s">
        <v>3758</v>
      </c>
      <c r="B1210" t="s">
        <v>153</v>
      </c>
      <c r="C1210" t="s">
        <v>296</v>
      </c>
      <c r="D1210" t="s">
        <v>3759</v>
      </c>
      <c r="E1210" t="s">
        <v>21</v>
      </c>
      <c r="F1210" t="s">
        <v>3760</v>
      </c>
    </row>
    <row r="1211" spans="1:6" hidden="1" x14ac:dyDescent="0.25">
      <c r="A1211" t="s">
        <v>3761</v>
      </c>
      <c r="B1211" t="s">
        <v>702</v>
      </c>
      <c r="C1211" t="s">
        <v>825</v>
      </c>
      <c r="D1211" t="s">
        <v>3762</v>
      </c>
      <c r="E1211" t="s">
        <v>21</v>
      </c>
      <c r="F1211" t="s">
        <v>3763</v>
      </c>
    </row>
    <row r="1212" spans="1:6" hidden="1" x14ac:dyDescent="0.25">
      <c r="A1212" t="s">
        <v>3764</v>
      </c>
      <c r="B1212" t="s">
        <v>24</v>
      </c>
      <c r="C1212" t="s">
        <v>296</v>
      </c>
      <c r="D1212" t="s">
        <v>3765</v>
      </c>
      <c r="E1212" t="s">
        <v>21</v>
      </c>
      <c r="F1212" t="s">
        <v>3766</v>
      </c>
    </row>
    <row r="1213" spans="1:6" hidden="1" x14ac:dyDescent="0.25">
      <c r="A1213" t="s">
        <v>3767</v>
      </c>
      <c r="B1213" t="s">
        <v>51</v>
      </c>
      <c r="C1213" t="s">
        <v>296</v>
      </c>
      <c r="D1213" t="s">
        <v>3768</v>
      </c>
      <c r="E1213" t="s">
        <v>21</v>
      </c>
      <c r="F1213" t="s">
        <v>3769</v>
      </c>
    </row>
    <row r="1214" spans="1:6" hidden="1" x14ac:dyDescent="0.25">
      <c r="A1214" t="s">
        <v>3770</v>
      </c>
      <c r="B1214" t="s">
        <v>82</v>
      </c>
      <c r="C1214" t="s">
        <v>296</v>
      </c>
      <c r="D1214" t="s">
        <v>3771</v>
      </c>
      <c r="E1214" t="s">
        <v>21</v>
      </c>
      <c r="F1214" t="s">
        <v>3772</v>
      </c>
    </row>
    <row r="1215" spans="1:6" hidden="1" x14ac:dyDescent="0.25">
      <c r="A1215" t="s">
        <v>3773</v>
      </c>
      <c r="B1215" t="s">
        <v>514</v>
      </c>
      <c r="C1215" t="s">
        <v>3774</v>
      </c>
      <c r="D1215" t="s">
        <v>3775</v>
      </c>
      <c r="E1215" t="s">
        <v>21</v>
      </c>
      <c r="F1215" t="s">
        <v>3776</v>
      </c>
    </row>
    <row r="1216" spans="1:6" hidden="1" x14ac:dyDescent="0.25">
      <c r="A1216" t="s">
        <v>3777</v>
      </c>
      <c r="B1216" t="s">
        <v>82</v>
      </c>
      <c r="C1216" t="s">
        <v>296</v>
      </c>
      <c r="D1216" t="s">
        <v>3778</v>
      </c>
      <c r="E1216" t="s">
        <v>21</v>
      </c>
      <c r="F1216" t="s">
        <v>3779</v>
      </c>
    </row>
    <row r="1217" spans="1:6" hidden="1" x14ac:dyDescent="0.25">
      <c r="A1217" t="s">
        <v>3780</v>
      </c>
      <c r="B1217" t="s">
        <v>121</v>
      </c>
      <c r="C1217" t="s">
        <v>296</v>
      </c>
      <c r="D1217" t="s">
        <v>3781</v>
      </c>
      <c r="E1217" t="s">
        <v>21</v>
      </c>
      <c r="F1217" t="s">
        <v>3782</v>
      </c>
    </row>
    <row r="1218" spans="1:6" hidden="1" x14ac:dyDescent="0.25">
      <c r="A1218" t="s">
        <v>3783</v>
      </c>
      <c r="B1218" t="s">
        <v>153</v>
      </c>
      <c r="C1218" t="s">
        <v>296</v>
      </c>
      <c r="D1218" t="s">
        <v>3784</v>
      </c>
      <c r="E1218" t="s">
        <v>21</v>
      </c>
      <c r="F1218" t="s">
        <v>3785</v>
      </c>
    </row>
    <row r="1219" spans="1:6" hidden="1" x14ac:dyDescent="0.25">
      <c r="A1219" t="s">
        <v>3786</v>
      </c>
      <c r="B1219" t="s">
        <v>128</v>
      </c>
      <c r="C1219" t="s">
        <v>296</v>
      </c>
      <c r="D1219" t="s">
        <v>3787</v>
      </c>
      <c r="E1219" t="s">
        <v>21</v>
      </c>
      <c r="F1219" t="s">
        <v>3788</v>
      </c>
    </row>
    <row r="1220" spans="1:6" hidden="1" x14ac:dyDescent="0.25">
      <c r="A1220" t="s">
        <v>3789</v>
      </c>
      <c r="B1220" t="s">
        <v>386</v>
      </c>
      <c r="C1220" t="s">
        <v>387</v>
      </c>
      <c r="D1220" t="s">
        <v>3790</v>
      </c>
      <c r="E1220" t="s">
        <v>21</v>
      </c>
      <c r="F1220" t="s">
        <v>3791</v>
      </c>
    </row>
    <row r="1221" spans="1:6" hidden="1" x14ac:dyDescent="0.25">
      <c r="A1221" t="s">
        <v>3792</v>
      </c>
      <c r="B1221" t="s">
        <v>326</v>
      </c>
      <c r="C1221" t="s">
        <v>296</v>
      </c>
      <c r="D1221" t="s">
        <v>3793</v>
      </c>
      <c r="E1221" t="s">
        <v>21</v>
      </c>
      <c r="F1221" t="s">
        <v>3794</v>
      </c>
    </row>
    <row r="1222" spans="1:6" hidden="1" x14ac:dyDescent="0.25">
      <c r="A1222" t="s">
        <v>3795</v>
      </c>
      <c r="B1222" t="s">
        <v>121</v>
      </c>
      <c r="C1222" t="s">
        <v>296</v>
      </c>
      <c r="D1222" t="s">
        <v>3796</v>
      </c>
      <c r="E1222" t="s">
        <v>21</v>
      </c>
      <c r="F1222" t="s">
        <v>3797</v>
      </c>
    </row>
    <row r="1223" spans="1:6" hidden="1" x14ac:dyDescent="0.25">
      <c r="A1223" t="s">
        <v>3798</v>
      </c>
      <c r="B1223" t="s">
        <v>2361</v>
      </c>
      <c r="C1223" t="s">
        <v>296</v>
      </c>
      <c r="D1223" t="s">
        <v>3799</v>
      </c>
      <c r="E1223" t="s">
        <v>21</v>
      </c>
      <c r="F1223" t="s">
        <v>3800</v>
      </c>
    </row>
    <row r="1224" spans="1:6" hidden="1" x14ac:dyDescent="0.25">
      <c r="A1224" t="s">
        <v>3801</v>
      </c>
      <c r="B1224" t="s">
        <v>197</v>
      </c>
      <c r="C1224" t="s">
        <v>296</v>
      </c>
      <c r="D1224" t="s">
        <v>3802</v>
      </c>
      <c r="E1224" t="s">
        <v>21</v>
      </c>
      <c r="F1224" t="s">
        <v>3803</v>
      </c>
    </row>
    <row r="1225" spans="1:6" hidden="1" x14ac:dyDescent="0.25">
      <c r="A1225" t="s">
        <v>3804</v>
      </c>
      <c r="B1225" t="s">
        <v>64</v>
      </c>
      <c r="C1225" t="s">
        <v>296</v>
      </c>
      <c r="D1225" t="s">
        <v>3805</v>
      </c>
      <c r="E1225" t="s">
        <v>21</v>
      </c>
      <c r="F1225" t="s">
        <v>3806</v>
      </c>
    </row>
    <row r="1226" spans="1:6" hidden="1" x14ac:dyDescent="0.25">
      <c r="A1226" t="s">
        <v>3807</v>
      </c>
      <c r="B1226" t="s">
        <v>621</v>
      </c>
      <c r="C1226" t="s">
        <v>296</v>
      </c>
      <c r="D1226" t="s">
        <v>3808</v>
      </c>
      <c r="E1226" t="s">
        <v>21</v>
      </c>
      <c r="F1226" t="s">
        <v>3809</v>
      </c>
    </row>
    <row r="1227" spans="1:6" hidden="1" x14ac:dyDescent="0.25">
      <c r="A1227" t="s">
        <v>3810</v>
      </c>
      <c r="B1227" t="s">
        <v>702</v>
      </c>
      <c r="C1227" t="s">
        <v>974</v>
      </c>
      <c r="D1227" t="s">
        <v>3811</v>
      </c>
      <c r="E1227" t="s">
        <v>21</v>
      </c>
      <c r="F1227" t="s">
        <v>3812</v>
      </c>
    </row>
    <row r="1228" spans="1:6" hidden="1" x14ac:dyDescent="0.25">
      <c r="A1228" t="s">
        <v>3813</v>
      </c>
      <c r="B1228" t="s">
        <v>702</v>
      </c>
      <c r="C1228" t="s">
        <v>974</v>
      </c>
      <c r="D1228" t="s">
        <v>3814</v>
      </c>
      <c r="E1228" t="s">
        <v>21</v>
      </c>
      <c r="F1228" t="s">
        <v>3815</v>
      </c>
    </row>
    <row r="1229" spans="1:6" hidden="1" x14ac:dyDescent="0.25">
      <c r="A1229" t="s">
        <v>3816</v>
      </c>
      <c r="B1229" t="s">
        <v>356</v>
      </c>
      <c r="C1229" t="s">
        <v>296</v>
      </c>
      <c r="D1229" t="s">
        <v>3817</v>
      </c>
      <c r="E1229" t="s">
        <v>21</v>
      </c>
      <c r="F1229" t="s">
        <v>3818</v>
      </c>
    </row>
    <row r="1230" spans="1:6" hidden="1" x14ac:dyDescent="0.25">
      <c r="A1230" t="s">
        <v>3819</v>
      </c>
      <c r="B1230" t="s">
        <v>41</v>
      </c>
      <c r="C1230" t="s">
        <v>296</v>
      </c>
      <c r="D1230" t="s">
        <v>3820</v>
      </c>
      <c r="E1230" t="s">
        <v>21</v>
      </c>
      <c r="F1230" t="s">
        <v>3821</v>
      </c>
    </row>
    <row r="1231" spans="1:6" hidden="1" x14ac:dyDescent="0.25">
      <c r="A1231" t="s">
        <v>3822</v>
      </c>
      <c r="B1231" t="s">
        <v>326</v>
      </c>
      <c r="C1231" t="s">
        <v>296</v>
      </c>
      <c r="D1231" t="s">
        <v>3823</v>
      </c>
      <c r="E1231" t="s">
        <v>21</v>
      </c>
      <c r="F1231" t="s">
        <v>3824</v>
      </c>
    </row>
    <row r="1232" spans="1:6" hidden="1" x14ac:dyDescent="0.25">
      <c r="A1232" t="s">
        <v>3825</v>
      </c>
      <c r="B1232" t="s">
        <v>1370</v>
      </c>
      <c r="C1232" t="s">
        <v>296</v>
      </c>
      <c r="D1232" t="s">
        <v>3826</v>
      </c>
      <c r="E1232" t="s">
        <v>21</v>
      </c>
      <c r="F1232" t="s">
        <v>3827</v>
      </c>
    </row>
    <row r="1233" spans="1:6" hidden="1" x14ac:dyDescent="0.25">
      <c r="A1233" t="s">
        <v>3828</v>
      </c>
      <c r="B1233" t="s">
        <v>41</v>
      </c>
      <c r="C1233" t="s">
        <v>296</v>
      </c>
      <c r="D1233" t="s">
        <v>3829</v>
      </c>
      <c r="E1233" t="s">
        <v>21</v>
      </c>
      <c r="F1233" t="s">
        <v>3830</v>
      </c>
    </row>
    <row r="1234" spans="1:6" hidden="1" x14ac:dyDescent="0.25">
      <c r="A1234" t="s">
        <v>264</v>
      </c>
      <c r="B1234" t="s">
        <v>51</v>
      </c>
      <c r="C1234" t="s">
        <v>296</v>
      </c>
      <c r="D1234" t="s">
        <v>265</v>
      </c>
      <c r="E1234" t="s">
        <v>21</v>
      </c>
      <c r="F1234" t="s">
        <v>266</v>
      </c>
    </row>
    <row r="1235" spans="1:6" hidden="1" x14ac:dyDescent="0.25">
      <c r="A1235" t="s">
        <v>271</v>
      </c>
      <c r="B1235" t="s">
        <v>427</v>
      </c>
      <c r="C1235" t="s">
        <v>296</v>
      </c>
      <c r="D1235" t="s">
        <v>3831</v>
      </c>
      <c r="E1235" t="s">
        <v>21</v>
      </c>
      <c r="F1235" t="s">
        <v>3832</v>
      </c>
    </row>
    <row r="1236" spans="1:6" hidden="1" x14ac:dyDescent="0.25">
      <c r="A1236" t="s">
        <v>3833</v>
      </c>
      <c r="B1236" t="s">
        <v>142</v>
      </c>
      <c r="C1236" t="s">
        <v>296</v>
      </c>
      <c r="D1236" t="s">
        <v>3834</v>
      </c>
      <c r="E1236" t="s">
        <v>21</v>
      </c>
      <c r="F1236" t="s">
        <v>3835</v>
      </c>
    </row>
    <row r="1237" spans="1:6" hidden="1" x14ac:dyDescent="0.25">
      <c r="A1237" t="s">
        <v>3836</v>
      </c>
      <c r="B1237" t="s">
        <v>420</v>
      </c>
      <c r="C1237" t="s">
        <v>296</v>
      </c>
      <c r="D1237" t="s">
        <v>3837</v>
      </c>
      <c r="E1237" t="s">
        <v>21</v>
      </c>
      <c r="F1237" t="s">
        <v>3838</v>
      </c>
    </row>
    <row r="1238" spans="1:6" hidden="1" x14ac:dyDescent="0.25">
      <c r="A1238" t="s">
        <v>3839</v>
      </c>
      <c r="B1238" t="s">
        <v>153</v>
      </c>
      <c r="C1238" t="s">
        <v>296</v>
      </c>
      <c r="D1238" t="s">
        <v>3840</v>
      </c>
      <c r="E1238" t="s">
        <v>21</v>
      </c>
      <c r="F1238" t="s">
        <v>3841</v>
      </c>
    </row>
    <row r="1239" spans="1:6" hidden="1" x14ac:dyDescent="0.25">
      <c r="A1239" t="s">
        <v>3842</v>
      </c>
      <c r="B1239" t="s">
        <v>326</v>
      </c>
      <c r="C1239" t="s">
        <v>296</v>
      </c>
      <c r="D1239" t="s">
        <v>3843</v>
      </c>
      <c r="E1239" t="s">
        <v>21</v>
      </c>
      <c r="F1239" t="s">
        <v>3844</v>
      </c>
    </row>
    <row r="1240" spans="1:6" hidden="1" x14ac:dyDescent="0.25">
      <c r="A1240" t="s">
        <v>3845</v>
      </c>
      <c r="B1240" t="s">
        <v>336</v>
      </c>
      <c r="C1240" t="s">
        <v>296</v>
      </c>
      <c r="D1240" t="s">
        <v>3846</v>
      </c>
      <c r="E1240" t="s">
        <v>21</v>
      </c>
      <c r="F1240" t="s">
        <v>3847</v>
      </c>
    </row>
    <row r="1241" spans="1:6" hidden="1" x14ac:dyDescent="0.25">
      <c r="A1241" t="s">
        <v>3848</v>
      </c>
      <c r="B1241" t="s">
        <v>326</v>
      </c>
      <c r="C1241" t="s">
        <v>296</v>
      </c>
      <c r="D1241" t="s">
        <v>3849</v>
      </c>
      <c r="E1241" t="s">
        <v>21</v>
      </c>
      <c r="F1241" t="s">
        <v>3850</v>
      </c>
    </row>
    <row r="1242" spans="1:6" hidden="1" x14ac:dyDescent="0.25">
      <c r="A1242" t="s">
        <v>3851</v>
      </c>
      <c r="B1242" t="s">
        <v>628</v>
      </c>
      <c r="C1242" t="s">
        <v>296</v>
      </c>
      <c r="D1242" t="s">
        <v>3852</v>
      </c>
      <c r="E1242" t="s">
        <v>21</v>
      </c>
      <c r="F1242" t="s">
        <v>3853</v>
      </c>
    </row>
    <row r="1243" spans="1:6" hidden="1" x14ac:dyDescent="0.25">
      <c r="A1243" t="s">
        <v>3854</v>
      </c>
      <c r="B1243" t="s">
        <v>15</v>
      </c>
      <c r="C1243" t="s">
        <v>296</v>
      </c>
      <c r="D1243" t="s">
        <v>3855</v>
      </c>
      <c r="E1243" t="s">
        <v>21</v>
      </c>
      <c r="F1243" t="s">
        <v>3856</v>
      </c>
    </row>
    <row r="1244" spans="1:6" hidden="1" x14ac:dyDescent="0.25">
      <c r="A1244" t="s">
        <v>191</v>
      </c>
      <c r="B1244" t="s">
        <v>386</v>
      </c>
      <c r="C1244" t="s">
        <v>387</v>
      </c>
      <c r="D1244" t="s">
        <v>192</v>
      </c>
      <c r="E1244" t="s">
        <v>21</v>
      </c>
      <c r="F1244" t="s">
        <v>193</v>
      </c>
    </row>
    <row r="1245" spans="1:6" hidden="1" x14ac:dyDescent="0.25">
      <c r="A1245" t="s">
        <v>3857</v>
      </c>
      <c r="B1245" t="s">
        <v>89</v>
      </c>
      <c r="C1245" t="s">
        <v>296</v>
      </c>
      <c r="D1245" t="s">
        <v>3858</v>
      </c>
      <c r="E1245" t="s">
        <v>21</v>
      </c>
      <c r="F1245" t="s">
        <v>3859</v>
      </c>
    </row>
    <row r="1246" spans="1:6" hidden="1" x14ac:dyDescent="0.25">
      <c r="A1246" t="s">
        <v>3860</v>
      </c>
      <c r="B1246" t="s">
        <v>82</v>
      </c>
      <c r="C1246" t="s">
        <v>296</v>
      </c>
      <c r="D1246" t="s">
        <v>3861</v>
      </c>
      <c r="E1246" t="s">
        <v>21</v>
      </c>
      <c r="F1246" t="s">
        <v>3862</v>
      </c>
    </row>
    <row r="1247" spans="1:6" hidden="1" x14ac:dyDescent="0.25">
      <c r="A1247" t="s">
        <v>3863</v>
      </c>
      <c r="B1247" t="s">
        <v>410</v>
      </c>
      <c r="C1247" t="s">
        <v>296</v>
      </c>
      <c r="D1247" t="s">
        <v>3864</v>
      </c>
      <c r="E1247" t="s">
        <v>21</v>
      </c>
      <c r="F1247" t="s">
        <v>3865</v>
      </c>
    </row>
    <row r="1248" spans="1:6" hidden="1" x14ac:dyDescent="0.25">
      <c r="A1248" t="s">
        <v>3866</v>
      </c>
      <c r="B1248" t="s">
        <v>15</v>
      </c>
      <c r="C1248" t="s">
        <v>296</v>
      </c>
      <c r="D1248" t="s">
        <v>3867</v>
      </c>
      <c r="E1248" t="s">
        <v>21</v>
      </c>
      <c r="F1248" t="s">
        <v>3868</v>
      </c>
    </row>
    <row r="1249" spans="1:6" hidden="1" x14ac:dyDescent="0.25">
      <c r="A1249" t="s">
        <v>3869</v>
      </c>
      <c r="B1249" t="s">
        <v>78</v>
      </c>
      <c r="C1249" t="s">
        <v>296</v>
      </c>
      <c r="D1249" t="s">
        <v>3870</v>
      </c>
      <c r="E1249" t="s">
        <v>21</v>
      </c>
      <c r="F1249" t="s">
        <v>3871</v>
      </c>
    </row>
    <row r="1250" spans="1:6" hidden="1" x14ac:dyDescent="0.25">
      <c r="A1250" t="s">
        <v>3872</v>
      </c>
      <c r="B1250" t="s">
        <v>78</v>
      </c>
      <c r="C1250" t="s">
        <v>296</v>
      </c>
      <c r="D1250" t="s">
        <v>3873</v>
      </c>
      <c r="E1250" t="s">
        <v>21</v>
      </c>
      <c r="F1250" t="s">
        <v>3874</v>
      </c>
    </row>
    <row r="1251" spans="1:6" hidden="1" x14ac:dyDescent="0.25">
      <c r="A1251" t="s">
        <v>3875</v>
      </c>
      <c r="B1251" t="s">
        <v>311</v>
      </c>
      <c r="C1251" t="s">
        <v>296</v>
      </c>
      <c r="D1251" t="s">
        <v>3876</v>
      </c>
      <c r="E1251" t="s">
        <v>21</v>
      </c>
      <c r="F1251" t="s">
        <v>3877</v>
      </c>
    </row>
    <row r="1252" spans="1:6" hidden="1" x14ac:dyDescent="0.25">
      <c r="A1252" t="s">
        <v>3878</v>
      </c>
      <c r="B1252" t="s">
        <v>420</v>
      </c>
      <c r="C1252" t="s">
        <v>296</v>
      </c>
      <c r="D1252" t="s">
        <v>3879</v>
      </c>
      <c r="E1252" t="s">
        <v>21</v>
      </c>
      <c r="F1252" t="s">
        <v>3880</v>
      </c>
    </row>
    <row r="1253" spans="1:6" hidden="1" x14ac:dyDescent="0.25">
      <c r="A1253" t="s">
        <v>3881</v>
      </c>
      <c r="B1253" t="s">
        <v>142</v>
      </c>
      <c r="C1253" t="s">
        <v>296</v>
      </c>
      <c r="D1253" t="s">
        <v>3882</v>
      </c>
      <c r="E1253" t="s">
        <v>21</v>
      </c>
      <c r="F1253" t="s">
        <v>3883</v>
      </c>
    </row>
    <row r="1254" spans="1:6" hidden="1" x14ac:dyDescent="0.25">
      <c r="A1254" t="s">
        <v>3884</v>
      </c>
      <c r="B1254" t="s">
        <v>15</v>
      </c>
      <c r="C1254" t="s">
        <v>296</v>
      </c>
      <c r="D1254" t="s">
        <v>3885</v>
      </c>
      <c r="E1254" t="s">
        <v>21</v>
      </c>
      <c r="F1254" t="s">
        <v>3886</v>
      </c>
    </row>
    <row r="1255" spans="1:6" hidden="1" x14ac:dyDescent="0.25">
      <c r="A1255" t="s">
        <v>3887</v>
      </c>
      <c r="B1255" t="s">
        <v>514</v>
      </c>
      <c r="C1255" t="s">
        <v>3888</v>
      </c>
      <c r="D1255" t="s">
        <v>3889</v>
      </c>
      <c r="E1255" t="s">
        <v>21</v>
      </c>
      <c r="F1255" t="s">
        <v>3890</v>
      </c>
    </row>
    <row r="1256" spans="1:6" hidden="1" x14ac:dyDescent="0.25">
      <c r="A1256" t="s">
        <v>3891</v>
      </c>
      <c r="B1256" t="s">
        <v>64</v>
      </c>
      <c r="C1256" t="s">
        <v>400</v>
      </c>
      <c r="D1256" t="s">
        <v>3892</v>
      </c>
      <c r="E1256" t="s">
        <v>21</v>
      </c>
      <c r="F1256" t="s">
        <v>3893</v>
      </c>
    </row>
    <row r="1257" spans="1:6" hidden="1" x14ac:dyDescent="0.25">
      <c r="A1257" t="s">
        <v>3894</v>
      </c>
      <c r="B1257" t="s">
        <v>326</v>
      </c>
      <c r="C1257" t="s">
        <v>296</v>
      </c>
      <c r="D1257" t="s">
        <v>3895</v>
      </c>
      <c r="E1257" t="s">
        <v>21</v>
      </c>
      <c r="F1257" t="s">
        <v>3896</v>
      </c>
    </row>
    <row r="1258" spans="1:6" hidden="1" x14ac:dyDescent="0.25">
      <c r="A1258" t="s">
        <v>198</v>
      </c>
      <c r="B1258" t="s">
        <v>64</v>
      </c>
      <c r="C1258" t="s">
        <v>296</v>
      </c>
      <c r="D1258" t="s">
        <v>199</v>
      </c>
      <c r="E1258" t="s">
        <v>21</v>
      </c>
      <c r="F1258" t="s">
        <v>201</v>
      </c>
    </row>
    <row r="1259" spans="1:6" hidden="1" x14ac:dyDescent="0.25">
      <c r="A1259" t="s">
        <v>3897</v>
      </c>
      <c r="B1259" t="s">
        <v>1711</v>
      </c>
      <c r="C1259" t="s">
        <v>296</v>
      </c>
      <c r="D1259" t="s">
        <v>3898</v>
      </c>
      <c r="E1259" t="s">
        <v>21</v>
      </c>
      <c r="F1259" t="s">
        <v>3899</v>
      </c>
    </row>
    <row r="1260" spans="1:6" hidden="1" x14ac:dyDescent="0.25">
      <c r="A1260" t="s">
        <v>3900</v>
      </c>
      <c r="B1260" t="s">
        <v>29</v>
      </c>
      <c r="C1260" t="s">
        <v>296</v>
      </c>
      <c r="D1260" t="s">
        <v>3901</v>
      </c>
      <c r="E1260" t="s">
        <v>21</v>
      </c>
      <c r="F1260" t="s">
        <v>3902</v>
      </c>
    </row>
    <row r="1261" spans="1:6" hidden="1" x14ac:dyDescent="0.25">
      <c r="A1261" t="s">
        <v>3903</v>
      </c>
      <c r="B1261" t="s">
        <v>514</v>
      </c>
      <c r="C1261" t="s">
        <v>3904</v>
      </c>
      <c r="D1261" t="s">
        <v>3905</v>
      </c>
      <c r="E1261" t="s">
        <v>21</v>
      </c>
      <c r="F1261" t="s">
        <v>3906</v>
      </c>
    </row>
    <row r="1262" spans="1:6" hidden="1" x14ac:dyDescent="0.25">
      <c r="A1262" t="s">
        <v>3907</v>
      </c>
      <c r="B1262" t="s">
        <v>1701</v>
      </c>
      <c r="C1262" t="s">
        <v>296</v>
      </c>
      <c r="D1262" t="s">
        <v>3908</v>
      </c>
      <c r="E1262" t="s">
        <v>21</v>
      </c>
      <c r="F1262" t="s">
        <v>3909</v>
      </c>
    </row>
    <row r="1263" spans="1:6" hidden="1" x14ac:dyDescent="0.25">
      <c r="A1263" t="s">
        <v>3910</v>
      </c>
      <c r="B1263" t="s">
        <v>82</v>
      </c>
      <c r="C1263" t="s">
        <v>296</v>
      </c>
      <c r="D1263" t="s">
        <v>3911</v>
      </c>
      <c r="E1263" t="s">
        <v>21</v>
      </c>
      <c r="F1263" t="s">
        <v>3912</v>
      </c>
    </row>
    <row r="1264" spans="1:6" hidden="1" x14ac:dyDescent="0.25">
      <c r="A1264" t="s">
        <v>3913</v>
      </c>
      <c r="B1264" t="s">
        <v>142</v>
      </c>
      <c r="C1264" t="s">
        <v>296</v>
      </c>
      <c r="D1264" t="s">
        <v>3914</v>
      </c>
      <c r="E1264" t="s">
        <v>21</v>
      </c>
      <c r="F1264" t="s">
        <v>3915</v>
      </c>
    </row>
    <row r="1265" spans="1:6" hidden="1" x14ac:dyDescent="0.25">
      <c r="A1265" t="s">
        <v>3916</v>
      </c>
      <c r="B1265" t="s">
        <v>514</v>
      </c>
      <c r="C1265" t="s">
        <v>914</v>
      </c>
      <c r="D1265" t="s">
        <v>3917</v>
      </c>
      <c r="E1265" t="s">
        <v>21</v>
      </c>
      <c r="F1265" t="s">
        <v>3918</v>
      </c>
    </row>
    <row r="1266" spans="1:6" hidden="1" x14ac:dyDescent="0.25">
      <c r="A1266" t="s">
        <v>3919</v>
      </c>
      <c r="B1266" t="s">
        <v>15</v>
      </c>
      <c r="C1266" t="s">
        <v>296</v>
      </c>
      <c r="D1266" t="s">
        <v>3920</v>
      </c>
      <c r="E1266" t="s">
        <v>21</v>
      </c>
      <c r="F1266" t="s">
        <v>3921</v>
      </c>
    </row>
    <row r="1267" spans="1:6" hidden="1" x14ac:dyDescent="0.25">
      <c r="A1267" t="s">
        <v>3922</v>
      </c>
      <c r="B1267" t="s">
        <v>34</v>
      </c>
      <c r="C1267" t="s">
        <v>296</v>
      </c>
      <c r="D1267" t="s">
        <v>3923</v>
      </c>
      <c r="E1267" t="s">
        <v>21</v>
      </c>
      <c r="F1267" t="s">
        <v>3924</v>
      </c>
    </row>
    <row r="1268" spans="1:6" hidden="1" x14ac:dyDescent="0.25">
      <c r="A1268" t="s">
        <v>3925</v>
      </c>
      <c r="B1268" t="s">
        <v>197</v>
      </c>
      <c r="C1268" t="s">
        <v>296</v>
      </c>
      <c r="D1268" t="s">
        <v>3926</v>
      </c>
      <c r="E1268" t="s">
        <v>21</v>
      </c>
      <c r="F1268" t="s">
        <v>3927</v>
      </c>
    </row>
    <row r="1269" spans="1:6" hidden="1" x14ac:dyDescent="0.25">
      <c r="A1269" t="s">
        <v>3928</v>
      </c>
      <c r="B1269" t="s">
        <v>97</v>
      </c>
      <c r="C1269" t="s">
        <v>296</v>
      </c>
      <c r="D1269" t="s">
        <v>3929</v>
      </c>
      <c r="E1269" t="s">
        <v>21</v>
      </c>
      <c r="F1269" t="s">
        <v>3930</v>
      </c>
    </row>
    <row r="1270" spans="1:6" hidden="1" x14ac:dyDescent="0.25">
      <c r="A1270" t="s">
        <v>3931</v>
      </c>
      <c r="B1270" t="s">
        <v>64</v>
      </c>
      <c r="C1270" t="s">
        <v>296</v>
      </c>
      <c r="D1270" t="s">
        <v>3932</v>
      </c>
      <c r="E1270" t="s">
        <v>21</v>
      </c>
      <c r="F1270" t="s">
        <v>3933</v>
      </c>
    </row>
    <row r="1271" spans="1:6" hidden="1" x14ac:dyDescent="0.25">
      <c r="A1271" t="s">
        <v>3934</v>
      </c>
      <c r="B1271" t="s">
        <v>533</v>
      </c>
      <c r="C1271" t="s">
        <v>296</v>
      </c>
      <c r="D1271" t="s">
        <v>3935</v>
      </c>
      <c r="E1271" t="s">
        <v>21</v>
      </c>
      <c r="F1271" t="s">
        <v>3936</v>
      </c>
    </row>
    <row r="1272" spans="1:6" hidden="1" x14ac:dyDescent="0.25">
      <c r="A1272" t="s">
        <v>3937</v>
      </c>
      <c r="B1272" t="s">
        <v>97</v>
      </c>
      <c r="C1272" t="s">
        <v>296</v>
      </c>
      <c r="D1272" t="s">
        <v>3938</v>
      </c>
      <c r="E1272" t="s">
        <v>21</v>
      </c>
      <c r="F1272" t="s">
        <v>3939</v>
      </c>
    </row>
    <row r="1273" spans="1:6" hidden="1" x14ac:dyDescent="0.25">
      <c r="A1273" t="s">
        <v>3940</v>
      </c>
      <c r="B1273" t="s">
        <v>132</v>
      </c>
      <c r="C1273" t="s">
        <v>296</v>
      </c>
      <c r="D1273" t="s">
        <v>3941</v>
      </c>
      <c r="E1273" t="s">
        <v>21</v>
      </c>
      <c r="F1273" t="s">
        <v>3942</v>
      </c>
    </row>
    <row r="1274" spans="1:6" hidden="1" x14ac:dyDescent="0.25">
      <c r="A1274" t="s">
        <v>3943</v>
      </c>
      <c r="B1274" t="s">
        <v>410</v>
      </c>
      <c r="C1274" t="s">
        <v>296</v>
      </c>
      <c r="D1274" t="s">
        <v>3944</v>
      </c>
      <c r="E1274" t="s">
        <v>21</v>
      </c>
      <c r="F1274" t="s">
        <v>3945</v>
      </c>
    </row>
    <row r="1275" spans="1:6" hidden="1" x14ac:dyDescent="0.25">
      <c r="A1275" t="s">
        <v>212</v>
      </c>
      <c r="B1275" t="s">
        <v>386</v>
      </c>
      <c r="C1275" t="s">
        <v>387</v>
      </c>
      <c r="D1275" t="s">
        <v>213</v>
      </c>
      <c r="E1275" t="s">
        <v>21</v>
      </c>
      <c r="F1275" t="s">
        <v>215</v>
      </c>
    </row>
    <row r="1276" spans="1:6" hidden="1" x14ac:dyDescent="0.25">
      <c r="A1276" t="s">
        <v>3946</v>
      </c>
      <c r="B1276" t="s">
        <v>82</v>
      </c>
      <c r="C1276" t="s">
        <v>296</v>
      </c>
      <c r="D1276" t="s">
        <v>3947</v>
      </c>
      <c r="E1276" t="s">
        <v>21</v>
      </c>
      <c r="F1276" t="s">
        <v>3948</v>
      </c>
    </row>
    <row r="1277" spans="1:6" hidden="1" x14ac:dyDescent="0.25">
      <c r="A1277" t="s">
        <v>3949</v>
      </c>
      <c r="B1277" t="s">
        <v>2691</v>
      </c>
      <c r="C1277" t="s">
        <v>296</v>
      </c>
      <c r="D1277" t="s">
        <v>3950</v>
      </c>
      <c r="E1277" t="s">
        <v>21</v>
      </c>
      <c r="F1277" t="s">
        <v>3951</v>
      </c>
    </row>
    <row r="1278" spans="1:6" hidden="1" x14ac:dyDescent="0.25">
      <c r="A1278" t="s">
        <v>3952</v>
      </c>
      <c r="B1278" t="s">
        <v>64</v>
      </c>
      <c r="C1278" t="s">
        <v>296</v>
      </c>
      <c r="D1278" t="s">
        <v>3953</v>
      </c>
      <c r="E1278" t="s">
        <v>21</v>
      </c>
      <c r="F1278" t="s">
        <v>3954</v>
      </c>
    </row>
    <row r="1279" spans="1:6" hidden="1" x14ac:dyDescent="0.25">
      <c r="A1279" t="s">
        <v>3955</v>
      </c>
      <c r="B1279" t="s">
        <v>142</v>
      </c>
      <c r="C1279" t="s">
        <v>296</v>
      </c>
      <c r="D1279" t="s">
        <v>3956</v>
      </c>
      <c r="E1279" t="s">
        <v>21</v>
      </c>
      <c r="F1279" t="s">
        <v>3957</v>
      </c>
    </row>
    <row r="1280" spans="1:6" hidden="1" x14ac:dyDescent="0.25">
      <c r="A1280" t="s">
        <v>3958</v>
      </c>
      <c r="B1280" t="s">
        <v>322</v>
      </c>
      <c r="C1280" t="s">
        <v>400</v>
      </c>
      <c r="D1280" t="s">
        <v>3959</v>
      </c>
      <c r="E1280" t="s">
        <v>21</v>
      </c>
      <c r="F1280" t="s">
        <v>3960</v>
      </c>
    </row>
    <row r="1281" spans="1:6" hidden="1" x14ac:dyDescent="0.25">
      <c r="A1281" t="s">
        <v>3961</v>
      </c>
      <c r="B1281" t="s">
        <v>64</v>
      </c>
      <c r="C1281" t="s">
        <v>296</v>
      </c>
      <c r="D1281" t="s">
        <v>3962</v>
      </c>
      <c r="E1281" t="s">
        <v>21</v>
      </c>
      <c r="F1281" t="s">
        <v>3963</v>
      </c>
    </row>
    <row r="1282" spans="1:6" hidden="1" x14ac:dyDescent="0.25">
      <c r="A1282" t="s">
        <v>3964</v>
      </c>
      <c r="B1282" t="s">
        <v>64</v>
      </c>
      <c r="C1282" t="s">
        <v>296</v>
      </c>
      <c r="D1282" t="s">
        <v>3965</v>
      </c>
      <c r="E1282" t="s">
        <v>21</v>
      </c>
      <c r="F1282" t="s">
        <v>3966</v>
      </c>
    </row>
    <row r="1283" spans="1:6" hidden="1" x14ac:dyDescent="0.25">
      <c r="A1283" t="s">
        <v>3967</v>
      </c>
      <c r="B1283" t="s">
        <v>15</v>
      </c>
      <c r="C1283" t="s">
        <v>296</v>
      </c>
      <c r="D1283" t="s">
        <v>3968</v>
      </c>
      <c r="E1283" t="s">
        <v>21</v>
      </c>
      <c r="F1283" t="s">
        <v>3969</v>
      </c>
    </row>
    <row r="1284" spans="1:6" hidden="1" x14ac:dyDescent="0.25">
      <c r="A1284" t="s">
        <v>3970</v>
      </c>
      <c r="B1284" t="s">
        <v>543</v>
      </c>
      <c r="C1284" t="s">
        <v>296</v>
      </c>
      <c r="D1284" t="s">
        <v>3971</v>
      </c>
      <c r="E1284" t="s">
        <v>21</v>
      </c>
      <c r="F1284" t="s">
        <v>3972</v>
      </c>
    </row>
    <row r="1285" spans="1:6" hidden="1" x14ac:dyDescent="0.25">
      <c r="A1285" t="s">
        <v>3973</v>
      </c>
      <c r="B1285" t="s">
        <v>64</v>
      </c>
      <c r="C1285" t="s">
        <v>296</v>
      </c>
      <c r="D1285" t="s">
        <v>3974</v>
      </c>
      <c r="E1285" t="s">
        <v>21</v>
      </c>
      <c r="F1285" t="s">
        <v>3975</v>
      </c>
    </row>
    <row r="1286" spans="1:6" hidden="1" x14ac:dyDescent="0.25">
      <c r="A1286" t="s">
        <v>3976</v>
      </c>
      <c r="B1286" t="s">
        <v>748</v>
      </c>
      <c r="C1286" t="s">
        <v>400</v>
      </c>
      <c r="D1286" t="s">
        <v>3977</v>
      </c>
      <c r="E1286" t="s">
        <v>21</v>
      </c>
      <c r="F1286" t="s">
        <v>3978</v>
      </c>
    </row>
    <row r="1287" spans="1:6" hidden="1" x14ac:dyDescent="0.25">
      <c r="A1287" t="s">
        <v>3979</v>
      </c>
      <c r="B1287" t="s">
        <v>41</v>
      </c>
      <c r="C1287" t="s">
        <v>296</v>
      </c>
      <c r="D1287" t="s">
        <v>3980</v>
      </c>
      <c r="E1287" t="s">
        <v>21</v>
      </c>
      <c r="F1287" t="s">
        <v>3981</v>
      </c>
    </row>
    <row r="1288" spans="1:6" hidden="1" x14ac:dyDescent="0.25">
      <c r="A1288" t="s">
        <v>3982</v>
      </c>
      <c r="B1288" t="s">
        <v>702</v>
      </c>
      <c r="C1288" t="s">
        <v>974</v>
      </c>
      <c r="D1288" t="s">
        <v>3983</v>
      </c>
      <c r="E1288" t="s">
        <v>21</v>
      </c>
      <c r="F1288" t="s">
        <v>3984</v>
      </c>
    </row>
    <row r="1289" spans="1:6" hidden="1" x14ac:dyDescent="0.25">
      <c r="A1289" t="s">
        <v>3985</v>
      </c>
      <c r="B1289" t="s">
        <v>454</v>
      </c>
      <c r="C1289" t="s">
        <v>296</v>
      </c>
      <c r="D1289" t="s">
        <v>3986</v>
      </c>
      <c r="E1289" t="s">
        <v>21</v>
      </c>
      <c r="F1289" t="s">
        <v>3987</v>
      </c>
    </row>
    <row r="1290" spans="1:6" hidden="1" x14ac:dyDescent="0.25">
      <c r="A1290" t="s">
        <v>3988</v>
      </c>
      <c r="B1290" t="s">
        <v>326</v>
      </c>
      <c r="C1290" t="s">
        <v>296</v>
      </c>
      <c r="D1290" t="s">
        <v>3989</v>
      </c>
      <c r="E1290" t="s">
        <v>21</v>
      </c>
      <c r="F1290" t="s">
        <v>3990</v>
      </c>
    </row>
    <row r="1291" spans="1:6" hidden="1" x14ac:dyDescent="0.25">
      <c r="A1291" t="s">
        <v>3991</v>
      </c>
      <c r="B1291" t="s">
        <v>142</v>
      </c>
      <c r="C1291" t="s">
        <v>296</v>
      </c>
      <c r="D1291" t="s">
        <v>3992</v>
      </c>
      <c r="E1291" t="s">
        <v>21</v>
      </c>
      <c r="F1291" t="s">
        <v>3993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1EBFA-A3DC-4AEB-972D-C8F38C23E32F}">
  <dimension ref="A1:S891"/>
  <sheetViews>
    <sheetView topLeftCell="A716" workbookViewId="0">
      <selection activeCell="S2" sqref="S2:S806"/>
    </sheetView>
  </sheetViews>
  <sheetFormatPr baseColWidth="10" defaultColWidth="9.140625" defaultRowHeight="15" x14ac:dyDescent="0.25"/>
  <cols>
    <col min="1" max="1" width="13.7109375" bestFit="1" customWidth="1"/>
    <col min="2" max="2" width="15.28515625" bestFit="1" customWidth="1"/>
    <col min="3" max="3" width="40.140625" bestFit="1" customWidth="1"/>
    <col min="4" max="4" width="24.28515625" bestFit="1" customWidth="1"/>
    <col min="5" max="5" width="14.7109375" bestFit="1" customWidth="1"/>
    <col min="6" max="6" width="24.28515625" bestFit="1" customWidth="1"/>
    <col min="7" max="7" width="16.28515625" bestFit="1" customWidth="1"/>
    <col min="8" max="8" width="15.85546875" bestFit="1" customWidth="1"/>
    <col min="9" max="10" width="13" bestFit="1" customWidth="1"/>
    <col min="11" max="11" width="28" bestFit="1" customWidth="1"/>
    <col min="12" max="12" width="53.7109375" bestFit="1" customWidth="1"/>
    <col min="13" max="13" width="23.85546875" bestFit="1" customWidth="1"/>
    <col min="14" max="14" width="25.42578125" bestFit="1" customWidth="1"/>
    <col min="15" max="15" width="25.5703125" bestFit="1" customWidth="1"/>
    <col min="16" max="16" width="44.5703125" bestFit="1" customWidth="1"/>
    <col min="17" max="17" width="42.28515625" bestFit="1" customWidth="1"/>
    <col min="18" max="18" width="16.140625" bestFit="1" customWidth="1"/>
    <col min="19" max="19" width="12.85546875" style="2" bestFit="1" customWidth="1"/>
    <col min="20" max="20" width="37" bestFit="1" customWidth="1"/>
    <col min="21" max="21" width="14.28515625" bestFit="1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3994</v>
      </c>
      <c r="F1" t="s">
        <v>4</v>
      </c>
      <c r="G1" t="s">
        <v>5</v>
      </c>
      <c r="H1" t="s">
        <v>6</v>
      </c>
      <c r="I1" t="s">
        <v>3995</v>
      </c>
      <c r="J1" t="s">
        <v>3996</v>
      </c>
      <c r="K1" t="s">
        <v>8</v>
      </c>
      <c r="L1" t="s">
        <v>9</v>
      </c>
      <c r="M1" t="s">
        <v>3997</v>
      </c>
      <c r="N1" t="s">
        <v>3998</v>
      </c>
      <c r="O1" t="s">
        <v>3999</v>
      </c>
      <c r="P1" t="s">
        <v>4000</v>
      </c>
      <c r="Q1" t="s">
        <v>4001</v>
      </c>
      <c r="R1" t="s">
        <v>4002</v>
      </c>
      <c r="S1" s="2" t="s">
        <v>4003</v>
      </c>
    </row>
    <row r="2" spans="1:19" x14ac:dyDescent="0.25">
      <c r="A2" t="s">
        <v>4004</v>
      </c>
      <c r="B2">
        <v>1102885216</v>
      </c>
      <c r="C2" t="s">
        <v>3864</v>
      </c>
      <c r="D2" t="s">
        <v>410</v>
      </c>
      <c r="E2" t="s">
        <v>4005</v>
      </c>
      <c r="F2" t="s">
        <v>25</v>
      </c>
      <c r="G2" s="1">
        <v>46234</v>
      </c>
      <c r="H2" s="1">
        <v>46234</v>
      </c>
      <c r="I2" s="2"/>
      <c r="J2" s="2"/>
      <c r="L2" t="s">
        <v>4006</v>
      </c>
      <c r="M2" s="1"/>
      <c r="O2" t="s">
        <v>4007</v>
      </c>
      <c r="P2" s="1"/>
      <c r="Q2" s="1"/>
      <c r="S2" s="2">
        <f>CONSOLIDADO_2026[[#This Row],[Hora final]]-CONSOLIDADO_2026[[#This Row],[Hora inic]]</f>
        <v>0</v>
      </c>
    </row>
    <row r="3" spans="1:19" x14ac:dyDescent="0.25">
      <c r="A3" t="s">
        <v>4008</v>
      </c>
      <c r="B3">
        <v>1037634709</v>
      </c>
      <c r="C3" t="s">
        <v>4009</v>
      </c>
      <c r="D3" t="s">
        <v>420</v>
      </c>
      <c r="E3" t="s">
        <v>4010</v>
      </c>
      <c r="F3" t="s">
        <v>25</v>
      </c>
      <c r="G3" s="1">
        <v>46234</v>
      </c>
      <c r="H3" s="1">
        <v>46235</v>
      </c>
      <c r="I3" s="2"/>
      <c r="J3" s="2"/>
      <c r="L3" t="s">
        <v>4006</v>
      </c>
      <c r="M3" s="1"/>
      <c r="O3" t="s">
        <v>4007</v>
      </c>
      <c r="P3" s="1"/>
      <c r="Q3" s="1"/>
      <c r="S3" s="2">
        <f>CONSOLIDADO_2026[[#This Row],[Hora final]]-CONSOLIDADO_2026[[#This Row],[Hora inic]]</f>
        <v>0</v>
      </c>
    </row>
    <row r="4" spans="1:19" x14ac:dyDescent="0.25">
      <c r="A4" t="s">
        <v>4008</v>
      </c>
      <c r="B4">
        <v>1152436231</v>
      </c>
      <c r="C4" t="s">
        <v>131</v>
      </c>
      <c r="D4" t="s">
        <v>132</v>
      </c>
      <c r="E4" t="s">
        <v>4010</v>
      </c>
      <c r="F4" t="s">
        <v>25</v>
      </c>
      <c r="G4" s="1">
        <v>46234</v>
      </c>
      <c r="H4" s="1">
        <v>46235</v>
      </c>
      <c r="I4" s="2"/>
      <c r="J4" s="2"/>
      <c r="L4" t="s">
        <v>4006</v>
      </c>
      <c r="M4" s="1"/>
      <c r="O4" t="s">
        <v>4007</v>
      </c>
      <c r="P4" s="1"/>
      <c r="Q4" s="1"/>
      <c r="S4" s="2">
        <f>CONSOLIDADO_2026[[#This Row],[Hora final]]-CONSOLIDADO_2026[[#This Row],[Hora inic]]</f>
        <v>0</v>
      </c>
    </row>
    <row r="5" spans="1:19" x14ac:dyDescent="0.25">
      <c r="A5" t="s">
        <v>4008</v>
      </c>
      <c r="B5">
        <v>42158742</v>
      </c>
      <c r="C5" t="s">
        <v>3150</v>
      </c>
      <c r="D5" t="s">
        <v>24</v>
      </c>
      <c r="E5" t="s">
        <v>4011</v>
      </c>
      <c r="F5" t="s">
        <v>25</v>
      </c>
      <c r="G5" s="1">
        <v>46234</v>
      </c>
      <c r="H5" s="1">
        <v>46235</v>
      </c>
      <c r="I5" s="2"/>
      <c r="J5" s="2"/>
      <c r="L5" t="s">
        <v>4006</v>
      </c>
      <c r="M5" s="1"/>
      <c r="O5" t="s">
        <v>4007</v>
      </c>
      <c r="P5" s="1"/>
      <c r="Q5" s="1"/>
      <c r="S5" s="2">
        <f>CONSOLIDADO_2026[[#This Row],[Hora final]]-CONSOLIDADO_2026[[#This Row],[Hora inic]]</f>
        <v>0</v>
      </c>
    </row>
    <row r="6" spans="1:19" x14ac:dyDescent="0.25">
      <c r="A6" t="s">
        <v>4004</v>
      </c>
      <c r="B6">
        <v>1001013936</v>
      </c>
      <c r="C6" t="s">
        <v>3820</v>
      </c>
      <c r="D6" t="s">
        <v>41</v>
      </c>
      <c r="E6" t="s">
        <v>4011</v>
      </c>
      <c r="F6" t="s">
        <v>25</v>
      </c>
      <c r="G6" s="1">
        <v>46234</v>
      </c>
      <c r="H6" s="1">
        <v>46234</v>
      </c>
      <c r="I6" s="2"/>
      <c r="J6" s="2"/>
      <c r="L6" t="s">
        <v>4006</v>
      </c>
      <c r="M6" s="1"/>
      <c r="O6" t="s">
        <v>4007</v>
      </c>
      <c r="P6" s="1"/>
      <c r="Q6" s="1"/>
      <c r="S6" s="2">
        <f>CONSOLIDADO_2026[[#This Row],[Hora final]]-CONSOLIDADO_2026[[#This Row],[Hora inic]]</f>
        <v>0</v>
      </c>
    </row>
    <row r="7" spans="1:19" x14ac:dyDescent="0.25">
      <c r="A7" t="s">
        <v>4008</v>
      </c>
      <c r="B7">
        <v>1016090631</v>
      </c>
      <c r="C7" t="s">
        <v>2818</v>
      </c>
      <c r="D7" t="s">
        <v>64</v>
      </c>
      <c r="E7" t="s">
        <v>4012</v>
      </c>
      <c r="F7" t="s">
        <v>25</v>
      </c>
      <c r="G7" s="1">
        <v>46233</v>
      </c>
      <c r="H7" s="1">
        <v>46235</v>
      </c>
      <c r="I7" s="2"/>
      <c r="J7" s="2"/>
      <c r="L7" t="s">
        <v>4006</v>
      </c>
      <c r="M7" s="1"/>
      <c r="O7" t="s">
        <v>4007</v>
      </c>
      <c r="P7" s="1"/>
      <c r="Q7" s="1"/>
      <c r="S7" s="2">
        <f>CONSOLIDADO_2026[[#This Row],[Hora final]]-CONSOLIDADO_2026[[#This Row],[Hora inic]]</f>
        <v>0</v>
      </c>
    </row>
    <row r="8" spans="1:19" x14ac:dyDescent="0.25">
      <c r="A8" t="s">
        <v>4004</v>
      </c>
      <c r="B8">
        <v>1000893991</v>
      </c>
      <c r="C8" t="s">
        <v>3562</v>
      </c>
      <c r="D8" t="s">
        <v>64</v>
      </c>
      <c r="E8" t="s">
        <v>4012</v>
      </c>
      <c r="F8" t="s">
        <v>25</v>
      </c>
      <c r="G8" s="1">
        <v>46234</v>
      </c>
      <c r="H8" s="1">
        <v>46234</v>
      </c>
      <c r="I8" s="2"/>
      <c r="J8" s="2"/>
      <c r="L8" t="s">
        <v>4006</v>
      </c>
      <c r="M8" s="1"/>
      <c r="O8" t="s">
        <v>4007</v>
      </c>
      <c r="P8" s="1"/>
      <c r="Q8" s="1"/>
      <c r="S8" s="2">
        <f>CONSOLIDADO_2026[[#This Row],[Hora final]]-CONSOLIDADO_2026[[#This Row],[Hora inic]]</f>
        <v>0</v>
      </c>
    </row>
    <row r="9" spans="1:19" x14ac:dyDescent="0.25">
      <c r="A9" t="s">
        <v>4008</v>
      </c>
      <c r="B9">
        <v>1128467297</v>
      </c>
      <c r="C9" t="s">
        <v>3356</v>
      </c>
      <c r="D9" t="s">
        <v>543</v>
      </c>
      <c r="E9" t="s">
        <v>4010</v>
      </c>
      <c r="F9" t="s">
        <v>25</v>
      </c>
      <c r="G9" s="1">
        <v>46234</v>
      </c>
      <c r="H9" s="1">
        <v>46235</v>
      </c>
      <c r="I9" s="2"/>
      <c r="J9" s="2"/>
      <c r="L9" t="s">
        <v>4006</v>
      </c>
      <c r="M9" s="1"/>
      <c r="O9" t="s">
        <v>4007</v>
      </c>
      <c r="P9" s="1"/>
      <c r="Q9" s="1"/>
      <c r="S9" s="2">
        <f>CONSOLIDADO_2026[[#This Row],[Hora final]]-CONSOLIDADO_2026[[#This Row],[Hora inic]]</f>
        <v>0</v>
      </c>
    </row>
    <row r="10" spans="1:19" x14ac:dyDescent="0.25">
      <c r="A10" t="s">
        <v>4008</v>
      </c>
      <c r="B10">
        <v>1017270154</v>
      </c>
      <c r="C10" t="s">
        <v>928</v>
      </c>
      <c r="D10" t="s">
        <v>343</v>
      </c>
      <c r="E10" t="s">
        <v>4012</v>
      </c>
      <c r="F10" t="s">
        <v>25</v>
      </c>
      <c r="G10" s="1">
        <v>46234</v>
      </c>
      <c r="H10" s="1">
        <v>46235</v>
      </c>
      <c r="I10" s="2"/>
      <c r="J10" s="2"/>
      <c r="L10" t="s">
        <v>4006</v>
      </c>
      <c r="M10" s="1"/>
      <c r="O10" t="s">
        <v>4007</v>
      </c>
      <c r="P10" s="1"/>
      <c r="Q10" s="1"/>
      <c r="S10" s="2">
        <f>CONSOLIDADO_2026[[#This Row],[Hora final]]-CONSOLIDADO_2026[[#This Row],[Hora inic]]</f>
        <v>0</v>
      </c>
    </row>
    <row r="11" spans="1:19" x14ac:dyDescent="0.25">
      <c r="A11" t="s">
        <v>4008</v>
      </c>
      <c r="B11">
        <v>1043022975</v>
      </c>
      <c r="C11" t="s">
        <v>1733</v>
      </c>
      <c r="D11" t="s">
        <v>34</v>
      </c>
      <c r="E11" t="s">
        <v>4011</v>
      </c>
      <c r="F11" t="s">
        <v>25</v>
      </c>
      <c r="G11" s="1">
        <v>46234</v>
      </c>
      <c r="H11" s="1">
        <v>46235</v>
      </c>
      <c r="I11" s="2"/>
      <c r="J11" s="2"/>
      <c r="L11" t="s">
        <v>4006</v>
      </c>
      <c r="M11" s="1"/>
      <c r="O11" t="s">
        <v>4007</v>
      </c>
      <c r="P11" s="1"/>
      <c r="Q11" s="1"/>
      <c r="S11" s="2">
        <f>CONSOLIDADO_2026[[#This Row],[Hora final]]-CONSOLIDADO_2026[[#This Row],[Hora inic]]</f>
        <v>0</v>
      </c>
    </row>
    <row r="12" spans="1:19" x14ac:dyDescent="0.25">
      <c r="A12" t="s">
        <v>4013</v>
      </c>
      <c r="B12">
        <v>1140905046</v>
      </c>
      <c r="C12" t="s">
        <v>4014</v>
      </c>
      <c r="D12" t="s">
        <v>410</v>
      </c>
      <c r="E12" t="s">
        <v>4005</v>
      </c>
      <c r="F12" t="s">
        <v>4015</v>
      </c>
      <c r="G12" s="1">
        <v>46235</v>
      </c>
      <c r="H12" s="1">
        <v>46238</v>
      </c>
      <c r="I12" s="2"/>
      <c r="J12" s="2"/>
      <c r="L12" t="s">
        <v>4006</v>
      </c>
      <c r="M12" s="1"/>
      <c r="O12" t="s">
        <v>4007</v>
      </c>
      <c r="P12" s="1"/>
      <c r="Q12" s="1"/>
      <c r="S12" s="2">
        <f>CONSOLIDADO_2026[[#This Row],[Hora final]]-CONSOLIDADO_2026[[#This Row],[Hora inic]]</f>
        <v>0</v>
      </c>
    </row>
    <row r="13" spans="1:19" x14ac:dyDescent="0.25">
      <c r="A13" t="s">
        <v>4016</v>
      </c>
      <c r="B13" t="s">
        <v>228</v>
      </c>
      <c r="C13" t="s">
        <v>229</v>
      </c>
      <c r="D13" t="s">
        <v>211</v>
      </c>
      <c r="E13" t="s">
        <v>4017</v>
      </c>
      <c r="F13" t="s">
        <v>16</v>
      </c>
      <c r="G13" s="1">
        <v>46230</v>
      </c>
      <c r="H13" s="1">
        <v>46355</v>
      </c>
      <c r="I13" s="2">
        <v>0.25</v>
      </c>
      <c r="J13" s="2">
        <v>0.58333333333333337</v>
      </c>
      <c r="L13" t="s">
        <v>4006</v>
      </c>
      <c r="M13" s="1"/>
      <c r="O13" t="s">
        <v>4007</v>
      </c>
      <c r="P13" s="1"/>
      <c r="Q13" s="1"/>
      <c r="S13" s="2">
        <f>CONSOLIDADO_2026[[#This Row],[Hora final]]-CONSOLIDADO_2026[[#This Row],[Hora inic]]</f>
        <v>0.33333333333333337</v>
      </c>
    </row>
    <row r="14" spans="1:19" x14ac:dyDescent="0.25">
      <c r="A14" t="s">
        <v>4013</v>
      </c>
      <c r="B14">
        <v>1085318652</v>
      </c>
      <c r="C14" t="s">
        <v>235</v>
      </c>
      <c r="D14" t="s">
        <v>211</v>
      </c>
      <c r="E14" t="s">
        <v>4017</v>
      </c>
      <c r="F14" t="s">
        <v>90</v>
      </c>
      <c r="G14" s="1">
        <v>46233</v>
      </c>
      <c r="H14" s="1">
        <v>46238</v>
      </c>
      <c r="I14" s="2"/>
      <c r="J14" s="2"/>
      <c r="L14" t="s">
        <v>4006</v>
      </c>
      <c r="M14" s="1"/>
      <c r="O14" t="s">
        <v>4007</v>
      </c>
      <c r="P14" s="1"/>
      <c r="Q14" s="1"/>
      <c r="S14" s="2">
        <f>CONSOLIDADO_2026[[#This Row],[Hora final]]-CONSOLIDADO_2026[[#This Row],[Hora inic]]</f>
        <v>0</v>
      </c>
    </row>
    <row r="15" spans="1:19" x14ac:dyDescent="0.25">
      <c r="A15" t="s">
        <v>4013</v>
      </c>
      <c r="B15">
        <v>21852680</v>
      </c>
      <c r="C15" t="s">
        <v>4018</v>
      </c>
      <c r="D15" t="s">
        <v>410</v>
      </c>
      <c r="E15" t="s">
        <v>4005</v>
      </c>
      <c r="F15" t="s">
        <v>4015</v>
      </c>
      <c r="G15" s="1">
        <v>46235</v>
      </c>
      <c r="H15" s="1">
        <v>46238</v>
      </c>
      <c r="I15" s="2"/>
      <c r="J15" s="2"/>
      <c r="L15" t="s">
        <v>4006</v>
      </c>
      <c r="M15" s="1"/>
      <c r="O15" t="s">
        <v>4007</v>
      </c>
      <c r="P15" s="1"/>
      <c r="Q15" s="1"/>
      <c r="S15" s="2">
        <f>CONSOLIDADO_2026[[#This Row],[Hora final]]-CONSOLIDADO_2026[[#This Row],[Hora inic]]</f>
        <v>0</v>
      </c>
    </row>
    <row r="16" spans="1:19" x14ac:dyDescent="0.25">
      <c r="A16" t="s">
        <v>4004</v>
      </c>
      <c r="B16">
        <v>1143413071</v>
      </c>
      <c r="C16" t="s">
        <v>424</v>
      </c>
      <c r="D16" t="s">
        <v>41</v>
      </c>
      <c r="E16" t="s">
        <v>4011</v>
      </c>
      <c r="F16" t="s">
        <v>25</v>
      </c>
      <c r="G16" s="1">
        <v>46232</v>
      </c>
      <c r="H16" s="1">
        <v>46234</v>
      </c>
      <c r="I16" s="2"/>
      <c r="J16" s="2"/>
      <c r="L16" t="s">
        <v>4006</v>
      </c>
      <c r="M16" s="1"/>
      <c r="O16" t="s">
        <v>4007</v>
      </c>
      <c r="P16" s="1"/>
      <c r="Q16" s="1"/>
      <c r="S16" s="2">
        <f>CONSOLIDADO_2026[[#This Row],[Hora final]]-CONSOLIDADO_2026[[#This Row],[Hora inic]]</f>
        <v>0</v>
      </c>
    </row>
    <row r="17" spans="1:19" x14ac:dyDescent="0.25">
      <c r="A17" t="s">
        <v>4013</v>
      </c>
      <c r="B17">
        <v>1143374438</v>
      </c>
      <c r="C17" t="s">
        <v>85</v>
      </c>
      <c r="D17" t="s">
        <v>41</v>
      </c>
      <c r="E17" t="s">
        <v>4011</v>
      </c>
      <c r="F17" t="s">
        <v>25</v>
      </c>
      <c r="G17" s="1">
        <v>46209</v>
      </c>
      <c r="H17" s="1">
        <v>46238</v>
      </c>
      <c r="I17" s="2"/>
      <c r="J17" s="2"/>
      <c r="L17" t="s">
        <v>4006</v>
      </c>
      <c r="M17" s="1"/>
      <c r="O17" t="s">
        <v>4007</v>
      </c>
      <c r="P17" s="1"/>
      <c r="Q17" s="1"/>
      <c r="S17" s="2">
        <f>CONSOLIDADO_2026[[#This Row],[Hora final]]-CONSOLIDADO_2026[[#This Row],[Hora inic]]</f>
        <v>0</v>
      </c>
    </row>
    <row r="18" spans="1:19" x14ac:dyDescent="0.25">
      <c r="A18" t="s">
        <v>4004</v>
      </c>
      <c r="B18">
        <v>1037634709</v>
      </c>
      <c r="C18" t="s">
        <v>4009</v>
      </c>
      <c r="D18" t="s">
        <v>420</v>
      </c>
      <c r="E18" t="s">
        <v>4010</v>
      </c>
      <c r="F18" t="s">
        <v>25</v>
      </c>
      <c r="G18" s="1">
        <v>46234</v>
      </c>
      <c r="H18" s="1">
        <v>46235</v>
      </c>
      <c r="I18" s="2">
        <v>0.25</v>
      </c>
      <c r="J18" s="2">
        <v>0.66666666666666663</v>
      </c>
      <c r="K18" t="s">
        <v>58</v>
      </c>
      <c r="L18" t="s">
        <v>59</v>
      </c>
      <c r="M18" s="1"/>
      <c r="O18" t="s">
        <v>21</v>
      </c>
      <c r="P18" s="1"/>
      <c r="Q18" s="1"/>
      <c r="S18" s="2">
        <f>CONSOLIDADO_2026[[#This Row],[Hora final]]-CONSOLIDADO_2026[[#This Row],[Hora inic]]</f>
        <v>0.41666666666666663</v>
      </c>
    </row>
    <row r="19" spans="1:19" x14ac:dyDescent="0.25">
      <c r="A19" t="s">
        <v>4004</v>
      </c>
      <c r="B19">
        <v>1152436231</v>
      </c>
      <c r="C19" t="s">
        <v>131</v>
      </c>
      <c r="D19" t="s">
        <v>132</v>
      </c>
      <c r="E19" t="s">
        <v>4010</v>
      </c>
      <c r="F19" t="s">
        <v>25</v>
      </c>
      <c r="G19" s="1">
        <v>46234</v>
      </c>
      <c r="H19" s="1">
        <v>46235</v>
      </c>
      <c r="I19" s="2">
        <v>0.25</v>
      </c>
      <c r="J19" s="2">
        <v>0.66666666666666663</v>
      </c>
      <c r="K19" t="s">
        <v>1435</v>
      </c>
      <c r="L19" t="s">
        <v>1436</v>
      </c>
      <c r="M19" s="1"/>
      <c r="O19" t="s">
        <v>21</v>
      </c>
      <c r="P19" s="1"/>
      <c r="Q19" s="1"/>
      <c r="S19" s="2">
        <f>CONSOLIDADO_2026[[#This Row],[Hora final]]-CONSOLIDADO_2026[[#This Row],[Hora inic]]</f>
        <v>0.41666666666666663</v>
      </c>
    </row>
    <row r="20" spans="1:19" x14ac:dyDescent="0.25">
      <c r="A20" t="s">
        <v>4004</v>
      </c>
      <c r="B20">
        <v>1128467297</v>
      </c>
      <c r="C20" t="s">
        <v>3356</v>
      </c>
      <c r="D20" t="s">
        <v>543</v>
      </c>
      <c r="E20" t="s">
        <v>4010</v>
      </c>
      <c r="F20" t="s">
        <v>25</v>
      </c>
      <c r="G20" s="1">
        <v>46234</v>
      </c>
      <c r="H20" s="1">
        <v>46235</v>
      </c>
      <c r="I20" s="2">
        <v>0.25</v>
      </c>
      <c r="J20" s="2">
        <v>0.66666666666666663</v>
      </c>
      <c r="K20" t="s">
        <v>252</v>
      </c>
      <c r="L20" t="s">
        <v>253</v>
      </c>
      <c r="M20" s="1"/>
      <c r="O20" t="s">
        <v>21</v>
      </c>
      <c r="P20" s="1"/>
      <c r="Q20" s="1"/>
      <c r="S20" s="2">
        <f>CONSOLIDADO_2026[[#This Row],[Hora final]]-CONSOLIDADO_2026[[#This Row],[Hora inic]]</f>
        <v>0.41666666666666663</v>
      </c>
    </row>
    <row r="21" spans="1:19" x14ac:dyDescent="0.25">
      <c r="A21" t="s">
        <v>4004</v>
      </c>
      <c r="B21">
        <v>42158742</v>
      </c>
      <c r="C21" t="s">
        <v>3150</v>
      </c>
      <c r="D21" t="s">
        <v>24</v>
      </c>
      <c r="E21" t="s">
        <v>4011</v>
      </c>
      <c r="F21" t="s">
        <v>25</v>
      </c>
      <c r="G21" s="1">
        <v>46234</v>
      </c>
      <c r="H21" s="1">
        <v>46235</v>
      </c>
      <c r="I21" s="2">
        <v>0.25</v>
      </c>
      <c r="J21" s="2">
        <v>0.66666666666666663</v>
      </c>
      <c r="K21" t="s">
        <v>240</v>
      </c>
      <c r="L21" t="s">
        <v>241</v>
      </c>
      <c r="M21" s="1"/>
      <c r="O21" t="s">
        <v>21</v>
      </c>
      <c r="P21" s="1"/>
      <c r="Q21" s="1"/>
      <c r="S21" s="2">
        <f>CONSOLIDADO_2026[[#This Row],[Hora final]]-CONSOLIDADO_2026[[#This Row],[Hora inic]]</f>
        <v>0.41666666666666663</v>
      </c>
    </row>
    <row r="22" spans="1:19" x14ac:dyDescent="0.25">
      <c r="A22" t="s">
        <v>4008</v>
      </c>
      <c r="B22">
        <v>1047505786</v>
      </c>
      <c r="C22" t="s">
        <v>110</v>
      </c>
      <c r="D22" t="s">
        <v>15</v>
      </c>
      <c r="E22" t="s">
        <v>4012</v>
      </c>
      <c r="F22" t="s">
        <v>25</v>
      </c>
      <c r="G22" s="1">
        <v>46229</v>
      </c>
      <c r="H22" s="1">
        <v>46243</v>
      </c>
      <c r="I22" s="2">
        <v>0.58333333333333337</v>
      </c>
      <c r="J22" s="2">
        <v>0.875</v>
      </c>
      <c r="K22" t="s">
        <v>106</v>
      </c>
      <c r="L22" t="s">
        <v>107</v>
      </c>
      <c r="M22" s="1"/>
      <c r="O22" t="s">
        <v>21</v>
      </c>
      <c r="P22" s="1"/>
      <c r="Q22" s="1"/>
      <c r="S22" s="2">
        <f>CONSOLIDADO_2026[[#This Row],[Hora final]]-CONSOLIDADO_2026[[#This Row],[Hora inic]]</f>
        <v>0.29166666666666663</v>
      </c>
    </row>
    <row r="23" spans="1:19" x14ac:dyDescent="0.25">
      <c r="A23" t="s">
        <v>4016</v>
      </c>
      <c r="B23">
        <v>1143374438</v>
      </c>
      <c r="C23" t="s">
        <v>85</v>
      </c>
      <c r="D23" t="s">
        <v>41</v>
      </c>
      <c r="E23" t="s">
        <v>4011</v>
      </c>
      <c r="F23" t="s">
        <v>25</v>
      </c>
      <c r="G23" s="1">
        <v>46209</v>
      </c>
      <c r="H23" s="1">
        <v>46238</v>
      </c>
      <c r="I23" s="2">
        <v>0.25</v>
      </c>
      <c r="J23" s="2">
        <v>0.54166666666666663</v>
      </c>
      <c r="K23" t="s">
        <v>73</v>
      </c>
      <c r="L23" t="s">
        <v>74</v>
      </c>
      <c r="M23" s="1"/>
      <c r="O23" t="s">
        <v>21</v>
      </c>
      <c r="P23" s="1"/>
      <c r="Q23" s="1"/>
      <c r="S23" s="2">
        <f>CONSOLIDADO_2026[[#This Row],[Hora final]]-CONSOLIDADO_2026[[#This Row],[Hora inic]]</f>
        <v>0.29166666666666663</v>
      </c>
    </row>
    <row r="24" spans="1:19" x14ac:dyDescent="0.25">
      <c r="A24" t="s">
        <v>4004</v>
      </c>
      <c r="B24">
        <v>1016090631</v>
      </c>
      <c r="C24" t="s">
        <v>2818</v>
      </c>
      <c r="D24" t="s">
        <v>64</v>
      </c>
      <c r="E24" t="s">
        <v>4012</v>
      </c>
      <c r="F24" t="s">
        <v>25</v>
      </c>
      <c r="G24" s="1">
        <v>46233</v>
      </c>
      <c r="H24" s="1">
        <v>46235</v>
      </c>
      <c r="I24" s="2">
        <v>0.25</v>
      </c>
      <c r="J24" s="2">
        <v>0.66666666666666663</v>
      </c>
      <c r="L24" t="s">
        <v>261</v>
      </c>
      <c r="M24" s="1"/>
      <c r="O24" t="s">
        <v>4007</v>
      </c>
      <c r="P24" s="1"/>
      <c r="Q24" s="1"/>
      <c r="S24" s="2">
        <f>CONSOLIDADO_2026[[#This Row],[Hora final]]-CONSOLIDADO_2026[[#This Row],[Hora inic]]</f>
        <v>0.41666666666666663</v>
      </c>
    </row>
    <row r="25" spans="1:19" x14ac:dyDescent="0.25">
      <c r="A25" t="s">
        <v>4004</v>
      </c>
      <c r="B25">
        <v>1152226738</v>
      </c>
      <c r="C25" t="s">
        <v>127</v>
      </c>
      <c r="D25" t="s">
        <v>128</v>
      </c>
      <c r="E25" t="s">
        <v>4005</v>
      </c>
      <c r="F25" t="s">
        <v>25</v>
      </c>
      <c r="G25" s="1">
        <v>46234</v>
      </c>
      <c r="H25" s="1">
        <v>46237</v>
      </c>
      <c r="I25" s="2">
        <v>0.25</v>
      </c>
      <c r="J25" s="2">
        <v>0.66666666666666663</v>
      </c>
      <c r="L25" t="s">
        <v>261</v>
      </c>
      <c r="M25" s="1"/>
      <c r="O25" t="s">
        <v>4007</v>
      </c>
      <c r="P25" s="1"/>
      <c r="Q25" s="1"/>
      <c r="S25" s="2">
        <f>CONSOLIDADO_2026[[#This Row],[Hora final]]-CONSOLIDADO_2026[[#This Row],[Hora inic]]</f>
        <v>0.41666666666666663</v>
      </c>
    </row>
    <row r="26" spans="1:19" x14ac:dyDescent="0.25">
      <c r="A26" t="s">
        <v>4004</v>
      </c>
      <c r="B26">
        <v>21852680</v>
      </c>
      <c r="C26" t="s">
        <v>4019</v>
      </c>
      <c r="D26" t="s">
        <v>410</v>
      </c>
      <c r="E26" t="s">
        <v>4005</v>
      </c>
      <c r="F26" t="s">
        <v>4015</v>
      </c>
      <c r="G26" s="1">
        <v>46235</v>
      </c>
      <c r="H26" s="1">
        <v>46238</v>
      </c>
      <c r="I26" s="2">
        <v>0.25</v>
      </c>
      <c r="J26" s="2">
        <v>0.66666666666666663</v>
      </c>
      <c r="L26" t="s">
        <v>261</v>
      </c>
      <c r="M26" s="1"/>
      <c r="O26" t="s">
        <v>4007</v>
      </c>
      <c r="P26" s="1"/>
      <c r="Q26" s="1"/>
      <c r="S26" s="2">
        <f>CONSOLIDADO_2026[[#This Row],[Hora final]]-CONSOLIDADO_2026[[#This Row],[Hora inic]]</f>
        <v>0.41666666666666663</v>
      </c>
    </row>
    <row r="27" spans="1:19" x14ac:dyDescent="0.25">
      <c r="A27" t="s">
        <v>4004</v>
      </c>
      <c r="B27">
        <v>1140905046</v>
      </c>
      <c r="C27" t="s">
        <v>4020</v>
      </c>
      <c r="D27" t="s">
        <v>410</v>
      </c>
      <c r="E27" t="s">
        <v>4005</v>
      </c>
      <c r="F27" t="s">
        <v>4015</v>
      </c>
      <c r="G27" s="1">
        <v>46235</v>
      </c>
      <c r="H27" s="1">
        <v>46238</v>
      </c>
      <c r="I27" s="2">
        <v>0.25</v>
      </c>
      <c r="J27" s="2">
        <v>0.66666666666666663</v>
      </c>
      <c r="K27" t="s">
        <v>225</v>
      </c>
      <c r="L27" t="s">
        <v>226</v>
      </c>
      <c r="M27" s="1"/>
      <c r="O27" t="s">
        <v>21</v>
      </c>
      <c r="P27" s="1"/>
      <c r="Q27" s="1"/>
      <c r="S27" s="2">
        <f>CONSOLIDADO_2026[[#This Row],[Hora final]]-CONSOLIDADO_2026[[#This Row],[Hora inic]]</f>
        <v>0.41666666666666663</v>
      </c>
    </row>
    <row r="28" spans="1:19" x14ac:dyDescent="0.25">
      <c r="A28" t="s">
        <v>4004</v>
      </c>
      <c r="B28" t="s">
        <v>228</v>
      </c>
      <c r="C28" t="s">
        <v>229</v>
      </c>
      <c r="D28" t="s">
        <v>211</v>
      </c>
      <c r="E28" t="s">
        <v>4017</v>
      </c>
      <c r="F28" t="s">
        <v>16</v>
      </c>
      <c r="G28" s="1">
        <v>46230</v>
      </c>
      <c r="H28" s="1">
        <v>46355</v>
      </c>
      <c r="I28" s="2">
        <v>0.25</v>
      </c>
      <c r="J28" s="2">
        <v>0.58333333333333337</v>
      </c>
      <c r="K28" t="s">
        <v>230</v>
      </c>
      <c r="L28" t="s">
        <v>231</v>
      </c>
      <c r="M28" s="1"/>
      <c r="O28" t="s">
        <v>21</v>
      </c>
      <c r="P28" s="1"/>
      <c r="Q28" s="1"/>
      <c r="S28" s="2">
        <f>CONSOLIDADO_2026[[#This Row],[Hora final]]-CONSOLIDADO_2026[[#This Row],[Hora inic]]</f>
        <v>0.33333333333333337</v>
      </c>
    </row>
    <row r="29" spans="1:19" x14ac:dyDescent="0.25">
      <c r="A29" t="s">
        <v>4008</v>
      </c>
      <c r="B29">
        <v>1085318652</v>
      </c>
      <c r="C29" t="s">
        <v>235</v>
      </c>
      <c r="D29" t="s">
        <v>211</v>
      </c>
      <c r="E29" t="s">
        <v>4017</v>
      </c>
      <c r="F29" t="s">
        <v>90</v>
      </c>
      <c r="G29" s="1">
        <v>46233</v>
      </c>
      <c r="H29" s="1">
        <v>46238</v>
      </c>
      <c r="I29" s="2">
        <v>0.25</v>
      </c>
      <c r="J29" s="2">
        <v>0.54166666666666663</v>
      </c>
      <c r="K29" t="s">
        <v>230</v>
      </c>
      <c r="L29" t="s">
        <v>231</v>
      </c>
      <c r="M29" s="1"/>
      <c r="O29" t="s">
        <v>21</v>
      </c>
      <c r="P29" s="1"/>
      <c r="Q29" s="1"/>
      <c r="S29" s="2">
        <f>CONSOLIDADO_2026[[#This Row],[Hora final]]-CONSOLIDADO_2026[[#This Row],[Hora inic]]</f>
        <v>0.29166666666666663</v>
      </c>
    </row>
    <row r="30" spans="1:19" x14ac:dyDescent="0.25">
      <c r="A30" t="s">
        <v>4008</v>
      </c>
      <c r="B30">
        <v>1152226738</v>
      </c>
      <c r="C30" t="s">
        <v>127</v>
      </c>
      <c r="D30" t="s">
        <v>128</v>
      </c>
      <c r="E30" t="s">
        <v>4005</v>
      </c>
      <c r="F30" t="s">
        <v>25</v>
      </c>
      <c r="G30" s="1">
        <v>46234</v>
      </c>
      <c r="H30" s="1">
        <v>46237</v>
      </c>
      <c r="I30" s="2">
        <v>0.25</v>
      </c>
      <c r="J30" s="2">
        <v>0.54166666666666663</v>
      </c>
      <c r="K30" t="s">
        <v>122</v>
      </c>
      <c r="L30" t="s">
        <v>123</v>
      </c>
      <c r="M30" s="1"/>
      <c r="O30" t="s">
        <v>21</v>
      </c>
      <c r="P30" s="1"/>
      <c r="Q30" s="1"/>
      <c r="S30" s="2">
        <f>CONSOLIDADO_2026[[#This Row],[Hora final]]-CONSOLIDADO_2026[[#This Row],[Hora inic]]</f>
        <v>0.29166666666666663</v>
      </c>
    </row>
    <row r="31" spans="1:19" x14ac:dyDescent="0.25">
      <c r="A31" t="s">
        <v>4004</v>
      </c>
      <c r="B31">
        <v>1001940238</v>
      </c>
      <c r="C31" t="s">
        <v>4021</v>
      </c>
      <c r="D31" t="s">
        <v>57</v>
      </c>
      <c r="E31" t="s">
        <v>4010</v>
      </c>
      <c r="F31" t="s">
        <v>4015</v>
      </c>
      <c r="G31" s="1">
        <v>46237</v>
      </c>
      <c r="H31" s="1">
        <v>46239</v>
      </c>
      <c r="I31" s="2"/>
      <c r="J31" s="2"/>
      <c r="L31" t="s">
        <v>269</v>
      </c>
      <c r="M31" s="1"/>
      <c r="O31" t="s">
        <v>4007</v>
      </c>
      <c r="P31" s="1"/>
      <c r="Q31" s="1"/>
      <c r="S31" s="2">
        <f>CONSOLIDADO_2026[[#This Row],[Hora final]]-CONSOLIDADO_2026[[#This Row],[Hora inic]]</f>
        <v>0</v>
      </c>
    </row>
    <row r="32" spans="1:19" x14ac:dyDescent="0.25">
      <c r="A32" t="s">
        <v>4004</v>
      </c>
      <c r="B32">
        <v>1047505786</v>
      </c>
      <c r="C32" t="s">
        <v>110</v>
      </c>
      <c r="D32" t="s">
        <v>15</v>
      </c>
      <c r="E32" t="s">
        <v>4012</v>
      </c>
      <c r="F32" t="s">
        <v>25</v>
      </c>
      <c r="G32" s="1">
        <v>46229</v>
      </c>
      <c r="H32" s="1">
        <v>46243</v>
      </c>
      <c r="I32" s="2"/>
      <c r="J32" s="2"/>
      <c r="L32" t="s">
        <v>269</v>
      </c>
      <c r="M32" s="1"/>
      <c r="O32" t="s">
        <v>4007</v>
      </c>
      <c r="P32" s="1"/>
      <c r="Q32" s="1"/>
      <c r="S32" s="2">
        <f>CONSOLIDADO_2026[[#This Row],[Hora final]]-CONSOLIDADO_2026[[#This Row],[Hora inic]]</f>
        <v>0</v>
      </c>
    </row>
    <row r="33" spans="1:19" x14ac:dyDescent="0.25">
      <c r="A33" t="s">
        <v>4004</v>
      </c>
      <c r="B33">
        <v>1043022975</v>
      </c>
      <c r="C33" t="s">
        <v>1733</v>
      </c>
      <c r="D33" t="s">
        <v>34</v>
      </c>
      <c r="E33" t="s">
        <v>4011</v>
      </c>
      <c r="F33" t="s">
        <v>25</v>
      </c>
      <c r="G33" s="1">
        <v>46234</v>
      </c>
      <c r="H33" s="1">
        <v>46235</v>
      </c>
      <c r="I33" s="2"/>
      <c r="J33" s="2"/>
      <c r="L33" t="s">
        <v>269</v>
      </c>
      <c r="M33" s="1"/>
      <c r="O33" t="s">
        <v>4007</v>
      </c>
      <c r="P33" s="1"/>
      <c r="Q33" s="1"/>
      <c r="S33" s="2">
        <f>CONSOLIDADO_2026[[#This Row],[Hora final]]-CONSOLIDADO_2026[[#This Row],[Hora inic]]</f>
        <v>0</v>
      </c>
    </row>
    <row r="34" spans="1:19" x14ac:dyDescent="0.25">
      <c r="A34" t="s">
        <v>4004</v>
      </c>
      <c r="B34" t="s">
        <v>46</v>
      </c>
      <c r="C34" t="s">
        <v>47</v>
      </c>
      <c r="D34" t="s">
        <v>34</v>
      </c>
      <c r="E34" t="s">
        <v>4011</v>
      </c>
      <c r="F34" t="s">
        <v>25</v>
      </c>
      <c r="G34" s="1">
        <v>46224</v>
      </c>
      <c r="H34" s="1">
        <v>46239</v>
      </c>
      <c r="I34" s="2"/>
      <c r="J34" s="2"/>
      <c r="L34" t="s">
        <v>269</v>
      </c>
      <c r="M34" s="1"/>
      <c r="O34" t="s">
        <v>4007</v>
      </c>
      <c r="P34" s="1"/>
      <c r="Q34" s="1"/>
      <c r="S34" s="2">
        <f>CONSOLIDADO_2026[[#This Row],[Hora final]]-CONSOLIDADO_2026[[#This Row],[Hora inic]]</f>
        <v>0</v>
      </c>
    </row>
    <row r="35" spans="1:19" x14ac:dyDescent="0.25">
      <c r="A35" t="s">
        <v>4013</v>
      </c>
      <c r="B35">
        <v>1047505786</v>
      </c>
      <c r="C35" t="s">
        <v>110</v>
      </c>
      <c r="D35" t="s">
        <v>15</v>
      </c>
      <c r="E35" t="s">
        <v>4012</v>
      </c>
      <c r="F35" t="s">
        <v>25</v>
      </c>
      <c r="G35" s="1">
        <v>46229</v>
      </c>
      <c r="H35" s="1">
        <v>46243</v>
      </c>
      <c r="I35" s="2">
        <v>0.54166666666666663</v>
      </c>
      <c r="J35" s="2">
        <v>0.875</v>
      </c>
      <c r="K35" t="s">
        <v>137</v>
      </c>
      <c r="L35" t="s">
        <v>138</v>
      </c>
      <c r="M35" s="1"/>
      <c r="O35" t="s">
        <v>21</v>
      </c>
      <c r="P35" s="1"/>
      <c r="Q35" s="1"/>
      <c r="S35" s="2">
        <f>CONSOLIDADO_2026[[#This Row],[Hora final]]-CONSOLIDADO_2026[[#This Row],[Hora inic]]</f>
        <v>0.33333333333333337</v>
      </c>
    </row>
    <row r="36" spans="1:19" x14ac:dyDescent="0.25">
      <c r="A36" t="s">
        <v>4008</v>
      </c>
      <c r="B36">
        <v>1001940238</v>
      </c>
      <c r="C36" t="s">
        <v>4021</v>
      </c>
      <c r="D36" t="s">
        <v>57</v>
      </c>
      <c r="E36" t="s">
        <v>4010</v>
      </c>
      <c r="F36" t="s">
        <v>4015</v>
      </c>
      <c r="G36" s="1">
        <v>46237</v>
      </c>
      <c r="H36" s="1">
        <v>46239</v>
      </c>
      <c r="I36" s="2">
        <v>0.5</v>
      </c>
      <c r="J36" s="2">
        <v>0.83333333333333337</v>
      </c>
      <c r="K36" t="s">
        <v>188</v>
      </c>
      <c r="L36" t="s">
        <v>189</v>
      </c>
      <c r="M36" s="1"/>
      <c r="O36" t="s">
        <v>21</v>
      </c>
      <c r="P36" s="1"/>
      <c r="Q36" s="1"/>
      <c r="S36" s="2">
        <f>CONSOLIDADO_2026[[#This Row],[Hora final]]-CONSOLIDADO_2026[[#This Row],[Hora inic]]</f>
        <v>0.33333333333333337</v>
      </c>
    </row>
    <row r="37" spans="1:19" x14ac:dyDescent="0.25">
      <c r="A37" t="s">
        <v>4004</v>
      </c>
      <c r="B37">
        <v>1017270154</v>
      </c>
      <c r="C37" t="s">
        <v>928</v>
      </c>
      <c r="D37" t="s">
        <v>343</v>
      </c>
      <c r="E37" t="s">
        <v>4012</v>
      </c>
      <c r="F37" t="s">
        <v>25</v>
      </c>
      <c r="G37" s="1">
        <v>46234</v>
      </c>
      <c r="H37" s="1">
        <v>46235</v>
      </c>
      <c r="I37" s="2">
        <v>0.25</v>
      </c>
      <c r="J37" s="2">
        <v>0.66666666666666663</v>
      </c>
      <c r="K37" t="s">
        <v>147</v>
      </c>
      <c r="L37" t="s">
        <v>148</v>
      </c>
      <c r="M37" s="1"/>
      <c r="O37" t="s">
        <v>21</v>
      </c>
      <c r="P37" s="1"/>
      <c r="Q37" s="1"/>
      <c r="S37" s="2">
        <f>CONSOLIDADO_2026[[#This Row],[Hora final]]-CONSOLIDADO_2026[[#This Row],[Hora inic]]</f>
        <v>0.41666666666666663</v>
      </c>
    </row>
    <row r="38" spans="1:19" x14ac:dyDescent="0.25">
      <c r="A38" t="s">
        <v>4013</v>
      </c>
      <c r="B38">
        <v>1001940238</v>
      </c>
      <c r="C38" t="s">
        <v>4021</v>
      </c>
      <c r="D38" t="s">
        <v>57</v>
      </c>
      <c r="E38" t="s">
        <v>4010</v>
      </c>
      <c r="F38" t="s">
        <v>4015</v>
      </c>
      <c r="G38" s="1">
        <v>46237</v>
      </c>
      <c r="H38" s="1">
        <v>46239</v>
      </c>
      <c r="I38" s="2">
        <v>0.54166666666666663</v>
      </c>
      <c r="J38" s="2">
        <v>0.83333333333333337</v>
      </c>
      <c r="K38" t="s">
        <v>206</v>
      </c>
      <c r="L38" t="s">
        <v>207</v>
      </c>
      <c r="M38" s="1"/>
      <c r="O38" t="s">
        <v>21</v>
      </c>
      <c r="P38" s="1"/>
      <c r="Q38" s="1"/>
      <c r="S38" s="2">
        <f>CONSOLIDADO_2026[[#This Row],[Hora final]]-CONSOLIDADO_2026[[#This Row],[Hora inic]]</f>
        <v>0.29166666666666674</v>
      </c>
    </row>
    <row r="39" spans="1:19" x14ac:dyDescent="0.25">
      <c r="A39" t="s">
        <v>4016</v>
      </c>
      <c r="B39" t="s">
        <v>46</v>
      </c>
      <c r="C39" t="s">
        <v>47</v>
      </c>
      <c r="D39" t="s">
        <v>34</v>
      </c>
      <c r="E39" t="s">
        <v>4011</v>
      </c>
      <c r="F39" t="s">
        <v>25</v>
      </c>
      <c r="G39" s="1">
        <v>46224</v>
      </c>
      <c r="H39" s="1">
        <v>46239</v>
      </c>
      <c r="I39" s="2">
        <v>0.54166666666666663</v>
      </c>
      <c r="J39" s="2">
        <v>0.875</v>
      </c>
      <c r="K39" t="s">
        <v>178</v>
      </c>
      <c r="L39" t="s">
        <v>179</v>
      </c>
      <c r="M39" s="1"/>
      <c r="O39" t="s">
        <v>21</v>
      </c>
      <c r="P39" s="1"/>
      <c r="Q39" s="1"/>
      <c r="S39" s="2">
        <f>CONSOLIDADO_2026[[#This Row],[Hora final]]-CONSOLIDADO_2026[[#This Row],[Hora inic]]</f>
        <v>0.33333333333333337</v>
      </c>
    </row>
    <row r="40" spans="1:19" x14ac:dyDescent="0.25">
      <c r="A40" t="s">
        <v>4008</v>
      </c>
      <c r="B40">
        <v>1140905046</v>
      </c>
      <c r="C40" t="s">
        <v>4020</v>
      </c>
      <c r="D40" t="s">
        <v>410</v>
      </c>
      <c r="E40" t="s">
        <v>4005</v>
      </c>
      <c r="F40" t="s">
        <v>4015</v>
      </c>
      <c r="G40" s="1">
        <v>46235</v>
      </c>
      <c r="H40" s="1">
        <v>46238</v>
      </c>
      <c r="I40" s="2">
        <v>0.25</v>
      </c>
      <c r="J40" s="2">
        <v>0.54166666666666663</v>
      </c>
      <c r="K40" t="s">
        <v>247</v>
      </c>
      <c r="L40" t="s">
        <v>248</v>
      </c>
      <c r="M40" s="1"/>
      <c r="O40" t="s">
        <v>21</v>
      </c>
      <c r="P40" s="1"/>
      <c r="Q40" s="1"/>
      <c r="S40" s="2">
        <f>CONSOLIDADO_2026[[#This Row],[Hora final]]-CONSOLIDADO_2026[[#This Row],[Hora inic]]</f>
        <v>0.29166666666666663</v>
      </c>
    </row>
    <row r="41" spans="1:19" x14ac:dyDescent="0.25">
      <c r="A41" t="s">
        <v>4008</v>
      </c>
      <c r="B41">
        <v>21852680</v>
      </c>
      <c r="C41" t="s">
        <v>4019</v>
      </c>
      <c r="D41" t="s">
        <v>410</v>
      </c>
      <c r="E41" t="s">
        <v>4005</v>
      </c>
      <c r="F41" t="s">
        <v>4015</v>
      </c>
      <c r="G41" s="1">
        <v>46235</v>
      </c>
      <c r="H41" s="1">
        <v>46238</v>
      </c>
      <c r="I41" s="2">
        <v>0.25</v>
      </c>
      <c r="J41" s="2">
        <v>0.58333333333333337</v>
      </c>
      <c r="K41" t="s">
        <v>144</v>
      </c>
      <c r="L41" t="s">
        <v>145</v>
      </c>
      <c r="M41" s="1"/>
      <c r="O41" t="s">
        <v>21</v>
      </c>
      <c r="P41" s="1"/>
      <c r="Q41" s="1"/>
      <c r="S41" s="2">
        <f>CONSOLIDADO_2026[[#This Row],[Hora final]]-CONSOLIDADO_2026[[#This Row],[Hora inic]]</f>
        <v>0.33333333333333337</v>
      </c>
    </row>
    <row r="42" spans="1:19" x14ac:dyDescent="0.25">
      <c r="A42" t="s">
        <v>4008</v>
      </c>
      <c r="B42">
        <v>1143374438</v>
      </c>
      <c r="C42" t="s">
        <v>85</v>
      </c>
      <c r="D42" t="s">
        <v>41</v>
      </c>
      <c r="E42" t="s">
        <v>4011</v>
      </c>
      <c r="F42" t="s">
        <v>25</v>
      </c>
      <c r="G42" s="1">
        <v>46209</v>
      </c>
      <c r="H42" s="1">
        <v>46238</v>
      </c>
      <c r="I42" s="2">
        <v>0.25</v>
      </c>
      <c r="J42" s="2">
        <v>0.58333333333333337</v>
      </c>
      <c r="K42" t="s">
        <v>216</v>
      </c>
      <c r="L42" t="s">
        <v>217</v>
      </c>
      <c r="M42" s="1"/>
      <c r="O42" t="s">
        <v>21</v>
      </c>
      <c r="P42" s="1"/>
      <c r="Q42" s="1"/>
      <c r="S42" s="2">
        <f>CONSOLIDADO_2026[[#This Row],[Hora final]]-CONSOLIDADO_2026[[#This Row],[Hora inic]]</f>
        <v>0.33333333333333337</v>
      </c>
    </row>
    <row r="43" spans="1:19" x14ac:dyDescent="0.25">
      <c r="A43" t="s">
        <v>4008</v>
      </c>
      <c r="B43" t="s">
        <v>46</v>
      </c>
      <c r="C43" t="s">
        <v>47</v>
      </c>
      <c r="D43" t="s">
        <v>34</v>
      </c>
      <c r="E43" t="s">
        <v>4011</v>
      </c>
      <c r="F43" t="s">
        <v>25</v>
      </c>
      <c r="G43" s="1">
        <v>46224</v>
      </c>
      <c r="H43" s="1">
        <v>46239</v>
      </c>
      <c r="I43" s="2">
        <v>0.54166666666666663</v>
      </c>
      <c r="J43" s="2">
        <v>0.875</v>
      </c>
      <c r="K43" t="s">
        <v>35</v>
      </c>
      <c r="L43" t="s">
        <v>36</v>
      </c>
      <c r="M43" s="1"/>
      <c r="O43" t="s">
        <v>21</v>
      </c>
      <c r="P43" s="1"/>
      <c r="Q43" s="1"/>
      <c r="S43" s="2">
        <f>CONSOLIDADO_2026[[#This Row],[Hora final]]-CONSOLIDADO_2026[[#This Row],[Hora inic]]</f>
        <v>0.33333333333333337</v>
      </c>
    </row>
    <row r="44" spans="1:19" x14ac:dyDescent="0.25">
      <c r="A44" t="s">
        <v>4008</v>
      </c>
      <c r="B44" t="s">
        <v>228</v>
      </c>
      <c r="C44" t="s">
        <v>229</v>
      </c>
      <c r="D44" t="s">
        <v>211</v>
      </c>
      <c r="E44" t="s">
        <v>4017</v>
      </c>
      <c r="F44" t="s">
        <v>16</v>
      </c>
      <c r="G44" s="1">
        <v>46230</v>
      </c>
      <c r="H44" s="1">
        <v>46355</v>
      </c>
      <c r="I44" s="2">
        <v>0.25</v>
      </c>
      <c r="J44" s="2">
        <v>0.58333333333333337</v>
      </c>
      <c r="K44" t="s">
        <v>256</v>
      </c>
      <c r="L44" t="s">
        <v>257</v>
      </c>
      <c r="M44" s="1"/>
      <c r="O44" t="s">
        <v>21</v>
      </c>
      <c r="P44" s="1"/>
      <c r="Q44" s="1"/>
      <c r="S44" s="2">
        <f>CONSOLIDADO_2026[[#This Row],[Hora final]]-CONSOLIDADO_2026[[#This Row],[Hora inic]]</f>
        <v>0.33333333333333337</v>
      </c>
    </row>
    <row r="45" spans="1:19" x14ac:dyDescent="0.25">
      <c r="A45" t="s">
        <v>4004</v>
      </c>
      <c r="B45">
        <v>1085318652</v>
      </c>
      <c r="C45" t="s">
        <v>235</v>
      </c>
      <c r="D45" t="s">
        <v>211</v>
      </c>
      <c r="E45" t="s">
        <v>4017</v>
      </c>
      <c r="F45" t="s">
        <v>90</v>
      </c>
      <c r="G45" s="1">
        <v>46233</v>
      </c>
      <c r="H45" s="1">
        <v>46238</v>
      </c>
      <c r="I45" s="2">
        <v>0.25</v>
      </c>
      <c r="J45" s="2">
        <v>0.58333333333333337</v>
      </c>
      <c r="K45" t="s">
        <v>256</v>
      </c>
      <c r="L45" t="s">
        <v>257</v>
      </c>
      <c r="M45" s="1"/>
      <c r="O45" t="s">
        <v>21</v>
      </c>
      <c r="P45" s="1"/>
      <c r="Q45" s="1"/>
      <c r="S45" s="2">
        <f>CONSOLIDADO_2026[[#This Row],[Hora final]]-CONSOLIDADO_2026[[#This Row],[Hora inic]]</f>
        <v>0.33333333333333337</v>
      </c>
    </row>
    <row r="46" spans="1:19" x14ac:dyDescent="0.25">
      <c r="A46" t="s">
        <v>4004</v>
      </c>
      <c r="B46">
        <v>1143374438</v>
      </c>
      <c r="C46" t="s">
        <v>85</v>
      </c>
      <c r="D46" t="s">
        <v>41</v>
      </c>
      <c r="E46" t="s">
        <v>4011</v>
      </c>
      <c r="F46" t="s">
        <v>25</v>
      </c>
      <c r="G46" s="1">
        <v>46209</v>
      </c>
      <c r="H46" s="1">
        <v>46238</v>
      </c>
      <c r="I46" s="2">
        <v>0.25</v>
      </c>
      <c r="J46" s="2">
        <v>0.66666666666666663</v>
      </c>
      <c r="K46" t="s">
        <v>171</v>
      </c>
      <c r="L46" t="s">
        <v>172</v>
      </c>
      <c r="M46" s="1"/>
      <c r="O46" t="s">
        <v>21</v>
      </c>
      <c r="P46" s="1"/>
      <c r="Q46" s="1"/>
      <c r="S46" s="2">
        <f>CONSOLIDADO_2026[[#This Row],[Hora final]]-CONSOLIDADO_2026[[#This Row],[Hora inic]]</f>
        <v>0.41666666666666663</v>
      </c>
    </row>
    <row r="47" spans="1:19" x14ac:dyDescent="0.25">
      <c r="A47" t="s">
        <v>4004</v>
      </c>
      <c r="B47">
        <v>1061819313</v>
      </c>
      <c r="C47" t="s">
        <v>223</v>
      </c>
      <c r="D47" t="s">
        <v>142</v>
      </c>
      <c r="E47" t="s">
        <v>4012</v>
      </c>
      <c r="F47" t="s">
        <v>25</v>
      </c>
      <c r="G47" s="1">
        <v>46231</v>
      </c>
      <c r="H47" s="1">
        <v>46235</v>
      </c>
      <c r="I47" s="2">
        <v>0.25</v>
      </c>
      <c r="J47" s="2">
        <v>0.66666666666666663</v>
      </c>
      <c r="K47" t="s">
        <v>219</v>
      </c>
      <c r="L47" t="s">
        <v>220</v>
      </c>
      <c r="M47" s="1"/>
      <c r="O47" t="s">
        <v>21</v>
      </c>
      <c r="P47" s="1"/>
      <c r="Q47" s="1"/>
      <c r="S47" s="2">
        <f>CONSOLIDADO_2026[[#This Row],[Hora final]]-CONSOLIDADO_2026[[#This Row],[Hora inic]]</f>
        <v>0.41666666666666663</v>
      </c>
    </row>
    <row r="48" spans="1:19" x14ac:dyDescent="0.25">
      <c r="A48" t="s">
        <v>4008</v>
      </c>
      <c r="B48">
        <v>1061819313</v>
      </c>
      <c r="C48" t="s">
        <v>223</v>
      </c>
      <c r="D48" t="s">
        <v>142</v>
      </c>
      <c r="E48" t="s">
        <v>4012</v>
      </c>
      <c r="F48" t="s">
        <v>25</v>
      </c>
      <c r="G48" s="1">
        <v>46231</v>
      </c>
      <c r="H48" s="1">
        <v>46235</v>
      </c>
      <c r="I48" s="2"/>
      <c r="J48" s="2"/>
      <c r="L48" t="s">
        <v>4006</v>
      </c>
      <c r="M48" s="1"/>
      <c r="O48" t="s">
        <v>4007</v>
      </c>
      <c r="P48" s="1"/>
      <c r="Q48" s="1"/>
      <c r="S48" s="2">
        <f>CONSOLIDADO_2026[[#This Row],[Hora final]]-CONSOLIDADO_2026[[#This Row],[Hora inic]]</f>
        <v>0</v>
      </c>
    </row>
    <row r="49" spans="1:19" x14ac:dyDescent="0.25">
      <c r="A49" t="s">
        <v>4004</v>
      </c>
      <c r="B49">
        <v>50995706</v>
      </c>
      <c r="C49" t="s">
        <v>2458</v>
      </c>
      <c r="D49" t="s">
        <v>64</v>
      </c>
      <c r="E49" t="s">
        <v>4012</v>
      </c>
      <c r="F49" t="s">
        <v>25</v>
      </c>
      <c r="G49" s="1">
        <v>46234</v>
      </c>
      <c r="H49" s="1">
        <v>46234</v>
      </c>
      <c r="I49" s="2"/>
      <c r="J49" s="2"/>
      <c r="L49" t="s">
        <v>4006</v>
      </c>
      <c r="M49" s="1"/>
      <c r="O49" t="s">
        <v>4007</v>
      </c>
      <c r="P49" s="1"/>
      <c r="Q49" s="1"/>
      <c r="S49" s="2">
        <f>CONSOLIDADO_2026[[#This Row],[Hora final]]-CONSOLIDADO_2026[[#This Row],[Hora inic]]</f>
        <v>0</v>
      </c>
    </row>
    <row r="50" spans="1:19" x14ac:dyDescent="0.25">
      <c r="A50" t="s">
        <v>4008</v>
      </c>
      <c r="B50">
        <v>50995706</v>
      </c>
      <c r="C50" t="s">
        <v>2458</v>
      </c>
      <c r="D50" t="s">
        <v>64</v>
      </c>
      <c r="E50" t="s">
        <v>4012</v>
      </c>
      <c r="F50" t="s">
        <v>25</v>
      </c>
      <c r="G50" s="1">
        <v>46234</v>
      </c>
      <c r="H50" s="1">
        <v>46234</v>
      </c>
      <c r="I50" s="2">
        <v>0.25</v>
      </c>
      <c r="J50" s="2">
        <v>0.58333333333333337</v>
      </c>
      <c r="L50" t="s">
        <v>4022</v>
      </c>
      <c r="M50" s="1"/>
      <c r="O50" t="s">
        <v>4007</v>
      </c>
      <c r="P50" s="1"/>
      <c r="Q50" s="1"/>
      <c r="S50" s="2">
        <f>CONSOLIDADO_2026[[#This Row],[Hora final]]-CONSOLIDADO_2026[[#This Row],[Hora inic]]</f>
        <v>0.33333333333333337</v>
      </c>
    </row>
    <row r="51" spans="1:19" x14ac:dyDescent="0.25">
      <c r="A51" t="s">
        <v>4004</v>
      </c>
      <c r="B51">
        <v>57303015</v>
      </c>
      <c r="C51" t="s">
        <v>114</v>
      </c>
      <c r="D51" t="s">
        <v>64</v>
      </c>
      <c r="E51" t="s">
        <v>4012</v>
      </c>
      <c r="F51" t="s">
        <v>25</v>
      </c>
      <c r="G51" s="1">
        <v>46232</v>
      </c>
      <c r="H51" s="1">
        <v>46235</v>
      </c>
      <c r="I51" s="2">
        <v>0.25</v>
      </c>
      <c r="J51" s="2">
        <v>0.66666666666666663</v>
      </c>
      <c r="K51" t="s">
        <v>115</v>
      </c>
      <c r="L51" t="s">
        <v>116</v>
      </c>
      <c r="M51" s="1"/>
      <c r="O51" t="s">
        <v>21</v>
      </c>
      <c r="P51" s="1"/>
      <c r="Q51" s="1"/>
      <c r="S51" s="2">
        <f>CONSOLIDADO_2026[[#This Row],[Hora final]]-CONSOLIDADO_2026[[#This Row],[Hora inic]]</f>
        <v>0.41666666666666663</v>
      </c>
    </row>
    <row r="52" spans="1:19" x14ac:dyDescent="0.25">
      <c r="A52" t="s">
        <v>4008</v>
      </c>
      <c r="B52">
        <v>57303015</v>
      </c>
      <c r="C52" t="s">
        <v>114</v>
      </c>
      <c r="D52" t="s">
        <v>64</v>
      </c>
      <c r="E52" t="s">
        <v>4012</v>
      </c>
      <c r="F52" t="s">
        <v>25</v>
      </c>
      <c r="G52" s="1">
        <v>46232</v>
      </c>
      <c r="H52" s="1">
        <v>46235</v>
      </c>
      <c r="I52" s="2"/>
      <c r="J52" s="2"/>
      <c r="L52" t="s">
        <v>4006</v>
      </c>
      <c r="M52" s="1"/>
      <c r="O52" t="s">
        <v>4007</v>
      </c>
      <c r="P52" s="1"/>
      <c r="Q52" s="1"/>
      <c r="S52" s="2">
        <f>CONSOLIDADO_2026[[#This Row],[Hora final]]-CONSOLIDADO_2026[[#This Row],[Hora inic]]</f>
        <v>0</v>
      </c>
    </row>
    <row r="53" spans="1:19" x14ac:dyDescent="0.25">
      <c r="A53" t="s">
        <v>4004</v>
      </c>
      <c r="B53">
        <v>1140851921</v>
      </c>
      <c r="C53" t="s">
        <v>4023</v>
      </c>
      <c r="D53" t="s">
        <v>326</v>
      </c>
      <c r="E53" t="s">
        <v>4005</v>
      </c>
      <c r="F53" t="s">
        <v>25</v>
      </c>
      <c r="G53" s="1">
        <v>46231</v>
      </c>
      <c r="H53" s="1">
        <v>46234</v>
      </c>
      <c r="I53" s="2"/>
      <c r="J53" s="2"/>
      <c r="L53" t="s">
        <v>4006</v>
      </c>
      <c r="M53" s="1"/>
      <c r="O53" t="s">
        <v>4007</v>
      </c>
      <c r="P53" s="1"/>
      <c r="Q53" s="1"/>
      <c r="S53" s="2">
        <f>CONSOLIDADO_2026[[#This Row],[Hora final]]-CONSOLIDADO_2026[[#This Row],[Hora inic]]</f>
        <v>0</v>
      </c>
    </row>
    <row r="54" spans="1:19" x14ac:dyDescent="0.25">
      <c r="A54" t="s">
        <v>4004</v>
      </c>
      <c r="B54">
        <v>1143375080</v>
      </c>
      <c r="C54" t="s">
        <v>1090</v>
      </c>
      <c r="D54" t="s">
        <v>153</v>
      </c>
      <c r="E54" t="s">
        <v>4010</v>
      </c>
      <c r="F54" t="s">
        <v>4024</v>
      </c>
      <c r="G54" s="1">
        <v>46232</v>
      </c>
      <c r="H54" s="1">
        <v>46239</v>
      </c>
      <c r="I54" s="2">
        <v>0.25</v>
      </c>
      <c r="J54" s="2">
        <v>0.66666666666666663</v>
      </c>
      <c r="K54" t="s">
        <v>206</v>
      </c>
      <c r="L54" t="s">
        <v>207</v>
      </c>
      <c r="M54" s="1"/>
      <c r="O54" t="s">
        <v>21</v>
      </c>
      <c r="P54" s="1"/>
      <c r="Q54" s="1"/>
      <c r="S54" s="2">
        <f>CONSOLIDADO_2026[[#This Row],[Hora final]]-CONSOLIDADO_2026[[#This Row],[Hora inic]]</f>
        <v>0.41666666666666663</v>
      </c>
    </row>
    <row r="55" spans="1:19" x14ac:dyDescent="0.25">
      <c r="A55" t="s">
        <v>4008</v>
      </c>
      <c r="B55">
        <v>1143375080</v>
      </c>
      <c r="C55" t="s">
        <v>1090</v>
      </c>
      <c r="D55" t="s">
        <v>153</v>
      </c>
      <c r="E55" t="s">
        <v>4010</v>
      </c>
      <c r="F55" t="s">
        <v>4024</v>
      </c>
      <c r="G55" s="1">
        <v>46232</v>
      </c>
      <c r="H55" s="1">
        <v>46239</v>
      </c>
      <c r="I55" s="2">
        <v>0.25</v>
      </c>
      <c r="J55" s="2">
        <v>0.54166666666666663</v>
      </c>
      <c r="K55" t="s">
        <v>1435</v>
      </c>
      <c r="L55" t="s">
        <v>1436</v>
      </c>
      <c r="M55" s="1"/>
      <c r="O55" t="s">
        <v>21</v>
      </c>
      <c r="P55" s="1"/>
      <c r="Q55" s="1"/>
      <c r="S55" s="2">
        <f>CONSOLIDADO_2026[[#This Row],[Hora final]]-CONSOLIDADO_2026[[#This Row],[Hora inic]]</f>
        <v>0.29166666666666663</v>
      </c>
    </row>
    <row r="56" spans="1:19" x14ac:dyDescent="0.25">
      <c r="A56" t="s">
        <v>4013</v>
      </c>
      <c r="B56">
        <v>1143375080</v>
      </c>
      <c r="C56" t="s">
        <v>4025</v>
      </c>
      <c r="D56" t="s">
        <v>153</v>
      </c>
      <c r="E56" t="s">
        <v>4010</v>
      </c>
      <c r="F56" t="s">
        <v>4024</v>
      </c>
      <c r="G56" s="1">
        <v>46232</v>
      </c>
      <c r="H56" s="1">
        <v>46239</v>
      </c>
      <c r="I56" s="2">
        <v>0.58333333333333337</v>
      </c>
      <c r="J56" s="2">
        <v>0.875</v>
      </c>
      <c r="K56" t="s">
        <v>225</v>
      </c>
      <c r="L56" t="s">
        <v>226</v>
      </c>
      <c r="M56" s="1"/>
      <c r="O56" t="s">
        <v>21</v>
      </c>
      <c r="P56" s="1"/>
      <c r="Q56" s="1"/>
      <c r="S56" s="2">
        <f>CONSOLIDADO_2026[[#This Row],[Hora final]]-CONSOLIDADO_2026[[#This Row],[Hora inic]]</f>
        <v>0.29166666666666663</v>
      </c>
    </row>
    <row r="57" spans="1:19" x14ac:dyDescent="0.25">
      <c r="A57" t="s">
        <v>4004</v>
      </c>
      <c r="B57">
        <v>1143995272</v>
      </c>
      <c r="C57" t="s">
        <v>2223</v>
      </c>
      <c r="D57" t="s">
        <v>197</v>
      </c>
      <c r="E57" t="s">
        <v>4005</v>
      </c>
      <c r="F57" t="s">
        <v>30</v>
      </c>
      <c r="G57" s="1">
        <v>46234</v>
      </c>
      <c r="H57" s="1">
        <v>46234</v>
      </c>
      <c r="I57" s="2"/>
      <c r="J57" s="2"/>
      <c r="L57" t="s">
        <v>4006</v>
      </c>
      <c r="M57" s="1"/>
      <c r="O57" t="s">
        <v>4007</v>
      </c>
      <c r="P57" s="1"/>
      <c r="Q57" s="1"/>
      <c r="S57" s="2">
        <f>CONSOLIDADO_2026[[#This Row],[Hora final]]-CONSOLIDADO_2026[[#This Row],[Hora inic]]</f>
        <v>0</v>
      </c>
    </row>
    <row r="58" spans="1:19" x14ac:dyDescent="0.25">
      <c r="A58" t="s">
        <v>4004</v>
      </c>
      <c r="B58">
        <v>39192742</v>
      </c>
      <c r="C58" t="s">
        <v>2584</v>
      </c>
      <c r="D58" t="s">
        <v>211</v>
      </c>
      <c r="E58" t="s">
        <v>4017</v>
      </c>
      <c r="F58" t="s">
        <v>25</v>
      </c>
      <c r="G58" s="1">
        <v>46230</v>
      </c>
      <c r="H58" s="1">
        <v>46232</v>
      </c>
      <c r="I58" s="2"/>
      <c r="J58" s="2"/>
      <c r="L58" t="s">
        <v>4006</v>
      </c>
      <c r="M58" s="1"/>
      <c r="O58" t="s">
        <v>4007</v>
      </c>
      <c r="P58" s="1"/>
      <c r="Q58" s="1"/>
      <c r="S58" s="2">
        <f>CONSOLIDADO_2026[[#This Row],[Hora final]]-CONSOLIDADO_2026[[#This Row],[Hora inic]]</f>
        <v>0</v>
      </c>
    </row>
    <row r="59" spans="1:19" x14ac:dyDescent="0.25">
      <c r="A59" t="s">
        <v>4004</v>
      </c>
      <c r="B59">
        <v>1193459665</v>
      </c>
      <c r="C59" t="s">
        <v>4026</v>
      </c>
      <c r="D59" t="s">
        <v>326</v>
      </c>
      <c r="E59" t="s">
        <v>4005</v>
      </c>
      <c r="F59" t="s">
        <v>25</v>
      </c>
      <c r="G59" s="1">
        <v>46230</v>
      </c>
      <c r="H59" s="1">
        <v>46234</v>
      </c>
      <c r="I59" s="2"/>
      <c r="J59" s="2"/>
      <c r="L59" t="s">
        <v>4006</v>
      </c>
      <c r="M59" s="1"/>
      <c r="O59" t="s">
        <v>4007</v>
      </c>
      <c r="P59" s="1"/>
      <c r="Q59" s="1"/>
      <c r="S59" s="2">
        <f>CONSOLIDADO_2026[[#This Row],[Hora final]]-CONSOLIDADO_2026[[#This Row],[Hora inic]]</f>
        <v>0</v>
      </c>
    </row>
    <row r="60" spans="1:19" x14ac:dyDescent="0.25">
      <c r="A60" t="s">
        <v>4004</v>
      </c>
      <c r="B60">
        <v>1017264032</v>
      </c>
      <c r="C60" t="s">
        <v>63</v>
      </c>
      <c r="D60" t="s">
        <v>64</v>
      </c>
      <c r="E60" t="s">
        <v>4012</v>
      </c>
      <c r="F60" t="s">
        <v>25</v>
      </c>
      <c r="G60" s="1">
        <v>46229</v>
      </c>
      <c r="H60" s="1">
        <v>46258</v>
      </c>
      <c r="I60" s="2">
        <v>0.25</v>
      </c>
      <c r="J60" s="2">
        <v>0.66666666666666663</v>
      </c>
      <c r="K60" t="s">
        <v>65</v>
      </c>
      <c r="L60" t="s">
        <v>66</v>
      </c>
      <c r="M60" s="1"/>
      <c r="O60" t="s">
        <v>21</v>
      </c>
      <c r="P60" s="1"/>
      <c r="Q60" s="1"/>
      <c r="S60" s="2">
        <f>CONSOLIDADO_2026[[#This Row],[Hora final]]-CONSOLIDADO_2026[[#This Row],[Hora inic]]</f>
        <v>0.41666666666666663</v>
      </c>
    </row>
    <row r="61" spans="1:19" x14ac:dyDescent="0.25">
      <c r="A61" t="s">
        <v>4008</v>
      </c>
      <c r="B61">
        <v>1017264032</v>
      </c>
      <c r="C61" t="s">
        <v>63</v>
      </c>
      <c r="D61" t="s">
        <v>64</v>
      </c>
      <c r="E61" t="s">
        <v>4012</v>
      </c>
      <c r="F61" t="s">
        <v>25</v>
      </c>
      <c r="G61" s="1">
        <v>46229</v>
      </c>
      <c r="H61" s="1">
        <v>46258</v>
      </c>
      <c r="I61" s="2">
        <v>0.58333333333333337</v>
      </c>
      <c r="J61" s="2">
        <v>0.875</v>
      </c>
      <c r="K61" t="s">
        <v>137</v>
      </c>
      <c r="L61" t="s">
        <v>138</v>
      </c>
      <c r="M61" s="1"/>
      <c r="O61" t="s">
        <v>21</v>
      </c>
      <c r="P61" s="1"/>
      <c r="Q61" s="1"/>
      <c r="S61" s="2">
        <f>CONSOLIDADO_2026[[#This Row],[Hora final]]-CONSOLIDADO_2026[[#This Row],[Hora inic]]</f>
        <v>0.29166666666666663</v>
      </c>
    </row>
    <row r="62" spans="1:19" x14ac:dyDescent="0.25">
      <c r="A62" t="s">
        <v>4013</v>
      </c>
      <c r="B62">
        <v>1017264032</v>
      </c>
      <c r="C62" t="s">
        <v>105</v>
      </c>
      <c r="D62" t="s">
        <v>64</v>
      </c>
      <c r="E62" t="s">
        <v>4012</v>
      </c>
      <c r="F62" t="s">
        <v>25</v>
      </c>
      <c r="G62" s="1">
        <v>46229</v>
      </c>
      <c r="H62" s="1">
        <v>46258</v>
      </c>
      <c r="I62" s="2">
        <v>0.25</v>
      </c>
      <c r="J62" s="2">
        <v>0.58333333333333337</v>
      </c>
      <c r="K62" t="s">
        <v>106</v>
      </c>
      <c r="L62" t="s">
        <v>107</v>
      </c>
      <c r="M62" s="1"/>
      <c r="O62" t="s">
        <v>21</v>
      </c>
      <c r="P62" s="1"/>
      <c r="Q62" s="1"/>
      <c r="S62" s="2">
        <f>CONSOLIDADO_2026[[#This Row],[Hora final]]-CONSOLIDADO_2026[[#This Row],[Hora inic]]</f>
        <v>0.33333333333333337</v>
      </c>
    </row>
    <row r="63" spans="1:19" x14ac:dyDescent="0.25">
      <c r="A63" t="s">
        <v>4004</v>
      </c>
      <c r="B63">
        <v>1002159016</v>
      </c>
      <c r="C63" t="s">
        <v>196</v>
      </c>
      <c r="D63" t="s">
        <v>197</v>
      </c>
      <c r="E63" t="s">
        <v>4005</v>
      </c>
      <c r="F63" t="s">
        <v>25</v>
      </c>
      <c r="G63" s="1">
        <v>46230</v>
      </c>
      <c r="H63" s="1">
        <v>46235</v>
      </c>
      <c r="I63" s="2">
        <v>0.25</v>
      </c>
      <c r="J63" s="2">
        <v>0.66666666666666663</v>
      </c>
      <c r="K63" t="s">
        <v>198</v>
      </c>
      <c r="L63" t="s">
        <v>199</v>
      </c>
      <c r="M63" s="1"/>
      <c r="O63" t="s">
        <v>21</v>
      </c>
      <c r="P63" s="1"/>
      <c r="Q63" s="1"/>
      <c r="S63" s="2">
        <f>CONSOLIDADO_2026[[#This Row],[Hora final]]-CONSOLIDADO_2026[[#This Row],[Hora inic]]</f>
        <v>0.41666666666666663</v>
      </c>
    </row>
    <row r="64" spans="1:19" x14ac:dyDescent="0.25">
      <c r="A64" t="s">
        <v>4008</v>
      </c>
      <c r="B64">
        <v>1002159016</v>
      </c>
      <c r="C64" t="s">
        <v>196</v>
      </c>
      <c r="D64" t="s">
        <v>197</v>
      </c>
      <c r="E64" t="s">
        <v>4005</v>
      </c>
      <c r="F64" t="s">
        <v>25</v>
      </c>
      <c r="G64" s="1">
        <v>46230</v>
      </c>
      <c r="H64" s="1">
        <v>46235</v>
      </c>
      <c r="I64" s="2"/>
      <c r="J64" s="2"/>
      <c r="L64" t="s">
        <v>4006</v>
      </c>
      <c r="M64" s="1"/>
      <c r="O64" t="s">
        <v>4007</v>
      </c>
      <c r="P64" s="1"/>
      <c r="Q64" s="1"/>
      <c r="S64" s="2">
        <f>CONSOLIDADO_2026[[#This Row],[Hora final]]-CONSOLIDADO_2026[[#This Row],[Hora inic]]</f>
        <v>0</v>
      </c>
    </row>
    <row r="65" spans="1:19" x14ac:dyDescent="0.25">
      <c r="A65" t="s">
        <v>4004</v>
      </c>
      <c r="B65">
        <v>1118569642</v>
      </c>
      <c r="C65" t="s">
        <v>96</v>
      </c>
      <c r="D65" t="s">
        <v>97</v>
      </c>
      <c r="E65" t="s">
        <v>4005</v>
      </c>
      <c r="F65" t="s">
        <v>25</v>
      </c>
      <c r="G65" s="1">
        <v>46230</v>
      </c>
      <c r="H65" s="1">
        <v>46235</v>
      </c>
      <c r="I65" s="2">
        <v>0.25</v>
      </c>
      <c r="J65" s="2">
        <v>0.66666666666666663</v>
      </c>
      <c r="K65" t="s">
        <v>98</v>
      </c>
      <c r="L65" t="s">
        <v>99</v>
      </c>
      <c r="M65" s="1"/>
      <c r="O65" t="s">
        <v>21</v>
      </c>
      <c r="P65" s="1"/>
      <c r="Q65" s="1"/>
      <c r="S65" s="2">
        <f>CONSOLIDADO_2026[[#This Row],[Hora final]]-CONSOLIDADO_2026[[#This Row],[Hora inic]]</f>
        <v>0.41666666666666663</v>
      </c>
    </row>
    <row r="66" spans="1:19" x14ac:dyDescent="0.25">
      <c r="A66" t="s">
        <v>4008</v>
      </c>
      <c r="B66">
        <v>1118569642</v>
      </c>
      <c r="C66" t="s">
        <v>96</v>
      </c>
      <c r="D66" t="s">
        <v>97</v>
      </c>
      <c r="E66" t="s">
        <v>4005</v>
      </c>
      <c r="F66" t="s">
        <v>25</v>
      </c>
      <c r="G66" s="1">
        <v>46230</v>
      </c>
      <c r="H66" s="1">
        <v>46235</v>
      </c>
      <c r="I66" s="2"/>
      <c r="J66" s="2"/>
      <c r="L66" t="s">
        <v>4006</v>
      </c>
      <c r="M66" s="1"/>
      <c r="O66" t="s">
        <v>4007</v>
      </c>
      <c r="P66" s="1"/>
      <c r="Q66" s="1"/>
      <c r="S66" s="2">
        <f>CONSOLIDADO_2026[[#This Row],[Hora final]]-CONSOLIDADO_2026[[#This Row],[Hora inic]]</f>
        <v>0</v>
      </c>
    </row>
    <row r="67" spans="1:19" x14ac:dyDescent="0.25">
      <c r="A67" t="s">
        <v>4004</v>
      </c>
      <c r="B67" t="s">
        <v>2859</v>
      </c>
      <c r="C67" t="s">
        <v>2860</v>
      </c>
      <c r="D67" t="s">
        <v>4027</v>
      </c>
      <c r="E67" t="s">
        <v>4011</v>
      </c>
      <c r="F67" t="s">
        <v>25</v>
      </c>
      <c r="G67" s="1">
        <v>46232</v>
      </c>
      <c r="H67" s="1">
        <v>46234</v>
      </c>
      <c r="I67" s="2"/>
      <c r="J67" s="2"/>
      <c r="L67" t="s">
        <v>4006</v>
      </c>
      <c r="M67" s="1"/>
      <c r="O67" t="s">
        <v>4007</v>
      </c>
      <c r="P67" s="1"/>
      <c r="Q67" s="1"/>
      <c r="S67" s="2">
        <f>CONSOLIDADO_2026[[#This Row],[Hora final]]-CONSOLIDADO_2026[[#This Row],[Hora inic]]</f>
        <v>0</v>
      </c>
    </row>
    <row r="68" spans="1:19" x14ac:dyDescent="0.25">
      <c r="A68" t="s">
        <v>4004</v>
      </c>
      <c r="B68">
        <v>1036132488</v>
      </c>
      <c r="C68" t="s">
        <v>150</v>
      </c>
      <c r="D68" t="s">
        <v>142</v>
      </c>
      <c r="E68" t="s">
        <v>4012</v>
      </c>
      <c r="F68" t="s">
        <v>25</v>
      </c>
      <c r="G68" s="1">
        <v>46227</v>
      </c>
      <c r="H68" s="1">
        <v>46246</v>
      </c>
      <c r="I68" s="2"/>
      <c r="J68" s="2"/>
      <c r="L68" t="s">
        <v>269</v>
      </c>
      <c r="M68" s="1"/>
      <c r="O68" t="s">
        <v>4007</v>
      </c>
      <c r="P68" s="1"/>
      <c r="Q68" s="1"/>
      <c r="S68" s="2">
        <f>CONSOLIDADO_2026[[#This Row],[Hora final]]-CONSOLIDADO_2026[[#This Row],[Hora inic]]</f>
        <v>0</v>
      </c>
    </row>
    <row r="69" spans="1:19" x14ac:dyDescent="0.25">
      <c r="A69" t="s">
        <v>4008</v>
      </c>
      <c r="B69">
        <v>1036132488</v>
      </c>
      <c r="C69" t="s">
        <v>150</v>
      </c>
      <c r="D69" t="s">
        <v>142</v>
      </c>
      <c r="E69" t="s">
        <v>4012</v>
      </c>
      <c r="F69" t="s">
        <v>25</v>
      </c>
      <c r="G69" s="1">
        <v>46227</v>
      </c>
      <c r="H69" s="1">
        <v>46246</v>
      </c>
      <c r="I69" s="2">
        <v>0.25</v>
      </c>
      <c r="J69" s="2">
        <v>0.5</v>
      </c>
      <c r="K69" t="s">
        <v>237</v>
      </c>
      <c r="L69" t="s">
        <v>238</v>
      </c>
      <c r="M69" s="1"/>
      <c r="O69" t="s">
        <v>21</v>
      </c>
      <c r="P69" s="1"/>
      <c r="Q69" s="1"/>
      <c r="S69" s="2">
        <f>CONSOLIDADO_2026[[#This Row],[Hora final]]-CONSOLIDADO_2026[[#This Row],[Hora inic]]</f>
        <v>0.25</v>
      </c>
    </row>
    <row r="70" spans="1:19" x14ac:dyDescent="0.25">
      <c r="A70" t="s">
        <v>4013</v>
      </c>
      <c r="B70">
        <v>1036132488</v>
      </c>
      <c r="C70" t="s">
        <v>141</v>
      </c>
      <c r="D70" t="s">
        <v>142</v>
      </c>
      <c r="E70" t="s">
        <v>4012</v>
      </c>
      <c r="F70" t="s">
        <v>25</v>
      </c>
      <c r="G70" s="1">
        <v>46227</v>
      </c>
      <c r="H70" s="1">
        <v>46246</v>
      </c>
      <c r="I70" s="2">
        <v>0.25</v>
      </c>
      <c r="J70" s="2">
        <v>0.58333333333333337</v>
      </c>
      <c r="K70" t="s">
        <v>219</v>
      </c>
      <c r="L70" t="s">
        <v>220</v>
      </c>
      <c r="M70" s="1"/>
      <c r="O70" t="s">
        <v>21</v>
      </c>
      <c r="P70" s="1"/>
      <c r="Q70" s="1"/>
      <c r="S70" s="2">
        <f>CONSOLIDADO_2026[[#This Row],[Hora final]]-CONSOLIDADO_2026[[#This Row],[Hora inic]]</f>
        <v>0.33333333333333337</v>
      </c>
    </row>
    <row r="71" spans="1:19" x14ac:dyDescent="0.25">
      <c r="A71" t="s">
        <v>4004</v>
      </c>
      <c r="B71">
        <v>50927877</v>
      </c>
      <c r="C71" t="s">
        <v>1655</v>
      </c>
      <c r="D71" t="s">
        <v>97</v>
      </c>
      <c r="E71" t="s">
        <v>4005</v>
      </c>
      <c r="F71" t="s">
        <v>4028</v>
      </c>
      <c r="G71" s="1">
        <v>46234</v>
      </c>
      <c r="H71" s="1">
        <v>46234</v>
      </c>
      <c r="I71" s="2"/>
      <c r="J71" s="2"/>
      <c r="L71" t="s">
        <v>4006</v>
      </c>
      <c r="M71" s="1"/>
      <c r="O71" t="s">
        <v>4007</v>
      </c>
      <c r="P71" s="1"/>
      <c r="Q71" s="1"/>
      <c r="S71" s="2">
        <f>CONSOLIDADO_2026[[#This Row],[Hora final]]-CONSOLIDADO_2026[[#This Row],[Hora inic]]</f>
        <v>0</v>
      </c>
    </row>
    <row r="72" spans="1:19" x14ac:dyDescent="0.25">
      <c r="A72" t="s">
        <v>4004</v>
      </c>
      <c r="B72">
        <v>72011169</v>
      </c>
      <c r="C72" t="s">
        <v>202</v>
      </c>
      <c r="D72" t="s">
        <v>64</v>
      </c>
      <c r="E72" t="s">
        <v>4012</v>
      </c>
      <c r="F72" t="s">
        <v>25</v>
      </c>
      <c r="G72" s="1">
        <v>46225</v>
      </c>
      <c r="H72" s="1">
        <v>46239</v>
      </c>
      <c r="I72" s="2">
        <v>0.25</v>
      </c>
      <c r="J72" s="2">
        <v>0.66666666666666663</v>
      </c>
      <c r="L72" t="s">
        <v>261</v>
      </c>
      <c r="M72" s="1"/>
      <c r="O72" t="s">
        <v>4007</v>
      </c>
      <c r="P72" s="1"/>
      <c r="Q72" s="1"/>
      <c r="S72" s="2">
        <f>CONSOLIDADO_2026[[#This Row],[Hora final]]-CONSOLIDADO_2026[[#This Row],[Hora inic]]</f>
        <v>0.41666666666666663</v>
      </c>
    </row>
    <row r="73" spans="1:19" x14ac:dyDescent="0.25">
      <c r="A73" t="s">
        <v>4008</v>
      </c>
      <c r="B73">
        <v>72011169</v>
      </c>
      <c r="C73" t="s">
        <v>202</v>
      </c>
      <c r="D73" t="s">
        <v>64</v>
      </c>
      <c r="E73" t="s">
        <v>4012</v>
      </c>
      <c r="F73" t="s">
        <v>25</v>
      </c>
      <c r="G73" s="1">
        <v>46225</v>
      </c>
      <c r="H73" s="1">
        <v>46239</v>
      </c>
      <c r="I73" s="2">
        <v>0.25</v>
      </c>
      <c r="J73" s="2">
        <v>0.58333333333333337</v>
      </c>
      <c r="K73" t="s">
        <v>198</v>
      </c>
      <c r="L73" t="s">
        <v>199</v>
      </c>
      <c r="M73" s="1"/>
      <c r="O73" t="s">
        <v>21</v>
      </c>
      <c r="P73" s="1"/>
      <c r="Q73" s="1"/>
      <c r="S73" s="2">
        <f>CONSOLIDADO_2026[[#This Row],[Hora final]]-CONSOLIDADO_2026[[#This Row],[Hora inic]]</f>
        <v>0.33333333333333337</v>
      </c>
    </row>
    <row r="74" spans="1:19" x14ac:dyDescent="0.25">
      <c r="A74" t="s">
        <v>4013</v>
      </c>
      <c r="B74">
        <v>72011169</v>
      </c>
      <c r="C74" t="s">
        <v>175</v>
      </c>
      <c r="D74" t="s">
        <v>64</v>
      </c>
      <c r="E74" t="s">
        <v>4012</v>
      </c>
      <c r="F74" t="s">
        <v>25</v>
      </c>
      <c r="G74" s="1">
        <v>46225</v>
      </c>
      <c r="H74" s="1">
        <v>46239</v>
      </c>
      <c r="I74" s="2">
        <v>0.58333333333333337</v>
      </c>
      <c r="J74" s="2">
        <v>0.875</v>
      </c>
      <c r="L74" t="s">
        <v>261</v>
      </c>
      <c r="M74" s="1"/>
      <c r="O74" t="s">
        <v>4007</v>
      </c>
      <c r="P74" s="1"/>
      <c r="Q74" s="1"/>
      <c r="S74" s="2">
        <f>CONSOLIDADO_2026[[#This Row],[Hora final]]-CONSOLIDADO_2026[[#This Row],[Hora inic]]</f>
        <v>0.29166666666666663</v>
      </c>
    </row>
    <row r="75" spans="1:19" x14ac:dyDescent="0.25">
      <c r="A75" t="s">
        <v>4004</v>
      </c>
      <c r="B75">
        <v>43558465</v>
      </c>
      <c r="C75" t="s">
        <v>103</v>
      </c>
      <c r="D75" t="s">
        <v>64</v>
      </c>
      <c r="E75" t="s">
        <v>4012</v>
      </c>
      <c r="F75" t="s">
        <v>25</v>
      </c>
      <c r="G75" s="1">
        <v>46226</v>
      </c>
      <c r="H75" s="1">
        <v>46246</v>
      </c>
      <c r="I75" s="2">
        <v>0.25</v>
      </c>
      <c r="J75" s="2">
        <v>0.66666666666666663</v>
      </c>
      <c r="L75" t="s">
        <v>261</v>
      </c>
      <c r="M75" s="1"/>
      <c r="O75" t="s">
        <v>4007</v>
      </c>
      <c r="P75" s="1"/>
      <c r="Q75" s="1"/>
      <c r="S75" s="2">
        <f>CONSOLIDADO_2026[[#This Row],[Hora final]]-CONSOLIDADO_2026[[#This Row],[Hora inic]]</f>
        <v>0.41666666666666663</v>
      </c>
    </row>
    <row r="76" spans="1:19" x14ac:dyDescent="0.25">
      <c r="A76" t="s">
        <v>4008</v>
      </c>
      <c r="B76">
        <v>43558465</v>
      </c>
      <c r="C76" t="s">
        <v>103</v>
      </c>
      <c r="D76" t="s">
        <v>64</v>
      </c>
      <c r="E76" t="s">
        <v>4012</v>
      </c>
      <c r="F76" t="s">
        <v>25</v>
      </c>
      <c r="G76" s="1">
        <v>46226</v>
      </c>
      <c r="H76" s="1">
        <v>46246</v>
      </c>
      <c r="I76" s="2">
        <v>0.25</v>
      </c>
      <c r="J76" s="2">
        <v>0.58333333333333337</v>
      </c>
      <c r="K76" t="s">
        <v>154</v>
      </c>
      <c r="L76" t="s">
        <v>155</v>
      </c>
      <c r="M76" s="1"/>
      <c r="O76" t="s">
        <v>21</v>
      </c>
      <c r="P76" s="1"/>
      <c r="Q76" s="1"/>
      <c r="S76" s="2">
        <f>CONSOLIDADO_2026[[#This Row],[Hora final]]-CONSOLIDADO_2026[[#This Row],[Hora inic]]</f>
        <v>0.33333333333333337</v>
      </c>
    </row>
    <row r="77" spans="1:19" x14ac:dyDescent="0.25">
      <c r="A77" t="s">
        <v>4013</v>
      </c>
      <c r="B77">
        <v>43558465</v>
      </c>
      <c r="C77" t="s">
        <v>103</v>
      </c>
      <c r="D77" t="s">
        <v>64</v>
      </c>
      <c r="E77" t="s">
        <v>4012</v>
      </c>
      <c r="F77" t="s">
        <v>25</v>
      </c>
      <c r="G77" s="1">
        <v>46226</v>
      </c>
      <c r="H77" s="1">
        <v>46246</v>
      </c>
      <c r="I77" s="2">
        <v>0.58333333333333337</v>
      </c>
      <c r="J77" s="2">
        <v>0.875</v>
      </c>
      <c r="L77" t="s">
        <v>261</v>
      </c>
      <c r="M77" s="1"/>
      <c r="O77" t="s">
        <v>4007</v>
      </c>
      <c r="P77" s="1"/>
      <c r="Q77" s="1"/>
      <c r="S77" s="2">
        <f>CONSOLIDADO_2026[[#This Row],[Hora final]]-CONSOLIDADO_2026[[#This Row],[Hora inic]]</f>
        <v>0.29166666666666663</v>
      </c>
    </row>
    <row r="78" spans="1:19" x14ac:dyDescent="0.25">
      <c r="A78" t="s">
        <v>4004</v>
      </c>
      <c r="B78">
        <v>1037631989</v>
      </c>
      <c r="C78" t="s">
        <v>40</v>
      </c>
      <c r="D78" t="s">
        <v>41</v>
      </c>
      <c r="E78" t="s">
        <v>4011</v>
      </c>
      <c r="F78" t="s">
        <v>25</v>
      </c>
      <c r="G78" s="1">
        <v>46226</v>
      </c>
      <c r="H78" s="1">
        <v>46255</v>
      </c>
      <c r="I78" s="2">
        <v>0.25</v>
      </c>
      <c r="J78" s="2">
        <v>0.66666666666666663</v>
      </c>
      <c r="L78" t="s">
        <v>261</v>
      </c>
      <c r="M78" s="1"/>
      <c r="O78" t="s">
        <v>4007</v>
      </c>
      <c r="P78" s="1"/>
      <c r="Q78" s="1"/>
      <c r="S78" s="2">
        <f>CONSOLIDADO_2026[[#This Row],[Hora final]]-CONSOLIDADO_2026[[#This Row],[Hora inic]]</f>
        <v>0.41666666666666663</v>
      </c>
    </row>
    <row r="79" spans="1:19" x14ac:dyDescent="0.25">
      <c r="A79" t="s">
        <v>4008</v>
      </c>
      <c r="B79">
        <v>1037631989</v>
      </c>
      <c r="C79" t="s">
        <v>40</v>
      </c>
      <c r="D79" t="s">
        <v>41</v>
      </c>
      <c r="E79" t="s">
        <v>4011</v>
      </c>
      <c r="F79" t="s">
        <v>25</v>
      </c>
      <c r="G79" s="1">
        <v>46226</v>
      </c>
      <c r="H79" s="1">
        <v>46255</v>
      </c>
      <c r="I79" s="2">
        <v>0.25</v>
      </c>
      <c r="J79" s="2">
        <v>0.54166666666666663</v>
      </c>
      <c r="K79" t="s">
        <v>171</v>
      </c>
      <c r="L79" t="s">
        <v>172</v>
      </c>
      <c r="M79" s="1"/>
      <c r="O79" t="s">
        <v>21</v>
      </c>
      <c r="P79" s="1"/>
      <c r="Q79" s="1"/>
      <c r="S79" s="2">
        <f>CONSOLIDADO_2026[[#This Row],[Hora final]]-CONSOLIDADO_2026[[#This Row],[Hora inic]]</f>
        <v>0.29166666666666663</v>
      </c>
    </row>
    <row r="80" spans="1:19" x14ac:dyDescent="0.25">
      <c r="A80" t="s">
        <v>4013</v>
      </c>
      <c r="B80">
        <v>1037631989</v>
      </c>
      <c r="C80" t="s">
        <v>40</v>
      </c>
      <c r="D80" t="s">
        <v>41</v>
      </c>
      <c r="E80" t="s">
        <v>4011</v>
      </c>
      <c r="F80" t="s">
        <v>25</v>
      </c>
      <c r="G80" s="1">
        <v>46226</v>
      </c>
      <c r="H80" s="1">
        <v>46255</v>
      </c>
      <c r="I80" s="2">
        <v>0.25</v>
      </c>
      <c r="J80" s="2">
        <v>0.54166666666666663</v>
      </c>
      <c r="K80" t="s">
        <v>58</v>
      </c>
      <c r="L80" t="s">
        <v>59</v>
      </c>
      <c r="M80" s="1"/>
      <c r="O80" t="s">
        <v>21</v>
      </c>
      <c r="P80" s="1"/>
      <c r="Q80" s="1"/>
      <c r="S80" s="2">
        <f>CONSOLIDADO_2026[[#This Row],[Hora final]]-CONSOLIDADO_2026[[#This Row],[Hora inic]]</f>
        <v>0.29166666666666663</v>
      </c>
    </row>
    <row r="81" spans="1:19" x14ac:dyDescent="0.25">
      <c r="A81" t="s">
        <v>4004</v>
      </c>
      <c r="B81">
        <v>1143412273</v>
      </c>
      <c r="C81" t="s">
        <v>183</v>
      </c>
      <c r="D81" t="s">
        <v>57</v>
      </c>
      <c r="E81" t="s">
        <v>4010</v>
      </c>
      <c r="F81" t="s">
        <v>30</v>
      </c>
      <c r="G81" s="1">
        <v>46227</v>
      </c>
      <c r="H81" s="1">
        <v>46237</v>
      </c>
      <c r="I81" s="2"/>
      <c r="J81" s="2"/>
      <c r="L81" t="s">
        <v>269</v>
      </c>
      <c r="M81" s="1"/>
      <c r="O81" t="s">
        <v>4007</v>
      </c>
      <c r="P81" s="1"/>
      <c r="Q81" s="1"/>
      <c r="S81" s="2">
        <f>CONSOLIDADO_2026[[#This Row],[Hora final]]-CONSOLIDADO_2026[[#This Row],[Hora inic]]</f>
        <v>0</v>
      </c>
    </row>
    <row r="82" spans="1:19" x14ac:dyDescent="0.25">
      <c r="A82" t="s">
        <v>4004</v>
      </c>
      <c r="B82">
        <v>42141273</v>
      </c>
      <c r="C82" t="s">
        <v>210</v>
      </c>
      <c r="D82" t="s">
        <v>211</v>
      </c>
      <c r="E82" t="s">
        <v>4017</v>
      </c>
      <c r="F82" t="s">
        <v>25</v>
      </c>
      <c r="G82" s="1">
        <v>46224</v>
      </c>
      <c r="H82" s="1">
        <v>46238</v>
      </c>
      <c r="I82" s="2"/>
      <c r="J82" s="2"/>
      <c r="L82" t="s">
        <v>269</v>
      </c>
      <c r="M82" s="1"/>
      <c r="O82" t="s">
        <v>4007</v>
      </c>
      <c r="P82" s="1"/>
      <c r="Q82" s="1"/>
      <c r="S82" s="2">
        <f>CONSOLIDADO_2026[[#This Row],[Hora final]]-CONSOLIDADO_2026[[#This Row],[Hora inic]]</f>
        <v>0</v>
      </c>
    </row>
    <row r="83" spans="1:19" x14ac:dyDescent="0.25">
      <c r="A83" t="s">
        <v>4008</v>
      </c>
      <c r="B83">
        <v>42141273</v>
      </c>
      <c r="C83" t="s">
        <v>210</v>
      </c>
      <c r="D83" t="s">
        <v>211</v>
      </c>
      <c r="E83" t="s">
        <v>4017</v>
      </c>
      <c r="F83" t="s">
        <v>25</v>
      </c>
      <c r="G83" s="1">
        <v>46224</v>
      </c>
      <c r="H83" s="1">
        <v>46238</v>
      </c>
      <c r="I83" s="2">
        <v>0.25</v>
      </c>
      <c r="J83" s="2">
        <v>0.5</v>
      </c>
      <c r="K83" t="s">
        <v>212</v>
      </c>
      <c r="L83" t="s">
        <v>213</v>
      </c>
      <c r="M83" s="1"/>
      <c r="O83" t="s">
        <v>21</v>
      </c>
      <c r="P83" s="1"/>
      <c r="Q83" s="1"/>
      <c r="S83" s="2">
        <f>CONSOLIDADO_2026[[#This Row],[Hora final]]-CONSOLIDADO_2026[[#This Row],[Hora inic]]</f>
        <v>0.25</v>
      </c>
    </row>
    <row r="84" spans="1:19" x14ac:dyDescent="0.25">
      <c r="A84" t="s">
        <v>4013</v>
      </c>
      <c r="B84">
        <v>42141273</v>
      </c>
      <c r="C84" t="s">
        <v>210</v>
      </c>
      <c r="D84" t="s">
        <v>211</v>
      </c>
      <c r="E84" t="s">
        <v>4017</v>
      </c>
      <c r="F84" t="s">
        <v>4029</v>
      </c>
      <c r="G84" s="1">
        <v>46224</v>
      </c>
      <c r="H84" s="1">
        <v>46238</v>
      </c>
      <c r="I84" s="2"/>
      <c r="J84" s="2"/>
      <c r="L84" t="s">
        <v>4006</v>
      </c>
      <c r="M84" s="1"/>
      <c r="O84" t="s">
        <v>4007</v>
      </c>
      <c r="P84" s="1"/>
      <c r="Q84" s="1"/>
      <c r="S84" s="2">
        <f>CONSOLIDADO_2026[[#This Row],[Hora final]]-CONSOLIDADO_2026[[#This Row],[Hora inic]]</f>
        <v>0</v>
      </c>
    </row>
    <row r="85" spans="1:19" x14ac:dyDescent="0.25">
      <c r="A85" t="s">
        <v>4004</v>
      </c>
      <c r="B85">
        <v>1043006106</v>
      </c>
      <c r="C85" t="s">
        <v>194</v>
      </c>
      <c r="D85" t="s">
        <v>160</v>
      </c>
      <c r="E85" t="s">
        <v>4011</v>
      </c>
      <c r="F85" t="s">
        <v>25</v>
      </c>
      <c r="G85" s="1">
        <v>46219</v>
      </c>
      <c r="H85" s="1">
        <v>46248</v>
      </c>
      <c r="I85" s="2">
        <v>0.25</v>
      </c>
      <c r="J85" s="2">
        <v>0.66666666666666663</v>
      </c>
      <c r="K85" t="s">
        <v>191</v>
      </c>
      <c r="L85" t="s">
        <v>192</v>
      </c>
      <c r="M85" s="1"/>
      <c r="O85" t="s">
        <v>21</v>
      </c>
      <c r="P85" s="1"/>
      <c r="Q85" s="1"/>
      <c r="S85" s="2">
        <f>CONSOLIDADO_2026[[#This Row],[Hora final]]-CONSOLIDADO_2026[[#This Row],[Hora inic]]</f>
        <v>0.41666666666666663</v>
      </c>
    </row>
    <row r="86" spans="1:19" x14ac:dyDescent="0.25">
      <c r="A86" t="s">
        <v>4008</v>
      </c>
      <c r="B86">
        <v>1043006106</v>
      </c>
      <c r="C86" t="s">
        <v>194</v>
      </c>
      <c r="D86" t="s">
        <v>160</v>
      </c>
      <c r="E86" t="s">
        <v>4011</v>
      </c>
      <c r="F86" t="s">
        <v>25</v>
      </c>
      <c r="G86" s="1">
        <v>46219</v>
      </c>
      <c r="H86" s="1">
        <v>46248</v>
      </c>
      <c r="I86" s="2">
        <v>0.25</v>
      </c>
      <c r="J86" s="2">
        <v>0.54166666666666663</v>
      </c>
      <c r="K86" t="s">
        <v>191</v>
      </c>
      <c r="L86" t="s">
        <v>192</v>
      </c>
      <c r="M86" s="1"/>
      <c r="O86" t="s">
        <v>21</v>
      </c>
      <c r="P86" s="1"/>
      <c r="Q86" s="1"/>
      <c r="S86" s="2">
        <f>CONSOLIDADO_2026[[#This Row],[Hora final]]-CONSOLIDADO_2026[[#This Row],[Hora inic]]</f>
        <v>0.29166666666666663</v>
      </c>
    </row>
    <row r="87" spans="1:19" x14ac:dyDescent="0.25">
      <c r="A87" t="s">
        <v>4013</v>
      </c>
      <c r="B87">
        <v>1043006106</v>
      </c>
      <c r="C87" t="s">
        <v>159</v>
      </c>
      <c r="D87" t="s">
        <v>160</v>
      </c>
      <c r="E87" t="s">
        <v>4011</v>
      </c>
      <c r="F87" t="s">
        <v>25</v>
      </c>
      <c r="G87" s="1">
        <v>46219</v>
      </c>
      <c r="H87" s="1">
        <v>46248</v>
      </c>
      <c r="I87" s="2">
        <v>0.25</v>
      </c>
      <c r="J87" s="2">
        <v>0.58333333333333337</v>
      </c>
      <c r="L87" t="s">
        <v>261</v>
      </c>
      <c r="M87" s="1"/>
      <c r="O87" t="s">
        <v>4007</v>
      </c>
      <c r="P87" s="1"/>
      <c r="Q87" s="1"/>
      <c r="S87" s="2">
        <f>CONSOLIDADO_2026[[#This Row],[Hora final]]-CONSOLIDADO_2026[[#This Row],[Hora inic]]</f>
        <v>0.33333333333333337</v>
      </c>
    </row>
    <row r="88" spans="1:19" x14ac:dyDescent="0.25">
      <c r="A88" t="s">
        <v>4004</v>
      </c>
      <c r="B88">
        <v>1045022397</v>
      </c>
      <c r="C88" t="s">
        <v>4030</v>
      </c>
      <c r="D88" t="s">
        <v>553</v>
      </c>
      <c r="E88" t="s">
        <v>4010</v>
      </c>
      <c r="F88" t="s">
        <v>4015</v>
      </c>
      <c r="G88" s="1">
        <v>46232</v>
      </c>
      <c r="H88" s="1">
        <v>46234</v>
      </c>
      <c r="I88" s="2"/>
      <c r="J88" s="2"/>
      <c r="L88" t="s">
        <v>4006</v>
      </c>
      <c r="M88" s="1"/>
      <c r="O88" t="s">
        <v>4007</v>
      </c>
      <c r="P88" s="1"/>
      <c r="Q88" s="1"/>
      <c r="S88" s="2">
        <f>CONSOLIDADO_2026[[#This Row],[Hora final]]-CONSOLIDADO_2026[[#This Row],[Hora inic]]</f>
        <v>0</v>
      </c>
    </row>
    <row r="89" spans="1:19" x14ac:dyDescent="0.25">
      <c r="A89" t="s">
        <v>4004</v>
      </c>
      <c r="B89">
        <v>1037638426</v>
      </c>
      <c r="C89" t="s">
        <v>44</v>
      </c>
      <c r="D89" t="s">
        <v>41</v>
      </c>
      <c r="E89" t="s">
        <v>4011</v>
      </c>
      <c r="F89" t="s">
        <v>30</v>
      </c>
      <c r="G89" s="1">
        <v>46230</v>
      </c>
      <c r="H89" s="1">
        <v>46262</v>
      </c>
      <c r="I89" s="2">
        <v>0.25</v>
      </c>
      <c r="J89" s="2">
        <v>0.66666666666666663</v>
      </c>
      <c r="K89" t="s">
        <v>73</v>
      </c>
      <c r="L89" t="s">
        <v>74</v>
      </c>
      <c r="M89" s="1"/>
      <c r="O89" t="s">
        <v>21</v>
      </c>
      <c r="P89" s="1"/>
      <c r="Q89" s="1"/>
      <c r="S89" s="2">
        <f>CONSOLIDADO_2026[[#This Row],[Hora final]]-CONSOLIDADO_2026[[#This Row],[Hora inic]]</f>
        <v>0.41666666666666663</v>
      </c>
    </row>
    <row r="90" spans="1:19" x14ac:dyDescent="0.25">
      <c r="A90" t="s">
        <v>4008</v>
      </c>
      <c r="B90">
        <v>1037638426</v>
      </c>
      <c r="C90" t="s">
        <v>44</v>
      </c>
      <c r="D90" t="s">
        <v>41</v>
      </c>
      <c r="E90" t="s">
        <v>4011</v>
      </c>
      <c r="F90" t="s">
        <v>30</v>
      </c>
      <c r="G90" s="1">
        <v>46230</v>
      </c>
      <c r="H90" s="1">
        <v>46262</v>
      </c>
      <c r="I90" s="2">
        <v>0.58333333333333337</v>
      </c>
      <c r="J90" s="2">
        <v>0.875</v>
      </c>
      <c r="K90" t="s">
        <v>69</v>
      </c>
      <c r="L90" t="s">
        <v>70</v>
      </c>
      <c r="M90" s="1"/>
      <c r="O90" t="s">
        <v>21</v>
      </c>
      <c r="P90" s="1"/>
      <c r="Q90" s="1"/>
      <c r="S90" s="2">
        <f>CONSOLIDADO_2026[[#This Row],[Hora final]]-CONSOLIDADO_2026[[#This Row],[Hora inic]]</f>
        <v>0.29166666666666663</v>
      </c>
    </row>
    <row r="91" spans="1:19" x14ac:dyDescent="0.25">
      <c r="A91" t="s">
        <v>4013</v>
      </c>
      <c r="B91">
        <v>1037638426</v>
      </c>
      <c r="C91" t="s">
        <v>72</v>
      </c>
      <c r="D91" t="s">
        <v>41</v>
      </c>
      <c r="E91" t="s">
        <v>4011</v>
      </c>
      <c r="F91" t="s">
        <v>30</v>
      </c>
      <c r="G91" s="1">
        <v>46230</v>
      </c>
      <c r="H91" s="1">
        <v>46262</v>
      </c>
      <c r="I91" s="2">
        <v>0.54166666666666663</v>
      </c>
      <c r="J91" s="2">
        <v>0.875</v>
      </c>
      <c r="K91" t="s">
        <v>69</v>
      </c>
      <c r="L91" t="s">
        <v>70</v>
      </c>
      <c r="M91" s="1"/>
      <c r="O91" t="s">
        <v>21</v>
      </c>
      <c r="P91" s="1"/>
      <c r="Q91" s="1"/>
      <c r="S91" s="2">
        <f>CONSOLIDADO_2026[[#This Row],[Hora final]]-CONSOLIDADO_2026[[#This Row],[Hora inic]]</f>
        <v>0.33333333333333337</v>
      </c>
    </row>
    <row r="92" spans="1:19" x14ac:dyDescent="0.25">
      <c r="A92" t="s">
        <v>4004</v>
      </c>
      <c r="B92">
        <v>1035876080</v>
      </c>
      <c r="C92" t="s">
        <v>120</v>
      </c>
      <c r="D92" t="s">
        <v>121</v>
      </c>
      <c r="E92" t="s">
        <v>4010</v>
      </c>
      <c r="F92" t="s">
        <v>25</v>
      </c>
      <c r="G92" s="1">
        <v>46224</v>
      </c>
      <c r="H92" s="1">
        <v>46238</v>
      </c>
      <c r="I92" s="2">
        <v>0.25</v>
      </c>
      <c r="J92" s="2">
        <v>0.66666666666666663</v>
      </c>
      <c r="L92" t="s">
        <v>261</v>
      </c>
      <c r="M92" s="1"/>
      <c r="O92" t="s">
        <v>4007</v>
      </c>
      <c r="P92" s="1"/>
      <c r="Q92" s="1"/>
      <c r="S92" s="2">
        <f>CONSOLIDADO_2026[[#This Row],[Hora final]]-CONSOLIDADO_2026[[#This Row],[Hora inic]]</f>
        <v>0.41666666666666663</v>
      </c>
    </row>
    <row r="93" spans="1:19" x14ac:dyDescent="0.25">
      <c r="A93" t="s">
        <v>4008</v>
      </c>
      <c r="B93">
        <v>1035876080</v>
      </c>
      <c r="C93" t="s">
        <v>120</v>
      </c>
      <c r="D93" t="s">
        <v>121</v>
      </c>
      <c r="E93" t="s">
        <v>4010</v>
      </c>
      <c r="F93" t="s">
        <v>25</v>
      </c>
      <c r="G93" s="1">
        <v>46224</v>
      </c>
      <c r="H93" s="1">
        <v>46238</v>
      </c>
      <c r="I93" s="2">
        <v>0.25</v>
      </c>
      <c r="J93" s="2">
        <v>0.58333333333333337</v>
      </c>
      <c r="K93" t="s">
        <v>219</v>
      </c>
      <c r="L93" t="s">
        <v>220</v>
      </c>
      <c r="M93" s="1"/>
      <c r="O93" t="s">
        <v>21</v>
      </c>
      <c r="P93" s="1"/>
      <c r="Q93" s="1"/>
      <c r="S93" s="2">
        <f>CONSOLIDADO_2026[[#This Row],[Hora final]]-CONSOLIDADO_2026[[#This Row],[Hora inic]]</f>
        <v>0.33333333333333337</v>
      </c>
    </row>
    <row r="94" spans="1:19" x14ac:dyDescent="0.25">
      <c r="A94" t="s">
        <v>4013</v>
      </c>
      <c r="B94">
        <v>1035876080</v>
      </c>
      <c r="C94" t="s">
        <v>120</v>
      </c>
      <c r="D94" t="s">
        <v>121</v>
      </c>
      <c r="E94" t="s">
        <v>4010</v>
      </c>
      <c r="F94" t="s">
        <v>25</v>
      </c>
      <c r="G94" s="1">
        <v>46224</v>
      </c>
      <c r="H94" s="1">
        <v>46238</v>
      </c>
      <c r="I94" s="2"/>
      <c r="J94" s="2"/>
      <c r="L94" t="s">
        <v>4006</v>
      </c>
      <c r="M94" s="1"/>
      <c r="O94" t="s">
        <v>4007</v>
      </c>
      <c r="P94" s="1"/>
      <c r="Q94" s="1"/>
      <c r="S94" s="2">
        <f>CONSOLIDADO_2026[[#This Row],[Hora final]]-CONSOLIDADO_2026[[#This Row],[Hora inic]]</f>
        <v>0</v>
      </c>
    </row>
    <row r="95" spans="1:19" x14ac:dyDescent="0.25">
      <c r="A95" t="s">
        <v>4004</v>
      </c>
      <c r="B95">
        <v>1121506548</v>
      </c>
      <c r="C95" t="s">
        <v>50</v>
      </c>
      <c r="D95" t="s">
        <v>51</v>
      </c>
      <c r="E95" t="s">
        <v>4011</v>
      </c>
      <c r="F95" t="s">
        <v>16</v>
      </c>
      <c r="G95" s="1">
        <v>46217</v>
      </c>
      <c r="H95" s="1">
        <v>46342</v>
      </c>
      <c r="I95" s="2">
        <v>0.25</v>
      </c>
      <c r="J95" s="2">
        <v>0.66666666666666663</v>
      </c>
      <c r="K95" t="s">
        <v>69</v>
      </c>
      <c r="L95" t="s">
        <v>70</v>
      </c>
      <c r="M95" s="1"/>
      <c r="O95" t="s">
        <v>21</v>
      </c>
      <c r="P95" s="1"/>
      <c r="Q95" s="1"/>
      <c r="S95" s="2">
        <f>CONSOLIDADO_2026[[#This Row],[Hora final]]-CONSOLIDADO_2026[[#This Row],[Hora inic]]</f>
        <v>0.41666666666666663</v>
      </c>
    </row>
    <row r="96" spans="1:19" x14ac:dyDescent="0.25">
      <c r="A96" t="s">
        <v>4008</v>
      </c>
      <c r="B96">
        <v>1121506548</v>
      </c>
      <c r="C96" t="s">
        <v>50</v>
      </c>
      <c r="D96" t="s">
        <v>51</v>
      </c>
      <c r="E96" t="s">
        <v>4011</v>
      </c>
      <c r="F96" t="s">
        <v>16</v>
      </c>
      <c r="G96" s="1">
        <v>46217</v>
      </c>
      <c r="H96" s="1">
        <v>46342</v>
      </c>
      <c r="I96" s="2">
        <v>0.25</v>
      </c>
      <c r="J96" s="2">
        <v>0.54166666666666663</v>
      </c>
      <c r="K96" t="s">
        <v>98</v>
      </c>
      <c r="L96" t="s">
        <v>99</v>
      </c>
      <c r="M96" s="1"/>
      <c r="O96" t="s">
        <v>21</v>
      </c>
      <c r="P96" s="1"/>
      <c r="Q96" s="1"/>
      <c r="S96" s="2">
        <f>CONSOLIDADO_2026[[#This Row],[Hora final]]-CONSOLIDADO_2026[[#This Row],[Hora inic]]</f>
        <v>0.29166666666666663</v>
      </c>
    </row>
    <row r="97" spans="1:19" x14ac:dyDescent="0.25">
      <c r="A97" t="s">
        <v>4013</v>
      </c>
      <c r="B97">
        <v>1121506548</v>
      </c>
      <c r="C97" t="s">
        <v>50</v>
      </c>
      <c r="D97" t="s">
        <v>51</v>
      </c>
      <c r="E97" t="s">
        <v>4011</v>
      </c>
      <c r="F97" t="s">
        <v>16</v>
      </c>
      <c r="G97" s="1">
        <v>46217</v>
      </c>
      <c r="H97" s="1">
        <v>46342</v>
      </c>
      <c r="I97" s="2">
        <v>0.25</v>
      </c>
      <c r="J97" s="2">
        <v>0.58333333333333337</v>
      </c>
      <c r="K97" t="s">
        <v>247</v>
      </c>
      <c r="L97" t="s">
        <v>248</v>
      </c>
      <c r="M97" s="1"/>
      <c r="O97" t="s">
        <v>21</v>
      </c>
      <c r="P97" s="1"/>
      <c r="Q97" s="1"/>
      <c r="S97" s="2">
        <f>CONSOLIDADO_2026[[#This Row],[Hora final]]-CONSOLIDADO_2026[[#This Row],[Hora inic]]</f>
        <v>0.33333333333333337</v>
      </c>
    </row>
    <row r="98" spans="1:19" x14ac:dyDescent="0.25">
      <c r="A98" t="s">
        <v>4004</v>
      </c>
      <c r="B98" t="s">
        <v>182</v>
      </c>
      <c r="C98" t="s">
        <v>183</v>
      </c>
      <c r="D98" t="s">
        <v>51</v>
      </c>
      <c r="E98" t="s">
        <v>4011</v>
      </c>
      <c r="F98" t="s">
        <v>30</v>
      </c>
      <c r="G98" s="1">
        <v>46227</v>
      </c>
      <c r="H98" s="1">
        <v>46237</v>
      </c>
      <c r="I98" s="2"/>
      <c r="J98" s="2"/>
      <c r="L98" t="s">
        <v>269</v>
      </c>
      <c r="M98" s="1"/>
      <c r="O98" t="s">
        <v>4007</v>
      </c>
      <c r="P98" s="1"/>
      <c r="Q98" s="1"/>
      <c r="S98" s="2">
        <f>CONSOLIDADO_2026[[#This Row],[Hora final]]-CONSOLIDADO_2026[[#This Row],[Hora inic]]</f>
        <v>0</v>
      </c>
    </row>
    <row r="99" spans="1:19" x14ac:dyDescent="0.25">
      <c r="A99" t="s">
        <v>4008</v>
      </c>
      <c r="B99" t="s">
        <v>182</v>
      </c>
      <c r="C99" t="s">
        <v>183</v>
      </c>
      <c r="D99" t="s">
        <v>51</v>
      </c>
      <c r="E99" t="s">
        <v>4011</v>
      </c>
      <c r="F99" t="s">
        <v>30</v>
      </c>
      <c r="G99" s="1">
        <v>46227</v>
      </c>
      <c r="H99" s="1">
        <v>46237</v>
      </c>
      <c r="I99" s="2">
        <v>0.54166666666666663</v>
      </c>
      <c r="J99" s="2">
        <v>0.875</v>
      </c>
      <c r="K99" t="s">
        <v>178</v>
      </c>
      <c r="L99" t="s">
        <v>179</v>
      </c>
      <c r="M99" s="1"/>
      <c r="O99" t="s">
        <v>21</v>
      </c>
      <c r="P99" s="1"/>
      <c r="Q99" s="1"/>
      <c r="S99" s="2">
        <f>CONSOLIDADO_2026[[#This Row],[Hora final]]-CONSOLIDADO_2026[[#This Row],[Hora inic]]</f>
        <v>0.33333333333333337</v>
      </c>
    </row>
    <row r="100" spans="1:19" x14ac:dyDescent="0.25">
      <c r="A100" t="s">
        <v>4016</v>
      </c>
      <c r="B100" t="s">
        <v>182</v>
      </c>
      <c r="C100" t="s">
        <v>183</v>
      </c>
      <c r="D100" t="s">
        <v>51</v>
      </c>
      <c r="E100" t="s">
        <v>4011</v>
      </c>
      <c r="F100" t="s">
        <v>30</v>
      </c>
      <c r="G100" s="1">
        <v>46227</v>
      </c>
      <c r="H100" s="1">
        <v>46237</v>
      </c>
      <c r="I100" s="2"/>
      <c r="J100" s="2"/>
      <c r="L100" t="s">
        <v>4006</v>
      </c>
      <c r="M100" s="1"/>
      <c r="O100" t="s">
        <v>4007</v>
      </c>
      <c r="P100" s="1"/>
      <c r="Q100" s="1"/>
      <c r="S100" s="2">
        <f>CONSOLIDADO_2026[[#This Row],[Hora final]]-CONSOLIDADO_2026[[#This Row],[Hora inic]]</f>
        <v>0</v>
      </c>
    </row>
    <row r="101" spans="1:19" x14ac:dyDescent="0.25">
      <c r="A101" t="s">
        <v>4004</v>
      </c>
      <c r="B101">
        <v>22519737</v>
      </c>
      <c r="C101" t="s">
        <v>4031</v>
      </c>
      <c r="D101" t="s">
        <v>142</v>
      </c>
      <c r="E101" t="s">
        <v>4012</v>
      </c>
      <c r="F101" t="s">
        <v>4032</v>
      </c>
      <c r="G101" s="1">
        <v>46231</v>
      </c>
      <c r="H101" s="1">
        <v>46234</v>
      </c>
      <c r="I101" s="2"/>
      <c r="J101" s="2"/>
      <c r="L101" t="s">
        <v>4006</v>
      </c>
      <c r="M101" s="1"/>
      <c r="O101" t="s">
        <v>4007</v>
      </c>
      <c r="P101" s="1"/>
      <c r="Q101" s="1"/>
      <c r="S101" s="2">
        <f>CONSOLIDADO_2026[[#This Row],[Hora final]]-CONSOLIDADO_2026[[#This Row],[Hora inic]]</f>
        <v>0</v>
      </c>
    </row>
    <row r="102" spans="1:19" x14ac:dyDescent="0.25">
      <c r="A102" t="s">
        <v>4004</v>
      </c>
      <c r="B102">
        <v>1037653415</v>
      </c>
      <c r="C102" t="s">
        <v>2286</v>
      </c>
      <c r="D102" t="s">
        <v>4027</v>
      </c>
      <c r="E102" t="s">
        <v>4011</v>
      </c>
      <c r="F102" t="s">
        <v>4033</v>
      </c>
      <c r="G102" s="1">
        <v>46234</v>
      </c>
      <c r="H102" s="1">
        <v>46234</v>
      </c>
      <c r="I102" s="2"/>
      <c r="J102" s="2"/>
      <c r="L102" t="s">
        <v>4006</v>
      </c>
      <c r="M102" s="1"/>
      <c r="O102" t="s">
        <v>4007</v>
      </c>
      <c r="P102" s="1"/>
      <c r="Q102" s="1"/>
      <c r="S102" s="2">
        <f>CONSOLIDADO_2026[[#This Row],[Hora final]]-CONSOLIDADO_2026[[#This Row],[Hora inic]]</f>
        <v>0</v>
      </c>
    </row>
    <row r="103" spans="1:19" x14ac:dyDescent="0.25">
      <c r="A103" t="s">
        <v>4004</v>
      </c>
      <c r="B103">
        <v>1143460426</v>
      </c>
      <c r="C103" t="s">
        <v>4034</v>
      </c>
      <c r="D103" t="s">
        <v>160</v>
      </c>
      <c r="E103" t="s">
        <v>4011</v>
      </c>
      <c r="F103" t="s">
        <v>4015</v>
      </c>
      <c r="G103" s="1">
        <v>46195</v>
      </c>
      <c r="H103" s="1">
        <v>46198</v>
      </c>
      <c r="I103" s="2"/>
      <c r="J103" s="2"/>
      <c r="L103" t="s">
        <v>269</v>
      </c>
      <c r="M103" s="1"/>
      <c r="O103" t="s">
        <v>4007</v>
      </c>
      <c r="P103" s="1"/>
      <c r="Q103" s="1"/>
      <c r="S103" s="2">
        <f>CONSOLIDADO_2026[[#This Row],[Hora final]]-CONSOLIDADO_2026[[#This Row],[Hora inic]]</f>
        <v>0</v>
      </c>
    </row>
    <row r="104" spans="1:19" x14ac:dyDescent="0.25">
      <c r="A104" t="s">
        <v>4008</v>
      </c>
      <c r="B104">
        <v>1143460426</v>
      </c>
      <c r="C104" t="s">
        <v>4034</v>
      </c>
      <c r="D104" t="s">
        <v>160</v>
      </c>
      <c r="E104" t="s">
        <v>4011</v>
      </c>
      <c r="F104" t="s">
        <v>4015</v>
      </c>
      <c r="G104" s="1">
        <v>46195</v>
      </c>
      <c r="H104" s="1">
        <v>46198</v>
      </c>
      <c r="I104" s="2">
        <v>0.25</v>
      </c>
      <c r="J104" s="2">
        <v>0.58333333333333337</v>
      </c>
      <c r="K104" t="s">
        <v>206</v>
      </c>
      <c r="L104" t="s">
        <v>207</v>
      </c>
      <c r="M104" s="1"/>
      <c r="O104" t="s">
        <v>21</v>
      </c>
      <c r="P104" s="1"/>
      <c r="Q104" s="1"/>
      <c r="S104" s="2">
        <f>CONSOLIDADO_2026[[#This Row],[Hora final]]-CONSOLIDADO_2026[[#This Row],[Hora inic]]</f>
        <v>0.33333333333333337</v>
      </c>
    </row>
    <row r="105" spans="1:19" x14ac:dyDescent="0.25">
      <c r="A105" t="s">
        <v>4013</v>
      </c>
      <c r="B105">
        <v>1143460426</v>
      </c>
      <c r="C105" t="s">
        <v>4034</v>
      </c>
      <c r="D105" t="s">
        <v>160</v>
      </c>
      <c r="E105" t="s">
        <v>4011</v>
      </c>
      <c r="F105" t="s">
        <v>4015</v>
      </c>
      <c r="G105" s="1">
        <v>46195</v>
      </c>
      <c r="H105" s="1">
        <v>46198</v>
      </c>
      <c r="I105" s="2">
        <v>0.25</v>
      </c>
      <c r="J105" s="2">
        <v>0.54166666666666663</v>
      </c>
      <c r="K105" t="s">
        <v>191</v>
      </c>
      <c r="L105" t="s">
        <v>192</v>
      </c>
      <c r="M105" s="1"/>
      <c r="O105" t="s">
        <v>21</v>
      </c>
      <c r="P105" s="1"/>
      <c r="Q105" s="1"/>
      <c r="S105" s="2">
        <f>CONSOLIDADO_2026[[#This Row],[Hora final]]-CONSOLIDADO_2026[[#This Row],[Hora inic]]</f>
        <v>0.29166666666666663</v>
      </c>
    </row>
    <row r="106" spans="1:19" x14ac:dyDescent="0.25">
      <c r="A106" t="s">
        <v>4004</v>
      </c>
      <c r="B106" t="s">
        <v>4035</v>
      </c>
      <c r="C106" t="s">
        <v>4036</v>
      </c>
      <c r="D106" t="s">
        <v>326</v>
      </c>
      <c r="E106" t="s">
        <v>4005</v>
      </c>
      <c r="F106" t="s">
        <v>4015</v>
      </c>
      <c r="G106" s="1">
        <v>46233</v>
      </c>
      <c r="H106" s="1">
        <v>46235</v>
      </c>
      <c r="I106" s="2">
        <v>0.25</v>
      </c>
      <c r="J106" s="2">
        <v>0.66666666666666663</v>
      </c>
      <c r="L106" t="s">
        <v>261</v>
      </c>
      <c r="M106" s="1"/>
      <c r="O106" t="s">
        <v>4007</v>
      </c>
      <c r="P106" s="1"/>
      <c r="Q106" s="1"/>
      <c r="S106" s="2">
        <f>CONSOLIDADO_2026[[#This Row],[Hora final]]-CONSOLIDADO_2026[[#This Row],[Hora inic]]</f>
        <v>0.41666666666666663</v>
      </c>
    </row>
    <row r="107" spans="1:19" x14ac:dyDescent="0.25">
      <c r="A107" t="s">
        <v>4008</v>
      </c>
      <c r="B107" t="s">
        <v>4035</v>
      </c>
      <c r="C107" t="s">
        <v>4036</v>
      </c>
      <c r="D107" t="s">
        <v>326</v>
      </c>
      <c r="E107" t="s">
        <v>4005</v>
      </c>
      <c r="F107" t="s">
        <v>4015</v>
      </c>
      <c r="G107" s="1">
        <v>46233</v>
      </c>
      <c r="H107" s="1">
        <v>46235</v>
      </c>
      <c r="I107" s="2"/>
      <c r="J107" s="2"/>
      <c r="L107" t="s">
        <v>4006</v>
      </c>
      <c r="M107" s="1"/>
      <c r="O107" t="s">
        <v>4007</v>
      </c>
      <c r="P107" s="1"/>
      <c r="Q107" s="1"/>
      <c r="S107" s="2">
        <f>CONSOLIDADO_2026[[#This Row],[Hora final]]-CONSOLIDADO_2026[[#This Row],[Hora inic]]</f>
        <v>0</v>
      </c>
    </row>
    <row r="108" spans="1:19" x14ac:dyDescent="0.25">
      <c r="A108" t="s">
        <v>4004</v>
      </c>
      <c r="B108">
        <v>1083048455</v>
      </c>
      <c r="C108" t="s">
        <v>2742</v>
      </c>
      <c r="D108" t="s">
        <v>326</v>
      </c>
      <c r="E108" t="s">
        <v>4005</v>
      </c>
      <c r="F108" t="s">
        <v>25</v>
      </c>
      <c r="G108" s="1">
        <v>46234</v>
      </c>
      <c r="H108" s="1">
        <v>46234</v>
      </c>
      <c r="I108" s="2"/>
      <c r="J108" s="2"/>
      <c r="L108" t="s">
        <v>4006</v>
      </c>
      <c r="M108" s="1"/>
      <c r="O108" t="s">
        <v>4007</v>
      </c>
      <c r="P108" s="1"/>
      <c r="Q108" s="1"/>
      <c r="S108" s="2">
        <f>CONSOLIDADO_2026[[#This Row],[Hora final]]-CONSOLIDADO_2026[[#This Row],[Hora inic]]</f>
        <v>0</v>
      </c>
    </row>
    <row r="109" spans="1:19" x14ac:dyDescent="0.25">
      <c r="A109" t="s">
        <v>4004</v>
      </c>
      <c r="B109">
        <v>1152221372</v>
      </c>
      <c r="C109" t="s">
        <v>2313</v>
      </c>
      <c r="D109" t="s">
        <v>128</v>
      </c>
      <c r="E109" t="s">
        <v>4005</v>
      </c>
      <c r="F109" t="s">
        <v>4037</v>
      </c>
      <c r="G109" s="1">
        <v>46230</v>
      </c>
      <c r="H109" s="1"/>
      <c r="I109" s="2">
        <v>0.25</v>
      </c>
      <c r="J109" s="2">
        <v>0.66666666666666663</v>
      </c>
      <c r="L109" t="s">
        <v>261</v>
      </c>
      <c r="M109" s="1"/>
      <c r="O109" t="s">
        <v>4007</v>
      </c>
      <c r="P109" s="1"/>
      <c r="Q109" s="1"/>
      <c r="S109" s="2">
        <f>CONSOLIDADO_2026[[#This Row],[Hora final]]-CONSOLIDADO_2026[[#This Row],[Hora inic]]</f>
        <v>0.41666666666666663</v>
      </c>
    </row>
    <row r="110" spans="1:19" x14ac:dyDescent="0.25">
      <c r="A110" t="s">
        <v>4008</v>
      </c>
      <c r="B110">
        <v>1152221372</v>
      </c>
      <c r="C110" t="s">
        <v>2313</v>
      </c>
      <c r="D110" t="s">
        <v>128</v>
      </c>
      <c r="E110" t="s">
        <v>4005</v>
      </c>
      <c r="F110" t="s">
        <v>4037</v>
      </c>
      <c r="G110" s="1">
        <v>46230</v>
      </c>
      <c r="H110" s="1"/>
      <c r="I110" s="2">
        <v>0.25</v>
      </c>
      <c r="J110" s="2">
        <v>0.58333333333333337</v>
      </c>
      <c r="K110" t="s">
        <v>203</v>
      </c>
      <c r="L110" t="s">
        <v>204</v>
      </c>
      <c r="M110" s="1"/>
      <c r="O110" t="s">
        <v>21</v>
      </c>
      <c r="P110" s="1"/>
      <c r="Q110" s="1"/>
      <c r="S110" s="2">
        <f>CONSOLIDADO_2026[[#This Row],[Hora final]]-CONSOLIDADO_2026[[#This Row],[Hora inic]]</f>
        <v>0.33333333333333337</v>
      </c>
    </row>
    <row r="111" spans="1:19" x14ac:dyDescent="0.25">
      <c r="A111" t="s">
        <v>4013</v>
      </c>
      <c r="B111">
        <v>1152221372</v>
      </c>
      <c r="C111" t="s">
        <v>4038</v>
      </c>
      <c r="D111" t="s">
        <v>128</v>
      </c>
      <c r="E111" t="s">
        <v>4005</v>
      </c>
      <c r="F111" t="s">
        <v>4037</v>
      </c>
      <c r="G111" s="1">
        <v>46230</v>
      </c>
      <c r="H111" s="1"/>
      <c r="I111" s="2">
        <v>0.25</v>
      </c>
      <c r="J111" s="2">
        <v>0.54166666666666663</v>
      </c>
      <c r="K111" t="s">
        <v>252</v>
      </c>
      <c r="L111" t="s">
        <v>253</v>
      </c>
      <c r="M111" s="1"/>
      <c r="O111" t="s">
        <v>21</v>
      </c>
      <c r="P111" s="1"/>
      <c r="Q111" s="1"/>
      <c r="S111" s="2">
        <f>CONSOLIDADO_2026[[#This Row],[Hora final]]-CONSOLIDADO_2026[[#This Row],[Hora inic]]</f>
        <v>0.29166666666666663</v>
      </c>
    </row>
    <row r="112" spans="1:19" x14ac:dyDescent="0.25">
      <c r="A112" t="s">
        <v>4004</v>
      </c>
      <c r="B112">
        <v>1000291050</v>
      </c>
      <c r="C112" t="s">
        <v>1347</v>
      </c>
      <c r="D112" t="s">
        <v>128</v>
      </c>
      <c r="E112" t="s">
        <v>4005</v>
      </c>
      <c r="F112" t="s">
        <v>4039</v>
      </c>
      <c r="G112" s="1">
        <v>46235</v>
      </c>
      <c r="H112" s="1">
        <v>46235</v>
      </c>
      <c r="I112" s="2">
        <v>0.25</v>
      </c>
      <c r="J112" s="2">
        <v>0.66666666666666663</v>
      </c>
      <c r="K112" t="s">
        <v>1346</v>
      </c>
      <c r="L112" t="s">
        <v>1347</v>
      </c>
      <c r="M112" s="1"/>
      <c r="O112" t="s">
        <v>4007</v>
      </c>
      <c r="P112" s="1"/>
      <c r="Q112" s="1"/>
      <c r="S112" s="2">
        <f>CONSOLIDADO_2026[[#This Row],[Hora final]]-CONSOLIDADO_2026[[#This Row],[Hora inic]]</f>
        <v>0.41666666666666663</v>
      </c>
    </row>
    <row r="113" spans="1:19" x14ac:dyDescent="0.25">
      <c r="A113" t="s">
        <v>4004</v>
      </c>
      <c r="B113">
        <v>1098777544</v>
      </c>
      <c r="C113" t="s">
        <v>81</v>
      </c>
      <c r="D113" t="s">
        <v>82</v>
      </c>
      <c r="E113" t="s">
        <v>4005</v>
      </c>
      <c r="F113" t="s">
        <v>25</v>
      </c>
      <c r="G113" s="1">
        <v>46217</v>
      </c>
      <c r="H113" s="1">
        <v>46246</v>
      </c>
      <c r="I113" s="2">
        <v>0.25</v>
      </c>
      <c r="J113" s="2">
        <v>0.66666666666666663</v>
      </c>
      <c r="L113" t="s">
        <v>261</v>
      </c>
      <c r="M113" s="1"/>
      <c r="O113" t="s">
        <v>4007</v>
      </c>
      <c r="P113" s="1"/>
      <c r="Q113" s="1"/>
      <c r="S113" s="2">
        <f>CONSOLIDADO_2026[[#This Row],[Hora final]]-CONSOLIDADO_2026[[#This Row],[Hora inic]]</f>
        <v>0.41666666666666663</v>
      </c>
    </row>
    <row r="114" spans="1:19" x14ac:dyDescent="0.25">
      <c r="A114" t="s">
        <v>4008</v>
      </c>
      <c r="B114">
        <v>1098777544</v>
      </c>
      <c r="C114" t="s">
        <v>81</v>
      </c>
      <c r="D114" t="s">
        <v>82</v>
      </c>
      <c r="E114" t="s">
        <v>4005</v>
      </c>
      <c r="F114" t="s">
        <v>25</v>
      </c>
      <c r="G114" s="1">
        <v>46217</v>
      </c>
      <c r="H114" s="1">
        <v>46246</v>
      </c>
      <c r="I114" s="2">
        <v>0.58333333333333337</v>
      </c>
      <c r="J114" s="2">
        <v>0.875</v>
      </c>
      <c r="K114" t="s">
        <v>225</v>
      </c>
      <c r="L114" t="s">
        <v>226</v>
      </c>
      <c r="M114" s="1"/>
      <c r="O114" t="s">
        <v>21</v>
      </c>
      <c r="P114" s="1"/>
      <c r="Q114" s="1"/>
      <c r="S114" s="2">
        <f>CONSOLIDADO_2026[[#This Row],[Hora final]]-CONSOLIDADO_2026[[#This Row],[Hora inic]]</f>
        <v>0.29166666666666663</v>
      </c>
    </row>
    <row r="115" spans="1:19" x14ac:dyDescent="0.25">
      <c r="A115" t="s">
        <v>4016</v>
      </c>
      <c r="B115">
        <v>1098777544</v>
      </c>
      <c r="C115" t="s">
        <v>81</v>
      </c>
      <c r="D115" t="s">
        <v>82</v>
      </c>
      <c r="E115" t="s">
        <v>4005</v>
      </c>
      <c r="F115" t="s">
        <v>25</v>
      </c>
      <c r="G115" s="1">
        <v>46217</v>
      </c>
      <c r="H115" s="1">
        <v>46246</v>
      </c>
      <c r="I115" s="2">
        <v>0.25</v>
      </c>
      <c r="J115" s="2">
        <v>0.54166666666666663</v>
      </c>
      <c r="K115" t="s">
        <v>144</v>
      </c>
      <c r="L115" t="s">
        <v>145</v>
      </c>
      <c r="M115" s="1"/>
      <c r="O115" t="s">
        <v>21</v>
      </c>
      <c r="P115" s="1"/>
      <c r="Q115" s="1"/>
      <c r="S115" s="2">
        <f>CONSOLIDADO_2026[[#This Row],[Hora final]]-CONSOLIDADO_2026[[#This Row],[Hora inic]]</f>
        <v>0.29166666666666663</v>
      </c>
    </row>
    <row r="116" spans="1:19" x14ac:dyDescent="0.25">
      <c r="A116" t="s">
        <v>4013</v>
      </c>
      <c r="B116">
        <v>1098777544</v>
      </c>
      <c r="C116" t="s">
        <v>81</v>
      </c>
      <c r="D116" t="s">
        <v>82</v>
      </c>
      <c r="E116" t="s">
        <v>4005</v>
      </c>
      <c r="F116" t="s">
        <v>25</v>
      </c>
      <c r="G116" s="1">
        <v>46217</v>
      </c>
      <c r="H116" s="1">
        <v>46246</v>
      </c>
      <c r="I116" s="2">
        <v>0.25</v>
      </c>
      <c r="J116" s="2">
        <v>0.54166666666666663</v>
      </c>
      <c r="K116" t="s">
        <v>122</v>
      </c>
      <c r="L116" t="s">
        <v>123</v>
      </c>
      <c r="M116" s="1"/>
      <c r="O116" t="s">
        <v>21</v>
      </c>
      <c r="P116" s="1"/>
      <c r="Q116" s="1"/>
      <c r="S116" s="2">
        <f>CONSOLIDADO_2026[[#This Row],[Hora final]]-CONSOLIDADO_2026[[#This Row],[Hora inic]]</f>
        <v>0.29166666666666663</v>
      </c>
    </row>
    <row r="117" spans="1:19" x14ac:dyDescent="0.25">
      <c r="A117" t="s">
        <v>4004</v>
      </c>
      <c r="B117">
        <v>1000445985</v>
      </c>
      <c r="C117" t="s">
        <v>3974</v>
      </c>
      <c r="D117" t="s">
        <v>64</v>
      </c>
      <c r="E117" t="s">
        <v>4012</v>
      </c>
      <c r="F117" t="s">
        <v>25</v>
      </c>
      <c r="G117" s="1">
        <v>46233</v>
      </c>
      <c r="H117" s="1">
        <v>46234</v>
      </c>
      <c r="I117" s="2"/>
      <c r="J117" s="2"/>
      <c r="L117" t="s">
        <v>4006</v>
      </c>
      <c r="M117" s="1"/>
      <c r="O117" t="s">
        <v>4007</v>
      </c>
      <c r="P117" s="1"/>
      <c r="Q117" s="1"/>
      <c r="S117" s="2">
        <f>CONSOLIDADO_2026[[#This Row],[Hora final]]-CONSOLIDADO_2026[[#This Row],[Hora inic]]</f>
        <v>0</v>
      </c>
    </row>
    <row r="118" spans="1:19" x14ac:dyDescent="0.25">
      <c r="A118" t="s">
        <v>4004</v>
      </c>
      <c r="B118">
        <v>32852919</v>
      </c>
      <c r="C118" t="s">
        <v>709</v>
      </c>
      <c r="D118" t="s">
        <v>78</v>
      </c>
      <c r="E118" t="s">
        <v>4010</v>
      </c>
      <c r="F118" t="s">
        <v>25</v>
      </c>
      <c r="G118" s="1">
        <v>46234</v>
      </c>
      <c r="H118" s="1">
        <v>46234</v>
      </c>
      <c r="I118" s="2"/>
      <c r="J118" s="2"/>
      <c r="L118" t="s">
        <v>4006</v>
      </c>
      <c r="M118" s="1"/>
      <c r="O118" t="s">
        <v>4007</v>
      </c>
      <c r="P118" s="1"/>
      <c r="Q118" s="1"/>
      <c r="S118" s="2">
        <f>CONSOLIDADO_2026[[#This Row],[Hora final]]-CONSOLIDADO_2026[[#This Row],[Hora inic]]</f>
        <v>0</v>
      </c>
    </row>
    <row r="119" spans="1:19" x14ac:dyDescent="0.25">
      <c r="A119" t="s">
        <v>4004</v>
      </c>
      <c r="B119">
        <v>1047476960</v>
      </c>
      <c r="C119" t="s">
        <v>3180</v>
      </c>
      <c r="D119" t="s">
        <v>420</v>
      </c>
      <c r="E119" t="s">
        <v>4010</v>
      </c>
      <c r="F119" t="s">
        <v>4040</v>
      </c>
      <c r="G119" s="1">
        <v>46234</v>
      </c>
      <c r="H119" s="1">
        <v>46237</v>
      </c>
      <c r="I119" s="2">
        <v>0.25</v>
      </c>
      <c r="J119" s="2">
        <v>0.66666666666666663</v>
      </c>
      <c r="L119" t="s">
        <v>4022</v>
      </c>
      <c r="M119" s="1"/>
      <c r="O119" t="s">
        <v>4007</v>
      </c>
      <c r="P119" s="1"/>
      <c r="Q119" s="1">
        <v>46240</v>
      </c>
      <c r="R119" t="s">
        <v>4041</v>
      </c>
      <c r="S119" s="2">
        <f>CONSOLIDADO_2026[[#This Row],[Hora final]]-CONSOLIDADO_2026[[#This Row],[Hora inic]]</f>
        <v>0.41666666666666663</v>
      </c>
    </row>
    <row r="120" spans="1:19" x14ac:dyDescent="0.25">
      <c r="A120" t="s">
        <v>4008</v>
      </c>
      <c r="B120">
        <v>1047476960</v>
      </c>
      <c r="C120" t="s">
        <v>3180</v>
      </c>
      <c r="D120" t="s">
        <v>420</v>
      </c>
      <c r="E120" t="s">
        <v>4010</v>
      </c>
      <c r="F120" t="s">
        <v>25</v>
      </c>
      <c r="G120" s="1">
        <v>46234</v>
      </c>
      <c r="H120" s="1">
        <v>46237</v>
      </c>
      <c r="I120" s="2">
        <v>0.58333333333333337</v>
      </c>
      <c r="J120" s="2">
        <v>0.875</v>
      </c>
      <c r="L120" t="s">
        <v>4042</v>
      </c>
      <c r="M120" s="1"/>
      <c r="O120" t="s">
        <v>21</v>
      </c>
      <c r="P120" s="1"/>
      <c r="Q120" s="1"/>
      <c r="S120" s="2">
        <f>CONSOLIDADO_2026[[#This Row],[Hora final]]-CONSOLIDADO_2026[[#This Row],[Hora inic]]</f>
        <v>0.29166666666666663</v>
      </c>
    </row>
    <row r="121" spans="1:19" x14ac:dyDescent="0.25">
      <c r="A121" t="s">
        <v>4016</v>
      </c>
      <c r="B121">
        <v>1047476960</v>
      </c>
      <c r="C121" t="s">
        <v>3180</v>
      </c>
      <c r="D121" t="s">
        <v>420</v>
      </c>
      <c r="E121" t="s">
        <v>4010</v>
      </c>
      <c r="F121" t="s">
        <v>25</v>
      </c>
      <c r="G121" s="1">
        <v>46234</v>
      </c>
      <c r="H121" s="1">
        <v>46237</v>
      </c>
      <c r="I121" s="2"/>
      <c r="J121" s="2"/>
      <c r="L121" t="s">
        <v>4006</v>
      </c>
      <c r="M121" s="1"/>
      <c r="O121" t="s">
        <v>4007</v>
      </c>
      <c r="P121" s="1"/>
      <c r="Q121" s="1"/>
      <c r="S121" s="2">
        <f>CONSOLIDADO_2026[[#This Row],[Hora final]]-CONSOLIDADO_2026[[#This Row],[Hora inic]]</f>
        <v>0</v>
      </c>
    </row>
    <row r="122" spans="1:19" x14ac:dyDescent="0.25">
      <c r="A122" t="s">
        <v>4004</v>
      </c>
      <c r="B122">
        <v>1143470207</v>
      </c>
      <c r="C122" t="s">
        <v>4043</v>
      </c>
      <c r="D122" t="s">
        <v>153</v>
      </c>
      <c r="E122" t="s">
        <v>4010</v>
      </c>
      <c r="F122" t="s">
        <v>25</v>
      </c>
      <c r="G122" s="1">
        <v>46230</v>
      </c>
      <c r="H122" s="1">
        <v>46234</v>
      </c>
      <c r="I122" s="2"/>
      <c r="J122" s="2"/>
      <c r="L122" t="s">
        <v>4006</v>
      </c>
      <c r="M122" s="1"/>
      <c r="O122" t="s">
        <v>4007</v>
      </c>
      <c r="P122" s="1"/>
      <c r="Q122" s="1"/>
      <c r="S122" s="2">
        <f>CONSOLIDADO_2026[[#This Row],[Hora final]]-CONSOLIDADO_2026[[#This Row],[Hora inic]]</f>
        <v>0</v>
      </c>
    </row>
    <row r="123" spans="1:19" x14ac:dyDescent="0.25">
      <c r="A123" t="s">
        <v>4004</v>
      </c>
      <c r="B123">
        <v>1001005240</v>
      </c>
      <c r="C123" t="s">
        <v>152</v>
      </c>
      <c r="D123" t="s">
        <v>153</v>
      </c>
      <c r="E123" t="s">
        <v>4010</v>
      </c>
      <c r="F123" t="s">
        <v>25</v>
      </c>
      <c r="G123" s="1">
        <v>46234</v>
      </c>
      <c r="H123" s="1">
        <v>46240</v>
      </c>
      <c r="I123" s="2">
        <v>0.25</v>
      </c>
      <c r="J123" s="2">
        <v>0.66666666666666663</v>
      </c>
      <c r="K123" t="s">
        <v>162</v>
      </c>
      <c r="L123" t="s">
        <v>163</v>
      </c>
      <c r="M123" s="1"/>
      <c r="O123" t="s">
        <v>21</v>
      </c>
      <c r="P123" s="1"/>
      <c r="Q123" s="1"/>
      <c r="S123" s="2">
        <f>CONSOLIDADO_2026[[#This Row],[Hora final]]-CONSOLIDADO_2026[[#This Row],[Hora inic]]</f>
        <v>0.41666666666666663</v>
      </c>
    </row>
    <row r="124" spans="1:19" x14ac:dyDescent="0.25">
      <c r="A124" t="s">
        <v>4008</v>
      </c>
      <c r="B124">
        <v>1001005240</v>
      </c>
      <c r="C124" t="s">
        <v>152</v>
      </c>
      <c r="D124" t="s">
        <v>153</v>
      </c>
      <c r="E124" t="s">
        <v>4010</v>
      </c>
      <c r="F124" t="s">
        <v>25</v>
      </c>
      <c r="G124" s="1">
        <v>46234</v>
      </c>
      <c r="H124" s="1">
        <v>46240</v>
      </c>
      <c r="I124" s="2">
        <v>0.58333333333333337</v>
      </c>
      <c r="J124" s="2">
        <v>0.875</v>
      </c>
      <c r="K124" t="s">
        <v>240</v>
      </c>
      <c r="L124" t="s">
        <v>241</v>
      </c>
      <c r="M124" s="1"/>
      <c r="O124" t="s">
        <v>21</v>
      </c>
      <c r="P124" s="1"/>
      <c r="Q124" s="1"/>
      <c r="S124" s="2">
        <f>CONSOLIDADO_2026[[#This Row],[Hora final]]-CONSOLIDADO_2026[[#This Row],[Hora inic]]</f>
        <v>0.29166666666666663</v>
      </c>
    </row>
    <row r="125" spans="1:19" x14ac:dyDescent="0.25">
      <c r="A125" t="s">
        <v>4016</v>
      </c>
      <c r="B125">
        <v>1001005240</v>
      </c>
      <c r="C125" t="s">
        <v>152</v>
      </c>
      <c r="D125" t="s">
        <v>153</v>
      </c>
      <c r="E125" t="s">
        <v>4010</v>
      </c>
      <c r="F125" t="s">
        <v>25</v>
      </c>
      <c r="G125" s="1">
        <v>46234</v>
      </c>
      <c r="H125" s="1">
        <v>46240</v>
      </c>
      <c r="I125" s="2">
        <v>0.25</v>
      </c>
      <c r="J125" s="2">
        <v>0.54166666666666663</v>
      </c>
      <c r="K125" t="s">
        <v>188</v>
      </c>
      <c r="L125" t="s">
        <v>189</v>
      </c>
      <c r="M125" s="1"/>
      <c r="O125" t="s">
        <v>21</v>
      </c>
      <c r="P125" s="1"/>
      <c r="Q125" s="1"/>
      <c r="S125" s="2">
        <f>CONSOLIDADO_2026[[#This Row],[Hora final]]-CONSOLIDADO_2026[[#This Row],[Hora inic]]</f>
        <v>0.29166666666666663</v>
      </c>
    </row>
    <row r="126" spans="1:19" x14ac:dyDescent="0.25">
      <c r="A126" t="s">
        <v>4013</v>
      </c>
      <c r="B126">
        <v>1001005240</v>
      </c>
      <c r="C126" t="s">
        <v>152</v>
      </c>
      <c r="D126" t="s">
        <v>153</v>
      </c>
      <c r="E126" t="s">
        <v>4010</v>
      </c>
      <c r="F126" t="s">
        <v>25</v>
      </c>
      <c r="G126" s="1">
        <v>46234</v>
      </c>
      <c r="H126" s="1">
        <v>46240</v>
      </c>
      <c r="I126" s="2">
        <v>0.58333333333333337</v>
      </c>
      <c r="J126" s="2">
        <v>0.875</v>
      </c>
      <c r="K126" t="s">
        <v>154</v>
      </c>
      <c r="L126" t="s">
        <v>155</v>
      </c>
      <c r="M126" s="1"/>
      <c r="O126" t="s">
        <v>21</v>
      </c>
      <c r="P126" s="1"/>
      <c r="Q126" s="1"/>
      <c r="S126" s="2">
        <f>CONSOLIDADO_2026[[#This Row],[Hora final]]-CONSOLIDADO_2026[[#This Row],[Hora inic]]</f>
        <v>0.29166666666666663</v>
      </c>
    </row>
    <row r="127" spans="1:19" x14ac:dyDescent="0.25">
      <c r="A127" t="s">
        <v>4004</v>
      </c>
      <c r="B127">
        <v>1020488082</v>
      </c>
      <c r="C127" t="s">
        <v>3793</v>
      </c>
      <c r="D127" t="s">
        <v>326</v>
      </c>
      <c r="E127" t="s">
        <v>4005</v>
      </c>
      <c r="F127" t="s">
        <v>25</v>
      </c>
      <c r="G127" s="1">
        <v>46234</v>
      </c>
      <c r="H127" s="1">
        <v>46235</v>
      </c>
      <c r="I127" s="2">
        <v>0.25</v>
      </c>
      <c r="J127" s="2">
        <v>0.66666666666666663</v>
      </c>
      <c r="L127" t="s">
        <v>4022</v>
      </c>
      <c r="M127" s="1"/>
      <c r="O127" t="s">
        <v>4007</v>
      </c>
      <c r="P127" s="1"/>
      <c r="Q127" s="1"/>
      <c r="S127" s="2">
        <f>CONSOLIDADO_2026[[#This Row],[Hora final]]-CONSOLIDADO_2026[[#This Row],[Hora inic]]</f>
        <v>0.41666666666666663</v>
      </c>
    </row>
    <row r="128" spans="1:19" x14ac:dyDescent="0.25">
      <c r="A128" t="s">
        <v>4008</v>
      </c>
      <c r="B128">
        <v>1020488082</v>
      </c>
      <c r="C128" t="s">
        <v>3793</v>
      </c>
      <c r="D128" t="s">
        <v>326</v>
      </c>
      <c r="E128" t="s">
        <v>4005</v>
      </c>
      <c r="F128" t="s">
        <v>25</v>
      </c>
      <c r="G128" s="1">
        <v>46234</v>
      </c>
      <c r="H128" s="1">
        <v>46235</v>
      </c>
      <c r="I128" s="2"/>
      <c r="J128" s="2"/>
      <c r="L128" t="s">
        <v>4006</v>
      </c>
      <c r="M128" s="1"/>
      <c r="O128" t="s">
        <v>4007</v>
      </c>
      <c r="P128" s="1"/>
      <c r="Q128" s="1"/>
      <c r="S128" s="2">
        <f>CONSOLIDADO_2026[[#This Row],[Hora final]]-CONSOLIDADO_2026[[#This Row],[Hora inic]]</f>
        <v>0</v>
      </c>
    </row>
    <row r="129" spans="1:19" x14ac:dyDescent="0.25">
      <c r="A129" t="s">
        <v>4004</v>
      </c>
      <c r="B129">
        <v>1144057947</v>
      </c>
      <c r="C129" t="s">
        <v>1556</v>
      </c>
      <c r="D129" t="s">
        <v>89</v>
      </c>
      <c r="E129" t="s">
        <v>4017</v>
      </c>
      <c r="F129" t="s">
        <v>4044</v>
      </c>
      <c r="G129" s="1">
        <v>46220</v>
      </c>
      <c r="H129" s="1">
        <v>46235</v>
      </c>
      <c r="I129" s="2"/>
      <c r="J129" s="2"/>
      <c r="L129" t="s">
        <v>269</v>
      </c>
      <c r="M129" s="1"/>
      <c r="O129" t="s">
        <v>4007</v>
      </c>
      <c r="P129" s="1"/>
      <c r="Q129" s="1"/>
      <c r="S129" s="2">
        <f>CONSOLIDADO_2026[[#This Row],[Hora final]]-CONSOLIDADO_2026[[#This Row],[Hora inic]]</f>
        <v>0</v>
      </c>
    </row>
    <row r="130" spans="1:19" x14ac:dyDescent="0.25">
      <c r="A130" t="s">
        <v>4008</v>
      </c>
      <c r="B130">
        <v>1144057947</v>
      </c>
      <c r="C130" t="s">
        <v>1556</v>
      </c>
      <c r="D130" t="s">
        <v>89</v>
      </c>
      <c r="E130" t="s">
        <v>4017</v>
      </c>
      <c r="F130" t="s">
        <v>4044</v>
      </c>
      <c r="G130" s="1">
        <v>46220</v>
      </c>
      <c r="H130" s="1">
        <v>46235</v>
      </c>
      <c r="I130" s="2"/>
      <c r="J130" s="2"/>
      <c r="L130" t="s">
        <v>4006</v>
      </c>
      <c r="M130" s="1"/>
      <c r="O130" t="s">
        <v>4007</v>
      </c>
      <c r="P130" s="1"/>
      <c r="Q130" s="1"/>
      <c r="S130" s="2">
        <f>CONSOLIDADO_2026[[#This Row],[Hora final]]-CONSOLIDADO_2026[[#This Row],[Hora inic]]</f>
        <v>0</v>
      </c>
    </row>
    <row r="131" spans="1:19" x14ac:dyDescent="0.25">
      <c r="A131" t="s">
        <v>4004</v>
      </c>
      <c r="B131" t="s">
        <v>185</v>
      </c>
      <c r="C131" t="s">
        <v>186</v>
      </c>
      <c r="D131" t="s">
        <v>4045</v>
      </c>
      <c r="E131" t="s">
        <v>4011</v>
      </c>
      <c r="F131" t="s">
        <v>4046</v>
      </c>
      <c r="G131" s="1">
        <v>46235</v>
      </c>
      <c r="H131" s="1">
        <v>46235</v>
      </c>
      <c r="I131" s="2">
        <v>0.25</v>
      </c>
      <c r="J131" s="2">
        <v>0.625</v>
      </c>
      <c r="L131" t="s">
        <v>4047</v>
      </c>
      <c r="M131" s="1"/>
      <c r="O131" t="s">
        <v>4007</v>
      </c>
      <c r="P131" s="1"/>
      <c r="Q131" s="1"/>
      <c r="S131" s="2">
        <f>CONSOLIDADO_2026[[#This Row],[Hora final]]-CONSOLIDADO_2026[[#This Row],[Hora inic]]</f>
        <v>0.375</v>
      </c>
    </row>
    <row r="132" spans="1:19" x14ac:dyDescent="0.25">
      <c r="A132" t="s">
        <v>4008</v>
      </c>
      <c r="B132" t="s">
        <v>185</v>
      </c>
      <c r="C132" t="s">
        <v>186</v>
      </c>
      <c r="D132" t="s">
        <v>4045</v>
      </c>
      <c r="E132" t="s">
        <v>4011</v>
      </c>
      <c r="F132" t="s">
        <v>4046</v>
      </c>
      <c r="G132" s="1">
        <v>46235</v>
      </c>
      <c r="H132" s="1">
        <v>46235</v>
      </c>
      <c r="I132" s="2">
        <v>0.25</v>
      </c>
      <c r="J132" s="2">
        <v>0.58333333333333337</v>
      </c>
      <c r="K132" t="s">
        <v>185</v>
      </c>
      <c r="L132" t="s">
        <v>186</v>
      </c>
      <c r="M132" s="1"/>
      <c r="O132" t="s">
        <v>4007</v>
      </c>
      <c r="P132" s="1"/>
      <c r="Q132" s="1"/>
      <c r="S132" s="2">
        <f>CONSOLIDADO_2026[[#This Row],[Hora final]]-CONSOLIDADO_2026[[#This Row],[Hora inic]]</f>
        <v>0.33333333333333337</v>
      </c>
    </row>
    <row r="133" spans="1:19" x14ac:dyDescent="0.25">
      <c r="A133" t="s">
        <v>4004</v>
      </c>
      <c r="B133">
        <v>1192769686</v>
      </c>
      <c r="C133" t="s">
        <v>1882</v>
      </c>
      <c r="D133" t="s">
        <v>326</v>
      </c>
      <c r="E133" t="s">
        <v>4005</v>
      </c>
      <c r="F133" t="s">
        <v>25</v>
      </c>
      <c r="G133" s="1">
        <v>46234</v>
      </c>
      <c r="H133" s="1">
        <v>46235</v>
      </c>
      <c r="I133" s="2">
        <v>0.25</v>
      </c>
      <c r="J133" s="2">
        <v>0.66666666666666663</v>
      </c>
      <c r="K133" t="s">
        <v>244</v>
      </c>
      <c r="L133" t="s">
        <v>245</v>
      </c>
      <c r="M133" s="1"/>
      <c r="O133" t="s">
        <v>21</v>
      </c>
      <c r="P133" s="1"/>
      <c r="Q133" s="1"/>
      <c r="S133" s="2">
        <f>CONSOLIDADO_2026[[#This Row],[Hora final]]-CONSOLIDADO_2026[[#This Row],[Hora inic]]</f>
        <v>0.41666666666666663</v>
      </c>
    </row>
    <row r="134" spans="1:19" x14ac:dyDescent="0.25">
      <c r="A134" t="s">
        <v>4008</v>
      </c>
      <c r="B134">
        <v>1192769686</v>
      </c>
      <c r="C134" t="s">
        <v>1882</v>
      </c>
      <c r="D134" t="s">
        <v>326</v>
      </c>
      <c r="E134" t="s">
        <v>4005</v>
      </c>
      <c r="F134" t="s">
        <v>25</v>
      </c>
      <c r="G134" s="1">
        <v>46234</v>
      </c>
      <c r="H134" s="1">
        <v>46235</v>
      </c>
      <c r="I134" s="2"/>
      <c r="J134" s="2"/>
      <c r="L134" t="s">
        <v>4006</v>
      </c>
      <c r="M134" s="1"/>
      <c r="O134" t="s">
        <v>4007</v>
      </c>
      <c r="P134" s="1"/>
      <c r="Q134" s="1"/>
      <c r="S134" s="2">
        <f>CONSOLIDADO_2026[[#This Row],[Hora final]]-CONSOLIDADO_2026[[#This Row],[Hora inic]]</f>
        <v>0</v>
      </c>
    </row>
    <row r="135" spans="1:19" x14ac:dyDescent="0.25">
      <c r="A135" t="s">
        <v>4004</v>
      </c>
      <c r="B135">
        <v>1037651431</v>
      </c>
      <c r="C135" t="s">
        <v>464</v>
      </c>
      <c r="D135" t="s">
        <v>15</v>
      </c>
      <c r="E135" t="s">
        <v>4012</v>
      </c>
      <c r="F135" t="s">
        <v>25</v>
      </c>
      <c r="G135" s="1">
        <v>46235</v>
      </c>
      <c r="H135" s="1">
        <v>46235</v>
      </c>
      <c r="I135" s="2">
        <v>0.25</v>
      </c>
      <c r="J135" s="2">
        <v>0.66666666666666663</v>
      </c>
      <c r="L135" t="s">
        <v>261</v>
      </c>
      <c r="M135" s="1"/>
      <c r="O135" t="s">
        <v>4007</v>
      </c>
      <c r="P135" s="1"/>
      <c r="Q135" s="1"/>
      <c r="S135" s="2">
        <f>CONSOLIDADO_2026[[#This Row],[Hora final]]-CONSOLIDADO_2026[[#This Row],[Hora inic]]</f>
        <v>0.41666666666666663</v>
      </c>
    </row>
    <row r="136" spans="1:19" x14ac:dyDescent="0.25">
      <c r="A136" t="s">
        <v>4008</v>
      </c>
      <c r="B136">
        <v>1037651431</v>
      </c>
      <c r="C136" t="s">
        <v>464</v>
      </c>
      <c r="D136" t="s">
        <v>15</v>
      </c>
      <c r="E136" t="s">
        <v>4012</v>
      </c>
      <c r="F136" t="s">
        <v>25</v>
      </c>
      <c r="G136" s="1">
        <v>46235</v>
      </c>
      <c r="H136" s="1">
        <v>46235</v>
      </c>
      <c r="I136" s="2"/>
      <c r="J136" s="2"/>
      <c r="L136" t="s">
        <v>4006</v>
      </c>
      <c r="M136" s="1"/>
      <c r="O136" t="s">
        <v>4007</v>
      </c>
      <c r="P136" s="1"/>
      <c r="Q136" s="1"/>
      <c r="S136" s="2">
        <f>CONSOLIDADO_2026[[#This Row],[Hora final]]-CONSOLIDADO_2026[[#This Row],[Hora inic]]</f>
        <v>0</v>
      </c>
    </row>
    <row r="137" spans="1:19" x14ac:dyDescent="0.25">
      <c r="A137" t="s">
        <v>4004</v>
      </c>
      <c r="B137">
        <v>1142948064</v>
      </c>
      <c r="C137" t="s">
        <v>1505</v>
      </c>
      <c r="D137" t="s">
        <v>132</v>
      </c>
      <c r="E137" t="s">
        <v>4010</v>
      </c>
      <c r="F137" t="s">
        <v>25</v>
      </c>
      <c r="G137" s="1">
        <v>46234</v>
      </c>
      <c r="H137" s="1">
        <v>46234</v>
      </c>
      <c r="I137" s="2"/>
      <c r="J137" s="2"/>
      <c r="L137" t="s">
        <v>4006</v>
      </c>
      <c r="M137" s="1"/>
      <c r="O137" t="s">
        <v>4007</v>
      </c>
      <c r="P137" s="1"/>
      <c r="Q137" s="1"/>
      <c r="S137" s="2">
        <f>CONSOLIDADO_2026[[#This Row],[Hora final]]-CONSOLIDADO_2026[[#This Row],[Hora inic]]</f>
        <v>0</v>
      </c>
    </row>
    <row r="138" spans="1:19" x14ac:dyDescent="0.25">
      <c r="A138" t="s">
        <v>4004</v>
      </c>
      <c r="B138">
        <v>1143470207</v>
      </c>
      <c r="C138" t="s">
        <v>4043</v>
      </c>
      <c r="D138" t="s">
        <v>153</v>
      </c>
      <c r="E138" t="s">
        <v>4010</v>
      </c>
      <c r="F138" t="s">
        <v>4015</v>
      </c>
      <c r="G138" s="1">
        <v>46235</v>
      </c>
      <c r="H138" s="1">
        <v>46238</v>
      </c>
      <c r="I138" s="2">
        <v>0.25</v>
      </c>
      <c r="J138" s="2">
        <v>0.66666666666666663</v>
      </c>
      <c r="L138" t="s">
        <v>261</v>
      </c>
      <c r="M138" s="1"/>
      <c r="O138" t="s">
        <v>4007</v>
      </c>
      <c r="P138" s="1"/>
      <c r="Q138" s="1"/>
      <c r="S138" s="2">
        <f>CONSOLIDADO_2026[[#This Row],[Hora final]]-CONSOLIDADO_2026[[#This Row],[Hora inic]]</f>
        <v>0.41666666666666663</v>
      </c>
    </row>
    <row r="139" spans="1:19" x14ac:dyDescent="0.25">
      <c r="A139" t="s">
        <v>4008</v>
      </c>
      <c r="B139">
        <v>1143470207</v>
      </c>
      <c r="C139" t="s">
        <v>4043</v>
      </c>
      <c r="D139" t="s">
        <v>153</v>
      </c>
      <c r="E139" t="s">
        <v>4010</v>
      </c>
      <c r="F139" t="s">
        <v>4015</v>
      </c>
      <c r="G139" s="1">
        <v>46235</v>
      </c>
      <c r="H139" s="1">
        <v>46238</v>
      </c>
      <c r="I139" s="2">
        <v>0.58333333333333337</v>
      </c>
      <c r="J139" s="2">
        <v>0.875</v>
      </c>
      <c r="K139" t="s">
        <v>244</v>
      </c>
      <c r="L139" t="s">
        <v>245</v>
      </c>
      <c r="M139" s="1"/>
      <c r="O139" t="s">
        <v>21</v>
      </c>
      <c r="P139" s="1"/>
      <c r="Q139" s="1"/>
      <c r="S139" s="2">
        <f>CONSOLIDADO_2026[[#This Row],[Hora final]]-CONSOLIDADO_2026[[#This Row],[Hora inic]]</f>
        <v>0.29166666666666663</v>
      </c>
    </row>
    <row r="140" spans="1:19" x14ac:dyDescent="0.25">
      <c r="A140" t="s">
        <v>4016</v>
      </c>
      <c r="B140">
        <v>1143470207</v>
      </c>
      <c r="C140" t="s">
        <v>4043</v>
      </c>
      <c r="D140" t="s">
        <v>153</v>
      </c>
      <c r="E140" t="s">
        <v>4010</v>
      </c>
      <c r="F140" t="s">
        <v>4015</v>
      </c>
      <c r="G140" s="1">
        <v>46235</v>
      </c>
      <c r="H140" s="1">
        <v>46238</v>
      </c>
      <c r="I140" s="2">
        <v>0.25</v>
      </c>
      <c r="J140" s="2">
        <v>0.58333333333333337</v>
      </c>
      <c r="L140" t="s">
        <v>261</v>
      </c>
      <c r="M140" s="1"/>
      <c r="O140" t="s">
        <v>4007</v>
      </c>
      <c r="P140" s="1"/>
      <c r="Q140" s="1"/>
      <c r="S140" s="2">
        <f>CONSOLIDADO_2026[[#This Row],[Hora final]]-CONSOLIDADO_2026[[#This Row],[Hora inic]]</f>
        <v>0.33333333333333337</v>
      </c>
    </row>
    <row r="141" spans="1:19" x14ac:dyDescent="0.25">
      <c r="A141" t="s">
        <v>4013</v>
      </c>
      <c r="B141">
        <v>1143470207</v>
      </c>
      <c r="C141" t="s">
        <v>4043</v>
      </c>
      <c r="D141" t="s">
        <v>153</v>
      </c>
      <c r="E141" t="s">
        <v>4010</v>
      </c>
      <c r="F141" t="s">
        <v>4015</v>
      </c>
      <c r="G141" s="1">
        <v>46235</v>
      </c>
      <c r="H141" s="1">
        <v>46238</v>
      </c>
      <c r="I141" s="2"/>
      <c r="J141" s="2"/>
      <c r="L141" t="s">
        <v>4006</v>
      </c>
      <c r="M141" s="1"/>
      <c r="O141" t="s">
        <v>4007</v>
      </c>
      <c r="P141" s="1"/>
      <c r="Q141" s="1"/>
      <c r="S141" s="2">
        <f>CONSOLIDADO_2026[[#This Row],[Hora final]]-CONSOLIDADO_2026[[#This Row],[Hora inic]]</f>
        <v>0</v>
      </c>
    </row>
    <row r="142" spans="1:19" x14ac:dyDescent="0.25">
      <c r="A142" t="s">
        <v>4004</v>
      </c>
      <c r="B142">
        <v>1037661959</v>
      </c>
      <c r="C142" t="s">
        <v>3171</v>
      </c>
      <c r="D142" t="s">
        <v>410</v>
      </c>
      <c r="E142" t="s">
        <v>4005</v>
      </c>
      <c r="F142" t="s">
        <v>25</v>
      </c>
      <c r="G142" s="1">
        <v>46235</v>
      </c>
      <c r="H142" s="1">
        <v>46235</v>
      </c>
      <c r="I142" s="2">
        <v>0.25</v>
      </c>
      <c r="J142" s="2">
        <v>0.66666666666666663</v>
      </c>
      <c r="L142" t="s">
        <v>261</v>
      </c>
      <c r="M142" s="1"/>
      <c r="O142" t="s">
        <v>4007</v>
      </c>
      <c r="P142" s="1"/>
      <c r="Q142" s="1"/>
      <c r="S142" s="2">
        <f>CONSOLIDADO_2026[[#This Row],[Hora final]]-CONSOLIDADO_2026[[#This Row],[Hora inic]]</f>
        <v>0.41666666666666663</v>
      </c>
    </row>
    <row r="143" spans="1:19" x14ac:dyDescent="0.25">
      <c r="A143" t="s">
        <v>4008</v>
      </c>
      <c r="B143">
        <v>1037661959</v>
      </c>
      <c r="C143" t="s">
        <v>3171</v>
      </c>
      <c r="D143" t="s">
        <v>410</v>
      </c>
      <c r="E143" t="s">
        <v>4005</v>
      </c>
      <c r="F143" t="s">
        <v>25</v>
      </c>
      <c r="G143" s="1">
        <v>46235</v>
      </c>
      <c r="H143" s="1">
        <v>46235</v>
      </c>
      <c r="I143" s="2"/>
      <c r="J143" s="2"/>
      <c r="L143" t="s">
        <v>4006</v>
      </c>
      <c r="M143" s="1"/>
      <c r="O143" t="s">
        <v>4007</v>
      </c>
      <c r="P143" s="1"/>
      <c r="Q143" s="1"/>
      <c r="S143" s="2">
        <f>CONSOLIDADO_2026[[#This Row],[Hora final]]-CONSOLIDADO_2026[[#This Row],[Hora inic]]</f>
        <v>0</v>
      </c>
    </row>
    <row r="144" spans="1:19" x14ac:dyDescent="0.25">
      <c r="A144" t="s">
        <v>4004</v>
      </c>
      <c r="B144">
        <v>1000416383</v>
      </c>
      <c r="C144" t="s">
        <v>1176</v>
      </c>
      <c r="D144" t="s">
        <v>4027</v>
      </c>
      <c r="E144" t="s">
        <v>4011</v>
      </c>
      <c r="F144" t="s">
        <v>4040</v>
      </c>
      <c r="G144" s="1">
        <v>46234</v>
      </c>
      <c r="H144" s="1">
        <v>46235</v>
      </c>
      <c r="I144" s="2">
        <v>0.25</v>
      </c>
      <c r="J144" s="2">
        <v>0.66666666666666663</v>
      </c>
      <c r="L144" t="s">
        <v>4022</v>
      </c>
      <c r="M144" s="1">
        <v>46235</v>
      </c>
      <c r="O144" t="s">
        <v>4007</v>
      </c>
      <c r="P144" s="1">
        <v>46234</v>
      </c>
      <c r="Q144" s="1"/>
      <c r="R144" t="s">
        <v>4048</v>
      </c>
      <c r="S144" s="2">
        <f>CONSOLIDADO_2026[[#This Row],[Hora final]]-CONSOLIDADO_2026[[#This Row],[Hora inic]]</f>
        <v>0.41666666666666663</v>
      </c>
    </row>
    <row r="145" spans="1:19" x14ac:dyDescent="0.25">
      <c r="A145" t="s">
        <v>4008</v>
      </c>
      <c r="B145">
        <v>1000416383</v>
      </c>
      <c r="C145" t="s">
        <v>1176</v>
      </c>
      <c r="D145" t="s">
        <v>4027</v>
      </c>
      <c r="E145" t="s">
        <v>4011</v>
      </c>
      <c r="F145" t="s">
        <v>25</v>
      </c>
      <c r="G145" s="1">
        <v>46234</v>
      </c>
      <c r="H145" s="1">
        <v>46235</v>
      </c>
      <c r="I145" s="2"/>
      <c r="J145" s="2"/>
      <c r="L145" t="s">
        <v>4006</v>
      </c>
      <c r="M145" s="1"/>
      <c r="O145" t="s">
        <v>4007</v>
      </c>
      <c r="P145" s="1"/>
      <c r="Q145" s="1"/>
      <c r="S145" s="2">
        <f>CONSOLIDADO_2026[[#This Row],[Hora final]]-CONSOLIDADO_2026[[#This Row],[Hora inic]]</f>
        <v>0</v>
      </c>
    </row>
    <row r="146" spans="1:19" x14ac:dyDescent="0.25">
      <c r="A146" t="s">
        <v>4004</v>
      </c>
      <c r="B146">
        <v>1193459665</v>
      </c>
      <c r="C146" t="s">
        <v>4026</v>
      </c>
      <c r="D146" t="s">
        <v>326</v>
      </c>
      <c r="E146" t="s">
        <v>4005</v>
      </c>
      <c r="F146" t="s">
        <v>4015</v>
      </c>
      <c r="G146" s="1">
        <v>46235</v>
      </c>
      <c r="H146" s="1">
        <v>46238</v>
      </c>
      <c r="I146" s="2">
        <v>0.25</v>
      </c>
      <c r="J146" s="2">
        <v>0.66666666666666663</v>
      </c>
      <c r="L146" t="s">
        <v>261</v>
      </c>
      <c r="M146" s="1"/>
      <c r="O146" t="s">
        <v>4007</v>
      </c>
      <c r="P146" s="1"/>
      <c r="Q146" s="1"/>
      <c r="S146" s="2">
        <f>CONSOLIDADO_2026[[#This Row],[Hora final]]-CONSOLIDADO_2026[[#This Row],[Hora inic]]</f>
        <v>0.41666666666666663</v>
      </c>
    </row>
    <row r="147" spans="1:19" x14ac:dyDescent="0.25">
      <c r="A147" t="s">
        <v>4004</v>
      </c>
      <c r="B147">
        <v>1152446353</v>
      </c>
      <c r="C147" t="s">
        <v>3885</v>
      </c>
      <c r="D147" t="s">
        <v>15</v>
      </c>
      <c r="E147" t="s">
        <v>4012</v>
      </c>
      <c r="F147" t="s">
        <v>25</v>
      </c>
      <c r="G147" s="1">
        <v>46235</v>
      </c>
      <c r="H147" s="1">
        <v>46235</v>
      </c>
      <c r="I147" s="2">
        <v>0.25</v>
      </c>
      <c r="J147" s="2">
        <v>0.66666666666666663</v>
      </c>
      <c r="L147" t="s">
        <v>261</v>
      </c>
      <c r="M147" s="1"/>
      <c r="O147" t="s">
        <v>4007</v>
      </c>
      <c r="P147" s="1"/>
      <c r="Q147" s="1"/>
      <c r="S147" s="2">
        <f>CONSOLIDADO_2026[[#This Row],[Hora final]]-CONSOLIDADO_2026[[#This Row],[Hora inic]]</f>
        <v>0.41666666666666663</v>
      </c>
    </row>
    <row r="148" spans="1:19" x14ac:dyDescent="0.25">
      <c r="A148" t="s">
        <v>4004</v>
      </c>
      <c r="B148">
        <v>1067959066</v>
      </c>
      <c r="C148" t="s">
        <v>3446</v>
      </c>
      <c r="D148" t="s">
        <v>322</v>
      </c>
      <c r="E148" t="s">
        <v>4017</v>
      </c>
      <c r="F148" t="s">
        <v>4040</v>
      </c>
      <c r="G148" s="1">
        <v>46235</v>
      </c>
      <c r="H148" s="1">
        <v>46235</v>
      </c>
      <c r="I148" s="2">
        <v>0.25</v>
      </c>
      <c r="J148" s="2">
        <v>0.58333333333333337</v>
      </c>
      <c r="L148" t="s">
        <v>4049</v>
      </c>
      <c r="M148" s="1">
        <v>46237</v>
      </c>
      <c r="O148" t="s">
        <v>21</v>
      </c>
      <c r="P148" s="1">
        <v>46237</v>
      </c>
      <c r="Q148" s="1"/>
      <c r="R148" t="s">
        <v>4048</v>
      </c>
      <c r="S148" s="2">
        <f>CONSOLIDADO_2026[[#This Row],[Hora final]]-CONSOLIDADO_2026[[#This Row],[Hora inic]]</f>
        <v>0.33333333333333337</v>
      </c>
    </row>
    <row r="149" spans="1:19" x14ac:dyDescent="0.25">
      <c r="A149" t="s">
        <v>4004</v>
      </c>
      <c r="B149">
        <v>1007868236</v>
      </c>
      <c r="C149" t="s">
        <v>1453</v>
      </c>
      <c r="D149" t="s">
        <v>82</v>
      </c>
      <c r="E149" t="s">
        <v>4005</v>
      </c>
      <c r="F149" t="s">
        <v>25</v>
      </c>
      <c r="G149" s="1">
        <v>46235</v>
      </c>
      <c r="H149" s="1">
        <v>46235</v>
      </c>
      <c r="I149" s="2">
        <v>0.25</v>
      </c>
      <c r="J149" s="2">
        <v>0.66666666666666663</v>
      </c>
      <c r="L149" t="s">
        <v>261</v>
      </c>
      <c r="M149" s="1"/>
      <c r="O149" t="s">
        <v>4007</v>
      </c>
      <c r="P149" s="1"/>
      <c r="Q149" s="1"/>
      <c r="S149" s="2">
        <f>CONSOLIDADO_2026[[#This Row],[Hora final]]-CONSOLIDADO_2026[[#This Row],[Hora inic]]</f>
        <v>0.41666666666666663</v>
      </c>
    </row>
    <row r="150" spans="1:19" x14ac:dyDescent="0.25">
      <c r="A150" t="s">
        <v>4008</v>
      </c>
      <c r="B150">
        <v>1007868236</v>
      </c>
      <c r="C150" t="s">
        <v>1453</v>
      </c>
      <c r="D150" t="s">
        <v>82</v>
      </c>
      <c r="E150" t="s">
        <v>4005</v>
      </c>
      <c r="F150" t="s">
        <v>25</v>
      </c>
      <c r="G150" s="1">
        <v>46235</v>
      </c>
      <c r="H150" s="1">
        <v>46235</v>
      </c>
      <c r="I150" s="2"/>
      <c r="J150" s="2"/>
      <c r="L150" t="s">
        <v>4006</v>
      </c>
      <c r="M150" s="1"/>
      <c r="O150" t="s">
        <v>4007</v>
      </c>
      <c r="P150" s="1"/>
      <c r="Q150" s="1"/>
      <c r="S150" s="2">
        <f>CONSOLIDADO_2026[[#This Row],[Hora final]]-CONSOLIDADO_2026[[#This Row],[Hora inic]]</f>
        <v>0</v>
      </c>
    </row>
    <row r="151" spans="1:19" x14ac:dyDescent="0.25">
      <c r="A151" t="s">
        <v>4004</v>
      </c>
      <c r="B151">
        <v>1037668071</v>
      </c>
      <c r="C151" t="s">
        <v>1708</v>
      </c>
      <c r="D151" t="s">
        <v>64</v>
      </c>
      <c r="E151" t="s">
        <v>4012</v>
      </c>
      <c r="F151" t="s">
        <v>4040</v>
      </c>
      <c r="G151" s="1">
        <v>46235</v>
      </c>
      <c r="H151" s="1">
        <v>46235</v>
      </c>
      <c r="I151" s="2"/>
      <c r="J151" s="2"/>
      <c r="L151" t="s">
        <v>4050</v>
      </c>
      <c r="M151" s="1">
        <v>46235</v>
      </c>
      <c r="O151" t="s">
        <v>4007</v>
      </c>
      <c r="P151" s="1"/>
      <c r="Q151" s="1"/>
      <c r="R151" t="s">
        <v>4048</v>
      </c>
      <c r="S151" s="2">
        <f>CONSOLIDADO_2026[[#This Row],[Hora final]]-CONSOLIDADO_2026[[#This Row],[Hora inic]]</f>
        <v>0</v>
      </c>
    </row>
    <row r="152" spans="1:19" x14ac:dyDescent="0.25">
      <c r="A152" t="s">
        <v>4008</v>
      </c>
      <c r="B152">
        <v>1037668071</v>
      </c>
      <c r="C152" t="s">
        <v>1708</v>
      </c>
      <c r="D152" t="s">
        <v>64</v>
      </c>
      <c r="E152" t="s">
        <v>4012</v>
      </c>
      <c r="F152" t="s">
        <v>4040</v>
      </c>
      <c r="G152" s="1">
        <v>46235</v>
      </c>
      <c r="H152" s="1">
        <v>46235</v>
      </c>
      <c r="I152" s="2">
        <v>0.58333333333333337</v>
      </c>
      <c r="J152" s="2">
        <v>0.875</v>
      </c>
      <c r="L152" t="s">
        <v>4022</v>
      </c>
      <c r="M152" s="1">
        <v>46235</v>
      </c>
      <c r="O152" t="s">
        <v>4007</v>
      </c>
      <c r="P152" s="1">
        <v>46234</v>
      </c>
      <c r="Q152" s="1"/>
      <c r="R152" t="s">
        <v>4048</v>
      </c>
      <c r="S152" s="2">
        <f>CONSOLIDADO_2026[[#This Row],[Hora final]]-CONSOLIDADO_2026[[#This Row],[Hora inic]]</f>
        <v>0.29166666666666663</v>
      </c>
    </row>
    <row r="153" spans="1:19" x14ac:dyDescent="0.25">
      <c r="A153" t="s">
        <v>4004</v>
      </c>
      <c r="B153">
        <v>43271257</v>
      </c>
      <c r="C153" t="s">
        <v>1236</v>
      </c>
      <c r="D153" t="s">
        <v>34</v>
      </c>
      <c r="E153" t="s">
        <v>4011</v>
      </c>
      <c r="F153" t="s">
        <v>4040</v>
      </c>
      <c r="G153" s="1">
        <v>46235</v>
      </c>
      <c r="H153" s="1">
        <v>46235</v>
      </c>
      <c r="I153" s="2">
        <v>0.25</v>
      </c>
      <c r="J153" s="2">
        <v>0.66666666666666663</v>
      </c>
      <c r="L153" t="s">
        <v>4022</v>
      </c>
      <c r="M153" s="1">
        <v>46235</v>
      </c>
      <c r="O153" t="s">
        <v>4007</v>
      </c>
      <c r="P153" s="1">
        <v>46245</v>
      </c>
      <c r="Q153" s="1"/>
      <c r="R153" t="s">
        <v>4048</v>
      </c>
      <c r="S153" s="2">
        <f>CONSOLIDADO_2026[[#This Row],[Hora final]]-CONSOLIDADO_2026[[#This Row],[Hora inic]]</f>
        <v>0.41666666666666663</v>
      </c>
    </row>
    <row r="154" spans="1:19" x14ac:dyDescent="0.25">
      <c r="A154" t="s">
        <v>4008</v>
      </c>
      <c r="B154">
        <v>43271257</v>
      </c>
      <c r="C154" t="s">
        <v>1236</v>
      </c>
      <c r="D154" t="s">
        <v>34</v>
      </c>
      <c r="E154" t="s">
        <v>4011</v>
      </c>
      <c r="F154" t="s">
        <v>4040</v>
      </c>
      <c r="G154" s="1">
        <v>46235</v>
      </c>
      <c r="H154" s="1">
        <v>46235</v>
      </c>
      <c r="I154" s="2">
        <v>0.25</v>
      </c>
      <c r="J154" s="2">
        <v>0.54166666666666663</v>
      </c>
      <c r="L154" t="s">
        <v>4006</v>
      </c>
      <c r="M154" s="1">
        <v>46235</v>
      </c>
      <c r="O154" t="s">
        <v>4007</v>
      </c>
      <c r="P154" s="1">
        <v>46245</v>
      </c>
      <c r="Q154" s="1"/>
      <c r="R154" t="s">
        <v>4048</v>
      </c>
      <c r="S154" s="2">
        <f>CONSOLIDADO_2026[[#This Row],[Hora final]]-CONSOLIDADO_2026[[#This Row],[Hora inic]]</f>
        <v>0.29166666666666663</v>
      </c>
    </row>
    <row r="155" spans="1:19" x14ac:dyDescent="0.25">
      <c r="A155" t="s">
        <v>4004</v>
      </c>
      <c r="B155">
        <v>1046668203</v>
      </c>
      <c r="C155" t="s">
        <v>2645</v>
      </c>
      <c r="D155" t="s">
        <v>78</v>
      </c>
      <c r="E155" t="s">
        <v>4010</v>
      </c>
      <c r="F155" t="s">
        <v>25</v>
      </c>
      <c r="G155" s="1">
        <v>46235</v>
      </c>
      <c r="H155" s="1">
        <v>46235</v>
      </c>
      <c r="I155" s="2">
        <v>0.25</v>
      </c>
      <c r="J155" s="2">
        <v>0.66666666666666663</v>
      </c>
      <c r="L155" t="s">
        <v>4022</v>
      </c>
      <c r="M155" s="1"/>
      <c r="O155" t="s">
        <v>4007</v>
      </c>
      <c r="P155" s="1"/>
      <c r="Q155" s="1"/>
      <c r="S155" s="2">
        <f>CONSOLIDADO_2026[[#This Row],[Hora final]]-CONSOLIDADO_2026[[#This Row],[Hora inic]]</f>
        <v>0.41666666666666663</v>
      </c>
    </row>
    <row r="156" spans="1:19" x14ac:dyDescent="0.25">
      <c r="A156" t="s">
        <v>4008</v>
      </c>
      <c r="B156">
        <v>1046668203</v>
      </c>
      <c r="C156" t="s">
        <v>2645</v>
      </c>
      <c r="D156" t="s">
        <v>78</v>
      </c>
      <c r="E156" t="s">
        <v>4010</v>
      </c>
      <c r="F156" t="s">
        <v>25</v>
      </c>
      <c r="G156" s="1">
        <v>46235</v>
      </c>
      <c r="H156" s="1">
        <v>46235</v>
      </c>
      <c r="I156" s="2"/>
      <c r="J156" s="2"/>
      <c r="L156" t="s">
        <v>4006</v>
      </c>
      <c r="M156" s="1"/>
      <c r="O156" t="s">
        <v>4007</v>
      </c>
      <c r="P156" s="1"/>
      <c r="Q156" s="1"/>
      <c r="S156" s="2">
        <f>CONSOLIDADO_2026[[#This Row],[Hora final]]-CONSOLIDADO_2026[[#This Row],[Hora inic]]</f>
        <v>0</v>
      </c>
    </row>
    <row r="157" spans="1:19" x14ac:dyDescent="0.25">
      <c r="A157" t="s">
        <v>4004</v>
      </c>
      <c r="B157">
        <v>42827780</v>
      </c>
      <c r="C157" t="s">
        <v>2447</v>
      </c>
      <c r="D157" t="s">
        <v>197</v>
      </c>
      <c r="E157" t="s">
        <v>4005</v>
      </c>
      <c r="F157" t="s">
        <v>4040</v>
      </c>
      <c r="G157" s="1">
        <v>46235</v>
      </c>
      <c r="H157" s="1">
        <v>46235</v>
      </c>
      <c r="I157" s="2">
        <v>0.29166666666666669</v>
      </c>
      <c r="J157" s="2">
        <v>0.66666666666666663</v>
      </c>
      <c r="L157" t="s">
        <v>4022</v>
      </c>
      <c r="M157" s="1">
        <v>46235</v>
      </c>
      <c r="O157" t="s">
        <v>4007</v>
      </c>
      <c r="P157" s="1">
        <v>46235</v>
      </c>
      <c r="Q157" s="1"/>
      <c r="R157" t="s">
        <v>4048</v>
      </c>
      <c r="S157" s="2">
        <f>CONSOLIDADO_2026[[#This Row],[Hora final]]-CONSOLIDADO_2026[[#This Row],[Hora inic]]</f>
        <v>0.37499999999999994</v>
      </c>
    </row>
    <row r="158" spans="1:19" x14ac:dyDescent="0.25">
      <c r="A158" t="s">
        <v>4008</v>
      </c>
      <c r="B158">
        <v>42827780</v>
      </c>
      <c r="C158" t="s">
        <v>2447</v>
      </c>
      <c r="D158" t="s">
        <v>197</v>
      </c>
      <c r="E158" t="s">
        <v>4005</v>
      </c>
      <c r="F158" t="s">
        <v>25</v>
      </c>
      <c r="G158" s="1">
        <v>46235</v>
      </c>
      <c r="H158" s="1">
        <v>46235</v>
      </c>
      <c r="I158" s="2"/>
      <c r="J158" s="2"/>
      <c r="L158" t="s">
        <v>4006</v>
      </c>
      <c r="M158" s="1"/>
      <c r="O158" t="s">
        <v>4007</v>
      </c>
      <c r="P158" s="1"/>
      <c r="Q158" s="1"/>
      <c r="S158" s="2">
        <f>CONSOLIDADO_2026[[#This Row],[Hora final]]-CONSOLIDADO_2026[[#This Row],[Hora inic]]</f>
        <v>0</v>
      </c>
    </row>
    <row r="159" spans="1:19" x14ac:dyDescent="0.25">
      <c r="A159" t="s">
        <v>4004</v>
      </c>
      <c r="B159">
        <v>1045017347</v>
      </c>
      <c r="C159" t="s">
        <v>1218</v>
      </c>
      <c r="D159" t="s">
        <v>326</v>
      </c>
      <c r="E159" t="s">
        <v>4012</v>
      </c>
      <c r="F159" t="s">
        <v>4040</v>
      </c>
      <c r="G159" s="1">
        <v>46235</v>
      </c>
      <c r="H159" s="1">
        <v>46235</v>
      </c>
      <c r="I159" s="2">
        <v>0.25</v>
      </c>
      <c r="J159" s="2">
        <v>0.66666666666666663</v>
      </c>
      <c r="L159" t="s">
        <v>4022</v>
      </c>
      <c r="M159" s="1">
        <v>46235</v>
      </c>
      <c r="O159" t="s">
        <v>4007</v>
      </c>
      <c r="P159" s="1">
        <v>46235</v>
      </c>
      <c r="Q159" s="1"/>
      <c r="R159" t="s">
        <v>4048</v>
      </c>
      <c r="S159" s="2">
        <f>CONSOLIDADO_2026[[#This Row],[Hora final]]-CONSOLIDADO_2026[[#This Row],[Hora inic]]</f>
        <v>0.41666666666666663</v>
      </c>
    </row>
    <row r="160" spans="1:19" x14ac:dyDescent="0.25">
      <c r="A160" t="s">
        <v>4008</v>
      </c>
      <c r="B160">
        <v>1045017347</v>
      </c>
      <c r="C160" t="s">
        <v>1218</v>
      </c>
      <c r="D160" t="s">
        <v>326</v>
      </c>
      <c r="E160" t="s">
        <v>4005</v>
      </c>
      <c r="F160" t="s">
        <v>25</v>
      </c>
      <c r="G160" s="1">
        <v>46235</v>
      </c>
      <c r="H160" s="1">
        <v>46235</v>
      </c>
      <c r="I160" s="2">
        <v>0.54166666666666663</v>
      </c>
      <c r="J160" s="2">
        <v>0.875</v>
      </c>
      <c r="L160" t="s">
        <v>4006</v>
      </c>
      <c r="M160" s="1"/>
      <c r="O160" t="s">
        <v>4007</v>
      </c>
      <c r="P160" s="1"/>
      <c r="Q160" s="1"/>
      <c r="S160" s="2">
        <f>CONSOLIDADO_2026[[#This Row],[Hora final]]-CONSOLIDADO_2026[[#This Row],[Hora inic]]</f>
        <v>0.33333333333333337</v>
      </c>
    </row>
    <row r="161" spans="1:19" x14ac:dyDescent="0.25">
      <c r="A161" t="s">
        <v>4004</v>
      </c>
      <c r="B161">
        <v>1037642818</v>
      </c>
      <c r="C161" t="s">
        <v>3657</v>
      </c>
      <c r="D161" t="s">
        <v>41</v>
      </c>
      <c r="E161" t="s">
        <v>4011</v>
      </c>
      <c r="F161" t="s">
        <v>4040</v>
      </c>
      <c r="G161" s="1">
        <v>46235</v>
      </c>
      <c r="H161" s="1"/>
      <c r="I161" s="2"/>
      <c r="J161" s="2"/>
      <c r="L161" t="s">
        <v>4050</v>
      </c>
      <c r="M161" s="1"/>
      <c r="O161" t="s">
        <v>4007</v>
      </c>
      <c r="P161" s="1"/>
      <c r="Q161" s="1">
        <v>46245</v>
      </c>
      <c r="R161" t="s">
        <v>4041</v>
      </c>
      <c r="S161" s="2">
        <f>CONSOLIDADO_2026[[#This Row],[Hora final]]-CONSOLIDADO_2026[[#This Row],[Hora inic]]</f>
        <v>0</v>
      </c>
    </row>
    <row r="162" spans="1:19" x14ac:dyDescent="0.25">
      <c r="A162" t="s">
        <v>4008</v>
      </c>
      <c r="B162">
        <v>1037642818</v>
      </c>
      <c r="C162" t="s">
        <v>3657</v>
      </c>
      <c r="D162" t="s">
        <v>41</v>
      </c>
      <c r="E162" t="s">
        <v>4011</v>
      </c>
      <c r="F162" t="s">
        <v>4040</v>
      </c>
      <c r="G162" s="1">
        <v>46235</v>
      </c>
      <c r="H162" s="1"/>
      <c r="I162" s="2">
        <v>0.25</v>
      </c>
      <c r="J162" s="2">
        <v>0.58333333333333337</v>
      </c>
      <c r="L162" t="s">
        <v>4022</v>
      </c>
      <c r="M162" s="1"/>
      <c r="O162" t="s">
        <v>4007</v>
      </c>
      <c r="P162" s="1"/>
      <c r="Q162" s="1">
        <v>46245</v>
      </c>
      <c r="R162" t="s">
        <v>4041</v>
      </c>
      <c r="S162" s="2">
        <f>CONSOLIDADO_2026[[#This Row],[Hora final]]-CONSOLIDADO_2026[[#This Row],[Hora inic]]</f>
        <v>0.33333333333333337</v>
      </c>
    </row>
    <row r="163" spans="1:19" x14ac:dyDescent="0.25">
      <c r="A163" t="s">
        <v>4016</v>
      </c>
      <c r="B163">
        <v>1037642818</v>
      </c>
      <c r="C163" t="s">
        <v>3657</v>
      </c>
      <c r="D163" t="s">
        <v>41</v>
      </c>
      <c r="E163" t="s">
        <v>4011</v>
      </c>
      <c r="F163" t="s">
        <v>4040</v>
      </c>
      <c r="G163" s="1">
        <v>46235</v>
      </c>
      <c r="H163" s="1"/>
      <c r="I163" s="2">
        <v>0.25</v>
      </c>
      <c r="J163" s="2">
        <v>0.58333333333333337</v>
      </c>
      <c r="L163" t="s">
        <v>4051</v>
      </c>
      <c r="M163" s="1"/>
      <c r="O163" t="s">
        <v>4007</v>
      </c>
      <c r="P163" s="1"/>
      <c r="Q163" s="1"/>
      <c r="S163" s="2">
        <f>CONSOLIDADO_2026[[#This Row],[Hora final]]-CONSOLIDADO_2026[[#This Row],[Hora inic]]</f>
        <v>0.33333333333333337</v>
      </c>
    </row>
    <row r="164" spans="1:19" x14ac:dyDescent="0.25">
      <c r="A164" t="s">
        <v>4004</v>
      </c>
      <c r="B164">
        <v>1035442917</v>
      </c>
      <c r="C164" t="s">
        <v>2736</v>
      </c>
      <c r="D164" t="s">
        <v>197</v>
      </c>
      <c r="E164" t="s">
        <v>4005</v>
      </c>
      <c r="F164" t="s">
        <v>4040</v>
      </c>
      <c r="G164" s="1">
        <v>46235</v>
      </c>
      <c r="H164" s="1"/>
      <c r="I164" s="2">
        <v>0.25</v>
      </c>
      <c r="J164" s="2">
        <v>0.66666666666666663</v>
      </c>
      <c r="L164" t="s">
        <v>4022</v>
      </c>
      <c r="M164" s="1"/>
      <c r="O164" t="s">
        <v>4007</v>
      </c>
      <c r="P164" s="1"/>
      <c r="Q164" s="1">
        <v>46245</v>
      </c>
      <c r="R164" t="s">
        <v>4041</v>
      </c>
      <c r="S164" s="2">
        <f>CONSOLIDADO_2026[[#This Row],[Hora final]]-CONSOLIDADO_2026[[#This Row],[Hora inic]]</f>
        <v>0.41666666666666663</v>
      </c>
    </row>
    <row r="165" spans="1:19" x14ac:dyDescent="0.25">
      <c r="A165" t="s">
        <v>4008</v>
      </c>
      <c r="B165">
        <v>1035442917</v>
      </c>
      <c r="C165" t="s">
        <v>2736</v>
      </c>
      <c r="D165" t="s">
        <v>197</v>
      </c>
      <c r="E165" t="s">
        <v>4005</v>
      </c>
      <c r="F165" t="s">
        <v>4040</v>
      </c>
      <c r="G165" s="1">
        <v>46235</v>
      </c>
      <c r="H165" s="1"/>
      <c r="I165" s="2">
        <v>0.25</v>
      </c>
      <c r="J165" s="2">
        <v>0.54166666666666663</v>
      </c>
      <c r="L165" t="s">
        <v>4052</v>
      </c>
      <c r="M165" s="1"/>
      <c r="O165" t="s">
        <v>21</v>
      </c>
      <c r="P165" s="1"/>
      <c r="Q165" s="1">
        <v>46245</v>
      </c>
      <c r="R165" t="s">
        <v>4041</v>
      </c>
      <c r="S165" s="2">
        <f>CONSOLIDADO_2026[[#This Row],[Hora final]]-CONSOLIDADO_2026[[#This Row],[Hora inic]]</f>
        <v>0.29166666666666663</v>
      </c>
    </row>
    <row r="166" spans="1:19" x14ac:dyDescent="0.25">
      <c r="A166" t="s">
        <v>4016</v>
      </c>
      <c r="B166">
        <v>1035442917</v>
      </c>
      <c r="C166" t="s">
        <v>2736</v>
      </c>
      <c r="D166" t="s">
        <v>197</v>
      </c>
      <c r="E166" t="s">
        <v>4005</v>
      </c>
      <c r="F166" t="s">
        <v>4040</v>
      </c>
      <c r="G166" s="1">
        <v>46235</v>
      </c>
      <c r="H166" s="1"/>
      <c r="I166" s="2"/>
      <c r="J166" s="2"/>
      <c r="L166" t="s">
        <v>4051</v>
      </c>
      <c r="M166" s="1"/>
      <c r="O166" t="s">
        <v>4007</v>
      </c>
      <c r="P166" s="1"/>
      <c r="Q166" s="1"/>
      <c r="S166" s="2">
        <f>CONSOLIDADO_2026[[#This Row],[Hora final]]-CONSOLIDADO_2026[[#This Row],[Hora inic]]</f>
        <v>0</v>
      </c>
    </row>
    <row r="167" spans="1:19" x14ac:dyDescent="0.25">
      <c r="A167" t="s">
        <v>4004</v>
      </c>
      <c r="B167">
        <v>1000640650</v>
      </c>
      <c r="C167" t="s">
        <v>3726</v>
      </c>
      <c r="D167" t="s">
        <v>160</v>
      </c>
      <c r="E167" t="s">
        <v>4011</v>
      </c>
      <c r="F167" t="s">
        <v>4040</v>
      </c>
      <c r="G167" s="1">
        <v>46235</v>
      </c>
      <c r="H167" s="1">
        <v>46235</v>
      </c>
      <c r="I167" s="2">
        <v>0.25</v>
      </c>
      <c r="J167" s="2">
        <v>0.66666666666666663</v>
      </c>
      <c r="L167" t="s">
        <v>4022</v>
      </c>
      <c r="M167" s="1">
        <v>46235</v>
      </c>
      <c r="O167" t="s">
        <v>4007</v>
      </c>
      <c r="P167" s="1">
        <v>46235</v>
      </c>
      <c r="Q167" s="1"/>
      <c r="R167" t="s">
        <v>4048</v>
      </c>
      <c r="S167" s="2">
        <f>CONSOLIDADO_2026[[#This Row],[Hora final]]-CONSOLIDADO_2026[[#This Row],[Hora inic]]</f>
        <v>0.41666666666666663</v>
      </c>
    </row>
    <row r="168" spans="1:19" x14ac:dyDescent="0.25">
      <c r="A168" t="s">
        <v>4008</v>
      </c>
      <c r="B168">
        <v>1000640650</v>
      </c>
      <c r="C168" t="s">
        <v>3726</v>
      </c>
      <c r="D168" t="s">
        <v>160</v>
      </c>
      <c r="E168" t="s">
        <v>4011</v>
      </c>
      <c r="F168" t="s">
        <v>25</v>
      </c>
      <c r="G168" s="1">
        <v>46235</v>
      </c>
      <c r="H168" s="1">
        <v>46235</v>
      </c>
      <c r="I168" s="2"/>
      <c r="J168" s="2"/>
      <c r="L168" t="s">
        <v>4006</v>
      </c>
      <c r="M168" s="1"/>
      <c r="O168" t="s">
        <v>4007</v>
      </c>
      <c r="P168" s="1"/>
      <c r="Q168" s="1"/>
      <c r="S168" s="2">
        <f>CONSOLIDADO_2026[[#This Row],[Hora final]]-CONSOLIDADO_2026[[#This Row],[Hora inic]]</f>
        <v>0</v>
      </c>
    </row>
    <row r="169" spans="1:19" x14ac:dyDescent="0.25">
      <c r="A169" t="s">
        <v>4004</v>
      </c>
      <c r="B169">
        <v>1233189573</v>
      </c>
      <c r="C169" t="s">
        <v>2806</v>
      </c>
      <c r="D169" t="s">
        <v>142</v>
      </c>
      <c r="E169" t="s">
        <v>4012</v>
      </c>
      <c r="F169" t="s">
        <v>4040</v>
      </c>
      <c r="G169" s="1">
        <v>46235</v>
      </c>
      <c r="H169" s="1">
        <v>46235</v>
      </c>
      <c r="I169" s="2">
        <v>0.25</v>
      </c>
      <c r="J169" s="2">
        <v>0.66666666666666663</v>
      </c>
      <c r="L169" t="s">
        <v>4022</v>
      </c>
      <c r="M169" s="1">
        <v>46235</v>
      </c>
      <c r="O169" t="s">
        <v>4007</v>
      </c>
      <c r="P169" s="1">
        <v>46235</v>
      </c>
      <c r="Q169" s="1"/>
      <c r="R169" t="s">
        <v>4048</v>
      </c>
      <c r="S169" s="2">
        <f>CONSOLIDADO_2026[[#This Row],[Hora final]]-CONSOLIDADO_2026[[#This Row],[Hora inic]]</f>
        <v>0.41666666666666663</v>
      </c>
    </row>
    <row r="170" spans="1:19" x14ac:dyDescent="0.25">
      <c r="A170" t="s">
        <v>4008</v>
      </c>
      <c r="B170">
        <v>1233189573</v>
      </c>
      <c r="C170" t="s">
        <v>2806</v>
      </c>
      <c r="D170" t="s">
        <v>142</v>
      </c>
      <c r="E170" t="s">
        <v>4012</v>
      </c>
      <c r="F170" t="s">
        <v>25</v>
      </c>
      <c r="G170" s="1">
        <v>46235</v>
      </c>
      <c r="H170" s="1">
        <v>46235</v>
      </c>
      <c r="I170" s="2"/>
      <c r="J170" s="2"/>
      <c r="L170" t="s">
        <v>4006</v>
      </c>
      <c r="M170" s="1"/>
      <c r="O170" t="s">
        <v>4007</v>
      </c>
      <c r="P170" s="1"/>
      <c r="Q170" s="1"/>
      <c r="S170" s="2">
        <f>CONSOLIDADO_2026[[#This Row],[Hora final]]-CONSOLIDADO_2026[[#This Row],[Hora inic]]</f>
        <v>0</v>
      </c>
    </row>
    <row r="171" spans="1:19" x14ac:dyDescent="0.25">
      <c r="A171" t="s">
        <v>4004</v>
      </c>
      <c r="B171">
        <v>1088348251</v>
      </c>
      <c r="C171" t="s">
        <v>2111</v>
      </c>
      <c r="D171" t="s">
        <v>142</v>
      </c>
      <c r="E171" t="s">
        <v>4012</v>
      </c>
      <c r="F171" t="s">
        <v>4040</v>
      </c>
      <c r="G171" s="1">
        <v>46235</v>
      </c>
      <c r="H171" s="1">
        <v>46235</v>
      </c>
      <c r="I171" s="2">
        <v>0.25</v>
      </c>
      <c r="J171" s="2">
        <v>0.66666666666666663</v>
      </c>
      <c r="L171" t="s">
        <v>4022</v>
      </c>
      <c r="M171" s="1">
        <v>46235</v>
      </c>
      <c r="O171" t="s">
        <v>4007</v>
      </c>
      <c r="P171" s="1">
        <v>46235</v>
      </c>
      <c r="Q171" s="1"/>
      <c r="R171" t="s">
        <v>4048</v>
      </c>
      <c r="S171" s="2">
        <f>CONSOLIDADO_2026[[#This Row],[Hora final]]-CONSOLIDADO_2026[[#This Row],[Hora inic]]</f>
        <v>0.41666666666666663</v>
      </c>
    </row>
    <row r="172" spans="1:19" x14ac:dyDescent="0.25">
      <c r="A172" t="s">
        <v>4008</v>
      </c>
      <c r="B172">
        <v>1088348251</v>
      </c>
      <c r="C172" t="s">
        <v>2111</v>
      </c>
      <c r="D172" t="s">
        <v>142</v>
      </c>
      <c r="E172" t="s">
        <v>4012</v>
      </c>
      <c r="F172" t="s">
        <v>4040</v>
      </c>
      <c r="G172" s="1">
        <v>46235</v>
      </c>
      <c r="H172" s="1">
        <v>46235</v>
      </c>
      <c r="I172" s="2">
        <v>0.54166666666666663</v>
      </c>
      <c r="J172" s="2">
        <v>0.83333333333333337</v>
      </c>
      <c r="L172" t="s">
        <v>4022</v>
      </c>
      <c r="M172" s="1">
        <v>46235</v>
      </c>
      <c r="O172" t="s">
        <v>4007</v>
      </c>
      <c r="P172" s="1">
        <v>46235</v>
      </c>
      <c r="Q172" s="1"/>
      <c r="R172" t="s">
        <v>4048</v>
      </c>
      <c r="S172" s="2">
        <f>CONSOLIDADO_2026[[#This Row],[Hora final]]-CONSOLIDADO_2026[[#This Row],[Hora inic]]</f>
        <v>0.29166666666666674</v>
      </c>
    </row>
    <row r="173" spans="1:19" x14ac:dyDescent="0.25">
      <c r="A173" t="s">
        <v>4004</v>
      </c>
      <c r="B173">
        <v>1193584838</v>
      </c>
      <c r="C173" t="s">
        <v>2955</v>
      </c>
      <c r="D173" t="s">
        <v>142</v>
      </c>
      <c r="E173" t="s">
        <v>4012</v>
      </c>
      <c r="F173" t="s">
        <v>4040</v>
      </c>
      <c r="G173" s="1">
        <v>46235</v>
      </c>
      <c r="H173" s="1">
        <v>46235</v>
      </c>
      <c r="I173" s="2">
        <v>0.25</v>
      </c>
      <c r="J173" s="2">
        <v>0.66666666666666663</v>
      </c>
      <c r="L173" t="s">
        <v>4022</v>
      </c>
      <c r="M173" s="1">
        <v>46235</v>
      </c>
      <c r="O173" t="s">
        <v>4007</v>
      </c>
      <c r="P173" s="1">
        <v>46245</v>
      </c>
      <c r="Q173" s="1"/>
      <c r="R173" t="s">
        <v>4048</v>
      </c>
      <c r="S173" s="2">
        <f>CONSOLIDADO_2026[[#This Row],[Hora final]]-CONSOLIDADO_2026[[#This Row],[Hora inic]]</f>
        <v>0.41666666666666663</v>
      </c>
    </row>
    <row r="174" spans="1:19" x14ac:dyDescent="0.25">
      <c r="A174" t="s">
        <v>4008</v>
      </c>
      <c r="B174">
        <v>1193584838</v>
      </c>
      <c r="C174" t="s">
        <v>2955</v>
      </c>
      <c r="D174" t="s">
        <v>420</v>
      </c>
      <c r="E174" t="s">
        <v>4010</v>
      </c>
      <c r="F174" t="s">
        <v>25</v>
      </c>
      <c r="G174" s="1">
        <v>46235</v>
      </c>
      <c r="H174" s="1">
        <v>46235</v>
      </c>
      <c r="I174" s="2">
        <v>0.58333333333333337</v>
      </c>
      <c r="J174" s="2">
        <v>0.79166666666666663</v>
      </c>
      <c r="L174" t="s">
        <v>4006</v>
      </c>
      <c r="M174" s="1"/>
      <c r="O174" t="s">
        <v>4007</v>
      </c>
      <c r="P174" s="1"/>
      <c r="Q174" s="1"/>
      <c r="S174" s="2">
        <f>CONSOLIDADO_2026[[#This Row],[Hora final]]-CONSOLIDADO_2026[[#This Row],[Hora inic]]</f>
        <v>0.20833333333333326</v>
      </c>
    </row>
    <row r="175" spans="1:19" x14ac:dyDescent="0.25">
      <c r="A175" t="s">
        <v>4004</v>
      </c>
      <c r="B175">
        <v>1017241980</v>
      </c>
      <c r="C175" t="s">
        <v>1389</v>
      </c>
      <c r="D175" t="s">
        <v>64</v>
      </c>
      <c r="E175" t="s">
        <v>4012</v>
      </c>
      <c r="F175" t="s">
        <v>4053</v>
      </c>
      <c r="G175" s="1">
        <v>46235</v>
      </c>
      <c r="H175" s="1">
        <v>46235</v>
      </c>
      <c r="I175" s="2">
        <v>0.25</v>
      </c>
      <c r="J175" s="2">
        <v>0.66666666666666663</v>
      </c>
      <c r="L175" t="s">
        <v>261</v>
      </c>
      <c r="M175" s="1"/>
      <c r="O175" t="s">
        <v>4007</v>
      </c>
      <c r="P175" s="1"/>
      <c r="Q175" s="1"/>
      <c r="S175" s="2">
        <f>CONSOLIDADO_2026[[#This Row],[Hora final]]-CONSOLIDADO_2026[[#This Row],[Hora inic]]</f>
        <v>0.41666666666666663</v>
      </c>
    </row>
    <row r="176" spans="1:19" x14ac:dyDescent="0.25">
      <c r="A176" t="s">
        <v>4008</v>
      </c>
      <c r="B176">
        <v>1017241980</v>
      </c>
      <c r="C176" t="s">
        <v>1389</v>
      </c>
      <c r="D176" t="s">
        <v>64</v>
      </c>
      <c r="E176" t="s">
        <v>4012</v>
      </c>
      <c r="F176" t="s">
        <v>4053</v>
      </c>
      <c r="G176" s="1">
        <v>46235</v>
      </c>
      <c r="H176" s="1">
        <v>46235</v>
      </c>
      <c r="I176" s="2"/>
      <c r="J176" s="2"/>
      <c r="L176" t="s">
        <v>4006</v>
      </c>
      <c r="M176" s="1"/>
      <c r="O176" t="s">
        <v>4007</v>
      </c>
      <c r="P176" s="1"/>
      <c r="Q176" s="1"/>
      <c r="S176" s="2">
        <f>CONSOLIDADO_2026[[#This Row],[Hora final]]-CONSOLIDADO_2026[[#This Row],[Hora inic]]</f>
        <v>0</v>
      </c>
    </row>
    <row r="177" spans="1:19" x14ac:dyDescent="0.25">
      <c r="A177" t="s">
        <v>4004</v>
      </c>
      <c r="B177">
        <v>1036962119</v>
      </c>
      <c r="C177" t="s">
        <v>1951</v>
      </c>
      <c r="D177" t="s">
        <v>78</v>
      </c>
      <c r="E177" t="s">
        <v>4010</v>
      </c>
      <c r="F177" t="s">
        <v>4040</v>
      </c>
      <c r="G177" s="1">
        <v>46235</v>
      </c>
      <c r="H177" s="1">
        <v>46235</v>
      </c>
      <c r="I177" s="2">
        <v>0.25</v>
      </c>
      <c r="J177" s="2">
        <v>0.66666666666666663</v>
      </c>
      <c r="L177" t="s">
        <v>4022</v>
      </c>
      <c r="M177" s="1">
        <v>46238</v>
      </c>
      <c r="O177" t="s">
        <v>4007</v>
      </c>
      <c r="P177" s="1">
        <v>46238</v>
      </c>
      <c r="Q177" s="1"/>
      <c r="R177" t="s">
        <v>4048</v>
      </c>
      <c r="S177" s="2">
        <f>CONSOLIDADO_2026[[#This Row],[Hora final]]-CONSOLIDADO_2026[[#This Row],[Hora inic]]</f>
        <v>0.41666666666666663</v>
      </c>
    </row>
    <row r="178" spans="1:19" x14ac:dyDescent="0.25">
      <c r="A178" t="s">
        <v>4013</v>
      </c>
      <c r="B178">
        <v>1036962119</v>
      </c>
      <c r="C178" t="s">
        <v>1951</v>
      </c>
      <c r="D178" t="s">
        <v>78</v>
      </c>
      <c r="E178" t="s">
        <v>4010</v>
      </c>
      <c r="F178" t="s">
        <v>25</v>
      </c>
      <c r="G178" s="1">
        <v>46235</v>
      </c>
      <c r="H178" s="1">
        <v>46235</v>
      </c>
      <c r="I178" s="2"/>
      <c r="J178" s="2"/>
      <c r="L178" t="s">
        <v>4006</v>
      </c>
      <c r="M178" s="1"/>
      <c r="O178" t="s">
        <v>4007</v>
      </c>
      <c r="P178" s="1"/>
      <c r="Q178" s="1"/>
      <c r="S178" s="2">
        <f>CONSOLIDADO_2026[[#This Row],[Hora final]]-CONSOLIDADO_2026[[#This Row],[Hora inic]]</f>
        <v>0</v>
      </c>
    </row>
    <row r="179" spans="1:19" x14ac:dyDescent="0.25">
      <c r="A179" t="s">
        <v>4008</v>
      </c>
      <c r="B179">
        <v>1032491944</v>
      </c>
      <c r="C179" t="s">
        <v>607</v>
      </c>
      <c r="D179" t="s">
        <v>24</v>
      </c>
      <c r="E179" t="s">
        <v>4011</v>
      </c>
      <c r="F179" t="s">
        <v>4040</v>
      </c>
      <c r="G179" s="1">
        <v>46237</v>
      </c>
      <c r="H179" s="1">
        <v>46241</v>
      </c>
      <c r="I179" s="2">
        <v>0.25</v>
      </c>
      <c r="J179" s="2">
        <v>0.58333333333333337</v>
      </c>
      <c r="L179" t="s">
        <v>4054</v>
      </c>
      <c r="M179" s="1">
        <v>46237</v>
      </c>
      <c r="O179" t="s">
        <v>21</v>
      </c>
      <c r="P179" s="1">
        <v>46237</v>
      </c>
      <c r="Q179" s="1"/>
      <c r="R179" t="s">
        <v>4048</v>
      </c>
      <c r="S179" s="2">
        <f>CONSOLIDADO_2026[[#This Row],[Hora final]]-CONSOLIDADO_2026[[#This Row],[Hora inic]]</f>
        <v>0.33333333333333337</v>
      </c>
    </row>
    <row r="180" spans="1:19" x14ac:dyDescent="0.25">
      <c r="A180" t="s">
        <v>4013</v>
      </c>
      <c r="B180">
        <v>1032491944</v>
      </c>
      <c r="C180" t="s">
        <v>23</v>
      </c>
      <c r="D180" t="s">
        <v>24</v>
      </c>
      <c r="E180" t="s">
        <v>4011</v>
      </c>
      <c r="F180" t="s">
        <v>25</v>
      </c>
      <c r="G180" s="1">
        <v>46237</v>
      </c>
      <c r="H180" s="1">
        <v>46241</v>
      </c>
      <c r="I180" s="2">
        <v>0.25</v>
      </c>
      <c r="J180" s="2">
        <v>0.58333333333333337</v>
      </c>
      <c r="K180" t="s">
        <v>178</v>
      </c>
      <c r="L180" t="s">
        <v>179</v>
      </c>
      <c r="M180" s="1"/>
      <c r="O180" t="s">
        <v>21</v>
      </c>
      <c r="P180" s="1"/>
      <c r="Q180" s="1"/>
      <c r="S180" s="2">
        <f>CONSOLIDADO_2026[[#This Row],[Hora final]]-CONSOLIDADO_2026[[#This Row],[Hora inic]]</f>
        <v>0.33333333333333337</v>
      </c>
    </row>
    <row r="181" spans="1:19" x14ac:dyDescent="0.25">
      <c r="A181" t="s">
        <v>4008</v>
      </c>
      <c r="B181">
        <v>1007223463</v>
      </c>
      <c r="C181" t="s">
        <v>487</v>
      </c>
      <c r="D181" t="s">
        <v>211</v>
      </c>
      <c r="E181" t="s">
        <v>4017</v>
      </c>
      <c r="F181" t="s">
        <v>4039</v>
      </c>
      <c r="G181" s="1">
        <v>46237</v>
      </c>
      <c r="H181" s="1">
        <v>46237</v>
      </c>
      <c r="I181" s="2">
        <v>0.25</v>
      </c>
      <c r="J181" s="2">
        <v>0.58333333333333337</v>
      </c>
      <c r="K181" t="s">
        <v>486</v>
      </c>
      <c r="L181" t="s">
        <v>487</v>
      </c>
      <c r="M181" s="1"/>
      <c r="O181" t="s">
        <v>4007</v>
      </c>
      <c r="P181" s="1"/>
      <c r="Q181" s="1"/>
      <c r="S181" s="2">
        <f>CONSOLIDADO_2026[[#This Row],[Hora final]]-CONSOLIDADO_2026[[#This Row],[Hora inic]]</f>
        <v>0.33333333333333337</v>
      </c>
    </row>
    <row r="182" spans="1:19" x14ac:dyDescent="0.25">
      <c r="A182" t="s">
        <v>4008</v>
      </c>
      <c r="B182">
        <v>1037659560</v>
      </c>
      <c r="C182" t="s">
        <v>166</v>
      </c>
      <c r="D182" t="s">
        <v>41</v>
      </c>
      <c r="E182" t="s">
        <v>4011</v>
      </c>
      <c r="F182" t="s">
        <v>4040</v>
      </c>
      <c r="G182" s="1">
        <v>46235</v>
      </c>
      <c r="H182" s="1">
        <v>46240</v>
      </c>
      <c r="I182" s="2">
        <v>0.58333333333333337</v>
      </c>
      <c r="J182" s="2">
        <v>0.875</v>
      </c>
      <c r="L182" t="s">
        <v>4055</v>
      </c>
      <c r="M182" s="1">
        <v>46237</v>
      </c>
      <c r="O182" t="s">
        <v>21</v>
      </c>
      <c r="P182" s="1"/>
      <c r="Q182" s="1"/>
      <c r="R182" t="s">
        <v>4048</v>
      </c>
      <c r="S182" s="2">
        <f>CONSOLIDADO_2026[[#This Row],[Hora final]]-CONSOLIDADO_2026[[#This Row],[Hora inic]]</f>
        <v>0.29166666666666663</v>
      </c>
    </row>
    <row r="183" spans="1:19" x14ac:dyDescent="0.25">
      <c r="A183" t="s">
        <v>4013</v>
      </c>
      <c r="B183">
        <v>1037659560</v>
      </c>
      <c r="C183" t="s">
        <v>166</v>
      </c>
      <c r="D183" t="s">
        <v>41</v>
      </c>
      <c r="E183" t="s">
        <v>4011</v>
      </c>
      <c r="F183" t="s">
        <v>25</v>
      </c>
      <c r="G183" s="1">
        <v>46235</v>
      </c>
      <c r="H183" s="1">
        <v>46240</v>
      </c>
      <c r="I183" s="2">
        <v>0.54166666666666663</v>
      </c>
      <c r="J183" s="2">
        <v>0.875</v>
      </c>
      <c r="L183" t="s">
        <v>261</v>
      </c>
      <c r="M183" s="1"/>
      <c r="O183" t="s">
        <v>4007</v>
      </c>
      <c r="P183" s="1"/>
      <c r="Q183" s="1"/>
      <c r="S183" s="2">
        <f>CONSOLIDADO_2026[[#This Row],[Hora final]]-CONSOLIDADO_2026[[#This Row],[Hora inic]]</f>
        <v>0.33333333333333337</v>
      </c>
    </row>
    <row r="184" spans="1:19" x14ac:dyDescent="0.25">
      <c r="A184" t="s">
        <v>4008</v>
      </c>
      <c r="B184">
        <v>1001851670</v>
      </c>
      <c r="C184" t="s">
        <v>14</v>
      </c>
      <c r="D184" t="s">
        <v>15</v>
      </c>
      <c r="E184" t="s">
        <v>4012</v>
      </c>
      <c r="F184" t="s">
        <v>16</v>
      </c>
      <c r="G184" s="1">
        <v>46237</v>
      </c>
      <c r="H184" s="1">
        <v>46366</v>
      </c>
      <c r="I184" s="2">
        <v>0.25</v>
      </c>
      <c r="J184" s="2">
        <v>0.54166666666666663</v>
      </c>
      <c r="L184" t="s">
        <v>261</v>
      </c>
      <c r="M184" s="1"/>
      <c r="O184" t="s">
        <v>4007</v>
      </c>
      <c r="P184" s="1"/>
      <c r="Q184" s="1"/>
      <c r="S184" s="2">
        <f>CONSOLIDADO_2026[[#This Row],[Hora final]]-CONSOLIDADO_2026[[#This Row],[Hora inic]]</f>
        <v>0.29166666666666663</v>
      </c>
    </row>
    <row r="185" spans="1:19" x14ac:dyDescent="0.25">
      <c r="A185" t="s">
        <v>4016</v>
      </c>
      <c r="B185">
        <v>1001851670</v>
      </c>
      <c r="C185" t="s">
        <v>14</v>
      </c>
      <c r="D185" t="s">
        <v>15</v>
      </c>
      <c r="E185" t="s">
        <v>4012</v>
      </c>
      <c r="F185" t="s">
        <v>16</v>
      </c>
      <c r="G185" s="1">
        <v>46237</v>
      </c>
      <c r="H185" s="1">
        <v>46366</v>
      </c>
      <c r="I185" s="2">
        <v>0.54166666666666663</v>
      </c>
      <c r="J185" s="2">
        <v>0.875</v>
      </c>
      <c r="K185" t="s">
        <v>237</v>
      </c>
      <c r="L185" t="s">
        <v>238</v>
      </c>
      <c r="M185" s="1"/>
      <c r="O185" t="s">
        <v>21</v>
      </c>
      <c r="P185" s="1"/>
      <c r="Q185" s="1"/>
      <c r="S185" s="2">
        <f>CONSOLIDADO_2026[[#This Row],[Hora final]]-CONSOLIDADO_2026[[#This Row],[Hora inic]]</f>
        <v>0.33333333333333337</v>
      </c>
    </row>
    <row r="186" spans="1:19" x14ac:dyDescent="0.25">
      <c r="A186" t="s">
        <v>4013</v>
      </c>
      <c r="B186">
        <v>1001851670</v>
      </c>
      <c r="C186" t="s">
        <v>14</v>
      </c>
      <c r="D186" t="s">
        <v>15</v>
      </c>
      <c r="E186" t="s">
        <v>4012</v>
      </c>
      <c r="F186" t="s">
        <v>16</v>
      </c>
      <c r="G186" s="1">
        <v>46237</v>
      </c>
      <c r="H186" s="1">
        <v>46366</v>
      </c>
      <c r="I186" s="2">
        <v>0.25</v>
      </c>
      <c r="J186" s="2">
        <v>0.54166666666666663</v>
      </c>
      <c r="K186" t="s">
        <v>188</v>
      </c>
      <c r="L186" t="s">
        <v>189</v>
      </c>
      <c r="M186" s="1"/>
      <c r="O186" t="s">
        <v>21</v>
      </c>
      <c r="P186" s="1"/>
      <c r="Q186" s="1"/>
      <c r="S186" s="2">
        <f>CONSOLIDADO_2026[[#This Row],[Hora final]]-CONSOLIDADO_2026[[#This Row],[Hora inic]]</f>
        <v>0.29166666666666663</v>
      </c>
    </row>
    <row r="187" spans="1:19" x14ac:dyDescent="0.25">
      <c r="A187" t="s">
        <v>4008</v>
      </c>
      <c r="B187">
        <v>1140851921</v>
      </c>
      <c r="C187" t="s">
        <v>4023</v>
      </c>
      <c r="D187" t="s">
        <v>326</v>
      </c>
      <c r="E187" t="s">
        <v>4005</v>
      </c>
      <c r="F187" t="s">
        <v>4056</v>
      </c>
      <c r="G187" s="1">
        <v>46237</v>
      </c>
      <c r="H187" s="1">
        <v>46239</v>
      </c>
      <c r="I187" s="2">
        <v>0.58333333333333337</v>
      </c>
      <c r="J187" s="2">
        <v>0.875</v>
      </c>
      <c r="L187" t="s">
        <v>4057</v>
      </c>
      <c r="M187" s="1"/>
      <c r="O187" t="s">
        <v>21</v>
      </c>
      <c r="P187" s="1"/>
      <c r="Q187" s="1"/>
      <c r="S187" s="2">
        <f>CONSOLIDADO_2026[[#This Row],[Hora final]]-CONSOLIDADO_2026[[#This Row],[Hora inic]]</f>
        <v>0.29166666666666663</v>
      </c>
    </row>
    <row r="188" spans="1:19" x14ac:dyDescent="0.25">
      <c r="A188" t="s">
        <v>4013</v>
      </c>
      <c r="B188">
        <v>1140851921</v>
      </c>
      <c r="C188" t="s">
        <v>4023</v>
      </c>
      <c r="D188" t="s">
        <v>326</v>
      </c>
      <c r="E188" t="s">
        <v>4005</v>
      </c>
      <c r="F188" t="s">
        <v>4058</v>
      </c>
      <c r="G188" s="1">
        <v>46237</v>
      </c>
      <c r="H188" s="1">
        <v>46239</v>
      </c>
      <c r="I188" s="2">
        <v>0.25</v>
      </c>
      <c r="J188" s="2">
        <v>0.58333333333333337</v>
      </c>
      <c r="K188" t="s">
        <v>1346</v>
      </c>
      <c r="L188" t="s">
        <v>1347</v>
      </c>
      <c r="M188" s="1"/>
      <c r="O188" t="s">
        <v>21</v>
      </c>
      <c r="P188" s="1"/>
      <c r="Q188" s="1"/>
      <c r="S188" s="2">
        <f>CONSOLIDADO_2026[[#This Row],[Hora final]]-CONSOLIDADO_2026[[#This Row],[Hora inic]]</f>
        <v>0.33333333333333337</v>
      </c>
    </row>
    <row r="189" spans="1:19" x14ac:dyDescent="0.25">
      <c r="A189" t="s">
        <v>4008</v>
      </c>
      <c r="B189">
        <v>1102808787</v>
      </c>
      <c r="C189" t="s">
        <v>265</v>
      </c>
      <c r="D189" t="s">
        <v>51</v>
      </c>
      <c r="E189" t="s">
        <v>4011</v>
      </c>
      <c r="F189" t="s">
        <v>4040</v>
      </c>
      <c r="G189" s="1">
        <v>46237</v>
      </c>
      <c r="H189" s="1">
        <v>46256</v>
      </c>
      <c r="I189" s="2">
        <v>0.25</v>
      </c>
      <c r="J189" s="2">
        <v>0.54166666666666663</v>
      </c>
      <c r="L189" t="s">
        <v>4022</v>
      </c>
      <c r="M189" s="1">
        <v>46237</v>
      </c>
      <c r="O189" t="s">
        <v>4007</v>
      </c>
      <c r="P189" s="1">
        <v>46235</v>
      </c>
      <c r="Q189" s="1"/>
      <c r="R189" t="s">
        <v>4048</v>
      </c>
      <c r="S189" s="2">
        <f>CONSOLIDADO_2026[[#This Row],[Hora final]]-CONSOLIDADO_2026[[#This Row],[Hora inic]]</f>
        <v>0.29166666666666663</v>
      </c>
    </row>
    <row r="190" spans="1:19" x14ac:dyDescent="0.25">
      <c r="A190" t="s">
        <v>4013</v>
      </c>
      <c r="B190">
        <v>1102808787</v>
      </c>
      <c r="C190" t="s">
        <v>265</v>
      </c>
      <c r="D190" t="s">
        <v>51</v>
      </c>
      <c r="E190" t="s">
        <v>4011</v>
      </c>
      <c r="F190" t="s">
        <v>25</v>
      </c>
      <c r="G190" s="1">
        <v>46237</v>
      </c>
      <c r="H190" s="1">
        <v>46256</v>
      </c>
      <c r="I190" s="2">
        <v>0.54166666666666663</v>
      </c>
      <c r="J190" s="2">
        <v>0.875</v>
      </c>
      <c r="L190" t="s">
        <v>261</v>
      </c>
      <c r="M190" s="1"/>
      <c r="O190" t="s">
        <v>4007</v>
      </c>
      <c r="P190" s="1"/>
      <c r="Q190" s="1"/>
      <c r="S190" s="2">
        <f>CONSOLIDADO_2026[[#This Row],[Hora final]]-CONSOLIDADO_2026[[#This Row],[Hora inic]]</f>
        <v>0.33333333333333337</v>
      </c>
    </row>
    <row r="191" spans="1:19" x14ac:dyDescent="0.25">
      <c r="A191" t="s">
        <v>4008</v>
      </c>
      <c r="B191">
        <v>1152208665</v>
      </c>
      <c r="C191" t="s">
        <v>1084</v>
      </c>
      <c r="D191" t="s">
        <v>322</v>
      </c>
      <c r="E191" t="s">
        <v>4017</v>
      </c>
      <c r="F191" t="s">
        <v>25</v>
      </c>
      <c r="G191" s="1">
        <v>46237</v>
      </c>
      <c r="H191" s="1">
        <v>46238</v>
      </c>
      <c r="I191" s="2">
        <v>0.25</v>
      </c>
      <c r="J191" s="2">
        <v>0.58333333333333337</v>
      </c>
      <c r="L191" t="s">
        <v>4059</v>
      </c>
      <c r="M191" s="1"/>
      <c r="O191" t="s">
        <v>21</v>
      </c>
      <c r="P191" s="1"/>
      <c r="Q191" s="1"/>
      <c r="S191" s="2">
        <f>CONSOLIDADO_2026[[#This Row],[Hora final]]-CONSOLIDADO_2026[[#This Row],[Hora inic]]</f>
        <v>0.33333333333333337</v>
      </c>
    </row>
    <row r="192" spans="1:19" x14ac:dyDescent="0.25">
      <c r="A192" t="s">
        <v>4016</v>
      </c>
      <c r="B192">
        <v>1152208665</v>
      </c>
      <c r="C192" t="s">
        <v>1084</v>
      </c>
      <c r="D192" t="s">
        <v>322</v>
      </c>
      <c r="E192" t="s">
        <v>4017</v>
      </c>
      <c r="F192" t="s">
        <v>25</v>
      </c>
      <c r="G192" s="1">
        <v>46237</v>
      </c>
      <c r="H192" s="1">
        <v>46238</v>
      </c>
      <c r="I192" s="2">
        <v>0.25</v>
      </c>
      <c r="J192" s="2">
        <v>0.58333333333333337</v>
      </c>
      <c r="K192" t="s">
        <v>134</v>
      </c>
      <c r="L192" t="s">
        <v>135</v>
      </c>
      <c r="M192" s="1"/>
      <c r="O192" t="s">
        <v>21</v>
      </c>
      <c r="P192" s="1"/>
      <c r="Q192" s="1"/>
      <c r="S192" s="2">
        <f>CONSOLIDADO_2026[[#This Row],[Hora final]]-CONSOLIDADO_2026[[#This Row],[Hora inic]]</f>
        <v>0.33333333333333337</v>
      </c>
    </row>
    <row r="193" spans="1:19" x14ac:dyDescent="0.25">
      <c r="A193" t="s">
        <v>4013</v>
      </c>
      <c r="B193">
        <v>1152208665</v>
      </c>
      <c r="C193" t="s">
        <v>1084</v>
      </c>
      <c r="D193" t="s">
        <v>322</v>
      </c>
      <c r="E193" t="s">
        <v>4017</v>
      </c>
      <c r="F193" t="s">
        <v>25</v>
      </c>
      <c r="G193" s="1">
        <v>46237</v>
      </c>
      <c r="H193" s="1">
        <v>46238</v>
      </c>
      <c r="I193" s="2"/>
      <c r="J193" s="2"/>
      <c r="L193" t="s">
        <v>4006</v>
      </c>
      <c r="M193" s="1"/>
      <c r="O193" t="s">
        <v>4007</v>
      </c>
      <c r="P193" s="1"/>
      <c r="Q193" s="1"/>
      <c r="S193" s="2">
        <f>CONSOLIDADO_2026[[#This Row],[Hora final]]-CONSOLIDADO_2026[[#This Row],[Hora inic]]</f>
        <v>0</v>
      </c>
    </row>
    <row r="194" spans="1:19" x14ac:dyDescent="0.25">
      <c r="A194" t="s">
        <v>4008</v>
      </c>
      <c r="B194">
        <v>1004841623</v>
      </c>
      <c r="C194" t="s">
        <v>4060</v>
      </c>
      <c r="D194" t="s">
        <v>420</v>
      </c>
      <c r="E194" t="s">
        <v>4010</v>
      </c>
      <c r="F194" t="s">
        <v>4040</v>
      </c>
      <c r="G194" s="1">
        <v>46237</v>
      </c>
      <c r="H194" s="1">
        <v>46241</v>
      </c>
      <c r="I194" s="2">
        <v>0.25</v>
      </c>
      <c r="J194" s="2">
        <v>0.58333333333333337</v>
      </c>
      <c r="L194" t="s">
        <v>4022</v>
      </c>
      <c r="M194" s="1">
        <v>46240</v>
      </c>
      <c r="O194" t="s">
        <v>4007</v>
      </c>
      <c r="P194" s="1">
        <v>46237</v>
      </c>
      <c r="Q194" s="1"/>
      <c r="R194" t="s">
        <v>4061</v>
      </c>
      <c r="S194" s="2">
        <f>CONSOLIDADO_2026[[#This Row],[Hora final]]-CONSOLIDADO_2026[[#This Row],[Hora inic]]</f>
        <v>0.33333333333333337</v>
      </c>
    </row>
    <row r="195" spans="1:19" x14ac:dyDescent="0.25">
      <c r="A195" t="s">
        <v>4016</v>
      </c>
      <c r="B195">
        <v>1004841623</v>
      </c>
      <c r="C195" t="s">
        <v>4060</v>
      </c>
      <c r="D195" t="s">
        <v>420</v>
      </c>
      <c r="E195" t="s">
        <v>4010</v>
      </c>
      <c r="F195" t="s">
        <v>4015</v>
      </c>
      <c r="G195" s="1">
        <v>46237</v>
      </c>
      <c r="H195" s="1">
        <v>46241</v>
      </c>
      <c r="I195" s="2">
        <v>0.25</v>
      </c>
      <c r="J195" s="2">
        <v>0.54166666666666663</v>
      </c>
      <c r="K195" t="s">
        <v>167</v>
      </c>
      <c r="L195" t="s">
        <v>168</v>
      </c>
      <c r="M195" s="1"/>
      <c r="O195" t="s">
        <v>21</v>
      </c>
      <c r="P195" s="1"/>
      <c r="Q195" s="1"/>
      <c r="S195" s="2">
        <f>CONSOLIDADO_2026[[#This Row],[Hora final]]-CONSOLIDADO_2026[[#This Row],[Hora inic]]</f>
        <v>0.29166666666666663</v>
      </c>
    </row>
    <row r="196" spans="1:19" x14ac:dyDescent="0.25">
      <c r="A196" t="s">
        <v>4013</v>
      </c>
      <c r="B196">
        <v>1004841623</v>
      </c>
      <c r="C196" t="s">
        <v>4062</v>
      </c>
      <c r="D196" t="s">
        <v>420</v>
      </c>
      <c r="E196" t="s">
        <v>4010</v>
      </c>
      <c r="F196" t="s">
        <v>4015</v>
      </c>
      <c r="G196" s="1">
        <v>46237</v>
      </c>
      <c r="H196" s="1">
        <v>46241</v>
      </c>
      <c r="I196" s="2">
        <v>0.54166666666666663</v>
      </c>
      <c r="J196" s="2">
        <v>0.875</v>
      </c>
      <c r="K196" t="s">
        <v>171</v>
      </c>
      <c r="L196" t="s">
        <v>172</v>
      </c>
      <c r="M196" s="1"/>
      <c r="O196" t="s">
        <v>21</v>
      </c>
      <c r="P196" s="1"/>
      <c r="Q196" s="1"/>
      <c r="S196" s="2">
        <f>CONSOLIDADO_2026[[#This Row],[Hora final]]-CONSOLIDADO_2026[[#This Row],[Hora inic]]</f>
        <v>0.33333333333333337</v>
      </c>
    </row>
    <row r="197" spans="1:19" x14ac:dyDescent="0.25">
      <c r="A197" t="s">
        <v>4008</v>
      </c>
      <c r="B197">
        <v>1036962119</v>
      </c>
      <c r="C197" t="s">
        <v>1951</v>
      </c>
      <c r="D197" t="s">
        <v>78</v>
      </c>
      <c r="E197" t="s">
        <v>4010</v>
      </c>
      <c r="F197" t="s">
        <v>4040</v>
      </c>
      <c r="G197" s="1">
        <v>46237</v>
      </c>
      <c r="H197" s="1">
        <v>46235</v>
      </c>
      <c r="I197" s="2">
        <v>0.58333333333333337</v>
      </c>
      <c r="J197" s="2">
        <v>0.875</v>
      </c>
      <c r="L197" t="s">
        <v>4063</v>
      </c>
      <c r="M197" s="1">
        <v>46238</v>
      </c>
      <c r="O197" t="s">
        <v>21</v>
      </c>
      <c r="P197" s="1">
        <v>46238</v>
      </c>
      <c r="Q197" s="1"/>
      <c r="R197" t="s">
        <v>4048</v>
      </c>
      <c r="S197" s="2">
        <f>CONSOLIDADO_2026[[#This Row],[Hora final]]-CONSOLIDADO_2026[[#This Row],[Hora inic]]</f>
        <v>0.29166666666666663</v>
      </c>
    </row>
    <row r="198" spans="1:19" x14ac:dyDescent="0.25">
      <c r="A198" t="s">
        <v>4016</v>
      </c>
      <c r="B198">
        <v>1036962119</v>
      </c>
      <c r="C198" t="s">
        <v>1951</v>
      </c>
      <c r="D198" t="s">
        <v>78</v>
      </c>
      <c r="E198" t="s">
        <v>4010</v>
      </c>
      <c r="F198" t="s">
        <v>4040</v>
      </c>
      <c r="G198" s="1">
        <v>46237</v>
      </c>
      <c r="H198" s="1">
        <v>46235</v>
      </c>
      <c r="I198" s="2">
        <v>0.54166666666666663</v>
      </c>
      <c r="J198" s="2">
        <v>0.875</v>
      </c>
      <c r="L198" t="s">
        <v>4022</v>
      </c>
      <c r="M198" s="1"/>
      <c r="O198" t="s">
        <v>4007</v>
      </c>
      <c r="P198" s="1"/>
      <c r="Q198" s="1"/>
      <c r="S198" s="2">
        <f>CONSOLIDADO_2026[[#This Row],[Hora final]]-CONSOLIDADO_2026[[#This Row],[Hora inic]]</f>
        <v>0.33333333333333337</v>
      </c>
    </row>
    <row r="199" spans="1:19" x14ac:dyDescent="0.25">
      <c r="A199" t="s">
        <v>4008</v>
      </c>
      <c r="B199">
        <v>1143413583</v>
      </c>
      <c r="C199" t="s">
        <v>54</v>
      </c>
      <c r="D199" t="s">
        <v>41</v>
      </c>
      <c r="E199" t="s">
        <v>4011</v>
      </c>
      <c r="F199" t="s">
        <v>25</v>
      </c>
      <c r="G199" s="1">
        <v>46236</v>
      </c>
      <c r="H199" s="1">
        <v>46239</v>
      </c>
      <c r="I199" s="2">
        <v>0.25</v>
      </c>
      <c r="J199" s="2">
        <v>0.54166666666666663</v>
      </c>
      <c r="L199" t="s">
        <v>4022</v>
      </c>
      <c r="M199" s="1"/>
      <c r="O199" t="s">
        <v>4007</v>
      </c>
      <c r="P199" s="1"/>
      <c r="Q199" s="1"/>
      <c r="S199" s="2">
        <f>CONSOLIDADO_2026[[#This Row],[Hora final]]-CONSOLIDADO_2026[[#This Row],[Hora inic]]</f>
        <v>0.29166666666666663</v>
      </c>
    </row>
    <row r="200" spans="1:19" x14ac:dyDescent="0.25">
      <c r="A200" t="s">
        <v>4016</v>
      </c>
      <c r="B200">
        <v>1143413583</v>
      </c>
      <c r="C200" t="s">
        <v>54</v>
      </c>
      <c r="D200" t="s">
        <v>41</v>
      </c>
      <c r="E200" t="s">
        <v>4011</v>
      </c>
      <c r="F200" t="s">
        <v>25</v>
      </c>
      <c r="G200" s="1">
        <v>46236</v>
      </c>
      <c r="H200" s="1">
        <v>46239</v>
      </c>
      <c r="I200" s="2">
        <v>0.25</v>
      </c>
      <c r="J200" s="2">
        <v>0.58333333333333337</v>
      </c>
      <c r="K200" t="s">
        <v>162</v>
      </c>
      <c r="L200" t="s">
        <v>163</v>
      </c>
      <c r="M200" s="1"/>
      <c r="O200" t="s">
        <v>21</v>
      </c>
      <c r="P200" s="1"/>
      <c r="Q200" s="1"/>
      <c r="S200" s="2">
        <f>CONSOLIDADO_2026[[#This Row],[Hora final]]-CONSOLIDADO_2026[[#This Row],[Hora inic]]</f>
        <v>0.33333333333333337</v>
      </c>
    </row>
    <row r="201" spans="1:19" x14ac:dyDescent="0.25">
      <c r="A201" t="s">
        <v>4013</v>
      </c>
      <c r="B201">
        <v>1143413583</v>
      </c>
      <c r="C201" t="s">
        <v>54</v>
      </c>
      <c r="D201" t="s">
        <v>41</v>
      </c>
      <c r="E201" t="s">
        <v>4011</v>
      </c>
      <c r="F201" t="s">
        <v>25</v>
      </c>
      <c r="G201" s="1">
        <v>46236</v>
      </c>
      <c r="H201" s="1">
        <v>46239</v>
      </c>
      <c r="I201" s="2">
        <v>0.25</v>
      </c>
      <c r="J201" s="2">
        <v>0.54166666666666663</v>
      </c>
      <c r="K201" t="s">
        <v>35</v>
      </c>
      <c r="L201" t="s">
        <v>36</v>
      </c>
      <c r="M201" s="1"/>
      <c r="O201" t="s">
        <v>21</v>
      </c>
      <c r="P201" s="1"/>
      <c r="Q201" s="1"/>
      <c r="S201" s="2">
        <f>CONSOLIDADO_2026[[#This Row],[Hora final]]-CONSOLIDADO_2026[[#This Row],[Hora inic]]</f>
        <v>0.29166666666666663</v>
      </c>
    </row>
    <row r="202" spans="1:19" x14ac:dyDescent="0.25">
      <c r="A202" t="s">
        <v>4008</v>
      </c>
      <c r="B202">
        <v>1129516553</v>
      </c>
      <c r="C202" t="s">
        <v>1344</v>
      </c>
      <c r="D202" t="s">
        <v>142</v>
      </c>
      <c r="E202" t="s">
        <v>4012</v>
      </c>
      <c r="F202" t="s">
        <v>4040</v>
      </c>
      <c r="G202" s="1">
        <v>46237</v>
      </c>
      <c r="H202" s="1">
        <v>46238</v>
      </c>
      <c r="I202" s="2">
        <v>0.54166666666666663</v>
      </c>
      <c r="J202" s="2">
        <v>0.83333333333333337</v>
      </c>
      <c r="L202" t="s">
        <v>4022</v>
      </c>
      <c r="M202" s="1">
        <v>46237</v>
      </c>
      <c r="O202" t="s">
        <v>4007</v>
      </c>
      <c r="P202" s="1">
        <v>46236</v>
      </c>
      <c r="Q202" s="1"/>
      <c r="R202" t="s">
        <v>4048</v>
      </c>
      <c r="S202" s="2">
        <f>CONSOLIDADO_2026[[#This Row],[Hora final]]-CONSOLIDADO_2026[[#This Row],[Hora inic]]</f>
        <v>0.29166666666666674</v>
      </c>
    </row>
    <row r="203" spans="1:19" x14ac:dyDescent="0.25">
      <c r="A203" t="s">
        <v>4016</v>
      </c>
      <c r="B203">
        <v>1129516553</v>
      </c>
      <c r="C203" t="s">
        <v>1344</v>
      </c>
      <c r="D203" t="s">
        <v>142</v>
      </c>
      <c r="E203" t="s">
        <v>4012</v>
      </c>
      <c r="F203" t="s">
        <v>4040</v>
      </c>
      <c r="G203" s="1">
        <v>46237</v>
      </c>
      <c r="H203" s="1">
        <v>46238</v>
      </c>
      <c r="I203" s="2">
        <v>0.54166666666666663</v>
      </c>
      <c r="J203" s="2">
        <v>0.83333333333333337</v>
      </c>
      <c r="L203" t="s">
        <v>4022</v>
      </c>
      <c r="M203" s="1"/>
      <c r="O203" t="s">
        <v>4007</v>
      </c>
      <c r="P203" s="1"/>
      <c r="Q203" s="1"/>
      <c r="S203" s="2">
        <f>CONSOLIDADO_2026[[#This Row],[Hora final]]-CONSOLIDADO_2026[[#This Row],[Hora inic]]</f>
        <v>0.29166666666666674</v>
      </c>
    </row>
    <row r="204" spans="1:19" x14ac:dyDescent="0.25">
      <c r="A204" t="s">
        <v>4013</v>
      </c>
      <c r="B204">
        <v>1129516553</v>
      </c>
      <c r="C204" t="s">
        <v>1344</v>
      </c>
      <c r="D204" t="s">
        <v>142</v>
      </c>
      <c r="E204" t="s">
        <v>4012</v>
      </c>
      <c r="F204" t="s">
        <v>25</v>
      </c>
      <c r="G204" s="1">
        <v>46237</v>
      </c>
      <c r="H204" s="1">
        <v>46238</v>
      </c>
      <c r="I204" s="2"/>
      <c r="J204" s="2"/>
      <c r="L204" t="s">
        <v>4006</v>
      </c>
      <c r="M204" s="1"/>
      <c r="O204" t="s">
        <v>4007</v>
      </c>
      <c r="P204" s="1"/>
      <c r="Q204" s="1"/>
      <c r="S204" s="2">
        <f>CONSOLIDADO_2026[[#This Row],[Hora final]]-CONSOLIDADO_2026[[#This Row],[Hora inic]]</f>
        <v>0</v>
      </c>
    </row>
    <row r="205" spans="1:19" x14ac:dyDescent="0.25">
      <c r="A205" t="s">
        <v>4008</v>
      </c>
      <c r="B205">
        <v>1005624879</v>
      </c>
      <c r="C205" t="s">
        <v>263</v>
      </c>
      <c r="D205" t="s">
        <v>132</v>
      </c>
      <c r="E205" t="s">
        <v>4010</v>
      </c>
      <c r="F205" t="s">
        <v>4040</v>
      </c>
      <c r="G205" s="1">
        <v>46237</v>
      </c>
      <c r="H205" s="1">
        <v>46240</v>
      </c>
      <c r="I205" s="2">
        <v>0.58333333333333337</v>
      </c>
      <c r="J205" s="2">
        <v>0.875</v>
      </c>
      <c r="L205" t="s">
        <v>4064</v>
      </c>
      <c r="M205" s="1">
        <v>46237</v>
      </c>
      <c r="O205" t="s">
        <v>21</v>
      </c>
      <c r="P205" s="1">
        <v>46237</v>
      </c>
      <c r="Q205" s="1"/>
      <c r="R205" t="s">
        <v>4048</v>
      </c>
      <c r="S205" s="2">
        <f>CONSOLIDADO_2026[[#This Row],[Hora final]]-CONSOLIDADO_2026[[#This Row],[Hora inic]]</f>
        <v>0.29166666666666663</v>
      </c>
    </row>
    <row r="206" spans="1:19" x14ac:dyDescent="0.25">
      <c r="A206" t="s">
        <v>4016</v>
      </c>
      <c r="B206">
        <v>1005624879</v>
      </c>
      <c r="C206" t="s">
        <v>263</v>
      </c>
      <c r="D206" t="s">
        <v>132</v>
      </c>
      <c r="E206" t="s">
        <v>4010</v>
      </c>
      <c r="F206" t="s">
        <v>25</v>
      </c>
      <c r="G206" s="1">
        <v>46237</v>
      </c>
      <c r="H206" s="1">
        <v>46240</v>
      </c>
      <c r="I206" s="2">
        <v>0.58333333333333337</v>
      </c>
      <c r="J206" s="2">
        <v>0.875</v>
      </c>
      <c r="L206" t="s">
        <v>261</v>
      </c>
      <c r="M206" s="1"/>
      <c r="O206" t="s">
        <v>4007</v>
      </c>
      <c r="P206" s="1"/>
      <c r="Q206" s="1"/>
      <c r="S206" s="2">
        <f>CONSOLIDADO_2026[[#This Row],[Hora final]]-CONSOLIDADO_2026[[#This Row],[Hora inic]]</f>
        <v>0.29166666666666663</v>
      </c>
    </row>
    <row r="207" spans="1:19" x14ac:dyDescent="0.25">
      <c r="A207" t="s">
        <v>4013</v>
      </c>
      <c r="B207">
        <v>1005624879</v>
      </c>
      <c r="C207" t="s">
        <v>251</v>
      </c>
      <c r="D207" t="s">
        <v>132</v>
      </c>
      <c r="E207" t="s">
        <v>4010</v>
      </c>
      <c r="F207" t="s">
        <v>25</v>
      </c>
      <c r="G207" s="1">
        <v>46237</v>
      </c>
      <c r="H207" s="1">
        <v>46240</v>
      </c>
      <c r="I207" s="2">
        <v>0.25</v>
      </c>
      <c r="J207" s="2">
        <v>0.58333333333333337</v>
      </c>
      <c r="L207" t="s">
        <v>261</v>
      </c>
      <c r="M207" s="1"/>
      <c r="O207" t="s">
        <v>4007</v>
      </c>
      <c r="P207" s="1"/>
      <c r="Q207" s="1"/>
      <c r="S207" s="2">
        <f>CONSOLIDADO_2026[[#This Row],[Hora final]]-CONSOLIDADO_2026[[#This Row],[Hora inic]]</f>
        <v>0.33333333333333337</v>
      </c>
    </row>
    <row r="208" spans="1:19" x14ac:dyDescent="0.25">
      <c r="A208" t="s">
        <v>4008</v>
      </c>
      <c r="B208" t="s">
        <v>4065</v>
      </c>
      <c r="C208" t="s">
        <v>2003</v>
      </c>
      <c r="D208" t="s">
        <v>2002</v>
      </c>
      <c r="E208" t="s">
        <v>4017</v>
      </c>
      <c r="F208" t="s">
        <v>25</v>
      </c>
      <c r="G208" s="1">
        <v>46237</v>
      </c>
      <c r="H208" s="1">
        <v>46238</v>
      </c>
      <c r="I208" s="2">
        <v>0.5</v>
      </c>
      <c r="J208" s="2">
        <v>0.79166666666666663</v>
      </c>
      <c r="K208" t="s">
        <v>3621</v>
      </c>
      <c r="L208" t="s">
        <v>3622</v>
      </c>
      <c r="M208" s="1"/>
      <c r="O208" t="s">
        <v>21</v>
      </c>
      <c r="P208" s="1"/>
      <c r="Q208" s="1"/>
      <c r="S208" s="2">
        <f>CONSOLIDADO_2026[[#This Row],[Hora final]]-CONSOLIDADO_2026[[#This Row],[Hora inic]]</f>
        <v>0.29166666666666663</v>
      </c>
    </row>
    <row r="209" spans="1:19" x14ac:dyDescent="0.25">
      <c r="A209" t="s">
        <v>4016</v>
      </c>
      <c r="B209" t="s">
        <v>4065</v>
      </c>
      <c r="C209" t="s">
        <v>2003</v>
      </c>
      <c r="D209" t="s">
        <v>2002</v>
      </c>
      <c r="E209" t="s">
        <v>4017</v>
      </c>
      <c r="F209" t="s">
        <v>25</v>
      </c>
      <c r="G209" s="1">
        <v>46237</v>
      </c>
      <c r="H209" s="1">
        <v>46238</v>
      </c>
      <c r="I209" s="2">
        <v>0.29166666666666669</v>
      </c>
      <c r="J209" s="2">
        <v>0.66666666666666663</v>
      </c>
      <c r="L209" t="s">
        <v>261</v>
      </c>
      <c r="M209" s="1"/>
      <c r="O209" t="s">
        <v>21</v>
      </c>
      <c r="P209" s="1"/>
      <c r="Q209" s="1"/>
      <c r="S209" s="2">
        <f>CONSOLIDADO_2026[[#This Row],[Hora final]]-CONSOLIDADO_2026[[#This Row],[Hora inic]]</f>
        <v>0.37499999999999994</v>
      </c>
    </row>
    <row r="210" spans="1:19" x14ac:dyDescent="0.25">
      <c r="A210" t="s">
        <v>4013</v>
      </c>
      <c r="B210" t="s">
        <v>4065</v>
      </c>
      <c r="C210" t="s">
        <v>2003</v>
      </c>
      <c r="D210" t="s">
        <v>2002</v>
      </c>
      <c r="E210" t="s">
        <v>4017</v>
      </c>
      <c r="F210" t="s">
        <v>25</v>
      </c>
      <c r="G210" s="1">
        <v>46237</v>
      </c>
      <c r="H210" s="1">
        <v>46238</v>
      </c>
      <c r="I210" s="2"/>
      <c r="J210" s="2"/>
      <c r="L210" t="s">
        <v>4006</v>
      </c>
      <c r="M210" s="1"/>
      <c r="O210" t="s">
        <v>4007</v>
      </c>
      <c r="P210" s="1"/>
      <c r="Q210" s="1"/>
      <c r="S210" s="2">
        <f>CONSOLIDADO_2026[[#This Row],[Hora final]]-CONSOLIDADO_2026[[#This Row],[Hora inic]]</f>
        <v>0</v>
      </c>
    </row>
    <row r="211" spans="1:19" x14ac:dyDescent="0.25">
      <c r="A211" t="s">
        <v>4008</v>
      </c>
      <c r="B211">
        <v>1152436231</v>
      </c>
      <c r="C211" t="s">
        <v>131</v>
      </c>
      <c r="D211" t="s">
        <v>132</v>
      </c>
      <c r="E211" t="s">
        <v>4010</v>
      </c>
      <c r="F211" t="s">
        <v>4040</v>
      </c>
      <c r="G211" s="1">
        <v>46237</v>
      </c>
      <c r="H211" s="1">
        <v>46240</v>
      </c>
      <c r="I211" s="2">
        <v>0.25</v>
      </c>
      <c r="J211" s="2">
        <v>0.54166666666666663</v>
      </c>
      <c r="L211" t="s">
        <v>4022</v>
      </c>
      <c r="M211" s="1">
        <v>46237</v>
      </c>
      <c r="O211" t="s">
        <v>4007</v>
      </c>
      <c r="P211" s="1">
        <v>46237</v>
      </c>
      <c r="Q211" s="1"/>
      <c r="R211" t="s">
        <v>4048</v>
      </c>
      <c r="S211" s="2">
        <f>CONSOLIDADO_2026[[#This Row],[Hora final]]-CONSOLIDADO_2026[[#This Row],[Hora inic]]</f>
        <v>0.29166666666666663</v>
      </c>
    </row>
    <row r="212" spans="1:19" x14ac:dyDescent="0.25">
      <c r="A212" t="s">
        <v>4016</v>
      </c>
      <c r="B212">
        <v>1152436231</v>
      </c>
      <c r="C212" t="s">
        <v>131</v>
      </c>
      <c r="D212" t="s">
        <v>132</v>
      </c>
      <c r="E212" t="s">
        <v>4010</v>
      </c>
      <c r="F212" t="s">
        <v>25</v>
      </c>
      <c r="G212" s="1">
        <v>46237</v>
      </c>
      <c r="H212" s="1">
        <v>46240</v>
      </c>
      <c r="I212" s="2">
        <v>0.25</v>
      </c>
      <c r="J212" s="2">
        <v>0.54166666666666663</v>
      </c>
      <c r="K212" t="s">
        <v>122</v>
      </c>
      <c r="L212" t="s">
        <v>123</v>
      </c>
      <c r="M212" s="1"/>
      <c r="O212" t="s">
        <v>21</v>
      </c>
      <c r="P212" s="1"/>
      <c r="Q212" s="1"/>
      <c r="S212" s="2">
        <f>CONSOLIDADO_2026[[#This Row],[Hora final]]-CONSOLIDADO_2026[[#This Row],[Hora inic]]</f>
        <v>0.29166666666666663</v>
      </c>
    </row>
    <row r="213" spans="1:19" x14ac:dyDescent="0.25">
      <c r="A213" t="s">
        <v>4013</v>
      </c>
      <c r="B213">
        <v>1152436231</v>
      </c>
      <c r="C213" t="s">
        <v>131</v>
      </c>
      <c r="D213" t="s">
        <v>132</v>
      </c>
      <c r="E213" t="s">
        <v>4010</v>
      </c>
      <c r="F213" t="s">
        <v>25</v>
      </c>
      <c r="G213" s="1">
        <v>46237</v>
      </c>
      <c r="H213" s="1">
        <v>46240</v>
      </c>
      <c r="I213" s="2">
        <v>0.54166666666666663</v>
      </c>
      <c r="J213" s="2">
        <v>0.875</v>
      </c>
      <c r="K213" t="s">
        <v>167</v>
      </c>
      <c r="L213" t="s">
        <v>168</v>
      </c>
      <c r="M213" s="1"/>
      <c r="O213" t="s">
        <v>21</v>
      </c>
      <c r="P213" s="1"/>
      <c r="Q213" s="1"/>
      <c r="S213" s="2">
        <f>CONSOLIDADO_2026[[#This Row],[Hora final]]-CONSOLIDADO_2026[[#This Row],[Hora inic]]</f>
        <v>0.33333333333333337</v>
      </c>
    </row>
    <row r="214" spans="1:19" x14ac:dyDescent="0.25">
      <c r="A214" t="s">
        <v>4008</v>
      </c>
      <c r="B214">
        <v>1000099010</v>
      </c>
      <c r="C214" t="s">
        <v>579</v>
      </c>
      <c r="D214" t="s">
        <v>128</v>
      </c>
      <c r="E214" t="s">
        <v>4005</v>
      </c>
      <c r="F214" t="s">
        <v>4040</v>
      </c>
      <c r="G214" s="1">
        <v>46237</v>
      </c>
      <c r="H214" s="1">
        <v>46239</v>
      </c>
      <c r="I214" s="2">
        <v>0.25</v>
      </c>
      <c r="J214" s="2">
        <v>0.54166666666666663</v>
      </c>
      <c r="L214" t="s">
        <v>4022</v>
      </c>
      <c r="M214" s="1">
        <v>46240</v>
      </c>
      <c r="O214" t="s">
        <v>4007</v>
      </c>
      <c r="P214" s="1">
        <v>46240</v>
      </c>
      <c r="Q214" s="1"/>
      <c r="R214" t="s">
        <v>4048</v>
      </c>
      <c r="S214" s="2">
        <f>CONSOLIDADO_2026[[#This Row],[Hora final]]-CONSOLIDADO_2026[[#This Row],[Hora inic]]</f>
        <v>0.29166666666666663</v>
      </c>
    </row>
    <row r="215" spans="1:19" x14ac:dyDescent="0.25">
      <c r="A215" t="s">
        <v>4016</v>
      </c>
      <c r="B215">
        <v>1000099010</v>
      </c>
      <c r="C215" t="s">
        <v>579</v>
      </c>
      <c r="D215" t="s">
        <v>128</v>
      </c>
      <c r="E215" t="s">
        <v>4005</v>
      </c>
      <c r="F215" t="s">
        <v>4040</v>
      </c>
      <c r="G215" s="1">
        <v>46237</v>
      </c>
      <c r="H215" s="1">
        <v>46239</v>
      </c>
      <c r="I215" s="2">
        <v>0.25</v>
      </c>
      <c r="J215" s="2">
        <v>0.54166666666666663</v>
      </c>
      <c r="L215" t="s">
        <v>4022</v>
      </c>
      <c r="M215" s="1"/>
      <c r="O215" t="s">
        <v>4007</v>
      </c>
      <c r="P215" s="1"/>
      <c r="Q215" s="1"/>
      <c r="S215" s="2">
        <f>CONSOLIDADO_2026[[#This Row],[Hora final]]-CONSOLIDADO_2026[[#This Row],[Hora inic]]</f>
        <v>0.29166666666666663</v>
      </c>
    </row>
    <row r="216" spans="1:19" x14ac:dyDescent="0.25">
      <c r="A216" t="s">
        <v>4013</v>
      </c>
      <c r="B216">
        <v>1000099010</v>
      </c>
      <c r="C216" t="s">
        <v>579</v>
      </c>
      <c r="D216" t="s">
        <v>128</v>
      </c>
      <c r="E216" t="s">
        <v>4005</v>
      </c>
      <c r="F216" t="s">
        <v>4040</v>
      </c>
      <c r="G216" s="1">
        <v>46237</v>
      </c>
      <c r="H216" s="1">
        <v>46239</v>
      </c>
      <c r="I216" s="2">
        <v>0.54166666666666663</v>
      </c>
      <c r="J216" s="2">
        <v>0.875</v>
      </c>
      <c r="L216" t="s">
        <v>4022</v>
      </c>
      <c r="M216" s="1"/>
      <c r="O216" t="s">
        <v>4007</v>
      </c>
      <c r="P216" s="1"/>
      <c r="Q216" s="1"/>
      <c r="S216" s="2">
        <f>CONSOLIDADO_2026[[#This Row],[Hora final]]-CONSOLIDADO_2026[[#This Row],[Hora inic]]</f>
        <v>0.33333333333333337</v>
      </c>
    </row>
    <row r="217" spans="1:19" x14ac:dyDescent="0.25">
      <c r="A217" t="s">
        <v>4008</v>
      </c>
      <c r="B217">
        <v>1193459665</v>
      </c>
      <c r="C217" t="s">
        <v>4026</v>
      </c>
      <c r="D217" t="s">
        <v>326</v>
      </c>
      <c r="E217" t="s">
        <v>4005</v>
      </c>
      <c r="F217" t="s">
        <v>4015</v>
      </c>
      <c r="G217" s="1">
        <v>46237</v>
      </c>
      <c r="H217" s="1">
        <v>46239</v>
      </c>
      <c r="I217" s="2">
        <v>0.25</v>
      </c>
      <c r="J217" s="2">
        <v>0.54166666666666663</v>
      </c>
      <c r="L217" t="s">
        <v>261</v>
      </c>
      <c r="M217" s="1"/>
      <c r="O217" t="s">
        <v>4007</v>
      </c>
      <c r="P217" s="1"/>
      <c r="Q217" s="1"/>
      <c r="S217" s="2">
        <f>CONSOLIDADO_2026[[#This Row],[Hora final]]-CONSOLIDADO_2026[[#This Row],[Hora inic]]</f>
        <v>0.29166666666666663</v>
      </c>
    </row>
    <row r="218" spans="1:19" x14ac:dyDescent="0.25">
      <c r="A218" t="s">
        <v>4016</v>
      </c>
      <c r="B218">
        <v>1193459665</v>
      </c>
      <c r="C218" t="s">
        <v>4026</v>
      </c>
      <c r="D218" t="s">
        <v>326</v>
      </c>
      <c r="E218" t="s">
        <v>4005</v>
      </c>
      <c r="F218" t="s">
        <v>4015</v>
      </c>
      <c r="G218" s="1">
        <v>46237</v>
      </c>
      <c r="H218" s="1">
        <v>46239</v>
      </c>
      <c r="I218" s="2">
        <v>0.54166666666666663</v>
      </c>
      <c r="J218" s="2">
        <v>0.875</v>
      </c>
      <c r="K218" t="s">
        <v>247</v>
      </c>
      <c r="L218" t="s">
        <v>248</v>
      </c>
      <c r="M218" s="1"/>
      <c r="O218" t="s">
        <v>21</v>
      </c>
      <c r="P218" s="1"/>
      <c r="Q218" s="1"/>
      <c r="S218" s="2">
        <f>CONSOLIDADO_2026[[#This Row],[Hora final]]-CONSOLIDADO_2026[[#This Row],[Hora inic]]</f>
        <v>0.33333333333333337</v>
      </c>
    </row>
    <row r="219" spans="1:19" x14ac:dyDescent="0.25">
      <c r="A219" t="s">
        <v>4013</v>
      </c>
      <c r="B219">
        <v>1193459665</v>
      </c>
      <c r="C219" t="s">
        <v>4066</v>
      </c>
      <c r="D219" t="s">
        <v>326</v>
      </c>
      <c r="E219" t="s">
        <v>4005</v>
      </c>
      <c r="F219" t="s">
        <v>4015</v>
      </c>
      <c r="G219" s="1">
        <v>46237</v>
      </c>
      <c r="H219" s="1">
        <v>46239</v>
      </c>
      <c r="I219" s="2">
        <v>0.58333333333333337</v>
      </c>
      <c r="J219" s="2">
        <v>0.875</v>
      </c>
      <c r="K219" t="s">
        <v>144</v>
      </c>
      <c r="L219" t="s">
        <v>145</v>
      </c>
      <c r="M219" s="1"/>
      <c r="O219" t="s">
        <v>21</v>
      </c>
      <c r="P219" s="1"/>
      <c r="Q219" s="1"/>
      <c r="S219" s="2">
        <f>CONSOLIDADO_2026[[#This Row],[Hora final]]-CONSOLIDADO_2026[[#This Row],[Hora inic]]</f>
        <v>0.29166666666666663</v>
      </c>
    </row>
    <row r="220" spans="1:19" x14ac:dyDescent="0.25">
      <c r="A220" t="s">
        <v>4008</v>
      </c>
      <c r="B220">
        <v>1072648283</v>
      </c>
      <c r="C220" t="s">
        <v>739</v>
      </c>
      <c r="D220" t="s">
        <v>211</v>
      </c>
      <c r="E220" t="s">
        <v>4017</v>
      </c>
      <c r="F220" t="s">
        <v>25</v>
      </c>
      <c r="G220" s="1">
        <v>46237</v>
      </c>
      <c r="H220" s="1">
        <v>46239</v>
      </c>
      <c r="I220" s="2">
        <v>0.25</v>
      </c>
      <c r="J220" s="2">
        <v>0.58333333333333337</v>
      </c>
      <c r="K220" t="s">
        <v>91</v>
      </c>
      <c r="L220" t="s">
        <v>92</v>
      </c>
      <c r="M220" s="1"/>
      <c r="O220" t="s">
        <v>21</v>
      </c>
      <c r="P220" s="1"/>
      <c r="Q220" s="1"/>
      <c r="S220" s="2">
        <f>CONSOLIDADO_2026[[#This Row],[Hora final]]-CONSOLIDADO_2026[[#This Row],[Hora inic]]</f>
        <v>0.33333333333333337</v>
      </c>
    </row>
    <row r="221" spans="1:19" x14ac:dyDescent="0.25">
      <c r="A221" t="s">
        <v>4016</v>
      </c>
      <c r="B221">
        <v>1072648283</v>
      </c>
      <c r="C221" t="s">
        <v>739</v>
      </c>
      <c r="D221" t="s">
        <v>211</v>
      </c>
      <c r="E221" t="s">
        <v>4017</v>
      </c>
      <c r="F221" t="s">
        <v>25</v>
      </c>
      <c r="G221" s="1">
        <v>46237</v>
      </c>
      <c r="H221" s="1">
        <v>46239</v>
      </c>
      <c r="I221" s="2">
        <v>0.25</v>
      </c>
      <c r="J221" s="2">
        <v>0.58333333333333337</v>
      </c>
      <c r="K221" t="s">
        <v>486</v>
      </c>
      <c r="L221" t="s">
        <v>487</v>
      </c>
      <c r="M221" s="1"/>
      <c r="O221" t="s">
        <v>21</v>
      </c>
      <c r="P221" s="1"/>
      <c r="Q221" s="1"/>
      <c r="S221" s="2">
        <f>CONSOLIDADO_2026[[#This Row],[Hora final]]-CONSOLIDADO_2026[[#This Row],[Hora inic]]</f>
        <v>0.33333333333333337</v>
      </c>
    </row>
    <row r="222" spans="1:19" x14ac:dyDescent="0.25">
      <c r="A222" t="s">
        <v>4013</v>
      </c>
      <c r="B222">
        <v>1072648283</v>
      </c>
      <c r="C222" t="s">
        <v>739</v>
      </c>
      <c r="D222" t="s">
        <v>211</v>
      </c>
      <c r="E222" t="s">
        <v>4017</v>
      </c>
      <c r="F222" t="s">
        <v>25</v>
      </c>
      <c r="G222" s="1">
        <v>46237</v>
      </c>
      <c r="H222" s="1">
        <v>46239</v>
      </c>
      <c r="I222" s="2">
        <v>0.58333333333333337</v>
      </c>
      <c r="J222" s="2">
        <v>0.875</v>
      </c>
      <c r="K222" t="s">
        <v>486</v>
      </c>
      <c r="L222" t="s">
        <v>487</v>
      </c>
      <c r="M222" s="1"/>
      <c r="O222" t="s">
        <v>21</v>
      </c>
      <c r="P222" s="1"/>
      <c r="Q222" s="1"/>
      <c r="S222" s="2">
        <f>CONSOLIDADO_2026[[#This Row],[Hora final]]-CONSOLIDADO_2026[[#This Row],[Hora inic]]</f>
        <v>0.29166666666666663</v>
      </c>
    </row>
    <row r="223" spans="1:19" x14ac:dyDescent="0.25">
      <c r="A223" t="s">
        <v>4008</v>
      </c>
      <c r="B223">
        <v>1124076705</v>
      </c>
      <c r="C223" t="s">
        <v>730</v>
      </c>
      <c r="D223" t="s">
        <v>64</v>
      </c>
      <c r="E223" t="s">
        <v>4012</v>
      </c>
      <c r="F223" t="s">
        <v>4040</v>
      </c>
      <c r="G223" s="1">
        <v>46237</v>
      </c>
      <c r="H223" s="1">
        <v>46239</v>
      </c>
      <c r="I223" s="2">
        <v>0.25</v>
      </c>
      <c r="J223" s="2">
        <v>0.58333333333333337</v>
      </c>
      <c r="L223" t="s">
        <v>4022</v>
      </c>
      <c r="M223" s="1">
        <v>46237</v>
      </c>
      <c r="O223" t="s">
        <v>4007</v>
      </c>
      <c r="P223" s="1">
        <v>46237</v>
      </c>
      <c r="Q223" s="1"/>
      <c r="R223" t="s">
        <v>4048</v>
      </c>
      <c r="S223" s="2">
        <f>CONSOLIDADO_2026[[#This Row],[Hora final]]-CONSOLIDADO_2026[[#This Row],[Hora inic]]</f>
        <v>0.33333333333333337</v>
      </c>
    </row>
    <row r="224" spans="1:19" x14ac:dyDescent="0.25">
      <c r="A224" t="s">
        <v>4016</v>
      </c>
      <c r="B224">
        <v>1124076705</v>
      </c>
      <c r="C224" t="s">
        <v>730</v>
      </c>
      <c r="D224" t="s">
        <v>64</v>
      </c>
      <c r="E224" t="s">
        <v>4012</v>
      </c>
      <c r="F224" t="s">
        <v>4040</v>
      </c>
      <c r="G224" s="1">
        <v>46237</v>
      </c>
      <c r="H224" s="1">
        <v>46239</v>
      </c>
      <c r="I224" s="2">
        <v>0.58333333333333337</v>
      </c>
      <c r="J224" s="2">
        <v>0.875</v>
      </c>
      <c r="L224" t="s">
        <v>4022</v>
      </c>
      <c r="M224" s="1"/>
      <c r="O224" t="s">
        <v>4007</v>
      </c>
      <c r="P224" s="1"/>
      <c r="Q224" s="1"/>
      <c r="S224" s="2">
        <f>CONSOLIDADO_2026[[#This Row],[Hora final]]-CONSOLIDADO_2026[[#This Row],[Hora inic]]</f>
        <v>0.29166666666666663</v>
      </c>
    </row>
    <row r="225" spans="1:19" x14ac:dyDescent="0.25">
      <c r="A225" t="s">
        <v>4013</v>
      </c>
      <c r="B225">
        <v>1124076705</v>
      </c>
      <c r="C225" t="s">
        <v>730</v>
      </c>
      <c r="D225" t="s">
        <v>64</v>
      </c>
      <c r="E225" t="s">
        <v>4012</v>
      </c>
      <c r="F225" t="s">
        <v>25</v>
      </c>
      <c r="G225" s="1">
        <v>46237</v>
      </c>
      <c r="H225" s="1">
        <v>46239</v>
      </c>
      <c r="I225" s="2">
        <v>0.58333333333333337</v>
      </c>
      <c r="J225" s="2">
        <v>0.875</v>
      </c>
      <c r="L225" t="s">
        <v>261</v>
      </c>
      <c r="M225" s="1"/>
      <c r="O225" t="s">
        <v>4007</v>
      </c>
      <c r="P225" s="1"/>
      <c r="Q225" s="1"/>
      <c r="S225" s="2">
        <f>CONSOLIDADO_2026[[#This Row],[Hora final]]-CONSOLIDADO_2026[[#This Row],[Hora inic]]</f>
        <v>0.29166666666666663</v>
      </c>
    </row>
    <row r="226" spans="1:19" x14ac:dyDescent="0.25">
      <c r="A226" t="s">
        <v>4008</v>
      </c>
      <c r="B226">
        <v>1001996913</v>
      </c>
      <c r="C226" t="s">
        <v>3132</v>
      </c>
      <c r="D226" t="s">
        <v>41</v>
      </c>
      <c r="E226" t="s">
        <v>4011</v>
      </c>
      <c r="F226" t="s">
        <v>4040</v>
      </c>
      <c r="G226" s="1">
        <v>46237</v>
      </c>
      <c r="H226" s="1">
        <v>46238</v>
      </c>
      <c r="I226" s="2">
        <v>0.25</v>
      </c>
      <c r="J226" s="2"/>
      <c r="L226" t="s">
        <v>4022</v>
      </c>
      <c r="M226" s="1">
        <v>46237</v>
      </c>
      <c r="O226" t="s">
        <v>4007</v>
      </c>
      <c r="P226" s="1">
        <v>46237</v>
      </c>
      <c r="Q226" s="1"/>
      <c r="R226" t="s">
        <v>4048</v>
      </c>
      <c r="S226" s="2">
        <f>CONSOLIDADO_2026[[#This Row],[Hora final]]-CONSOLIDADO_2026[[#This Row],[Hora inic]]</f>
        <v>-0.25</v>
      </c>
    </row>
    <row r="227" spans="1:19" x14ac:dyDescent="0.25">
      <c r="A227" t="s">
        <v>4016</v>
      </c>
      <c r="B227">
        <v>1001996913</v>
      </c>
      <c r="C227" t="s">
        <v>3132</v>
      </c>
      <c r="D227" t="s">
        <v>41</v>
      </c>
      <c r="E227" t="s">
        <v>4011</v>
      </c>
      <c r="F227" t="s">
        <v>4040</v>
      </c>
      <c r="G227" s="1">
        <v>46237</v>
      </c>
      <c r="H227" s="1">
        <v>46238</v>
      </c>
      <c r="I227" s="2">
        <v>0.25</v>
      </c>
      <c r="J227" s="2">
        <v>0.54166666666666663</v>
      </c>
      <c r="L227" t="s">
        <v>4022</v>
      </c>
      <c r="M227" s="1"/>
      <c r="O227" t="s">
        <v>4007</v>
      </c>
      <c r="P227" s="1"/>
      <c r="Q227" s="1"/>
      <c r="S227" s="2">
        <f>CONSOLIDADO_2026[[#This Row],[Hora final]]-CONSOLIDADO_2026[[#This Row],[Hora inic]]</f>
        <v>0.29166666666666663</v>
      </c>
    </row>
    <row r="228" spans="1:19" x14ac:dyDescent="0.25">
      <c r="A228" t="s">
        <v>4013</v>
      </c>
      <c r="B228">
        <v>1001996913</v>
      </c>
      <c r="C228" t="s">
        <v>3132</v>
      </c>
      <c r="D228" t="s">
        <v>41</v>
      </c>
      <c r="E228" t="s">
        <v>4011</v>
      </c>
      <c r="F228" t="s">
        <v>25</v>
      </c>
      <c r="G228" s="1">
        <v>46237</v>
      </c>
      <c r="H228" s="1">
        <v>46238</v>
      </c>
      <c r="I228" s="2"/>
      <c r="J228" s="2"/>
      <c r="L228" t="s">
        <v>4006</v>
      </c>
      <c r="M228" s="1"/>
      <c r="O228" t="s">
        <v>4007</v>
      </c>
      <c r="P228" s="1"/>
      <c r="Q228" s="1"/>
      <c r="S228" s="2">
        <f>CONSOLIDADO_2026[[#This Row],[Hora final]]-CONSOLIDADO_2026[[#This Row],[Hora inic]]</f>
        <v>0</v>
      </c>
    </row>
    <row r="229" spans="1:19" x14ac:dyDescent="0.25">
      <c r="A229" t="s">
        <v>4008</v>
      </c>
      <c r="B229">
        <v>1004373476</v>
      </c>
      <c r="C229" t="s">
        <v>3744</v>
      </c>
      <c r="D229" t="s">
        <v>34</v>
      </c>
      <c r="E229" t="s">
        <v>4011</v>
      </c>
      <c r="F229" t="s">
        <v>4040</v>
      </c>
      <c r="G229" s="1">
        <v>46237</v>
      </c>
      <c r="H229" s="1">
        <v>46238</v>
      </c>
      <c r="I229" s="2">
        <v>0.25</v>
      </c>
      <c r="J229" s="2">
        <v>0.54166666666666663</v>
      </c>
      <c r="L229" t="s">
        <v>4022</v>
      </c>
      <c r="M229" s="1">
        <v>46237</v>
      </c>
      <c r="O229" t="s">
        <v>4007</v>
      </c>
      <c r="P229" s="1">
        <v>46237</v>
      </c>
      <c r="Q229" s="1"/>
      <c r="R229" t="s">
        <v>4048</v>
      </c>
      <c r="S229" s="2">
        <f>CONSOLIDADO_2026[[#This Row],[Hora final]]-CONSOLIDADO_2026[[#This Row],[Hora inic]]</f>
        <v>0.29166666666666663</v>
      </c>
    </row>
    <row r="230" spans="1:19" x14ac:dyDescent="0.25">
      <c r="A230" t="s">
        <v>4016</v>
      </c>
      <c r="B230">
        <v>1004373476</v>
      </c>
      <c r="C230" t="s">
        <v>3744</v>
      </c>
      <c r="D230" t="s">
        <v>34</v>
      </c>
      <c r="E230" t="s">
        <v>4011</v>
      </c>
      <c r="F230" t="s">
        <v>25</v>
      </c>
      <c r="G230" s="1">
        <v>46237</v>
      </c>
      <c r="H230" s="1">
        <v>46238</v>
      </c>
      <c r="I230" s="2">
        <v>0.58333333333333337</v>
      </c>
      <c r="J230" s="2">
        <v>0.875</v>
      </c>
      <c r="K230" t="s">
        <v>240</v>
      </c>
      <c r="L230" t="s">
        <v>241</v>
      </c>
      <c r="M230" s="1"/>
      <c r="O230" t="s">
        <v>21</v>
      </c>
      <c r="P230" s="1"/>
      <c r="Q230" s="1"/>
      <c r="S230" s="2">
        <f>CONSOLIDADO_2026[[#This Row],[Hora final]]-CONSOLIDADO_2026[[#This Row],[Hora inic]]</f>
        <v>0.29166666666666663</v>
      </c>
    </row>
    <row r="231" spans="1:19" x14ac:dyDescent="0.25">
      <c r="A231" t="s">
        <v>4013</v>
      </c>
      <c r="B231">
        <v>1004373476</v>
      </c>
      <c r="C231" t="s">
        <v>3744</v>
      </c>
      <c r="D231" t="s">
        <v>34</v>
      </c>
      <c r="E231" t="s">
        <v>4011</v>
      </c>
      <c r="F231" t="s">
        <v>25</v>
      </c>
      <c r="G231" s="1">
        <v>46237</v>
      </c>
      <c r="H231" s="1">
        <v>46238</v>
      </c>
      <c r="I231" s="2"/>
      <c r="J231" s="2"/>
      <c r="L231" t="s">
        <v>4006</v>
      </c>
      <c r="M231" s="1"/>
      <c r="O231" t="s">
        <v>4007</v>
      </c>
      <c r="P231" s="1"/>
      <c r="Q231" s="1"/>
      <c r="S231" s="2">
        <f>CONSOLIDADO_2026[[#This Row],[Hora final]]-CONSOLIDADO_2026[[#This Row],[Hora inic]]</f>
        <v>0</v>
      </c>
    </row>
    <row r="232" spans="1:19" x14ac:dyDescent="0.25">
      <c r="A232" t="s">
        <v>4008</v>
      </c>
      <c r="B232">
        <v>1082984414</v>
      </c>
      <c r="C232" t="s">
        <v>2908</v>
      </c>
      <c r="D232" t="s">
        <v>153</v>
      </c>
      <c r="E232" t="s">
        <v>4010</v>
      </c>
      <c r="F232" t="s">
        <v>4040</v>
      </c>
      <c r="G232" s="1">
        <v>46237</v>
      </c>
      <c r="H232" s="1">
        <v>46238</v>
      </c>
      <c r="I232" s="2">
        <v>0.54166666666666663</v>
      </c>
      <c r="J232" s="2">
        <v>0.875</v>
      </c>
      <c r="L232" t="s">
        <v>4067</v>
      </c>
      <c r="M232" s="1">
        <v>46237</v>
      </c>
      <c r="O232" t="s">
        <v>21</v>
      </c>
      <c r="P232" s="1">
        <v>46237</v>
      </c>
      <c r="Q232" s="1"/>
      <c r="R232" t="s">
        <v>4048</v>
      </c>
      <c r="S232" s="2">
        <f>CONSOLIDADO_2026[[#This Row],[Hora final]]-CONSOLIDADO_2026[[#This Row],[Hora inic]]</f>
        <v>0.33333333333333337</v>
      </c>
    </row>
    <row r="233" spans="1:19" x14ac:dyDescent="0.25">
      <c r="A233" t="s">
        <v>4016</v>
      </c>
      <c r="B233">
        <v>1082984414</v>
      </c>
      <c r="C233" t="s">
        <v>2908</v>
      </c>
      <c r="D233" t="s">
        <v>153</v>
      </c>
      <c r="E233" t="s">
        <v>4010</v>
      </c>
      <c r="F233" t="s">
        <v>25</v>
      </c>
      <c r="G233" s="1">
        <v>46237</v>
      </c>
      <c r="H233" s="1">
        <v>46238</v>
      </c>
      <c r="I233" s="2">
        <v>0.25</v>
      </c>
      <c r="J233" s="2">
        <v>0.54166666666666663</v>
      </c>
      <c r="L233" t="s">
        <v>261</v>
      </c>
      <c r="M233" s="1"/>
      <c r="O233" t="s">
        <v>4007</v>
      </c>
      <c r="P233" s="1"/>
      <c r="Q233" s="1"/>
      <c r="S233" s="2">
        <f>CONSOLIDADO_2026[[#This Row],[Hora final]]-CONSOLIDADO_2026[[#This Row],[Hora inic]]</f>
        <v>0.29166666666666663</v>
      </c>
    </row>
    <row r="234" spans="1:19" x14ac:dyDescent="0.25">
      <c r="A234" t="s">
        <v>4013</v>
      </c>
      <c r="B234">
        <v>1082984414</v>
      </c>
      <c r="C234" t="s">
        <v>2908</v>
      </c>
      <c r="D234" t="s">
        <v>153</v>
      </c>
      <c r="E234" t="s">
        <v>4010</v>
      </c>
      <c r="F234" t="s">
        <v>25</v>
      </c>
      <c r="G234" s="1">
        <v>46237</v>
      </c>
      <c r="H234" s="1">
        <v>46238</v>
      </c>
      <c r="I234" s="2"/>
      <c r="J234" s="2"/>
      <c r="L234" t="s">
        <v>4006</v>
      </c>
      <c r="M234" s="1"/>
      <c r="O234" t="s">
        <v>4007</v>
      </c>
      <c r="P234" s="1"/>
      <c r="Q234" s="1"/>
      <c r="S234" s="2">
        <f>CONSOLIDADO_2026[[#This Row],[Hora final]]-CONSOLIDADO_2026[[#This Row],[Hora inic]]</f>
        <v>0</v>
      </c>
    </row>
    <row r="235" spans="1:19" x14ac:dyDescent="0.25">
      <c r="A235" t="s">
        <v>4008</v>
      </c>
      <c r="B235">
        <v>1085687504</v>
      </c>
      <c r="C235" t="s">
        <v>204</v>
      </c>
      <c r="D235" t="s">
        <v>128</v>
      </c>
      <c r="E235" t="s">
        <v>4005</v>
      </c>
      <c r="F235" t="s">
        <v>4068</v>
      </c>
      <c r="G235" s="1">
        <v>46237</v>
      </c>
      <c r="H235" s="1">
        <v>46237</v>
      </c>
      <c r="I235" s="2">
        <v>0.54166666666666663</v>
      </c>
      <c r="J235" s="2">
        <v>0.58333333333333337</v>
      </c>
      <c r="K235" t="s">
        <v>203</v>
      </c>
      <c r="L235" t="s">
        <v>204</v>
      </c>
      <c r="M235" s="1"/>
      <c r="O235" t="s">
        <v>21</v>
      </c>
      <c r="P235" s="1"/>
      <c r="Q235" s="1"/>
      <c r="S235" s="2">
        <f>CONSOLIDADO_2026[[#This Row],[Hora final]]-CONSOLIDADO_2026[[#This Row],[Hora inic]]</f>
        <v>4.1666666666666741E-2</v>
      </c>
    </row>
    <row r="236" spans="1:19" x14ac:dyDescent="0.25">
      <c r="A236" t="s">
        <v>4008</v>
      </c>
      <c r="B236">
        <v>1042422897</v>
      </c>
      <c r="C236" t="s">
        <v>4069</v>
      </c>
      <c r="D236" t="s">
        <v>326</v>
      </c>
      <c r="E236" t="s">
        <v>4005</v>
      </c>
      <c r="F236" t="s">
        <v>4040</v>
      </c>
      <c r="G236" s="1">
        <v>46237</v>
      </c>
      <c r="H236" s="1">
        <v>46238</v>
      </c>
      <c r="I236" s="2">
        <v>0.54166666666666663</v>
      </c>
      <c r="J236" s="2">
        <v>0.875</v>
      </c>
      <c r="L236" t="s">
        <v>4070</v>
      </c>
      <c r="M236" s="1">
        <v>46240</v>
      </c>
      <c r="O236" t="s">
        <v>21</v>
      </c>
      <c r="P236" s="1">
        <v>46237</v>
      </c>
      <c r="Q236" s="1"/>
      <c r="R236" t="s">
        <v>4048</v>
      </c>
      <c r="S236" s="2">
        <f>CONSOLIDADO_2026[[#This Row],[Hora final]]-CONSOLIDADO_2026[[#This Row],[Hora inic]]</f>
        <v>0.33333333333333337</v>
      </c>
    </row>
    <row r="237" spans="1:19" x14ac:dyDescent="0.25">
      <c r="A237" t="s">
        <v>4016</v>
      </c>
      <c r="B237">
        <v>1042422897</v>
      </c>
      <c r="C237" t="s">
        <v>4069</v>
      </c>
      <c r="D237" t="s">
        <v>326</v>
      </c>
      <c r="E237" t="s">
        <v>4005</v>
      </c>
      <c r="F237" t="s">
        <v>25</v>
      </c>
      <c r="G237" s="1">
        <v>46237</v>
      </c>
      <c r="H237" s="1">
        <v>46238</v>
      </c>
      <c r="I237" s="2">
        <v>0.25</v>
      </c>
      <c r="J237" s="2">
        <v>0.54166666666666663</v>
      </c>
      <c r="L237" t="s">
        <v>261</v>
      </c>
      <c r="M237" s="1"/>
      <c r="O237" t="s">
        <v>4007</v>
      </c>
      <c r="P237" s="1"/>
      <c r="Q237" s="1"/>
      <c r="S237" s="2">
        <f>CONSOLIDADO_2026[[#This Row],[Hora final]]-CONSOLIDADO_2026[[#This Row],[Hora inic]]</f>
        <v>0.29166666666666663</v>
      </c>
    </row>
    <row r="238" spans="1:19" x14ac:dyDescent="0.25">
      <c r="A238" t="s">
        <v>4013</v>
      </c>
      <c r="B238">
        <v>1042422897</v>
      </c>
      <c r="C238" t="s">
        <v>4071</v>
      </c>
      <c r="D238" t="s">
        <v>326</v>
      </c>
      <c r="E238" t="s">
        <v>4005</v>
      </c>
      <c r="F238" t="s">
        <v>25</v>
      </c>
      <c r="G238" s="1">
        <v>46237</v>
      </c>
      <c r="H238" s="1">
        <v>46238</v>
      </c>
      <c r="I238" s="2"/>
      <c r="J238" s="2"/>
      <c r="L238" t="s">
        <v>4006</v>
      </c>
      <c r="M238" s="1"/>
      <c r="O238" t="s">
        <v>4007</v>
      </c>
      <c r="P238" s="1"/>
      <c r="Q238" s="1"/>
      <c r="S238" s="2">
        <f>CONSOLIDADO_2026[[#This Row],[Hora final]]-CONSOLIDADO_2026[[#This Row],[Hora inic]]</f>
        <v>0</v>
      </c>
    </row>
    <row r="239" spans="1:19" x14ac:dyDescent="0.25">
      <c r="A239" t="s">
        <v>4008</v>
      </c>
      <c r="B239">
        <v>1017267628</v>
      </c>
      <c r="C239" t="s">
        <v>3242</v>
      </c>
      <c r="D239" t="s">
        <v>326</v>
      </c>
      <c r="E239" t="s">
        <v>4005</v>
      </c>
      <c r="F239" t="s">
        <v>4040</v>
      </c>
      <c r="G239" s="1">
        <v>46237</v>
      </c>
      <c r="H239" s="1">
        <v>46243</v>
      </c>
      <c r="I239" s="2">
        <v>0.58333333333333337</v>
      </c>
      <c r="J239" s="2">
        <v>0.875</v>
      </c>
      <c r="L239" t="s">
        <v>4022</v>
      </c>
      <c r="M239" s="1">
        <v>46242</v>
      </c>
      <c r="O239" t="s">
        <v>4007</v>
      </c>
      <c r="P239" s="1">
        <v>46237</v>
      </c>
      <c r="Q239" s="1"/>
      <c r="R239" t="s">
        <v>4048</v>
      </c>
      <c r="S239" s="2">
        <f>CONSOLIDADO_2026[[#This Row],[Hora final]]-CONSOLIDADO_2026[[#This Row],[Hora inic]]</f>
        <v>0.29166666666666663</v>
      </c>
    </row>
    <row r="240" spans="1:19" x14ac:dyDescent="0.25">
      <c r="A240" t="s">
        <v>4016</v>
      </c>
      <c r="B240">
        <v>1017267628</v>
      </c>
      <c r="C240" t="s">
        <v>3242</v>
      </c>
      <c r="D240" t="s">
        <v>326</v>
      </c>
      <c r="E240" t="s">
        <v>4005</v>
      </c>
      <c r="F240" t="s">
        <v>4040</v>
      </c>
      <c r="G240" s="1">
        <v>46237</v>
      </c>
      <c r="H240" s="1">
        <v>46243</v>
      </c>
      <c r="I240" s="2">
        <v>0.25</v>
      </c>
      <c r="J240" s="2">
        <v>0.54166666666666663</v>
      </c>
      <c r="L240" t="s">
        <v>4022</v>
      </c>
      <c r="M240" s="1"/>
      <c r="O240" t="s">
        <v>4007</v>
      </c>
      <c r="P240" s="1"/>
      <c r="Q240" s="1"/>
      <c r="S240" s="2">
        <f>CONSOLIDADO_2026[[#This Row],[Hora final]]-CONSOLIDADO_2026[[#This Row],[Hora inic]]</f>
        <v>0.29166666666666663</v>
      </c>
    </row>
    <row r="241" spans="1:19" x14ac:dyDescent="0.25">
      <c r="A241" t="s">
        <v>4013</v>
      </c>
      <c r="B241">
        <v>1017267628</v>
      </c>
      <c r="C241" t="s">
        <v>3242</v>
      </c>
      <c r="D241" t="s">
        <v>326</v>
      </c>
      <c r="E241" t="s">
        <v>4005</v>
      </c>
      <c r="F241" t="s">
        <v>4040</v>
      </c>
      <c r="G241" s="1">
        <v>46237</v>
      </c>
      <c r="H241" s="1">
        <v>46243</v>
      </c>
      <c r="I241" s="2">
        <v>0.25</v>
      </c>
      <c r="J241" s="2">
        <v>0.54166666666666663</v>
      </c>
      <c r="L241" t="s">
        <v>4022</v>
      </c>
      <c r="M241" s="1"/>
      <c r="O241" t="s">
        <v>4007</v>
      </c>
      <c r="P241" s="1"/>
      <c r="Q241" s="1"/>
      <c r="S241" s="2">
        <f>CONSOLIDADO_2026[[#This Row],[Hora final]]-CONSOLIDADO_2026[[#This Row],[Hora inic]]</f>
        <v>0.29166666666666663</v>
      </c>
    </row>
    <row r="242" spans="1:19" x14ac:dyDescent="0.25">
      <c r="A242" t="s">
        <v>4008</v>
      </c>
      <c r="B242">
        <v>1000083810</v>
      </c>
      <c r="C242" t="s">
        <v>1123</v>
      </c>
      <c r="D242" t="s">
        <v>142</v>
      </c>
      <c r="E242" t="s">
        <v>4012</v>
      </c>
      <c r="F242" t="s">
        <v>4040</v>
      </c>
      <c r="G242" s="1">
        <v>46237</v>
      </c>
      <c r="H242" s="1">
        <v>46239</v>
      </c>
      <c r="I242" s="2">
        <v>0.5</v>
      </c>
      <c r="J242" s="2">
        <v>0.83333333333333337</v>
      </c>
      <c r="L242" t="s">
        <v>4022</v>
      </c>
      <c r="M242" s="1"/>
      <c r="O242" t="s">
        <v>4007</v>
      </c>
      <c r="P242" s="1"/>
      <c r="Q242" s="1"/>
      <c r="S242" s="2">
        <f>CONSOLIDADO_2026[[#This Row],[Hora final]]-CONSOLIDADO_2026[[#This Row],[Hora inic]]</f>
        <v>0.33333333333333337</v>
      </c>
    </row>
    <row r="243" spans="1:19" x14ac:dyDescent="0.25">
      <c r="A243" t="s">
        <v>4016</v>
      </c>
      <c r="B243">
        <v>1000083810</v>
      </c>
      <c r="C243" t="s">
        <v>1123</v>
      </c>
      <c r="D243" t="s">
        <v>142</v>
      </c>
      <c r="E243" t="s">
        <v>4012</v>
      </c>
      <c r="F243" t="s">
        <v>4040</v>
      </c>
      <c r="G243" s="1">
        <v>46237</v>
      </c>
      <c r="H243" s="1">
        <v>46239</v>
      </c>
      <c r="I243" s="2">
        <v>0.5</v>
      </c>
      <c r="J243" s="2">
        <v>0.83333333333333337</v>
      </c>
      <c r="L243" t="s">
        <v>4022</v>
      </c>
      <c r="M243" s="1"/>
      <c r="O243" t="s">
        <v>4007</v>
      </c>
      <c r="P243" s="1"/>
      <c r="Q243" s="1"/>
      <c r="S243" s="2">
        <f>CONSOLIDADO_2026[[#This Row],[Hora final]]-CONSOLIDADO_2026[[#This Row],[Hora inic]]</f>
        <v>0.33333333333333337</v>
      </c>
    </row>
    <row r="244" spans="1:19" x14ac:dyDescent="0.25">
      <c r="A244" t="s">
        <v>4013</v>
      </c>
      <c r="B244">
        <v>1000083810</v>
      </c>
      <c r="C244" t="s">
        <v>1123</v>
      </c>
      <c r="D244" t="s">
        <v>142</v>
      </c>
      <c r="E244" t="s">
        <v>4012</v>
      </c>
      <c r="F244" t="s">
        <v>25</v>
      </c>
      <c r="G244" s="1">
        <v>46237</v>
      </c>
      <c r="H244" s="1">
        <v>46239</v>
      </c>
      <c r="I244" s="2">
        <v>0.54166666666666663</v>
      </c>
      <c r="J244" s="2">
        <v>0.83333333333333337</v>
      </c>
      <c r="L244" t="s">
        <v>261</v>
      </c>
      <c r="M244" s="1"/>
      <c r="O244" t="s">
        <v>4007</v>
      </c>
      <c r="P244" s="1"/>
      <c r="Q244" s="1"/>
      <c r="S244" s="2">
        <f>CONSOLIDADO_2026[[#This Row],[Hora final]]-CONSOLIDADO_2026[[#This Row],[Hora inic]]</f>
        <v>0.29166666666666674</v>
      </c>
    </row>
    <row r="245" spans="1:19" x14ac:dyDescent="0.25">
      <c r="A245" t="s">
        <v>4008</v>
      </c>
      <c r="B245">
        <v>1003000892</v>
      </c>
      <c r="C245" t="s">
        <v>2887</v>
      </c>
      <c r="D245" t="s">
        <v>197</v>
      </c>
      <c r="E245" t="s">
        <v>4005</v>
      </c>
      <c r="F245" t="s">
        <v>4072</v>
      </c>
      <c r="G245" s="1">
        <v>46237</v>
      </c>
      <c r="H245" s="1">
        <v>46237</v>
      </c>
      <c r="I245" s="2">
        <v>0.54166666666666663</v>
      </c>
      <c r="J245" s="2">
        <v>0.79166666666666663</v>
      </c>
      <c r="K245" t="s">
        <v>2886</v>
      </c>
      <c r="L245" t="s">
        <v>2887</v>
      </c>
      <c r="M245" s="1"/>
      <c r="O245" t="s">
        <v>4007</v>
      </c>
      <c r="P245" s="1"/>
      <c r="Q245" s="1"/>
      <c r="S245" s="2">
        <f>CONSOLIDADO_2026[[#This Row],[Hora final]]-CONSOLIDADO_2026[[#This Row],[Hora inic]]</f>
        <v>0.25</v>
      </c>
    </row>
    <row r="246" spans="1:19" x14ac:dyDescent="0.25">
      <c r="A246" t="s">
        <v>4008</v>
      </c>
      <c r="B246">
        <v>1020486493</v>
      </c>
      <c r="C246" t="s">
        <v>4073</v>
      </c>
      <c r="D246" t="s">
        <v>326</v>
      </c>
      <c r="E246" t="s">
        <v>4005</v>
      </c>
      <c r="F246" t="s">
        <v>4056</v>
      </c>
      <c r="G246" s="1">
        <v>46237</v>
      </c>
      <c r="H246" s="1">
        <v>46239</v>
      </c>
      <c r="I246" s="2">
        <v>0.58333333333333337</v>
      </c>
      <c r="J246" s="2">
        <v>0.875</v>
      </c>
      <c r="K246" t="s">
        <v>65</v>
      </c>
      <c r="L246" t="s">
        <v>66</v>
      </c>
      <c r="M246" s="1"/>
      <c r="O246" t="s">
        <v>21</v>
      </c>
      <c r="P246" s="1"/>
      <c r="Q246" s="1"/>
      <c r="S246" s="2">
        <f>CONSOLIDADO_2026[[#This Row],[Hora final]]-CONSOLIDADO_2026[[#This Row],[Hora inic]]</f>
        <v>0.29166666666666663</v>
      </c>
    </row>
    <row r="247" spans="1:19" x14ac:dyDescent="0.25">
      <c r="A247" t="s">
        <v>4016</v>
      </c>
      <c r="B247">
        <v>1020486493</v>
      </c>
      <c r="C247" t="s">
        <v>4073</v>
      </c>
      <c r="D247" t="s">
        <v>326</v>
      </c>
      <c r="E247" t="s">
        <v>4005</v>
      </c>
      <c r="F247" t="s">
        <v>4058</v>
      </c>
      <c r="G247" s="1">
        <v>46237</v>
      </c>
      <c r="H247" s="1">
        <v>46239</v>
      </c>
      <c r="I247" s="2">
        <v>0.54166666666666663</v>
      </c>
      <c r="J247" s="2">
        <v>0.875</v>
      </c>
      <c r="K247" t="s">
        <v>1318</v>
      </c>
      <c r="L247" t="s">
        <v>1319</v>
      </c>
      <c r="M247" s="1"/>
      <c r="O247" t="s">
        <v>21</v>
      </c>
      <c r="P247" s="1"/>
      <c r="Q247" s="1"/>
      <c r="S247" s="2">
        <f>CONSOLIDADO_2026[[#This Row],[Hora final]]-CONSOLIDADO_2026[[#This Row],[Hora inic]]</f>
        <v>0.33333333333333337</v>
      </c>
    </row>
    <row r="248" spans="1:19" x14ac:dyDescent="0.25">
      <c r="A248" t="s">
        <v>4013</v>
      </c>
      <c r="B248">
        <v>1020486493</v>
      </c>
      <c r="C248" t="s">
        <v>4074</v>
      </c>
      <c r="D248" t="s">
        <v>326</v>
      </c>
      <c r="E248" t="s">
        <v>4005</v>
      </c>
      <c r="F248" t="s">
        <v>4058</v>
      </c>
      <c r="G248" s="1">
        <v>46237</v>
      </c>
      <c r="H248" s="1">
        <v>46239</v>
      </c>
      <c r="I248" s="2">
        <v>0.25</v>
      </c>
      <c r="J248" s="2">
        <v>0.54166666666666663</v>
      </c>
      <c r="K248" t="s">
        <v>198</v>
      </c>
      <c r="L248" t="s">
        <v>199</v>
      </c>
      <c r="M248" s="1"/>
      <c r="O248" t="s">
        <v>21</v>
      </c>
      <c r="P248" s="1"/>
      <c r="Q248" s="1"/>
      <c r="S248" s="2">
        <f>CONSOLIDADO_2026[[#This Row],[Hora final]]-CONSOLIDADO_2026[[#This Row],[Hora inic]]</f>
        <v>0.29166666666666663</v>
      </c>
    </row>
    <row r="249" spans="1:19" x14ac:dyDescent="0.25">
      <c r="A249" t="s">
        <v>4016</v>
      </c>
      <c r="B249" t="s">
        <v>264</v>
      </c>
      <c r="C249" t="s">
        <v>265</v>
      </c>
      <c r="D249" t="s">
        <v>51</v>
      </c>
      <c r="E249" t="s">
        <v>4011</v>
      </c>
      <c r="F249" t="s">
        <v>25</v>
      </c>
      <c r="G249" s="1">
        <v>46237</v>
      </c>
      <c r="H249" s="1">
        <v>46256</v>
      </c>
      <c r="I249" s="2">
        <v>0.25</v>
      </c>
      <c r="J249" s="2">
        <v>0.54166666666666663</v>
      </c>
      <c r="L249" t="s">
        <v>261</v>
      </c>
      <c r="M249" s="1"/>
      <c r="O249" t="s">
        <v>4007</v>
      </c>
      <c r="P249" s="1"/>
      <c r="Q249" s="1"/>
      <c r="S249" s="2">
        <f>CONSOLIDADO_2026[[#This Row],[Hora final]]-CONSOLIDADO_2026[[#This Row],[Hora inic]]</f>
        <v>0.29166666666666663</v>
      </c>
    </row>
    <row r="250" spans="1:19" x14ac:dyDescent="0.25">
      <c r="A250" t="s">
        <v>4016</v>
      </c>
      <c r="B250" t="s">
        <v>4075</v>
      </c>
      <c r="C250" t="s">
        <v>4023</v>
      </c>
      <c r="D250" t="s">
        <v>326</v>
      </c>
      <c r="E250" t="s">
        <v>4005</v>
      </c>
      <c r="F250" t="s">
        <v>4058</v>
      </c>
      <c r="G250" s="1">
        <v>46237</v>
      </c>
      <c r="H250" s="1">
        <v>46239</v>
      </c>
      <c r="I250" s="2">
        <v>0.25</v>
      </c>
      <c r="J250" s="2">
        <v>0.58333333333333337</v>
      </c>
      <c r="K250" t="s">
        <v>106</v>
      </c>
      <c r="L250" t="s">
        <v>107</v>
      </c>
      <c r="M250" s="1"/>
      <c r="O250" t="s">
        <v>21</v>
      </c>
      <c r="P250" s="1"/>
      <c r="Q250" s="1"/>
      <c r="S250" s="2">
        <f>CONSOLIDADO_2026[[#This Row],[Hora final]]-CONSOLIDADO_2026[[#This Row],[Hora inic]]</f>
        <v>0.33333333333333337</v>
      </c>
    </row>
    <row r="251" spans="1:19" x14ac:dyDescent="0.25">
      <c r="A251" t="s">
        <v>4016</v>
      </c>
      <c r="B251" t="s">
        <v>2805</v>
      </c>
      <c r="C251" t="s">
        <v>4076</v>
      </c>
      <c r="D251" t="s">
        <v>142</v>
      </c>
      <c r="E251" t="s">
        <v>4012</v>
      </c>
      <c r="F251" t="s">
        <v>25</v>
      </c>
      <c r="G251" s="1">
        <v>46235</v>
      </c>
      <c r="H251" s="1">
        <v>46235</v>
      </c>
      <c r="I251" s="2"/>
      <c r="J251" s="2"/>
      <c r="L251" t="s">
        <v>4006</v>
      </c>
      <c r="M251" s="1"/>
      <c r="O251" t="s">
        <v>4007</v>
      </c>
      <c r="P251" s="1"/>
      <c r="Q251" s="1"/>
      <c r="S251" s="2">
        <f>CONSOLIDADO_2026[[#This Row],[Hora final]]-CONSOLIDADO_2026[[#This Row],[Hora inic]]</f>
        <v>0</v>
      </c>
    </row>
    <row r="252" spans="1:19" x14ac:dyDescent="0.25">
      <c r="A252" t="s">
        <v>4016</v>
      </c>
      <c r="B252" t="s">
        <v>1388</v>
      </c>
      <c r="C252" t="s">
        <v>1389</v>
      </c>
      <c r="D252" t="s">
        <v>132</v>
      </c>
      <c r="E252" t="s">
        <v>4010</v>
      </c>
      <c r="F252" t="s">
        <v>4053</v>
      </c>
      <c r="G252" s="1">
        <v>46235</v>
      </c>
      <c r="H252" s="1">
        <v>46235</v>
      </c>
      <c r="I252" s="2"/>
      <c r="J252" s="2"/>
      <c r="L252" t="s">
        <v>4006</v>
      </c>
      <c r="M252" s="1"/>
      <c r="O252" t="s">
        <v>4007</v>
      </c>
      <c r="P252" s="1"/>
      <c r="Q252" s="1"/>
      <c r="S252" s="2">
        <f>CONSOLIDADO_2026[[#This Row],[Hora final]]-CONSOLIDADO_2026[[#This Row],[Hora inic]]</f>
        <v>0</v>
      </c>
    </row>
    <row r="253" spans="1:19" x14ac:dyDescent="0.25">
      <c r="A253" t="s">
        <v>4016</v>
      </c>
      <c r="B253" t="s">
        <v>2954</v>
      </c>
      <c r="C253" t="s">
        <v>4077</v>
      </c>
      <c r="D253" t="s">
        <v>142</v>
      </c>
      <c r="E253" t="s">
        <v>4012</v>
      </c>
      <c r="F253" t="s">
        <v>25</v>
      </c>
      <c r="G253" s="1">
        <v>46235</v>
      </c>
      <c r="H253" s="1">
        <v>46235</v>
      </c>
      <c r="I253" s="2"/>
      <c r="J253" s="2"/>
      <c r="L253" t="s">
        <v>4006</v>
      </c>
      <c r="M253" s="1"/>
      <c r="O253" t="s">
        <v>4007</v>
      </c>
      <c r="P253" s="1"/>
      <c r="Q253" s="1"/>
      <c r="S253" s="2">
        <f>CONSOLIDADO_2026[[#This Row],[Hora final]]-CONSOLIDADO_2026[[#This Row],[Hora inic]]</f>
        <v>0</v>
      </c>
    </row>
    <row r="254" spans="1:19" x14ac:dyDescent="0.25">
      <c r="A254" t="s">
        <v>4016</v>
      </c>
      <c r="B254" t="s">
        <v>2110</v>
      </c>
      <c r="C254" t="s">
        <v>4078</v>
      </c>
      <c r="D254" t="s">
        <v>142</v>
      </c>
      <c r="E254" t="s">
        <v>4012</v>
      </c>
      <c r="F254" t="s">
        <v>25</v>
      </c>
      <c r="G254" s="1">
        <v>46235</v>
      </c>
      <c r="H254" s="1">
        <v>46235</v>
      </c>
      <c r="I254" s="2"/>
      <c r="J254" s="2"/>
      <c r="L254" t="s">
        <v>4006</v>
      </c>
      <c r="M254" s="1"/>
      <c r="O254" t="s">
        <v>4007</v>
      </c>
      <c r="P254" s="1"/>
      <c r="Q254" s="1"/>
      <c r="S254" s="2">
        <f>CONSOLIDADO_2026[[#This Row],[Hora final]]-CONSOLIDADO_2026[[#This Row],[Hora inic]]</f>
        <v>0</v>
      </c>
    </row>
    <row r="255" spans="1:19" x14ac:dyDescent="0.25">
      <c r="A255" t="s">
        <v>4016</v>
      </c>
      <c r="B255" t="s">
        <v>2446</v>
      </c>
      <c r="C255" t="s">
        <v>4079</v>
      </c>
      <c r="D255" t="s">
        <v>128</v>
      </c>
      <c r="E255" t="s">
        <v>4005</v>
      </c>
      <c r="F255" t="s">
        <v>25</v>
      </c>
      <c r="G255" s="1">
        <v>46235</v>
      </c>
      <c r="H255" s="1">
        <v>46235</v>
      </c>
      <c r="I255" s="2"/>
      <c r="J255" s="2"/>
      <c r="L255" t="s">
        <v>4006</v>
      </c>
      <c r="M255" s="1"/>
      <c r="O255" t="s">
        <v>4007</v>
      </c>
      <c r="P255" s="1"/>
      <c r="Q255" s="1"/>
      <c r="S255" s="2">
        <f>CONSOLIDADO_2026[[#This Row],[Hora final]]-CONSOLIDADO_2026[[#This Row],[Hora inic]]</f>
        <v>0</v>
      </c>
    </row>
    <row r="256" spans="1:19" x14ac:dyDescent="0.25">
      <c r="A256" t="s">
        <v>4016</v>
      </c>
      <c r="B256" t="s">
        <v>1707</v>
      </c>
      <c r="C256" t="s">
        <v>4080</v>
      </c>
      <c r="D256" t="s">
        <v>64</v>
      </c>
      <c r="E256" t="s">
        <v>4012</v>
      </c>
      <c r="F256" t="s">
        <v>25</v>
      </c>
      <c r="G256" s="1">
        <v>46235</v>
      </c>
      <c r="H256" s="1">
        <v>46235</v>
      </c>
      <c r="I256" s="2"/>
      <c r="J256" s="2"/>
      <c r="L256" t="s">
        <v>4006</v>
      </c>
      <c r="M256" s="1"/>
      <c r="O256" t="s">
        <v>4007</v>
      </c>
      <c r="P256" s="1"/>
      <c r="Q256" s="1"/>
      <c r="S256" s="2">
        <f>CONSOLIDADO_2026[[#This Row],[Hora final]]-CONSOLIDADO_2026[[#This Row],[Hora inic]]</f>
        <v>0</v>
      </c>
    </row>
    <row r="257" spans="1:19" x14ac:dyDescent="0.25">
      <c r="A257" t="s">
        <v>4016</v>
      </c>
      <c r="B257" t="s">
        <v>1235</v>
      </c>
      <c r="C257" t="s">
        <v>4081</v>
      </c>
      <c r="D257" t="s">
        <v>34</v>
      </c>
      <c r="E257" t="s">
        <v>4011</v>
      </c>
      <c r="F257" t="s">
        <v>25</v>
      </c>
      <c r="G257" s="1">
        <v>46235</v>
      </c>
      <c r="H257" s="1">
        <v>46235</v>
      </c>
      <c r="I257" s="2"/>
      <c r="J257" s="2"/>
      <c r="L257" t="s">
        <v>4006</v>
      </c>
      <c r="M257" s="1"/>
      <c r="O257" t="s">
        <v>4007</v>
      </c>
      <c r="P257" s="1"/>
      <c r="Q257" s="1"/>
      <c r="S257" s="2">
        <f>CONSOLIDADO_2026[[#This Row],[Hora final]]-CONSOLIDADO_2026[[#This Row],[Hora inic]]</f>
        <v>0</v>
      </c>
    </row>
    <row r="258" spans="1:19" x14ac:dyDescent="0.25">
      <c r="A258" t="s">
        <v>4016</v>
      </c>
      <c r="B258" t="s">
        <v>3445</v>
      </c>
      <c r="C258" t="s">
        <v>3446</v>
      </c>
      <c r="D258" t="s">
        <v>322</v>
      </c>
      <c r="E258" t="s">
        <v>4017</v>
      </c>
      <c r="F258" t="s">
        <v>25</v>
      </c>
      <c r="G258" s="1">
        <v>46235</v>
      </c>
      <c r="H258" s="1">
        <v>46235</v>
      </c>
      <c r="I258" s="2"/>
      <c r="J258" s="2"/>
      <c r="L258" t="s">
        <v>4006</v>
      </c>
      <c r="M258" s="1"/>
      <c r="O258" t="s">
        <v>4007</v>
      </c>
      <c r="P258" s="1"/>
      <c r="Q258" s="1"/>
      <c r="S258" s="2">
        <f>CONSOLIDADO_2026[[#This Row],[Hora final]]-CONSOLIDADO_2026[[#This Row],[Hora inic]]</f>
        <v>0</v>
      </c>
    </row>
    <row r="259" spans="1:19" x14ac:dyDescent="0.25">
      <c r="A259" t="s">
        <v>4016</v>
      </c>
      <c r="B259" t="s">
        <v>22</v>
      </c>
      <c r="C259" t="s">
        <v>23</v>
      </c>
      <c r="D259" t="s">
        <v>24</v>
      </c>
      <c r="E259" t="s">
        <v>4011</v>
      </c>
      <c r="F259" t="s">
        <v>25</v>
      </c>
      <c r="G259" s="1">
        <v>46237</v>
      </c>
      <c r="H259" s="1">
        <v>46241</v>
      </c>
      <c r="I259" s="2">
        <v>0.25</v>
      </c>
      <c r="J259" s="2">
        <v>0.54166666666666663</v>
      </c>
      <c r="K259" t="s">
        <v>17</v>
      </c>
      <c r="L259" t="s">
        <v>18</v>
      </c>
      <c r="M259" s="1"/>
      <c r="O259" t="s">
        <v>21</v>
      </c>
      <c r="P259" s="1"/>
      <c r="Q259" s="1"/>
      <c r="S259" s="2">
        <f>CONSOLIDADO_2026[[#This Row],[Hora final]]-CONSOLIDADO_2026[[#This Row],[Hora inic]]</f>
        <v>0.29166666666666663</v>
      </c>
    </row>
    <row r="260" spans="1:19" x14ac:dyDescent="0.25">
      <c r="A260" t="s">
        <v>4016</v>
      </c>
      <c r="B260" t="s">
        <v>1175</v>
      </c>
      <c r="C260" t="s">
        <v>1176</v>
      </c>
      <c r="D260" t="s">
        <v>4027</v>
      </c>
      <c r="E260" t="s">
        <v>4011</v>
      </c>
      <c r="F260" t="s">
        <v>25</v>
      </c>
      <c r="G260" s="1">
        <v>46234</v>
      </c>
      <c r="H260" s="1">
        <v>46235</v>
      </c>
      <c r="I260" s="2"/>
      <c r="J260" s="2"/>
      <c r="L260" t="s">
        <v>4006</v>
      </c>
      <c r="M260" s="1"/>
      <c r="O260" t="s">
        <v>4007</v>
      </c>
      <c r="P260" s="1"/>
      <c r="Q260" s="1"/>
      <c r="S260" s="2">
        <f>CONSOLIDADO_2026[[#This Row],[Hora final]]-CONSOLIDADO_2026[[#This Row],[Hora inic]]</f>
        <v>0</v>
      </c>
    </row>
    <row r="261" spans="1:19" x14ac:dyDescent="0.25">
      <c r="A261" t="s">
        <v>4016</v>
      </c>
      <c r="B261" t="s">
        <v>463</v>
      </c>
      <c r="C261" t="s">
        <v>4082</v>
      </c>
      <c r="D261" t="s">
        <v>15</v>
      </c>
      <c r="E261" t="s">
        <v>4012</v>
      </c>
      <c r="F261" t="s">
        <v>25</v>
      </c>
      <c r="G261" s="1">
        <v>46235</v>
      </c>
      <c r="H261" s="1">
        <v>46235</v>
      </c>
      <c r="I261" s="2"/>
      <c r="J261" s="2"/>
      <c r="L261" t="s">
        <v>4006</v>
      </c>
      <c r="M261" s="1"/>
      <c r="O261" t="s">
        <v>4007</v>
      </c>
      <c r="P261" s="1"/>
      <c r="Q261" s="1"/>
      <c r="S261" s="2">
        <f>CONSOLIDADO_2026[[#This Row],[Hora final]]-CONSOLIDADO_2026[[#This Row],[Hora inic]]</f>
        <v>0</v>
      </c>
    </row>
    <row r="262" spans="1:19" x14ac:dyDescent="0.25">
      <c r="A262" t="s">
        <v>4016</v>
      </c>
      <c r="B262" t="s">
        <v>3863</v>
      </c>
      <c r="C262" t="s">
        <v>3864</v>
      </c>
      <c r="D262" t="s">
        <v>410</v>
      </c>
      <c r="E262" t="s">
        <v>4005</v>
      </c>
      <c r="F262" t="s">
        <v>25</v>
      </c>
      <c r="G262" s="1">
        <v>46234</v>
      </c>
      <c r="H262" s="1">
        <v>46234</v>
      </c>
      <c r="I262" s="2"/>
      <c r="J262" s="2"/>
      <c r="L262" t="s">
        <v>4006</v>
      </c>
      <c r="M262" s="1"/>
      <c r="O262" t="s">
        <v>4007</v>
      </c>
      <c r="P262" s="1"/>
      <c r="Q262" s="1"/>
      <c r="S262" s="2">
        <f>CONSOLIDADO_2026[[#This Row],[Hora final]]-CONSOLIDADO_2026[[#This Row],[Hora inic]]</f>
        <v>0</v>
      </c>
    </row>
    <row r="263" spans="1:19" x14ac:dyDescent="0.25">
      <c r="A263" t="s">
        <v>4016</v>
      </c>
      <c r="B263" t="s">
        <v>3149</v>
      </c>
      <c r="C263" t="s">
        <v>4083</v>
      </c>
      <c r="D263" t="s">
        <v>24</v>
      </c>
      <c r="E263" t="s">
        <v>4011</v>
      </c>
      <c r="F263" t="s">
        <v>25</v>
      </c>
      <c r="G263" s="1">
        <v>46234</v>
      </c>
      <c r="H263" s="1">
        <v>46235</v>
      </c>
      <c r="I263" s="2"/>
      <c r="J263" s="2"/>
      <c r="L263" t="s">
        <v>4006</v>
      </c>
      <c r="M263" s="1"/>
      <c r="O263" t="s">
        <v>4007</v>
      </c>
      <c r="P263" s="1"/>
      <c r="Q263" s="1"/>
      <c r="S263" s="2">
        <f>CONSOLIDADO_2026[[#This Row],[Hora final]]-CONSOLIDADO_2026[[#This Row],[Hora inic]]</f>
        <v>0</v>
      </c>
    </row>
    <row r="264" spans="1:19" x14ac:dyDescent="0.25">
      <c r="A264" t="s">
        <v>4016</v>
      </c>
      <c r="B264" t="s">
        <v>2817</v>
      </c>
      <c r="C264" t="s">
        <v>2818</v>
      </c>
      <c r="D264" t="s">
        <v>64</v>
      </c>
      <c r="E264" t="s">
        <v>4012</v>
      </c>
      <c r="F264" t="s">
        <v>25</v>
      </c>
      <c r="G264" s="1">
        <v>46233</v>
      </c>
      <c r="H264" s="1">
        <v>46235</v>
      </c>
      <c r="I264" s="2"/>
      <c r="J264" s="2"/>
      <c r="L264" t="s">
        <v>4006</v>
      </c>
      <c r="M264" s="1"/>
      <c r="O264" t="s">
        <v>4007</v>
      </c>
      <c r="P264" s="1"/>
      <c r="Q264" s="1"/>
      <c r="S264" s="2">
        <f>CONSOLIDADO_2026[[#This Row],[Hora final]]-CONSOLIDADO_2026[[#This Row],[Hora inic]]</f>
        <v>0</v>
      </c>
    </row>
    <row r="265" spans="1:19" x14ac:dyDescent="0.25">
      <c r="A265" t="s">
        <v>4016</v>
      </c>
      <c r="B265" t="s">
        <v>3355</v>
      </c>
      <c r="C265" t="s">
        <v>4084</v>
      </c>
      <c r="D265" t="s">
        <v>543</v>
      </c>
      <c r="E265" t="s">
        <v>4010</v>
      </c>
      <c r="F265" t="s">
        <v>25</v>
      </c>
      <c r="G265" s="1">
        <v>46234</v>
      </c>
      <c r="H265" s="1">
        <v>46235</v>
      </c>
      <c r="I265" s="2"/>
      <c r="J265" s="2"/>
      <c r="L265" t="s">
        <v>4006</v>
      </c>
      <c r="M265" s="1"/>
      <c r="O265" t="s">
        <v>4007</v>
      </c>
      <c r="P265" s="1"/>
      <c r="Q265" s="1"/>
      <c r="S265" s="2">
        <f>CONSOLIDADO_2026[[#This Row],[Hora final]]-CONSOLIDADO_2026[[#This Row],[Hora inic]]</f>
        <v>0</v>
      </c>
    </row>
    <row r="266" spans="1:19" x14ac:dyDescent="0.25">
      <c r="A266" t="s">
        <v>4016</v>
      </c>
      <c r="B266" t="s">
        <v>126</v>
      </c>
      <c r="C266" t="s">
        <v>4085</v>
      </c>
      <c r="D266" t="s">
        <v>128</v>
      </c>
      <c r="E266" t="s">
        <v>4005</v>
      </c>
      <c r="F266" t="s">
        <v>25</v>
      </c>
      <c r="G266" s="1">
        <v>46234</v>
      </c>
      <c r="H266" s="1">
        <v>46237</v>
      </c>
      <c r="I266" s="2"/>
      <c r="J266" s="2"/>
      <c r="L266" t="s">
        <v>4006</v>
      </c>
      <c r="M266" s="1"/>
      <c r="O266" t="s">
        <v>4007</v>
      </c>
      <c r="P266" s="1"/>
      <c r="Q266" s="1"/>
      <c r="S266" s="2">
        <f>CONSOLIDADO_2026[[#This Row],[Hora final]]-CONSOLIDADO_2026[[#This Row],[Hora inic]]</f>
        <v>0</v>
      </c>
    </row>
    <row r="267" spans="1:19" x14ac:dyDescent="0.25">
      <c r="A267" t="s">
        <v>4016</v>
      </c>
      <c r="B267" t="s">
        <v>4086</v>
      </c>
      <c r="C267" t="s">
        <v>4021</v>
      </c>
      <c r="D267" t="s">
        <v>57</v>
      </c>
      <c r="E267" t="s">
        <v>4010</v>
      </c>
      <c r="F267" t="s">
        <v>4015</v>
      </c>
      <c r="G267" s="1">
        <v>46237</v>
      </c>
      <c r="H267" s="1">
        <v>46239</v>
      </c>
      <c r="I267" s="2">
        <v>0.54166666666666663</v>
      </c>
      <c r="J267" s="2">
        <v>0.83333333333333337</v>
      </c>
      <c r="K267" t="s">
        <v>206</v>
      </c>
      <c r="L267" t="s">
        <v>207</v>
      </c>
      <c r="M267" s="1"/>
      <c r="O267" t="s">
        <v>21</v>
      </c>
      <c r="P267" s="1"/>
      <c r="Q267" s="1"/>
      <c r="S267" s="2">
        <f>CONSOLIDADO_2026[[#This Row],[Hora final]]-CONSOLIDADO_2026[[#This Row],[Hora inic]]</f>
        <v>0.29166666666666674</v>
      </c>
    </row>
    <row r="268" spans="1:19" x14ac:dyDescent="0.25">
      <c r="A268" t="s">
        <v>4016</v>
      </c>
      <c r="B268" t="s">
        <v>109</v>
      </c>
      <c r="C268" t="s">
        <v>110</v>
      </c>
      <c r="D268" t="s">
        <v>15</v>
      </c>
      <c r="E268" t="s">
        <v>4012</v>
      </c>
      <c r="F268" t="s">
        <v>25</v>
      </c>
      <c r="G268" s="1">
        <v>46229</v>
      </c>
      <c r="H268" s="1">
        <v>46243</v>
      </c>
      <c r="I268" s="2">
        <v>0.25</v>
      </c>
      <c r="J268" s="2">
        <v>0.58333333333333337</v>
      </c>
      <c r="K268" t="s">
        <v>219</v>
      </c>
      <c r="L268" t="s">
        <v>220</v>
      </c>
      <c r="M268" s="1"/>
      <c r="O268" t="s">
        <v>21</v>
      </c>
      <c r="P268" s="1"/>
      <c r="Q268" s="1"/>
      <c r="S268" s="2">
        <f>CONSOLIDADO_2026[[#This Row],[Hora final]]-CONSOLIDADO_2026[[#This Row],[Hora inic]]</f>
        <v>0.33333333333333337</v>
      </c>
    </row>
    <row r="269" spans="1:19" x14ac:dyDescent="0.25">
      <c r="A269" t="s">
        <v>4016</v>
      </c>
      <c r="B269" t="s">
        <v>4087</v>
      </c>
      <c r="C269" t="s">
        <v>4014</v>
      </c>
      <c r="D269" t="s">
        <v>410</v>
      </c>
      <c r="E269" t="s">
        <v>4005</v>
      </c>
      <c r="F269" t="s">
        <v>4015</v>
      </c>
      <c r="G269" s="1">
        <v>46235</v>
      </c>
      <c r="H269" s="1">
        <v>46238</v>
      </c>
      <c r="I269" s="2">
        <v>0.25</v>
      </c>
      <c r="J269" s="2">
        <v>0.54166666666666663</v>
      </c>
      <c r="K269" t="s">
        <v>225</v>
      </c>
      <c r="L269" t="s">
        <v>226</v>
      </c>
      <c r="M269" s="1"/>
      <c r="O269" t="s">
        <v>21</v>
      </c>
      <c r="P269" s="1"/>
      <c r="Q269" s="1"/>
      <c r="S269" s="2">
        <f>CONSOLIDADO_2026[[#This Row],[Hora final]]-CONSOLIDADO_2026[[#This Row],[Hora inic]]</f>
        <v>0.29166666666666663</v>
      </c>
    </row>
    <row r="270" spans="1:19" x14ac:dyDescent="0.25">
      <c r="A270" t="s">
        <v>4016</v>
      </c>
      <c r="B270" t="s">
        <v>234</v>
      </c>
      <c r="C270" t="s">
        <v>235</v>
      </c>
      <c r="D270" t="s">
        <v>211</v>
      </c>
      <c r="E270" t="s">
        <v>4017</v>
      </c>
      <c r="F270" t="s">
        <v>90</v>
      </c>
      <c r="G270" s="1">
        <v>46233</v>
      </c>
      <c r="H270" s="1">
        <v>46238</v>
      </c>
      <c r="I270" s="2">
        <v>0.5</v>
      </c>
      <c r="J270" s="2">
        <v>0.83333333333333337</v>
      </c>
      <c r="K270" t="s">
        <v>230</v>
      </c>
      <c r="L270" t="s">
        <v>231</v>
      </c>
      <c r="M270" s="1"/>
      <c r="O270" t="s">
        <v>21</v>
      </c>
      <c r="P270" s="1"/>
      <c r="Q270" s="1"/>
      <c r="S270" s="2">
        <f>CONSOLIDADO_2026[[#This Row],[Hora final]]-CONSOLIDADO_2026[[#This Row],[Hora inic]]</f>
        <v>0.33333333333333337</v>
      </c>
    </row>
    <row r="271" spans="1:19" x14ac:dyDescent="0.25">
      <c r="A271" t="s">
        <v>4016</v>
      </c>
      <c r="B271" t="s">
        <v>4088</v>
      </c>
      <c r="C271" t="s">
        <v>4018</v>
      </c>
      <c r="D271" t="s">
        <v>410</v>
      </c>
      <c r="E271" t="s">
        <v>4005</v>
      </c>
      <c r="F271" t="s">
        <v>4015</v>
      </c>
      <c r="G271" s="1">
        <v>46235</v>
      </c>
      <c r="H271" s="1">
        <v>46238</v>
      </c>
      <c r="I271" s="2">
        <v>0.25</v>
      </c>
      <c r="J271" s="2">
        <v>0.58333333333333337</v>
      </c>
      <c r="K271" t="s">
        <v>198</v>
      </c>
      <c r="L271" t="s">
        <v>199</v>
      </c>
      <c r="M271" s="1"/>
      <c r="O271" t="s">
        <v>21</v>
      </c>
      <c r="P271" s="1"/>
      <c r="Q271" s="1"/>
      <c r="S271" s="2">
        <f>CONSOLIDADO_2026[[#This Row],[Hora final]]-CONSOLIDADO_2026[[#This Row],[Hora inic]]</f>
        <v>0.33333333333333337</v>
      </c>
    </row>
    <row r="272" spans="1:19" x14ac:dyDescent="0.25">
      <c r="A272" t="s">
        <v>4016</v>
      </c>
      <c r="B272" t="s">
        <v>2312</v>
      </c>
      <c r="C272" t="s">
        <v>4038</v>
      </c>
      <c r="D272" t="s">
        <v>128</v>
      </c>
      <c r="E272" t="s">
        <v>4005</v>
      </c>
      <c r="F272" t="s">
        <v>4037</v>
      </c>
      <c r="G272" s="1">
        <v>46230</v>
      </c>
      <c r="H272" s="1"/>
      <c r="I272" s="2">
        <v>0.25</v>
      </c>
      <c r="J272" s="2">
        <v>0.54166666666666663</v>
      </c>
      <c r="K272" t="s">
        <v>203</v>
      </c>
      <c r="L272" t="s">
        <v>204</v>
      </c>
      <c r="M272" s="1"/>
      <c r="O272" t="s">
        <v>21</v>
      </c>
      <c r="P272" s="1"/>
      <c r="Q272" s="1"/>
      <c r="S272" s="2">
        <f>CONSOLIDADO_2026[[#This Row],[Hora final]]-CONSOLIDADO_2026[[#This Row],[Hora inic]]</f>
        <v>0.29166666666666663</v>
      </c>
    </row>
    <row r="273" spans="1:19" x14ac:dyDescent="0.25">
      <c r="A273" t="s">
        <v>4016</v>
      </c>
      <c r="B273" t="s">
        <v>222</v>
      </c>
      <c r="C273" t="s">
        <v>4089</v>
      </c>
      <c r="D273" t="s">
        <v>142</v>
      </c>
      <c r="E273" t="s">
        <v>4012</v>
      </c>
      <c r="F273" t="s">
        <v>25</v>
      </c>
      <c r="G273" s="1">
        <v>46231</v>
      </c>
      <c r="H273" s="1">
        <v>46235</v>
      </c>
      <c r="I273" s="2"/>
      <c r="J273" s="2"/>
      <c r="L273" t="s">
        <v>4006</v>
      </c>
      <c r="M273" s="1"/>
      <c r="O273" t="s">
        <v>4007</v>
      </c>
      <c r="P273" s="1"/>
      <c r="Q273" s="1"/>
      <c r="S273" s="2">
        <f>CONSOLIDADO_2026[[#This Row],[Hora final]]-CONSOLIDADO_2026[[#This Row],[Hora inic]]</f>
        <v>0</v>
      </c>
    </row>
    <row r="274" spans="1:19" x14ac:dyDescent="0.25">
      <c r="A274" t="s">
        <v>4016</v>
      </c>
      <c r="B274" t="s">
        <v>113</v>
      </c>
      <c r="C274" t="s">
        <v>4090</v>
      </c>
      <c r="D274" t="s">
        <v>64</v>
      </c>
      <c r="E274" t="s">
        <v>4012</v>
      </c>
      <c r="F274" t="s">
        <v>25</v>
      </c>
      <c r="G274" s="1">
        <v>46232</v>
      </c>
      <c r="H274" s="1">
        <v>46235</v>
      </c>
      <c r="I274" s="2"/>
      <c r="J274" s="2"/>
      <c r="L274" t="s">
        <v>4006</v>
      </c>
      <c r="M274" s="1"/>
      <c r="O274" t="s">
        <v>4007</v>
      </c>
      <c r="P274" s="1"/>
      <c r="Q274" s="1"/>
      <c r="S274" s="2">
        <f>CONSOLIDADO_2026[[#This Row],[Hora final]]-CONSOLIDADO_2026[[#This Row],[Hora inic]]</f>
        <v>0</v>
      </c>
    </row>
    <row r="275" spans="1:19" x14ac:dyDescent="0.25">
      <c r="A275" t="s">
        <v>4016</v>
      </c>
      <c r="B275" t="s">
        <v>3900</v>
      </c>
      <c r="C275" t="s">
        <v>3901</v>
      </c>
      <c r="D275" t="s">
        <v>29</v>
      </c>
      <c r="E275" t="s">
        <v>4005</v>
      </c>
      <c r="F275" t="s">
        <v>4091</v>
      </c>
      <c r="G275" s="1">
        <v>46238</v>
      </c>
      <c r="H275" s="1">
        <v>46240</v>
      </c>
      <c r="I275" s="2">
        <v>0.54166666666666663</v>
      </c>
      <c r="J275" s="2">
        <v>0.875</v>
      </c>
      <c r="K275" t="s">
        <v>1346</v>
      </c>
      <c r="L275" t="s">
        <v>1347</v>
      </c>
      <c r="M275" s="1"/>
      <c r="O275" t="s">
        <v>21</v>
      </c>
      <c r="P275" s="1"/>
      <c r="Q275" s="1"/>
      <c r="S275" s="2">
        <f>CONSOLIDADO_2026[[#This Row],[Hora final]]-CONSOLIDADO_2026[[#This Row],[Hora inic]]</f>
        <v>0.33333333333333337</v>
      </c>
    </row>
    <row r="276" spans="1:19" x14ac:dyDescent="0.25">
      <c r="A276" t="s">
        <v>4016</v>
      </c>
      <c r="B276" t="s">
        <v>165</v>
      </c>
      <c r="C276" t="s">
        <v>166</v>
      </c>
      <c r="D276" t="s">
        <v>41</v>
      </c>
      <c r="E276" t="s">
        <v>4011</v>
      </c>
      <c r="F276" t="s">
        <v>25</v>
      </c>
      <c r="G276" s="1">
        <v>46235</v>
      </c>
      <c r="H276" s="1">
        <v>46240</v>
      </c>
      <c r="I276" s="2">
        <v>0.58333333333333337</v>
      </c>
      <c r="J276" s="2">
        <v>0.875</v>
      </c>
      <c r="K276" t="s">
        <v>244</v>
      </c>
      <c r="L276" t="s">
        <v>245</v>
      </c>
      <c r="M276" s="1"/>
      <c r="O276" t="s">
        <v>21</v>
      </c>
      <c r="P276" s="1"/>
      <c r="Q276" s="1"/>
      <c r="S276" s="2">
        <f>CONSOLIDADO_2026[[#This Row],[Hora final]]-CONSOLIDADO_2026[[#This Row],[Hora inic]]</f>
        <v>0.29166666666666663</v>
      </c>
    </row>
    <row r="277" spans="1:19" x14ac:dyDescent="0.25">
      <c r="A277" t="s">
        <v>4016</v>
      </c>
      <c r="B277" t="s">
        <v>1089</v>
      </c>
      <c r="C277" t="s">
        <v>4025</v>
      </c>
      <c r="D277" t="s">
        <v>153</v>
      </c>
      <c r="E277" t="s">
        <v>4010</v>
      </c>
      <c r="F277" t="s">
        <v>4024</v>
      </c>
      <c r="G277" s="1">
        <v>46232</v>
      </c>
      <c r="H277" s="1">
        <v>46239</v>
      </c>
      <c r="I277" s="2">
        <v>0.58333333333333337</v>
      </c>
      <c r="J277" s="2">
        <v>0.875</v>
      </c>
      <c r="K277" t="s">
        <v>58</v>
      </c>
      <c r="L277" t="s">
        <v>59</v>
      </c>
      <c r="M277" s="1"/>
      <c r="O277" t="s">
        <v>21</v>
      </c>
      <c r="P277" s="1"/>
      <c r="Q277" s="1"/>
      <c r="S277" s="2">
        <f>CONSOLIDADO_2026[[#This Row],[Hora final]]-CONSOLIDADO_2026[[#This Row],[Hora inic]]</f>
        <v>0.29166666666666663</v>
      </c>
    </row>
    <row r="278" spans="1:19" x14ac:dyDescent="0.25">
      <c r="A278" t="s">
        <v>4016</v>
      </c>
      <c r="B278" t="s">
        <v>62</v>
      </c>
      <c r="C278" t="s">
        <v>105</v>
      </c>
      <c r="D278" t="s">
        <v>64</v>
      </c>
      <c r="E278" t="s">
        <v>4012</v>
      </c>
      <c r="F278" t="s">
        <v>25</v>
      </c>
      <c r="G278" s="1">
        <v>46229</v>
      </c>
      <c r="H278" s="1">
        <v>46258</v>
      </c>
      <c r="I278" s="2">
        <v>0.25</v>
      </c>
      <c r="J278" s="2">
        <v>0.58333333333333337</v>
      </c>
      <c r="K278" t="s">
        <v>147</v>
      </c>
      <c r="L278" t="s">
        <v>148</v>
      </c>
      <c r="M278" s="1"/>
      <c r="O278" t="s">
        <v>21</v>
      </c>
      <c r="P278" s="1"/>
      <c r="Q278" s="1"/>
      <c r="S278" s="2">
        <f>CONSOLIDADO_2026[[#This Row],[Hora final]]-CONSOLIDADO_2026[[#This Row],[Hora inic]]</f>
        <v>0.33333333333333337</v>
      </c>
    </row>
    <row r="279" spans="1:19" x14ac:dyDescent="0.25">
      <c r="A279" t="s">
        <v>4016</v>
      </c>
      <c r="B279" t="s">
        <v>140</v>
      </c>
      <c r="C279" t="s">
        <v>141</v>
      </c>
      <c r="D279" t="s">
        <v>142</v>
      </c>
      <c r="E279" t="s">
        <v>4012</v>
      </c>
      <c r="F279" t="s">
        <v>25</v>
      </c>
      <c r="G279" s="1">
        <v>46227</v>
      </c>
      <c r="H279" s="1">
        <v>46246</v>
      </c>
      <c r="I279" s="2">
        <v>0.25</v>
      </c>
      <c r="J279" s="2">
        <v>0.58333333333333337</v>
      </c>
      <c r="K279" t="s">
        <v>137</v>
      </c>
      <c r="L279" t="s">
        <v>138</v>
      </c>
      <c r="M279" s="1"/>
      <c r="O279" t="s">
        <v>21</v>
      </c>
      <c r="P279" s="1"/>
      <c r="Q279" s="1"/>
      <c r="S279" s="2">
        <f>CONSOLIDADO_2026[[#This Row],[Hora final]]-CONSOLIDADO_2026[[#This Row],[Hora inic]]</f>
        <v>0.33333333333333337</v>
      </c>
    </row>
    <row r="280" spans="1:19" x14ac:dyDescent="0.25">
      <c r="A280" t="s">
        <v>4016</v>
      </c>
      <c r="B280" t="s">
        <v>174</v>
      </c>
      <c r="C280" t="s">
        <v>175</v>
      </c>
      <c r="D280" t="s">
        <v>64</v>
      </c>
      <c r="E280" t="s">
        <v>4012</v>
      </c>
      <c r="F280" t="s">
        <v>25</v>
      </c>
      <c r="G280" s="1">
        <v>46225</v>
      </c>
      <c r="H280" s="1">
        <v>46239</v>
      </c>
      <c r="I280" s="2">
        <v>0.54166666666666663</v>
      </c>
      <c r="J280" s="2">
        <v>0.875</v>
      </c>
      <c r="K280" t="s">
        <v>171</v>
      </c>
      <c r="L280" t="s">
        <v>172</v>
      </c>
      <c r="M280" s="1"/>
      <c r="O280" t="s">
        <v>21</v>
      </c>
      <c r="P280" s="1"/>
      <c r="Q280" s="1"/>
      <c r="S280" s="2">
        <f>CONSOLIDADO_2026[[#This Row],[Hora final]]-CONSOLIDADO_2026[[#This Row],[Hora inic]]</f>
        <v>0.33333333333333337</v>
      </c>
    </row>
    <row r="281" spans="1:19" x14ac:dyDescent="0.25">
      <c r="A281" t="s">
        <v>4016</v>
      </c>
      <c r="B281" t="s">
        <v>102</v>
      </c>
      <c r="C281" t="s">
        <v>103</v>
      </c>
      <c r="D281" t="s">
        <v>64</v>
      </c>
      <c r="E281" t="s">
        <v>4012</v>
      </c>
      <c r="F281" t="s">
        <v>25</v>
      </c>
      <c r="G281" s="1">
        <v>46226</v>
      </c>
      <c r="H281" s="1">
        <v>46246</v>
      </c>
      <c r="I281" s="2">
        <v>0.58333333333333337</v>
      </c>
      <c r="J281" s="2">
        <v>0.875</v>
      </c>
      <c r="K281" t="s">
        <v>98</v>
      </c>
      <c r="L281" t="s">
        <v>99</v>
      </c>
      <c r="M281" s="1"/>
      <c r="O281" t="s">
        <v>21</v>
      </c>
      <c r="P281" s="1"/>
      <c r="Q281" s="1"/>
      <c r="S281" s="2">
        <f>CONSOLIDADO_2026[[#This Row],[Hora final]]-CONSOLIDADO_2026[[#This Row],[Hora inic]]</f>
        <v>0.29166666666666663</v>
      </c>
    </row>
    <row r="282" spans="1:19" x14ac:dyDescent="0.25">
      <c r="A282" t="s">
        <v>4016</v>
      </c>
      <c r="B282" t="s">
        <v>39</v>
      </c>
      <c r="C282" t="s">
        <v>40</v>
      </c>
      <c r="D282" t="s">
        <v>41</v>
      </c>
      <c r="E282" t="s">
        <v>4011</v>
      </c>
      <c r="F282" t="s">
        <v>25</v>
      </c>
      <c r="G282" s="1">
        <v>46226</v>
      </c>
      <c r="H282" s="1">
        <v>46255</v>
      </c>
      <c r="I282" s="2">
        <v>0.25</v>
      </c>
      <c r="J282" s="2">
        <v>0.54166666666666663</v>
      </c>
      <c r="K282" t="s">
        <v>35</v>
      </c>
      <c r="L282" t="s">
        <v>36</v>
      </c>
      <c r="M282" s="1"/>
      <c r="O282" t="s">
        <v>21</v>
      </c>
      <c r="P282" s="1"/>
      <c r="Q282" s="1"/>
      <c r="S282" s="2">
        <f>CONSOLIDADO_2026[[#This Row],[Hora final]]-CONSOLIDADO_2026[[#This Row],[Hora inic]]</f>
        <v>0.29166666666666663</v>
      </c>
    </row>
    <row r="283" spans="1:19" x14ac:dyDescent="0.25">
      <c r="A283" t="s">
        <v>4016</v>
      </c>
      <c r="B283" t="s">
        <v>209</v>
      </c>
      <c r="C283" t="s">
        <v>210</v>
      </c>
      <c r="D283" t="s">
        <v>211</v>
      </c>
      <c r="E283" t="s">
        <v>4017</v>
      </c>
      <c r="F283" t="s">
        <v>25</v>
      </c>
      <c r="G283" s="1">
        <v>46224</v>
      </c>
      <c r="H283" s="1">
        <v>46238</v>
      </c>
      <c r="I283" s="2">
        <v>0.25</v>
      </c>
      <c r="J283" s="2">
        <v>0.5</v>
      </c>
      <c r="L283" t="s">
        <v>261</v>
      </c>
      <c r="M283" s="1"/>
      <c r="O283" t="s">
        <v>4007</v>
      </c>
      <c r="P283" s="1"/>
      <c r="Q283" s="1"/>
      <c r="S283" s="2">
        <f>CONSOLIDADO_2026[[#This Row],[Hora final]]-CONSOLIDADO_2026[[#This Row],[Hora inic]]</f>
        <v>0.25</v>
      </c>
    </row>
    <row r="284" spans="1:19" x14ac:dyDescent="0.25">
      <c r="A284" t="s">
        <v>4016</v>
      </c>
      <c r="B284" t="s">
        <v>158</v>
      </c>
      <c r="C284" t="s">
        <v>159</v>
      </c>
      <c r="D284" t="s">
        <v>160</v>
      </c>
      <c r="E284" t="s">
        <v>4011</v>
      </c>
      <c r="F284" t="s">
        <v>25</v>
      </c>
      <c r="G284" s="1">
        <v>46219</v>
      </c>
      <c r="H284" s="1">
        <v>46248</v>
      </c>
      <c r="I284" s="2">
        <v>0.25</v>
      </c>
      <c r="J284" s="2">
        <v>0.58333333333333337</v>
      </c>
      <c r="K284" t="s">
        <v>191</v>
      </c>
      <c r="L284" t="s">
        <v>192</v>
      </c>
      <c r="M284" s="1"/>
      <c r="O284" t="s">
        <v>21</v>
      </c>
      <c r="P284" s="1"/>
      <c r="Q284" s="1"/>
      <c r="S284" s="2">
        <f>CONSOLIDADO_2026[[#This Row],[Hora final]]-CONSOLIDADO_2026[[#This Row],[Hora inic]]</f>
        <v>0.33333333333333337</v>
      </c>
    </row>
    <row r="285" spans="1:19" x14ac:dyDescent="0.25">
      <c r="A285" t="s">
        <v>4016</v>
      </c>
      <c r="B285" t="s">
        <v>43</v>
      </c>
      <c r="C285" t="s">
        <v>72</v>
      </c>
      <c r="D285" t="s">
        <v>41</v>
      </c>
      <c r="E285" t="s">
        <v>4011</v>
      </c>
      <c r="F285" t="s">
        <v>30</v>
      </c>
      <c r="G285" s="1">
        <v>46230</v>
      </c>
      <c r="H285" s="1">
        <v>46248</v>
      </c>
      <c r="I285" s="2">
        <v>0.58333333333333337</v>
      </c>
      <c r="J285" s="2">
        <v>0.875</v>
      </c>
      <c r="K285" t="s">
        <v>154</v>
      </c>
      <c r="L285" t="s">
        <v>155</v>
      </c>
      <c r="M285" s="1"/>
      <c r="O285" t="s">
        <v>21</v>
      </c>
      <c r="P285" s="1"/>
      <c r="Q285" s="1"/>
      <c r="S285" s="2">
        <f>CONSOLIDADO_2026[[#This Row],[Hora final]]-CONSOLIDADO_2026[[#This Row],[Hora inic]]</f>
        <v>0.29166666666666663</v>
      </c>
    </row>
    <row r="286" spans="1:19" x14ac:dyDescent="0.25">
      <c r="A286" t="s">
        <v>4016</v>
      </c>
      <c r="B286" t="s">
        <v>119</v>
      </c>
      <c r="C286" t="s">
        <v>120</v>
      </c>
      <c r="D286" t="s">
        <v>121</v>
      </c>
      <c r="E286" t="s">
        <v>4010</v>
      </c>
      <c r="F286" t="s">
        <v>25</v>
      </c>
      <c r="G286" s="1">
        <v>46224</v>
      </c>
      <c r="H286" s="1">
        <v>46238</v>
      </c>
      <c r="I286" s="2">
        <v>0.25</v>
      </c>
      <c r="J286" s="2">
        <v>0.54166666666666663</v>
      </c>
      <c r="K286" t="s">
        <v>216</v>
      </c>
      <c r="L286" t="s">
        <v>217</v>
      </c>
      <c r="M286" s="1"/>
      <c r="O286" t="s">
        <v>21</v>
      </c>
      <c r="P286" s="1"/>
      <c r="Q286" s="1"/>
      <c r="S286" s="2">
        <f>CONSOLIDADO_2026[[#This Row],[Hora final]]-CONSOLIDADO_2026[[#This Row],[Hora inic]]</f>
        <v>0.29166666666666663</v>
      </c>
    </row>
    <row r="287" spans="1:19" x14ac:dyDescent="0.25">
      <c r="A287" t="s">
        <v>4016</v>
      </c>
      <c r="B287" t="s">
        <v>49</v>
      </c>
      <c r="C287" t="s">
        <v>50</v>
      </c>
      <c r="D287" t="s">
        <v>51</v>
      </c>
      <c r="E287" t="s">
        <v>4011</v>
      </c>
      <c r="F287" t="s">
        <v>16</v>
      </c>
      <c r="G287" s="1">
        <v>46217</v>
      </c>
      <c r="H287" s="1">
        <v>46342</v>
      </c>
      <c r="I287" s="2">
        <v>0.25</v>
      </c>
      <c r="J287" s="2">
        <v>0.58333333333333337</v>
      </c>
      <c r="K287" t="s">
        <v>69</v>
      </c>
      <c r="L287" t="s">
        <v>70</v>
      </c>
      <c r="M287" s="1"/>
      <c r="O287" t="s">
        <v>21</v>
      </c>
      <c r="P287" s="1"/>
      <c r="Q287" s="1"/>
      <c r="S287" s="2">
        <f>CONSOLIDADO_2026[[#This Row],[Hora final]]-CONSOLIDADO_2026[[#This Row],[Hora inic]]</f>
        <v>0.33333333333333337</v>
      </c>
    </row>
    <row r="288" spans="1:19" x14ac:dyDescent="0.25">
      <c r="A288" t="s">
        <v>4016</v>
      </c>
      <c r="B288" t="s">
        <v>4092</v>
      </c>
      <c r="C288" t="s">
        <v>4034</v>
      </c>
      <c r="D288" t="s">
        <v>160</v>
      </c>
      <c r="E288" t="s">
        <v>4011</v>
      </c>
      <c r="F288" t="s">
        <v>4015</v>
      </c>
      <c r="G288" s="1">
        <v>46195</v>
      </c>
      <c r="H288" s="1"/>
      <c r="I288" s="2">
        <v>0.25</v>
      </c>
      <c r="J288" s="2">
        <v>0.58333333333333337</v>
      </c>
      <c r="L288" t="s">
        <v>261</v>
      </c>
      <c r="M288" s="1"/>
      <c r="O288" t="s">
        <v>4007</v>
      </c>
      <c r="P288" s="1"/>
      <c r="Q288" s="1"/>
      <c r="S288" s="2">
        <f>CONSOLIDADO_2026[[#This Row],[Hora final]]-CONSOLIDADO_2026[[#This Row],[Hora inic]]</f>
        <v>0.33333333333333337</v>
      </c>
    </row>
    <row r="289" spans="1:19" x14ac:dyDescent="0.25">
      <c r="A289" t="s">
        <v>4016</v>
      </c>
      <c r="B289">
        <v>1152699151</v>
      </c>
      <c r="C289" t="s">
        <v>944</v>
      </c>
      <c r="D289" t="s">
        <v>4093</v>
      </c>
      <c r="E289" t="s">
        <v>4011</v>
      </c>
      <c r="F289" t="s">
        <v>4091</v>
      </c>
      <c r="G289" s="1">
        <v>46238</v>
      </c>
      <c r="H289" s="1">
        <v>46240</v>
      </c>
      <c r="I289" s="2">
        <v>0.33333333333333331</v>
      </c>
      <c r="J289" s="2">
        <v>0.625</v>
      </c>
      <c r="K289" t="s">
        <v>3621</v>
      </c>
      <c r="L289" t="s">
        <v>3622</v>
      </c>
      <c r="M289" s="1"/>
      <c r="O289" t="s">
        <v>21</v>
      </c>
      <c r="P289" s="1"/>
      <c r="Q289" s="1"/>
      <c r="S289" s="2">
        <f>CONSOLIDADO_2026[[#This Row],[Hora final]]-CONSOLIDADO_2026[[#This Row],[Hora inic]]</f>
        <v>0.29166666666666669</v>
      </c>
    </row>
    <row r="290" spans="1:19" x14ac:dyDescent="0.25">
      <c r="A290" t="s">
        <v>4013</v>
      </c>
      <c r="B290">
        <v>1152699151</v>
      </c>
      <c r="C290" t="s">
        <v>944</v>
      </c>
      <c r="D290" t="s">
        <v>4093</v>
      </c>
      <c r="E290" t="s">
        <v>4011</v>
      </c>
      <c r="F290" t="s">
        <v>4091</v>
      </c>
      <c r="G290" s="1">
        <v>46238</v>
      </c>
      <c r="H290" s="1">
        <v>46240</v>
      </c>
      <c r="I290" s="2">
        <v>0.33333333333333331</v>
      </c>
      <c r="J290" s="2">
        <v>0.625</v>
      </c>
      <c r="K290" t="s">
        <v>3621</v>
      </c>
      <c r="L290" t="s">
        <v>3622</v>
      </c>
      <c r="M290" s="1"/>
      <c r="O290" t="s">
        <v>21</v>
      </c>
      <c r="P290" s="1"/>
      <c r="Q290" s="1"/>
      <c r="S290" s="2">
        <f>CONSOLIDADO_2026[[#This Row],[Hora final]]-CONSOLIDADO_2026[[#This Row],[Hora inic]]</f>
        <v>0.29166666666666669</v>
      </c>
    </row>
    <row r="291" spans="1:19" x14ac:dyDescent="0.25">
      <c r="A291" t="s">
        <v>4016</v>
      </c>
      <c r="B291">
        <v>1152470285</v>
      </c>
      <c r="C291" t="s">
        <v>3559</v>
      </c>
      <c r="D291" t="s">
        <v>57</v>
      </c>
      <c r="E291" t="s">
        <v>4010</v>
      </c>
      <c r="F291" t="s">
        <v>30</v>
      </c>
      <c r="G291" s="1">
        <v>46238</v>
      </c>
      <c r="H291" s="1">
        <v>46238</v>
      </c>
      <c r="I291" s="2">
        <v>0.25</v>
      </c>
      <c r="J291" s="2">
        <v>0.58333333333333337</v>
      </c>
      <c r="K291" t="s">
        <v>1435</v>
      </c>
      <c r="L291" t="s">
        <v>1436</v>
      </c>
      <c r="M291" s="1"/>
      <c r="O291" t="s">
        <v>21</v>
      </c>
      <c r="P291" s="1"/>
      <c r="Q291" s="1"/>
      <c r="S291" s="2">
        <f>CONSOLIDADO_2026[[#This Row],[Hora final]]-CONSOLIDADO_2026[[#This Row],[Hora inic]]</f>
        <v>0.33333333333333337</v>
      </c>
    </row>
    <row r="292" spans="1:19" x14ac:dyDescent="0.25">
      <c r="A292" t="s">
        <v>4013</v>
      </c>
      <c r="B292">
        <v>1152470285</v>
      </c>
      <c r="C292" t="s">
        <v>4094</v>
      </c>
      <c r="D292" t="s">
        <v>57</v>
      </c>
      <c r="E292" t="s">
        <v>4010</v>
      </c>
      <c r="F292" t="s">
        <v>30</v>
      </c>
      <c r="G292" s="1">
        <v>46238</v>
      </c>
      <c r="H292" s="1">
        <v>46238</v>
      </c>
      <c r="I292" s="2"/>
      <c r="J292" s="2"/>
      <c r="L292" t="s">
        <v>4006</v>
      </c>
      <c r="M292" s="1"/>
      <c r="O292" t="s">
        <v>4007</v>
      </c>
      <c r="P292" s="1"/>
      <c r="Q292" s="1"/>
      <c r="S292" s="2">
        <f>CONSOLIDADO_2026[[#This Row],[Hora final]]-CONSOLIDADO_2026[[#This Row],[Hora inic]]</f>
        <v>0</v>
      </c>
    </row>
    <row r="293" spans="1:19" x14ac:dyDescent="0.25">
      <c r="A293" t="s">
        <v>4016</v>
      </c>
      <c r="B293" t="s">
        <v>185</v>
      </c>
      <c r="C293" t="s">
        <v>186</v>
      </c>
      <c r="D293" t="s">
        <v>4045</v>
      </c>
      <c r="E293" t="s">
        <v>4011</v>
      </c>
      <c r="F293" t="s">
        <v>4046</v>
      </c>
      <c r="G293" s="1">
        <v>46238</v>
      </c>
      <c r="H293" s="1">
        <v>46238</v>
      </c>
      <c r="I293" s="2">
        <v>0.25</v>
      </c>
      <c r="J293" s="2">
        <v>0.58333333333333337</v>
      </c>
      <c r="K293" t="s">
        <v>185</v>
      </c>
      <c r="L293" t="s">
        <v>186</v>
      </c>
      <c r="M293" s="1"/>
      <c r="O293" t="s">
        <v>4007</v>
      </c>
      <c r="P293" s="1"/>
      <c r="Q293" s="1"/>
      <c r="S293" s="2">
        <f>CONSOLIDADO_2026[[#This Row],[Hora final]]-CONSOLIDADO_2026[[#This Row],[Hora inic]]</f>
        <v>0.33333333333333337</v>
      </c>
    </row>
    <row r="294" spans="1:19" x14ac:dyDescent="0.25">
      <c r="A294" t="s">
        <v>4016</v>
      </c>
      <c r="B294">
        <v>1193055266</v>
      </c>
      <c r="C294" t="s">
        <v>257</v>
      </c>
      <c r="D294" t="s">
        <v>4045</v>
      </c>
      <c r="E294" t="s">
        <v>4017</v>
      </c>
      <c r="F294" t="s">
        <v>4046</v>
      </c>
      <c r="G294" s="1">
        <v>46238</v>
      </c>
      <c r="H294" s="1">
        <v>46238</v>
      </c>
      <c r="I294" s="2">
        <v>0.25</v>
      </c>
      <c r="J294" s="2">
        <v>0.58333333333333337</v>
      </c>
      <c r="K294" t="s">
        <v>256</v>
      </c>
      <c r="L294" t="s">
        <v>257</v>
      </c>
      <c r="M294" s="1"/>
      <c r="O294" t="s">
        <v>4007</v>
      </c>
      <c r="P294" s="1"/>
      <c r="Q294" s="1"/>
      <c r="S294" s="2">
        <f>CONSOLIDADO_2026[[#This Row],[Hora final]]-CONSOLIDADO_2026[[#This Row],[Hora inic]]</f>
        <v>0.33333333333333337</v>
      </c>
    </row>
    <row r="295" spans="1:19" x14ac:dyDescent="0.25">
      <c r="A295" t="s">
        <v>4016</v>
      </c>
      <c r="B295">
        <v>1152687492</v>
      </c>
      <c r="C295" t="s">
        <v>4095</v>
      </c>
      <c r="D295" t="s">
        <v>336</v>
      </c>
      <c r="E295" t="s">
        <v>4017</v>
      </c>
      <c r="F295" t="s">
        <v>4015</v>
      </c>
      <c r="G295" s="1">
        <v>46238</v>
      </c>
      <c r="H295" s="1">
        <v>46240</v>
      </c>
      <c r="I295" s="2">
        <v>0.5</v>
      </c>
      <c r="J295" s="2">
        <v>0.79166666666666663</v>
      </c>
      <c r="K295" t="s">
        <v>212</v>
      </c>
      <c r="L295" t="s">
        <v>213</v>
      </c>
      <c r="M295" s="1"/>
      <c r="O295" t="s">
        <v>21</v>
      </c>
      <c r="P295" s="1"/>
      <c r="Q295" s="1"/>
      <c r="S295" s="2">
        <f>CONSOLIDADO_2026[[#This Row],[Hora final]]-CONSOLIDADO_2026[[#This Row],[Hora inic]]</f>
        <v>0.29166666666666663</v>
      </c>
    </row>
    <row r="296" spans="1:19" x14ac:dyDescent="0.25">
      <c r="A296" t="s">
        <v>4013</v>
      </c>
      <c r="B296">
        <v>1152687492</v>
      </c>
      <c r="C296" t="s">
        <v>4095</v>
      </c>
      <c r="D296" t="s">
        <v>336</v>
      </c>
      <c r="E296" t="s">
        <v>4017</v>
      </c>
      <c r="F296" t="s">
        <v>4015</v>
      </c>
      <c r="G296" s="1">
        <v>46238</v>
      </c>
      <c r="H296" s="1">
        <v>46240</v>
      </c>
      <c r="I296" s="2">
        <v>0.45833333333333331</v>
      </c>
      <c r="J296" s="2">
        <v>0.79166666666666663</v>
      </c>
      <c r="K296" t="s">
        <v>230</v>
      </c>
      <c r="L296" t="s">
        <v>231</v>
      </c>
      <c r="M296" s="1"/>
      <c r="O296" t="s">
        <v>21</v>
      </c>
      <c r="P296" s="1"/>
      <c r="Q296" s="1"/>
      <c r="S296" s="2">
        <f>CONSOLIDADO_2026[[#This Row],[Hora final]]-CONSOLIDADO_2026[[#This Row],[Hora inic]]</f>
        <v>0.33333333333333331</v>
      </c>
    </row>
    <row r="297" spans="1:19" x14ac:dyDescent="0.25">
      <c r="A297" t="s">
        <v>4016</v>
      </c>
      <c r="B297">
        <v>1117545007</v>
      </c>
      <c r="C297" t="s">
        <v>2325</v>
      </c>
      <c r="D297" t="s">
        <v>128</v>
      </c>
      <c r="E297" t="s">
        <v>4005</v>
      </c>
      <c r="F297" t="s">
        <v>25</v>
      </c>
      <c r="G297" s="1">
        <v>46237</v>
      </c>
      <c r="H297" s="1">
        <v>46239</v>
      </c>
      <c r="I297" s="2">
        <v>0.25</v>
      </c>
      <c r="J297" s="2">
        <v>0.58333333333333337</v>
      </c>
      <c r="K297" t="s">
        <v>252</v>
      </c>
      <c r="L297" t="s">
        <v>253</v>
      </c>
      <c r="M297" s="1"/>
      <c r="O297" t="s">
        <v>21</v>
      </c>
      <c r="P297" s="1"/>
      <c r="Q297" s="1"/>
      <c r="S297" s="2">
        <f>CONSOLIDADO_2026[[#This Row],[Hora final]]-CONSOLIDADO_2026[[#This Row],[Hora inic]]</f>
        <v>0.33333333333333337</v>
      </c>
    </row>
    <row r="298" spans="1:19" x14ac:dyDescent="0.25">
      <c r="A298" t="s">
        <v>4013</v>
      </c>
      <c r="B298">
        <v>1117545007</v>
      </c>
      <c r="C298" t="s">
        <v>2325</v>
      </c>
      <c r="D298" t="s">
        <v>128</v>
      </c>
      <c r="E298" t="s">
        <v>4005</v>
      </c>
      <c r="F298" t="s">
        <v>25</v>
      </c>
      <c r="G298" s="1">
        <v>46237</v>
      </c>
      <c r="H298" s="1">
        <v>46239</v>
      </c>
      <c r="I298" s="2">
        <v>0.54166666666666663</v>
      </c>
      <c r="J298" s="2">
        <v>0.875</v>
      </c>
      <c r="K298" t="s">
        <v>17</v>
      </c>
      <c r="L298" t="s">
        <v>18</v>
      </c>
      <c r="M298" s="1"/>
      <c r="O298" t="s">
        <v>21</v>
      </c>
      <c r="P298" s="1"/>
      <c r="Q298" s="1"/>
      <c r="S298" s="2">
        <f>CONSOLIDADO_2026[[#This Row],[Hora final]]-CONSOLIDADO_2026[[#This Row],[Hora inic]]</f>
        <v>0.33333333333333337</v>
      </c>
    </row>
    <row r="299" spans="1:19" x14ac:dyDescent="0.25">
      <c r="A299" t="s">
        <v>4016</v>
      </c>
      <c r="B299">
        <v>1214743121</v>
      </c>
      <c r="C299" t="s">
        <v>4096</v>
      </c>
      <c r="D299" t="s">
        <v>343</v>
      </c>
      <c r="E299" t="s">
        <v>4012</v>
      </c>
      <c r="F299" t="s">
        <v>4040</v>
      </c>
      <c r="G299" s="1">
        <v>46238</v>
      </c>
      <c r="H299" s="1"/>
      <c r="I299" s="2">
        <v>0.25</v>
      </c>
      <c r="J299" s="2">
        <v>0.54166666666666663</v>
      </c>
      <c r="L299" t="s">
        <v>4022</v>
      </c>
      <c r="M299" s="1"/>
      <c r="O299" t="s">
        <v>4007</v>
      </c>
      <c r="P299" s="1"/>
      <c r="Q299" s="1"/>
      <c r="S299" s="2">
        <f>CONSOLIDADO_2026[[#This Row],[Hora final]]-CONSOLIDADO_2026[[#This Row],[Hora inic]]</f>
        <v>0.29166666666666663</v>
      </c>
    </row>
    <row r="300" spans="1:19" x14ac:dyDescent="0.25">
      <c r="A300" t="s">
        <v>4013</v>
      </c>
      <c r="B300">
        <v>1214743121</v>
      </c>
      <c r="C300" t="s">
        <v>4096</v>
      </c>
      <c r="D300" t="s">
        <v>343</v>
      </c>
      <c r="E300" t="s">
        <v>4012</v>
      </c>
      <c r="F300" t="s">
        <v>4040</v>
      </c>
      <c r="G300" s="1">
        <v>46238</v>
      </c>
      <c r="H300" s="1"/>
      <c r="I300" s="2">
        <v>0.25</v>
      </c>
      <c r="J300" s="2">
        <v>0.54166666666666663</v>
      </c>
      <c r="L300" t="s">
        <v>4051</v>
      </c>
      <c r="M300" s="1"/>
      <c r="O300" t="s">
        <v>4007</v>
      </c>
      <c r="P300" s="1"/>
      <c r="Q300" s="1"/>
      <c r="S300" s="2">
        <f>CONSOLIDADO_2026[[#This Row],[Hora final]]-CONSOLIDADO_2026[[#This Row],[Hora inic]]</f>
        <v>0.29166666666666663</v>
      </c>
    </row>
    <row r="301" spans="1:19" x14ac:dyDescent="0.25">
      <c r="A301" t="s">
        <v>4016</v>
      </c>
      <c r="B301">
        <v>1005660092</v>
      </c>
      <c r="C301" t="s">
        <v>2262</v>
      </c>
      <c r="D301" t="s">
        <v>4027</v>
      </c>
      <c r="E301" t="s">
        <v>4011</v>
      </c>
      <c r="F301" t="s">
        <v>25</v>
      </c>
      <c r="G301" s="1">
        <v>46238</v>
      </c>
      <c r="H301" s="1">
        <v>46238</v>
      </c>
      <c r="I301" s="2">
        <v>0.5</v>
      </c>
      <c r="J301" s="2">
        <v>0.79166666666666663</v>
      </c>
      <c r="L301" t="s">
        <v>4022</v>
      </c>
      <c r="M301" s="1"/>
      <c r="O301" t="s">
        <v>4007</v>
      </c>
      <c r="P301" s="1"/>
      <c r="Q301" s="1"/>
      <c r="S301" s="2">
        <f>CONSOLIDADO_2026[[#This Row],[Hora final]]-CONSOLIDADO_2026[[#This Row],[Hora inic]]</f>
        <v>0.29166666666666663</v>
      </c>
    </row>
    <row r="302" spans="1:19" x14ac:dyDescent="0.25">
      <c r="A302" t="s">
        <v>4016</v>
      </c>
      <c r="B302">
        <v>88030132</v>
      </c>
      <c r="C302" t="s">
        <v>1903</v>
      </c>
      <c r="D302" t="s">
        <v>142</v>
      </c>
      <c r="E302" t="s">
        <v>4012</v>
      </c>
      <c r="F302" t="s">
        <v>4040</v>
      </c>
      <c r="G302" s="1">
        <v>46238</v>
      </c>
      <c r="H302" s="1"/>
      <c r="I302" s="2">
        <v>0.25</v>
      </c>
      <c r="J302" s="2">
        <v>0.58333333333333337</v>
      </c>
      <c r="L302" t="s">
        <v>4051</v>
      </c>
      <c r="M302" s="1"/>
      <c r="O302" t="s">
        <v>4007</v>
      </c>
      <c r="P302" s="1"/>
      <c r="Q302" s="1"/>
      <c r="S302" s="2">
        <f>CONSOLIDADO_2026[[#This Row],[Hora final]]-CONSOLIDADO_2026[[#This Row],[Hora inic]]</f>
        <v>0.33333333333333337</v>
      </c>
    </row>
    <row r="303" spans="1:19" x14ac:dyDescent="0.25">
      <c r="A303" t="s">
        <v>4013</v>
      </c>
      <c r="B303">
        <v>88030132</v>
      </c>
      <c r="C303" t="s">
        <v>1903</v>
      </c>
      <c r="D303" t="s">
        <v>142</v>
      </c>
      <c r="E303" t="s">
        <v>4012</v>
      </c>
      <c r="F303" t="s">
        <v>4040</v>
      </c>
      <c r="G303" s="1">
        <v>46238</v>
      </c>
      <c r="H303" s="1"/>
      <c r="I303" s="2">
        <v>0.25</v>
      </c>
      <c r="J303" s="2">
        <v>0.54166666666666663</v>
      </c>
      <c r="L303" t="s">
        <v>4022</v>
      </c>
      <c r="M303" s="1"/>
      <c r="O303" t="s">
        <v>4007</v>
      </c>
      <c r="P303" s="1"/>
      <c r="Q303" s="1"/>
      <c r="S303" s="2">
        <f>CONSOLIDADO_2026[[#This Row],[Hora final]]-CONSOLIDADO_2026[[#This Row],[Hora inic]]</f>
        <v>0.29166666666666663</v>
      </c>
    </row>
    <row r="304" spans="1:19" x14ac:dyDescent="0.25">
      <c r="A304" t="s">
        <v>4016</v>
      </c>
      <c r="B304">
        <v>1067963513</v>
      </c>
      <c r="C304" t="s">
        <v>4097</v>
      </c>
      <c r="D304" t="s">
        <v>29</v>
      </c>
      <c r="E304" t="s">
        <v>4005</v>
      </c>
      <c r="F304" t="s">
        <v>4040</v>
      </c>
      <c r="G304" s="1">
        <v>46238</v>
      </c>
      <c r="H304" s="1">
        <v>46238</v>
      </c>
      <c r="I304" s="2">
        <v>0.58333333333333337</v>
      </c>
      <c r="J304" s="2">
        <v>0.875</v>
      </c>
      <c r="L304" t="s">
        <v>4022</v>
      </c>
      <c r="M304" s="1"/>
      <c r="O304" t="s">
        <v>4007</v>
      </c>
      <c r="P304" s="1"/>
      <c r="Q304" s="1"/>
      <c r="S304" s="2">
        <f>CONSOLIDADO_2026[[#This Row],[Hora final]]-CONSOLIDADO_2026[[#This Row],[Hora inic]]</f>
        <v>0.29166666666666663</v>
      </c>
    </row>
    <row r="305" spans="1:19" x14ac:dyDescent="0.25">
      <c r="A305" t="s">
        <v>4013</v>
      </c>
      <c r="B305">
        <v>1067963513</v>
      </c>
      <c r="C305" t="s">
        <v>28</v>
      </c>
      <c r="D305" t="s">
        <v>29</v>
      </c>
      <c r="E305" t="s">
        <v>4005</v>
      </c>
      <c r="F305" t="s">
        <v>4040</v>
      </c>
      <c r="G305" s="1">
        <v>46238</v>
      </c>
      <c r="H305" s="1">
        <v>46238</v>
      </c>
      <c r="I305" s="2">
        <v>0.54166666666666663</v>
      </c>
      <c r="J305" s="2">
        <v>0.875</v>
      </c>
      <c r="L305" t="s">
        <v>4022</v>
      </c>
      <c r="M305" s="1"/>
      <c r="O305" t="s">
        <v>4007</v>
      </c>
      <c r="P305" s="1"/>
      <c r="Q305" s="1"/>
      <c r="S305" s="2">
        <f>CONSOLIDADO_2026[[#This Row],[Hora final]]-CONSOLIDADO_2026[[#This Row],[Hora inic]]</f>
        <v>0.33333333333333337</v>
      </c>
    </row>
    <row r="306" spans="1:19" x14ac:dyDescent="0.25">
      <c r="A306" t="s">
        <v>4016</v>
      </c>
      <c r="B306">
        <v>1000412686</v>
      </c>
      <c r="C306" t="s">
        <v>2827</v>
      </c>
      <c r="D306" t="s">
        <v>57</v>
      </c>
      <c r="E306" t="s">
        <v>4010</v>
      </c>
      <c r="F306" t="s">
        <v>4040</v>
      </c>
      <c r="G306" s="1">
        <v>46238</v>
      </c>
      <c r="H306" s="1">
        <v>46238</v>
      </c>
      <c r="I306" s="2">
        <v>0.25</v>
      </c>
      <c r="J306" s="2">
        <v>0.54166666666666663</v>
      </c>
      <c r="L306" t="s">
        <v>4022</v>
      </c>
      <c r="M306" s="1"/>
      <c r="O306" t="s">
        <v>4007</v>
      </c>
      <c r="P306" s="1"/>
      <c r="Q306" s="1"/>
      <c r="S306" s="2">
        <f>CONSOLIDADO_2026[[#This Row],[Hora final]]-CONSOLIDADO_2026[[#This Row],[Hora inic]]</f>
        <v>0.29166666666666663</v>
      </c>
    </row>
    <row r="307" spans="1:19" x14ac:dyDescent="0.25">
      <c r="A307" t="s">
        <v>4013</v>
      </c>
      <c r="B307">
        <v>1000412686</v>
      </c>
      <c r="C307" t="s">
        <v>2827</v>
      </c>
      <c r="D307" t="s">
        <v>57</v>
      </c>
      <c r="E307" t="s">
        <v>4010</v>
      </c>
      <c r="F307" t="s">
        <v>4040</v>
      </c>
      <c r="G307" s="1">
        <v>46238</v>
      </c>
      <c r="H307" s="1">
        <v>46238</v>
      </c>
      <c r="I307" s="2">
        <v>0.25</v>
      </c>
      <c r="J307" s="2">
        <v>0.54166666666666663</v>
      </c>
      <c r="L307" t="s">
        <v>4022</v>
      </c>
      <c r="M307" s="1"/>
      <c r="O307" t="s">
        <v>4007</v>
      </c>
      <c r="P307" s="1"/>
      <c r="Q307" s="1"/>
      <c r="S307" s="2">
        <f>CONSOLIDADO_2026[[#This Row],[Hora final]]-CONSOLIDADO_2026[[#This Row],[Hora inic]]</f>
        <v>0.29166666666666663</v>
      </c>
    </row>
    <row r="308" spans="1:19" x14ac:dyDescent="0.25">
      <c r="A308" t="s">
        <v>4016</v>
      </c>
      <c r="B308">
        <v>1193104616</v>
      </c>
      <c r="C308" t="s">
        <v>1954</v>
      </c>
      <c r="D308" t="s">
        <v>64</v>
      </c>
      <c r="E308" t="s">
        <v>4012</v>
      </c>
      <c r="F308" t="s">
        <v>25</v>
      </c>
      <c r="G308" s="1">
        <v>46238</v>
      </c>
      <c r="H308" s="1">
        <v>46240</v>
      </c>
      <c r="I308" s="2">
        <v>0.25</v>
      </c>
      <c r="J308" s="2">
        <v>0.45833333333333331</v>
      </c>
      <c r="L308" t="s">
        <v>261</v>
      </c>
      <c r="M308" s="1"/>
      <c r="O308" t="s">
        <v>4007</v>
      </c>
      <c r="P308" s="1"/>
      <c r="Q308" s="1"/>
      <c r="S308" s="2">
        <f>CONSOLIDADO_2026[[#This Row],[Hora final]]-CONSOLIDADO_2026[[#This Row],[Hora inic]]</f>
        <v>0.20833333333333331</v>
      </c>
    </row>
    <row r="309" spans="1:19" x14ac:dyDescent="0.25">
      <c r="A309" t="s">
        <v>4013</v>
      </c>
      <c r="B309">
        <v>1193104616</v>
      </c>
      <c r="C309" t="s">
        <v>1954</v>
      </c>
      <c r="D309" t="s">
        <v>64</v>
      </c>
      <c r="E309" t="s">
        <v>4012</v>
      </c>
      <c r="F309" t="s">
        <v>25</v>
      </c>
      <c r="G309" s="1">
        <v>46238</v>
      </c>
      <c r="H309" s="1">
        <v>46240</v>
      </c>
      <c r="I309" s="2">
        <v>0.25</v>
      </c>
      <c r="J309" s="2">
        <v>0.58333333333333337</v>
      </c>
      <c r="K309" t="s">
        <v>147</v>
      </c>
      <c r="L309" t="s">
        <v>148</v>
      </c>
      <c r="M309" s="1"/>
      <c r="O309" t="s">
        <v>21</v>
      </c>
      <c r="P309" s="1"/>
      <c r="Q309" s="1"/>
      <c r="S309" s="2">
        <f>CONSOLIDADO_2026[[#This Row],[Hora final]]-CONSOLIDADO_2026[[#This Row],[Hora inic]]</f>
        <v>0.33333333333333337</v>
      </c>
    </row>
    <row r="310" spans="1:19" x14ac:dyDescent="0.25">
      <c r="A310" t="s">
        <v>4016</v>
      </c>
      <c r="B310">
        <v>1001369228</v>
      </c>
      <c r="C310" t="s">
        <v>92</v>
      </c>
      <c r="D310" t="s">
        <v>4045</v>
      </c>
      <c r="E310" t="s">
        <v>4017</v>
      </c>
      <c r="F310" t="s">
        <v>25</v>
      </c>
      <c r="G310" s="1">
        <v>46238</v>
      </c>
      <c r="H310" s="1">
        <v>46239</v>
      </c>
      <c r="I310" s="2">
        <v>0.25</v>
      </c>
      <c r="J310" s="2">
        <v>0.58333333333333337</v>
      </c>
      <c r="L310" t="s">
        <v>4098</v>
      </c>
      <c r="M310" s="1"/>
      <c r="O310" t="s">
        <v>21</v>
      </c>
      <c r="P310" s="1"/>
      <c r="Q310" s="1"/>
      <c r="S310" s="2">
        <f>CONSOLIDADO_2026[[#This Row],[Hora final]]-CONSOLIDADO_2026[[#This Row],[Hora inic]]</f>
        <v>0.33333333333333337</v>
      </c>
    </row>
    <row r="311" spans="1:19" x14ac:dyDescent="0.25">
      <c r="A311" t="s">
        <v>4013</v>
      </c>
      <c r="B311">
        <v>1001369228</v>
      </c>
      <c r="C311" t="s">
        <v>92</v>
      </c>
      <c r="D311" t="s">
        <v>4045</v>
      </c>
      <c r="E311" t="s">
        <v>4017</v>
      </c>
      <c r="F311" t="s">
        <v>25</v>
      </c>
      <c r="G311" s="1">
        <v>46238</v>
      </c>
      <c r="H311" s="1">
        <v>46239</v>
      </c>
      <c r="I311" s="2">
        <v>0.25</v>
      </c>
      <c r="J311" s="2">
        <v>0.58333333333333337</v>
      </c>
      <c r="L311" t="s">
        <v>4099</v>
      </c>
      <c r="M311" s="1"/>
      <c r="O311" t="s">
        <v>4007</v>
      </c>
      <c r="P311" s="1"/>
      <c r="Q311" s="1"/>
      <c r="S311" s="2">
        <f>CONSOLIDADO_2026[[#This Row],[Hora final]]-CONSOLIDADO_2026[[#This Row],[Hora inic]]</f>
        <v>0.33333333333333337</v>
      </c>
    </row>
    <row r="312" spans="1:19" x14ac:dyDescent="0.25">
      <c r="A312" t="s">
        <v>4016</v>
      </c>
      <c r="B312">
        <v>1005424850</v>
      </c>
      <c r="C312" t="s">
        <v>56</v>
      </c>
      <c r="D312" t="s">
        <v>57</v>
      </c>
      <c r="E312" t="s">
        <v>4010</v>
      </c>
      <c r="F312" t="s">
        <v>25</v>
      </c>
      <c r="G312" s="1">
        <v>46238</v>
      </c>
      <c r="H312" s="1">
        <v>46245</v>
      </c>
      <c r="I312" s="2">
        <v>0.25</v>
      </c>
      <c r="J312" s="2">
        <v>0.54166666666666663</v>
      </c>
      <c r="L312" t="s">
        <v>261</v>
      </c>
      <c r="M312" s="1"/>
      <c r="O312" t="s">
        <v>4007</v>
      </c>
      <c r="P312" s="1"/>
      <c r="Q312" s="1"/>
      <c r="S312" s="2">
        <f>CONSOLIDADO_2026[[#This Row],[Hora final]]-CONSOLIDADO_2026[[#This Row],[Hora inic]]</f>
        <v>0.29166666666666663</v>
      </c>
    </row>
    <row r="313" spans="1:19" x14ac:dyDescent="0.25">
      <c r="A313" t="s">
        <v>4013</v>
      </c>
      <c r="B313">
        <v>1005424850</v>
      </c>
      <c r="C313" t="s">
        <v>56</v>
      </c>
      <c r="D313" t="s">
        <v>57</v>
      </c>
      <c r="E313" t="s">
        <v>4010</v>
      </c>
      <c r="F313" t="s">
        <v>25</v>
      </c>
      <c r="G313" s="1">
        <v>46238</v>
      </c>
      <c r="H313" s="1">
        <v>46245</v>
      </c>
      <c r="I313" s="2">
        <v>0.25</v>
      </c>
      <c r="J313" s="2">
        <v>0.54166666666666663</v>
      </c>
      <c r="L313" t="s">
        <v>261</v>
      </c>
      <c r="M313" s="1"/>
      <c r="O313" t="s">
        <v>4007</v>
      </c>
      <c r="P313" s="1"/>
      <c r="Q313" s="1"/>
      <c r="S313" s="2">
        <f>CONSOLIDADO_2026[[#This Row],[Hora final]]-CONSOLIDADO_2026[[#This Row],[Hora inic]]</f>
        <v>0.29166666666666663</v>
      </c>
    </row>
    <row r="314" spans="1:19" x14ac:dyDescent="0.25">
      <c r="A314" t="s">
        <v>4016</v>
      </c>
      <c r="B314">
        <v>1140899272</v>
      </c>
      <c r="C314" t="s">
        <v>511</v>
      </c>
      <c r="D314" t="s">
        <v>41</v>
      </c>
      <c r="E314" t="s">
        <v>4011</v>
      </c>
      <c r="F314" t="s">
        <v>4040</v>
      </c>
      <c r="G314" s="1">
        <v>46238</v>
      </c>
      <c r="H314" s="1">
        <v>46240</v>
      </c>
      <c r="I314" s="2"/>
      <c r="J314" s="2"/>
      <c r="L314" t="s">
        <v>4050</v>
      </c>
      <c r="M314" s="1"/>
      <c r="O314" t="s">
        <v>4007</v>
      </c>
      <c r="P314" s="1"/>
      <c r="Q314" s="1"/>
      <c r="S314" s="2">
        <f>CONSOLIDADO_2026[[#This Row],[Hora final]]-CONSOLIDADO_2026[[#This Row],[Hora inic]]</f>
        <v>0</v>
      </c>
    </row>
    <row r="315" spans="1:19" x14ac:dyDescent="0.25">
      <c r="A315" t="s">
        <v>4013</v>
      </c>
      <c r="B315">
        <v>1140899272</v>
      </c>
      <c r="C315" t="s">
        <v>4100</v>
      </c>
      <c r="D315" t="s">
        <v>41</v>
      </c>
      <c r="E315" t="s">
        <v>4011</v>
      </c>
      <c r="F315" t="s">
        <v>25</v>
      </c>
      <c r="G315" s="1">
        <v>46238</v>
      </c>
      <c r="H315" s="1">
        <v>46240</v>
      </c>
      <c r="I315" s="2">
        <v>0.54166666666666663</v>
      </c>
      <c r="J315" s="2">
        <v>0.875</v>
      </c>
      <c r="L315" t="s">
        <v>4101</v>
      </c>
      <c r="M315" s="1"/>
      <c r="O315" t="s">
        <v>21</v>
      </c>
      <c r="P315" s="1"/>
      <c r="Q315" s="1"/>
      <c r="S315" s="2">
        <f>CONSOLIDADO_2026[[#This Row],[Hora final]]-CONSOLIDADO_2026[[#This Row],[Hora inic]]</f>
        <v>0.33333333333333337</v>
      </c>
    </row>
    <row r="316" spans="1:19" x14ac:dyDescent="0.25">
      <c r="A316" t="s">
        <v>4016</v>
      </c>
      <c r="B316">
        <v>1037626926</v>
      </c>
      <c r="C316" t="s">
        <v>4102</v>
      </c>
      <c r="D316" t="s">
        <v>15</v>
      </c>
      <c r="E316" t="s">
        <v>4012</v>
      </c>
      <c r="F316" t="s">
        <v>25</v>
      </c>
      <c r="G316" s="1">
        <v>46237</v>
      </c>
      <c r="H316" s="1">
        <v>46238</v>
      </c>
      <c r="I316" s="2">
        <v>0.25</v>
      </c>
      <c r="J316" s="2">
        <v>0.54166666666666663</v>
      </c>
      <c r="L316" t="s">
        <v>261</v>
      </c>
      <c r="M316" s="1"/>
      <c r="O316" t="s">
        <v>4007</v>
      </c>
      <c r="P316" s="1"/>
      <c r="Q316" s="1"/>
      <c r="S316" s="2">
        <f>CONSOLIDADO_2026[[#This Row],[Hora final]]-CONSOLIDADO_2026[[#This Row],[Hora inic]]</f>
        <v>0.29166666666666663</v>
      </c>
    </row>
    <row r="317" spans="1:19" x14ac:dyDescent="0.25">
      <c r="A317" t="s">
        <v>4013</v>
      </c>
      <c r="B317">
        <v>1037626926</v>
      </c>
      <c r="C317" t="s">
        <v>4103</v>
      </c>
      <c r="D317" t="s">
        <v>15</v>
      </c>
      <c r="E317" t="s">
        <v>4012</v>
      </c>
      <c r="F317" t="s">
        <v>25</v>
      </c>
      <c r="G317" s="1">
        <v>46237</v>
      </c>
      <c r="H317" s="1">
        <v>46238</v>
      </c>
      <c r="I317" s="2"/>
      <c r="J317" s="2"/>
      <c r="L317" t="s">
        <v>4006</v>
      </c>
      <c r="M317" s="1"/>
      <c r="O317" t="s">
        <v>4007</v>
      </c>
      <c r="P317" s="1"/>
      <c r="Q317" s="1"/>
      <c r="S317" s="2">
        <f>CONSOLIDADO_2026[[#This Row],[Hora final]]-CONSOLIDADO_2026[[#This Row],[Hora inic]]</f>
        <v>0</v>
      </c>
    </row>
    <row r="318" spans="1:19" x14ac:dyDescent="0.25">
      <c r="A318" t="s">
        <v>4016</v>
      </c>
      <c r="B318">
        <v>1036656151</v>
      </c>
      <c r="C318" t="s">
        <v>4104</v>
      </c>
      <c r="D318" t="s">
        <v>34</v>
      </c>
      <c r="E318" t="s">
        <v>4011</v>
      </c>
      <c r="F318" t="s">
        <v>4040</v>
      </c>
      <c r="G318" s="1">
        <v>46238</v>
      </c>
      <c r="H318" s="1">
        <v>46239</v>
      </c>
      <c r="I318" s="2">
        <v>0.54166666666666663</v>
      </c>
      <c r="J318" s="2">
        <v>0.875</v>
      </c>
      <c r="L318" t="s">
        <v>4022</v>
      </c>
      <c r="M318" s="1"/>
      <c r="O318" t="s">
        <v>4007</v>
      </c>
      <c r="P318" s="1"/>
      <c r="Q318" s="1"/>
      <c r="S318" s="2">
        <f>CONSOLIDADO_2026[[#This Row],[Hora final]]-CONSOLIDADO_2026[[#This Row],[Hora inic]]</f>
        <v>0.33333333333333337</v>
      </c>
    </row>
    <row r="319" spans="1:19" x14ac:dyDescent="0.25">
      <c r="A319" t="s">
        <v>4013</v>
      </c>
      <c r="B319">
        <v>1036656151</v>
      </c>
      <c r="C319" t="s">
        <v>1643</v>
      </c>
      <c r="D319" t="s">
        <v>34</v>
      </c>
      <c r="E319" t="s">
        <v>4011</v>
      </c>
      <c r="F319" t="s">
        <v>25</v>
      </c>
      <c r="G319" s="1">
        <v>46238</v>
      </c>
      <c r="H319" s="1">
        <v>46239</v>
      </c>
      <c r="I319" s="2">
        <v>0.25</v>
      </c>
      <c r="J319" s="2">
        <v>0.54166666666666663</v>
      </c>
      <c r="K319" t="s">
        <v>98</v>
      </c>
      <c r="L319" t="s">
        <v>99</v>
      </c>
      <c r="M319" s="1"/>
      <c r="O319" t="s">
        <v>21</v>
      </c>
      <c r="P319" s="1"/>
      <c r="Q319" s="1"/>
      <c r="S319" s="2">
        <f>CONSOLIDADO_2026[[#This Row],[Hora final]]-CONSOLIDADO_2026[[#This Row],[Hora inic]]</f>
        <v>0.29166666666666663</v>
      </c>
    </row>
    <row r="320" spans="1:19" x14ac:dyDescent="0.25">
      <c r="A320" t="s">
        <v>4016</v>
      </c>
      <c r="B320">
        <v>1001901817</v>
      </c>
      <c r="C320" t="s">
        <v>4105</v>
      </c>
      <c r="D320" t="s">
        <v>553</v>
      </c>
      <c r="E320" t="s">
        <v>4010</v>
      </c>
      <c r="F320" t="s">
        <v>4040</v>
      </c>
      <c r="G320" s="1">
        <v>46238</v>
      </c>
      <c r="H320" s="1">
        <v>46239</v>
      </c>
      <c r="I320" s="2">
        <v>0.25</v>
      </c>
      <c r="J320" s="2">
        <v>0.54166666666666663</v>
      </c>
      <c r="L320" t="s">
        <v>4022</v>
      </c>
      <c r="M320" s="1"/>
      <c r="O320" t="s">
        <v>4007</v>
      </c>
      <c r="P320" s="1"/>
      <c r="Q320" s="1"/>
      <c r="S320" s="2">
        <f>CONSOLIDADO_2026[[#This Row],[Hora final]]-CONSOLIDADO_2026[[#This Row],[Hora inic]]</f>
        <v>0.29166666666666663</v>
      </c>
    </row>
    <row r="321" spans="1:19" x14ac:dyDescent="0.25">
      <c r="A321" t="s">
        <v>4013</v>
      </c>
      <c r="B321">
        <v>1001901817</v>
      </c>
      <c r="C321" t="s">
        <v>4105</v>
      </c>
      <c r="D321" t="s">
        <v>553</v>
      </c>
      <c r="E321" t="s">
        <v>4010</v>
      </c>
      <c r="F321" t="s">
        <v>25</v>
      </c>
      <c r="G321" s="1">
        <v>46238</v>
      </c>
      <c r="H321" s="1">
        <v>46239</v>
      </c>
      <c r="I321" s="2">
        <v>0.54166666666666663</v>
      </c>
      <c r="J321" s="2">
        <v>0.875</v>
      </c>
      <c r="K321" t="s">
        <v>216</v>
      </c>
      <c r="L321" t="s">
        <v>217</v>
      </c>
      <c r="M321" s="1"/>
      <c r="O321" t="s">
        <v>21</v>
      </c>
      <c r="P321" s="1"/>
      <c r="Q321" s="1"/>
      <c r="S321" s="2">
        <f>CONSOLIDADO_2026[[#This Row],[Hora final]]-CONSOLIDADO_2026[[#This Row],[Hora inic]]</f>
        <v>0.33333333333333337</v>
      </c>
    </row>
    <row r="322" spans="1:19" x14ac:dyDescent="0.25">
      <c r="A322" t="s">
        <v>4016</v>
      </c>
      <c r="B322">
        <v>1037634709</v>
      </c>
      <c r="C322" t="s">
        <v>4009</v>
      </c>
      <c r="D322" t="s">
        <v>420</v>
      </c>
      <c r="E322" t="s">
        <v>4010</v>
      </c>
      <c r="F322" t="s">
        <v>4015</v>
      </c>
      <c r="G322" s="1">
        <v>46238</v>
      </c>
      <c r="H322" s="1">
        <v>46240</v>
      </c>
      <c r="I322" s="2">
        <v>0.25</v>
      </c>
      <c r="J322" s="2">
        <v>0.54166666666666663</v>
      </c>
      <c r="L322" t="s">
        <v>261</v>
      </c>
      <c r="M322" s="1"/>
      <c r="O322" t="s">
        <v>4007</v>
      </c>
      <c r="P322" s="1"/>
      <c r="Q322" s="1"/>
      <c r="S322" s="2">
        <f>CONSOLIDADO_2026[[#This Row],[Hora final]]-CONSOLIDADO_2026[[#This Row],[Hora inic]]</f>
        <v>0.29166666666666663</v>
      </c>
    </row>
    <row r="323" spans="1:19" x14ac:dyDescent="0.25">
      <c r="A323" t="s">
        <v>4013</v>
      </c>
      <c r="B323">
        <v>1037634709</v>
      </c>
      <c r="C323" t="s">
        <v>4009</v>
      </c>
      <c r="D323" t="s">
        <v>420</v>
      </c>
      <c r="E323" t="s">
        <v>4010</v>
      </c>
      <c r="F323" t="s">
        <v>4015</v>
      </c>
      <c r="G323" s="1">
        <v>46238</v>
      </c>
      <c r="H323" s="1">
        <v>46240</v>
      </c>
      <c r="I323" s="2">
        <v>0.54166666666666663</v>
      </c>
      <c r="J323" s="2">
        <v>0.875</v>
      </c>
      <c r="K323" t="s">
        <v>162</v>
      </c>
      <c r="L323" t="s">
        <v>163</v>
      </c>
      <c r="M323" s="1"/>
      <c r="O323" t="s">
        <v>21</v>
      </c>
      <c r="P323" s="1"/>
      <c r="Q323" s="1"/>
      <c r="S323" s="2">
        <f>CONSOLIDADO_2026[[#This Row],[Hora final]]-CONSOLIDADO_2026[[#This Row],[Hora inic]]</f>
        <v>0.33333333333333337</v>
      </c>
    </row>
    <row r="324" spans="1:19" x14ac:dyDescent="0.25">
      <c r="A324" t="s">
        <v>4016</v>
      </c>
      <c r="B324">
        <v>1000439437</v>
      </c>
      <c r="C324" t="s">
        <v>376</v>
      </c>
      <c r="D324" t="s">
        <v>128</v>
      </c>
      <c r="E324" t="s">
        <v>4005</v>
      </c>
      <c r="F324" t="s">
        <v>4040</v>
      </c>
      <c r="G324" s="1">
        <v>46238</v>
      </c>
      <c r="H324" s="1">
        <v>46240</v>
      </c>
      <c r="I324" s="2">
        <v>0.25</v>
      </c>
      <c r="J324" s="2">
        <v>0.54166666666666663</v>
      </c>
      <c r="L324" t="s">
        <v>4022</v>
      </c>
      <c r="M324" s="1"/>
      <c r="O324" t="s">
        <v>4007</v>
      </c>
      <c r="P324" s="1"/>
      <c r="Q324" s="1"/>
      <c r="S324" s="2">
        <f>CONSOLIDADO_2026[[#This Row],[Hora final]]-CONSOLIDADO_2026[[#This Row],[Hora inic]]</f>
        <v>0.29166666666666663</v>
      </c>
    </row>
    <row r="325" spans="1:19" x14ac:dyDescent="0.25">
      <c r="A325" t="s">
        <v>4013</v>
      </c>
      <c r="B325">
        <v>1000439437</v>
      </c>
      <c r="C325" t="s">
        <v>376</v>
      </c>
      <c r="D325" t="s">
        <v>128</v>
      </c>
      <c r="E325" t="s">
        <v>4005</v>
      </c>
      <c r="F325" t="s">
        <v>25</v>
      </c>
      <c r="G325" s="1">
        <v>46238</v>
      </c>
      <c r="H325" s="1">
        <v>46240</v>
      </c>
      <c r="I325" s="2">
        <v>0.25</v>
      </c>
      <c r="J325" s="2">
        <v>0.54166666666666663</v>
      </c>
      <c r="L325" t="s">
        <v>261</v>
      </c>
      <c r="M325" s="1"/>
      <c r="O325" t="s">
        <v>4007</v>
      </c>
      <c r="P325" s="1"/>
      <c r="Q325" s="1"/>
      <c r="S325" s="2">
        <f>CONSOLIDADO_2026[[#This Row],[Hora final]]-CONSOLIDADO_2026[[#This Row],[Hora inic]]</f>
        <v>0.29166666666666663</v>
      </c>
    </row>
    <row r="326" spans="1:19" x14ac:dyDescent="0.25">
      <c r="A326" t="s">
        <v>4016</v>
      </c>
      <c r="B326">
        <v>1017259589</v>
      </c>
      <c r="C326" t="s">
        <v>2044</v>
      </c>
      <c r="D326" t="s">
        <v>57</v>
      </c>
      <c r="E326" t="s">
        <v>4010</v>
      </c>
      <c r="F326" t="s">
        <v>4040</v>
      </c>
      <c r="G326" s="1">
        <v>46238</v>
      </c>
      <c r="H326" s="1">
        <v>46238</v>
      </c>
      <c r="I326" s="2">
        <v>0.25</v>
      </c>
      <c r="J326" s="2">
        <v>0.54166666666666663</v>
      </c>
      <c r="L326" t="s">
        <v>4022</v>
      </c>
      <c r="M326" s="1"/>
      <c r="O326" t="s">
        <v>4007</v>
      </c>
      <c r="P326" s="1"/>
      <c r="Q326" s="1"/>
      <c r="S326" s="2">
        <f>CONSOLIDADO_2026[[#This Row],[Hora final]]-CONSOLIDADO_2026[[#This Row],[Hora inic]]</f>
        <v>0.29166666666666663</v>
      </c>
    </row>
    <row r="327" spans="1:19" x14ac:dyDescent="0.25">
      <c r="A327" t="s">
        <v>4013</v>
      </c>
      <c r="B327">
        <v>1017259589</v>
      </c>
      <c r="C327" t="s">
        <v>4106</v>
      </c>
      <c r="D327" t="s">
        <v>57</v>
      </c>
      <c r="E327" t="s">
        <v>4010</v>
      </c>
      <c r="F327" t="s">
        <v>25</v>
      </c>
      <c r="G327" s="1">
        <v>46238</v>
      </c>
      <c r="H327" s="1">
        <v>46238</v>
      </c>
      <c r="I327" s="2">
        <v>0.25</v>
      </c>
      <c r="J327" s="2">
        <v>0.54166666666666663</v>
      </c>
      <c r="L327" t="s">
        <v>4006</v>
      </c>
      <c r="M327" s="1"/>
      <c r="O327" t="s">
        <v>4007</v>
      </c>
      <c r="P327" s="1"/>
      <c r="Q327" s="1"/>
      <c r="S327" s="2">
        <f>CONSOLIDADO_2026[[#This Row],[Hora final]]-CONSOLIDADO_2026[[#This Row],[Hora inic]]</f>
        <v>0.29166666666666663</v>
      </c>
    </row>
    <row r="328" spans="1:19" x14ac:dyDescent="0.25">
      <c r="A328" t="s">
        <v>4016</v>
      </c>
      <c r="B328" t="s">
        <v>2886</v>
      </c>
      <c r="C328" t="s">
        <v>2887</v>
      </c>
      <c r="D328" t="s">
        <v>197</v>
      </c>
      <c r="E328" t="s">
        <v>4005</v>
      </c>
      <c r="F328" t="s">
        <v>4072</v>
      </c>
      <c r="G328" s="1">
        <v>46238</v>
      </c>
      <c r="H328" s="1">
        <v>46238</v>
      </c>
      <c r="I328" s="2">
        <v>0.54166666666666663</v>
      </c>
      <c r="J328" s="2">
        <v>0.79166666666666663</v>
      </c>
      <c r="L328" t="s">
        <v>9</v>
      </c>
      <c r="M328" s="1"/>
      <c r="O328" t="s">
        <v>4007</v>
      </c>
      <c r="P328" s="1"/>
      <c r="Q328" s="1"/>
      <c r="S328" s="2">
        <f>CONSOLIDADO_2026[[#This Row],[Hora final]]-CONSOLIDADO_2026[[#This Row],[Hora inic]]</f>
        <v>0.25</v>
      </c>
    </row>
    <row r="329" spans="1:19" x14ac:dyDescent="0.25">
      <c r="A329" t="s">
        <v>4013</v>
      </c>
      <c r="B329">
        <v>1143166909</v>
      </c>
      <c r="C329" t="s">
        <v>2672</v>
      </c>
      <c r="D329" t="s">
        <v>322</v>
      </c>
      <c r="E329" t="s">
        <v>4017</v>
      </c>
      <c r="F329" t="s">
        <v>4040</v>
      </c>
      <c r="G329" s="1">
        <v>46239</v>
      </c>
      <c r="H329" s="1"/>
      <c r="I329" s="2">
        <v>0.54166666666666663</v>
      </c>
      <c r="J329" s="2">
        <v>0.875</v>
      </c>
      <c r="L329" t="s">
        <v>4107</v>
      </c>
      <c r="M329" s="1"/>
      <c r="O329" t="s">
        <v>21</v>
      </c>
      <c r="P329" s="1"/>
      <c r="Q329" s="1"/>
      <c r="S329" s="2">
        <f>CONSOLIDADO_2026[[#This Row],[Hora final]]-CONSOLIDADO_2026[[#This Row],[Hora inic]]</f>
        <v>0.33333333333333337</v>
      </c>
    </row>
    <row r="330" spans="1:19" x14ac:dyDescent="0.25">
      <c r="A330" t="s">
        <v>4013</v>
      </c>
      <c r="B330">
        <v>1083001678</v>
      </c>
      <c r="C330" t="s">
        <v>522</v>
      </c>
      <c r="D330" t="s">
        <v>128</v>
      </c>
      <c r="E330" t="s">
        <v>4005</v>
      </c>
      <c r="F330" t="s">
        <v>4108</v>
      </c>
      <c r="G330" s="1">
        <v>46239</v>
      </c>
      <c r="H330" s="1">
        <v>46239</v>
      </c>
      <c r="I330" s="2">
        <v>0.54166666666666663</v>
      </c>
      <c r="J330" s="2">
        <v>0.875</v>
      </c>
      <c r="K330" t="s">
        <v>1435</v>
      </c>
      <c r="L330" t="s">
        <v>1436</v>
      </c>
      <c r="M330" s="1"/>
      <c r="O330" t="s">
        <v>4007</v>
      </c>
      <c r="P330" s="1"/>
      <c r="Q330" s="1"/>
      <c r="S330" s="2">
        <f>CONSOLIDADO_2026[[#This Row],[Hora final]]-CONSOLIDADO_2026[[#This Row],[Hora inic]]</f>
        <v>0.33333333333333337</v>
      </c>
    </row>
    <row r="331" spans="1:19" x14ac:dyDescent="0.25">
      <c r="A331" t="s">
        <v>4013</v>
      </c>
      <c r="B331">
        <v>1020475954</v>
      </c>
      <c r="C331" t="s">
        <v>3901</v>
      </c>
      <c r="D331" t="s">
        <v>29</v>
      </c>
      <c r="E331" t="s">
        <v>4005</v>
      </c>
      <c r="F331" t="s">
        <v>4091</v>
      </c>
      <c r="G331" s="1">
        <v>46238</v>
      </c>
      <c r="H331" s="1">
        <v>46240</v>
      </c>
      <c r="I331" s="2">
        <v>0.54166666666666663</v>
      </c>
      <c r="J331" s="2">
        <v>0.875</v>
      </c>
      <c r="K331" t="s">
        <v>237</v>
      </c>
      <c r="L331" t="s">
        <v>238</v>
      </c>
      <c r="M331" s="1"/>
      <c r="O331" t="s">
        <v>21</v>
      </c>
      <c r="P331" s="1"/>
      <c r="Q331" s="1"/>
      <c r="S331" s="2">
        <f>CONSOLIDADO_2026[[#This Row],[Hora final]]-CONSOLIDADO_2026[[#This Row],[Hora inic]]</f>
        <v>0.33333333333333337</v>
      </c>
    </row>
    <row r="332" spans="1:19" x14ac:dyDescent="0.25">
      <c r="A332" t="s">
        <v>4013</v>
      </c>
      <c r="B332">
        <v>1045718883</v>
      </c>
      <c r="C332" t="s">
        <v>47</v>
      </c>
      <c r="D332" t="s">
        <v>34</v>
      </c>
      <c r="E332" t="s">
        <v>4011</v>
      </c>
      <c r="F332" t="s">
        <v>25</v>
      </c>
      <c r="G332" s="1">
        <v>46224</v>
      </c>
      <c r="H332" s="1">
        <v>46239</v>
      </c>
      <c r="I332" s="2">
        <v>0.25</v>
      </c>
      <c r="J332" s="2">
        <v>0.54166666666666663</v>
      </c>
      <c r="K332" t="s">
        <v>240</v>
      </c>
      <c r="L332" t="s">
        <v>241</v>
      </c>
      <c r="M332" s="1"/>
      <c r="O332" t="s">
        <v>21</v>
      </c>
      <c r="P332" s="1"/>
      <c r="Q332" s="1"/>
      <c r="S332" s="2">
        <f>CONSOLIDADO_2026[[#This Row],[Hora final]]-CONSOLIDADO_2026[[#This Row],[Hora inic]]</f>
        <v>0.29166666666666663</v>
      </c>
    </row>
    <row r="333" spans="1:19" x14ac:dyDescent="0.25">
      <c r="A333" t="s">
        <v>4013</v>
      </c>
      <c r="B333">
        <v>1018466443</v>
      </c>
      <c r="C333" t="s">
        <v>4109</v>
      </c>
      <c r="D333" t="s">
        <v>410</v>
      </c>
      <c r="E333" t="s">
        <v>4005</v>
      </c>
      <c r="F333" t="s">
        <v>4091</v>
      </c>
      <c r="G333" s="1">
        <v>46239</v>
      </c>
      <c r="H333" s="1">
        <v>46244</v>
      </c>
      <c r="I333" s="2">
        <v>0.25</v>
      </c>
      <c r="J333" s="2">
        <v>0.58333333333333337</v>
      </c>
      <c r="K333" t="s">
        <v>1318</v>
      </c>
      <c r="L333" t="s">
        <v>1319</v>
      </c>
      <c r="M333" s="1"/>
      <c r="O333" t="s">
        <v>21</v>
      </c>
      <c r="P333" s="1"/>
      <c r="Q333" s="1"/>
      <c r="S333" s="2">
        <f>CONSOLIDADO_2026[[#This Row],[Hora final]]-CONSOLIDADO_2026[[#This Row],[Hora inic]]</f>
        <v>0.33333333333333337</v>
      </c>
    </row>
    <row r="334" spans="1:19" x14ac:dyDescent="0.25">
      <c r="A334" t="s">
        <v>4013</v>
      </c>
      <c r="B334" t="s">
        <v>185</v>
      </c>
      <c r="C334" t="s">
        <v>186</v>
      </c>
      <c r="D334" t="s">
        <v>4045</v>
      </c>
      <c r="E334" t="s">
        <v>4011</v>
      </c>
      <c r="F334" t="s">
        <v>4046</v>
      </c>
      <c r="G334" s="1">
        <v>46239</v>
      </c>
      <c r="H334" s="1">
        <v>46239</v>
      </c>
      <c r="I334" s="2">
        <v>0.25</v>
      </c>
      <c r="J334" s="2">
        <v>0.58333333333333337</v>
      </c>
      <c r="K334" t="s">
        <v>185</v>
      </c>
      <c r="L334" t="s">
        <v>186</v>
      </c>
      <c r="M334" s="1"/>
      <c r="O334" t="s">
        <v>4007</v>
      </c>
      <c r="P334" s="1"/>
      <c r="Q334" s="1"/>
      <c r="S334" s="2">
        <f>CONSOLIDADO_2026[[#This Row],[Hora final]]-CONSOLIDADO_2026[[#This Row],[Hora inic]]</f>
        <v>0.33333333333333337</v>
      </c>
    </row>
    <row r="335" spans="1:19" x14ac:dyDescent="0.25">
      <c r="A335" t="s">
        <v>4013</v>
      </c>
      <c r="B335">
        <v>1037669752</v>
      </c>
      <c r="C335" t="s">
        <v>3550</v>
      </c>
      <c r="D335" t="s">
        <v>132</v>
      </c>
      <c r="E335" t="s">
        <v>4010</v>
      </c>
      <c r="F335" t="s">
        <v>30</v>
      </c>
      <c r="G335" s="1">
        <v>46239</v>
      </c>
      <c r="H335" s="1">
        <v>46239</v>
      </c>
      <c r="I335" s="2">
        <v>0.54166666666666663</v>
      </c>
      <c r="J335" s="2">
        <v>0.875</v>
      </c>
      <c r="K335" t="s">
        <v>203</v>
      </c>
      <c r="L335" t="s">
        <v>204</v>
      </c>
      <c r="M335" s="1"/>
      <c r="O335" t="s">
        <v>21</v>
      </c>
      <c r="P335" s="1"/>
      <c r="Q335" s="1"/>
      <c r="S335" s="2">
        <f>CONSOLIDADO_2026[[#This Row],[Hora final]]-CONSOLIDADO_2026[[#This Row],[Hora inic]]</f>
        <v>0.33333333333333337</v>
      </c>
    </row>
    <row r="336" spans="1:19" x14ac:dyDescent="0.25">
      <c r="A336" t="s">
        <v>4013</v>
      </c>
      <c r="B336">
        <v>1005605946</v>
      </c>
      <c r="C336" t="s">
        <v>135</v>
      </c>
      <c r="D336" t="s">
        <v>4045</v>
      </c>
      <c r="E336" t="s">
        <v>4017</v>
      </c>
      <c r="F336" t="s">
        <v>4046</v>
      </c>
      <c r="G336" s="1">
        <v>46239</v>
      </c>
      <c r="H336" s="1">
        <v>46239</v>
      </c>
      <c r="I336" s="2">
        <v>0.25</v>
      </c>
      <c r="J336" s="2">
        <v>0.58333333333333337</v>
      </c>
      <c r="K336" t="s">
        <v>134</v>
      </c>
      <c r="L336" t="s">
        <v>135</v>
      </c>
      <c r="M336" s="1"/>
      <c r="O336" t="s">
        <v>4007</v>
      </c>
      <c r="P336" s="1"/>
      <c r="Q336" s="1"/>
      <c r="S336" s="2">
        <f>CONSOLIDADO_2026[[#This Row],[Hora final]]-CONSOLIDADO_2026[[#This Row],[Hora inic]]</f>
        <v>0.33333333333333337</v>
      </c>
    </row>
    <row r="337" spans="1:19" x14ac:dyDescent="0.25">
      <c r="A337" t="s">
        <v>4013</v>
      </c>
      <c r="B337">
        <v>1143374438</v>
      </c>
      <c r="C337" t="s">
        <v>85</v>
      </c>
      <c r="D337" t="s">
        <v>41</v>
      </c>
      <c r="E337" t="s">
        <v>4011</v>
      </c>
      <c r="F337" t="s">
        <v>4040</v>
      </c>
      <c r="G337" s="1">
        <v>46239</v>
      </c>
      <c r="H337" s="1">
        <v>46268</v>
      </c>
      <c r="I337" s="2">
        <v>0.25</v>
      </c>
      <c r="J337" s="2">
        <v>0.58333333333333337</v>
      </c>
      <c r="L337" t="s">
        <v>4022</v>
      </c>
      <c r="M337" s="1"/>
      <c r="O337" t="s">
        <v>4007</v>
      </c>
      <c r="P337" s="1"/>
      <c r="Q337" s="1"/>
      <c r="S337" s="2">
        <f>CONSOLIDADO_2026[[#This Row],[Hora final]]-CONSOLIDADO_2026[[#This Row],[Hora inic]]</f>
        <v>0.33333333333333337</v>
      </c>
    </row>
    <row r="338" spans="1:19" x14ac:dyDescent="0.25">
      <c r="A338" t="s">
        <v>4013</v>
      </c>
      <c r="B338">
        <v>42141273</v>
      </c>
      <c r="C338" t="s">
        <v>210</v>
      </c>
      <c r="D338" t="s">
        <v>211</v>
      </c>
      <c r="E338" t="s">
        <v>4017</v>
      </c>
      <c r="F338" t="s">
        <v>25</v>
      </c>
      <c r="G338" s="1">
        <v>46238</v>
      </c>
      <c r="H338" s="1">
        <v>46295</v>
      </c>
      <c r="I338" s="2">
        <v>0.25</v>
      </c>
      <c r="J338" s="2">
        <v>0.5</v>
      </c>
      <c r="K338" t="s">
        <v>212</v>
      </c>
      <c r="L338" t="s">
        <v>213</v>
      </c>
      <c r="M338" s="1"/>
      <c r="O338" t="s">
        <v>21</v>
      </c>
      <c r="P338" s="1"/>
      <c r="Q338" s="1"/>
      <c r="S338" s="2">
        <f>CONSOLIDADO_2026[[#This Row],[Hora final]]-CONSOLIDADO_2026[[#This Row],[Hora inic]]</f>
        <v>0.25</v>
      </c>
    </row>
    <row r="339" spans="1:19" x14ac:dyDescent="0.25">
      <c r="A339" t="s">
        <v>4013</v>
      </c>
      <c r="B339">
        <v>1017270154</v>
      </c>
      <c r="C339" t="s">
        <v>928</v>
      </c>
      <c r="D339" t="s">
        <v>343</v>
      </c>
      <c r="E339" t="s">
        <v>4012</v>
      </c>
      <c r="F339" t="s">
        <v>4040</v>
      </c>
      <c r="G339" s="1">
        <v>46238</v>
      </c>
      <c r="H339" s="1"/>
      <c r="I339" s="2">
        <v>0.25</v>
      </c>
      <c r="J339" s="2">
        <v>0.54166666666666663</v>
      </c>
      <c r="L339" t="s">
        <v>4022</v>
      </c>
      <c r="M339" s="1"/>
      <c r="O339" t="s">
        <v>4007</v>
      </c>
      <c r="P339" s="1"/>
      <c r="Q339" s="1"/>
      <c r="S339" s="2">
        <f>CONSOLIDADO_2026[[#This Row],[Hora final]]-CONSOLIDADO_2026[[#This Row],[Hora inic]]</f>
        <v>0.29166666666666663</v>
      </c>
    </row>
    <row r="340" spans="1:19" x14ac:dyDescent="0.25">
      <c r="A340" t="s">
        <v>4111</v>
      </c>
      <c r="B340">
        <v>1017270154</v>
      </c>
      <c r="C340" t="s">
        <v>4112</v>
      </c>
      <c r="D340" t="s">
        <v>343</v>
      </c>
      <c r="E340" t="s">
        <v>4012</v>
      </c>
      <c r="F340" t="s">
        <v>4040</v>
      </c>
      <c r="G340" s="1">
        <v>46238</v>
      </c>
      <c r="H340" s="1"/>
      <c r="I340" s="2">
        <v>0.25</v>
      </c>
      <c r="J340" s="2">
        <v>0.54166666666666663</v>
      </c>
      <c r="L340" t="s">
        <v>4022</v>
      </c>
      <c r="M340" s="1"/>
      <c r="O340" t="s">
        <v>4007</v>
      </c>
      <c r="P340" s="1"/>
      <c r="Q340" s="1"/>
      <c r="S340" s="2">
        <f>CONSOLIDADO_2026[[#This Row],[Hora final]]-CONSOLIDADO_2026[[#This Row],[Hora inic]]</f>
        <v>0.29166666666666663</v>
      </c>
    </row>
    <row r="341" spans="1:19" x14ac:dyDescent="0.25">
      <c r="A341" t="s">
        <v>4013</v>
      </c>
      <c r="B341">
        <v>1035876080</v>
      </c>
      <c r="C341" t="s">
        <v>120</v>
      </c>
      <c r="D341" t="s">
        <v>121</v>
      </c>
      <c r="E341" t="s">
        <v>4010</v>
      </c>
      <c r="F341" t="s">
        <v>4040</v>
      </c>
      <c r="G341" s="1">
        <v>46238</v>
      </c>
      <c r="H341" s="1"/>
      <c r="I341" s="2">
        <v>0.25</v>
      </c>
      <c r="J341" s="2">
        <v>0.54166666666666663</v>
      </c>
      <c r="L341" t="s">
        <v>4022</v>
      </c>
      <c r="M341" s="1"/>
      <c r="O341" t="s">
        <v>4007</v>
      </c>
      <c r="P341" s="1"/>
      <c r="Q341" s="1"/>
      <c r="S341" s="2">
        <f>CONSOLIDADO_2026[[#This Row],[Hora final]]-CONSOLIDADO_2026[[#This Row],[Hora inic]]</f>
        <v>0.29166666666666663</v>
      </c>
    </row>
    <row r="342" spans="1:19" x14ac:dyDescent="0.25">
      <c r="A342" t="s">
        <v>4013</v>
      </c>
      <c r="B342">
        <v>1003377961</v>
      </c>
      <c r="C342" t="s">
        <v>2527</v>
      </c>
      <c r="D342" t="s">
        <v>64</v>
      </c>
      <c r="E342" t="s">
        <v>4012</v>
      </c>
      <c r="F342" t="s">
        <v>25</v>
      </c>
      <c r="G342" s="1">
        <v>46239</v>
      </c>
      <c r="H342" s="1">
        <v>46239</v>
      </c>
      <c r="I342" s="2">
        <v>0.58333333333333337</v>
      </c>
      <c r="J342" s="2">
        <v>0.875</v>
      </c>
      <c r="L342" t="s">
        <v>261</v>
      </c>
      <c r="M342" s="1"/>
      <c r="O342" t="s">
        <v>4007</v>
      </c>
      <c r="P342" s="1"/>
      <c r="Q342" s="1"/>
      <c r="S342" s="2">
        <f>CONSOLIDADO_2026[[#This Row],[Hora final]]-CONSOLIDADO_2026[[#This Row],[Hora inic]]</f>
        <v>0.29166666666666663</v>
      </c>
    </row>
    <row r="343" spans="1:19" x14ac:dyDescent="0.25">
      <c r="A343" t="s">
        <v>4013</v>
      </c>
      <c r="B343">
        <v>1065664047</v>
      </c>
      <c r="C343" t="s">
        <v>1114</v>
      </c>
      <c r="D343" t="s">
        <v>89</v>
      </c>
      <c r="E343" t="s">
        <v>4017</v>
      </c>
      <c r="F343" t="s">
        <v>4040</v>
      </c>
      <c r="G343" s="1">
        <v>46238</v>
      </c>
      <c r="H343" s="1"/>
      <c r="I343" s="2">
        <v>0.25</v>
      </c>
      <c r="J343" s="2">
        <v>0.58333333333333337</v>
      </c>
      <c r="L343" t="s">
        <v>4022</v>
      </c>
      <c r="M343" s="1"/>
      <c r="O343" t="s">
        <v>4007</v>
      </c>
      <c r="P343" s="1"/>
      <c r="Q343" s="1"/>
      <c r="S343" s="2">
        <f>CONSOLIDADO_2026[[#This Row],[Hora final]]-CONSOLIDADO_2026[[#This Row],[Hora inic]]</f>
        <v>0.33333333333333337</v>
      </c>
    </row>
    <row r="344" spans="1:19" x14ac:dyDescent="0.25">
      <c r="A344" t="s">
        <v>4013</v>
      </c>
      <c r="B344">
        <v>1143394119</v>
      </c>
      <c r="C344" t="s">
        <v>4110</v>
      </c>
      <c r="D344" t="s">
        <v>142</v>
      </c>
      <c r="E344" t="s">
        <v>4012</v>
      </c>
      <c r="F344" t="s">
        <v>4040</v>
      </c>
      <c r="G344" s="1">
        <v>46238</v>
      </c>
      <c r="H344" s="1"/>
      <c r="I344" s="2">
        <v>0.54166666666666663</v>
      </c>
      <c r="J344" s="2">
        <v>0.83333333333333337</v>
      </c>
      <c r="L344" t="s">
        <v>4022</v>
      </c>
      <c r="M344" s="1"/>
      <c r="O344" t="s">
        <v>4007</v>
      </c>
      <c r="P344" s="1"/>
      <c r="Q344" s="1"/>
      <c r="S344" s="2">
        <f>CONSOLIDADO_2026[[#This Row],[Hora final]]-CONSOLIDADO_2026[[#This Row],[Hora inic]]</f>
        <v>0.29166666666666674</v>
      </c>
    </row>
    <row r="345" spans="1:19" x14ac:dyDescent="0.25">
      <c r="A345" t="s">
        <v>4013</v>
      </c>
      <c r="B345">
        <v>1082896324</v>
      </c>
      <c r="C345" t="s">
        <v>77</v>
      </c>
      <c r="D345" t="s">
        <v>78</v>
      </c>
      <c r="E345" t="s">
        <v>4010</v>
      </c>
      <c r="F345" t="s">
        <v>4040</v>
      </c>
      <c r="G345" s="1">
        <v>46238</v>
      </c>
      <c r="H345" s="1"/>
      <c r="I345" s="2">
        <v>0.25</v>
      </c>
      <c r="J345" s="2">
        <v>0.58333333333333337</v>
      </c>
      <c r="L345" t="s">
        <v>4022</v>
      </c>
      <c r="M345" s="1"/>
      <c r="O345" t="s">
        <v>4007</v>
      </c>
      <c r="P345" s="1"/>
      <c r="Q345" s="1"/>
      <c r="S345" s="2">
        <f>CONSOLIDADO_2026[[#This Row],[Hora final]]-CONSOLIDADO_2026[[#This Row],[Hora inic]]</f>
        <v>0.33333333333333337</v>
      </c>
    </row>
    <row r="346" spans="1:19" x14ac:dyDescent="0.25">
      <c r="A346" t="s">
        <v>4013</v>
      </c>
      <c r="B346">
        <v>1235045754</v>
      </c>
      <c r="C346" t="s">
        <v>2371</v>
      </c>
      <c r="D346" t="s">
        <v>343</v>
      </c>
      <c r="E346" t="s">
        <v>4012</v>
      </c>
      <c r="F346" t="s">
        <v>25</v>
      </c>
      <c r="G346" s="1">
        <v>46238</v>
      </c>
      <c r="H346" s="1">
        <v>46240</v>
      </c>
      <c r="I346" s="2">
        <v>0.25</v>
      </c>
      <c r="J346" s="2">
        <v>0.54166666666666663</v>
      </c>
      <c r="L346" t="s">
        <v>261</v>
      </c>
      <c r="M346" s="1"/>
      <c r="O346" t="s">
        <v>4007</v>
      </c>
      <c r="P346" s="1"/>
      <c r="Q346" s="1"/>
      <c r="S346" s="2">
        <f>CONSOLIDADO_2026[[#This Row],[Hora final]]-CONSOLIDADO_2026[[#This Row],[Hora inic]]</f>
        <v>0.29166666666666663</v>
      </c>
    </row>
    <row r="347" spans="1:19" x14ac:dyDescent="0.25">
      <c r="A347" t="s">
        <v>4111</v>
      </c>
      <c r="B347">
        <v>1235045754</v>
      </c>
      <c r="C347" t="s">
        <v>2371</v>
      </c>
      <c r="D347" t="s">
        <v>343</v>
      </c>
      <c r="E347" t="s">
        <v>4012</v>
      </c>
      <c r="F347" t="s">
        <v>25</v>
      </c>
      <c r="G347" s="1">
        <v>46238</v>
      </c>
      <c r="H347" s="1">
        <v>46240</v>
      </c>
      <c r="I347" s="2">
        <v>0.54166666666666663</v>
      </c>
      <c r="J347" s="2">
        <v>0.875</v>
      </c>
      <c r="K347" t="s">
        <v>137</v>
      </c>
      <c r="L347" t="s">
        <v>138</v>
      </c>
      <c r="M347" s="1"/>
      <c r="O347" t="s">
        <v>21</v>
      </c>
      <c r="P347" s="1"/>
      <c r="Q347" s="1"/>
      <c r="S347" s="2">
        <f>CONSOLIDADO_2026[[#This Row],[Hora final]]-CONSOLIDADO_2026[[#This Row],[Hora inic]]</f>
        <v>0.33333333333333337</v>
      </c>
    </row>
    <row r="348" spans="1:19" x14ac:dyDescent="0.25">
      <c r="A348" t="s">
        <v>4013</v>
      </c>
      <c r="B348">
        <v>1005569691</v>
      </c>
      <c r="C348" t="s">
        <v>3613</v>
      </c>
      <c r="D348" t="s">
        <v>326</v>
      </c>
      <c r="E348" t="s">
        <v>4005</v>
      </c>
      <c r="F348" t="s">
        <v>25</v>
      </c>
      <c r="G348" s="1">
        <v>46239</v>
      </c>
      <c r="H348" s="1">
        <v>46240</v>
      </c>
      <c r="I348" s="2">
        <v>0.25</v>
      </c>
      <c r="J348" s="2">
        <v>0.54166666666666663</v>
      </c>
      <c r="L348" t="s">
        <v>4022</v>
      </c>
      <c r="M348" s="1"/>
      <c r="O348" t="s">
        <v>4007</v>
      </c>
      <c r="P348" s="1"/>
      <c r="Q348" s="1"/>
      <c r="S348" s="2">
        <f>CONSOLIDADO_2026[[#This Row],[Hora final]]-CONSOLIDADO_2026[[#This Row],[Hora inic]]</f>
        <v>0.29166666666666663</v>
      </c>
    </row>
    <row r="349" spans="1:19" x14ac:dyDescent="0.25">
      <c r="A349" t="s">
        <v>4013</v>
      </c>
      <c r="B349">
        <v>1001014608</v>
      </c>
      <c r="C349" t="s">
        <v>268</v>
      </c>
      <c r="D349" t="s">
        <v>64</v>
      </c>
      <c r="E349" t="s">
        <v>4012</v>
      </c>
      <c r="F349" t="s">
        <v>4040</v>
      </c>
      <c r="G349" s="1">
        <v>46239</v>
      </c>
      <c r="H349" s="1">
        <v>46268</v>
      </c>
      <c r="I349" s="2"/>
      <c r="J349" s="2"/>
      <c r="L349" t="s">
        <v>4022</v>
      </c>
      <c r="M349" s="1"/>
      <c r="O349" t="s">
        <v>4007</v>
      </c>
      <c r="P349" s="1"/>
      <c r="Q349" s="1"/>
      <c r="S349" s="2">
        <f>CONSOLIDADO_2026[[#This Row],[Hora final]]-CONSOLIDADO_2026[[#This Row],[Hora inic]]</f>
        <v>0</v>
      </c>
    </row>
    <row r="350" spans="1:19" x14ac:dyDescent="0.25">
      <c r="A350" t="s">
        <v>4111</v>
      </c>
      <c r="B350">
        <v>1001014608</v>
      </c>
      <c r="C350" t="s">
        <v>268</v>
      </c>
      <c r="D350" t="s">
        <v>64</v>
      </c>
      <c r="E350" t="s">
        <v>4012</v>
      </c>
      <c r="F350" t="s">
        <v>4040</v>
      </c>
      <c r="G350" s="1">
        <v>46239</v>
      </c>
      <c r="H350" s="1">
        <v>46268</v>
      </c>
      <c r="I350" s="2">
        <v>0.58333333333333337</v>
      </c>
      <c r="J350" s="2">
        <v>0.875</v>
      </c>
      <c r="L350" t="s">
        <v>4022</v>
      </c>
      <c r="M350" s="1"/>
      <c r="O350" t="s">
        <v>4007</v>
      </c>
      <c r="P350" s="1"/>
      <c r="Q350" s="1"/>
      <c r="S350" s="2">
        <f>CONSOLIDADO_2026[[#This Row],[Hora final]]-CONSOLIDADO_2026[[#This Row],[Hora inic]]</f>
        <v>0.29166666666666663</v>
      </c>
    </row>
    <row r="351" spans="1:19" x14ac:dyDescent="0.25">
      <c r="A351" t="s">
        <v>4013</v>
      </c>
      <c r="B351">
        <v>1041901478</v>
      </c>
      <c r="C351" t="s">
        <v>327</v>
      </c>
      <c r="D351" t="s">
        <v>326</v>
      </c>
      <c r="E351" t="s">
        <v>4005</v>
      </c>
      <c r="F351" t="s">
        <v>4040</v>
      </c>
      <c r="G351" s="1">
        <v>46239</v>
      </c>
      <c r="H351" s="1">
        <v>46240</v>
      </c>
      <c r="I351" s="2">
        <v>0.25</v>
      </c>
      <c r="J351" s="2">
        <v>0.58333333333333337</v>
      </c>
      <c r="L351" t="s">
        <v>4022</v>
      </c>
      <c r="M351" s="1"/>
      <c r="O351" t="s">
        <v>4007</v>
      </c>
      <c r="P351" s="1"/>
      <c r="Q351" s="1"/>
      <c r="S351" s="2">
        <f>CONSOLIDADO_2026[[#This Row],[Hora final]]-CONSOLIDADO_2026[[#This Row],[Hora inic]]</f>
        <v>0.33333333333333337</v>
      </c>
    </row>
    <row r="352" spans="1:19" x14ac:dyDescent="0.25">
      <c r="A352" t="s">
        <v>4111</v>
      </c>
      <c r="B352">
        <v>1041901478</v>
      </c>
      <c r="C352" t="s">
        <v>327</v>
      </c>
      <c r="D352" t="s">
        <v>326</v>
      </c>
      <c r="E352" t="s">
        <v>4005</v>
      </c>
      <c r="F352" t="s">
        <v>25</v>
      </c>
      <c r="G352" s="1">
        <v>46239</v>
      </c>
      <c r="H352" s="1">
        <v>46240</v>
      </c>
      <c r="I352" s="2">
        <v>0.54166666666666663</v>
      </c>
      <c r="J352" s="2">
        <v>0.875</v>
      </c>
      <c r="K352" t="s">
        <v>1346</v>
      </c>
      <c r="L352" t="s">
        <v>1347</v>
      </c>
      <c r="M352" s="1"/>
      <c r="O352" t="s">
        <v>21</v>
      </c>
      <c r="P352" s="1"/>
      <c r="Q352" s="1"/>
      <c r="S352" s="2">
        <f>CONSOLIDADO_2026[[#This Row],[Hora final]]-CONSOLIDADO_2026[[#This Row],[Hora inic]]</f>
        <v>0.33333333333333337</v>
      </c>
    </row>
    <row r="353" spans="1:19" x14ac:dyDescent="0.25">
      <c r="A353" t="s">
        <v>4013</v>
      </c>
      <c r="B353">
        <v>1192923605</v>
      </c>
      <c r="C353" t="s">
        <v>315</v>
      </c>
      <c r="D353" t="s">
        <v>211</v>
      </c>
      <c r="E353" t="s">
        <v>4017</v>
      </c>
      <c r="F353" t="s">
        <v>25</v>
      </c>
      <c r="G353" s="1">
        <v>46239</v>
      </c>
      <c r="H353" s="1">
        <v>46240</v>
      </c>
      <c r="I353" s="2">
        <v>0.25</v>
      </c>
      <c r="J353" s="2">
        <v>0.54166666666666663</v>
      </c>
      <c r="L353" t="s">
        <v>261</v>
      </c>
      <c r="M353" s="1"/>
      <c r="O353" t="s">
        <v>4007</v>
      </c>
      <c r="P353" s="1"/>
      <c r="Q353" s="1"/>
      <c r="S353" s="2">
        <f>CONSOLIDADO_2026[[#This Row],[Hora final]]-CONSOLIDADO_2026[[#This Row],[Hora inic]]</f>
        <v>0.29166666666666663</v>
      </c>
    </row>
    <row r="354" spans="1:19" x14ac:dyDescent="0.25">
      <c r="A354" t="s">
        <v>4013</v>
      </c>
      <c r="B354">
        <v>1036670630</v>
      </c>
      <c r="C354" t="s">
        <v>1093</v>
      </c>
      <c r="D354" t="s">
        <v>15</v>
      </c>
      <c r="E354" t="s">
        <v>4012</v>
      </c>
      <c r="F354" t="s">
        <v>4040</v>
      </c>
      <c r="G354" s="1">
        <v>46239</v>
      </c>
      <c r="H354" s="1"/>
      <c r="I354" s="2"/>
      <c r="J354" s="2"/>
      <c r="L354" t="s">
        <v>4022</v>
      </c>
      <c r="M354" s="1"/>
      <c r="O354" t="s">
        <v>4007</v>
      </c>
      <c r="P354" s="1"/>
      <c r="Q354" s="1"/>
      <c r="S354" s="2">
        <f>CONSOLIDADO_2026[[#This Row],[Hora final]]-CONSOLIDADO_2026[[#This Row],[Hora inic]]</f>
        <v>0</v>
      </c>
    </row>
    <row r="355" spans="1:19" x14ac:dyDescent="0.25">
      <c r="A355" t="s">
        <v>4013</v>
      </c>
      <c r="B355">
        <v>1026156098</v>
      </c>
      <c r="C355" t="s">
        <v>3518</v>
      </c>
      <c r="D355" t="s">
        <v>34</v>
      </c>
      <c r="E355" t="s">
        <v>4011</v>
      </c>
      <c r="F355" t="s">
        <v>4040</v>
      </c>
      <c r="G355" s="1">
        <v>46239</v>
      </c>
      <c r="H355" s="1">
        <v>46240</v>
      </c>
      <c r="I355" s="2">
        <v>0.58333333333333337</v>
      </c>
      <c r="J355" s="2">
        <v>0.875</v>
      </c>
      <c r="L355" t="s">
        <v>4022</v>
      </c>
      <c r="M355" s="1"/>
      <c r="O355" t="s">
        <v>4007</v>
      </c>
      <c r="P355" s="1"/>
      <c r="Q355" s="1"/>
      <c r="S355" s="2">
        <f>CONSOLIDADO_2026[[#This Row],[Hora final]]-CONSOLIDADO_2026[[#This Row],[Hora inic]]</f>
        <v>0.29166666666666663</v>
      </c>
    </row>
    <row r="356" spans="1:19" x14ac:dyDescent="0.25">
      <c r="A356" t="s">
        <v>4013</v>
      </c>
      <c r="B356">
        <v>1128458157</v>
      </c>
      <c r="C356" t="s">
        <v>2739</v>
      </c>
      <c r="D356" t="s">
        <v>326</v>
      </c>
      <c r="E356" t="s">
        <v>4005</v>
      </c>
      <c r="F356" t="s">
        <v>4040</v>
      </c>
      <c r="G356" s="1">
        <v>46239</v>
      </c>
      <c r="H356" s="1">
        <v>46240</v>
      </c>
      <c r="I356" s="2">
        <v>0.58333333333333337</v>
      </c>
      <c r="J356" s="2">
        <v>0.875</v>
      </c>
      <c r="L356" t="s">
        <v>4022</v>
      </c>
      <c r="M356" s="1"/>
      <c r="O356" t="s">
        <v>4007</v>
      </c>
      <c r="P356" s="1"/>
      <c r="Q356" s="1"/>
      <c r="S356" s="2">
        <f>CONSOLIDADO_2026[[#This Row],[Hora final]]-CONSOLIDADO_2026[[#This Row],[Hora inic]]</f>
        <v>0.29166666666666663</v>
      </c>
    </row>
    <row r="357" spans="1:19" x14ac:dyDescent="0.25">
      <c r="A357" t="s">
        <v>4013</v>
      </c>
      <c r="B357">
        <v>1128458157</v>
      </c>
      <c r="C357" t="s">
        <v>2739</v>
      </c>
      <c r="D357" t="s">
        <v>326</v>
      </c>
      <c r="E357" t="s">
        <v>4005</v>
      </c>
      <c r="F357" t="s">
        <v>4040</v>
      </c>
      <c r="G357" s="1">
        <v>46239</v>
      </c>
      <c r="H357" s="1">
        <v>46240</v>
      </c>
      <c r="I357" s="2">
        <v>0.25</v>
      </c>
      <c r="J357" s="2">
        <v>0.54166666666666663</v>
      </c>
      <c r="L357" t="s">
        <v>4022</v>
      </c>
      <c r="M357" s="1"/>
      <c r="O357" t="s">
        <v>4007</v>
      </c>
      <c r="P357" s="1"/>
      <c r="Q357" s="1"/>
      <c r="S357" s="2">
        <f>CONSOLIDADO_2026[[#This Row],[Hora final]]-CONSOLIDADO_2026[[#This Row],[Hora inic]]</f>
        <v>0.29166666666666663</v>
      </c>
    </row>
    <row r="358" spans="1:19" x14ac:dyDescent="0.25">
      <c r="A358" t="s">
        <v>4013</v>
      </c>
      <c r="B358">
        <v>1001868101</v>
      </c>
      <c r="C358" t="s">
        <v>74</v>
      </c>
      <c r="D358" t="s">
        <v>4045</v>
      </c>
      <c r="E358" t="s">
        <v>4010</v>
      </c>
      <c r="F358" t="s">
        <v>4046</v>
      </c>
      <c r="G358" s="1">
        <v>46239</v>
      </c>
      <c r="H358" s="1">
        <v>46239</v>
      </c>
      <c r="I358" s="2">
        <v>0.5</v>
      </c>
      <c r="J358" s="2">
        <v>0.79166666666666663</v>
      </c>
      <c r="K358" t="s">
        <v>73</v>
      </c>
      <c r="L358" t="s">
        <v>74</v>
      </c>
      <c r="M358" s="1"/>
      <c r="O358" t="s">
        <v>4007</v>
      </c>
      <c r="P358" s="1"/>
      <c r="Q358" s="1"/>
      <c r="S358" s="2">
        <f>CONSOLIDADO_2026[[#This Row],[Hora final]]-CONSOLIDADO_2026[[#This Row],[Hora inic]]</f>
        <v>0.29166666666666663</v>
      </c>
    </row>
    <row r="359" spans="1:19" x14ac:dyDescent="0.25">
      <c r="A359" t="s">
        <v>4013</v>
      </c>
      <c r="B359">
        <v>1065850707</v>
      </c>
      <c r="C359" t="s">
        <v>2698</v>
      </c>
      <c r="D359" t="s">
        <v>121</v>
      </c>
      <c r="E359" t="s">
        <v>4010</v>
      </c>
      <c r="F359" t="s">
        <v>4040</v>
      </c>
      <c r="G359" s="1">
        <v>46239</v>
      </c>
      <c r="H359" s="1">
        <v>46240</v>
      </c>
      <c r="I359" s="2">
        <v>0.54166666666666663</v>
      </c>
      <c r="J359" s="2">
        <v>0.875</v>
      </c>
      <c r="L359" t="s">
        <v>4022</v>
      </c>
      <c r="M359" s="1"/>
      <c r="O359" t="s">
        <v>4007</v>
      </c>
      <c r="P359" s="1"/>
      <c r="Q359" s="1"/>
      <c r="S359" s="2">
        <f>CONSOLIDADO_2026[[#This Row],[Hora final]]-CONSOLIDADO_2026[[#This Row],[Hora inic]]</f>
        <v>0.33333333333333337</v>
      </c>
    </row>
    <row r="360" spans="1:19" x14ac:dyDescent="0.25">
      <c r="A360" t="s">
        <v>4013</v>
      </c>
      <c r="B360">
        <v>1007223463</v>
      </c>
      <c r="C360" t="s">
        <v>487</v>
      </c>
      <c r="D360" t="s">
        <v>4045</v>
      </c>
      <c r="E360" t="s">
        <v>4017</v>
      </c>
      <c r="F360" t="s">
        <v>4068</v>
      </c>
      <c r="G360" s="1">
        <v>46239</v>
      </c>
      <c r="H360" s="1">
        <v>46239</v>
      </c>
      <c r="I360" s="2">
        <v>0.45833333333333331</v>
      </c>
      <c r="J360" s="2">
        <v>0.5</v>
      </c>
      <c r="L360" t="s">
        <v>4099</v>
      </c>
      <c r="M360" s="1"/>
      <c r="O360" t="s">
        <v>4007</v>
      </c>
      <c r="P360" s="1"/>
      <c r="Q360" s="1"/>
      <c r="S360" s="2">
        <f>CONSOLIDADO_2026[[#This Row],[Hora final]]-CONSOLIDADO_2026[[#This Row],[Hora inic]]</f>
        <v>4.1666666666666685E-2</v>
      </c>
    </row>
    <row r="361" spans="1:19" x14ac:dyDescent="0.25">
      <c r="A361" t="s">
        <v>4111</v>
      </c>
      <c r="B361">
        <v>1082896324</v>
      </c>
      <c r="C361" t="s">
        <v>77</v>
      </c>
      <c r="D361" t="s">
        <v>78</v>
      </c>
      <c r="E361" t="s">
        <v>4010</v>
      </c>
      <c r="F361" t="s">
        <v>25</v>
      </c>
      <c r="G361" s="1">
        <v>46239</v>
      </c>
      <c r="H361" s="1">
        <v>46240</v>
      </c>
      <c r="I361" s="2">
        <v>0.54166666666666663</v>
      </c>
      <c r="J361" s="2">
        <v>0.70833333333333337</v>
      </c>
      <c r="K361" t="s">
        <v>1318</v>
      </c>
      <c r="L361" t="s">
        <v>1319</v>
      </c>
      <c r="M361" s="1"/>
      <c r="O361" t="s">
        <v>21</v>
      </c>
      <c r="P361" s="1"/>
      <c r="Q361" s="1"/>
      <c r="S361" s="2">
        <f>CONSOLIDADO_2026[[#This Row],[Hora final]]-CONSOLIDADO_2026[[#This Row],[Hora inic]]</f>
        <v>0.16666666666666674</v>
      </c>
    </row>
    <row r="362" spans="1:19" x14ac:dyDescent="0.25">
      <c r="A362" t="s">
        <v>4111</v>
      </c>
      <c r="B362">
        <v>1143394119</v>
      </c>
      <c r="C362" t="s">
        <v>832</v>
      </c>
      <c r="D362" t="s">
        <v>142</v>
      </c>
      <c r="E362" t="s">
        <v>4012</v>
      </c>
      <c r="F362" t="s">
        <v>4040</v>
      </c>
      <c r="G362" s="1">
        <v>46239</v>
      </c>
      <c r="H362" s="1">
        <v>46239</v>
      </c>
      <c r="I362" s="2">
        <v>0.25</v>
      </c>
      <c r="J362" s="2">
        <v>0.79166666666666663</v>
      </c>
      <c r="L362" t="s">
        <v>4113</v>
      </c>
      <c r="M362" s="1"/>
      <c r="O362" t="s">
        <v>4007</v>
      </c>
      <c r="P362" s="1"/>
      <c r="Q362" s="1"/>
      <c r="S362" s="2">
        <f>CONSOLIDADO_2026[[#This Row],[Hora final]]-CONSOLIDADO_2026[[#This Row],[Hora inic]]</f>
        <v>0.54166666666666663</v>
      </c>
    </row>
    <row r="363" spans="1:19" x14ac:dyDescent="0.25">
      <c r="A363" t="s">
        <v>4111</v>
      </c>
      <c r="B363">
        <v>1000439437</v>
      </c>
      <c r="C363" t="s">
        <v>376</v>
      </c>
      <c r="D363" t="s">
        <v>128</v>
      </c>
      <c r="E363" t="s">
        <v>4005</v>
      </c>
      <c r="F363" t="s">
        <v>25</v>
      </c>
      <c r="G363" s="1">
        <v>46238</v>
      </c>
      <c r="H363" s="1">
        <v>46240</v>
      </c>
      <c r="I363" s="2">
        <v>0.54166666666666663</v>
      </c>
      <c r="J363" s="2">
        <v>0.875</v>
      </c>
      <c r="K363" t="s">
        <v>17</v>
      </c>
      <c r="L363" t="s">
        <v>18</v>
      </c>
      <c r="M363" s="1"/>
      <c r="O363" t="s">
        <v>21</v>
      </c>
      <c r="P363" s="1"/>
      <c r="Q363" s="1"/>
      <c r="S363" s="2">
        <f>CONSOLIDADO_2026[[#This Row],[Hora final]]-CONSOLIDADO_2026[[#This Row],[Hora inic]]</f>
        <v>0.33333333333333337</v>
      </c>
    </row>
    <row r="364" spans="1:19" x14ac:dyDescent="0.25">
      <c r="A364" t="s">
        <v>4111</v>
      </c>
      <c r="B364">
        <v>1140899272</v>
      </c>
      <c r="C364" t="s">
        <v>4100</v>
      </c>
      <c r="D364" t="s">
        <v>41</v>
      </c>
      <c r="E364" t="s">
        <v>4011</v>
      </c>
      <c r="F364" t="s">
        <v>25</v>
      </c>
      <c r="G364" s="1">
        <v>46238</v>
      </c>
      <c r="H364" s="1">
        <v>46240</v>
      </c>
      <c r="I364" s="2">
        <v>0.25</v>
      </c>
      <c r="J364" s="2">
        <v>0.5</v>
      </c>
      <c r="L364" t="s">
        <v>261</v>
      </c>
      <c r="M364" s="1"/>
      <c r="O364" t="s">
        <v>4007</v>
      </c>
      <c r="P364" s="1"/>
      <c r="Q364" s="1"/>
      <c r="S364" s="2">
        <f>CONSOLIDADO_2026[[#This Row],[Hora final]]-CONSOLIDADO_2026[[#This Row],[Hora inic]]</f>
        <v>0.25</v>
      </c>
    </row>
    <row r="365" spans="1:19" x14ac:dyDescent="0.25">
      <c r="A365" t="s">
        <v>4111</v>
      </c>
      <c r="B365">
        <v>1065664047</v>
      </c>
      <c r="C365" t="s">
        <v>1114</v>
      </c>
      <c r="D365" t="s">
        <v>89</v>
      </c>
      <c r="E365" t="s">
        <v>4017</v>
      </c>
      <c r="F365" t="s">
        <v>25</v>
      </c>
      <c r="G365" s="1">
        <v>46239</v>
      </c>
      <c r="H365" s="1">
        <v>46240</v>
      </c>
      <c r="I365" s="2">
        <v>0.58333333333333337</v>
      </c>
      <c r="J365" s="2">
        <v>0.875</v>
      </c>
      <c r="K365" t="s">
        <v>256</v>
      </c>
      <c r="L365" t="s">
        <v>257</v>
      </c>
      <c r="M365" s="1"/>
      <c r="O365" t="s">
        <v>21</v>
      </c>
      <c r="P365" s="1"/>
      <c r="Q365" s="1"/>
      <c r="S365" s="2">
        <f>CONSOLIDADO_2026[[#This Row],[Hora final]]-CONSOLIDADO_2026[[#This Row],[Hora inic]]</f>
        <v>0.29166666666666663</v>
      </c>
    </row>
    <row r="366" spans="1:19" x14ac:dyDescent="0.25">
      <c r="A366" t="s">
        <v>4111</v>
      </c>
      <c r="B366">
        <v>1003377961</v>
      </c>
      <c r="C366" t="s">
        <v>2527</v>
      </c>
      <c r="D366" t="s">
        <v>64</v>
      </c>
      <c r="E366" t="s">
        <v>4012</v>
      </c>
      <c r="F366" t="s">
        <v>25</v>
      </c>
      <c r="G366" s="1">
        <v>46239</v>
      </c>
      <c r="H366" s="1">
        <v>46239</v>
      </c>
      <c r="I366" s="2"/>
      <c r="J366" s="2"/>
      <c r="L366" t="s">
        <v>4006</v>
      </c>
      <c r="M366" s="1"/>
      <c r="O366" t="s">
        <v>4007</v>
      </c>
      <c r="P366" s="1"/>
      <c r="Q366" s="1"/>
      <c r="S366" s="2">
        <f>CONSOLIDADO_2026[[#This Row],[Hora final]]-CONSOLIDADO_2026[[#This Row],[Hora inic]]</f>
        <v>0</v>
      </c>
    </row>
    <row r="367" spans="1:19" x14ac:dyDescent="0.25">
      <c r="A367" t="s">
        <v>4111</v>
      </c>
      <c r="B367">
        <v>42141273</v>
      </c>
      <c r="C367" t="s">
        <v>210</v>
      </c>
      <c r="D367" t="s">
        <v>211</v>
      </c>
      <c r="E367" t="s">
        <v>4017</v>
      </c>
      <c r="F367" t="s">
        <v>4029</v>
      </c>
      <c r="G367" s="1">
        <v>46232</v>
      </c>
      <c r="H367" s="1">
        <v>46261</v>
      </c>
      <c r="I367" s="2">
        <v>0.25</v>
      </c>
      <c r="J367" s="2">
        <v>0.5</v>
      </c>
      <c r="K367" t="s">
        <v>486</v>
      </c>
      <c r="L367" t="s">
        <v>487</v>
      </c>
      <c r="M367" s="1"/>
      <c r="O367" t="s">
        <v>4007</v>
      </c>
      <c r="P367" s="1"/>
      <c r="Q367" s="1"/>
      <c r="S367" s="2">
        <f>CONSOLIDADO_2026[[#This Row],[Hora final]]-CONSOLIDADO_2026[[#This Row],[Hora inic]]</f>
        <v>0.25</v>
      </c>
    </row>
    <row r="368" spans="1:19" x14ac:dyDescent="0.25">
      <c r="A368" t="s">
        <v>4111</v>
      </c>
      <c r="B368">
        <v>1035876080</v>
      </c>
      <c r="C368" t="s">
        <v>120</v>
      </c>
      <c r="D368" t="s">
        <v>121</v>
      </c>
      <c r="E368" t="s">
        <v>4010</v>
      </c>
      <c r="F368" t="s">
        <v>25</v>
      </c>
      <c r="G368" s="1">
        <v>46239</v>
      </c>
      <c r="H368" s="1">
        <v>46245</v>
      </c>
      <c r="I368" s="2">
        <v>0.25</v>
      </c>
      <c r="J368" s="2">
        <v>0.58333333333333337</v>
      </c>
      <c r="K368" t="s">
        <v>216</v>
      </c>
      <c r="L368" t="s">
        <v>217</v>
      </c>
      <c r="M368" s="1"/>
      <c r="O368" t="s">
        <v>21</v>
      </c>
      <c r="P368" s="1"/>
      <c r="Q368" s="1"/>
      <c r="S368" s="2">
        <f>CONSOLIDADO_2026[[#This Row],[Hora final]]-CONSOLIDADO_2026[[#This Row],[Hora inic]]</f>
        <v>0.33333333333333337</v>
      </c>
    </row>
    <row r="369" spans="1:19" x14ac:dyDescent="0.25">
      <c r="A369" t="s">
        <v>4111</v>
      </c>
      <c r="B369">
        <v>1017259589</v>
      </c>
      <c r="C369" t="s">
        <v>4106</v>
      </c>
      <c r="D369" t="s">
        <v>57</v>
      </c>
      <c r="E369" t="s">
        <v>4010</v>
      </c>
      <c r="F369" t="s">
        <v>25</v>
      </c>
      <c r="G369" s="1">
        <v>46238</v>
      </c>
      <c r="H369" s="1">
        <v>46238</v>
      </c>
      <c r="I369" s="2"/>
      <c r="J369" s="2"/>
      <c r="L369" t="s">
        <v>4006</v>
      </c>
      <c r="M369" s="1"/>
      <c r="O369" t="s">
        <v>4007</v>
      </c>
      <c r="P369" s="1"/>
      <c r="Q369" s="1"/>
      <c r="S369" s="2">
        <f>CONSOLIDADO_2026[[#This Row],[Hora final]]-CONSOLIDADO_2026[[#This Row],[Hora inic]]</f>
        <v>0</v>
      </c>
    </row>
    <row r="370" spans="1:19" x14ac:dyDescent="0.25">
      <c r="A370" t="s">
        <v>4111</v>
      </c>
      <c r="B370">
        <v>1000412686</v>
      </c>
      <c r="C370" t="s">
        <v>2827</v>
      </c>
      <c r="D370" t="s">
        <v>57</v>
      </c>
      <c r="E370" t="s">
        <v>4010</v>
      </c>
      <c r="F370" t="s">
        <v>25</v>
      </c>
      <c r="G370" s="1">
        <v>46238</v>
      </c>
      <c r="H370" s="1">
        <v>46238</v>
      </c>
      <c r="I370" s="2"/>
      <c r="J370" s="2">
        <v>0.83333333333333337</v>
      </c>
      <c r="L370" t="s">
        <v>4006</v>
      </c>
      <c r="M370" s="1"/>
      <c r="O370" t="s">
        <v>4007</v>
      </c>
      <c r="P370" s="1"/>
      <c r="Q370" s="1"/>
      <c r="S370" s="2">
        <f>CONSOLIDADO_2026[[#This Row],[Hora final]]-CONSOLIDADO_2026[[#This Row],[Hora inic]]</f>
        <v>0.83333333333333337</v>
      </c>
    </row>
    <row r="371" spans="1:19" x14ac:dyDescent="0.25">
      <c r="A371" t="s">
        <v>4111</v>
      </c>
      <c r="B371">
        <v>1193104616</v>
      </c>
      <c r="C371" t="s">
        <v>1954</v>
      </c>
      <c r="D371" t="s">
        <v>64</v>
      </c>
      <c r="E371" t="s">
        <v>4012</v>
      </c>
      <c r="F371" t="s">
        <v>25</v>
      </c>
      <c r="G371" s="1">
        <v>46238</v>
      </c>
      <c r="H371" s="1">
        <v>46240</v>
      </c>
      <c r="I371" s="2">
        <v>0.58333333333333337</v>
      </c>
      <c r="J371" s="2">
        <v>0.875</v>
      </c>
      <c r="L371" t="s">
        <v>261</v>
      </c>
      <c r="M371" s="1"/>
      <c r="O371" t="s">
        <v>4007</v>
      </c>
      <c r="P371" s="1"/>
      <c r="Q371" s="1"/>
      <c r="S371" s="2">
        <f>CONSOLIDADO_2026[[#This Row],[Hora final]]-CONSOLIDADO_2026[[#This Row],[Hora inic]]</f>
        <v>0.29166666666666663</v>
      </c>
    </row>
    <row r="372" spans="1:19" x14ac:dyDescent="0.25">
      <c r="A372" t="s">
        <v>4111</v>
      </c>
      <c r="B372">
        <v>1005424850</v>
      </c>
      <c r="C372" t="s">
        <v>56</v>
      </c>
      <c r="D372" t="s">
        <v>57</v>
      </c>
      <c r="E372" t="s">
        <v>4010</v>
      </c>
      <c r="F372" t="s">
        <v>25</v>
      </c>
      <c r="G372" s="1">
        <v>46238</v>
      </c>
      <c r="H372" s="1">
        <v>46245</v>
      </c>
      <c r="I372" s="2">
        <v>0.5</v>
      </c>
      <c r="J372" s="2">
        <v>0.83333333333333337</v>
      </c>
      <c r="K372" t="s">
        <v>58</v>
      </c>
      <c r="L372" t="s">
        <v>59</v>
      </c>
      <c r="M372" s="1"/>
      <c r="O372" t="s">
        <v>21</v>
      </c>
      <c r="P372" s="1"/>
      <c r="Q372" s="1"/>
      <c r="S372" s="2">
        <f>CONSOLIDADO_2026[[#This Row],[Hora final]]-CONSOLIDADO_2026[[#This Row],[Hora inic]]</f>
        <v>0.33333333333333337</v>
      </c>
    </row>
    <row r="373" spans="1:19" x14ac:dyDescent="0.25">
      <c r="A373" t="s">
        <v>4111</v>
      </c>
      <c r="B373">
        <v>1032491944</v>
      </c>
      <c r="C373" t="s">
        <v>23</v>
      </c>
      <c r="D373" t="s">
        <v>24</v>
      </c>
      <c r="E373" t="s">
        <v>4011</v>
      </c>
      <c r="F373" t="s">
        <v>25</v>
      </c>
      <c r="G373" s="1">
        <v>46237</v>
      </c>
      <c r="H373" s="1">
        <v>46241</v>
      </c>
      <c r="I373" s="2">
        <v>0.58333333333333337</v>
      </c>
      <c r="J373" s="2">
        <v>0.875</v>
      </c>
      <c r="K373" t="s">
        <v>69</v>
      </c>
      <c r="L373" t="s">
        <v>70</v>
      </c>
      <c r="M373" s="1"/>
      <c r="O373" t="s">
        <v>21</v>
      </c>
      <c r="P373" s="1"/>
      <c r="Q373" s="1"/>
      <c r="S373" s="2">
        <f>CONSOLIDADO_2026[[#This Row],[Hora final]]-CONSOLIDADO_2026[[#This Row],[Hora inic]]</f>
        <v>0.29166666666666663</v>
      </c>
    </row>
    <row r="374" spans="1:19" x14ac:dyDescent="0.25">
      <c r="A374" t="s">
        <v>4111</v>
      </c>
      <c r="B374">
        <v>1036656151</v>
      </c>
      <c r="C374" t="s">
        <v>1643</v>
      </c>
      <c r="D374" t="s">
        <v>34</v>
      </c>
      <c r="E374" t="s">
        <v>4011</v>
      </c>
      <c r="F374" t="s">
        <v>25</v>
      </c>
      <c r="G374" s="1">
        <v>46238</v>
      </c>
      <c r="H374" s="1">
        <v>46239</v>
      </c>
      <c r="I374" s="2"/>
      <c r="J374" s="2"/>
      <c r="L374" t="s">
        <v>4006</v>
      </c>
      <c r="M374" s="1"/>
      <c r="O374" t="s">
        <v>4007</v>
      </c>
      <c r="P374" s="1"/>
      <c r="Q374" s="1"/>
      <c r="S374" s="2">
        <f>CONSOLIDADO_2026[[#This Row],[Hora final]]-CONSOLIDADO_2026[[#This Row],[Hora inic]]</f>
        <v>0</v>
      </c>
    </row>
    <row r="375" spans="1:19" x14ac:dyDescent="0.25">
      <c r="A375" t="s">
        <v>4111</v>
      </c>
      <c r="B375">
        <v>1067963513</v>
      </c>
      <c r="C375" t="s">
        <v>28</v>
      </c>
      <c r="D375" t="s">
        <v>29</v>
      </c>
      <c r="E375" t="s">
        <v>4005</v>
      </c>
      <c r="F375" t="s">
        <v>25</v>
      </c>
      <c r="G375" s="1">
        <v>46238</v>
      </c>
      <c r="H375" s="1">
        <v>46238</v>
      </c>
      <c r="I375" s="2">
        <v>0.25</v>
      </c>
      <c r="J375" s="2">
        <v>0.58333333333333337</v>
      </c>
      <c r="L375" t="s">
        <v>4006</v>
      </c>
      <c r="M375" s="1"/>
      <c r="O375" t="s">
        <v>4007</v>
      </c>
      <c r="P375" s="1"/>
      <c r="Q375" s="1"/>
      <c r="S375" s="2">
        <f>CONSOLIDADO_2026[[#This Row],[Hora final]]-CONSOLIDADO_2026[[#This Row],[Hora inic]]</f>
        <v>0.33333333333333337</v>
      </c>
    </row>
    <row r="376" spans="1:19" x14ac:dyDescent="0.25">
      <c r="A376" t="s">
        <v>4111</v>
      </c>
      <c r="B376">
        <v>1001901817</v>
      </c>
      <c r="C376" t="s">
        <v>4105</v>
      </c>
      <c r="D376" t="s">
        <v>553</v>
      </c>
      <c r="E376" t="s">
        <v>4010</v>
      </c>
      <c r="F376" t="s">
        <v>25</v>
      </c>
      <c r="G376" s="1">
        <v>46237</v>
      </c>
      <c r="H376" s="1">
        <v>46239</v>
      </c>
      <c r="I376" s="2"/>
      <c r="J376" s="2"/>
      <c r="L376" t="s">
        <v>4006</v>
      </c>
      <c r="M376" s="1"/>
      <c r="O376" t="s">
        <v>4007</v>
      </c>
      <c r="P376" s="1"/>
      <c r="Q376" s="1"/>
      <c r="S376" s="2">
        <f>CONSOLIDADO_2026[[#This Row],[Hora final]]-CONSOLIDADO_2026[[#This Row],[Hora inic]]</f>
        <v>0</v>
      </c>
    </row>
    <row r="377" spans="1:19" x14ac:dyDescent="0.25">
      <c r="A377" t="s">
        <v>4111</v>
      </c>
      <c r="B377">
        <v>88030132</v>
      </c>
      <c r="C377" t="s">
        <v>1903</v>
      </c>
      <c r="D377" t="s">
        <v>142</v>
      </c>
      <c r="E377" t="s">
        <v>4012</v>
      </c>
      <c r="F377" t="s">
        <v>25</v>
      </c>
      <c r="G377" s="1">
        <v>46237</v>
      </c>
      <c r="H377" s="1">
        <v>46237</v>
      </c>
      <c r="I377" s="2"/>
      <c r="J377" s="2"/>
      <c r="L377" t="s">
        <v>4006</v>
      </c>
      <c r="M377" s="1"/>
      <c r="O377" t="s">
        <v>4007</v>
      </c>
      <c r="P377" s="1"/>
      <c r="Q377" s="1"/>
      <c r="S377" s="2">
        <f>CONSOLIDADO_2026[[#This Row],[Hora final]]-CONSOLIDADO_2026[[#This Row],[Hora inic]]</f>
        <v>0</v>
      </c>
    </row>
    <row r="378" spans="1:19" x14ac:dyDescent="0.25">
      <c r="A378" t="s">
        <v>4111</v>
      </c>
      <c r="B378">
        <v>1193459665</v>
      </c>
      <c r="C378" t="s">
        <v>4066</v>
      </c>
      <c r="D378" t="s">
        <v>326</v>
      </c>
      <c r="E378" t="s">
        <v>4005</v>
      </c>
      <c r="F378" t="s">
        <v>4015</v>
      </c>
      <c r="G378" s="1">
        <v>46237</v>
      </c>
      <c r="H378" s="1">
        <v>46239</v>
      </c>
      <c r="I378" s="2"/>
      <c r="J378" s="2"/>
      <c r="L378" t="s">
        <v>4006</v>
      </c>
      <c r="M378" s="1"/>
      <c r="O378" t="s">
        <v>4007</v>
      </c>
      <c r="P378" s="1"/>
      <c r="Q378" s="1"/>
      <c r="S378" s="2">
        <f>CONSOLIDADO_2026[[#This Row],[Hora final]]-CONSOLIDADO_2026[[#This Row],[Hora inic]]</f>
        <v>0</v>
      </c>
    </row>
    <row r="379" spans="1:19" x14ac:dyDescent="0.25">
      <c r="A379" t="s">
        <v>4111</v>
      </c>
      <c r="B379">
        <v>1152687492</v>
      </c>
      <c r="C379" t="s">
        <v>4095</v>
      </c>
      <c r="D379" t="s">
        <v>336</v>
      </c>
      <c r="E379" t="s">
        <v>4017</v>
      </c>
      <c r="F379" t="s">
        <v>4015</v>
      </c>
      <c r="G379" s="1">
        <v>46238</v>
      </c>
      <c r="H379" s="1">
        <v>46240</v>
      </c>
      <c r="I379" s="2">
        <v>0.29166666666666669</v>
      </c>
      <c r="J379" s="2">
        <v>0.625</v>
      </c>
      <c r="L379" t="s">
        <v>4006</v>
      </c>
      <c r="M379" s="1"/>
      <c r="O379" t="s">
        <v>4007</v>
      </c>
      <c r="P379" s="1"/>
      <c r="Q379" s="1"/>
      <c r="S379" s="2">
        <f>CONSOLIDADO_2026[[#This Row],[Hora final]]-CONSOLIDADO_2026[[#This Row],[Hora inic]]</f>
        <v>0.33333333333333331</v>
      </c>
    </row>
    <row r="380" spans="1:19" x14ac:dyDescent="0.25">
      <c r="A380" t="s">
        <v>4111</v>
      </c>
      <c r="B380">
        <v>1004841623</v>
      </c>
      <c r="C380" t="s">
        <v>4062</v>
      </c>
      <c r="D380" t="s">
        <v>420</v>
      </c>
      <c r="E380" t="s">
        <v>4010</v>
      </c>
      <c r="F380" t="s">
        <v>4015</v>
      </c>
      <c r="G380" s="1">
        <v>46237</v>
      </c>
      <c r="H380" s="1">
        <v>46241</v>
      </c>
      <c r="I380" s="2"/>
      <c r="J380" s="2"/>
      <c r="L380" t="s">
        <v>4006</v>
      </c>
      <c r="M380" s="1"/>
      <c r="O380" t="s">
        <v>4007</v>
      </c>
      <c r="P380" s="1"/>
      <c r="Q380" s="1"/>
      <c r="S380" s="2">
        <f>CONSOLIDADO_2026[[#This Row],[Hora final]]-CONSOLIDADO_2026[[#This Row],[Hora inic]]</f>
        <v>0</v>
      </c>
    </row>
    <row r="381" spans="1:19" x14ac:dyDescent="0.25">
      <c r="A381" t="s">
        <v>4111</v>
      </c>
      <c r="B381">
        <v>1143166909</v>
      </c>
      <c r="C381" t="s">
        <v>2672</v>
      </c>
      <c r="D381" t="s">
        <v>322</v>
      </c>
      <c r="E381" t="s">
        <v>4017</v>
      </c>
      <c r="F381" t="s">
        <v>4040</v>
      </c>
      <c r="G381" s="1">
        <v>46239</v>
      </c>
      <c r="H381" s="1"/>
      <c r="I381" s="2">
        <v>0.58333333333333337</v>
      </c>
      <c r="J381" s="2">
        <v>0.875</v>
      </c>
      <c r="L381" t="s">
        <v>4006</v>
      </c>
      <c r="M381" s="1"/>
      <c r="O381" t="s">
        <v>4007</v>
      </c>
      <c r="P381" s="1"/>
      <c r="Q381" s="1"/>
      <c r="S381" s="2">
        <f>CONSOLIDADO_2026[[#This Row],[Hora final]]-CONSOLIDADO_2026[[#This Row],[Hora inic]]</f>
        <v>0.29166666666666663</v>
      </c>
    </row>
    <row r="382" spans="1:19" x14ac:dyDescent="0.25">
      <c r="A382" t="s">
        <v>4111</v>
      </c>
      <c r="B382">
        <v>1117545007</v>
      </c>
      <c r="C382" t="s">
        <v>2325</v>
      </c>
      <c r="D382" t="s">
        <v>128</v>
      </c>
      <c r="E382" t="s">
        <v>4005</v>
      </c>
      <c r="F382" t="s">
        <v>25</v>
      </c>
      <c r="G382" s="1">
        <v>46237</v>
      </c>
      <c r="H382" s="1">
        <v>46239</v>
      </c>
      <c r="I382" s="2"/>
      <c r="J382" s="2"/>
      <c r="L382" t="s">
        <v>4006</v>
      </c>
      <c r="M382" s="1"/>
      <c r="O382" t="s">
        <v>4007</v>
      </c>
      <c r="P382" s="1"/>
      <c r="Q382" s="1"/>
      <c r="S382" s="2">
        <f>CONSOLIDADO_2026[[#This Row],[Hora final]]-CONSOLIDADO_2026[[#This Row],[Hora inic]]</f>
        <v>0</v>
      </c>
    </row>
    <row r="383" spans="1:19" x14ac:dyDescent="0.25">
      <c r="A383" t="s">
        <v>4111</v>
      </c>
      <c r="B383">
        <v>1005624879</v>
      </c>
      <c r="C383" t="s">
        <v>251</v>
      </c>
      <c r="D383" t="s">
        <v>132</v>
      </c>
      <c r="E383" t="s">
        <v>4010</v>
      </c>
      <c r="F383" t="s">
        <v>25</v>
      </c>
      <c r="G383" s="1">
        <v>46237</v>
      </c>
      <c r="H383" s="1">
        <v>46240</v>
      </c>
      <c r="I383" s="2">
        <v>0.25</v>
      </c>
      <c r="J383" s="2">
        <v>0.58333333333333337</v>
      </c>
      <c r="K383" t="s">
        <v>252</v>
      </c>
      <c r="L383" t="s">
        <v>253</v>
      </c>
      <c r="M383" s="1"/>
      <c r="O383" t="s">
        <v>21</v>
      </c>
      <c r="P383" s="1"/>
      <c r="Q383" s="1"/>
      <c r="S383" s="2">
        <f>CONSOLIDADO_2026[[#This Row],[Hora final]]-CONSOLIDADO_2026[[#This Row],[Hora inic]]</f>
        <v>0.33333333333333337</v>
      </c>
    </row>
    <row r="384" spans="1:19" x14ac:dyDescent="0.25">
      <c r="A384" t="s">
        <v>4111</v>
      </c>
      <c r="B384">
        <v>1072648283</v>
      </c>
      <c r="C384" t="s">
        <v>739</v>
      </c>
      <c r="D384" t="s">
        <v>211</v>
      </c>
      <c r="E384" t="s">
        <v>4017</v>
      </c>
      <c r="F384" t="s">
        <v>25</v>
      </c>
      <c r="G384" s="1">
        <v>46237</v>
      </c>
      <c r="H384" s="1">
        <v>46239</v>
      </c>
      <c r="I384" s="2"/>
      <c r="J384" s="2"/>
      <c r="L384" t="s">
        <v>4006</v>
      </c>
      <c r="M384" s="1"/>
      <c r="O384" t="s">
        <v>4007</v>
      </c>
      <c r="P384" s="1"/>
      <c r="Q384" s="1"/>
      <c r="S384" s="2">
        <f>CONSOLIDADO_2026[[#This Row],[Hora final]]-CONSOLIDADO_2026[[#This Row],[Hora inic]]</f>
        <v>0</v>
      </c>
    </row>
    <row r="385" spans="1:19" x14ac:dyDescent="0.25">
      <c r="A385" t="s">
        <v>4111</v>
      </c>
      <c r="B385">
        <v>1042422897</v>
      </c>
      <c r="C385" t="s">
        <v>4071</v>
      </c>
      <c r="D385" t="s">
        <v>326</v>
      </c>
      <c r="E385" t="s">
        <v>4005</v>
      </c>
      <c r="F385" t="s">
        <v>25</v>
      </c>
      <c r="G385" s="1">
        <v>46237</v>
      </c>
      <c r="H385" s="1">
        <v>46238</v>
      </c>
      <c r="I385" s="2"/>
      <c r="J385" s="2"/>
      <c r="L385" t="s">
        <v>4006</v>
      </c>
      <c r="M385" s="1"/>
      <c r="O385" t="s">
        <v>4007</v>
      </c>
      <c r="P385" s="1"/>
      <c r="Q385" s="1"/>
      <c r="S385" s="2">
        <f>CONSOLIDADO_2026[[#This Row],[Hora final]]-CONSOLIDADO_2026[[#This Row],[Hora inic]]</f>
        <v>0</v>
      </c>
    </row>
    <row r="386" spans="1:19" x14ac:dyDescent="0.25">
      <c r="A386" t="s">
        <v>4111</v>
      </c>
      <c r="B386">
        <v>1040184262</v>
      </c>
      <c r="C386" t="s">
        <v>4114</v>
      </c>
      <c r="D386" t="s">
        <v>2002</v>
      </c>
      <c r="E386" t="s">
        <v>4017</v>
      </c>
      <c r="F386" t="s">
        <v>25</v>
      </c>
      <c r="G386" s="1">
        <v>46237</v>
      </c>
      <c r="H386" s="1">
        <v>46238</v>
      </c>
      <c r="I386" s="2"/>
      <c r="J386" s="2"/>
      <c r="L386" t="s">
        <v>4006</v>
      </c>
      <c r="M386" s="1"/>
      <c r="O386" t="s">
        <v>4007</v>
      </c>
      <c r="P386" s="1"/>
      <c r="Q386" s="1"/>
      <c r="S386" s="2">
        <f>CONSOLIDADO_2026[[#This Row],[Hora final]]-CONSOLIDADO_2026[[#This Row],[Hora inic]]</f>
        <v>0</v>
      </c>
    </row>
    <row r="387" spans="1:19" x14ac:dyDescent="0.25">
      <c r="A387" t="s">
        <v>4111</v>
      </c>
      <c r="B387">
        <v>1152436231</v>
      </c>
      <c r="C387" t="s">
        <v>131</v>
      </c>
      <c r="D387" t="s">
        <v>132</v>
      </c>
      <c r="E387" t="s">
        <v>4010</v>
      </c>
      <c r="F387" t="s">
        <v>25</v>
      </c>
      <c r="G387" s="1">
        <v>46237</v>
      </c>
      <c r="H387" s="1">
        <v>46240</v>
      </c>
      <c r="I387" s="2">
        <v>0.25</v>
      </c>
      <c r="J387" s="2">
        <v>0.54166666666666663</v>
      </c>
      <c r="K387" t="s">
        <v>162</v>
      </c>
      <c r="L387" t="s">
        <v>163</v>
      </c>
      <c r="M387" s="1"/>
      <c r="O387" t="s">
        <v>21</v>
      </c>
      <c r="P387" s="1"/>
      <c r="Q387" s="1"/>
      <c r="S387" s="2">
        <f>CONSOLIDADO_2026[[#This Row],[Hora final]]-CONSOLIDADO_2026[[#This Row],[Hora inic]]</f>
        <v>0.29166666666666663</v>
      </c>
    </row>
    <row r="388" spans="1:19" x14ac:dyDescent="0.25">
      <c r="A388" t="s">
        <v>4111</v>
      </c>
      <c r="B388">
        <v>1143413583</v>
      </c>
      <c r="C388" t="s">
        <v>54</v>
      </c>
      <c r="D388" t="s">
        <v>41</v>
      </c>
      <c r="E388" t="s">
        <v>4011</v>
      </c>
      <c r="F388" t="s">
        <v>25</v>
      </c>
      <c r="G388" s="1">
        <v>46236</v>
      </c>
      <c r="H388" s="1">
        <v>46239</v>
      </c>
      <c r="I388" s="2"/>
      <c r="J388" s="2"/>
      <c r="L388" t="s">
        <v>4006</v>
      </c>
      <c r="M388" s="1"/>
      <c r="O388" t="s">
        <v>4007</v>
      </c>
      <c r="P388" s="1"/>
      <c r="Q388" s="1"/>
      <c r="S388" s="2">
        <f>CONSOLIDADO_2026[[#This Row],[Hora final]]-CONSOLIDADO_2026[[#This Row],[Hora inic]]</f>
        <v>0</v>
      </c>
    </row>
    <row r="389" spans="1:19" x14ac:dyDescent="0.25">
      <c r="A389" t="s">
        <v>4111</v>
      </c>
      <c r="B389">
        <v>1102808787</v>
      </c>
      <c r="C389" t="s">
        <v>265</v>
      </c>
      <c r="D389" t="s">
        <v>51</v>
      </c>
      <c r="E389" t="s">
        <v>4011</v>
      </c>
      <c r="F389" t="s">
        <v>25</v>
      </c>
      <c r="G389" s="1">
        <v>46237</v>
      </c>
      <c r="H389" s="1">
        <v>46256</v>
      </c>
      <c r="I389" s="2">
        <v>0.54166666666666663</v>
      </c>
      <c r="J389" s="2">
        <v>0.875</v>
      </c>
      <c r="L389" t="s">
        <v>261</v>
      </c>
      <c r="M389" s="1"/>
      <c r="O389" t="s">
        <v>4007</v>
      </c>
      <c r="P389" s="1"/>
      <c r="Q389" s="1"/>
      <c r="S389" s="2">
        <f>CONSOLIDADO_2026[[#This Row],[Hora final]]-CONSOLIDADO_2026[[#This Row],[Hora inic]]</f>
        <v>0.33333333333333337</v>
      </c>
    </row>
    <row r="390" spans="1:19" x14ac:dyDescent="0.25">
      <c r="A390" t="s">
        <v>4111</v>
      </c>
      <c r="B390">
        <v>1020486493</v>
      </c>
      <c r="C390" t="s">
        <v>4074</v>
      </c>
      <c r="D390" t="s">
        <v>326</v>
      </c>
      <c r="E390" t="s">
        <v>4005</v>
      </c>
      <c r="F390" t="s">
        <v>4058</v>
      </c>
      <c r="G390" s="1">
        <v>46237</v>
      </c>
      <c r="H390" s="1">
        <v>46239</v>
      </c>
      <c r="I390" s="2"/>
      <c r="J390" s="2"/>
      <c r="L390" t="s">
        <v>4006</v>
      </c>
      <c r="M390" s="1"/>
      <c r="O390" t="s">
        <v>4007</v>
      </c>
      <c r="P390" s="1"/>
      <c r="Q390" s="1"/>
      <c r="S390" s="2">
        <f>CONSOLIDADO_2026[[#This Row],[Hora final]]-CONSOLIDADO_2026[[#This Row],[Hora inic]]</f>
        <v>0</v>
      </c>
    </row>
    <row r="391" spans="1:19" x14ac:dyDescent="0.25">
      <c r="A391" t="s">
        <v>4111</v>
      </c>
      <c r="B391">
        <v>1140851921</v>
      </c>
      <c r="C391" t="s">
        <v>4023</v>
      </c>
      <c r="D391" t="s">
        <v>326</v>
      </c>
      <c r="E391" t="s">
        <v>4005</v>
      </c>
      <c r="F391" t="s">
        <v>4058</v>
      </c>
      <c r="G391" s="1">
        <v>46237</v>
      </c>
      <c r="H391" s="1">
        <v>46239</v>
      </c>
      <c r="I391" s="2"/>
      <c r="J391" s="2"/>
      <c r="L391" t="s">
        <v>4006</v>
      </c>
      <c r="M391" s="1"/>
      <c r="O391" t="s">
        <v>4007</v>
      </c>
      <c r="P391" s="1"/>
      <c r="Q391" s="1"/>
      <c r="S391" s="2">
        <f>CONSOLIDADO_2026[[#This Row],[Hora final]]-CONSOLIDADO_2026[[#This Row],[Hora inic]]</f>
        <v>0</v>
      </c>
    </row>
    <row r="392" spans="1:19" x14ac:dyDescent="0.25">
      <c r="A392" t="s">
        <v>4111</v>
      </c>
      <c r="B392">
        <v>1001005240</v>
      </c>
      <c r="C392" t="s">
        <v>152</v>
      </c>
      <c r="D392" t="s">
        <v>153</v>
      </c>
      <c r="E392" t="s">
        <v>4010</v>
      </c>
      <c r="F392" t="s">
        <v>25</v>
      </c>
      <c r="G392" s="1">
        <v>46234</v>
      </c>
      <c r="H392" s="1">
        <v>46240</v>
      </c>
      <c r="I392" s="2">
        <v>0.25</v>
      </c>
      <c r="J392" s="2">
        <v>0.54166666666666663</v>
      </c>
      <c r="K392" t="s">
        <v>171</v>
      </c>
      <c r="L392" t="s">
        <v>172</v>
      </c>
      <c r="M392" s="1"/>
      <c r="O392" t="s">
        <v>21</v>
      </c>
      <c r="P392" s="1"/>
      <c r="Q392" s="1"/>
      <c r="S392" s="2">
        <f>CONSOLIDADO_2026[[#This Row],[Hora final]]-CONSOLIDADO_2026[[#This Row],[Hora inic]]</f>
        <v>0.29166666666666663</v>
      </c>
    </row>
    <row r="393" spans="1:19" x14ac:dyDescent="0.25">
      <c r="A393" t="s">
        <v>4111</v>
      </c>
      <c r="B393">
        <v>1001940238</v>
      </c>
      <c r="C393" t="s">
        <v>4021</v>
      </c>
      <c r="D393" t="s">
        <v>57</v>
      </c>
      <c r="E393" t="s">
        <v>4010</v>
      </c>
      <c r="F393" t="s">
        <v>4015</v>
      </c>
      <c r="G393" s="1">
        <v>46237</v>
      </c>
      <c r="H393" s="1">
        <v>46239</v>
      </c>
      <c r="I393" s="2"/>
      <c r="J393" s="2"/>
      <c r="L393" t="s">
        <v>4006</v>
      </c>
      <c r="M393" s="1"/>
      <c r="O393" t="s">
        <v>4007</v>
      </c>
      <c r="P393" s="1"/>
      <c r="Q393" s="1"/>
      <c r="S393" s="2">
        <f>CONSOLIDADO_2026[[#This Row],[Hora final]]-CONSOLIDADO_2026[[#This Row],[Hora inic]]</f>
        <v>0</v>
      </c>
    </row>
    <row r="394" spans="1:19" x14ac:dyDescent="0.25">
      <c r="A394" t="s">
        <v>4111</v>
      </c>
      <c r="B394">
        <v>1047505786</v>
      </c>
      <c r="C394" t="s">
        <v>110</v>
      </c>
      <c r="D394" t="s">
        <v>15</v>
      </c>
      <c r="E394" t="s">
        <v>4012</v>
      </c>
      <c r="F394" t="s">
        <v>25</v>
      </c>
      <c r="G394" s="1">
        <v>46229</v>
      </c>
      <c r="H394" s="1">
        <v>46243</v>
      </c>
      <c r="I394" s="2">
        <v>0.25</v>
      </c>
      <c r="J394" s="2">
        <v>0.54166666666666663</v>
      </c>
      <c r="L394" t="s">
        <v>261</v>
      </c>
      <c r="M394" s="1"/>
      <c r="O394" t="s">
        <v>4007</v>
      </c>
      <c r="P394" s="1"/>
      <c r="Q394" s="1"/>
      <c r="S394" s="2">
        <f>CONSOLIDADO_2026[[#This Row],[Hora final]]-CONSOLIDADO_2026[[#This Row],[Hora inic]]</f>
        <v>0.29166666666666663</v>
      </c>
    </row>
    <row r="395" spans="1:19" x14ac:dyDescent="0.25">
      <c r="A395" t="s">
        <v>4111</v>
      </c>
      <c r="B395">
        <v>1140905046</v>
      </c>
      <c r="C395" t="s">
        <v>4014</v>
      </c>
      <c r="D395" t="s">
        <v>410</v>
      </c>
      <c r="E395" t="s">
        <v>4005</v>
      </c>
      <c r="F395" t="s">
        <v>4015</v>
      </c>
      <c r="G395" s="1">
        <v>46235</v>
      </c>
      <c r="H395" s="1">
        <v>46238</v>
      </c>
      <c r="I395" s="2"/>
      <c r="J395" s="2"/>
      <c r="L395" t="s">
        <v>4006</v>
      </c>
      <c r="M395" s="1"/>
      <c r="O395" t="s">
        <v>4007</v>
      </c>
      <c r="P395" s="1"/>
      <c r="Q395" s="1"/>
      <c r="S395" s="2">
        <f>CONSOLIDADO_2026[[#This Row],[Hora final]]-CONSOLIDADO_2026[[#This Row],[Hora inic]]</f>
        <v>0</v>
      </c>
    </row>
    <row r="396" spans="1:19" x14ac:dyDescent="0.25">
      <c r="A396" t="s">
        <v>4111</v>
      </c>
      <c r="B396">
        <v>21852680</v>
      </c>
      <c r="C396" t="s">
        <v>4018</v>
      </c>
      <c r="D396" t="s">
        <v>410</v>
      </c>
      <c r="E396" t="s">
        <v>4005</v>
      </c>
      <c r="F396" t="s">
        <v>4015</v>
      </c>
      <c r="G396" s="1">
        <v>46235</v>
      </c>
      <c r="H396" s="1">
        <v>46238</v>
      </c>
      <c r="I396" s="2"/>
      <c r="J396" s="2"/>
      <c r="L396" t="s">
        <v>4006</v>
      </c>
      <c r="M396" s="1"/>
      <c r="O396" t="s">
        <v>4007</v>
      </c>
      <c r="P396" s="1"/>
      <c r="Q396" s="1"/>
      <c r="S396" s="2">
        <f>CONSOLIDADO_2026[[#This Row],[Hora final]]-CONSOLIDADO_2026[[#This Row],[Hora inic]]</f>
        <v>0</v>
      </c>
    </row>
    <row r="397" spans="1:19" x14ac:dyDescent="0.25">
      <c r="A397" t="s">
        <v>4111</v>
      </c>
      <c r="B397">
        <v>1152221372</v>
      </c>
      <c r="C397" t="s">
        <v>4038</v>
      </c>
      <c r="D397" t="s">
        <v>128</v>
      </c>
      <c r="E397" t="s">
        <v>4005</v>
      </c>
      <c r="F397" t="s">
        <v>4037</v>
      </c>
      <c r="G397" s="1">
        <v>46230</v>
      </c>
      <c r="H397" s="1"/>
      <c r="I397" s="2">
        <v>0.54166666666666663</v>
      </c>
      <c r="J397" s="2">
        <v>0.875</v>
      </c>
      <c r="K397" t="s">
        <v>1435</v>
      </c>
      <c r="L397" t="s">
        <v>1436</v>
      </c>
      <c r="M397" s="1"/>
      <c r="O397" t="s">
        <v>21</v>
      </c>
      <c r="P397" s="1"/>
      <c r="Q397" s="1"/>
      <c r="S397" s="2">
        <f>CONSOLIDADO_2026[[#This Row],[Hora final]]-CONSOLIDADO_2026[[#This Row],[Hora inic]]</f>
        <v>0.33333333333333337</v>
      </c>
    </row>
    <row r="398" spans="1:19" x14ac:dyDescent="0.25">
      <c r="A398" t="s">
        <v>4111</v>
      </c>
      <c r="B398">
        <v>1152699151</v>
      </c>
      <c r="C398" t="s">
        <v>944</v>
      </c>
      <c r="D398" t="s">
        <v>4093</v>
      </c>
      <c r="E398" t="s">
        <v>4011</v>
      </c>
      <c r="F398" t="s">
        <v>4091</v>
      </c>
      <c r="G398" s="1">
        <v>46238</v>
      </c>
      <c r="H398" s="1">
        <v>46240</v>
      </c>
      <c r="I398" s="2">
        <v>0.33333333333333331</v>
      </c>
      <c r="J398" s="2">
        <v>0.625</v>
      </c>
      <c r="K398" t="s">
        <v>3621</v>
      </c>
      <c r="L398" t="s">
        <v>3622</v>
      </c>
      <c r="M398" s="1"/>
      <c r="O398" t="s">
        <v>21</v>
      </c>
      <c r="P398" s="1"/>
      <c r="Q398" s="1"/>
      <c r="S398" s="2">
        <f>CONSOLIDADO_2026[[#This Row],[Hora final]]-CONSOLIDADO_2026[[#This Row],[Hora inic]]</f>
        <v>0.29166666666666669</v>
      </c>
    </row>
    <row r="399" spans="1:19" x14ac:dyDescent="0.25">
      <c r="A399" t="s">
        <v>4111</v>
      </c>
      <c r="B399">
        <v>1083001678</v>
      </c>
      <c r="C399" t="s">
        <v>522</v>
      </c>
      <c r="D399" t="s">
        <v>128</v>
      </c>
      <c r="E399" t="s">
        <v>4005</v>
      </c>
      <c r="F399" t="s">
        <v>4108</v>
      </c>
      <c r="G399" s="1">
        <v>46239</v>
      </c>
      <c r="H399" s="1">
        <v>46239</v>
      </c>
      <c r="I399" s="2"/>
      <c r="J399" s="2"/>
      <c r="L399" t="s">
        <v>4006</v>
      </c>
      <c r="M399" s="1"/>
      <c r="O399" t="s">
        <v>4007</v>
      </c>
      <c r="P399" s="1"/>
      <c r="Q399" s="1"/>
      <c r="S399" s="2">
        <f>CONSOLIDADO_2026[[#This Row],[Hora final]]-CONSOLIDADO_2026[[#This Row],[Hora inic]]</f>
        <v>0</v>
      </c>
    </row>
    <row r="400" spans="1:19" x14ac:dyDescent="0.25">
      <c r="A400" t="s">
        <v>4111</v>
      </c>
      <c r="B400">
        <v>1020475954</v>
      </c>
      <c r="C400" t="s">
        <v>3901</v>
      </c>
      <c r="D400" t="s">
        <v>29</v>
      </c>
      <c r="E400" t="s">
        <v>4005</v>
      </c>
      <c r="F400" t="s">
        <v>4091</v>
      </c>
      <c r="G400" s="1">
        <v>46238</v>
      </c>
      <c r="H400" s="1">
        <v>46240</v>
      </c>
      <c r="I400" s="2">
        <v>0.25</v>
      </c>
      <c r="J400" s="2">
        <v>0.54166666666666663</v>
      </c>
      <c r="K400" t="s">
        <v>244</v>
      </c>
      <c r="L400" t="s">
        <v>245</v>
      </c>
      <c r="M400" s="1"/>
      <c r="O400" t="s">
        <v>21</v>
      </c>
      <c r="P400" s="1"/>
      <c r="Q400" s="1"/>
      <c r="S400" s="2">
        <f>CONSOLIDADO_2026[[#This Row],[Hora final]]-CONSOLIDADO_2026[[#This Row],[Hora inic]]</f>
        <v>0.29166666666666663</v>
      </c>
    </row>
    <row r="401" spans="1:19" x14ac:dyDescent="0.25">
      <c r="A401" t="s">
        <v>4111</v>
      </c>
      <c r="B401">
        <v>1037659560</v>
      </c>
      <c r="C401" t="s">
        <v>166</v>
      </c>
      <c r="D401" t="s">
        <v>41</v>
      </c>
      <c r="E401" t="s">
        <v>4011</v>
      </c>
      <c r="F401" t="s">
        <v>25</v>
      </c>
      <c r="G401" s="1">
        <v>46235</v>
      </c>
      <c r="H401" s="1">
        <v>46240</v>
      </c>
      <c r="I401" s="2">
        <v>0.25</v>
      </c>
      <c r="J401" s="2">
        <v>0.54166666666666663</v>
      </c>
      <c r="K401" t="s">
        <v>167</v>
      </c>
      <c r="L401" t="s">
        <v>168</v>
      </c>
      <c r="M401" s="1"/>
      <c r="O401" t="s">
        <v>21</v>
      </c>
      <c r="P401" s="1"/>
      <c r="Q401" s="1"/>
      <c r="S401" s="2">
        <f>CONSOLIDADO_2026[[#This Row],[Hora final]]-CONSOLIDADO_2026[[#This Row],[Hora inic]]</f>
        <v>0.29166666666666663</v>
      </c>
    </row>
    <row r="402" spans="1:19" x14ac:dyDescent="0.25">
      <c r="A402" t="s">
        <v>4111</v>
      </c>
      <c r="B402">
        <v>1143375080</v>
      </c>
      <c r="C402" t="s">
        <v>4025</v>
      </c>
      <c r="D402" t="s">
        <v>153</v>
      </c>
      <c r="E402" t="s">
        <v>4010</v>
      </c>
      <c r="F402" t="s">
        <v>4024</v>
      </c>
      <c r="G402" s="1">
        <v>46232</v>
      </c>
      <c r="H402" s="1">
        <v>46239</v>
      </c>
      <c r="I402" s="2"/>
      <c r="J402" s="2"/>
      <c r="L402" t="s">
        <v>4006</v>
      </c>
      <c r="M402" s="1"/>
      <c r="O402" t="s">
        <v>4007</v>
      </c>
      <c r="P402" s="1"/>
      <c r="Q402" s="1"/>
      <c r="S402" s="2">
        <f>CONSOLIDADO_2026[[#This Row],[Hora final]]-CONSOLIDADO_2026[[#This Row],[Hora inic]]</f>
        <v>0</v>
      </c>
    </row>
    <row r="403" spans="1:19" x14ac:dyDescent="0.25">
      <c r="A403" t="s">
        <v>4111</v>
      </c>
      <c r="B403">
        <v>1017264032</v>
      </c>
      <c r="C403" t="s">
        <v>105</v>
      </c>
      <c r="D403" t="s">
        <v>64</v>
      </c>
      <c r="E403" t="s">
        <v>4012</v>
      </c>
      <c r="F403" t="s">
        <v>25</v>
      </c>
      <c r="G403" s="1">
        <v>46229</v>
      </c>
      <c r="H403" s="1">
        <v>46258</v>
      </c>
      <c r="I403" s="2">
        <v>0.58333333333333337</v>
      </c>
      <c r="J403" s="2">
        <v>0.875</v>
      </c>
      <c r="K403" t="s">
        <v>106</v>
      </c>
      <c r="L403" t="s">
        <v>107</v>
      </c>
      <c r="M403" s="1"/>
      <c r="O403" t="s">
        <v>21</v>
      </c>
      <c r="P403" s="1"/>
      <c r="Q403" s="1"/>
      <c r="S403" s="2">
        <f>CONSOLIDADO_2026[[#This Row],[Hora final]]-CONSOLIDADO_2026[[#This Row],[Hora inic]]</f>
        <v>0.29166666666666663</v>
      </c>
    </row>
    <row r="404" spans="1:19" x14ac:dyDescent="0.25">
      <c r="A404" t="s">
        <v>4111</v>
      </c>
      <c r="B404">
        <v>1036132488</v>
      </c>
      <c r="C404" t="s">
        <v>141</v>
      </c>
      <c r="D404" t="s">
        <v>142</v>
      </c>
      <c r="E404" t="s">
        <v>4012</v>
      </c>
      <c r="F404" t="s">
        <v>25</v>
      </c>
      <c r="G404" s="1">
        <v>46227</v>
      </c>
      <c r="H404" s="1">
        <v>46246</v>
      </c>
      <c r="I404" s="2">
        <v>0.25</v>
      </c>
      <c r="J404" s="2">
        <v>0.58333333333333337</v>
      </c>
      <c r="K404" t="s">
        <v>147</v>
      </c>
      <c r="L404" t="s">
        <v>148</v>
      </c>
      <c r="M404" s="1"/>
      <c r="O404" t="s">
        <v>21</v>
      </c>
      <c r="P404" s="1"/>
      <c r="Q404" s="1"/>
      <c r="S404" s="2">
        <f>CONSOLIDADO_2026[[#This Row],[Hora final]]-CONSOLIDADO_2026[[#This Row],[Hora inic]]</f>
        <v>0.33333333333333337</v>
      </c>
    </row>
    <row r="405" spans="1:19" x14ac:dyDescent="0.25">
      <c r="A405" t="s">
        <v>4111</v>
      </c>
      <c r="B405">
        <v>1045718883</v>
      </c>
      <c r="C405" t="s">
        <v>47</v>
      </c>
      <c r="D405" t="s">
        <v>34</v>
      </c>
      <c r="E405" t="s">
        <v>4011</v>
      </c>
      <c r="F405" t="s">
        <v>25</v>
      </c>
      <c r="G405" s="1">
        <v>46224</v>
      </c>
      <c r="H405" s="1">
        <v>46239</v>
      </c>
      <c r="I405" s="2"/>
      <c r="J405" s="2"/>
      <c r="L405" t="s">
        <v>4006</v>
      </c>
      <c r="M405" s="1"/>
      <c r="O405" t="s">
        <v>4007</v>
      </c>
      <c r="P405" s="1"/>
      <c r="Q405" s="1"/>
      <c r="S405" s="2">
        <f>CONSOLIDADO_2026[[#This Row],[Hora final]]-CONSOLIDADO_2026[[#This Row],[Hora inic]]</f>
        <v>0</v>
      </c>
    </row>
    <row r="406" spans="1:19" x14ac:dyDescent="0.25">
      <c r="A406" t="s">
        <v>4111</v>
      </c>
      <c r="B406">
        <v>72011169</v>
      </c>
      <c r="C406" t="s">
        <v>175</v>
      </c>
      <c r="D406" t="s">
        <v>64</v>
      </c>
      <c r="E406" t="s">
        <v>4012</v>
      </c>
      <c r="F406" t="s">
        <v>25</v>
      </c>
      <c r="G406" s="1">
        <v>46225</v>
      </c>
      <c r="H406" s="1">
        <v>46239</v>
      </c>
      <c r="I406" s="2"/>
      <c r="J406" s="2"/>
      <c r="L406" t="s">
        <v>4006</v>
      </c>
      <c r="M406" s="1"/>
      <c r="O406" t="s">
        <v>4007</v>
      </c>
      <c r="P406" s="1"/>
      <c r="Q406" s="1"/>
      <c r="S406" s="2">
        <f>CONSOLIDADO_2026[[#This Row],[Hora final]]-CONSOLIDADO_2026[[#This Row],[Hora inic]]</f>
        <v>0</v>
      </c>
    </row>
    <row r="407" spans="1:19" x14ac:dyDescent="0.25">
      <c r="A407" t="s">
        <v>4111</v>
      </c>
      <c r="B407">
        <v>43558465</v>
      </c>
      <c r="C407" t="s">
        <v>103</v>
      </c>
      <c r="D407" t="s">
        <v>64</v>
      </c>
      <c r="E407" t="s">
        <v>4012</v>
      </c>
      <c r="F407" t="s">
        <v>25</v>
      </c>
      <c r="G407" s="1">
        <v>46226</v>
      </c>
      <c r="H407" s="1">
        <v>46246</v>
      </c>
      <c r="I407" s="2">
        <v>0.25</v>
      </c>
      <c r="J407" s="2">
        <v>0.58333333333333337</v>
      </c>
      <c r="K407" t="s">
        <v>198</v>
      </c>
      <c r="L407" t="s">
        <v>199</v>
      </c>
      <c r="M407" s="1"/>
      <c r="O407" t="s">
        <v>21</v>
      </c>
      <c r="P407" s="1"/>
      <c r="Q407" s="1"/>
      <c r="S407" s="2">
        <f>CONSOLIDADO_2026[[#This Row],[Hora final]]-CONSOLIDADO_2026[[#This Row],[Hora inic]]</f>
        <v>0.33333333333333337</v>
      </c>
    </row>
    <row r="408" spans="1:19" x14ac:dyDescent="0.25">
      <c r="A408" t="s">
        <v>4111</v>
      </c>
      <c r="B408">
        <v>1037631989</v>
      </c>
      <c r="C408" t="s">
        <v>40</v>
      </c>
      <c r="D408" t="s">
        <v>41</v>
      </c>
      <c r="E408" t="s">
        <v>4011</v>
      </c>
      <c r="F408" t="s">
        <v>25</v>
      </c>
      <c r="G408" s="1">
        <v>46226</v>
      </c>
      <c r="H408" s="1">
        <v>46255</v>
      </c>
      <c r="I408" s="2">
        <v>0.54166666666666663</v>
      </c>
      <c r="J408" s="2">
        <v>0.875</v>
      </c>
      <c r="K408" t="s">
        <v>35</v>
      </c>
      <c r="L408" t="s">
        <v>36</v>
      </c>
      <c r="M408" s="1"/>
      <c r="O408" t="s">
        <v>21</v>
      </c>
      <c r="P408" s="1"/>
      <c r="Q408" s="1"/>
      <c r="S408" s="2">
        <f>CONSOLIDADO_2026[[#This Row],[Hora final]]-CONSOLIDADO_2026[[#This Row],[Hora inic]]</f>
        <v>0.33333333333333337</v>
      </c>
    </row>
    <row r="409" spans="1:19" x14ac:dyDescent="0.25">
      <c r="A409" t="s">
        <v>4111</v>
      </c>
      <c r="B409">
        <v>1043006106</v>
      </c>
      <c r="C409" t="s">
        <v>159</v>
      </c>
      <c r="D409" t="s">
        <v>160</v>
      </c>
      <c r="E409" t="s">
        <v>4011</v>
      </c>
      <c r="F409" t="s">
        <v>25</v>
      </c>
      <c r="G409" s="1">
        <v>46219</v>
      </c>
      <c r="H409" s="1">
        <v>46248</v>
      </c>
      <c r="I409" s="2">
        <v>0.58333333333333337</v>
      </c>
      <c r="J409" s="2">
        <v>0.875</v>
      </c>
      <c r="K409" t="s">
        <v>154</v>
      </c>
      <c r="L409" t="s">
        <v>155</v>
      </c>
      <c r="M409" s="1"/>
      <c r="O409" t="s">
        <v>21</v>
      </c>
      <c r="P409" s="1"/>
      <c r="Q409" s="1"/>
      <c r="S409" s="2">
        <f>CONSOLIDADO_2026[[#This Row],[Hora final]]-CONSOLIDADO_2026[[#This Row],[Hora inic]]</f>
        <v>0.29166666666666663</v>
      </c>
    </row>
    <row r="410" spans="1:19" x14ac:dyDescent="0.25">
      <c r="A410" t="s">
        <v>4111</v>
      </c>
      <c r="B410">
        <v>1037638426</v>
      </c>
      <c r="C410" t="s">
        <v>72</v>
      </c>
      <c r="D410" t="s">
        <v>41</v>
      </c>
      <c r="E410" t="s">
        <v>4011</v>
      </c>
      <c r="F410" t="s">
        <v>30</v>
      </c>
      <c r="G410" s="1">
        <v>46230</v>
      </c>
      <c r="H410" s="1">
        <v>46262</v>
      </c>
      <c r="I410" s="2">
        <v>0.25</v>
      </c>
      <c r="J410" s="2">
        <v>0.54166666666666663</v>
      </c>
      <c r="K410" t="s">
        <v>191</v>
      </c>
      <c r="L410" t="s">
        <v>192</v>
      </c>
      <c r="M410" s="1"/>
      <c r="O410" t="s">
        <v>21</v>
      </c>
      <c r="P410" s="1"/>
      <c r="Q410" s="1"/>
      <c r="S410" s="2">
        <f>CONSOLIDADO_2026[[#This Row],[Hora final]]-CONSOLIDADO_2026[[#This Row],[Hora inic]]</f>
        <v>0.29166666666666663</v>
      </c>
    </row>
    <row r="411" spans="1:19" x14ac:dyDescent="0.25">
      <c r="A411" t="s">
        <v>4111</v>
      </c>
      <c r="B411">
        <v>1018466443</v>
      </c>
      <c r="C411" t="s">
        <v>4109</v>
      </c>
      <c r="D411" t="s">
        <v>410</v>
      </c>
      <c r="E411" t="s">
        <v>4005</v>
      </c>
      <c r="F411" t="s">
        <v>4091</v>
      </c>
      <c r="G411" s="1">
        <v>46239</v>
      </c>
      <c r="H411" s="1">
        <v>46244</v>
      </c>
      <c r="I411" s="2">
        <v>0.58333333333333337</v>
      </c>
      <c r="J411" s="2">
        <v>0.875</v>
      </c>
      <c r="K411" t="s">
        <v>144</v>
      </c>
      <c r="L411" t="s">
        <v>145</v>
      </c>
      <c r="M411" s="1"/>
      <c r="O411" t="s">
        <v>21</v>
      </c>
      <c r="P411" s="1"/>
      <c r="Q411" s="1"/>
      <c r="S411" s="2">
        <f>CONSOLIDADO_2026[[#This Row],[Hora final]]-CONSOLIDADO_2026[[#This Row],[Hora inic]]</f>
        <v>0.29166666666666663</v>
      </c>
    </row>
    <row r="412" spans="1:19" x14ac:dyDescent="0.25">
      <c r="A412" t="s">
        <v>4111</v>
      </c>
      <c r="B412">
        <v>1121506548</v>
      </c>
      <c r="C412" t="s">
        <v>50</v>
      </c>
      <c r="D412" t="s">
        <v>51</v>
      </c>
      <c r="E412" t="s">
        <v>4011</v>
      </c>
      <c r="F412" t="s">
        <v>16</v>
      </c>
      <c r="G412" s="1">
        <v>46217</v>
      </c>
      <c r="H412" s="1">
        <v>46342</v>
      </c>
      <c r="I412" s="2">
        <v>0.58333333333333337</v>
      </c>
      <c r="J412" s="2">
        <v>0.875</v>
      </c>
      <c r="K412" t="s">
        <v>240</v>
      </c>
      <c r="L412" t="s">
        <v>241</v>
      </c>
      <c r="M412" s="1"/>
      <c r="O412" t="s">
        <v>21</v>
      </c>
      <c r="P412" s="1"/>
      <c r="Q412" s="1"/>
      <c r="S412" s="2">
        <f>CONSOLIDADO_2026[[#This Row],[Hora final]]-CONSOLIDADO_2026[[#This Row],[Hora inic]]</f>
        <v>0.29166666666666663</v>
      </c>
    </row>
    <row r="413" spans="1:19" x14ac:dyDescent="0.25">
      <c r="A413" t="s">
        <v>4111</v>
      </c>
      <c r="B413">
        <v>1143460426</v>
      </c>
      <c r="C413" t="s">
        <v>4034</v>
      </c>
      <c r="D413" t="s">
        <v>160</v>
      </c>
      <c r="E413" t="s">
        <v>4011</v>
      </c>
      <c r="F413" t="s">
        <v>4015</v>
      </c>
      <c r="G413" s="1">
        <v>46195</v>
      </c>
      <c r="H413" s="1">
        <v>46198</v>
      </c>
      <c r="I413" s="2">
        <v>0.58333333333333337</v>
      </c>
      <c r="J413" s="2">
        <v>0.875</v>
      </c>
      <c r="K413" t="s">
        <v>225</v>
      </c>
      <c r="L413" t="s">
        <v>226</v>
      </c>
      <c r="M413" s="1"/>
      <c r="O413" t="s">
        <v>21</v>
      </c>
      <c r="P413" s="1"/>
      <c r="Q413" s="1"/>
      <c r="S413" s="2">
        <f>CONSOLIDADO_2026[[#This Row],[Hora final]]-CONSOLIDADO_2026[[#This Row],[Hora inic]]</f>
        <v>0.29166666666666663</v>
      </c>
    </row>
    <row r="414" spans="1:19" x14ac:dyDescent="0.25">
      <c r="A414" t="s">
        <v>4111</v>
      </c>
      <c r="B414">
        <v>1017267628</v>
      </c>
      <c r="C414" t="s">
        <v>3242</v>
      </c>
      <c r="D414" t="s">
        <v>326</v>
      </c>
      <c r="E414" t="s">
        <v>4005</v>
      </c>
      <c r="F414" t="s">
        <v>4037</v>
      </c>
      <c r="G414" s="1">
        <v>46237</v>
      </c>
      <c r="H414" s="1">
        <v>46243</v>
      </c>
      <c r="I414" s="2">
        <v>0.58333333333333337</v>
      </c>
      <c r="J414" s="2">
        <v>0.875</v>
      </c>
      <c r="K414" t="s">
        <v>203</v>
      </c>
      <c r="L414" t="s">
        <v>204</v>
      </c>
      <c r="M414" s="1"/>
      <c r="O414" t="s">
        <v>21</v>
      </c>
      <c r="P414" s="1"/>
      <c r="Q414" s="1"/>
      <c r="S414" s="2">
        <f>CONSOLIDADO_2026[[#This Row],[Hora final]]-CONSOLIDADO_2026[[#This Row],[Hora inic]]</f>
        <v>0.29166666666666663</v>
      </c>
    </row>
    <row r="415" spans="1:19" x14ac:dyDescent="0.25">
      <c r="A415" t="s">
        <v>4111</v>
      </c>
      <c r="B415">
        <v>1005569691</v>
      </c>
      <c r="C415" t="s">
        <v>3613</v>
      </c>
      <c r="D415" t="s">
        <v>326</v>
      </c>
      <c r="E415" t="s">
        <v>4005</v>
      </c>
      <c r="F415" t="s">
        <v>25</v>
      </c>
      <c r="G415" s="1">
        <v>46239</v>
      </c>
      <c r="H415" s="1">
        <v>46240</v>
      </c>
      <c r="I415" s="2">
        <v>0.58333333333333337</v>
      </c>
      <c r="J415" s="2">
        <v>0.875</v>
      </c>
      <c r="K415" t="s">
        <v>237</v>
      </c>
      <c r="L415" t="s">
        <v>238</v>
      </c>
      <c r="M415" s="1"/>
      <c r="O415" t="s">
        <v>21</v>
      </c>
      <c r="P415" s="1"/>
      <c r="Q415" s="1"/>
      <c r="S415" s="2">
        <f>CONSOLIDADO_2026[[#This Row],[Hora final]]-CONSOLIDADO_2026[[#This Row],[Hora inic]]</f>
        <v>0.29166666666666663</v>
      </c>
    </row>
    <row r="416" spans="1:19" x14ac:dyDescent="0.25">
      <c r="A416" t="s">
        <v>4111</v>
      </c>
      <c r="B416">
        <v>1000099010</v>
      </c>
      <c r="C416" t="s">
        <v>579</v>
      </c>
      <c r="D416" t="s">
        <v>128</v>
      </c>
      <c r="E416" t="s">
        <v>4005</v>
      </c>
      <c r="F416" t="s">
        <v>25</v>
      </c>
      <c r="G416" s="1">
        <v>46237</v>
      </c>
      <c r="H416" s="1">
        <v>46239</v>
      </c>
      <c r="I416" s="2"/>
      <c r="J416" s="2"/>
      <c r="L416" t="s">
        <v>4006</v>
      </c>
      <c r="M416" s="1"/>
      <c r="O416" t="s">
        <v>4007</v>
      </c>
      <c r="P416" s="1"/>
      <c r="Q416" s="1"/>
      <c r="S416" s="2">
        <f>CONSOLIDADO_2026[[#This Row],[Hora final]]-CONSOLIDADO_2026[[#This Row],[Hora inic]]</f>
        <v>0</v>
      </c>
    </row>
    <row r="417" spans="1:19" x14ac:dyDescent="0.25">
      <c r="A417" t="s">
        <v>4111</v>
      </c>
      <c r="B417">
        <v>1098777544</v>
      </c>
      <c r="C417" t="s">
        <v>81</v>
      </c>
      <c r="D417" t="s">
        <v>82</v>
      </c>
      <c r="E417" t="s">
        <v>4005</v>
      </c>
      <c r="F417" t="s">
        <v>25</v>
      </c>
      <c r="G417" s="1">
        <v>46217</v>
      </c>
      <c r="H417" s="1">
        <v>46246</v>
      </c>
      <c r="I417" s="2">
        <v>0.54166666666666663</v>
      </c>
      <c r="J417" s="2">
        <v>0.875</v>
      </c>
      <c r="K417" t="s">
        <v>206</v>
      </c>
      <c r="L417" t="s">
        <v>207</v>
      </c>
      <c r="M417" s="1"/>
      <c r="O417" t="s">
        <v>21</v>
      </c>
      <c r="P417" s="1"/>
      <c r="Q417" s="1"/>
      <c r="S417" s="2">
        <f>CONSOLIDADO_2026[[#This Row],[Hora final]]-CONSOLIDADO_2026[[#This Row],[Hora inic]]</f>
        <v>0.33333333333333337</v>
      </c>
    </row>
    <row r="418" spans="1:19" x14ac:dyDescent="0.25">
      <c r="A418" t="s">
        <v>4111</v>
      </c>
      <c r="B418">
        <v>1037669752</v>
      </c>
      <c r="C418" t="s">
        <v>3550</v>
      </c>
      <c r="D418" t="s">
        <v>132</v>
      </c>
      <c r="E418" t="s">
        <v>4010</v>
      </c>
      <c r="F418" t="s">
        <v>30</v>
      </c>
      <c r="G418" s="1">
        <v>46239</v>
      </c>
      <c r="H418" s="1">
        <v>46239</v>
      </c>
      <c r="I418" s="2"/>
      <c r="J418" s="2"/>
      <c r="L418" t="s">
        <v>4006</v>
      </c>
      <c r="M418" s="1"/>
      <c r="O418" t="s">
        <v>4007</v>
      </c>
      <c r="P418" s="1"/>
      <c r="Q418" s="1"/>
      <c r="S418" s="2">
        <f>CONSOLIDADO_2026[[#This Row],[Hora final]]-CONSOLIDADO_2026[[#This Row],[Hora inic]]</f>
        <v>0</v>
      </c>
    </row>
    <row r="419" spans="1:19" x14ac:dyDescent="0.25">
      <c r="A419" t="s">
        <v>4111</v>
      </c>
      <c r="B419">
        <v>1037634709</v>
      </c>
      <c r="C419" t="s">
        <v>4009</v>
      </c>
      <c r="D419" t="s">
        <v>420</v>
      </c>
      <c r="E419" t="s">
        <v>4010</v>
      </c>
      <c r="F419" t="s">
        <v>4015</v>
      </c>
      <c r="G419" s="1">
        <v>46238</v>
      </c>
      <c r="H419" s="1">
        <v>46240</v>
      </c>
      <c r="I419" s="2">
        <v>0.54166666666666663</v>
      </c>
      <c r="J419" s="2">
        <v>0.875</v>
      </c>
      <c r="K419" t="s">
        <v>73</v>
      </c>
      <c r="L419" t="s">
        <v>74</v>
      </c>
      <c r="M419" s="1"/>
      <c r="O419" t="s">
        <v>21</v>
      </c>
      <c r="P419" s="1"/>
      <c r="Q419" s="1"/>
      <c r="S419" s="2">
        <f>CONSOLIDADO_2026[[#This Row],[Hora final]]-CONSOLIDADO_2026[[#This Row],[Hora inic]]</f>
        <v>0.33333333333333337</v>
      </c>
    </row>
    <row r="420" spans="1:19" x14ac:dyDescent="0.25">
      <c r="A420" t="s">
        <v>4111</v>
      </c>
      <c r="B420">
        <v>1001851670</v>
      </c>
      <c r="C420" t="s">
        <v>14</v>
      </c>
      <c r="D420" t="s">
        <v>15</v>
      </c>
      <c r="E420" t="s">
        <v>4012</v>
      </c>
      <c r="F420" t="s">
        <v>16</v>
      </c>
      <c r="G420" s="1">
        <v>46237</v>
      </c>
      <c r="H420" s="1">
        <v>46366</v>
      </c>
      <c r="I420" s="2">
        <v>0.54166666666666663</v>
      </c>
      <c r="J420" s="2">
        <v>0.875</v>
      </c>
      <c r="K420" t="s">
        <v>219</v>
      </c>
      <c r="L420" t="s">
        <v>220</v>
      </c>
      <c r="M420" s="1"/>
      <c r="O420" t="s">
        <v>21</v>
      </c>
      <c r="P420" s="1"/>
      <c r="Q420" s="1"/>
      <c r="S420" s="2">
        <f>CONSOLIDADO_2026[[#This Row],[Hora final]]-CONSOLIDADO_2026[[#This Row],[Hora inic]]</f>
        <v>0.33333333333333337</v>
      </c>
    </row>
    <row r="421" spans="1:19" x14ac:dyDescent="0.25">
      <c r="A421" t="s">
        <v>4111</v>
      </c>
      <c r="B421">
        <v>1000083810</v>
      </c>
      <c r="C421" t="s">
        <v>1123</v>
      </c>
      <c r="D421" t="s">
        <v>142</v>
      </c>
      <c r="E421" t="s">
        <v>4012</v>
      </c>
      <c r="F421" t="s">
        <v>25</v>
      </c>
      <c r="G421" s="1">
        <v>46237</v>
      </c>
      <c r="H421" s="1">
        <v>46239</v>
      </c>
      <c r="I421" s="2"/>
      <c r="J421" s="2"/>
      <c r="L421" t="s">
        <v>4006</v>
      </c>
      <c r="M421" s="1"/>
      <c r="O421" t="s">
        <v>4007</v>
      </c>
      <c r="P421" s="1"/>
      <c r="Q421" s="1"/>
      <c r="S421" s="2">
        <f>CONSOLIDADO_2026[[#This Row],[Hora final]]-CONSOLIDADO_2026[[#This Row],[Hora inic]]</f>
        <v>0</v>
      </c>
    </row>
    <row r="422" spans="1:19" x14ac:dyDescent="0.25">
      <c r="A422" t="s">
        <v>4111</v>
      </c>
      <c r="B422">
        <v>1124076705</v>
      </c>
      <c r="C422" t="s">
        <v>730</v>
      </c>
      <c r="D422" t="s">
        <v>64</v>
      </c>
      <c r="E422" t="s">
        <v>4012</v>
      </c>
      <c r="F422" t="s">
        <v>25</v>
      </c>
      <c r="G422" s="1">
        <v>46237</v>
      </c>
      <c r="H422" s="1">
        <v>46239</v>
      </c>
      <c r="I422" s="2"/>
      <c r="J422" s="2"/>
      <c r="L422" t="s">
        <v>4006</v>
      </c>
      <c r="M422" s="1"/>
      <c r="O422" t="s">
        <v>4007</v>
      </c>
      <c r="P422" s="1"/>
      <c r="Q422" s="1"/>
      <c r="S422" s="2">
        <f>CONSOLIDADO_2026[[#This Row],[Hora final]]-CONSOLIDADO_2026[[#This Row],[Hora inic]]</f>
        <v>0</v>
      </c>
    </row>
    <row r="423" spans="1:19" x14ac:dyDescent="0.25">
      <c r="A423" t="s">
        <v>4111</v>
      </c>
      <c r="B423">
        <v>1143374438</v>
      </c>
      <c r="C423" t="s">
        <v>85</v>
      </c>
      <c r="D423" t="s">
        <v>41</v>
      </c>
      <c r="E423" t="s">
        <v>4011</v>
      </c>
      <c r="F423" t="s">
        <v>25</v>
      </c>
      <c r="G423" s="1">
        <v>46239</v>
      </c>
      <c r="H423" s="1">
        <v>46268</v>
      </c>
      <c r="I423" s="2">
        <v>0.58333333333333337</v>
      </c>
      <c r="J423" s="2">
        <v>0.875</v>
      </c>
      <c r="L423" t="s">
        <v>4022</v>
      </c>
      <c r="M423" s="1"/>
      <c r="O423" t="s">
        <v>4007</v>
      </c>
      <c r="P423" s="1"/>
      <c r="Q423" s="1"/>
      <c r="S423" s="2">
        <f>CONSOLIDADO_2026[[#This Row],[Hora final]]-CONSOLIDADO_2026[[#This Row],[Hora inic]]</f>
        <v>0.29166666666666663</v>
      </c>
    </row>
    <row r="424" spans="1:19" x14ac:dyDescent="0.25">
      <c r="A424" t="s">
        <v>4111</v>
      </c>
      <c r="B424" t="s">
        <v>185</v>
      </c>
      <c r="C424" t="s">
        <v>186</v>
      </c>
      <c r="D424" t="s">
        <v>4045</v>
      </c>
      <c r="E424" t="s">
        <v>4011</v>
      </c>
      <c r="F424" t="s">
        <v>4046</v>
      </c>
      <c r="G424" s="1">
        <v>46240</v>
      </c>
      <c r="H424" s="1">
        <v>46240</v>
      </c>
      <c r="I424" s="2">
        <v>0.25</v>
      </c>
      <c r="J424" s="2">
        <v>0.58333333333333337</v>
      </c>
      <c r="K424" t="s">
        <v>185</v>
      </c>
      <c r="L424" t="s">
        <v>186</v>
      </c>
      <c r="M424" s="1"/>
      <c r="O424" t="s">
        <v>4007</v>
      </c>
      <c r="P424" s="1"/>
      <c r="Q424" s="1"/>
      <c r="S424" s="2">
        <f>CONSOLIDADO_2026[[#This Row],[Hora final]]-CONSOLIDADO_2026[[#This Row],[Hora inic]]</f>
        <v>0.33333333333333337</v>
      </c>
    </row>
    <row r="425" spans="1:19" x14ac:dyDescent="0.25">
      <c r="A425" t="s">
        <v>4111</v>
      </c>
      <c r="B425">
        <v>1192923605</v>
      </c>
      <c r="C425" t="s">
        <v>315</v>
      </c>
      <c r="D425" t="s">
        <v>211</v>
      </c>
      <c r="E425" t="s">
        <v>4017</v>
      </c>
      <c r="F425" t="s">
        <v>25</v>
      </c>
      <c r="G425" s="1">
        <v>46239</v>
      </c>
      <c r="H425" s="1">
        <v>46240</v>
      </c>
      <c r="I425" s="2">
        <v>0.54166666666666663</v>
      </c>
      <c r="J425" s="2">
        <v>0.875</v>
      </c>
      <c r="K425" t="s">
        <v>212</v>
      </c>
      <c r="L425" t="s">
        <v>213</v>
      </c>
      <c r="M425" s="1"/>
      <c r="O425" t="s">
        <v>21</v>
      </c>
      <c r="P425" s="1"/>
      <c r="Q425" s="1"/>
      <c r="S425" s="2">
        <f>CONSOLIDADO_2026[[#This Row],[Hora final]]-CONSOLIDADO_2026[[#This Row],[Hora inic]]</f>
        <v>0.33333333333333337</v>
      </c>
    </row>
    <row r="426" spans="1:19" x14ac:dyDescent="0.25">
      <c r="A426" t="s">
        <v>4111</v>
      </c>
      <c r="B426">
        <v>1036670630</v>
      </c>
      <c r="C426" t="s">
        <v>1093</v>
      </c>
      <c r="D426" t="s">
        <v>15</v>
      </c>
      <c r="E426" t="s">
        <v>4012</v>
      </c>
      <c r="F426" t="s">
        <v>30</v>
      </c>
      <c r="G426" s="1">
        <v>46240</v>
      </c>
      <c r="H426" s="1">
        <v>46240</v>
      </c>
      <c r="I426" s="2">
        <v>0.54166666666666663</v>
      </c>
      <c r="J426" s="2">
        <v>0.875</v>
      </c>
      <c r="K426" t="s">
        <v>188</v>
      </c>
      <c r="L426" t="s">
        <v>189</v>
      </c>
      <c r="M426" s="1"/>
      <c r="O426" t="s">
        <v>21</v>
      </c>
      <c r="P426" s="1"/>
      <c r="Q426" s="1"/>
      <c r="S426" s="2">
        <f>CONSOLIDADO_2026[[#This Row],[Hora final]]-CONSOLIDADO_2026[[#This Row],[Hora inic]]</f>
        <v>0.33333333333333337</v>
      </c>
    </row>
    <row r="427" spans="1:19" x14ac:dyDescent="0.25">
      <c r="A427" t="s">
        <v>4111</v>
      </c>
      <c r="B427">
        <v>1001947708</v>
      </c>
      <c r="C427" t="s">
        <v>1386</v>
      </c>
      <c r="D427" t="s">
        <v>78</v>
      </c>
      <c r="E427" t="s">
        <v>4010</v>
      </c>
      <c r="F427" t="s">
        <v>4115</v>
      </c>
      <c r="G427" s="1">
        <v>46240</v>
      </c>
      <c r="H427" s="1">
        <v>46240</v>
      </c>
      <c r="I427" s="2">
        <v>0.375</v>
      </c>
      <c r="J427" s="2">
        <v>0.54166666666666663</v>
      </c>
      <c r="K427" t="s">
        <v>1318</v>
      </c>
      <c r="L427" t="s">
        <v>1319</v>
      </c>
      <c r="M427" s="1"/>
      <c r="O427" t="s">
        <v>4007</v>
      </c>
      <c r="P427" s="1"/>
      <c r="Q427" s="1"/>
      <c r="S427" s="2">
        <f>CONSOLIDADO_2026[[#This Row],[Hora final]]-CONSOLIDADO_2026[[#This Row],[Hora inic]]</f>
        <v>0.16666666666666663</v>
      </c>
    </row>
    <row r="428" spans="1:19" x14ac:dyDescent="0.25">
      <c r="A428" t="s">
        <v>4111</v>
      </c>
      <c r="B428">
        <v>1026156098</v>
      </c>
      <c r="C428" t="s">
        <v>3518</v>
      </c>
      <c r="D428" t="s">
        <v>34</v>
      </c>
      <c r="E428" t="s">
        <v>4011</v>
      </c>
      <c r="F428" t="s">
        <v>25</v>
      </c>
      <c r="G428" s="1">
        <v>46239</v>
      </c>
      <c r="H428" s="1">
        <v>46240</v>
      </c>
      <c r="I428" s="2">
        <v>0.25</v>
      </c>
      <c r="J428" s="2">
        <v>0.58333333333333337</v>
      </c>
      <c r="K428" t="s">
        <v>98</v>
      </c>
      <c r="L428" t="s">
        <v>99</v>
      </c>
      <c r="M428" s="1"/>
      <c r="O428" t="s">
        <v>21</v>
      </c>
      <c r="P428" s="1"/>
      <c r="Q428" s="1"/>
      <c r="S428" s="2">
        <f>CONSOLIDADO_2026[[#This Row],[Hora final]]-CONSOLIDADO_2026[[#This Row],[Hora inic]]</f>
        <v>0.33333333333333337</v>
      </c>
    </row>
    <row r="429" spans="1:19" x14ac:dyDescent="0.25">
      <c r="A429" t="s">
        <v>4111</v>
      </c>
      <c r="B429" t="s">
        <v>4116</v>
      </c>
      <c r="C429" t="s">
        <v>4105</v>
      </c>
      <c r="D429" t="s">
        <v>553</v>
      </c>
      <c r="E429" t="s">
        <v>4010</v>
      </c>
      <c r="F429" t="s">
        <v>4040</v>
      </c>
      <c r="G429" s="1">
        <v>46240</v>
      </c>
      <c r="H429" s="1"/>
      <c r="I429" s="2">
        <v>0.58333333333333337</v>
      </c>
      <c r="J429" s="2">
        <v>0.875</v>
      </c>
      <c r="L429" t="s">
        <v>4117</v>
      </c>
      <c r="M429" s="1"/>
      <c r="O429" t="s">
        <v>21</v>
      </c>
      <c r="P429" s="1"/>
      <c r="Q429" s="1"/>
      <c r="S429" s="2">
        <f>CONSOLIDADO_2026[[#This Row],[Hora final]]-CONSOLIDADO_2026[[#This Row],[Hora inic]]</f>
        <v>0.29166666666666663</v>
      </c>
    </row>
    <row r="430" spans="1:19" x14ac:dyDescent="0.25">
      <c r="A430" t="s">
        <v>4111</v>
      </c>
      <c r="B430">
        <v>1065850707</v>
      </c>
      <c r="C430" t="s">
        <v>2698</v>
      </c>
      <c r="D430" t="s">
        <v>121</v>
      </c>
      <c r="E430" t="s">
        <v>4010</v>
      </c>
      <c r="F430" t="s">
        <v>4040</v>
      </c>
      <c r="G430" s="1">
        <v>46239</v>
      </c>
      <c r="H430" s="1">
        <v>46240</v>
      </c>
      <c r="I430" s="2">
        <v>0.54166666666666663</v>
      </c>
      <c r="J430" s="2">
        <v>0.875</v>
      </c>
      <c r="L430" t="s">
        <v>4022</v>
      </c>
      <c r="M430" s="1"/>
      <c r="O430" t="s">
        <v>4007</v>
      </c>
      <c r="P430" s="1"/>
      <c r="Q430" s="1"/>
      <c r="S430" s="2">
        <f>CONSOLIDADO_2026[[#This Row],[Hora final]]-CONSOLIDADO_2026[[#This Row],[Hora inic]]</f>
        <v>0.33333333333333337</v>
      </c>
    </row>
    <row r="431" spans="1:19" x14ac:dyDescent="0.25">
      <c r="A431" t="s">
        <v>4111</v>
      </c>
      <c r="B431">
        <v>1128458157</v>
      </c>
      <c r="C431" t="s">
        <v>2739</v>
      </c>
      <c r="D431" t="s">
        <v>326</v>
      </c>
      <c r="E431" t="s">
        <v>4005</v>
      </c>
      <c r="F431" t="s">
        <v>25</v>
      </c>
      <c r="G431" s="1">
        <v>46239</v>
      </c>
      <c r="H431" s="1">
        <v>46240</v>
      </c>
      <c r="I431" s="2">
        <v>0.58333333333333337</v>
      </c>
      <c r="J431" s="2">
        <v>0.875</v>
      </c>
      <c r="L431" t="s">
        <v>261</v>
      </c>
      <c r="M431" s="1"/>
      <c r="O431" t="s">
        <v>4007</v>
      </c>
      <c r="P431" s="1"/>
      <c r="Q431" s="1"/>
      <c r="S431" s="2">
        <f>CONSOLIDADO_2026[[#This Row],[Hora final]]-CONSOLIDADO_2026[[#This Row],[Hora inic]]</f>
        <v>0.29166666666666663</v>
      </c>
    </row>
    <row r="432" spans="1:19" x14ac:dyDescent="0.25">
      <c r="A432" t="s">
        <v>4111</v>
      </c>
      <c r="B432">
        <v>1037630337</v>
      </c>
      <c r="C432" t="s">
        <v>1468</v>
      </c>
      <c r="D432" t="s">
        <v>15</v>
      </c>
      <c r="E432" t="s">
        <v>4012</v>
      </c>
      <c r="F432" t="s">
        <v>30</v>
      </c>
      <c r="G432" s="1">
        <v>46240</v>
      </c>
      <c r="H432" s="1">
        <v>46240</v>
      </c>
      <c r="I432" s="2">
        <v>0.25</v>
      </c>
      <c r="J432" s="2">
        <v>0.58333333333333337</v>
      </c>
      <c r="K432" t="s">
        <v>178</v>
      </c>
      <c r="L432" t="s">
        <v>179</v>
      </c>
      <c r="M432" s="1"/>
      <c r="O432" t="s">
        <v>21</v>
      </c>
      <c r="P432" s="1"/>
      <c r="Q432" s="1"/>
      <c r="S432" s="2">
        <f>CONSOLIDADO_2026[[#This Row],[Hora final]]-CONSOLIDADO_2026[[#This Row],[Hora inic]]</f>
        <v>0.33333333333333337</v>
      </c>
    </row>
    <row r="433" spans="1:19" x14ac:dyDescent="0.25">
      <c r="A433" t="s">
        <v>4111</v>
      </c>
      <c r="B433">
        <v>1067963513</v>
      </c>
      <c r="C433" t="s">
        <v>28</v>
      </c>
      <c r="D433" t="s">
        <v>29</v>
      </c>
      <c r="E433" t="s">
        <v>4005</v>
      </c>
      <c r="F433" t="s">
        <v>30</v>
      </c>
      <c r="G433" s="1">
        <v>46240</v>
      </c>
      <c r="H433" s="1">
        <v>46265</v>
      </c>
      <c r="I433" s="2">
        <v>0.25</v>
      </c>
      <c r="J433" s="2">
        <v>0.58333333333333337</v>
      </c>
      <c r="K433" t="s">
        <v>247</v>
      </c>
      <c r="L433" t="s">
        <v>248</v>
      </c>
      <c r="M433" s="1"/>
      <c r="O433" t="s">
        <v>21</v>
      </c>
      <c r="P433" s="1"/>
      <c r="Q433" s="1"/>
      <c r="S433" s="2">
        <f>CONSOLIDADO_2026[[#This Row],[Hora final]]-CONSOLIDADO_2026[[#This Row],[Hora inic]]</f>
        <v>0.33333333333333337</v>
      </c>
    </row>
    <row r="434" spans="1:19" x14ac:dyDescent="0.25">
      <c r="A434" t="s">
        <v>4111</v>
      </c>
      <c r="B434">
        <v>1045718883</v>
      </c>
      <c r="C434" t="s">
        <v>47</v>
      </c>
      <c r="D434" t="s">
        <v>34</v>
      </c>
      <c r="E434" t="s">
        <v>4011</v>
      </c>
      <c r="F434" t="s">
        <v>4040</v>
      </c>
      <c r="G434" s="1">
        <v>46239</v>
      </c>
      <c r="H434" s="1">
        <v>46249</v>
      </c>
      <c r="I434" s="2">
        <v>0.25</v>
      </c>
      <c r="J434" s="2">
        <v>0.54166666666666663</v>
      </c>
      <c r="L434" t="s">
        <v>4022</v>
      </c>
      <c r="M434" s="1"/>
      <c r="O434" t="s">
        <v>4007</v>
      </c>
      <c r="P434" s="1"/>
      <c r="Q434" s="1"/>
      <c r="S434" s="2">
        <f>CONSOLIDADO_2026[[#This Row],[Hora final]]-CONSOLIDADO_2026[[#This Row],[Hora inic]]</f>
        <v>0.29166666666666663</v>
      </c>
    </row>
    <row r="435" spans="1:19" x14ac:dyDescent="0.25">
      <c r="A435" t="s">
        <v>4111</v>
      </c>
      <c r="B435">
        <v>1010135017</v>
      </c>
      <c r="C435" t="s">
        <v>1245</v>
      </c>
      <c r="D435" t="s">
        <v>326</v>
      </c>
      <c r="E435" t="s">
        <v>4005</v>
      </c>
      <c r="F435" t="s">
        <v>4040</v>
      </c>
      <c r="G435" s="1">
        <v>46239</v>
      </c>
      <c r="H435" s="1"/>
      <c r="I435" s="2">
        <v>0.54166666666666663</v>
      </c>
      <c r="J435" s="2">
        <v>0.875</v>
      </c>
      <c r="L435" t="s">
        <v>4022</v>
      </c>
      <c r="M435" s="1"/>
      <c r="O435" t="s">
        <v>4007</v>
      </c>
      <c r="P435" s="1"/>
      <c r="Q435" s="1"/>
      <c r="S435" s="2">
        <f>CONSOLIDADO_2026[[#This Row],[Hora final]]-CONSOLIDADO_2026[[#This Row],[Hora inic]]</f>
        <v>0.33333333333333337</v>
      </c>
    </row>
    <row r="436" spans="1:19" x14ac:dyDescent="0.25">
      <c r="A436" t="s">
        <v>4111</v>
      </c>
      <c r="B436">
        <v>1072648283</v>
      </c>
      <c r="C436" t="s">
        <v>739</v>
      </c>
      <c r="D436" t="s">
        <v>211</v>
      </c>
      <c r="E436" t="s">
        <v>4017</v>
      </c>
      <c r="F436" t="s">
        <v>4040</v>
      </c>
      <c r="G436" s="1">
        <v>46240</v>
      </c>
      <c r="H436" s="1">
        <v>46240</v>
      </c>
      <c r="I436" s="2">
        <v>0.54166666666666663</v>
      </c>
      <c r="J436" s="2">
        <v>0.875</v>
      </c>
      <c r="L436" t="s">
        <v>4059</v>
      </c>
      <c r="M436" s="1"/>
      <c r="O436" t="s">
        <v>21</v>
      </c>
      <c r="P436" s="1"/>
      <c r="Q436" s="1"/>
      <c r="S436" s="2">
        <f>CONSOLIDADO_2026[[#This Row],[Hora final]]-CONSOLIDADO_2026[[#This Row],[Hora inic]]</f>
        <v>0.33333333333333337</v>
      </c>
    </row>
    <row r="437" spans="1:19" x14ac:dyDescent="0.25">
      <c r="A437" t="s">
        <v>4111</v>
      </c>
      <c r="B437">
        <v>1126251297</v>
      </c>
      <c r="C437" t="s">
        <v>231</v>
      </c>
      <c r="D437" t="s">
        <v>322</v>
      </c>
      <c r="E437" t="s">
        <v>4017</v>
      </c>
      <c r="F437" t="s">
        <v>4039</v>
      </c>
      <c r="G437" s="1">
        <v>46240</v>
      </c>
      <c r="H437" s="1">
        <v>46240</v>
      </c>
      <c r="I437" s="2">
        <v>0.58333333333333337</v>
      </c>
      <c r="J437" s="2">
        <v>0.875</v>
      </c>
      <c r="K437" t="s">
        <v>230</v>
      </c>
      <c r="L437" t="s">
        <v>231</v>
      </c>
      <c r="M437" s="1"/>
      <c r="O437" t="s">
        <v>4007</v>
      </c>
      <c r="P437" s="1"/>
      <c r="Q437" s="1"/>
      <c r="S437" s="2">
        <f>CONSOLIDADO_2026[[#This Row],[Hora final]]-CONSOLIDADO_2026[[#This Row],[Hora inic]]</f>
        <v>0.29166666666666663</v>
      </c>
    </row>
    <row r="438" spans="1:19" x14ac:dyDescent="0.25">
      <c r="A438" t="s">
        <v>4111</v>
      </c>
      <c r="B438">
        <v>1001853191</v>
      </c>
      <c r="C438" t="s">
        <v>3198</v>
      </c>
      <c r="D438" t="s">
        <v>34</v>
      </c>
      <c r="E438" t="s">
        <v>4011</v>
      </c>
      <c r="F438" t="s">
        <v>25</v>
      </c>
      <c r="G438" s="1">
        <v>46240</v>
      </c>
      <c r="H438" s="1">
        <v>46242</v>
      </c>
      <c r="I438" s="2">
        <v>0.25</v>
      </c>
      <c r="J438" s="2">
        <v>0.58333333333333337</v>
      </c>
      <c r="L438" t="s">
        <v>4022</v>
      </c>
      <c r="M438" s="1"/>
      <c r="O438" t="s">
        <v>4007</v>
      </c>
      <c r="P438" s="1"/>
      <c r="Q438" s="1"/>
      <c r="S438" s="2">
        <f>CONSOLIDADO_2026[[#This Row],[Hora final]]-CONSOLIDADO_2026[[#This Row],[Hora inic]]</f>
        <v>0.33333333333333337</v>
      </c>
    </row>
    <row r="439" spans="1:19" x14ac:dyDescent="0.25">
      <c r="A439" t="s">
        <v>4111</v>
      </c>
      <c r="B439">
        <v>1006490561</v>
      </c>
      <c r="C439" t="s">
        <v>4118</v>
      </c>
      <c r="D439" t="s">
        <v>410</v>
      </c>
      <c r="E439" t="s">
        <v>4005</v>
      </c>
      <c r="F439" t="s">
        <v>4040</v>
      </c>
      <c r="G439" s="1">
        <v>46240</v>
      </c>
      <c r="H439" s="1">
        <v>46242</v>
      </c>
      <c r="I439" s="2">
        <v>0.25</v>
      </c>
      <c r="J439" s="2">
        <v>0.58333333333333337</v>
      </c>
      <c r="L439" t="s">
        <v>4022</v>
      </c>
      <c r="M439" s="1"/>
      <c r="O439" t="s">
        <v>4007</v>
      </c>
      <c r="P439" s="1"/>
      <c r="Q439" s="1"/>
      <c r="S439" s="2">
        <f>CONSOLIDADO_2026[[#This Row],[Hora final]]-CONSOLIDADO_2026[[#This Row],[Hora inic]]</f>
        <v>0.33333333333333337</v>
      </c>
    </row>
    <row r="440" spans="1:19" x14ac:dyDescent="0.25">
      <c r="A440" t="s">
        <v>4111</v>
      </c>
      <c r="B440">
        <v>1193537336</v>
      </c>
      <c r="C440" t="s">
        <v>2087</v>
      </c>
      <c r="D440" t="s">
        <v>420</v>
      </c>
      <c r="E440" t="s">
        <v>4010</v>
      </c>
      <c r="F440" t="s">
        <v>4040</v>
      </c>
      <c r="G440" s="1">
        <v>46240</v>
      </c>
      <c r="H440" s="1">
        <v>46240</v>
      </c>
      <c r="I440" s="2"/>
      <c r="J440" s="2"/>
      <c r="L440" t="s">
        <v>4050</v>
      </c>
      <c r="M440" s="1"/>
      <c r="O440" t="s">
        <v>4007</v>
      </c>
      <c r="P440" s="1"/>
      <c r="Q440" s="1"/>
      <c r="S440" s="2">
        <f>CONSOLIDADO_2026[[#This Row],[Hora final]]-CONSOLIDADO_2026[[#This Row],[Hora inic]]</f>
        <v>0</v>
      </c>
    </row>
    <row r="441" spans="1:19" x14ac:dyDescent="0.25">
      <c r="A441" t="s">
        <v>4111</v>
      </c>
      <c r="B441">
        <v>1083048455</v>
      </c>
      <c r="C441" t="s">
        <v>2742</v>
      </c>
      <c r="D441" t="s">
        <v>326</v>
      </c>
      <c r="E441" t="s">
        <v>4005</v>
      </c>
      <c r="F441" t="s">
        <v>4040</v>
      </c>
      <c r="G441" s="1">
        <v>46240</v>
      </c>
      <c r="H441" s="1">
        <v>46240</v>
      </c>
      <c r="I441" s="2">
        <v>0.25</v>
      </c>
      <c r="J441" s="2">
        <v>0.54166666666666663</v>
      </c>
      <c r="L441" t="s">
        <v>4022</v>
      </c>
      <c r="M441" s="1"/>
      <c r="O441" t="s">
        <v>4007</v>
      </c>
      <c r="P441" s="1"/>
      <c r="Q441" s="1"/>
      <c r="S441" s="2">
        <f>CONSOLIDADO_2026[[#This Row],[Hora final]]-CONSOLIDADO_2026[[#This Row],[Hora inic]]</f>
        <v>0.29166666666666663</v>
      </c>
    </row>
    <row r="442" spans="1:19" x14ac:dyDescent="0.25">
      <c r="A442" t="s">
        <v>4111</v>
      </c>
      <c r="B442">
        <v>1042422897</v>
      </c>
      <c r="C442" t="s">
        <v>4069</v>
      </c>
      <c r="D442" t="s">
        <v>326</v>
      </c>
      <c r="E442" t="s">
        <v>4005</v>
      </c>
      <c r="F442" t="s">
        <v>4040</v>
      </c>
      <c r="G442" s="1">
        <v>46240</v>
      </c>
      <c r="H442" s="1"/>
      <c r="I442" s="2">
        <v>0.58333333333333337</v>
      </c>
      <c r="J442" s="2">
        <v>0.875</v>
      </c>
      <c r="L442" t="s">
        <v>4022</v>
      </c>
      <c r="M442" s="1"/>
      <c r="O442" t="s">
        <v>4007</v>
      </c>
      <c r="P442" s="1"/>
      <c r="Q442" s="1"/>
      <c r="S442" s="2">
        <f>CONSOLIDADO_2026[[#This Row],[Hora final]]-CONSOLIDADO_2026[[#This Row],[Hora inic]]</f>
        <v>0.29166666666666663</v>
      </c>
    </row>
    <row r="443" spans="1:19" x14ac:dyDescent="0.25">
      <c r="A443" t="s">
        <v>4111</v>
      </c>
      <c r="B443">
        <v>1007959114</v>
      </c>
      <c r="C443" t="s">
        <v>4119</v>
      </c>
      <c r="D443" t="s">
        <v>51</v>
      </c>
      <c r="E443" t="s">
        <v>4011</v>
      </c>
      <c r="F443" t="s">
        <v>4040</v>
      </c>
      <c r="G443" s="1">
        <v>46240</v>
      </c>
      <c r="H443" s="1">
        <v>46240</v>
      </c>
      <c r="I443" s="2">
        <v>0.25</v>
      </c>
      <c r="J443" s="2">
        <v>0.54166666666666663</v>
      </c>
      <c r="L443" t="s">
        <v>4022</v>
      </c>
      <c r="M443" s="1"/>
      <c r="O443" t="s">
        <v>4007</v>
      </c>
      <c r="P443" s="1"/>
      <c r="Q443" s="1"/>
      <c r="S443" s="2">
        <f>CONSOLIDADO_2026[[#This Row],[Hora final]]-CONSOLIDADO_2026[[#This Row],[Hora inic]]</f>
        <v>0.29166666666666663</v>
      </c>
    </row>
    <row r="444" spans="1:19" x14ac:dyDescent="0.25">
      <c r="A444" t="s">
        <v>4111</v>
      </c>
      <c r="B444">
        <v>1084253148</v>
      </c>
      <c r="C444" t="s">
        <v>1049</v>
      </c>
      <c r="D444" t="s">
        <v>211</v>
      </c>
      <c r="E444" t="s">
        <v>4017</v>
      </c>
      <c r="F444" t="s">
        <v>4040</v>
      </c>
      <c r="G444" s="1">
        <v>46240</v>
      </c>
      <c r="H444" s="1">
        <v>46240</v>
      </c>
      <c r="I444" s="2">
        <v>0.25</v>
      </c>
      <c r="J444" s="2">
        <v>0.54166666666666663</v>
      </c>
      <c r="L444" t="s">
        <v>4022</v>
      </c>
      <c r="M444" s="1"/>
      <c r="O444" t="s">
        <v>4007</v>
      </c>
      <c r="P444" s="1"/>
      <c r="Q444" s="1"/>
      <c r="S444" s="2">
        <f>CONSOLIDADO_2026[[#This Row],[Hora final]]-CONSOLIDADO_2026[[#This Row],[Hora inic]]</f>
        <v>0.29166666666666663</v>
      </c>
    </row>
    <row r="445" spans="1:19" x14ac:dyDescent="0.25">
      <c r="A445" t="s">
        <v>4111</v>
      </c>
      <c r="B445">
        <v>45529043</v>
      </c>
      <c r="C445" t="s">
        <v>712</v>
      </c>
      <c r="D445" t="s">
        <v>322</v>
      </c>
      <c r="E445" t="s">
        <v>4017</v>
      </c>
      <c r="F445" t="s">
        <v>25</v>
      </c>
      <c r="G445" s="1">
        <v>46240</v>
      </c>
      <c r="H445" s="1">
        <v>46240</v>
      </c>
      <c r="I445" s="2">
        <v>0.25</v>
      </c>
      <c r="J445" s="2">
        <v>0.58333333333333337</v>
      </c>
      <c r="L445" t="s">
        <v>4120</v>
      </c>
      <c r="M445" s="1"/>
      <c r="O445" t="s">
        <v>21</v>
      </c>
      <c r="P445" s="1"/>
      <c r="Q445" s="1"/>
      <c r="S445" s="2">
        <f>CONSOLIDADO_2026[[#This Row],[Hora final]]-CONSOLIDADO_2026[[#This Row],[Hora inic]]</f>
        <v>0.33333333333333337</v>
      </c>
    </row>
    <row r="446" spans="1:19" x14ac:dyDescent="0.25">
      <c r="A446" t="s">
        <v>4111</v>
      </c>
      <c r="B446">
        <v>1214717629</v>
      </c>
      <c r="C446" t="s">
        <v>3038</v>
      </c>
      <c r="D446" t="s">
        <v>410</v>
      </c>
      <c r="E446" t="s">
        <v>4005</v>
      </c>
      <c r="F446" t="s">
        <v>4040</v>
      </c>
      <c r="G446" s="1">
        <v>46240</v>
      </c>
      <c r="H446" s="1">
        <v>46240</v>
      </c>
      <c r="I446" s="2">
        <v>0.54166666666666663</v>
      </c>
      <c r="J446" s="2">
        <v>0.875</v>
      </c>
      <c r="L446" t="s">
        <v>4022</v>
      </c>
      <c r="M446" s="1"/>
      <c r="O446" t="s">
        <v>4007</v>
      </c>
      <c r="P446" s="1"/>
      <c r="Q446" s="1"/>
      <c r="S446" s="2">
        <f>CONSOLIDADO_2026[[#This Row],[Hora final]]-CONSOLIDADO_2026[[#This Row],[Hora inic]]</f>
        <v>0.33333333333333337</v>
      </c>
    </row>
    <row r="447" spans="1:19" x14ac:dyDescent="0.25">
      <c r="A447" t="s">
        <v>4111</v>
      </c>
      <c r="B447">
        <v>1010039979</v>
      </c>
      <c r="C447" t="s">
        <v>3873</v>
      </c>
      <c r="D447" t="s">
        <v>78</v>
      </c>
      <c r="E447" t="s">
        <v>4010</v>
      </c>
      <c r="F447" t="s">
        <v>25</v>
      </c>
      <c r="G447" s="1">
        <v>46240</v>
      </c>
      <c r="H447" s="1">
        <v>46240</v>
      </c>
      <c r="I447" s="2">
        <v>0.58333333333333337</v>
      </c>
      <c r="J447" s="2">
        <v>0.875</v>
      </c>
      <c r="L447" t="s">
        <v>4022</v>
      </c>
      <c r="M447" s="1"/>
      <c r="O447" t="s">
        <v>4007</v>
      </c>
      <c r="P447" s="1"/>
      <c r="Q447" s="1"/>
      <c r="S447" s="2">
        <f>CONSOLIDADO_2026[[#This Row],[Hora final]]-CONSOLIDADO_2026[[#This Row],[Hora inic]]</f>
        <v>0.29166666666666663</v>
      </c>
    </row>
    <row r="448" spans="1:19" x14ac:dyDescent="0.25">
      <c r="A448" t="s">
        <v>4111</v>
      </c>
      <c r="B448">
        <v>1214743963</v>
      </c>
      <c r="C448" t="s">
        <v>1511</v>
      </c>
      <c r="D448" t="s">
        <v>326</v>
      </c>
      <c r="E448" t="s">
        <v>4005</v>
      </c>
      <c r="F448" t="s">
        <v>25</v>
      </c>
      <c r="G448" s="1">
        <v>46240</v>
      </c>
      <c r="H448" s="1">
        <v>46240</v>
      </c>
      <c r="I448" s="2">
        <v>0.58333333333333337</v>
      </c>
      <c r="J448" s="2">
        <v>0.875</v>
      </c>
      <c r="L448" t="s">
        <v>4022</v>
      </c>
      <c r="M448" s="1"/>
      <c r="O448" t="s">
        <v>4007</v>
      </c>
      <c r="P448" s="1"/>
      <c r="Q448" s="1"/>
      <c r="S448" s="2">
        <f>CONSOLIDADO_2026[[#This Row],[Hora final]]-CONSOLIDADO_2026[[#This Row],[Hora inic]]</f>
        <v>0.29166666666666663</v>
      </c>
    </row>
    <row r="449" spans="1:19" x14ac:dyDescent="0.25">
      <c r="A449" t="s">
        <v>4111</v>
      </c>
      <c r="B449">
        <v>1039462842</v>
      </c>
      <c r="C449" t="s">
        <v>431</v>
      </c>
      <c r="D449" t="s">
        <v>78</v>
      </c>
      <c r="E449" t="s">
        <v>4010</v>
      </c>
      <c r="F449" t="s">
        <v>25</v>
      </c>
      <c r="G449" s="1">
        <v>46240</v>
      </c>
      <c r="H449" s="1">
        <v>46240</v>
      </c>
      <c r="I449" s="2">
        <v>0.54166666666666663</v>
      </c>
      <c r="J449" s="2">
        <v>0.875</v>
      </c>
      <c r="L449" t="s">
        <v>4022</v>
      </c>
      <c r="M449" s="1"/>
      <c r="O449" t="s">
        <v>4007</v>
      </c>
      <c r="P449" s="1"/>
      <c r="Q449" s="1"/>
      <c r="S449" s="2">
        <f>CONSOLIDADO_2026[[#This Row],[Hora final]]-CONSOLIDADO_2026[[#This Row],[Hora inic]]</f>
        <v>0.33333333333333337</v>
      </c>
    </row>
    <row r="450" spans="1:19" x14ac:dyDescent="0.25">
      <c r="A450" t="s">
        <v>4121</v>
      </c>
      <c r="B450">
        <v>1007959114</v>
      </c>
      <c r="C450" t="s">
        <v>4122</v>
      </c>
      <c r="D450" t="s">
        <v>51</v>
      </c>
      <c r="E450" t="s">
        <v>4011</v>
      </c>
      <c r="F450" t="s">
        <v>25</v>
      </c>
      <c r="G450" s="1">
        <v>46240</v>
      </c>
      <c r="H450" s="1">
        <v>46240</v>
      </c>
      <c r="I450" s="2"/>
      <c r="J450" s="2"/>
      <c r="L450" t="s">
        <v>4006</v>
      </c>
      <c r="M450" s="1"/>
      <c r="N450" t="s">
        <v>4007</v>
      </c>
      <c r="O450" t="s">
        <v>4007</v>
      </c>
      <c r="P450" s="1"/>
      <c r="Q450" s="1"/>
      <c r="S450" s="2">
        <f>CONSOLIDADO_2026[[#This Row],[Hora final]]-CONSOLIDADO_2026[[#This Row],[Hora inic]]</f>
        <v>0</v>
      </c>
    </row>
    <row r="451" spans="1:19" x14ac:dyDescent="0.25">
      <c r="A451" t="s">
        <v>4121</v>
      </c>
      <c r="B451">
        <v>1083048455</v>
      </c>
      <c r="C451" t="s">
        <v>4123</v>
      </c>
      <c r="D451" t="s">
        <v>326</v>
      </c>
      <c r="E451" t="s">
        <v>4005</v>
      </c>
      <c r="F451" t="s">
        <v>25</v>
      </c>
      <c r="G451" s="1">
        <v>46240</v>
      </c>
      <c r="H451" s="1">
        <v>46240</v>
      </c>
      <c r="I451" s="2"/>
      <c r="J451" s="2"/>
      <c r="L451" t="s">
        <v>4006</v>
      </c>
      <c r="M451" s="1"/>
      <c r="N451" t="s">
        <v>4007</v>
      </c>
      <c r="O451" t="s">
        <v>4007</v>
      </c>
      <c r="P451" s="1"/>
      <c r="Q451" s="1"/>
      <c r="S451" s="2">
        <f>CONSOLIDADO_2026[[#This Row],[Hora final]]-CONSOLIDADO_2026[[#This Row],[Hora inic]]</f>
        <v>0</v>
      </c>
    </row>
    <row r="452" spans="1:19" x14ac:dyDescent="0.25">
      <c r="A452" t="s">
        <v>4121</v>
      </c>
      <c r="B452">
        <v>1193537336</v>
      </c>
      <c r="C452" t="s">
        <v>2087</v>
      </c>
      <c r="D452" t="s">
        <v>420</v>
      </c>
      <c r="E452" t="s">
        <v>4010</v>
      </c>
      <c r="F452" t="s">
        <v>25</v>
      </c>
      <c r="G452" s="1">
        <v>46240</v>
      </c>
      <c r="H452" s="1">
        <v>46240</v>
      </c>
      <c r="I452" s="2"/>
      <c r="J452" s="2"/>
      <c r="L452" t="s">
        <v>4006</v>
      </c>
      <c r="M452" s="1"/>
      <c r="N452" t="s">
        <v>4007</v>
      </c>
      <c r="O452" t="s">
        <v>4007</v>
      </c>
      <c r="P452" s="1"/>
      <c r="Q452" s="1"/>
      <c r="S452" s="2">
        <f>CONSOLIDADO_2026[[#This Row],[Hora final]]-CONSOLIDADO_2026[[#This Row],[Hora inic]]</f>
        <v>0</v>
      </c>
    </row>
    <row r="453" spans="1:19" x14ac:dyDescent="0.25">
      <c r="A453" t="s">
        <v>4121</v>
      </c>
      <c r="B453">
        <v>1006490561</v>
      </c>
      <c r="C453" t="s">
        <v>4118</v>
      </c>
      <c r="D453" t="s">
        <v>410</v>
      </c>
      <c r="E453" t="s">
        <v>4005</v>
      </c>
      <c r="F453" t="s">
        <v>25</v>
      </c>
      <c r="G453" s="1">
        <v>46240</v>
      </c>
      <c r="H453" s="1">
        <v>46242</v>
      </c>
      <c r="I453" s="2">
        <v>0.25</v>
      </c>
      <c r="J453" s="2">
        <v>0.66666666666666663</v>
      </c>
      <c r="K453" t="s">
        <v>247</v>
      </c>
      <c r="L453" t="s">
        <v>248</v>
      </c>
      <c r="M453" s="1"/>
      <c r="N453" t="s">
        <v>4007</v>
      </c>
      <c r="O453" t="s">
        <v>4007</v>
      </c>
      <c r="P453" s="1"/>
      <c r="Q453" s="1"/>
      <c r="S453" s="2">
        <f>CONSOLIDADO_2026[[#This Row],[Hora final]]-CONSOLIDADO_2026[[#This Row],[Hora inic]]</f>
        <v>0.41666666666666663</v>
      </c>
    </row>
    <row r="454" spans="1:19" x14ac:dyDescent="0.25">
      <c r="A454" t="s">
        <v>4121</v>
      </c>
      <c r="B454">
        <v>1001853191</v>
      </c>
      <c r="C454" t="s">
        <v>3198</v>
      </c>
      <c r="D454" t="s">
        <v>34</v>
      </c>
      <c r="E454" t="s">
        <v>4011</v>
      </c>
      <c r="F454" t="s">
        <v>25</v>
      </c>
      <c r="G454" s="1">
        <v>46240</v>
      </c>
      <c r="H454" s="1">
        <v>46242</v>
      </c>
      <c r="I454" s="2">
        <v>0.45833333333333331</v>
      </c>
      <c r="J454" s="2">
        <v>0.875</v>
      </c>
      <c r="K454" t="s">
        <v>17</v>
      </c>
      <c r="L454" t="s">
        <v>18</v>
      </c>
      <c r="M454" s="1"/>
      <c r="N454" t="s">
        <v>4007</v>
      </c>
      <c r="O454" t="s">
        <v>4007</v>
      </c>
      <c r="P454" s="1"/>
      <c r="Q454" s="1"/>
      <c r="S454" s="2">
        <f>CONSOLIDADO_2026[[#This Row],[Hora final]]-CONSOLIDADO_2026[[#This Row],[Hora inic]]</f>
        <v>0.41666666666666669</v>
      </c>
    </row>
    <row r="455" spans="1:19" x14ac:dyDescent="0.25">
      <c r="A455" t="s">
        <v>4121</v>
      </c>
      <c r="B455">
        <v>1127074377</v>
      </c>
      <c r="C455" t="s">
        <v>344</v>
      </c>
      <c r="D455" t="s">
        <v>343</v>
      </c>
      <c r="E455" t="s">
        <v>4012</v>
      </c>
      <c r="F455" t="s">
        <v>4053</v>
      </c>
      <c r="G455" s="1">
        <v>46242</v>
      </c>
      <c r="H455" s="1">
        <v>46242</v>
      </c>
      <c r="I455" s="2">
        <v>0.25</v>
      </c>
      <c r="J455" s="2">
        <v>0.66666666666666663</v>
      </c>
      <c r="K455" t="s">
        <v>1318</v>
      </c>
      <c r="L455" t="s">
        <v>1319</v>
      </c>
      <c r="M455" s="1"/>
      <c r="N455" t="s">
        <v>4007</v>
      </c>
      <c r="O455" t="s">
        <v>4007</v>
      </c>
      <c r="P455" s="1"/>
      <c r="Q455" s="1"/>
      <c r="S455" s="2">
        <f>CONSOLIDADO_2026[[#This Row],[Hora final]]-CONSOLIDADO_2026[[#This Row],[Hora inic]]</f>
        <v>0.41666666666666663</v>
      </c>
    </row>
    <row r="456" spans="1:19" x14ac:dyDescent="0.25">
      <c r="A456" t="s">
        <v>4121</v>
      </c>
      <c r="B456">
        <v>1128458157</v>
      </c>
      <c r="C456" t="s">
        <v>2739</v>
      </c>
      <c r="D456" t="s">
        <v>326</v>
      </c>
      <c r="E456" t="s">
        <v>4005</v>
      </c>
      <c r="F456" t="s">
        <v>25</v>
      </c>
      <c r="G456" s="1">
        <v>46239</v>
      </c>
      <c r="H456" s="1">
        <v>46240</v>
      </c>
      <c r="I456" s="2"/>
      <c r="J456" s="2"/>
      <c r="L456" t="s">
        <v>4006</v>
      </c>
      <c r="M456" s="1"/>
      <c r="N456" t="s">
        <v>4007</v>
      </c>
      <c r="O456" t="s">
        <v>4007</v>
      </c>
      <c r="P456" s="1"/>
      <c r="Q456" s="1"/>
      <c r="S456" s="2">
        <f>CONSOLIDADO_2026[[#This Row],[Hora final]]-CONSOLIDADO_2026[[#This Row],[Hora inic]]</f>
        <v>0</v>
      </c>
    </row>
    <row r="457" spans="1:19" x14ac:dyDescent="0.25">
      <c r="A457" t="s">
        <v>4121</v>
      </c>
      <c r="B457">
        <v>1067963513</v>
      </c>
      <c r="C457" t="s">
        <v>28</v>
      </c>
      <c r="D457" t="s">
        <v>29</v>
      </c>
      <c r="E457" t="s">
        <v>4005</v>
      </c>
      <c r="F457" t="s">
        <v>30</v>
      </c>
      <c r="G457" s="1">
        <v>46240</v>
      </c>
      <c r="H457" s="1">
        <v>46265</v>
      </c>
      <c r="I457" s="2"/>
      <c r="J457" s="2"/>
      <c r="L457" t="s">
        <v>269</v>
      </c>
      <c r="M457" s="1"/>
      <c r="N457" t="s">
        <v>21</v>
      </c>
      <c r="O457" t="s">
        <v>21</v>
      </c>
      <c r="P457" s="1"/>
      <c r="Q457" s="1"/>
      <c r="S457" s="2">
        <f>CONSOLIDADO_2026[[#This Row],[Hora final]]-CONSOLIDADO_2026[[#This Row],[Hora inic]]</f>
        <v>0</v>
      </c>
    </row>
    <row r="458" spans="1:19" x14ac:dyDescent="0.25">
      <c r="A458" t="s">
        <v>4121</v>
      </c>
      <c r="B458">
        <v>1041901478</v>
      </c>
      <c r="C458" t="s">
        <v>327</v>
      </c>
      <c r="D458" t="s">
        <v>326</v>
      </c>
      <c r="E458" t="s">
        <v>4005</v>
      </c>
      <c r="F458" t="s">
        <v>25</v>
      </c>
      <c r="G458" s="1">
        <v>46239</v>
      </c>
      <c r="H458" s="1">
        <v>46240</v>
      </c>
      <c r="I458" s="2"/>
      <c r="J458" s="2"/>
      <c r="L458" t="s">
        <v>4006</v>
      </c>
      <c r="M458" s="1"/>
      <c r="N458" t="s">
        <v>4007</v>
      </c>
      <c r="O458" t="s">
        <v>4007</v>
      </c>
      <c r="P458" s="1"/>
      <c r="Q458" s="1"/>
      <c r="S458" s="2">
        <f>CONSOLIDADO_2026[[#This Row],[Hora final]]-CONSOLIDADO_2026[[#This Row],[Hora inic]]</f>
        <v>0</v>
      </c>
    </row>
    <row r="459" spans="1:19" x14ac:dyDescent="0.25">
      <c r="A459" t="s">
        <v>4121</v>
      </c>
      <c r="B459">
        <v>1037630337</v>
      </c>
      <c r="C459" t="s">
        <v>1468</v>
      </c>
      <c r="D459" t="s">
        <v>15</v>
      </c>
      <c r="E459" t="s">
        <v>4012</v>
      </c>
      <c r="F459" t="s">
        <v>30</v>
      </c>
      <c r="G459" s="1">
        <v>46240</v>
      </c>
      <c r="H459" s="1">
        <v>46240</v>
      </c>
      <c r="I459" s="2"/>
      <c r="J459" s="2"/>
      <c r="L459" t="s">
        <v>4006</v>
      </c>
      <c r="M459" s="1"/>
      <c r="N459" t="s">
        <v>4007</v>
      </c>
      <c r="O459" t="s">
        <v>4007</v>
      </c>
      <c r="P459" s="1"/>
      <c r="Q459" s="1"/>
      <c r="S459" s="2">
        <f>CONSOLIDADO_2026[[#This Row],[Hora final]]-CONSOLIDADO_2026[[#This Row],[Hora inic]]</f>
        <v>0</v>
      </c>
    </row>
    <row r="460" spans="1:19" x14ac:dyDescent="0.25">
      <c r="A460" t="s">
        <v>4121</v>
      </c>
      <c r="B460">
        <v>1036670630</v>
      </c>
      <c r="C460" t="s">
        <v>4124</v>
      </c>
      <c r="D460" t="s">
        <v>15</v>
      </c>
      <c r="E460" t="s">
        <v>4012</v>
      </c>
      <c r="F460" t="s">
        <v>30</v>
      </c>
      <c r="G460" s="1">
        <v>46240</v>
      </c>
      <c r="H460" s="1">
        <v>46240</v>
      </c>
      <c r="I460" s="2"/>
      <c r="J460" s="2"/>
      <c r="L460" t="s">
        <v>4006</v>
      </c>
      <c r="M460" s="1"/>
      <c r="N460" t="s">
        <v>4007</v>
      </c>
      <c r="O460" t="s">
        <v>4007</v>
      </c>
      <c r="P460" s="1"/>
      <c r="Q460" s="1"/>
      <c r="S460" s="2">
        <f>CONSOLIDADO_2026[[#This Row],[Hora final]]-CONSOLIDADO_2026[[#This Row],[Hora inic]]</f>
        <v>0</v>
      </c>
    </row>
    <row r="461" spans="1:19" x14ac:dyDescent="0.25">
      <c r="A461" t="s">
        <v>4121</v>
      </c>
      <c r="B461">
        <v>1005569691</v>
      </c>
      <c r="C461" t="s">
        <v>3613</v>
      </c>
      <c r="D461" t="s">
        <v>326</v>
      </c>
      <c r="E461" t="s">
        <v>4005</v>
      </c>
      <c r="F461" t="s">
        <v>25</v>
      </c>
      <c r="G461" s="1">
        <v>46239</v>
      </c>
      <c r="H461" s="1">
        <v>46240</v>
      </c>
      <c r="I461" s="2"/>
      <c r="J461" s="2"/>
      <c r="L461" t="s">
        <v>4006</v>
      </c>
      <c r="M461" s="1"/>
      <c r="N461" t="s">
        <v>4007</v>
      </c>
      <c r="O461" t="s">
        <v>4007</v>
      </c>
      <c r="P461" s="1"/>
      <c r="Q461" s="1"/>
      <c r="S461" s="2">
        <f>CONSOLIDADO_2026[[#This Row],[Hora final]]-CONSOLIDADO_2026[[#This Row],[Hora inic]]</f>
        <v>0</v>
      </c>
    </row>
    <row r="462" spans="1:19" x14ac:dyDescent="0.25">
      <c r="A462" t="s">
        <v>4121</v>
      </c>
      <c r="B462">
        <v>1065850707</v>
      </c>
      <c r="C462" t="s">
        <v>2698</v>
      </c>
      <c r="D462" t="s">
        <v>121</v>
      </c>
      <c r="E462" t="s">
        <v>4010</v>
      </c>
      <c r="F462" t="s">
        <v>25</v>
      </c>
      <c r="G462" s="1">
        <v>46239</v>
      </c>
      <c r="H462" s="1">
        <v>46240</v>
      </c>
      <c r="I462" s="2"/>
      <c r="J462" s="2"/>
      <c r="L462" t="s">
        <v>4006</v>
      </c>
      <c r="M462" s="1"/>
      <c r="N462" t="s">
        <v>4007</v>
      </c>
      <c r="O462" t="s">
        <v>4007</v>
      </c>
      <c r="P462" s="1"/>
      <c r="Q462" s="1"/>
      <c r="S462" s="2">
        <f>CONSOLIDADO_2026[[#This Row],[Hora final]]-CONSOLIDADO_2026[[#This Row],[Hora inic]]</f>
        <v>0</v>
      </c>
    </row>
    <row r="463" spans="1:19" x14ac:dyDescent="0.25">
      <c r="A463" t="s">
        <v>4121</v>
      </c>
      <c r="B463">
        <v>1192923605</v>
      </c>
      <c r="C463" t="s">
        <v>315</v>
      </c>
      <c r="D463" t="s">
        <v>211</v>
      </c>
      <c r="E463" t="s">
        <v>4017</v>
      </c>
      <c r="F463" t="s">
        <v>25</v>
      </c>
      <c r="G463" s="1">
        <v>46239</v>
      </c>
      <c r="H463" s="1">
        <v>46240</v>
      </c>
      <c r="I463" s="2"/>
      <c r="J463" s="2"/>
      <c r="L463" t="s">
        <v>4006</v>
      </c>
      <c r="M463" s="1"/>
      <c r="N463" t="s">
        <v>4007</v>
      </c>
      <c r="O463" t="s">
        <v>4007</v>
      </c>
      <c r="P463" s="1"/>
      <c r="Q463" s="1"/>
      <c r="S463" s="2">
        <f>CONSOLIDADO_2026[[#This Row],[Hora final]]-CONSOLIDADO_2026[[#This Row],[Hora inic]]</f>
        <v>0</v>
      </c>
    </row>
    <row r="464" spans="1:19" x14ac:dyDescent="0.25">
      <c r="A464" t="s">
        <v>4121</v>
      </c>
      <c r="B464">
        <v>1026156098</v>
      </c>
      <c r="C464" t="s">
        <v>3518</v>
      </c>
      <c r="D464" t="s">
        <v>34</v>
      </c>
      <c r="E464" t="s">
        <v>4011</v>
      </c>
      <c r="F464" t="s">
        <v>25</v>
      </c>
      <c r="G464" s="1">
        <v>46239</v>
      </c>
      <c r="H464" s="1">
        <v>46240</v>
      </c>
      <c r="I464" s="2"/>
      <c r="J464" s="2"/>
      <c r="L464" t="s">
        <v>4006</v>
      </c>
      <c r="M464" s="1"/>
      <c r="N464" t="s">
        <v>4007</v>
      </c>
      <c r="O464" t="s">
        <v>4007</v>
      </c>
      <c r="P464" s="1"/>
      <c r="Q464" s="1"/>
      <c r="S464" s="2">
        <f>CONSOLIDADO_2026[[#This Row],[Hora final]]-CONSOLIDADO_2026[[#This Row],[Hora inic]]</f>
        <v>0</v>
      </c>
    </row>
    <row r="465" spans="1:19" x14ac:dyDescent="0.25">
      <c r="A465" t="s">
        <v>4121</v>
      </c>
      <c r="B465">
        <v>1001901817</v>
      </c>
      <c r="C465" t="s">
        <v>4105</v>
      </c>
      <c r="D465" t="s">
        <v>553</v>
      </c>
      <c r="E465" t="s">
        <v>4010</v>
      </c>
      <c r="F465" t="s">
        <v>25</v>
      </c>
      <c r="G465" s="1">
        <v>46240</v>
      </c>
      <c r="H465" s="1">
        <v>46240</v>
      </c>
      <c r="I465" s="2"/>
      <c r="J465" s="2"/>
      <c r="L465" t="s">
        <v>4006</v>
      </c>
      <c r="M465" s="1"/>
      <c r="N465" t="s">
        <v>4007</v>
      </c>
      <c r="O465" t="s">
        <v>4007</v>
      </c>
      <c r="P465" s="1"/>
      <c r="Q465" s="1"/>
      <c r="S465" s="2">
        <f>CONSOLIDADO_2026[[#This Row],[Hora final]]-CONSOLIDADO_2026[[#This Row],[Hora inic]]</f>
        <v>0</v>
      </c>
    </row>
    <row r="466" spans="1:19" x14ac:dyDescent="0.25">
      <c r="A466" t="s">
        <v>4121</v>
      </c>
      <c r="B466">
        <v>1143374438</v>
      </c>
      <c r="C466" t="s">
        <v>85</v>
      </c>
      <c r="D466" t="s">
        <v>41</v>
      </c>
      <c r="E466" t="s">
        <v>4011</v>
      </c>
      <c r="F466" t="s">
        <v>25</v>
      </c>
      <c r="G466" s="1">
        <v>46239</v>
      </c>
      <c r="H466" s="1">
        <v>46268</v>
      </c>
      <c r="I466" s="2"/>
      <c r="J466" s="2"/>
      <c r="L466" t="s">
        <v>269</v>
      </c>
      <c r="M466" s="1"/>
      <c r="N466" t="s">
        <v>21</v>
      </c>
      <c r="O466" t="s">
        <v>21</v>
      </c>
      <c r="P466" s="1"/>
      <c r="Q466" s="1"/>
      <c r="S466" s="2">
        <f>CONSOLIDADO_2026[[#This Row],[Hora final]]-CONSOLIDADO_2026[[#This Row],[Hora inic]]</f>
        <v>0</v>
      </c>
    </row>
    <row r="467" spans="1:19" x14ac:dyDescent="0.25">
      <c r="A467" t="s">
        <v>4121</v>
      </c>
      <c r="B467">
        <v>1001014608</v>
      </c>
      <c r="C467" t="s">
        <v>268</v>
      </c>
      <c r="D467" t="s">
        <v>64</v>
      </c>
      <c r="E467" t="s">
        <v>4012</v>
      </c>
      <c r="F467" t="s">
        <v>25</v>
      </c>
      <c r="G467" s="1">
        <v>46239</v>
      </c>
      <c r="H467" s="1">
        <v>46268</v>
      </c>
      <c r="I467" s="2"/>
      <c r="J467" s="2"/>
      <c r="L467" t="s">
        <v>269</v>
      </c>
      <c r="M467" s="1"/>
      <c r="N467" t="s">
        <v>4007</v>
      </c>
      <c r="O467" t="s">
        <v>4007</v>
      </c>
      <c r="P467" s="1"/>
      <c r="Q467" s="1"/>
      <c r="S467" s="2">
        <f>CONSOLIDADO_2026[[#This Row],[Hora final]]-CONSOLIDADO_2026[[#This Row],[Hora inic]]</f>
        <v>0</v>
      </c>
    </row>
    <row r="468" spans="1:19" x14ac:dyDescent="0.25">
      <c r="A468" t="s">
        <v>4121</v>
      </c>
      <c r="B468">
        <v>1235045754</v>
      </c>
      <c r="C468" t="s">
        <v>2371</v>
      </c>
      <c r="D468" t="s">
        <v>343</v>
      </c>
      <c r="E468" t="s">
        <v>4012</v>
      </c>
      <c r="F468" t="s">
        <v>25</v>
      </c>
      <c r="G468" s="1">
        <v>46238</v>
      </c>
      <c r="H468" s="1">
        <v>46240</v>
      </c>
      <c r="I468" s="2"/>
      <c r="J468" s="2"/>
      <c r="L468" t="s">
        <v>4006</v>
      </c>
      <c r="M468" s="1"/>
      <c r="N468" t="s">
        <v>4007</v>
      </c>
      <c r="O468" t="s">
        <v>4007</v>
      </c>
      <c r="P468" s="1"/>
      <c r="Q468" s="1"/>
      <c r="S468" s="2">
        <f>CONSOLIDADO_2026[[#This Row],[Hora final]]-CONSOLIDADO_2026[[#This Row],[Hora inic]]</f>
        <v>0</v>
      </c>
    </row>
    <row r="469" spans="1:19" x14ac:dyDescent="0.25">
      <c r="A469" t="s">
        <v>4121</v>
      </c>
      <c r="B469">
        <v>1017270154</v>
      </c>
      <c r="C469" t="s">
        <v>4112</v>
      </c>
      <c r="D469" t="s">
        <v>343</v>
      </c>
      <c r="E469" t="s">
        <v>4012</v>
      </c>
      <c r="F469" t="s">
        <v>25</v>
      </c>
      <c r="G469" s="1">
        <v>46239</v>
      </c>
      <c r="H469" s="1">
        <v>46240</v>
      </c>
      <c r="I469" s="2"/>
      <c r="J469" s="2"/>
      <c r="L469" t="s">
        <v>4006</v>
      </c>
      <c r="M469" s="1"/>
      <c r="N469" t="s">
        <v>4007</v>
      </c>
      <c r="O469" t="s">
        <v>4007</v>
      </c>
      <c r="P469" s="1"/>
      <c r="Q469" s="1"/>
      <c r="S469" s="2">
        <f>CONSOLIDADO_2026[[#This Row],[Hora final]]-CONSOLIDADO_2026[[#This Row],[Hora inic]]</f>
        <v>0</v>
      </c>
    </row>
    <row r="470" spans="1:19" x14ac:dyDescent="0.25">
      <c r="A470" t="s">
        <v>4121</v>
      </c>
      <c r="B470">
        <v>1082896324</v>
      </c>
      <c r="C470" t="s">
        <v>77</v>
      </c>
      <c r="D470" t="s">
        <v>78</v>
      </c>
      <c r="E470" t="s">
        <v>4010</v>
      </c>
      <c r="F470" t="s">
        <v>25</v>
      </c>
      <c r="G470" s="1">
        <v>46239</v>
      </c>
      <c r="H470" s="1">
        <v>46240</v>
      </c>
      <c r="I470" s="2"/>
      <c r="J470" s="2"/>
      <c r="L470" t="s">
        <v>4006</v>
      </c>
      <c r="M470" s="1"/>
      <c r="N470" t="s">
        <v>4007</v>
      </c>
      <c r="O470" t="s">
        <v>4007</v>
      </c>
      <c r="P470" s="1"/>
      <c r="Q470" s="1"/>
      <c r="S470" s="2">
        <f>CONSOLIDADO_2026[[#This Row],[Hora final]]-CONSOLIDADO_2026[[#This Row],[Hora inic]]</f>
        <v>0</v>
      </c>
    </row>
    <row r="471" spans="1:19" x14ac:dyDescent="0.25">
      <c r="A471" t="s">
        <v>4121</v>
      </c>
      <c r="B471">
        <v>1143394119</v>
      </c>
      <c r="C471" t="s">
        <v>832</v>
      </c>
      <c r="D471" t="s">
        <v>142</v>
      </c>
      <c r="E471" t="s">
        <v>4012</v>
      </c>
      <c r="F471" t="s">
        <v>25</v>
      </c>
      <c r="G471" s="1">
        <v>46239</v>
      </c>
      <c r="H471" s="1">
        <v>46239</v>
      </c>
      <c r="I471" s="2"/>
      <c r="J471" s="2"/>
      <c r="L471" t="s">
        <v>4006</v>
      </c>
      <c r="M471" s="1"/>
      <c r="N471" t="s">
        <v>4007</v>
      </c>
      <c r="O471" t="s">
        <v>4007</v>
      </c>
      <c r="P471" s="1"/>
      <c r="Q471" s="1"/>
      <c r="S471" s="2">
        <f>CONSOLIDADO_2026[[#This Row],[Hora final]]-CONSOLIDADO_2026[[#This Row],[Hora inic]]</f>
        <v>0</v>
      </c>
    </row>
    <row r="472" spans="1:19" x14ac:dyDescent="0.25">
      <c r="A472" t="s">
        <v>4121</v>
      </c>
      <c r="B472">
        <v>1000439437</v>
      </c>
      <c r="C472" t="s">
        <v>376</v>
      </c>
      <c r="D472" t="s">
        <v>128</v>
      </c>
      <c r="E472" t="s">
        <v>4005</v>
      </c>
      <c r="F472" t="s">
        <v>25</v>
      </c>
      <c r="G472" s="1">
        <v>46238</v>
      </c>
      <c r="H472" s="1">
        <v>46240</v>
      </c>
      <c r="I472" s="2"/>
      <c r="J472" s="2"/>
      <c r="L472" t="s">
        <v>4006</v>
      </c>
      <c r="M472" s="1"/>
      <c r="N472" t="s">
        <v>4007</v>
      </c>
      <c r="O472" t="s">
        <v>4007</v>
      </c>
      <c r="P472" s="1"/>
      <c r="Q472" s="1"/>
      <c r="S472" s="2">
        <f>CONSOLIDADO_2026[[#This Row],[Hora final]]-CONSOLIDADO_2026[[#This Row],[Hora inic]]</f>
        <v>0</v>
      </c>
    </row>
    <row r="473" spans="1:19" x14ac:dyDescent="0.25">
      <c r="A473" t="s">
        <v>4121</v>
      </c>
      <c r="B473">
        <v>1140899272</v>
      </c>
      <c r="C473" t="s">
        <v>4100</v>
      </c>
      <c r="D473" t="s">
        <v>41</v>
      </c>
      <c r="E473" t="s">
        <v>4011</v>
      </c>
      <c r="F473" t="s">
        <v>25</v>
      </c>
      <c r="G473" s="1">
        <v>46238</v>
      </c>
      <c r="H473" s="1">
        <v>46240</v>
      </c>
      <c r="I473" s="2"/>
      <c r="J473" s="2"/>
      <c r="L473" t="s">
        <v>4006</v>
      </c>
      <c r="M473" s="1"/>
      <c r="N473" t="s">
        <v>4007</v>
      </c>
      <c r="O473" t="s">
        <v>4007</v>
      </c>
      <c r="P473" s="1"/>
      <c r="Q473" s="1"/>
      <c r="S473" s="2">
        <f>CONSOLIDADO_2026[[#This Row],[Hora final]]-CONSOLIDADO_2026[[#This Row],[Hora inic]]</f>
        <v>0</v>
      </c>
    </row>
    <row r="474" spans="1:19" x14ac:dyDescent="0.25">
      <c r="A474" t="s">
        <v>4121</v>
      </c>
      <c r="B474">
        <v>1065664047</v>
      </c>
      <c r="C474" t="s">
        <v>1114</v>
      </c>
      <c r="D474" t="s">
        <v>89</v>
      </c>
      <c r="E474" t="s">
        <v>4017</v>
      </c>
      <c r="F474" t="s">
        <v>25</v>
      </c>
      <c r="G474" s="1">
        <v>46239</v>
      </c>
      <c r="H474" s="1">
        <v>46240</v>
      </c>
      <c r="I474" s="2"/>
      <c r="J474" s="2"/>
      <c r="L474" t="s">
        <v>4006</v>
      </c>
      <c r="M474" s="1"/>
      <c r="N474" t="s">
        <v>4007</v>
      </c>
      <c r="O474" t="s">
        <v>4007</v>
      </c>
      <c r="P474" s="1"/>
      <c r="Q474" s="1"/>
      <c r="S474" s="2">
        <f>CONSOLIDADO_2026[[#This Row],[Hora final]]-CONSOLIDADO_2026[[#This Row],[Hora inic]]</f>
        <v>0</v>
      </c>
    </row>
    <row r="475" spans="1:19" x14ac:dyDescent="0.25">
      <c r="A475" t="s">
        <v>4121</v>
      </c>
      <c r="B475">
        <v>42141273</v>
      </c>
      <c r="C475" t="s">
        <v>210</v>
      </c>
      <c r="D475" t="s">
        <v>211</v>
      </c>
      <c r="E475" t="s">
        <v>4017</v>
      </c>
      <c r="F475" t="s">
        <v>4029</v>
      </c>
      <c r="G475" s="1">
        <v>46232</v>
      </c>
      <c r="H475" s="1">
        <v>46261</v>
      </c>
      <c r="I475" s="2"/>
      <c r="J475" s="2"/>
      <c r="L475" t="s">
        <v>269</v>
      </c>
      <c r="M475" s="1"/>
      <c r="N475" t="s">
        <v>4007</v>
      </c>
      <c r="O475" t="s">
        <v>4007</v>
      </c>
      <c r="P475" s="1"/>
      <c r="Q475" s="1"/>
      <c r="S475" s="2">
        <f>CONSOLIDADO_2026[[#This Row],[Hora final]]-CONSOLIDADO_2026[[#This Row],[Hora inic]]</f>
        <v>0</v>
      </c>
    </row>
    <row r="476" spans="1:19" x14ac:dyDescent="0.25">
      <c r="A476" t="s">
        <v>4121</v>
      </c>
      <c r="B476">
        <v>1035876080</v>
      </c>
      <c r="C476" t="s">
        <v>120</v>
      </c>
      <c r="D476" t="s">
        <v>121</v>
      </c>
      <c r="E476" t="s">
        <v>4010</v>
      </c>
      <c r="F476" t="s">
        <v>25</v>
      </c>
      <c r="G476" s="1">
        <v>46239</v>
      </c>
      <c r="H476" s="1">
        <v>46245</v>
      </c>
      <c r="I476" s="2"/>
      <c r="J476" s="2"/>
      <c r="L476" t="s">
        <v>269</v>
      </c>
      <c r="M476" s="1"/>
      <c r="N476" t="s">
        <v>21</v>
      </c>
      <c r="O476" t="s">
        <v>21</v>
      </c>
      <c r="P476" s="1"/>
      <c r="Q476" s="1"/>
      <c r="S476" s="2">
        <f>CONSOLIDADO_2026[[#This Row],[Hora final]]-CONSOLIDADO_2026[[#This Row],[Hora inic]]</f>
        <v>0</v>
      </c>
    </row>
    <row r="477" spans="1:19" x14ac:dyDescent="0.25">
      <c r="A477" t="s">
        <v>4121</v>
      </c>
      <c r="B477">
        <v>1193104616</v>
      </c>
      <c r="C477" t="s">
        <v>1954</v>
      </c>
      <c r="D477" t="s">
        <v>64</v>
      </c>
      <c r="E477" t="s">
        <v>4012</v>
      </c>
      <c r="F477" t="s">
        <v>25</v>
      </c>
      <c r="G477" s="1">
        <v>46238</v>
      </c>
      <c r="H477" s="1">
        <v>46240</v>
      </c>
      <c r="I477" s="2"/>
      <c r="J477" s="2"/>
      <c r="L477" t="s">
        <v>4006</v>
      </c>
      <c r="M477" s="1"/>
      <c r="N477" t="s">
        <v>4007</v>
      </c>
      <c r="O477" t="s">
        <v>4007</v>
      </c>
      <c r="P477" s="1"/>
      <c r="Q477" s="1"/>
      <c r="S477" s="2">
        <f>CONSOLIDADO_2026[[#This Row],[Hora final]]-CONSOLIDADO_2026[[#This Row],[Hora inic]]</f>
        <v>0</v>
      </c>
    </row>
    <row r="478" spans="1:19" x14ac:dyDescent="0.25">
      <c r="A478" t="s">
        <v>4121</v>
      </c>
      <c r="B478">
        <v>1005424850</v>
      </c>
      <c r="C478" t="s">
        <v>56</v>
      </c>
      <c r="D478" t="s">
        <v>57</v>
      </c>
      <c r="E478" t="s">
        <v>4010</v>
      </c>
      <c r="F478" t="s">
        <v>25</v>
      </c>
      <c r="G478" s="1">
        <v>46238</v>
      </c>
      <c r="H478" s="1">
        <v>46245</v>
      </c>
      <c r="I478" s="2"/>
      <c r="J478" s="2"/>
      <c r="L478" t="s">
        <v>269</v>
      </c>
      <c r="M478" s="1"/>
      <c r="N478" t="s">
        <v>21</v>
      </c>
      <c r="O478" t="s">
        <v>21</v>
      </c>
      <c r="P478" s="1"/>
      <c r="Q478" s="1"/>
      <c r="S478" s="2">
        <f>CONSOLIDADO_2026[[#This Row],[Hora final]]-CONSOLIDADO_2026[[#This Row],[Hora inic]]</f>
        <v>0</v>
      </c>
    </row>
    <row r="479" spans="1:19" x14ac:dyDescent="0.25">
      <c r="A479" t="s">
        <v>4121</v>
      </c>
      <c r="B479">
        <v>1032491944</v>
      </c>
      <c r="C479" t="s">
        <v>23</v>
      </c>
      <c r="D479" t="s">
        <v>24</v>
      </c>
      <c r="E479" t="s">
        <v>4011</v>
      </c>
      <c r="F479" t="s">
        <v>25</v>
      </c>
      <c r="G479" s="1">
        <v>46237</v>
      </c>
      <c r="H479" s="1">
        <v>46241</v>
      </c>
      <c r="I479" s="2"/>
      <c r="J479" s="2"/>
      <c r="L479" t="s">
        <v>4006</v>
      </c>
      <c r="M479" s="1"/>
      <c r="N479" t="s">
        <v>4007</v>
      </c>
      <c r="O479" t="s">
        <v>4007</v>
      </c>
      <c r="P479" s="1"/>
      <c r="Q479" s="1"/>
      <c r="S479" s="2">
        <f>CONSOLIDADO_2026[[#This Row],[Hora final]]-CONSOLIDADO_2026[[#This Row],[Hora inic]]</f>
        <v>0</v>
      </c>
    </row>
    <row r="480" spans="1:19" x14ac:dyDescent="0.25">
      <c r="A480" t="s">
        <v>4121</v>
      </c>
      <c r="B480">
        <v>1193459665</v>
      </c>
      <c r="C480" t="s">
        <v>4066</v>
      </c>
      <c r="D480" t="s">
        <v>326</v>
      </c>
      <c r="E480" t="s">
        <v>4005</v>
      </c>
      <c r="F480" t="s">
        <v>4015</v>
      </c>
      <c r="G480" s="1">
        <v>46237</v>
      </c>
      <c r="H480" s="1">
        <v>46239</v>
      </c>
      <c r="I480" s="2"/>
      <c r="J480" s="2"/>
      <c r="L480" t="s">
        <v>4006</v>
      </c>
      <c r="M480" s="1"/>
      <c r="N480" t="s">
        <v>4007</v>
      </c>
      <c r="O480" t="s">
        <v>4007</v>
      </c>
      <c r="P480" s="1"/>
      <c r="Q480" s="1"/>
      <c r="S480" s="2">
        <f>CONSOLIDADO_2026[[#This Row],[Hora final]]-CONSOLIDADO_2026[[#This Row],[Hora inic]]</f>
        <v>0</v>
      </c>
    </row>
    <row r="481" spans="1:19" x14ac:dyDescent="0.25">
      <c r="A481" t="s">
        <v>4121</v>
      </c>
      <c r="B481">
        <v>1017267628</v>
      </c>
      <c r="C481" t="s">
        <v>4125</v>
      </c>
      <c r="D481" t="s">
        <v>326</v>
      </c>
      <c r="E481" t="s">
        <v>4005</v>
      </c>
      <c r="F481" t="s">
        <v>4037</v>
      </c>
      <c r="G481" s="1">
        <v>46237</v>
      </c>
      <c r="H481" s="1">
        <v>46243</v>
      </c>
      <c r="I481" s="2"/>
      <c r="J481" s="2"/>
      <c r="L481" t="s">
        <v>269</v>
      </c>
      <c r="M481" s="1"/>
      <c r="N481" t="s">
        <v>4007</v>
      </c>
      <c r="O481" t="s">
        <v>4007</v>
      </c>
      <c r="P481" s="1"/>
      <c r="Q481" s="1"/>
      <c r="S481" s="2">
        <f>CONSOLIDADO_2026[[#This Row],[Hora final]]-CONSOLIDADO_2026[[#This Row],[Hora inic]]</f>
        <v>0</v>
      </c>
    </row>
    <row r="482" spans="1:19" x14ac:dyDescent="0.25">
      <c r="A482" t="s">
        <v>4121</v>
      </c>
      <c r="B482">
        <v>1004841623</v>
      </c>
      <c r="C482" t="s">
        <v>4062</v>
      </c>
      <c r="D482" t="s">
        <v>420</v>
      </c>
      <c r="E482" t="s">
        <v>4010</v>
      </c>
      <c r="F482" t="s">
        <v>4015</v>
      </c>
      <c r="G482" s="1">
        <v>46237</v>
      </c>
      <c r="H482" s="1">
        <v>46241</v>
      </c>
      <c r="I482" s="2"/>
      <c r="J482" s="2"/>
      <c r="L482" t="s">
        <v>4006</v>
      </c>
      <c r="M482" s="1"/>
      <c r="N482" t="s">
        <v>4007</v>
      </c>
      <c r="O482" t="s">
        <v>4007</v>
      </c>
      <c r="P482" s="1"/>
      <c r="Q482" s="1"/>
      <c r="S482" s="2">
        <f>CONSOLIDADO_2026[[#This Row],[Hora final]]-CONSOLIDADO_2026[[#This Row],[Hora inic]]</f>
        <v>0</v>
      </c>
    </row>
    <row r="483" spans="1:19" x14ac:dyDescent="0.25">
      <c r="A483" t="s">
        <v>4121</v>
      </c>
      <c r="B483">
        <v>1005624879</v>
      </c>
      <c r="C483" t="s">
        <v>251</v>
      </c>
      <c r="D483" t="s">
        <v>132</v>
      </c>
      <c r="E483" t="s">
        <v>4010</v>
      </c>
      <c r="F483" t="s">
        <v>25</v>
      </c>
      <c r="G483" s="1">
        <v>46237</v>
      </c>
      <c r="H483" s="1">
        <v>46240</v>
      </c>
      <c r="I483" s="2"/>
      <c r="J483" s="2"/>
      <c r="L483" t="s">
        <v>4006</v>
      </c>
      <c r="M483" s="1"/>
      <c r="N483" t="s">
        <v>4007</v>
      </c>
      <c r="O483" t="s">
        <v>4007</v>
      </c>
      <c r="P483" s="1"/>
      <c r="Q483" s="1"/>
      <c r="S483" s="2">
        <f>CONSOLIDADO_2026[[#This Row],[Hora final]]-CONSOLIDADO_2026[[#This Row],[Hora inic]]</f>
        <v>0</v>
      </c>
    </row>
    <row r="484" spans="1:19" x14ac:dyDescent="0.25">
      <c r="A484" t="s">
        <v>4121</v>
      </c>
      <c r="B484">
        <v>1152436231</v>
      </c>
      <c r="C484" t="s">
        <v>131</v>
      </c>
      <c r="D484" t="s">
        <v>132</v>
      </c>
      <c r="E484" t="s">
        <v>4010</v>
      </c>
      <c r="F484" t="s">
        <v>25</v>
      </c>
      <c r="G484" s="1">
        <v>46237</v>
      </c>
      <c r="H484" s="1">
        <v>46240</v>
      </c>
      <c r="I484" s="2"/>
      <c r="J484" s="2"/>
      <c r="L484" t="s">
        <v>269</v>
      </c>
      <c r="M484" s="1"/>
      <c r="N484" t="s">
        <v>21</v>
      </c>
      <c r="O484" t="s">
        <v>21</v>
      </c>
      <c r="P484" s="1"/>
      <c r="Q484" s="1"/>
      <c r="S484" s="2">
        <f>CONSOLIDADO_2026[[#This Row],[Hora final]]-CONSOLIDADO_2026[[#This Row],[Hora inic]]</f>
        <v>0</v>
      </c>
    </row>
    <row r="485" spans="1:19" x14ac:dyDescent="0.25">
      <c r="A485" t="s">
        <v>4121</v>
      </c>
      <c r="B485">
        <v>1143413583</v>
      </c>
      <c r="C485" t="s">
        <v>54</v>
      </c>
      <c r="D485" t="s">
        <v>41</v>
      </c>
      <c r="E485" t="s">
        <v>4011</v>
      </c>
      <c r="F485" t="s">
        <v>25</v>
      </c>
      <c r="G485" s="1">
        <v>46236</v>
      </c>
      <c r="H485" s="1">
        <v>46239</v>
      </c>
      <c r="I485" s="2"/>
      <c r="J485" s="2"/>
      <c r="L485" t="s">
        <v>4006</v>
      </c>
      <c r="M485" s="1"/>
      <c r="N485" t="s">
        <v>4007</v>
      </c>
      <c r="O485" t="s">
        <v>4007</v>
      </c>
      <c r="P485" s="1"/>
      <c r="Q485" s="1"/>
      <c r="S485" s="2">
        <f>CONSOLIDADO_2026[[#This Row],[Hora final]]-CONSOLIDADO_2026[[#This Row],[Hora inic]]</f>
        <v>0</v>
      </c>
    </row>
    <row r="486" spans="1:19" x14ac:dyDescent="0.25">
      <c r="A486" t="s">
        <v>4121</v>
      </c>
      <c r="B486">
        <v>1020486493</v>
      </c>
      <c r="C486" t="s">
        <v>4074</v>
      </c>
      <c r="D486" t="s">
        <v>326</v>
      </c>
      <c r="E486" t="s">
        <v>4005</v>
      </c>
      <c r="F486" t="s">
        <v>4058</v>
      </c>
      <c r="G486" s="1">
        <v>46237</v>
      </c>
      <c r="H486" s="1">
        <v>46239</v>
      </c>
      <c r="I486" s="2"/>
      <c r="J486" s="2"/>
      <c r="L486" t="s">
        <v>4006</v>
      </c>
      <c r="M486" s="1"/>
      <c r="N486" t="s">
        <v>4007</v>
      </c>
      <c r="O486" t="s">
        <v>4007</v>
      </c>
      <c r="P486" s="1"/>
      <c r="Q486" s="1"/>
      <c r="S486" s="2">
        <f>CONSOLIDADO_2026[[#This Row],[Hora final]]-CONSOLIDADO_2026[[#This Row],[Hora inic]]</f>
        <v>0</v>
      </c>
    </row>
    <row r="487" spans="1:19" x14ac:dyDescent="0.25">
      <c r="A487" t="s">
        <v>4121</v>
      </c>
      <c r="B487">
        <v>1001005240</v>
      </c>
      <c r="C487" t="s">
        <v>152</v>
      </c>
      <c r="D487" t="s">
        <v>153</v>
      </c>
      <c r="E487" t="s">
        <v>4010</v>
      </c>
      <c r="F487" t="s">
        <v>25</v>
      </c>
      <c r="G487" s="1">
        <v>46234</v>
      </c>
      <c r="H487" s="1">
        <v>46240</v>
      </c>
      <c r="I487" s="2"/>
      <c r="J487" s="2"/>
      <c r="L487" t="s">
        <v>4006</v>
      </c>
      <c r="M487" s="1"/>
      <c r="N487" t="s">
        <v>4007</v>
      </c>
      <c r="O487" t="s">
        <v>4007</v>
      </c>
      <c r="P487" s="1"/>
      <c r="Q487" s="1"/>
      <c r="S487" s="2">
        <f>CONSOLIDADO_2026[[#This Row],[Hora final]]-CONSOLIDADO_2026[[#This Row],[Hora inic]]</f>
        <v>0</v>
      </c>
    </row>
    <row r="488" spans="1:19" x14ac:dyDescent="0.25">
      <c r="A488" t="s">
        <v>4121</v>
      </c>
      <c r="B488">
        <v>1001940238</v>
      </c>
      <c r="C488" t="s">
        <v>4021</v>
      </c>
      <c r="D488" t="s">
        <v>57</v>
      </c>
      <c r="E488" t="s">
        <v>4010</v>
      </c>
      <c r="F488" t="s">
        <v>4015</v>
      </c>
      <c r="G488" s="1">
        <v>46237</v>
      </c>
      <c r="H488" s="1">
        <v>46239</v>
      </c>
      <c r="I488" s="2"/>
      <c r="J488" s="2"/>
      <c r="L488" t="s">
        <v>4006</v>
      </c>
      <c r="M488" s="1"/>
      <c r="N488" t="s">
        <v>4007</v>
      </c>
      <c r="O488" t="s">
        <v>4007</v>
      </c>
      <c r="P488" s="1"/>
      <c r="Q488" s="1"/>
      <c r="S488" s="2">
        <f>CONSOLIDADO_2026[[#This Row],[Hora final]]-CONSOLIDADO_2026[[#This Row],[Hora inic]]</f>
        <v>0</v>
      </c>
    </row>
    <row r="489" spans="1:19" x14ac:dyDescent="0.25">
      <c r="A489" t="s">
        <v>4121</v>
      </c>
      <c r="B489">
        <v>1047505786</v>
      </c>
      <c r="C489" t="s">
        <v>110</v>
      </c>
      <c r="D489" t="s">
        <v>15</v>
      </c>
      <c r="E489" t="s">
        <v>4012</v>
      </c>
      <c r="F489" t="s">
        <v>25</v>
      </c>
      <c r="G489" s="1">
        <v>46229</v>
      </c>
      <c r="H489" s="1">
        <v>46243</v>
      </c>
      <c r="I489" s="2">
        <v>0.25</v>
      </c>
      <c r="J489" s="2">
        <v>0.66666666666666663</v>
      </c>
      <c r="K489" t="s">
        <v>137</v>
      </c>
      <c r="L489" t="s">
        <v>138</v>
      </c>
      <c r="M489" s="1"/>
      <c r="N489" t="s">
        <v>21</v>
      </c>
      <c r="O489" t="s">
        <v>21</v>
      </c>
      <c r="P489" s="1"/>
      <c r="Q489" s="1"/>
      <c r="S489" s="2">
        <f>CONSOLIDADO_2026[[#This Row],[Hora final]]-CONSOLIDADO_2026[[#This Row],[Hora inic]]</f>
        <v>0.41666666666666663</v>
      </c>
    </row>
    <row r="490" spans="1:19" x14ac:dyDescent="0.25">
      <c r="A490" t="s">
        <v>4121</v>
      </c>
      <c r="B490">
        <v>1152221372</v>
      </c>
      <c r="C490" t="s">
        <v>4038</v>
      </c>
      <c r="D490" t="s">
        <v>128</v>
      </c>
      <c r="E490" t="s">
        <v>4005</v>
      </c>
      <c r="F490" t="s">
        <v>4037</v>
      </c>
      <c r="G490" s="1">
        <v>46230</v>
      </c>
      <c r="H490" s="1"/>
      <c r="I490" s="2"/>
      <c r="J490" s="2"/>
      <c r="L490" t="s">
        <v>269</v>
      </c>
      <c r="M490" s="1"/>
      <c r="N490" t="s">
        <v>4007</v>
      </c>
      <c r="O490" t="s">
        <v>4007</v>
      </c>
      <c r="P490" s="1"/>
      <c r="Q490" s="1"/>
      <c r="S490" s="2">
        <f>CONSOLIDADO_2026[[#This Row],[Hora final]]-CONSOLIDADO_2026[[#This Row],[Hora inic]]</f>
        <v>0</v>
      </c>
    </row>
    <row r="491" spans="1:19" x14ac:dyDescent="0.25">
      <c r="A491" t="s">
        <v>4121</v>
      </c>
      <c r="B491">
        <v>1020475954</v>
      </c>
      <c r="C491" t="s">
        <v>3901</v>
      </c>
      <c r="D491" t="s">
        <v>29</v>
      </c>
      <c r="E491" t="s">
        <v>4005</v>
      </c>
      <c r="F491" t="s">
        <v>4091</v>
      </c>
      <c r="G491" s="1">
        <v>46238</v>
      </c>
      <c r="H491" s="1">
        <v>46240</v>
      </c>
      <c r="I491" s="2"/>
      <c r="J491" s="2"/>
      <c r="L491" t="s">
        <v>4006</v>
      </c>
      <c r="M491" s="1"/>
      <c r="N491" t="s">
        <v>4007</v>
      </c>
      <c r="O491" t="s">
        <v>4007</v>
      </c>
      <c r="P491" s="1"/>
      <c r="Q491" s="1"/>
      <c r="S491" s="2">
        <f>CONSOLIDADO_2026[[#This Row],[Hora final]]-CONSOLIDADO_2026[[#This Row],[Hora inic]]</f>
        <v>0</v>
      </c>
    </row>
    <row r="492" spans="1:19" x14ac:dyDescent="0.25">
      <c r="A492" t="s">
        <v>4121</v>
      </c>
      <c r="B492">
        <v>1037659560</v>
      </c>
      <c r="C492" t="s">
        <v>166</v>
      </c>
      <c r="D492" t="s">
        <v>41</v>
      </c>
      <c r="E492" t="s">
        <v>4011</v>
      </c>
      <c r="F492" t="s">
        <v>25</v>
      </c>
      <c r="G492" s="1">
        <v>46235</v>
      </c>
      <c r="H492" s="1">
        <v>46240</v>
      </c>
      <c r="I492" s="2"/>
      <c r="J492" s="2"/>
      <c r="L492" t="s">
        <v>4006</v>
      </c>
      <c r="M492" s="1"/>
      <c r="N492" t="s">
        <v>4007</v>
      </c>
      <c r="O492" t="s">
        <v>4007</v>
      </c>
      <c r="P492" s="1"/>
      <c r="Q492" s="1"/>
      <c r="S492" s="2">
        <f>CONSOLIDADO_2026[[#This Row],[Hora final]]-CONSOLIDADO_2026[[#This Row],[Hora inic]]</f>
        <v>0</v>
      </c>
    </row>
    <row r="493" spans="1:19" x14ac:dyDescent="0.25">
      <c r="A493" t="s">
        <v>4121</v>
      </c>
      <c r="B493">
        <v>1143375080</v>
      </c>
      <c r="C493" t="s">
        <v>4025</v>
      </c>
      <c r="D493" t="s">
        <v>153</v>
      </c>
      <c r="E493" t="s">
        <v>4010</v>
      </c>
      <c r="F493" t="s">
        <v>4024</v>
      </c>
      <c r="G493" s="1">
        <v>46232</v>
      </c>
      <c r="H493" s="1">
        <v>46239</v>
      </c>
      <c r="I493" s="2"/>
      <c r="J493" s="2"/>
      <c r="L493" t="s">
        <v>4006</v>
      </c>
      <c r="M493" s="1"/>
      <c r="N493" t="s">
        <v>4007</v>
      </c>
      <c r="O493" t="s">
        <v>4007</v>
      </c>
      <c r="P493" s="1"/>
      <c r="Q493" s="1"/>
      <c r="S493" s="2">
        <f>CONSOLIDADO_2026[[#This Row],[Hora final]]-CONSOLIDADO_2026[[#This Row],[Hora inic]]</f>
        <v>0</v>
      </c>
    </row>
    <row r="494" spans="1:19" x14ac:dyDescent="0.25">
      <c r="A494" t="s">
        <v>4121</v>
      </c>
      <c r="B494">
        <v>1017264032</v>
      </c>
      <c r="C494" t="s">
        <v>105</v>
      </c>
      <c r="D494" t="s">
        <v>64</v>
      </c>
      <c r="E494" t="s">
        <v>4012</v>
      </c>
      <c r="F494" t="s">
        <v>25</v>
      </c>
      <c r="G494" s="1">
        <v>46229</v>
      </c>
      <c r="H494" s="1">
        <v>46258</v>
      </c>
      <c r="I494" s="2"/>
      <c r="J494" s="2"/>
      <c r="L494" t="s">
        <v>269</v>
      </c>
      <c r="M494" s="1"/>
      <c r="N494" t="s">
        <v>21</v>
      </c>
      <c r="O494" t="s">
        <v>21</v>
      </c>
      <c r="P494" s="1"/>
      <c r="Q494" s="1"/>
      <c r="S494" s="2">
        <f>CONSOLIDADO_2026[[#This Row],[Hora final]]-CONSOLIDADO_2026[[#This Row],[Hora inic]]</f>
        <v>0</v>
      </c>
    </row>
    <row r="495" spans="1:19" x14ac:dyDescent="0.25">
      <c r="A495" t="s">
        <v>4121</v>
      </c>
      <c r="B495">
        <v>1036132488</v>
      </c>
      <c r="C495" t="s">
        <v>141</v>
      </c>
      <c r="D495" t="s">
        <v>142</v>
      </c>
      <c r="E495" t="s">
        <v>4012</v>
      </c>
      <c r="F495" t="s">
        <v>25</v>
      </c>
      <c r="G495" s="1">
        <v>46227</v>
      </c>
      <c r="H495" s="1">
        <v>46246</v>
      </c>
      <c r="I495" s="2">
        <v>0.25</v>
      </c>
      <c r="J495" s="2">
        <v>0.58333333333333337</v>
      </c>
      <c r="K495" t="s">
        <v>237</v>
      </c>
      <c r="L495" t="s">
        <v>238</v>
      </c>
      <c r="M495" s="1"/>
      <c r="N495" t="s">
        <v>21</v>
      </c>
      <c r="O495" t="s">
        <v>21</v>
      </c>
      <c r="P495" s="1"/>
      <c r="Q495" s="1"/>
      <c r="S495" s="2">
        <f>CONSOLIDADO_2026[[#This Row],[Hora final]]-CONSOLIDADO_2026[[#This Row],[Hora inic]]</f>
        <v>0.33333333333333337</v>
      </c>
    </row>
    <row r="496" spans="1:19" x14ac:dyDescent="0.25">
      <c r="A496" t="s">
        <v>4121</v>
      </c>
      <c r="B496">
        <v>43558465</v>
      </c>
      <c r="C496" t="s">
        <v>103</v>
      </c>
      <c r="D496" t="s">
        <v>64</v>
      </c>
      <c r="E496" t="s">
        <v>4012</v>
      </c>
      <c r="F496" t="s">
        <v>25</v>
      </c>
      <c r="G496" s="1">
        <v>46226</v>
      </c>
      <c r="H496" s="1">
        <v>46246</v>
      </c>
      <c r="I496" s="2">
        <v>0.25</v>
      </c>
      <c r="J496" s="2">
        <v>0.66666666666666663</v>
      </c>
      <c r="K496" t="s">
        <v>203</v>
      </c>
      <c r="L496" t="s">
        <v>204</v>
      </c>
      <c r="M496" s="1"/>
      <c r="N496" t="s">
        <v>21</v>
      </c>
      <c r="O496" t="s">
        <v>21</v>
      </c>
      <c r="P496" s="1"/>
      <c r="Q496" s="1"/>
      <c r="S496" s="2">
        <f>CONSOLIDADO_2026[[#This Row],[Hora final]]-CONSOLIDADO_2026[[#This Row],[Hora inic]]</f>
        <v>0.41666666666666663</v>
      </c>
    </row>
    <row r="497" spans="1:19" x14ac:dyDescent="0.25">
      <c r="A497" t="s">
        <v>4121</v>
      </c>
      <c r="B497">
        <v>1037631989</v>
      </c>
      <c r="C497" t="s">
        <v>40</v>
      </c>
      <c r="D497" t="s">
        <v>41</v>
      </c>
      <c r="E497" t="s">
        <v>4011</v>
      </c>
      <c r="F497" t="s">
        <v>25</v>
      </c>
      <c r="G497" s="1">
        <v>46226</v>
      </c>
      <c r="H497" s="1">
        <v>46255</v>
      </c>
      <c r="I497" s="2"/>
      <c r="J497" s="2"/>
      <c r="L497" t="s">
        <v>269</v>
      </c>
      <c r="M497" s="1"/>
      <c r="N497" t="s">
        <v>21</v>
      </c>
      <c r="O497" t="s">
        <v>21</v>
      </c>
      <c r="P497" s="1"/>
      <c r="Q497" s="1"/>
      <c r="S497" s="2">
        <f>CONSOLIDADO_2026[[#This Row],[Hora final]]-CONSOLIDADO_2026[[#This Row],[Hora inic]]</f>
        <v>0</v>
      </c>
    </row>
    <row r="498" spans="1:19" x14ac:dyDescent="0.25">
      <c r="A498" t="s">
        <v>4121</v>
      </c>
      <c r="B498">
        <v>1043006106</v>
      </c>
      <c r="C498" t="s">
        <v>159</v>
      </c>
      <c r="D498" t="s">
        <v>160</v>
      </c>
      <c r="E498" t="s">
        <v>4011</v>
      </c>
      <c r="F498" t="s">
        <v>25</v>
      </c>
      <c r="G498" s="1">
        <v>46219</v>
      </c>
      <c r="H498" s="1">
        <v>46248</v>
      </c>
      <c r="I498" s="2"/>
      <c r="J498" s="2"/>
      <c r="L498" t="s">
        <v>269</v>
      </c>
      <c r="M498" s="1"/>
      <c r="N498" t="s">
        <v>21</v>
      </c>
      <c r="O498" t="s">
        <v>21</v>
      </c>
      <c r="P498" s="1"/>
      <c r="Q498" s="1"/>
      <c r="S498" s="2">
        <f>CONSOLIDADO_2026[[#This Row],[Hora final]]-CONSOLIDADO_2026[[#This Row],[Hora inic]]</f>
        <v>0</v>
      </c>
    </row>
    <row r="499" spans="1:19" x14ac:dyDescent="0.25">
      <c r="A499" t="s">
        <v>4121</v>
      </c>
      <c r="B499">
        <v>1037638426</v>
      </c>
      <c r="C499" t="s">
        <v>72</v>
      </c>
      <c r="D499" t="s">
        <v>41</v>
      </c>
      <c r="E499" t="s">
        <v>4011</v>
      </c>
      <c r="F499" t="s">
        <v>30</v>
      </c>
      <c r="G499" s="1">
        <v>46230</v>
      </c>
      <c r="H499" s="1">
        <v>46262</v>
      </c>
      <c r="I499" s="2"/>
      <c r="J499" s="2"/>
      <c r="L499" t="s">
        <v>269</v>
      </c>
      <c r="M499" s="1"/>
      <c r="N499" t="s">
        <v>21</v>
      </c>
      <c r="O499" t="s">
        <v>21</v>
      </c>
      <c r="P499" s="1"/>
      <c r="Q499" s="1"/>
      <c r="S499" s="2">
        <f>CONSOLIDADO_2026[[#This Row],[Hora final]]-CONSOLIDADO_2026[[#This Row],[Hora inic]]</f>
        <v>0</v>
      </c>
    </row>
    <row r="500" spans="1:19" x14ac:dyDescent="0.25">
      <c r="A500" t="s">
        <v>4121</v>
      </c>
      <c r="B500">
        <v>1018466443</v>
      </c>
      <c r="C500" t="s">
        <v>4109</v>
      </c>
      <c r="D500" t="s">
        <v>410</v>
      </c>
      <c r="E500" t="s">
        <v>4005</v>
      </c>
      <c r="F500" t="s">
        <v>4091</v>
      </c>
      <c r="G500" s="1">
        <v>46239</v>
      </c>
      <c r="H500" s="1">
        <v>46244</v>
      </c>
      <c r="I500" s="2"/>
      <c r="J500" s="2"/>
      <c r="L500" t="s">
        <v>269</v>
      </c>
      <c r="M500" s="1"/>
      <c r="N500" t="s">
        <v>4007</v>
      </c>
      <c r="O500" t="s">
        <v>4007</v>
      </c>
      <c r="P500" s="1"/>
      <c r="Q500" s="1"/>
      <c r="S500" s="2">
        <f>CONSOLIDADO_2026[[#This Row],[Hora final]]-CONSOLIDADO_2026[[#This Row],[Hora inic]]</f>
        <v>0</v>
      </c>
    </row>
    <row r="501" spans="1:19" x14ac:dyDescent="0.25">
      <c r="A501" t="s">
        <v>4121</v>
      </c>
      <c r="B501">
        <v>1121506548</v>
      </c>
      <c r="C501" t="s">
        <v>50</v>
      </c>
      <c r="D501" t="s">
        <v>51</v>
      </c>
      <c r="E501" t="s">
        <v>4011</v>
      </c>
      <c r="F501" t="s">
        <v>16</v>
      </c>
      <c r="G501" s="1">
        <v>46217</v>
      </c>
      <c r="H501" s="1">
        <v>46342</v>
      </c>
      <c r="I501" s="2"/>
      <c r="J501" s="2"/>
      <c r="L501" t="s">
        <v>269</v>
      </c>
      <c r="M501" s="1"/>
      <c r="N501" t="s">
        <v>21</v>
      </c>
      <c r="O501" t="s">
        <v>21</v>
      </c>
      <c r="P501" s="1"/>
      <c r="Q501" s="1"/>
      <c r="S501" s="2">
        <f>CONSOLIDADO_2026[[#This Row],[Hora final]]-CONSOLIDADO_2026[[#This Row],[Hora inic]]</f>
        <v>0</v>
      </c>
    </row>
    <row r="502" spans="1:19" x14ac:dyDescent="0.25">
      <c r="A502" t="s">
        <v>4121</v>
      </c>
      <c r="B502">
        <v>1143460426</v>
      </c>
      <c r="C502" t="s">
        <v>4034</v>
      </c>
      <c r="D502" t="s">
        <v>160</v>
      </c>
      <c r="E502" t="s">
        <v>4011</v>
      </c>
      <c r="F502" t="s">
        <v>4015</v>
      </c>
      <c r="G502" s="1">
        <v>46195</v>
      </c>
      <c r="H502" s="1">
        <v>46198</v>
      </c>
      <c r="I502" s="2">
        <v>0.25</v>
      </c>
      <c r="J502" s="2">
        <v>0.66666666666666663</v>
      </c>
      <c r="K502" t="s">
        <v>216</v>
      </c>
      <c r="L502" t="s">
        <v>217</v>
      </c>
      <c r="M502" s="1"/>
      <c r="N502" t="s">
        <v>4007</v>
      </c>
      <c r="O502" t="s">
        <v>4007</v>
      </c>
      <c r="P502" s="1"/>
      <c r="Q502" s="1"/>
      <c r="S502" s="2">
        <f>CONSOLIDADO_2026[[#This Row],[Hora final]]-CONSOLIDADO_2026[[#This Row],[Hora inic]]</f>
        <v>0.41666666666666663</v>
      </c>
    </row>
    <row r="503" spans="1:19" x14ac:dyDescent="0.25">
      <c r="A503" t="s">
        <v>4121</v>
      </c>
      <c r="B503">
        <v>1010135017</v>
      </c>
      <c r="C503" t="s">
        <v>1245</v>
      </c>
      <c r="D503" t="s">
        <v>326</v>
      </c>
      <c r="E503" t="s">
        <v>4005</v>
      </c>
      <c r="F503" t="s">
        <v>4040</v>
      </c>
      <c r="G503" s="1">
        <v>46239</v>
      </c>
      <c r="H503" s="1"/>
      <c r="I503" s="2"/>
      <c r="J503" s="2"/>
      <c r="L503" t="s">
        <v>4051</v>
      </c>
      <c r="M503" s="1"/>
      <c r="N503" t="s">
        <v>4007</v>
      </c>
      <c r="O503" t="s">
        <v>4007</v>
      </c>
      <c r="P503" s="1"/>
      <c r="Q503" s="1"/>
      <c r="S503" s="2">
        <f>CONSOLIDADO_2026[[#This Row],[Hora final]]-CONSOLIDADO_2026[[#This Row],[Hora inic]]</f>
        <v>0</v>
      </c>
    </row>
    <row r="504" spans="1:19" x14ac:dyDescent="0.25">
      <c r="A504" t="s">
        <v>4121</v>
      </c>
      <c r="B504">
        <v>1042422897</v>
      </c>
      <c r="C504" t="s">
        <v>4069</v>
      </c>
      <c r="D504" t="s">
        <v>326</v>
      </c>
      <c r="E504" t="s">
        <v>4005</v>
      </c>
      <c r="F504" t="s">
        <v>4015</v>
      </c>
      <c r="G504" s="1">
        <v>46242</v>
      </c>
      <c r="H504" s="1">
        <v>46245</v>
      </c>
      <c r="I504" s="2">
        <v>0.25</v>
      </c>
      <c r="J504" s="2">
        <v>0.66666666666666663</v>
      </c>
      <c r="L504" t="s">
        <v>4126</v>
      </c>
      <c r="M504" s="1"/>
      <c r="N504" t="s">
        <v>4007</v>
      </c>
      <c r="O504" t="s">
        <v>4007</v>
      </c>
      <c r="P504" s="1"/>
      <c r="Q504" s="1"/>
      <c r="S504" s="2">
        <f>CONSOLIDADO_2026[[#This Row],[Hora final]]-CONSOLIDADO_2026[[#This Row],[Hora inic]]</f>
        <v>0.41666666666666663</v>
      </c>
    </row>
    <row r="505" spans="1:19" x14ac:dyDescent="0.25">
      <c r="A505" t="s">
        <v>4121</v>
      </c>
      <c r="B505">
        <v>1098777544</v>
      </c>
      <c r="C505" t="s">
        <v>81</v>
      </c>
      <c r="D505" t="s">
        <v>82</v>
      </c>
      <c r="E505" t="s">
        <v>4005</v>
      </c>
      <c r="F505" t="s">
        <v>25</v>
      </c>
      <c r="G505" s="1">
        <v>46217</v>
      </c>
      <c r="H505" s="1">
        <v>46246</v>
      </c>
      <c r="I505" s="2"/>
      <c r="J505" s="2"/>
      <c r="L505" t="s">
        <v>269</v>
      </c>
      <c r="M505" s="1"/>
      <c r="N505" t="s">
        <v>21</v>
      </c>
      <c r="O505" t="s">
        <v>21</v>
      </c>
      <c r="P505" s="1"/>
      <c r="Q505" s="1"/>
      <c r="S505" s="2">
        <f>CONSOLIDADO_2026[[#This Row],[Hora final]]-CONSOLIDADO_2026[[#This Row],[Hora inic]]</f>
        <v>0</v>
      </c>
    </row>
    <row r="506" spans="1:19" x14ac:dyDescent="0.25">
      <c r="A506" t="s">
        <v>4121</v>
      </c>
      <c r="B506">
        <v>1037634709</v>
      </c>
      <c r="C506" t="s">
        <v>4009</v>
      </c>
      <c r="D506" t="s">
        <v>420</v>
      </c>
      <c r="E506" t="s">
        <v>4010</v>
      </c>
      <c r="F506" t="s">
        <v>4015</v>
      </c>
      <c r="G506" s="1">
        <v>46238</v>
      </c>
      <c r="H506" s="1">
        <v>46240</v>
      </c>
      <c r="I506" s="2"/>
      <c r="J506" s="2"/>
      <c r="L506" t="s">
        <v>4006</v>
      </c>
      <c r="M506" s="1"/>
      <c r="N506" t="s">
        <v>4007</v>
      </c>
      <c r="O506" t="s">
        <v>4007</v>
      </c>
      <c r="P506" s="1"/>
      <c r="Q506" s="1"/>
      <c r="S506" s="2">
        <f>CONSOLIDADO_2026[[#This Row],[Hora final]]-CONSOLIDADO_2026[[#This Row],[Hora inic]]</f>
        <v>0</v>
      </c>
    </row>
    <row r="507" spans="1:19" x14ac:dyDescent="0.25">
      <c r="A507" t="s">
        <v>4121</v>
      </c>
      <c r="B507">
        <v>1214717629</v>
      </c>
      <c r="C507" t="s">
        <v>3038</v>
      </c>
      <c r="D507" t="s">
        <v>410</v>
      </c>
      <c r="E507" t="s">
        <v>4005</v>
      </c>
      <c r="F507" t="s">
        <v>25</v>
      </c>
      <c r="G507" s="1">
        <v>46240</v>
      </c>
      <c r="H507" s="1">
        <v>46240</v>
      </c>
      <c r="I507" s="2"/>
      <c r="J507" s="2"/>
      <c r="L507" t="s">
        <v>4006</v>
      </c>
      <c r="M507" s="1"/>
      <c r="N507" t="s">
        <v>4007</v>
      </c>
      <c r="O507" t="s">
        <v>4007</v>
      </c>
      <c r="P507" s="1"/>
      <c r="Q507" s="1"/>
      <c r="S507" s="2">
        <f>CONSOLIDADO_2026[[#This Row],[Hora final]]-CONSOLIDADO_2026[[#This Row],[Hora inic]]</f>
        <v>0</v>
      </c>
    </row>
    <row r="508" spans="1:19" x14ac:dyDescent="0.25">
      <c r="A508" t="s">
        <v>4121</v>
      </c>
      <c r="B508">
        <v>1001851670</v>
      </c>
      <c r="C508" t="s">
        <v>14</v>
      </c>
      <c r="D508" t="s">
        <v>15</v>
      </c>
      <c r="E508" t="s">
        <v>4012</v>
      </c>
      <c r="F508" t="s">
        <v>16</v>
      </c>
      <c r="G508" s="1">
        <v>46237</v>
      </c>
      <c r="H508" s="1">
        <v>46366</v>
      </c>
      <c r="I508" s="2">
        <v>0.25</v>
      </c>
      <c r="J508" s="2">
        <v>0.66666666666666663</v>
      </c>
      <c r="K508" t="s">
        <v>154</v>
      </c>
      <c r="L508" t="s">
        <v>155</v>
      </c>
      <c r="M508" s="1"/>
      <c r="N508" t="s">
        <v>21</v>
      </c>
      <c r="O508" t="s">
        <v>21</v>
      </c>
      <c r="P508" s="1"/>
      <c r="Q508" s="1"/>
      <c r="S508" s="2">
        <f>CONSOLIDADO_2026[[#This Row],[Hora final]]-CONSOLIDADO_2026[[#This Row],[Hora inic]]</f>
        <v>0.41666666666666663</v>
      </c>
    </row>
    <row r="509" spans="1:19" x14ac:dyDescent="0.25">
      <c r="A509" t="s">
        <v>4121</v>
      </c>
      <c r="B509">
        <v>1045718883</v>
      </c>
      <c r="C509" t="s">
        <v>47</v>
      </c>
      <c r="D509" t="s">
        <v>34</v>
      </c>
      <c r="E509" t="s">
        <v>4011</v>
      </c>
      <c r="F509" t="s">
        <v>4040</v>
      </c>
      <c r="G509" s="1">
        <v>46240</v>
      </c>
      <c r="H509" s="1">
        <v>46249</v>
      </c>
      <c r="I509" s="2">
        <v>0.25</v>
      </c>
      <c r="J509" s="2">
        <v>0.66666666666666663</v>
      </c>
      <c r="K509" t="s">
        <v>178</v>
      </c>
      <c r="L509" t="s">
        <v>179</v>
      </c>
      <c r="M509" s="1"/>
      <c r="N509" t="s">
        <v>4007</v>
      </c>
      <c r="O509" t="s">
        <v>4007</v>
      </c>
      <c r="P509" s="1"/>
      <c r="Q509" s="1"/>
      <c r="S509" s="2">
        <f>CONSOLIDADO_2026[[#This Row],[Hora final]]-CONSOLIDADO_2026[[#This Row],[Hora inic]]</f>
        <v>0.41666666666666663</v>
      </c>
    </row>
    <row r="510" spans="1:19" x14ac:dyDescent="0.25">
      <c r="A510" t="s">
        <v>4121</v>
      </c>
      <c r="B510">
        <v>1102808787</v>
      </c>
      <c r="C510" t="s">
        <v>265</v>
      </c>
      <c r="D510" t="s">
        <v>51</v>
      </c>
      <c r="E510" t="s">
        <v>4011</v>
      </c>
      <c r="F510" t="s">
        <v>25</v>
      </c>
      <c r="G510" s="1">
        <v>46237</v>
      </c>
      <c r="H510" s="1">
        <v>46256</v>
      </c>
      <c r="I510" s="2"/>
      <c r="J510" s="2"/>
      <c r="L510" t="s">
        <v>269</v>
      </c>
      <c r="M510" s="1"/>
      <c r="N510" t="s">
        <v>21</v>
      </c>
      <c r="O510" t="s">
        <v>21</v>
      </c>
      <c r="P510" s="1"/>
      <c r="Q510" s="1"/>
      <c r="S510" s="2">
        <f>CONSOLIDADO_2026[[#This Row],[Hora final]]-CONSOLIDADO_2026[[#This Row],[Hora inic]]</f>
        <v>0</v>
      </c>
    </row>
    <row r="511" spans="1:19" x14ac:dyDescent="0.25">
      <c r="A511" t="s">
        <v>4121</v>
      </c>
      <c r="B511">
        <v>1152699151</v>
      </c>
      <c r="C511" t="s">
        <v>944</v>
      </c>
      <c r="D511" t="s">
        <v>4093</v>
      </c>
      <c r="E511" t="s">
        <v>4011</v>
      </c>
      <c r="F511" t="s">
        <v>4091</v>
      </c>
      <c r="G511" s="1">
        <v>46238</v>
      </c>
      <c r="H511" s="1">
        <v>46240</v>
      </c>
      <c r="I511" s="2"/>
      <c r="J511" s="2"/>
      <c r="L511" t="s">
        <v>4006</v>
      </c>
      <c r="M511" s="1"/>
      <c r="N511" t="s">
        <v>4007</v>
      </c>
      <c r="O511" t="s">
        <v>4007</v>
      </c>
      <c r="P511" s="1"/>
      <c r="Q511" s="1"/>
      <c r="S511" s="2">
        <f>CONSOLIDADO_2026[[#This Row],[Hora final]]-CONSOLIDADO_2026[[#This Row],[Hora inic]]</f>
        <v>0</v>
      </c>
    </row>
    <row r="512" spans="1:19" x14ac:dyDescent="0.25">
      <c r="A512" t="s">
        <v>4121</v>
      </c>
      <c r="B512">
        <v>1072648283</v>
      </c>
      <c r="C512" t="s">
        <v>739</v>
      </c>
      <c r="D512" t="s">
        <v>211</v>
      </c>
      <c r="E512" t="s">
        <v>4017</v>
      </c>
      <c r="F512" t="s">
        <v>25</v>
      </c>
      <c r="G512" s="1">
        <v>46240</v>
      </c>
      <c r="H512" s="1">
        <v>46240</v>
      </c>
      <c r="I512" s="2"/>
      <c r="J512" s="2"/>
      <c r="L512" t="s">
        <v>4050</v>
      </c>
      <c r="M512" s="1"/>
      <c r="N512" t="s">
        <v>4007</v>
      </c>
      <c r="O512" t="s">
        <v>4007</v>
      </c>
      <c r="P512" s="1"/>
      <c r="Q512" s="1"/>
      <c r="S512" s="2">
        <f>CONSOLIDADO_2026[[#This Row],[Hora final]]-CONSOLIDADO_2026[[#This Row],[Hora inic]]</f>
        <v>0</v>
      </c>
    </row>
    <row r="513" spans="1:19" x14ac:dyDescent="0.25">
      <c r="A513" t="s">
        <v>4121</v>
      </c>
      <c r="B513">
        <v>1084253148</v>
      </c>
      <c r="C513" t="s">
        <v>1049</v>
      </c>
      <c r="D513" t="s">
        <v>211</v>
      </c>
      <c r="E513" t="s">
        <v>4017</v>
      </c>
      <c r="F513" t="s">
        <v>4040</v>
      </c>
      <c r="G513" s="1">
        <v>46240</v>
      </c>
      <c r="H513" s="1">
        <v>46240</v>
      </c>
      <c r="I513" s="2"/>
      <c r="J513" s="2"/>
      <c r="L513" t="s">
        <v>4050</v>
      </c>
      <c r="M513" s="1"/>
      <c r="N513" t="s">
        <v>4007</v>
      </c>
      <c r="O513" t="s">
        <v>4007</v>
      </c>
      <c r="P513" s="1"/>
      <c r="Q513" s="1"/>
      <c r="S513" s="2">
        <f>CONSOLIDADO_2026[[#This Row],[Hora final]]-CONSOLIDADO_2026[[#This Row],[Hora inic]]</f>
        <v>0</v>
      </c>
    </row>
    <row r="514" spans="1:19" x14ac:dyDescent="0.25">
      <c r="A514" t="s">
        <v>4121</v>
      </c>
      <c r="B514">
        <v>45529043</v>
      </c>
      <c r="C514" t="s">
        <v>712</v>
      </c>
      <c r="D514" t="s">
        <v>322</v>
      </c>
      <c r="E514" t="s">
        <v>4017</v>
      </c>
      <c r="F514" t="s">
        <v>25</v>
      </c>
      <c r="G514" s="1">
        <v>46240</v>
      </c>
      <c r="H514" s="1">
        <v>46240</v>
      </c>
      <c r="I514" s="2"/>
      <c r="J514" s="2"/>
      <c r="L514" t="s">
        <v>4006</v>
      </c>
      <c r="M514" s="1"/>
      <c r="N514" t="s">
        <v>4007</v>
      </c>
      <c r="O514" t="s">
        <v>4007</v>
      </c>
      <c r="P514" s="1"/>
      <c r="Q514" s="1"/>
      <c r="S514" s="2">
        <f>CONSOLIDADO_2026[[#This Row],[Hora final]]-CONSOLIDADO_2026[[#This Row],[Hora inic]]</f>
        <v>0</v>
      </c>
    </row>
    <row r="515" spans="1:19" x14ac:dyDescent="0.25">
      <c r="A515" t="s">
        <v>4121</v>
      </c>
      <c r="B515">
        <v>1152687492</v>
      </c>
      <c r="C515" t="s">
        <v>4095</v>
      </c>
      <c r="D515" t="s">
        <v>336</v>
      </c>
      <c r="E515" t="s">
        <v>4017</v>
      </c>
      <c r="F515" t="s">
        <v>4015</v>
      </c>
      <c r="G515" s="1">
        <v>46238</v>
      </c>
      <c r="H515" s="1">
        <v>46240</v>
      </c>
      <c r="I515" s="2"/>
      <c r="J515" s="2"/>
      <c r="L515" t="s">
        <v>4006</v>
      </c>
      <c r="M515" s="1"/>
      <c r="N515" t="s">
        <v>4007</v>
      </c>
      <c r="O515" t="s">
        <v>4007</v>
      </c>
      <c r="P515" s="1"/>
      <c r="Q515" s="1"/>
      <c r="S515" s="2">
        <f>CONSOLIDADO_2026[[#This Row],[Hora final]]-CONSOLIDADO_2026[[#This Row],[Hora inic]]</f>
        <v>0</v>
      </c>
    </row>
    <row r="516" spans="1:19" x14ac:dyDescent="0.25">
      <c r="A516" t="s">
        <v>4121</v>
      </c>
      <c r="B516">
        <v>1214743963</v>
      </c>
      <c r="C516" t="s">
        <v>1511</v>
      </c>
      <c r="D516" t="s">
        <v>326</v>
      </c>
      <c r="E516" t="s">
        <v>4005</v>
      </c>
      <c r="F516" t="s">
        <v>25</v>
      </c>
      <c r="G516" s="1">
        <v>46240</v>
      </c>
      <c r="H516" s="1">
        <v>46240</v>
      </c>
      <c r="I516" s="2"/>
      <c r="J516" s="2"/>
      <c r="L516" t="s">
        <v>4006</v>
      </c>
      <c r="M516" s="1"/>
      <c r="N516" t="s">
        <v>4007</v>
      </c>
      <c r="O516" t="s">
        <v>4007</v>
      </c>
      <c r="P516" s="1"/>
      <c r="Q516" s="1"/>
      <c r="S516" s="2">
        <f>CONSOLIDADO_2026[[#This Row],[Hora final]]-CONSOLIDADO_2026[[#This Row],[Hora inic]]</f>
        <v>0</v>
      </c>
    </row>
    <row r="517" spans="1:19" x14ac:dyDescent="0.25">
      <c r="A517" t="s">
        <v>4121</v>
      </c>
      <c r="B517">
        <v>1001446162</v>
      </c>
      <c r="C517" t="s">
        <v>3622</v>
      </c>
      <c r="D517" t="s">
        <v>4045</v>
      </c>
      <c r="E517" t="s">
        <v>4017</v>
      </c>
      <c r="F517" t="s">
        <v>4046</v>
      </c>
      <c r="G517" s="1">
        <v>46242</v>
      </c>
      <c r="H517" s="1">
        <v>46242</v>
      </c>
      <c r="I517" s="2">
        <v>0.25</v>
      </c>
      <c r="J517" s="2">
        <v>0.58333333333333337</v>
      </c>
      <c r="K517" t="s">
        <v>3621</v>
      </c>
      <c r="L517" t="s">
        <v>3622</v>
      </c>
      <c r="M517" s="1"/>
      <c r="N517" t="s">
        <v>4007</v>
      </c>
      <c r="O517" t="s">
        <v>4007</v>
      </c>
      <c r="P517" s="1"/>
      <c r="Q517" s="1"/>
      <c r="S517" s="2">
        <f>CONSOLIDADO_2026[[#This Row],[Hora final]]-CONSOLIDADO_2026[[#This Row],[Hora inic]]</f>
        <v>0.33333333333333337</v>
      </c>
    </row>
    <row r="518" spans="1:19" x14ac:dyDescent="0.25">
      <c r="A518" t="s">
        <v>4121</v>
      </c>
      <c r="B518">
        <v>1001369228</v>
      </c>
      <c r="C518" t="s">
        <v>92</v>
      </c>
      <c r="D518" t="s">
        <v>4045</v>
      </c>
      <c r="E518" t="s">
        <v>4017</v>
      </c>
      <c r="F518" t="s">
        <v>4046</v>
      </c>
      <c r="G518" s="1">
        <v>46242</v>
      </c>
      <c r="H518" s="1">
        <v>46242</v>
      </c>
      <c r="I518" s="2">
        <v>0.25</v>
      </c>
      <c r="J518" s="2">
        <v>0.58333333333333337</v>
      </c>
      <c r="K518" t="s">
        <v>91</v>
      </c>
      <c r="L518" t="s">
        <v>92</v>
      </c>
      <c r="M518" s="1"/>
      <c r="N518" t="s">
        <v>4007</v>
      </c>
      <c r="O518" t="s">
        <v>4007</v>
      </c>
      <c r="P518" s="1"/>
      <c r="Q518" s="1"/>
      <c r="S518" s="2">
        <f>CONSOLIDADO_2026[[#This Row],[Hora final]]-CONSOLIDADO_2026[[#This Row],[Hora inic]]</f>
        <v>0.33333333333333337</v>
      </c>
    </row>
    <row r="519" spans="1:19" x14ac:dyDescent="0.25">
      <c r="A519" t="s">
        <v>4121</v>
      </c>
      <c r="B519">
        <v>1003000892</v>
      </c>
      <c r="C519" t="s">
        <v>2887</v>
      </c>
      <c r="D519" t="s">
        <v>128</v>
      </c>
      <c r="E519" t="s">
        <v>4005</v>
      </c>
      <c r="F519" t="s">
        <v>4072</v>
      </c>
      <c r="G519" s="1">
        <v>46242</v>
      </c>
      <c r="H519" s="1">
        <v>46242</v>
      </c>
      <c r="I519" s="2">
        <v>0.25</v>
      </c>
      <c r="J519" s="2">
        <v>0.54166666666666663</v>
      </c>
      <c r="L519" t="s">
        <v>4099</v>
      </c>
      <c r="M519" s="1"/>
      <c r="N519" t="s">
        <v>4007</v>
      </c>
      <c r="O519" t="s">
        <v>4007</v>
      </c>
      <c r="P519" s="1"/>
      <c r="Q519" s="1"/>
      <c r="S519" s="2">
        <f>CONSOLIDADO_2026[[#This Row],[Hora final]]-CONSOLIDADO_2026[[#This Row],[Hora inic]]</f>
        <v>0.29166666666666663</v>
      </c>
    </row>
    <row r="520" spans="1:19" x14ac:dyDescent="0.25">
      <c r="A520" t="s">
        <v>4121</v>
      </c>
      <c r="B520">
        <v>1039462842</v>
      </c>
      <c r="C520" t="s">
        <v>431</v>
      </c>
      <c r="D520" t="s">
        <v>78</v>
      </c>
      <c r="E520" t="s">
        <v>4010</v>
      </c>
      <c r="F520" t="s">
        <v>25</v>
      </c>
      <c r="G520" s="1">
        <v>46240</v>
      </c>
      <c r="H520" s="1">
        <v>46240</v>
      </c>
      <c r="I520" s="2"/>
      <c r="J520" s="2"/>
      <c r="L520" t="s">
        <v>4006</v>
      </c>
      <c r="M520" s="1"/>
      <c r="N520" t="s">
        <v>4007</v>
      </c>
      <c r="O520" t="s">
        <v>4007</v>
      </c>
      <c r="P520" s="1"/>
      <c r="Q520" s="1"/>
      <c r="S520" s="2">
        <f>CONSOLIDADO_2026[[#This Row],[Hora final]]-CONSOLIDADO_2026[[#This Row],[Hora inic]]</f>
        <v>0</v>
      </c>
    </row>
    <row r="521" spans="1:19" x14ac:dyDescent="0.25">
      <c r="A521" t="s">
        <v>4121</v>
      </c>
      <c r="B521">
        <v>1000921455</v>
      </c>
      <c r="C521" t="s">
        <v>33</v>
      </c>
      <c r="D521" t="s">
        <v>34</v>
      </c>
      <c r="E521" t="s">
        <v>4011</v>
      </c>
      <c r="F521" t="s">
        <v>25</v>
      </c>
      <c r="G521" s="1">
        <v>46239</v>
      </c>
      <c r="H521" s="1">
        <v>46246</v>
      </c>
      <c r="I521" s="2">
        <v>0.25</v>
      </c>
      <c r="J521" s="2">
        <v>0.66666666666666663</v>
      </c>
      <c r="K521" t="s">
        <v>35</v>
      </c>
      <c r="L521" t="s">
        <v>36</v>
      </c>
      <c r="M521" s="1"/>
      <c r="N521" t="s">
        <v>21</v>
      </c>
      <c r="O521" t="s">
        <v>21</v>
      </c>
      <c r="P521" s="1"/>
      <c r="Q521" s="1"/>
      <c r="S521" s="2">
        <f>CONSOLIDADO_2026[[#This Row],[Hora final]]-CONSOLIDADO_2026[[#This Row],[Hora inic]]</f>
        <v>0.41666666666666663</v>
      </c>
    </row>
    <row r="522" spans="1:19" x14ac:dyDescent="0.25">
      <c r="A522" t="s">
        <v>4121</v>
      </c>
      <c r="B522">
        <v>1143413583</v>
      </c>
      <c r="C522" t="s">
        <v>54</v>
      </c>
      <c r="D522" t="s">
        <v>41</v>
      </c>
      <c r="E522" t="s">
        <v>4011</v>
      </c>
      <c r="F522" t="s">
        <v>4015</v>
      </c>
      <c r="G522" s="1">
        <v>46240</v>
      </c>
      <c r="H522" s="1">
        <v>46244</v>
      </c>
      <c r="I522" s="2">
        <v>0.25</v>
      </c>
      <c r="J522" s="2">
        <v>0.66666666666666663</v>
      </c>
      <c r="K522" t="s">
        <v>188</v>
      </c>
      <c r="L522" t="s">
        <v>189</v>
      </c>
      <c r="M522" s="1"/>
      <c r="N522" t="s">
        <v>4007</v>
      </c>
      <c r="O522" t="s">
        <v>4007</v>
      </c>
      <c r="P522" s="1"/>
      <c r="Q522" s="1"/>
      <c r="S522" s="2">
        <f>CONSOLIDADO_2026[[#This Row],[Hora final]]-CONSOLIDADO_2026[[#This Row],[Hora inic]]</f>
        <v>0.41666666666666663</v>
      </c>
    </row>
    <row r="523" spans="1:19" x14ac:dyDescent="0.25">
      <c r="A523" t="s">
        <v>4121</v>
      </c>
      <c r="B523">
        <v>1037668455</v>
      </c>
      <c r="C523" t="s">
        <v>2968</v>
      </c>
      <c r="D523" t="s">
        <v>24</v>
      </c>
      <c r="E523" t="s">
        <v>4011</v>
      </c>
      <c r="F523" t="s">
        <v>25</v>
      </c>
      <c r="G523" s="1">
        <v>46241</v>
      </c>
      <c r="H523" s="1">
        <v>46242</v>
      </c>
      <c r="I523" s="2">
        <v>0.25</v>
      </c>
      <c r="J523" s="2">
        <v>0.66666666666666663</v>
      </c>
      <c r="K523" t="s">
        <v>167</v>
      </c>
      <c r="L523" t="s">
        <v>168</v>
      </c>
      <c r="M523" s="1"/>
      <c r="N523" t="s">
        <v>4007</v>
      </c>
      <c r="O523" t="s">
        <v>4007</v>
      </c>
      <c r="P523" s="1"/>
      <c r="Q523" s="1"/>
      <c r="S523" s="2">
        <f>CONSOLIDADO_2026[[#This Row],[Hora final]]-CONSOLIDADO_2026[[#This Row],[Hora inic]]</f>
        <v>0.41666666666666663</v>
      </c>
    </row>
    <row r="524" spans="1:19" x14ac:dyDescent="0.25">
      <c r="A524" t="s">
        <v>4121</v>
      </c>
      <c r="B524">
        <v>1026134762</v>
      </c>
      <c r="C524" t="s">
        <v>1295</v>
      </c>
      <c r="D524" t="s">
        <v>34</v>
      </c>
      <c r="E524" t="s">
        <v>4011</v>
      </c>
      <c r="F524" t="s">
        <v>25</v>
      </c>
      <c r="G524" s="1">
        <v>46242</v>
      </c>
      <c r="H524" s="1">
        <v>46242</v>
      </c>
      <c r="I524" s="2">
        <v>0.25</v>
      </c>
      <c r="J524" s="2">
        <v>0.66666666666666663</v>
      </c>
      <c r="K524" t="s">
        <v>122</v>
      </c>
      <c r="L524" t="s">
        <v>123</v>
      </c>
      <c r="M524" s="1"/>
      <c r="N524" t="s">
        <v>4007</v>
      </c>
      <c r="O524" t="s">
        <v>4007</v>
      </c>
      <c r="P524" s="1"/>
      <c r="Q524" s="1"/>
      <c r="S524" s="2">
        <f>CONSOLIDADO_2026[[#This Row],[Hora final]]-CONSOLIDADO_2026[[#This Row],[Hora inic]]</f>
        <v>0.41666666666666663</v>
      </c>
    </row>
    <row r="525" spans="1:19" x14ac:dyDescent="0.25">
      <c r="A525" t="s">
        <v>4121</v>
      </c>
      <c r="B525">
        <v>1001817894</v>
      </c>
      <c r="C525" t="s">
        <v>1487</v>
      </c>
      <c r="D525" t="s">
        <v>34</v>
      </c>
      <c r="E525" t="s">
        <v>4011</v>
      </c>
      <c r="F525" t="s">
        <v>25</v>
      </c>
      <c r="G525" s="1">
        <v>46242</v>
      </c>
      <c r="H525" s="1">
        <v>46242</v>
      </c>
      <c r="I525" s="2">
        <v>0.25</v>
      </c>
      <c r="J525" s="2">
        <v>0.66666666666666663</v>
      </c>
      <c r="L525" t="s">
        <v>4022</v>
      </c>
      <c r="M525" s="1"/>
      <c r="N525" t="s">
        <v>4007</v>
      </c>
      <c r="O525" t="s">
        <v>4007</v>
      </c>
      <c r="P525" s="1"/>
      <c r="Q525" s="1"/>
      <c r="S525" s="2">
        <f>CONSOLIDADO_2026[[#This Row],[Hora final]]-CONSOLIDADO_2026[[#This Row],[Hora inic]]</f>
        <v>0.41666666666666663</v>
      </c>
    </row>
    <row r="526" spans="1:19" x14ac:dyDescent="0.25">
      <c r="A526" t="s">
        <v>4121</v>
      </c>
      <c r="B526">
        <v>1152446353</v>
      </c>
      <c r="C526" t="s">
        <v>3885</v>
      </c>
      <c r="D526" t="s">
        <v>15</v>
      </c>
      <c r="E526" t="s">
        <v>4012</v>
      </c>
      <c r="F526" t="s">
        <v>90</v>
      </c>
      <c r="G526" s="1"/>
      <c r="H526" s="1"/>
      <c r="I526" s="2"/>
      <c r="J526" s="2"/>
      <c r="L526" t="s">
        <v>4127</v>
      </c>
      <c r="M526" s="1"/>
      <c r="N526" t="s">
        <v>4007</v>
      </c>
      <c r="O526" t="s">
        <v>4007</v>
      </c>
      <c r="P526" s="1"/>
      <c r="Q526" s="1"/>
      <c r="S526" s="2">
        <f>CONSOLIDADO_2026[[#This Row],[Hora final]]-CONSOLIDADO_2026[[#This Row],[Hora inic]]</f>
        <v>0</v>
      </c>
    </row>
    <row r="527" spans="1:19" x14ac:dyDescent="0.25">
      <c r="A527" t="s">
        <v>4121</v>
      </c>
      <c r="B527">
        <v>1083567466</v>
      </c>
      <c r="C527" t="s">
        <v>1395</v>
      </c>
      <c r="D527" t="s">
        <v>343</v>
      </c>
      <c r="E527" t="s">
        <v>4012</v>
      </c>
      <c r="F527" t="s">
        <v>25</v>
      </c>
      <c r="G527" s="1">
        <v>46242</v>
      </c>
      <c r="H527" s="1">
        <v>46242</v>
      </c>
      <c r="I527" s="2">
        <v>0.25</v>
      </c>
      <c r="J527" s="2">
        <v>0.66666666666666663</v>
      </c>
      <c r="L527" t="s">
        <v>4022</v>
      </c>
      <c r="M527" s="1"/>
      <c r="N527" t="s">
        <v>4007</v>
      </c>
      <c r="O527" t="s">
        <v>4007</v>
      </c>
      <c r="P527" s="1"/>
      <c r="Q527" s="1"/>
      <c r="S527" s="2">
        <f>CONSOLIDADO_2026[[#This Row],[Hora final]]-CONSOLIDADO_2026[[#This Row],[Hora inic]]</f>
        <v>0.41666666666666663</v>
      </c>
    </row>
    <row r="528" spans="1:19" x14ac:dyDescent="0.25">
      <c r="A528" t="s">
        <v>4121</v>
      </c>
      <c r="B528">
        <v>1003083272</v>
      </c>
      <c r="C528" t="s">
        <v>1203</v>
      </c>
      <c r="D528" t="s">
        <v>64</v>
      </c>
      <c r="E528" t="s">
        <v>4012</v>
      </c>
      <c r="F528" t="s">
        <v>25</v>
      </c>
      <c r="G528" s="1">
        <v>46241</v>
      </c>
      <c r="H528" s="1">
        <v>46242</v>
      </c>
      <c r="I528" s="2">
        <v>0.25</v>
      </c>
      <c r="J528" s="2">
        <v>0.66666666666666663</v>
      </c>
      <c r="L528" t="s">
        <v>261</v>
      </c>
      <c r="M528" s="1"/>
      <c r="N528" t="s">
        <v>4007</v>
      </c>
      <c r="O528" t="s">
        <v>4007</v>
      </c>
      <c r="P528" s="1"/>
      <c r="Q528" s="1"/>
      <c r="S528" s="2">
        <f>CONSOLIDADO_2026[[#This Row],[Hora final]]-CONSOLIDADO_2026[[#This Row],[Hora inic]]</f>
        <v>0.41666666666666663</v>
      </c>
    </row>
    <row r="529" spans="1:19" x14ac:dyDescent="0.25">
      <c r="A529" t="s">
        <v>4121</v>
      </c>
      <c r="B529">
        <v>1083037131</v>
      </c>
      <c r="C529" t="s">
        <v>458</v>
      </c>
      <c r="D529" t="s">
        <v>160</v>
      </c>
      <c r="E529" t="s">
        <v>4011</v>
      </c>
      <c r="F529" t="s">
        <v>25</v>
      </c>
      <c r="G529" s="1">
        <v>46242</v>
      </c>
      <c r="H529" s="1">
        <v>46242</v>
      </c>
      <c r="I529" s="2">
        <v>0.25</v>
      </c>
      <c r="J529" s="2">
        <v>0.66666666666666663</v>
      </c>
      <c r="L529" t="s">
        <v>261</v>
      </c>
      <c r="M529" s="1"/>
      <c r="N529" t="s">
        <v>4007</v>
      </c>
      <c r="O529" t="s">
        <v>4007</v>
      </c>
      <c r="P529" s="1"/>
      <c r="Q529" s="1"/>
      <c r="S529" s="2">
        <f>CONSOLIDADO_2026[[#This Row],[Hora final]]-CONSOLIDADO_2026[[#This Row],[Hora inic]]</f>
        <v>0.41666666666666663</v>
      </c>
    </row>
    <row r="530" spans="1:19" x14ac:dyDescent="0.25">
      <c r="A530" t="s">
        <v>4121</v>
      </c>
      <c r="B530">
        <v>1037637914</v>
      </c>
      <c r="C530" t="s">
        <v>2704</v>
      </c>
      <c r="D530" t="s">
        <v>34</v>
      </c>
      <c r="E530" t="s">
        <v>4011</v>
      </c>
      <c r="F530" t="s">
        <v>25</v>
      </c>
      <c r="G530" s="1">
        <v>46242</v>
      </c>
      <c r="H530" s="1">
        <v>46242</v>
      </c>
      <c r="I530" s="2">
        <v>0.25</v>
      </c>
      <c r="J530" s="2">
        <v>0.66666666666666663</v>
      </c>
      <c r="L530" t="s">
        <v>261</v>
      </c>
      <c r="M530" s="1"/>
      <c r="N530" t="s">
        <v>4007</v>
      </c>
      <c r="O530" t="s">
        <v>4007</v>
      </c>
      <c r="P530" s="1"/>
      <c r="Q530" s="1"/>
      <c r="S530" s="2">
        <f>CONSOLIDADO_2026[[#This Row],[Hora final]]-CONSOLIDADO_2026[[#This Row],[Hora inic]]</f>
        <v>0.41666666666666663</v>
      </c>
    </row>
    <row r="531" spans="1:19" x14ac:dyDescent="0.25">
      <c r="A531" t="s">
        <v>4121</v>
      </c>
      <c r="B531">
        <v>1235045754</v>
      </c>
      <c r="C531" t="s">
        <v>2371</v>
      </c>
      <c r="D531" t="s">
        <v>343</v>
      </c>
      <c r="E531" t="s">
        <v>4012</v>
      </c>
      <c r="F531" t="s">
        <v>25</v>
      </c>
      <c r="G531" s="1">
        <v>46242</v>
      </c>
      <c r="H531" s="1">
        <v>46242</v>
      </c>
      <c r="I531" s="2"/>
      <c r="J531" s="2"/>
      <c r="L531" t="s">
        <v>4022</v>
      </c>
      <c r="M531" s="1"/>
      <c r="N531" t="s">
        <v>4007</v>
      </c>
      <c r="O531" t="s">
        <v>4007</v>
      </c>
      <c r="P531" s="1"/>
      <c r="Q531" s="1"/>
      <c r="S531" s="2">
        <f>CONSOLIDADO_2026[[#This Row],[Hora final]]-CONSOLIDADO_2026[[#This Row],[Hora inic]]</f>
        <v>0</v>
      </c>
    </row>
    <row r="532" spans="1:19" x14ac:dyDescent="0.25">
      <c r="A532" t="s">
        <v>4121</v>
      </c>
      <c r="B532">
        <v>1015483595</v>
      </c>
      <c r="C532" t="s">
        <v>4128</v>
      </c>
      <c r="D532" t="s">
        <v>34</v>
      </c>
      <c r="E532" t="s">
        <v>4011</v>
      </c>
      <c r="F532" t="s">
        <v>30</v>
      </c>
      <c r="G532" s="1">
        <v>46244</v>
      </c>
      <c r="H532" s="1">
        <v>46265</v>
      </c>
      <c r="I532" s="2">
        <v>0.25</v>
      </c>
      <c r="J532" s="2">
        <v>0.66666666666666663</v>
      </c>
      <c r="L532" t="s">
        <v>4022</v>
      </c>
      <c r="M532" s="1"/>
      <c r="N532" t="s">
        <v>4007</v>
      </c>
      <c r="O532" t="s">
        <v>4007</v>
      </c>
      <c r="P532" s="1"/>
      <c r="Q532" s="1"/>
      <c r="S532" s="2">
        <f>CONSOLIDADO_2026[[#This Row],[Hora final]]-CONSOLIDADO_2026[[#This Row],[Hora inic]]</f>
        <v>0.41666666666666663</v>
      </c>
    </row>
    <row r="533" spans="1:19" x14ac:dyDescent="0.25">
      <c r="A533" t="s">
        <v>4121</v>
      </c>
      <c r="B533">
        <v>1214714989</v>
      </c>
      <c r="C533" t="s">
        <v>2135</v>
      </c>
      <c r="D533" t="s">
        <v>326</v>
      </c>
      <c r="E533" t="s">
        <v>4005</v>
      </c>
      <c r="F533" t="s">
        <v>25</v>
      </c>
      <c r="G533" s="1">
        <v>46242</v>
      </c>
      <c r="H533" s="1">
        <v>46242</v>
      </c>
      <c r="I533" s="2">
        <v>0.25</v>
      </c>
      <c r="J533" s="2">
        <v>0.66666666666666663</v>
      </c>
      <c r="L533" t="s">
        <v>4022</v>
      </c>
      <c r="M533" s="1"/>
      <c r="N533" t="s">
        <v>4007</v>
      </c>
      <c r="O533" t="s">
        <v>4007</v>
      </c>
      <c r="P533" s="1"/>
      <c r="Q533" s="1"/>
      <c r="S533" s="2">
        <f>CONSOLIDADO_2026[[#This Row],[Hora final]]-CONSOLIDADO_2026[[#This Row],[Hora inic]]</f>
        <v>0.41666666666666663</v>
      </c>
    </row>
    <row r="534" spans="1:19" x14ac:dyDescent="0.25">
      <c r="A534" t="s">
        <v>4121</v>
      </c>
      <c r="B534">
        <v>1010149319</v>
      </c>
      <c r="C534" t="s">
        <v>3135</v>
      </c>
      <c r="D534" t="s">
        <v>142</v>
      </c>
      <c r="E534" t="s">
        <v>4012</v>
      </c>
      <c r="F534" t="s">
        <v>25</v>
      </c>
      <c r="G534" s="1">
        <v>46242</v>
      </c>
      <c r="H534" s="1">
        <v>46242</v>
      </c>
      <c r="I534" s="2">
        <v>0.25</v>
      </c>
      <c r="J534" s="2">
        <v>0.54166666666666663</v>
      </c>
      <c r="L534" t="s">
        <v>4022</v>
      </c>
      <c r="M534" s="1"/>
      <c r="N534" t="s">
        <v>4007</v>
      </c>
      <c r="O534" t="s">
        <v>4007</v>
      </c>
      <c r="P534" s="1"/>
      <c r="Q534" s="1"/>
      <c r="S534" s="2">
        <f>CONSOLIDADO_2026[[#This Row],[Hora final]]-CONSOLIDADO_2026[[#This Row],[Hora inic]]</f>
        <v>0.29166666666666663</v>
      </c>
    </row>
    <row r="535" spans="1:19" x14ac:dyDescent="0.25">
      <c r="A535" t="s">
        <v>4121</v>
      </c>
      <c r="B535">
        <v>1010246557</v>
      </c>
      <c r="C535" t="s">
        <v>3428</v>
      </c>
      <c r="D535" t="s">
        <v>326</v>
      </c>
      <c r="E535" t="s">
        <v>4005</v>
      </c>
      <c r="F535" t="s">
        <v>25</v>
      </c>
      <c r="G535" s="1">
        <v>46242</v>
      </c>
      <c r="H535" s="1">
        <v>46242</v>
      </c>
      <c r="I535" s="2">
        <v>0.25</v>
      </c>
      <c r="J535" s="2">
        <v>0.66666666666666663</v>
      </c>
      <c r="L535" t="s">
        <v>4129</v>
      </c>
      <c r="M535" s="1"/>
      <c r="N535" t="s">
        <v>4007</v>
      </c>
      <c r="O535" t="s">
        <v>4007</v>
      </c>
      <c r="P535" s="1"/>
      <c r="Q535" s="1"/>
      <c r="S535" s="2">
        <f>CONSOLIDADO_2026[[#This Row],[Hora final]]-CONSOLIDADO_2026[[#This Row],[Hora inic]]</f>
        <v>0.41666666666666663</v>
      </c>
    </row>
    <row r="536" spans="1:19" x14ac:dyDescent="0.25">
      <c r="A536" t="s">
        <v>4121</v>
      </c>
      <c r="B536">
        <v>88030132</v>
      </c>
      <c r="C536" t="s">
        <v>1903</v>
      </c>
      <c r="D536" t="s">
        <v>142</v>
      </c>
      <c r="E536" t="s">
        <v>4012</v>
      </c>
      <c r="F536" t="s">
        <v>4040</v>
      </c>
      <c r="G536" s="1">
        <v>46242</v>
      </c>
      <c r="H536" s="1">
        <v>46243</v>
      </c>
      <c r="I536" s="2">
        <v>0.25</v>
      </c>
      <c r="J536" s="2">
        <v>0.66666666666666663</v>
      </c>
      <c r="L536" t="s">
        <v>4022</v>
      </c>
      <c r="M536" s="1"/>
      <c r="N536" t="s">
        <v>4007</v>
      </c>
      <c r="O536" t="s">
        <v>4007</v>
      </c>
      <c r="P536" s="1"/>
      <c r="Q536" s="1"/>
      <c r="S536" s="2">
        <f>CONSOLIDADO_2026[[#This Row],[Hora final]]-CONSOLIDADO_2026[[#This Row],[Hora inic]]</f>
        <v>0.41666666666666663</v>
      </c>
    </row>
    <row r="537" spans="1:19" x14ac:dyDescent="0.25">
      <c r="A537" t="s">
        <v>4121</v>
      </c>
      <c r="B537">
        <v>1107046318</v>
      </c>
      <c r="C537" t="s">
        <v>213</v>
      </c>
      <c r="D537" t="s">
        <v>322</v>
      </c>
      <c r="E537" t="s">
        <v>4017</v>
      </c>
      <c r="F537" t="s">
        <v>4046</v>
      </c>
      <c r="G537" s="1">
        <v>46242</v>
      </c>
      <c r="H537" s="1">
        <v>46242</v>
      </c>
      <c r="I537" s="2">
        <v>0.29166666666666669</v>
      </c>
      <c r="J537" s="2">
        <v>0.66666666666666663</v>
      </c>
      <c r="L537" t="s">
        <v>4099</v>
      </c>
      <c r="M537" s="1"/>
      <c r="N537" t="s">
        <v>4007</v>
      </c>
      <c r="O537" t="s">
        <v>4007</v>
      </c>
      <c r="P537" s="1"/>
      <c r="Q537" s="1"/>
      <c r="S537" s="2">
        <f>CONSOLIDADO_2026[[#This Row],[Hora final]]-CONSOLIDADO_2026[[#This Row],[Hora inic]]</f>
        <v>0.37499999999999994</v>
      </c>
    </row>
    <row r="538" spans="1:19" x14ac:dyDescent="0.25">
      <c r="A538" t="s">
        <v>4121</v>
      </c>
      <c r="B538">
        <v>1038412205</v>
      </c>
      <c r="C538" t="s">
        <v>2800</v>
      </c>
      <c r="D538" t="s">
        <v>410</v>
      </c>
      <c r="E538" t="s">
        <v>4005</v>
      </c>
      <c r="F538" t="s">
        <v>4040</v>
      </c>
      <c r="G538" s="1">
        <v>46242</v>
      </c>
      <c r="H538" s="1">
        <v>46242</v>
      </c>
      <c r="I538" s="2">
        <v>0.25</v>
      </c>
      <c r="J538" s="2">
        <v>0.66666666666666663</v>
      </c>
      <c r="L538" t="s">
        <v>4022</v>
      </c>
      <c r="M538" s="1"/>
      <c r="N538" t="s">
        <v>4007</v>
      </c>
      <c r="O538" t="s">
        <v>4007</v>
      </c>
      <c r="P538" s="1"/>
      <c r="Q538" s="1"/>
      <c r="S538" s="2">
        <f>CONSOLIDADO_2026[[#This Row],[Hora final]]-CONSOLIDADO_2026[[#This Row],[Hora inic]]</f>
        <v>0.41666666666666663</v>
      </c>
    </row>
    <row r="539" spans="1:19" x14ac:dyDescent="0.25">
      <c r="A539" t="s">
        <v>4121</v>
      </c>
      <c r="B539">
        <v>1071169507</v>
      </c>
      <c r="C539" t="s">
        <v>88</v>
      </c>
      <c r="D539" t="s">
        <v>89</v>
      </c>
      <c r="E539" t="s">
        <v>4017</v>
      </c>
      <c r="F539" t="s">
        <v>90</v>
      </c>
      <c r="G539" s="1">
        <v>46242</v>
      </c>
      <c r="H539" s="1">
        <v>46247</v>
      </c>
      <c r="I539" s="2"/>
      <c r="J539" s="2"/>
      <c r="L539" t="s">
        <v>261</v>
      </c>
      <c r="M539" s="1"/>
      <c r="N539" t="s">
        <v>21</v>
      </c>
      <c r="O539" t="s">
        <v>21</v>
      </c>
      <c r="P539" s="1"/>
      <c r="Q539" s="1"/>
      <c r="S539" s="2">
        <f>CONSOLIDADO_2026[[#This Row],[Hora final]]-CONSOLIDADO_2026[[#This Row],[Hora inic]]</f>
        <v>0</v>
      </c>
    </row>
    <row r="540" spans="1:19" x14ac:dyDescent="0.25">
      <c r="A540" t="s">
        <v>4121</v>
      </c>
      <c r="B540">
        <v>1001445343</v>
      </c>
      <c r="C540" t="s">
        <v>1374</v>
      </c>
      <c r="D540" t="s">
        <v>322</v>
      </c>
      <c r="E540" t="s">
        <v>4017</v>
      </c>
      <c r="F540" t="s">
        <v>25</v>
      </c>
      <c r="G540" s="1">
        <v>46242</v>
      </c>
      <c r="H540" s="1">
        <v>46242</v>
      </c>
      <c r="I540" s="2">
        <v>0.25</v>
      </c>
      <c r="J540" s="2">
        <v>0.58333333333333337</v>
      </c>
      <c r="K540" t="s">
        <v>134</v>
      </c>
      <c r="L540" t="s">
        <v>135</v>
      </c>
      <c r="M540" s="1"/>
      <c r="N540" t="s">
        <v>4007</v>
      </c>
      <c r="O540" t="s">
        <v>4007</v>
      </c>
      <c r="P540" s="1"/>
      <c r="Q540" s="1"/>
      <c r="S540" s="2">
        <f>CONSOLIDADO_2026[[#This Row],[Hora final]]-CONSOLIDADO_2026[[#This Row],[Hora inic]]</f>
        <v>0.33333333333333337</v>
      </c>
    </row>
    <row r="541" spans="1:19" x14ac:dyDescent="0.25">
      <c r="A541" t="s">
        <v>4130</v>
      </c>
      <c r="B541">
        <v>1001853191</v>
      </c>
      <c r="C541" t="s">
        <v>3198</v>
      </c>
      <c r="D541" t="s">
        <v>34</v>
      </c>
      <c r="E541" t="s">
        <v>4011</v>
      </c>
      <c r="F541" t="s">
        <v>25</v>
      </c>
      <c r="G541" s="1">
        <v>46240</v>
      </c>
      <c r="H541" s="1">
        <v>46242</v>
      </c>
      <c r="I541" s="2"/>
      <c r="J541" s="2"/>
      <c r="L541" t="s">
        <v>4006</v>
      </c>
      <c r="M541" s="1"/>
      <c r="O541" t="s">
        <v>4007</v>
      </c>
      <c r="P541" s="1"/>
      <c r="Q541" s="1"/>
      <c r="S541" s="2">
        <f>CONSOLIDADO_2026[[#This Row],[Hora final]]-CONSOLIDADO_2026[[#This Row],[Hora inic]]</f>
        <v>0</v>
      </c>
    </row>
    <row r="542" spans="1:19" x14ac:dyDescent="0.25">
      <c r="A542" t="s">
        <v>4130</v>
      </c>
      <c r="B542">
        <v>1015483595</v>
      </c>
      <c r="C542" t="s">
        <v>177</v>
      </c>
      <c r="D542" t="s">
        <v>34</v>
      </c>
      <c r="E542" t="s">
        <v>4011</v>
      </c>
      <c r="F542" t="s">
        <v>30</v>
      </c>
      <c r="G542" s="1">
        <v>46244</v>
      </c>
      <c r="H542" s="1">
        <v>46265</v>
      </c>
      <c r="I542" s="2">
        <v>0.25</v>
      </c>
      <c r="J542" s="2">
        <v>0.54166666666666663</v>
      </c>
      <c r="K542" t="s">
        <v>178</v>
      </c>
      <c r="L542" t="s">
        <v>179</v>
      </c>
      <c r="M542" s="1"/>
      <c r="O542" t="s">
        <v>21</v>
      </c>
      <c r="P542" s="1"/>
      <c r="Q542" s="1"/>
      <c r="S542" s="2">
        <f>CONSOLIDADO_2026[[#This Row],[Hora final]]-CONSOLIDADO_2026[[#This Row],[Hora inic]]</f>
        <v>0.29166666666666663</v>
      </c>
    </row>
    <row r="543" spans="1:19" x14ac:dyDescent="0.25">
      <c r="A543" t="s">
        <v>4130</v>
      </c>
      <c r="B543">
        <v>1006490561</v>
      </c>
      <c r="C543" t="s">
        <v>4118</v>
      </c>
      <c r="D543" t="s">
        <v>410</v>
      </c>
      <c r="E543" t="s">
        <v>4005</v>
      </c>
      <c r="F543" t="s">
        <v>25</v>
      </c>
      <c r="G543" s="1">
        <v>46240</v>
      </c>
      <c r="H543" s="1">
        <v>46242</v>
      </c>
      <c r="I543" s="2"/>
      <c r="J543" s="2"/>
      <c r="L543" t="s">
        <v>4006</v>
      </c>
      <c r="M543" s="1"/>
      <c r="O543" t="s">
        <v>4007</v>
      </c>
      <c r="P543" s="1"/>
      <c r="Q543" s="1"/>
      <c r="S543" s="2">
        <f>CONSOLIDADO_2026[[#This Row],[Hora final]]-CONSOLIDADO_2026[[#This Row],[Hora inic]]</f>
        <v>0</v>
      </c>
    </row>
    <row r="544" spans="1:19" x14ac:dyDescent="0.25">
      <c r="A544" t="s">
        <v>4130</v>
      </c>
      <c r="B544">
        <v>1127074377</v>
      </c>
      <c r="C544" t="s">
        <v>344</v>
      </c>
      <c r="D544" t="s">
        <v>343</v>
      </c>
      <c r="E544" t="s">
        <v>4012</v>
      </c>
      <c r="F544" t="s">
        <v>4053</v>
      </c>
      <c r="G544" s="1">
        <v>46242</v>
      </c>
      <c r="H544" s="1">
        <v>46242</v>
      </c>
      <c r="I544" s="2"/>
      <c r="J544" s="2"/>
      <c r="L544" t="s">
        <v>4006</v>
      </c>
      <c r="M544" s="1"/>
      <c r="O544" t="s">
        <v>4007</v>
      </c>
      <c r="P544" s="1"/>
      <c r="Q544" s="1"/>
      <c r="S544" s="2">
        <f>CONSOLIDADO_2026[[#This Row],[Hora final]]-CONSOLIDADO_2026[[#This Row],[Hora inic]]</f>
        <v>0</v>
      </c>
    </row>
    <row r="545" spans="1:19" x14ac:dyDescent="0.25">
      <c r="A545" t="s">
        <v>4130</v>
      </c>
      <c r="B545">
        <v>1067963513</v>
      </c>
      <c r="C545" t="s">
        <v>28</v>
      </c>
      <c r="D545" t="s">
        <v>29</v>
      </c>
      <c r="E545" t="s">
        <v>4005</v>
      </c>
      <c r="F545" t="s">
        <v>30</v>
      </c>
      <c r="G545" s="1">
        <v>46240</v>
      </c>
      <c r="H545" s="1">
        <v>46265</v>
      </c>
      <c r="I545" s="2">
        <v>0.58333333333333337</v>
      </c>
      <c r="J545" s="2">
        <v>0.875</v>
      </c>
      <c r="K545" t="s">
        <v>17</v>
      </c>
      <c r="L545" t="s">
        <v>18</v>
      </c>
      <c r="M545" s="1"/>
      <c r="O545" t="s">
        <v>21</v>
      </c>
      <c r="P545" s="1"/>
      <c r="Q545" s="1"/>
      <c r="S545" s="2">
        <f>CONSOLIDADO_2026[[#This Row],[Hora final]]-CONSOLIDADO_2026[[#This Row],[Hora inic]]</f>
        <v>0.29166666666666663</v>
      </c>
    </row>
    <row r="546" spans="1:19" x14ac:dyDescent="0.25">
      <c r="A546" t="s">
        <v>4130</v>
      </c>
      <c r="B546">
        <v>1036670630</v>
      </c>
      <c r="C546" t="s">
        <v>4124</v>
      </c>
      <c r="D546" t="s">
        <v>15</v>
      </c>
      <c r="E546" t="s">
        <v>4012</v>
      </c>
      <c r="F546" t="s">
        <v>30</v>
      </c>
      <c r="G546" s="1">
        <v>46244</v>
      </c>
      <c r="H546" s="1">
        <v>46244</v>
      </c>
      <c r="I546" s="2">
        <v>0.25</v>
      </c>
      <c r="J546" s="2">
        <v>0.54166666666666663</v>
      </c>
      <c r="K546" t="s">
        <v>147</v>
      </c>
      <c r="L546" t="s">
        <v>148</v>
      </c>
      <c r="M546" s="1"/>
      <c r="O546" t="s">
        <v>21</v>
      </c>
      <c r="P546" s="1"/>
      <c r="Q546" s="1"/>
      <c r="S546" s="2">
        <f>CONSOLIDADO_2026[[#This Row],[Hora final]]-CONSOLIDADO_2026[[#This Row],[Hora inic]]</f>
        <v>0.29166666666666663</v>
      </c>
    </row>
    <row r="547" spans="1:19" x14ac:dyDescent="0.25">
      <c r="A547" t="s">
        <v>4130</v>
      </c>
      <c r="B547">
        <v>1143374438</v>
      </c>
      <c r="C547" t="s">
        <v>85</v>
      </c>
      <c r="D547" t="s">
        <v>41</v>
      </c>
      <c r="E547" t="s">
        <v>4011</v>
      </c>
      <c r="F547" t="s">
        <v>25</v>
      </c>
      <c r="G547" s="1">
        <v>46239</v>
      </c>
      <c r="H547" s="1">
        <v>46268</v>
      </c>
      <c r="I547" s="2">
        <v>0.25</v>
      </c>
      <c r="J547" s="2">
        <v>0.58333333333333337</v>
      </c>
      <c r="L547" t="s">
        <v>261</v>
      </c>
      <c r="M547" s="1"/>
      <c r="O547" t="s">
        <v>4007</v>
      </c>
      <c r="P547" s="1"/>
      <c r="Q547" s="1"/>
      <c r="S547" s="2">
        <f>CONSOLIDADO_2026[[#This Row],[Hora final]]-CONSOLIDADO_2026[[#This Row],[Hora inic]]</f>
        <v>0.33333333333333337</v>
      </c>
    </row>
    <row r="548" spans="1:19" x14ac:dyDescent="0.25">
      <c r="A548" t="s">
        <v>4130</v>
      </c>
      <c r="B548">
        <v>1001014608</v>
      </c>
      <c r="C548" t="s">
        <v>268</v>
      </c>
      <c r="D548" t="s">
        <v>64</v>
      </c>
      <c r="E548" t="s">
        <v>4012</v>
      </c>
      <c r="F548" t="s">
        <v>25</v>
      </c>
      <c r="G548" s="1">
        <v>46239</v>
      </c>
      <c r="H548" s="1">
        <v>46268</v>
      </c>
      <c r="I548" s="2"/>
      <c r="J548" s="2"/>
      <c r="L548" t="s">
        <v>4006</v>
      </c>
      <c r="M548" s="1"/>
      <c r="O548" t="s">
        <v>4007</v>
      </c>
      <c r="P548" s="1"/>
      <c r="Q548" s="1"/>
      <c r="S548" s="2">
        <f>CONSOLIDADO_2026[[#This Row],[Hora final]]-CONSOLIDADO_2026[[#This Row],[Hora inic]]</f>
        <v>0</v>
      </c>
    </row>
    <row r="549" spans="1:19" x14ac:dyDescent="0.25">
      <c r="A549" t="s">
        <v>4130</v>
      </c>
      <c r="B549">
        <v>42141273</v>
      </c>
      <c r="C549" t="s">
        <v>210</v>
      </c>
      <c r="D549" t="s">
        <v>211</v>
      </c>
      <c r="E549" t="s">
        <v>4017</v>
      </c>
      <c r="F549" t="s">
        <v>4029</v>
      </c>
      <c r="G549" s="1">
        <v>46232</v>
      </c>
      <c r="H549" s="1">
        <v>46261</v>
      </c>
      <c r="I549" s="2">
        <v>0.25</v>
      </c>
      <c r="J549" s="2">
        <v>0.5</v>
      </c>
      <c r="K549" t="s">
        <v>134</v>
      </c>
      <c r="L549" t="s">
        <v>135</v>
      </c>
      <c r="M549" s="1"/>
      <c r="O549" t="s">
        <v>4007</v>
      </c>
      <c r="P549" s="1"/>
      <c r="Q549" s="1"/>
      <c r="S549" s="2">
        <f>CONSOLIDADO_2026[[#This Row],[Hora final]]-CONSOLIDADO_2026[[#This Row],[Hora inic]]</f>
        <v>0.25</v>
      </c>
    </row>
    <row r="550" spans="1:19" x14ac:dyDescent="0.25">
      <c r="A550" t="s">
        <v>4130</v>
      </c>
      <c r="B550">
        <v>1035876080</v>
      </c>
      <c r="C550" t="s">
        <v>120</v>
      </c>
      <c r="D550" t="s">
        <v>121</v>
      </c>
      <c r="E550" t="s">
        <v>4010</v>
      </c>
      <c r="F550" t="s">
        <v>25</v>
      </c>
      <c r="G550" s="1">
        <v>46239</v>
      </c>
      <c r="H550" s="1">
        <v>46245</v>
      </c>
      <c r="I550" s="2">
        <v>0.25</v>
      </c>
      <c r="J550" s="2">
        <v>0.58333333333333337</v>
      </c>
      <c r="K550" t="s">
        <v>247</v>
      </c>
      <c r="L550" t="s">
        <v>248</v>
      </c>
      <c r="M550" s="1"/>
      <c r="O550" t="s">
        <v>21</v>
      </c>
      <c r="P550" s="1"/>
      <c r="Q550" s="1"/>
      <c r="S550" s="2">
        <f>CONSOLIDADO_2026[[#This Row],[Hora final]]-CONSOLIDADO_2026[[#This Row],[Hora inic]]</f>
        <v>0.33333333333333337</v>
      </c>
    </row>
    <row r="551" spans="1:19" x14ac:dyDescent="0.25">
      <c r="A551" t="s">
        <v>4130</v>
      </c>
      <c r="B551">
        <v>1005424850</v>
      </c>
      <c r="C551" t="s">
        <v>56</v>
      </c>
      <c r="D551" t="s">
        <v>57</v>
      </c>
      <c r="E551" t="s">
        <v>4010</v>
      </c>
      <c r="F551" t="s">
        <v>25</v>
      </c>
      <c r="G551" s="1">
        <v>46238</v>
      </c>
      <c r="H551" s="1">
        <v>46245</v>
      </c>
      <c r="I551" s="2">
        <v>0.25</v>
      </c>
      <c r="J551" s="2">
        <v>0.54166666666666663</v>
      </c>
      <c r="K551" t="s">
        <v>162</v>
      </c>
      <c r="L551" t="s">
        <v>163</v>
      </c>
      <c r="M551" s="1"/>
      <c r="O551" t="s">
        <v>21</v>
      </c>
      <c r="P551" s="1"/>
      <c r="Q551" s="1"/>
      <c r="S551" s="2">
        <f>CONSOLIDADO_2026[[#This Row],[Hora final]]-CONSOLIDADO_2026[[#This Row],[Hora inic]]</f>
        <v>0.29166666666666663</v>
      </c>
    </row>
    <row r="552" spans="1:19" x14ac:dyDescent="0.25">
      <c r="A552" t="s">
        <v>4130</v>
      </c>
      <c r="B552">
        <v>1017267628</v>
      </c>
      <c r="C552" t="s">
        <v>4125</v>
      </c>
      <c r="D552" t="s">
        <v>326</v>
      </c>
      <c r="E552" t="s">
        <v>4005</v>
      </c>
      <c r="F552" t="s">
        <v>25</v>
      </c>
      <c r="G552" s="1">
        <v>46237</v>
      </c>
      <c r="H552" s="1">
        <v>46243</v>
      </c>
      <c r="I552" s="2">
        <v>0.58333333333333337</v>
      </c>
      <c r="J552" s="2">
        <v>0.875</v>
      </c>
      <c r="L552" t="s">
        <v>4006</v>
      </c>
      <c r="M552" s="1"/>
      <c r="O552" t="s">
        <v>4007</v>
      </c>
      <c r="P552" s="1"/>
      <c r="Q552" s="1"/>
      <c r="S552" s="2">
        <f>CONSOLIDADO_2026[[#This Row],[Hora final]]-CONSOLIDADO_2026[[#This Row],[Hora inic]]</f>
        <v>0.29166666666666663</v>
      </c>
    </row>
    <row r="553" spans="1:19" x14ac:dyDescent="0.25">
      <c r="A553" t="s">
        <v>4130</v>
      </c>
      <c r="B553">
        <v>1152436231</v>
      </c>
      <c r="C553" t="s">
        <v>131</v>
      </c>
      <c r="D553" t="s">
        <v>132</v>
      </c>
      <c r="E553" t="s">
        <v>4010</v>
      </c>
      <c r="F553" t="s">
        <v>25</v>
      </c>
      <c r="G553" s="1">
        <v>46237</v>
      </c>
      <c r="H553" s="1">
        <v>46240</v>
      </c>
      <c r="I553" s="2"/>
      <c r="J553" s="2"/>
      <c r="L553" t="s">
        <v>4006</v>
      </c>
      <c r="M553" s="1"/>
      <c r="O553" t="s">
        <v>4007</v>
      </c>
      <c r="P553" s="1"/>
      <c r="Q553" s="1"/>
      <c r="S553" s="2">
        <f>CONSOLIDADO_2026[[#This Row],[Hora final]]-CONSOLIDADO_2026[[#This Row],[Hora inic]]</f>
        <v>0</v>
      </c>
    </row>
    <row r="554" spans="1:19" x14ac:dyDescent="0.25">
      <c r="A554" t="s">
        <v>4130</v>
      </c>
      <c r="B554">
        <v>1047505786</v>
      </c>
      <c r="C554" t="s">
        <v>110</v>
      </c>
      <c r="D554" t="s">
        <v>15</v>
      </c>
      <c r="E554" t="s">
        <v>4012</v>
      </c>
      <c r="F554" t="s">
        <v>25</v>
      </c>
      <c r="G554" s="1">
        <v>46229</v>
      </c>
      <c r="H554" s="1">
        <v>46243</v>
      </c>
      <c r="I554" s="2"/>
      <c r="J554" s="2"/>
      <c r="L554" t="s">
        <v>4006</v>
      </c>
      <c r="M554" s="1"/>
      <c r="O554" t="s">
        <v>4007</v>
      </c>
      <c r="P554" s="1"/>
      <c r="Q554" s="1"/>
      <c r="S554" s="2">
        <f>CONSOLIDADO_2026[[#This Row],[Hora final]]-CONSOLIDADO_2026[[#This Row],[Hora inic]]</f>
        <v>0</v>
      </c>
    </row>
    <row r="555" spans="1:19" x14ac:dyDescent="0.25">
      <c r="A555" t="s">
        <v>4130</v>
      </c>
      <c r="B555">
        <v>1152221372</v>
      </c>
      <c r="C555" t="s">
        <v>4038</v>
      </c>
      <c r="D555" t="s">
        <v>128</v>
      </c>
      <c r="E555" t="s">
        <v>4005</v>
      </c>
      <c r="F555" t="s">
        <v>4037</v>
      </c>
      <c r="G555" s="1">
        <v>46230</v>
      </c>
      <c r="H555" s="1"/>
      <c r="I555" s="2">
        <v>0.25</v>
      </c>
      <c r="J555" s="2">
        <v>0.58333333333333337</v>
      </c>
      <c r="K555" t="s">
        <v>122</v>
      </c>
      <c r="L555" t="s">
        <v>123</v>
      </c>
      <c r="M555" s="1"/>
      <c r="O555" t="s">
        <v>21</v>
      </c>
      <c r="P555" s="1"/>
      <c r="Q555" s="1"/>
      <c r="S555" s="2">
        <f>CONSOLIDADO_2026[[#This Row],[Hora final]]-CONSOLIDADO_2026[[#This Row],[Hora inic]]</f>
        <v>0.33333333333333337</v>
      </c>
    </row>
    <row r="556" spans="1:19" x14ac:dyDescent="0.25">
      <c r="A556" t="s">
        <v>4130</v>
      </c>
      <c r="B556">
        <v>1017264032</v>
      </c>
      <c r="C556" t="s">
        <v>105</v>
      </c>
      <c r="D556" t="s">
        <v>64</v>
      </c>
      <c r="E556" t="s">
        <v>4012</v>
      </c>
      <c r="F556" t="s">
        <v>25</v>
      </c>
      <c r="G556" s="1">
        <v>46229</v>
      </c>
      <c r="H556" s="1">
        <v>46258</v>
      </c>
      <c r="I556" s="2">
        <v>0.58333333333333337</v>
      </c>
      <c r="J556" s="2">
        <v>0.875</v>
      </c>
      <c r="K556" t="s">
        <v>244</v>
      </c>
      <c r="L556" t="s">
        <v>245</v>
      </c>
      <c r="M556" s="1"/>
      <c r="O556" t="s">
        <v>21</v>
      </c>
      <c r="P556" s="1"/>
      <c r="Q556" s="1"/>
      <c r="S556" s="2">
        <f>CONSOLIDADO_2026[[#This Row],[Hora final]]-CONSOLIDADO_2026[[#This Row],[Hora inic]]</f>
        <v>0.29166666666666663</v>
      </c>
    </row>
    <row r="557" spans="1:19" x14ac:dyDescent="0.25">
      <c r="A557" t="s">
        <v>4130</v>
      </c>
      <c r="B557">
        <v>1037631989</v>
      </c>
      <c r="C557" t="s">
        <v>40</v>
      </c>
      <c r="D557" t="s">
        <v>41</v>
      </c>
      <c r="E557" t="s">
        <v>4011</v>
      </c>
      <c r="F557" t="s">
        <v>25</v>
      </c>
      <c r="G557" s="1">
        <v>46226</v>
      </c>
      <c r="H557" s="1">
        <v>46255</v>
      </c>
      <c r="I557" s="2">
        <v>0.25</v>
      </c>
      <c r="J557" s="2">
        <v>0.54166666666666663</v>
      </c>
      <c r="K557" t="s">
        <v>185</v>
      </c>
      <c r="L557" t="s">
        <v>186</v>
      </c>
      <c r="M557" s="1"/>
      <c r="O557" t="s">
        <v>21</v>
      </c>
      <c r="P557" s="1"/>
      <c r="Q557" s="1"/>
      <c r="S557" s="2">
        <f>CONSOLIDADO_2026[[#This Row],[Hora final]]-CONSOLIDADO_2026[[#This Row],[Hora inic]]</f>
        <v>0.29166666666666663</v>
      </c>
    </row>
    <row r="558" spans="1:19" x14ac:dyDescent="0.25">
      <c r="A558" t="s">
        <v>4130</v>
      </c>
      <c r="B558">
        <v>1037638426</v>
      </c>
      <c r="C558" t="s">
        <v>72</v>
      </c>
      <c r="D558" t="s">
        <v>41</v>
      </c>
      <c r="E558" t="s">
        <v>4011</v>
      </c>
      <c r="F558" t="s">
        <v>30</v>
      </c>
      <c r="G558" s="1">
        <v>46230</v>
      </c>
      <c r="H558" s="1">
        <v>46262</v>
      </c>
      <c r="I558" s="2">
        <v>0.58333333333333337</v>
      </c>
      <c r="J558" s="2">
        <v>0.875</v>
      </c>
      <c r="K558" t="s">
        <v>240</v>
      </c>
      <c r="L558" t="s">
        <v>241</v>
      </c>
      <c r="M558" s="1"/>
      <c r="O558" t="s">
        <v>21</v>
      </c>
      <c r="P558" s="1"/>
      <c r="Q558" s="1"/>
      <c r="S558" s="2">
        <f>CONSOLIDADO_2026[[#This Row],[Hora final]]-CONSOLIDADO_2026[[#This Row],[Hora inic]]</f>
        <v>0.29166666666666663</v>
      </c>
    </row>
    <row r="559" spans="1:19" x14ac:dyDescent="0.25">
      <c r="A559" t="s">
        <v>4130</v>
      </c>
      <c r="B559">
        <v>1018466443</v>
      </c>
      <c r="C559" t="s">
        <v>4109</v>
      </c>
      <c r="D559" t="s">
        <v>410</v>
      </c>
      <c r="E559" t="s">
        <v>4005</v>
      </c>
      <c r="F559" t="s">
        <v>4091</v>
      </c>
      <c r="G559" s="1">
        <v>46239</v>
      </c>
      <c r="H559" s="1">
        <v>46244</v>
      </c>
      <c r="I559" s="2">
        <v>0.25</v>
      </c>
      <c r="J559" s="2">
        <v>0.58333333333333337</v>
      </c>
      <c r="K559" t="s">
        <v>188</v>
      </c>
      <c r="L559" t="s">
        <v>189</v>
      </c>
      <c r="M559" s="1"/>
      <c r="O559" t="s">
        <v>21</v>
      </c>
      <c r="P559" s="1"/>
      <c r="Q559" s="1"/>
      <c r="S559" s="2">
        <f>CONSOLIDADO_2026[[#This Row],[Hora final]]-CONSOLIDADO_2026[[#This Row],[Hora inic]]</f>
        <v>0.33333333333333337</v>
      </c>
    </row>
    <row r="560" spans="1:19" x14ac:dyDescent="0.25">
      <c r="A560" t="s">
        <v>4130</v>
      </c>
      <c r="B560">
        <v>1001851670</v>
      </c>
      <c r="C560" t="s">
        <v>14</v>
      </c>
      <c r="D560" t="s">
        <v>15</v>
      </c>
      <c r="E560" t="s">
        <v>4012</v>
      </c>
      <c r="F560" t="s">
        <v>16</v>
      </c>
      <c r="G560" s="1">
        <v>46237</v>
      </c>
      <c r="H560" s="1">
        <v>46366</v>
      </c>
      <c r="I560" s="2">
        <v>0.25</v>
      </c>
      <c r="J560" s="2">
        <v>0.54166666666666663</v>
      </c>
      <c r="L560" t="s">
        <v>261</v>
      </c>
      <c r="M560" s="1"/>
      <c r="O560" t="s">
        <v>4007</v>
      </c>
      <c r="P560" s="1"/>
      <c r="Q560" s="1"/>
      <c r="S560" s="2">
        <f>CONSOLIDADO_2026[[#This Row],[Hora final]]-CONSOLIDADO_2026[[#This Row],[Hora inic]]</f>
        <v>0.29166666666666663</v>
      </c>
    </row>
    <row r="561" spans="1:19" x14ac:dyDescent="0.25">
      <c r="A561" t="s">
        <v>4130</v>
      </c>
      <c r="B561">
        <v>1036132488</v>
      </c>
      <c r="C561" t="s">
        <v>141</v>
      </c>
      <c r="D561" t="s">
        <v>142</v>
      </c>
      <c r="E561" t="s">
        <v>4012</v>
      </c>
      <c r="F561" t="s">
        <v>25</v>
      </c>
      <c r="G561" s="1">
        <v>46227</v>
      </c>
      <c r="H561" s="1">
        <v>46246</v>
      </c>
      <c r="I561" s="2">
        <v>0.25</v>
      </c>
      <c r="J561" s="2">
        <v>0.5</v>
      </c>
      <c r="K561" t="s">
        <v>154</v>
      </c>
      <c r="L561" t="s">
        <v>155</v>
      </c>
      <c r="M561" s="1"/>
      <c r="O561" t="s">
        <v>21</v>
      </c>
      <c r="P561" s="1"/>
      <c r="Q561" s="1"/>
      <c r="S561" s="2">
        <f>CONSOLIDADO_2026[[#This Row],[Hora final]]-CONSOLIDADO_2026[[#This Row],[Hora inic]]</f>
        <v>0.25</v>
      </c>
    </row>
    <row r="562" spans="1:19" x14ac:dyDescent="0.25">
      <c r="A562" t="s">
        <v>4130</v>
      </c>
      <c r="B562">
        <v>43558465</v>
      </c>
      <c r="C562" t="s">
        <v>103</v>
      </c>
      <c r="D562" t="s">
        <v>64</v>
      </c>
      <c r="E562" t="s">
        <v>4012</v>
      </c>
      <c r="F562" t="s">
        <v>25</v>
      </c>
      <c r="G562" s="1">
        <v>46226</v>
      </c>
      <c r="H562" s="1">
        <v>46246</v>
      </c>
      <c r="I562" s="2">
        <v>0.25</v>
      </c>
      <c r="J562" s="2">
        <v>0.58333333333333337</v>
      </c>
      <c r="L562" t="s">
        <v>261</v>
      </c>
      <c r="M562" s="1"/>
      <c r="O562" t="s">
        <v>4007</v>
      </c>
      <c r="P562" s="1"/>
      <c r="Q562" s="1"/>
      <c r="S562" s="2">
        <f>CONSOLIDADO_2026[[#This Row],[Hora final]]-CONSOLIDADO_2026[[#This Row],[Hora inic]]</f>
        <v>0.33333333333333337</v>
      </c>
    </row>
    <row r="563" spans="1:19" x14ac:dyDescent="0.25">
      <c r="A563" t="s">
        <v>4130</v>
      </c>
      <c r="B563">
        <v>1010135017</v>
      </c>
      <c r="C563" t="s">
        <v>1245</v>
      </c>
      <c r="D563" t="s">
        <v>326</v>
      </c>
      <c r="E563" t="s">
        <v>4005</v>
      </c>
      <c r="F563" t="s">
        <v>25</v>
      </c>
      <c r="G563" s="1">
        <v>46239</v>
      </c>
      <c r="H563" s="1"/>
      <c r="I563" s="2">
        <v>0.58333333333333337</v>
      </c>
      <c r="J563" s="2">
        <v>0.875</v>
      </c>
      <c r="L563" t="s">
        <v>4051</v>
      </c>
      <c r="M563" s="1"/>
      <c r="O563" t="s">
        <v>4007</v>
      </c>
      <c r="P563" s="1"/>
      <c r="Q563" s="1"/>
      <c r="S563" s="2">
        <f>CONSOLIDADO_2026[[#This Row],[Hora final]]-CONSOLIDADO_2026[[#This Row],[Hora inic]]</f>
        <v>0.29166666666666663</v>
      </c>
    </row>
    <row r="564" spans="1:19" x14ac:dyDescent="0.25">
      <c r="A564" t="s">
        <v>4130</v>
      </c>
      <c r="B564">
        <v>1042422897</v>
      </c>
      <c r="C564" t="s">
        <v>4069</v>
      </c>
      <c r="D564" t="s">
        <v>326</v>
      </c>
      <c r="E564" t="s">
        <v>4005</v>
      </c>
      <c r="F564" t="s">
        <v>4015</v>
      </c>
      <c r="G564" s="1">
        <v>46242</v>
      </c>
      <c r="H564" s="1">
        <v>46245</v>
      </c>
      <c r="I564" s="2">
        <v>0.54166666666666663</v>
      </c>
      <c r="J564" s="2">
        <v>0.875</v>
      </c>
      <c r="K564" t="s">
        <v>106</v>
      </c>
      <c r="L564" t="s">
        <v>107</v>
      </c>
      <c r="M564" s="1"/>
      <c r="O564" t="s">
        <v>21</v>
      </c>
      <c r="P564" s="1"/>
      <c r="Q564" s="1"/>
      <c r="S564" s="2">
        <f>CONSOLIDADO_2026[[#This Row],[Hora final]]-CONSOLIDADO_2026[[#This Row],[Hora inic]]</f>
        <v>0.33333333333333337</v>
      </c>
    </row>
    <row r="565" spans="1:19" x14ac:dyDescent="0.25">
      <c r="A565" t="s">
        <v>4130</v>
      </c>
      <c r="B565">
        <v>1098777544</v>
      </c>
      <c r="C565" t="s">
        <v>81</v>
      </c>
      <c r="D565" t="s">
        <v>82</v>
      </c>
      <c r="E565" t="s">
        <v>4005</v>
      </c>
      <c r="F565" t="s">
        <v>25</v>
      </c>
      <c r="G565" s="1">
        <v>46217</v>
      </c>
      <c r="H565" s="1">
        <v>46246</v>
      </c>
      <c r="I565" s="2">
        <v>0.58333333333333337</v>
      </c>
      <c r="J565" s="2">
        <v>0.875</v>
      </c>
      <c r="K565" t="s">
        <v>73</v>
      </c>
      <c r="L565" t="s">
        <v>74</v>
      </c>
      <c r="M565" s="1"/>
      <c r="O565" t="s">
        <v>21</v>
      </c>
      <c r="P565" s="1"/>
      <c r="Q565" s="1"/>
      <c r="S565" s="2">
        <f>CONSOLIDADO_2026[[#This Row],[Hora final]]-CONSOLIDADO_2026[[#This Row],[Hora inic]]</f>
        <v>0.29166666666666663</v>
      </c>
    </row>
    <row r="566" spans="1:19" x14ac:dyDescent="0.25">
      <c r="A566" t="s">
        <v>4130</v>
      </c>
      <c r="B566">
        <v>1072648283</v>
      </c>
      <c r="C566" t="s">
        <v>739</v>
      </c>
      <c r="D566" t="s">
        <v>211</v>
      </c>
      <c r="E566" t="s">
        <v>4017</v>
      </c>
      <c r="F566" t="s">
        <v>25</v>
      </c>
      <c r="G566" s="1">
        <v>46240</v>
      </c>
      <c r="H566" s="1">
        <v>46240</v>
      </c>
      <c r="I566" s="2"/>
      <c r="J566" s="2"/>
      <c r="L566" t="s">
        <v>4006</v>
      </c>
      <c r="M566" s="1"/>
      <c r="O566" t="s">
        <v>4007</v>
      </c>
      <c r="P566" s="1"/>
      <c r="Q566" s="1"/>
      <c r="S566" s="2">
        <f>CONSOLIDADO_2026[[#This Row],[Hora final]]-CONSOLIDADO_2026[[#This Row],[Hora inic]]</f>
        <v>0</v>
      </c>
    </row>
    <row r="567" spans="1:19" x14ac:dyDescent="0.25">
      <c r="A567" t="s">
        <v>4130</v>
      </c>
      <c r="B567">
        <v>1084253148</v>
      </c>
      <c r="C567" t="s">
        <v>1049</v>
      </c>
      <c r="D567" t="s">
        <v>211</v>
      </c>
      <c r="E567" t="s">
        <v>4017</v>
      </c>
      <c r="F567" t="s">
        <v>25</v>
      </c>
      <c r="G567" s="1">
        <v>46240</v>
      </c>
      <c r="H567" s="1">
        <v>46240</v>
      </c>
      <c r="I567" s="2"/>
      <c r="J567" s="2"/>
      <c r="L567" t="s">
        <v>4006</v>
      </c>
      <c r="M567" s="1"/>
      <c r="O567" t="s">
        <v>4007</v>
      </c>
      <c r="P567" s="1"/>
      <c r="Q567" s="1"/>
      <c r="S567" s="2">
        <f>CONSOLIDADO_2026[[#This Row],[Hora final]]-CONSOLIDADO_2026[[#This Row],[Hora inic]]</f>
        <v>0</v>
      </c>
    </row>
    <row r="568" spans="1:19" x14ac:dyDescent="0.25">
      <c r="A568" t="s">
        <v>4130</v>
      </c>
      <c r="B568">
        <v>1045718883</v>
      </c>
      <c r="C568" t="s">
        <v>47</v>
      </c>
      <c r="D568" t="s">
        <v>34</v>
      </c>
      <c r="E568" t="s">
        <v>4011</v>
      </c>
      <c r="F568" t="s">
        <v>25</v>
      </c>
      <c r="G568" s="1">
        <v>46239</v>
      </c>
      <c r="H568" s="1">
        <v>46249</v>
      </c>
      <c r="I568" s="2">
        <v>0.54166666666666663</v>
      </c>
      <c r="J568" s="2">
        <v>0.875</v>
      </c>
      <c r="L568" t="s">
        <v>261</v>
      </c>
      <c r="M568" s="1"/>
      <c r="O568" t="s">
        <v>4007</v>
      </c>
      <c r="P568" s="1"/>
      <c r="Q568" s="1"/>
      <c r="S568" s="2">
        <f>CONSOLIDADO_2026[[#This Row],[Hora final]]-CONSOLIDADO_2026[[#This Row],[Hora inic]]</f>
        <v>0.33333333333333337</v>
      </c>
    </row>
    <row r="569" spans="1:19" x14ac:dyDescent="0.25">
      <c r="A569" t="s">
        <v>4130</v>
      </c>
      <c r="B569">
        <v>1000921455</v>
      </c>
      <c r="C569" t="s">
        <v>33</v>
      </c>
      <c r="D569" t="s">
        <v>34</v>
      </c>
      <c r="E569" t="s">
        <v>4011</v>
      </c>
      <c r="F569" t="s">
        <v>25</v>
      </c>
      <c r="G569" s="1">
        <v>46239</v>
      </c>
      <c r="H569" s="1">
        <v>46246</v>
      </c>
      <c r="I569" s="2">
        <v>0.58333333333333337</v>
      </c>
      <c r="J569" s="2">
        <v>0.875</v>
      </c>
      <c r="L569" t="s">
        <v>261</v>
      </c>
      <c r="M569" s="1"/>
      <c r="O569" t="s">
        <v>4007</v>
      </c>
      <c r="P569" s="1"/>
      <c r="Q569" s="1"/>
      <c r="S569" s="2">
        <f>CONSOLIDADO_2026[[#This Row],[Hora final]]-CONSOLIDADO_2026[[#This Row],[Hora inic]]</f>
        <v>0.29166666666666663</v>
      </c>
    </row>
    <row r="570" spans="1:19" x14ac:dyDescent="0.25">
      <c r="A570" t="s">
        <v>4130</v>
      </c>
      <c r="B570">
        <v>1143413583</v>
      </c>
      <c r="C570" t="s">
        <v>54</v>
      </c>
      <c r="D570" t="s">
        <v>41</v>
      </c>
      <c r="E570" t="s">
        <v>4011</v>
      </c>
      <c r="F570" t="s">
        <v>4015</v>
      </c>
      <c r="G570" s="1">
        <v>46240</v>
      </c>
      <c r="H570" s="1">
        <v>46244</v>
      </c>
      <c r="I570" s="2">
        <v>0.25</v>
      </c>
      <c r="J570" s="2">
        <v>0.54166666666666663</v>
      </c>
      <c r="L570" t="s">
        <v>261</v>
      </c>
      <c r="M570" s="1"/>
      <c r="O570" t="s">
        <v>4007</v>
      </c>
      <c r="P570" s="1"/>
      <c r="Q570" s="1"/>
      <c r="S570" s="2">
        <f>CONSOLIDADO_2026[[#This Row],[Hora final]]-CONSOLIDADO_2026[[#This Row],[Hora inic]]</f>
        <v>0.29166666666666663</v>
      </c>
    </row>
    <row r="571" spans="1:19" x14ac:dyDescent="0.25">
      <c r="A571" t="s">
        <v>4130</v>
      </c>
      <c r="B571">
        <v>1043006106</v>
      </c>
      <c r="C571" t="s">
        <v>159</v>
      </c>
      <c r="D571" t="s">
        <v>160</v>
      </c>
      <c r="E571" t="s">
        <v>4011</v>
      </c>
      <c r="F571" t="s">
        <v>25</v>
      </c>
      <c r="G571" s="1">
        <v>46219</v>
      </c>
      <c r="H571" s="1">
        <v>46248</v>
      </c>
      <c r="I571" s="2">
        <v>0.25</v>
      </c>
      <c r="J571" s="2">
        <v>0.54166666666666663</v>
      </c>
      <c r="K571" t="s">
        <v>191</v>
      </c>
      <c r="L571" t="s">
        <v>192</v>
      </c>
      <c r="M571" s="1"/>
      <c r="O571" t="s">
        <v>21</v>
      </c>
      <c r="P571" s="1"/>
      <c r="Q571" s="1"/>
      <c r="S571" s="2">
        <f>CONSOLIDADO_2026[[#This Row],[Hora final]]-CONSOLIDADO_2026[[#This Row],[Hora inic]]</f>
        <v>0.29166666666666663</v>
      </c>
    </row>
    <row r="572" spans="1:19" x14ac:dyDescent="0.25">
      <c r="A572" t="s">
        <v>4130</v>
      </c>
      <c r="B572">
        <v>1121506548</v>
      </c>
      <c r="C572" t="s">
        <v>50</v>
      </c>
      <c r="D572" t="s">
        <v>51</v>
      </c>
      <c r="E572" t="s">
        <v>4011</v>
      </c>
      <c r="F572" t="s">
        <v>16</v>
      </c>
      <c r="G572" s="1">
        <v>46217</v>
      </c>
      <c r="H572" s="1">
        <v>46342</v>
      </c>
      <c r="I572" s="2">
        <v>0.25</v>
      </c>
      <c r="J572" s="2">
        <v>0.54166666666666663</v>
      </c>
      <c r="K572" t="s">
        <v>35</v>
      </c>
      <c r="L572" t="s">
        <v>36</v>
      </c>
      <c r="M572" s="1"/>
      <c r="O572" t="s">
        <v>21</v>
      </c>
      <c r="P572" s="1"/>
      <c r="Q572" s="1"/>
      <c r="S572" s="2">
        <f>CONSOLIDADO_2026[[#This Row],[Hora final]]-CONSOLIDADO_2026[[#This Row],[Hora inic]]</f>
        <v>0.29166666666666663</v>
      </c>
    </row>
    <row r="573" spans="1:19" x14ac:dyDescent="0.25">
      <c r="A573" t="s">
        <v>4130</v>
      </c>
      <c r="B573">
        <v>1143460426</v>
      </c>
      <c r="C573" t="s">
        <v>4034</v>
      </c>
      <c r="D573" t="s">
        <v>160</v>
      </c>
      <c r="E573" t="s">
        <v>4011</v>
      </c>
      <c r="F573" t="s">
        <v>4015</v>
      </c>
      <c r="G573" s="1">
        <v>46195</v>
      </c>
      <c r="H573" s="1">
        <v>46198</v>
      </c>
      <c r="I573" s="2">
        <v>0.25</v>
      </c>
      <c r="J573" s="2">
        <v>0.58333333333333337</v>
      </c>
      <c r="L573" t="s">
        <v>261</v>
      </c>
      <c r="M573" s="1"/>
      <c r="O573" t="s">
        <v>4007</v>
      </c>
      <c r="P573" s="1"/>
      <c r="Q573" s="1"/>
      <c r="S573" s="2">
        <f>CONSOLIDADO_2026[[#This Row],[Hora final]]-CONSOLIDADO_2026[[#This Row],[Hora inic]]</f>
        <v>0.33333333333333337</v>
      </c>
    </row>
    <row r="574" spans="1:19" x14ac:dyDescent="0.25">
      <c r="A574" t="s">
        <v>4130</v>
      </c>
      <c r="B574">
        <v>1102808787</v>
      </c>
      <c r="C574" t="s">
        <v>265</v>
      </c>
      <c r="D574" t="s">
        <v>51</v>
      </c>
      <c r="E574" t="s">
        <v>4011</v>
      </c>
      <c r="F574" t="s">
        <v>25</v>
      </c>
      <c r="G574" s="1">
        <v>46237</v>
      </c>
      <c r="H574" s="1">
        <v>46256</v>
      </c>
      <c r="I574" s="2">
        <v>0.25</v>
      </c>
      <c r="J574" s="2">
        <v>0.54166666666666663</v>
      </c>
      <c r="L574" t="s">
        <v>261</v>
      </c>
      <c r="M574" s="1"/>
      <c r="O574" t="s">
        <v>4007</v>
      </c>
      <c r="P574" s="1"/>
      <c r="Q574" s="1"/>
      <c r="S574" s="2">
        <f>CONSOLIDADO_2026[[#This Row],[Hora final]]-CONSOLIDADO_2026[[#This Row],[Hora inic]]</f>
        <v>0.29166666666666663</v>
      </c>
    </row>
    <row r="575" spans="1:19" x14ac:dyDescent="0.25">
      <c r="A575" t="s">
        <v>4130</v>
      </c>
      <c r="B575">
        <v>1037668455</v>
      </c>
      <c r="C575" t="s">
        <v>2968</v>
      </c>
      <c r="D575" t="s">
        <v>24</v>
      </c>
      <c r="E575" t="s">
        <v>4011</v>
      </c>
      <c r="F575" t="s">
        <v>25</v>
      </c>
      <c r="G575" s="1">
        <v>46241</v>
      </c>
      <c r="H575" s="1">
        <v>46242</v>
      </c>
      <c r="I575" s="2"/>
      <c r="J575" s="2"/>
      <c r="L575" t="s">
        <v>4006</v>
      </c>
      <c r="M575" s="1"/>
      <c r="O575" t="s">
        <v>4007</v>
      </c>
      <c r="P575" s="1"/>
      <c r="Q575" s="1"/>
      <c r="S575" s="2">
        <f>CONSOLIDADO_2026[[#This Row],[Hora final]]-CONSOLIDADO_2026[[#This Row],[Hora inic]]</f>
        <v>0</v>
      </c>
    </row>
    <row r="576" spans="1:19" x14ac:dyDescent="0.25">
      <c r="A576" t="s">
        <v>4130</v>
      </c>
      <c r="B576">
        <v>1026134762</v>
      </c>
      <c r="C576" t="s">
        <v>1295</v>
      </c>
      <c r="D576" t="s">
        <v>34</v>
      </c>
      <c r="E576" t="s">
        <v>4011</v>
      </c>
      <c r="F576" t="s">
        <v>25</v>
      </c>
      <c r="G576" s="1">
        <v>46242</v>
      </c>
      <c r="H576" s="1">
        <v>46242</v>
      </c>
      <c r="I576" s="2"/>
      <c r="J576" s="2"/>
      <c r="L576" t="s">
        <v>4006</v>
      </c>
      <c r="M576" s="1"/>
      <c r="O576" t="s">
        <v>4007</v>
      </c>
      <c r="P576" s="1"/>
      <c r="Q576" s="1"/>
      <c r="S576" s="2">
        <f>CONSOLIDADO_2026[[#This Row],[Hora final]]-CONSOLIDADO_2026[[#This Row],[Hora inic]]</f>
        <v>0</v>
      </c>
    </row>
    <row r="577" spans="1:19" x14ac:dyDescent="0.25">
      <c r="A577" t="s">
        <v>4130</v>
      </c>
      <c r="B577">
        <v>1001817894</v>
      </c>
      <c r="C577" t="s">
        <v>1487</v>
      </c>
      <c r="D577" t="s">
        <v>34</v>
      </c>
      <c r="E577" t="s">
        <v>4011</v>
      </c>
      <c r="F577" t="s">
        <v>25</v>
      </c>
      <c r="G577" s="1">
        <v>46242</v>
      </c>
      <c r="H577" s="1">
        <v>46242</v>
      </c>
      <c r="I577" s="2"/>
      <c r="J577" s="2"/>
      <c r="L577" t="s">
        <v>4006</v>
      </c>
      <c r="M577" s="1"/>
      <c r="O577" t="s">
        <v>4007</v>
      </c>
      <c r="P577" s="1"/>
      <c r="Q577" s="1"/>
      <c r="S577" s="2">
        <f>CONSOLIDADO_2026[[#This Row],[Hora final]]-CONSOLIDADO_2026[[#This Row],[Hora inic]]</f>
        <v>0</v>
      </c>
    </row>
    <row r="578" spans="1:19" x14ac:dyDescent="0.25">
      <c r="A578" t="s">
        <v>4130</v>
      </c>
      <c r="B578">
        <v>1152446353</v>
      </c>
      <c r="C578" t="s">
        <v>3885</v>
      </c>
      <c r="D578" t="s">
        <v>15</v>
      </c>
      <c r="E578" t="s">
        <v>4012</v>
      </c>
      <c r="F578" t="s">
        <v>90</v>
      </c>
      <c r="G578" s="1"/>
      <c r="H578" s="1"/>
      <c r="I578" s="2"/>
      <c r="J578" s="2"/>
      <c r="L578" t="s">
        <v>4127</v>
      </c>
      <c r="M578" s="1"/>
      <c r="O578" t="s">
        <v>4007</v>
      </c>
      <c r="P578" s="1"/>
      <c r="Q578" s="1"/>
      <c r="S578" s="2">
        <f>CONSOLIDADO_2026[[#This Row],[Hora final]]-CONSOLIDADO_2026[[#This Row],[Hora inic]]</f>
        <v>0</v>
      </c>
    </row>
    <row r="579" spans="1:19" x14ac:dyDescent="0.25">
      <c r="A579" t="s">
        <v>4130</v>
      </c>
      <c r="B579">
        <v>1083567466</v>
      </c>
      <c r="C579" t="s">
        <v>1395</v>
      </c>
      <c r="D579" t="s">
        <v>343</v>
      </c>
      <c r="E579" t="s">
        <v>4012</v>
      </c>
      <c r="F579" t="s">
        <v>25</v>
      </c>
      <c r="G579" s="1">
        <v>46242</v>
      </c>
      <c r="H579" s="1">
        <v>46242</v>
      </c>
      <c r="I579" s="2"/>
      <c r="J579" s="2"/>
      <c r="L579" t="s">
        <v>4006</v>
      </c>
      <c r="M579" s="1"/>
      <c r="O579" t="s">
        <v>4007</v>
      </c>
      <c r="P579" s="1"/>
      <c r="Q579" s="1"/>
      <c r="S579" s="2">
        <f>CONSOLIDADO_2026[[#This Row],[Hora final]]-CONSOLIDADO_2026[[#This Row],[Hora inic]]</f>
        <v>0</v>
      </c>
    </row>
    <row r="580" spans="1:19" x14ac:dyDescent="0.25">
      <c r="A580" t="s">
        <v>4130</v>
      </c>
      <c r="B580">
        <v>1003083272</v>
      </c>
      <c r="C580" t="s">
        <v>1203</v>
      </c>
      <c r="D580" t="s">
        <v>64</v>
      </c>
      <c r="E580" t="s">
        <v>4012</v>
      </c>
      <c r="F580" t="s">
        <v>25</v>
      </c>
      <c r="G580" s="1">
        <v>46241</v>
      </c>
      <c r="H580" s="1">
        <v>46242</v>
      </c>
      <c r="I580" s="2"/>
      <c r="J580" s="2"/>
      <c r="L580" t="s">
        <v>4006</v>
      </c>
      <c r="M580" s="1"/>
      <c r="O580" t="s">
        <v>4007</v>
      </c>
      <c r="P580" s="1"/>
      <c r="Q580" s="1"/>
      <c r="S580" s="2">
        <f>CONSOLIDADO_2026[[#This Row],[Hora final]]-CONSOLIDADO_2026[[#This Row],[Hora inic]]</f>
        <v>0</v>
      </c>
    </row>
    <row r="581" spans="1:19" x14ac:dyDescent="0.25">
      <c r="A581" t="s">
        <v>4130</v>
      </c>
      <c r="B581">
        <v>1083037131</v>
      </c>
      <c r="C581" t="s">
        <v>458</v>
      </c>
      <c r="D581" t="s">
        <v>160</v>
      </c>
      <c r="E581" t="s">
        <v>4011</v>
      </c>
      <c r="F581" t="s">
        <v>25</v>
      </c>
      <c r="G581" s="1">
        <v>46242</v>
      </c>
      <c r="H581" s="1">
        <v>46242</v>
      </c>
      <c r="I581" s="2"/>
      <c r="J581" s="2"/>
      <c r="L581" t="s">
        <v>4006</v>
      </c>
      <c r="M581" s="1"/>
      <c r="O581" t="s">
        <v>4007</v>
      </c>
      <c r="P581" s="1"/>
      <c r="Q581" s="1"/>
      <c r="S581" s="2">
        <f>CONSOLIDADO_2026[[#This Row],[Hora final]]-CONSOLIDADO_2026[[#This Row],[Hora inic]]</f>
        <v>0</v>
      </c>
    </row>
    <row r="582" spans="1:19" x14ac:dyDescent="0.25">
      <c r="A582" t="s">
        <v>4130</v>
      </c>
      <c r="B582">
        <v>1037637914</v>
      </c>
      <c r="C582" t="s">
        <v>2704</v>
      </c>
      <c r="D582" t="s">
        <v>34</v>
      </c>
      <c r="E582" t="s">
        <v>4011</v>
      </c>
      <c r="F582" t="s">
        <v>25</v>
      </c>
      <c r="G582" s="1">
        <v>46242</v>
      </c>
      <c r="H582" s="1">
        <v>46242</v>
      </c>
      <c r="I582" s="2"/>
      <c r="J582" s="2"/>
      <c r="L582" t="s">
        <v>4006</v>
      </c>
      <c r="M582" s="1"/>
      <c r="O582" t="s">
        <v>4007</v>
      </c>
      <c r="P582" s="1"/>
      <c r="Q582" s="1"/>
      <c r="S582" s="2">
        <f>CONSOLIDADO_2026[[#This Row],[Hora final]]-CONSOLIDADO_2026[[#This Row],[Hora inic]]</f>
        <v>0</v>
      </c>
    </row>
    <row r="583" spans="1:19" x14ac:dyDescent="0.25">
      <c r="A583" t="s">
        <v>4130</v>
      </c>
      <c r="B583">
        <v>1235045754</v>
      </c>
      <c r="C583" t="s">
        <v>2371</v>
      </c>
      <c r="D583" t="s">
        <v>343</v>
      </c>
      <c r="E583" t="s">
        <v>4012</v>
      </c>
      <c r="F583" t="s">
        <v>25</v>
      </c>
      <c r="G583" s="1">
        <v>46242</v>
      </c>
      <c r="H583" s="1">
        <v>46242</v>
      </c>
      <c r="I583" s="2"/>
      <c r="J583" s="2"/>
      <c r="L583" t="s">
        <v>4006</v>
      </c>
      <c r="M583" s="1"/>
      <c r="O583" t="s">
        <v>4007</v>
      </c>
      <c r="P583" s="1"/>
      <c r="Q583" s="1"/>
      <c r="S583" s="2">
        <f>CONSOLIDADO_2026[[#This Row],[Hora final]]-CONSOLIDADO_2026[[#This Row],[Hora inic]]</f>
        <v>0</v>
      </c>
    </row>
    <row r="584" spans="1:19" x14ac:dyDescent="0.25">
      <c r="A584" t="s">
        <v>4130</v>
      </c>
      <c r="B584">
        <v>1214714989</v>
      </c>
      <c r="C584" t="s">
        <v>2135</v>
      </c>
      <c r="D584" t="s">
        <v>326</v>
      </c>
      <c r="E584" t="s">
        <v>4005</v>
      </c>
      <c r="F584" t="s">
        <v>25</v>
      </c>
      <c r="G584" s="1">
        <v>46242</v>
      </c>
      <c r="H584" s="1">
        <v>46242</v>
      </c>
      <c r="I584" s="2"/>
      <c r="J584" s="2"/>
      <c r="L584" t="s">
        <v>4006</v>
      </c>
      <c r="M584" s="1"/>
      <c r="O584" t="s">
        <v>4007</v>
      </c>
      <c r="P584" s="1"/>
      <c r="Q584" s="1"/>
      <c r="S584" s="2">
        <f>CONSOLIDADO_2026[[#This Row],[Hora final]]-CONSOLIDADO_2026[[#This Row],[Hora inic]]</f>
        <v>0</v>
      </c>
    </row>
    <row r="585" spans="1:19" x14ac:dyDescent="0.25">
      <c r="A585" t="s">
        <v>4130</v>
      </c>
      <c r="B585">
        <v>1010149319</v>
      </c>
      <c r="C585" t="s">
        <v>3135</v>
      </c>
      <c r="D585" t="s">
        <v>142</v>
      </c>
      <c r="E585" t="s">
        <v>4012</v>
      </c>
      <c r="F585" t="s">
        <v>25</v>
      </c>
      <c r="G585" s="1">
        <v>46242</v>
      </c>
      <c r="H585" s="1">
        <v>46242</v>
      </c>
      <c r="I585" s="2"/>
      <c r="J585" s="2"/>
      <c r="L585" t="s">
        <v>4006</v>
      </c>
      <c r="M585" s="1"/>
      <c r="O585" t="s">
        <v>4007</v>
      </c>
      <c r="P585" s="1"/>
      <c r="Q585" s="1"/>
      <c r="S585" s="2">
        <f>CONSOLIDADO_2026[[#This Row],[Hora final]]-CONSOLIDADO_2026[[#This Row],[Hora inic]]</f>
        <v>0</v>
      </c>
    </row>
    <row r="586" spans="1:19" x14ac:dyDescent="0.25">
      <c r="A586" t="s">
        <v>4130</v>
      </c>
      <c r="B586">
        <v>1010246557</v>
      </c>
      <c r="C586" t="s">
        <v>3428</v>
      </c>
      <c r="D586" t="s">
        <v>326</v>
      </c>
      <c r="E586" t="s">
        <v>4005</v>
      </c>
      <c r="F586" t="s">
        <v>25</v>
      </c>
      <c r="G586" s="1">
        <v>46242</v>
      </c>
      <c r="H586" s="1">
        <v>46242</v>
      </c>
      <c r="I586" s="2"/>
      <c r="J586" s="2"/>
      <c r="L586" t="s">
        <v>4006</v>
      </c>
      <c r="M586" s="1"/>
      <c r="O586" t="s">
        <v>4007</v>
      </c>
      <c r="P586" s="1"/>
      <c r="Q586" s="1"/>
      <c r="S586" s="2">
        <f>CONSOLIDADO_2026[[#This Row],[Hora final]]-CONSOLIDADO_2026[[#This Row],[Hora inic]]</f>
        <v>0</v>
      </c>
    </row>
    <row r="587" spans="1:19" x14ac:dyDescent="0.25">
      <c r="A587" t="s">
        <v>4130</v>
      </c>
      <c r="B587">
        <v>88030132</v>
      </c>
      <c r="C587" t="s">
        <v>1903</v>
      </c>
      <c r="D587" t="s">
        <v>142</v>
      </c>
      <c r="E587" t="s">
        <v>4012</v>
      </c>
      <c r="F587" t="s">
        <v>25</v>
      </c>
      <c r="G587" s="1">
        <v>46242</v>
      </c>
      <c r="H587" s="1">
        <v>46243</v>
      </c>
      <c r="I587" s="2">
        <v>0.25</v>
      </c>
      <c r="J587" s="2">
        <v>0.54166666666666663</v>
      </c>
      <c r="L587" t="s">
        <v>4006</v>
      </c>
      <c r="M587" s="1"/>
      <c r="O587" t="s">
        <v>4007</v>
      </c>
      <c r="P587" s="1"/>
      <c r="Q587" s="1"/>
      <c r="S587" s="2">
        <f>CONSOLIDADO_2026[[#This Row],[Hora final]]-CONSOLIDADO_2026[[#This Row],[Hora inic]]</f>
        <v>0.29166666666666663</v>
      </c>
    </row>
    <row r="588" spans="1:19" x14ac:dyDescent="0.25">
      <c r="A588" t="s">
        <v>4130</v>
      </c>
      <c r="B588">
        <v>1071169507</v>
      </c>
      <c r="C588" t="s">
        <v>88</v>
      </c>
      <c r="D588" t="s">
        <v>89</v>
      </c>
      <c r="E588" t="s">
        <v>4017</v>
      </c>
      <c r="F588" t="s">
        <v>90</v>
      </c>
      <c r="G588" s="1">
        <v>46242</v>
      </c>
      <c r="H588" s="1">
        <v>46247</v>
      </c>
      <c r="I588" s="2">
        <v>0.25</v>
      </c>
      <c r="J588" s="2">
        <v>0.58333333333333337</v>
      </c>
      <c r="K588" t="s">
        <v>91</v>
      </c>
      <c r="L588" t="s">
        <v>92</v>
      </c>
      <c r="M588" s="1"/>
      <c r="O588" t="s">
        <v>21</v>
      </c>
      <c r="P588" s="1"/>
      <c r="Q588" s="1"/>
      <c r="S588" s="2">
        <f>CONSOLIDADO_2026[[#This Row],[Hora final]]-CONSOLIDADO_2026[[#This Row],[Hora inic]]</f>
        <v>0.33333333333333337</v>
      </c>
    </row>
    <row r="589" spans="1:19" x14ac:dyDescent="0.25">
      <c r="A589" t="s">
        <v>4130</v>
      </c>
      <c r="B589">
        <v>1038412205</v>
      </c>
      <c r="C589" t="s">
        <v>2800</v>
      </c>
      <c r="D589" t="s">
        <v>410</v>
      </c>
      <c r="E589" t="s">
        <v>4005</v>
      </c>
      <c r="F589" t="s">
        <v>25</v>
      </c>
      <c r="G589" s="1">
        <v>46242</v>
      </c>
      <c r="H589" s="1">
        <v>46242</v>
      </c>
      <c r="I589" s="2">
        <v>0.54166666666666663</v>
      </c>
      <c r="J589" s="2">
        <v>0.875</v>
      </c>
      <c r="L589" t="s">
        <v>4006</v>
      </c>
      <c r="M589" s="1"/>
      <c r="O589" t="s">
        <v>4007</v>
      </c>
      <c r="P589" s="1"/>
      <c r="Q589" s="1"/>
      <c r="S589" s="2">
        <f>CONSOLIDADO_2026[[#This Row],[Hora final]]-CONSOLIDADO_2026[[#This Row],[Hora inic]]</f>
        <v>0.33333333333333337</v>
      </c>
    </row>
    <row r="590" spans="1:19" x14ac:dyDescent="0.25">
      <c r="A590" t="s">
        <v>4130</v>
      </c>
      <c r="B590">
        <v>1028005084</v>
      </c>
      <c r="C590" t="s">
        <v>1781</v>
      </c>
      <c r="D590" t="s">
        <v>97</v>
      </c>
      <c r="E590" t="s">
        <v>4005</v>
      </c>
      <c r="F590" t="s">
        <v>4131</v>
      </c>
      <c r="G590" s="1">
        <v>46242</v>
      </c>
      <c r="H590" s="1"/>
      <c r="I590" s="2">
        <v>0.45833333333333331</v>
      </c>
      <c r="J590" s="2">
        <v>0.79166666666666663</v>
      </c>
      <c r="L590" t="s">
        <v>4006</v>
      </c>
      <c r="M590" s="1"/>
      <c r="O590" t="s">
        <v>4007</v>
      </c>
      <c r="P590" s="1"/>
      <c r="Q590" s="1"/>
      <c r="S590" s="2">
        <f>CONSOLIDADO_2026[[#This Row],[Hora final]]-CONSOLIDADO_2026[[#This Row],[Hora inic]]</f>
        <v>0.33333333333333331</v>
      </c>
    </row>
    <row r="591" spans="1:19" x14ac:dyDescent="0.25">
      <c r="A591" t="s">
        <v>4130</v>
      </c>
      <c r="B591">
        <v>1007842898</v>
      </c>
      <c r="C591" t="s">
        <v>4132</v>
      </c>
      <c r="D591" t="s">
        <v>343</v>
      </c>
      <c r="E591" t="s">
        <v>4012</v>
      </c>
      <c r="F591" t="s">
        <v>4015</v>
      </c>
      <c r="G591" s="1">
        <v>46242</v>
      </c>
      <c r="H591" s="1"/>
      <c r="I591" s="2">
        <v>0.54166666666666663</v>
      </c>
      <c r="J591" s="2">
        <v>0.875</v>
      </c>
      <c r="K591" t="s">
        <v>171</v>
      </c>
      <c r="L591" t="s">
        <v>172</v>
      </c>
      <c r="M591" s="1"/>
      <c r="O591" t="s">
        <v>21</v>
      </c>
      <c r="P591" s="1"/>
      <c r="Q591" s="1"/>
      <c r="S591" s="2">
        <f>CONSOLIDADO_2026[[#This Row],[Hora final]]-CONSOLIDADO_2026[[#This Row],[Hora inic]]</f>
        <v>0.33333333333333337</v>
      </c>
    </row>
    <row r="592" spans="1:19" x14ac:dyDescent="0.25">
      <c r="A592" t="s">
        <v>4130</v>
      </c>
      <c r="B592">
        <v>1001446162</v>
      </c>
      <c r="C592" t="s">
        <v>3622</v>
      </c>
      <c r="D592" t="s">
        <v>4045</v>
      </c>
      <c r="E592" t="s">
        <v>4017</v>
      </c>
      <c r="F592" t="s">
        <v>4133</v>
      </c>
      <c r="G592" s="1">
        <v>46244</v>
      </c>
      <c r="H592" s="1">
        <v>46244</v>
      </c>
      <c r="I592" s="2">
        <v>0.33333333333333331</v>
      </c>
      <c r="J592" s="2">
        <v>0.625</v>
      </c>
      <c r="K592" t="s">
        <v>3621</v>
      </c>
      <c r="L592" t="s">
        <v>3622</v>
      </c>
      <c r="M592" s="1"/>
      <c r="O592" t="s">
        <v>21</v>
      </c>
      <c r="P592" s="1"/>
      <c r="Q592" s="1"/>
      <c r="S592" s="2">
        <f>CONSOLIDADO_2026[[#This Row],[Hora final]]-CONSOLIDADO_2026[[#This Row],[Hora inic]]</f>
        <v>0.29166666666666669</v>
      </c>
    </row>
    <row r="593" spans="1:19" x14ac:dyDescent="0.25">
      <c r="A593" t="s">
        <v>4130</v>
      </c>
      <c r="B593">
        <v>1107046318</v>
      </c>
      <c r="C593" t="s">
        <v>213</v>
      </c>
      <c r="D593" t="s">
        <v>4045</v>
      </c>
      <c r="E593" t="s">
        <v>4017</v>
      </c>
      <c r="F593" t="s">
        <v>4046</v>
      </c>
      <c r="G593" s="1">
        <v>46244</v>
      </c>
      <c r="H593" s="1">
        <v>46244</v>
      </c>
      <c r="I593" s="2">
        <v>0.25</v>
      </c>
      <c r="J593" s="2">
        <v>0.54166666666666663</v>
      </c>
      <c r="K593" t="s">
        <v>212</v>
      </c>
      <c r="L593" t="s">
        <v>213</v>
      </c>
      <c r="M593" s="1"/>
      <c r="O593" t="s">
        <v>4007</v>
      </c>
      <c r="P593" s="1"/>
      <c r="Q593" s="1"/>
      <c r="S593" s="2">
        <f>CONSOLIDADO_2026[[#This Row],[Hora final]]-CONSOLIDADO_2026[[#This Row],[Hora inic]]</f>
        <v>0.29166666666666663</v>
      </c>
    </row>
    <row r="594" spans="1:19" x14ac:dyDescent="0.25">
      <c r="A594" t="s">
        <v>4130</v>
      </c>
      <c r="B594">
        <v>1082896324</v>
      </c>
      <c r="C594" t="s">
        <v>77</v>
      </c>
      <c r="D594" t="s">
        <v>78</v>
      </c>
      <c r="E594" t="s">
        <v>4010</v>
      </c>
      <c r="F594" t="s">
        <v>25</v>
      </c>
      <c r="G594" s="1">
        <v>46242</v>
      </c>
      <c r="H594" s="1">
        <v>46272</v>
      </c>
      <c r="I594" s="2">
        <v>0.25</v>
      </c>
      <c r="J594" s="2">
        <v>0.54166666666666663</v>
      </c>
      <c r="L594" t="s">
        <v>261</v>
      </c>
      <c r="M594" s="1"/>
      <c r="O594" t="s">
        <v>4007</v>
      </c>
      <c r="P594" s="1"/>
      <c r="Q594" s="1"/>
      <c r="S594" s="2">
        <f>CONSOLIDADO_2026[[#This Row],[Hora final]]-CONSOLIDADO_2026[[#This Row],[Hora inic]]</f>
        <v>0.29166666666666663</v>
      </c>
    </row>
    <row r="595" spans="1:19" x14ac:dyDescent="0.25">
      <c r="A595" t="s">
        <v>4130</v>
      </c>
      <c r="B595">
        <v>1036670970</v>
      </c>
      <c r="C595" t="s">
        <v>2642</v>
      </c>
      <c r="D595" t="s">
        <v>34</v>
      </c>
      <c r="E595" t="s">
        <v>4011</v>
      </c>
      <c r="F595" t="s">
        <v>25</v>
      </c>
      <c r="G595" s="1">
        <v>46244</v>
      </c>
      <c r="H595" s="1">
        <v>46244</v>
      </c>
      <c r="I595" s="2">
        <v>0.25</v>
      </c>
      <c r="J595" s="2">
        <v>0.58333333333333337</v>
      </c>
      <c r="L595" t="s">
        <v>4022</v>
      </c>
      <c r="M595" s="1"/>
      <c r="O595" t="s">
        <v>4007</v>
      </c>
      <c r="P595" s="1"/>
      <c r="Q595" s="1"/>
      <c r="S595" s="2">
        <f>CONSOLIDADO_2026[[#This Row],[Hora final]]-CONSOLIDADO_2026[[#This Row],[Hora inic]]</f>
        <v>0.33333333333333337</v>
      </c>
    </row>
    <row r="596" spans="1:19" x14ac:dyDescent="0.25">
      <c r="A596" t="s">
        <v>4130</v>
      </c>
      <c r="B596">
        <v>1003033764</v>
      </c>
      <c r="C596" t="s">
        <v>1209</v>
      </c>
      <c r="D596" t="s">
        <v>121</v>
      </c>
      <c r="E596" t="s">
        <v>4010</v>
      </c>
      <c r="F596" t="s">
        <v>25</v>
      </c>
      <c r="G596" s="1">
        <v>46244</v>
      </c>
      <c r="H596" s="1">
        <v>46245</v>
      </c>
      <c r="I596" s="2">
        <v>0.25</v>
      </c>
      <c r="J596" s="2">
        <v>0.54166666666666663</v>
      </c>
      <c r="L596" t="s">
        <v>4022</v>
      </c>
      <c r="M596" s="1"/>
      <c r="O596" t="s">
        <v>4007</v>
      </c>
      <c r="P596" s="1"/>
      <c r="Q596" s="1"/>
      <c r="S596" s="2">
        <f>CONSOLIDADO_2026[[#This Row],[Hora final]]-CONSOLIDADO_2026[[#This Row],[Hora inic]]</f>
        <v>0.29166666666666663</v>
      </c>
    </row>
    <row r="597" spans="1:19" x14ac:dyDescent="0.25">
      <c r="A597" t="s">
        <v>4130</v>
      </c>
      <c r="B597">
        <v>1143345388</v>
      </c>
      <c r="C597" t="s">
        <v>3079</v>
      </c>
      <c r="D597" t="s">
        <v>64</v>
      </c>
      <c r="E597" t="s">
        <v>4012</v>
      </c>
      <c r="F597" t="s">
        <v>25</v>
      </c>
      <c r="G597" s="1">
        <v>46244</v>
      </c>
      <c r="H597" s="1">
        <v>46245</v>
      </c>
      <c r="I597" s="2">
        <v>0.25</v>
      </c>
      <c r="J597" s="2">
        <v>0.58333333333333337</v>
      </c>
      <c r="L597" t="s">
        <v>4022</v>
      </c>
      <c r="M597" s="1"/>
      <c r="O597" t="s">
        <v>4007</v>
      </c>
      <c r="P597" s="1"/>
      <c r="Q597" s="1"/>
      <c r="S597" s="2">
        <f>CONSOLIDADO_2026[[#This Row],[Hora final]]-CONSOLIDADO_2026[[#This Row],[Hora inic]]</f>
        <v>0.33333333333333337</v>
      </c>
    </row>
    <row r="598" spans="1:19" x14ac:dyDescent="0.25">
      <c r="A598" t="s">
        <v>4130</v>
      </c>
      <c r="B598">
        <v>1193370054</v>
      </c>
      <c r="C598" t="s">
        <v>918</v>
      </c>
      <c r="D598" t="s">
        <v>142</v>
      </c>
      <c r="E598" t="s">
        <v>4012</v>
      </c>
      <c r="F598" t="s">
        <v>25</v>
      </c>
      <c r="G598" s="1">
        <v>46244</v>
      </c>
      <c r="H598" s="1">
        <v>46244</v>
      </c>
      <c r="I598" s="2">
        <v>0.25</v>
      </c>
      <c r="J598" s="2">
        <v>0.58333333333333337</v>
      </c>
      <c r="L598" t="s">
        <v>4022</v>
      </c>
      <c r="M598" s="1"/>
      <c r="O598" t="s">
        <v>4007</v>
      </c>
      <c r="P598" s="1"/>
      <c r="Q598" s="1"/>
      <c r="S598" s="2">
        <f>CONSOLIDADO_2026[[#This Row],[Hora final]]-CONSOLIDADO_2026[[#This Row],[Hora inic]]</f>
        <v>0.33333333333333337</v>
      </c>
    </row>
    <row r="599" spans="1:19" x14ac:dyDescent="0.25">
      <c r="A599" t="s">
        <v>4130</v>
      </c>
      <c r="B599">
        <v>1037646627</v>
      </c>
      <c r="C599" t="s">
        <v>3260</v>
      </c>
      <c r="D599" t="s">
        <v>121</v>
      </c>
      <c r="E599" t="s">
        <v>4010</v>
      </c>
      <c r="F599" t="s">
        <v>25</v>
      </c>
      <c r="G599" s="1">
        <v>46244</v>
      </c>
      <c r="H599" s="1">
        <v>46245</v>
      </c>
      <c r="I599" s="2"/>
      <c r="J599" s="2"/>
      <c r="L599" t="s">
        <v>4050</v>
      </c>
      <c r="M599" s="1"/>
      <c r="O599" t="s">
        <v>4007</v>
      </c>
      <c r="P599" s="1"/>
      <c r="Q599" s="1"/>
      <c r="S599" s="2">
        <f>CONSOLIDADO_2026[[#This Row],[Hora final]]-CONSOLIDADO_2026[[#This Row],[Hora inic]]</f>
        <v>0</v>
      </c>
    </row>
    <row r="600" spans="1:19" x14ac:dyDescent="0.25">
      <c r="A600" t="s">
        <v>4130</v>
      </c>
      <c r="B600">
        <v>1048266834</v>
      </c>
      <c r="C600" t="s">
        <v>1162</v>
      </c>
      <c r="D600" t="s">
        <v>29</v>
      </c>
      <c r="E600" t="s">
        <v>4005</v>
      </c>
      <c r="F600" t="s">
        <v>25</v>
      </c>
      <c r="G600" s="1">
        <v>46244</v>
      </c>
      <c r="H600" s="1">
        <v>46244</v>
      </c>
      <c r="I600" s="2">
        <v>0.25</v>
      </c>
      <c r="J600" s="2">
        <v>0.58333333333333337</v>
      </c>
      <c r="L600" t="s">
        <v>261</v>
      </c>
      <c r="M600" s="1"/>
      <c r="O600" t="s">
        <v>4007</v>
      </c>
      <c r="P600" s="1"/>
      <c r="Q600" s="1"/>
      <c r="S600" s="2">
        <f>CONSOLIDADO_2026[[#This Row],[Hora final]]-CONSOLIDADO_2026[[#This Row],[Hora inic]]</f>
        <v>0.33333333333333337</v>
      </c>
    </row>
    <row r="601" spans="1:19" x14ac:dyDescent="0.25">
      <c r="A601" t="s">
        <v>4130</v>
      </c>
      <c r="B601">
        <v>1069505986</v>
      </c>
      <c r="C601" t="s">
        <v>850</v>
      </c>
      <c r="D601" t="s">
        <v>142</v>
      </c>
      <c r="E601" t="s">
        <v>4012</v>
      </c>
      <c r="F601" t="s">
        <v>25</v>
      </c>
      <c r="G601" s="1">
        <v>46244</v>
      </c>
      <c r="H601" s="1">
        <v>46244</v>
      </c>
      <c r="I601" s="2">
        <v>0.25</v>
      </c>
      <c r="J601" s="2">
        <v>0.58333333333333337</v>
      </c>
      <c r="L601" t="s">
        <v>261</v>
      </c>
      <c r="M601" s="1"/>
      <c r="O601" t="s">
        <v>4007</v>
      </c>
      <c r="P601" s="1"/>
      <c r="Q601" s="1"/>
      <c r="S601" s="2">
        <f>CONSOLIDADO_2026[[#This Row],[Hora final]]-CONSOLIDADO_2026[[#This Row],[Hora inic]]</f>
        <v>0.33333333333333337</v>
      </c>
    </row>
    <row r="602" spans="1:19" x14ac:dyDescent="0.25">
      <c r="A602" t="s">
        <v>4130</v>
      </c>
      <c r="B602">
        <v>1039468657</v>
      </c>
      <c r="C602" t="s">
        <v>2339</v>
      </c>
      <c r="D602" t="s">
        <v>2019</v>
      </c>
      <c r="E602" t="s">
        <v>4011</v>
      </c>
      <c r="F602" t="s">
        <v>25</v>
      </c>
      <c r="G602" s="1">
        <v>46244</v>
      </c>
      <c r="H602" s="1">
        <v>46245</v>
      </c>
      <c r="I602" s="2">
        <v>0.29166666666666669</v>
      </c>
      <c r="J602" s="2">
        <v>0.66666666666666663</v>
      </c>
      <c r="L602" t="s">
        <v>261</v>
      </c>
      <c r="M602" s="1"/>
      <c r="O602" t="s">
        <v>21</v>
      </c>
      <c r="P602" s="1"/>
      <c r="Q602" s="1"/>
      <c r="S602" s="2">
        <f>CONSOLIDADO_2026[[#This Row],[Hora final]]-CONSOLIDADO_2026[[#This Row],[Hora inic]]</f>
        <v>0.37499999999999994</v>
      </c>
    </row>
    <row r="603" spans="1:19" x14ac:dyDescent="0.25">
      <c r="A603" t="s">
        <v>4130</v>
      </c>
      <c r="B603">
        <v>1001995044</v>
      </c>
      <c r="C603" t="s">
        <v>3787</v>
      </c>
      <c r="D603" t="s">
        <v>128</v>
      </c>
      <c r="E603" t="s">
        <v>4005</v>
      </c>
      <c r="F603" t="s">
        <v>25</v>
      </c>
      <c r="G603" s="1">
        <v>46244</v>
      </c>
      <c r="H603" s="1">
        <v>46244</v>
      </c>
      <c r="I603" s="2"/>
      <c r="J603" s="2"/>
      <c r="L603" t="s">
        <v>4022</v>
      </c>
      <c r="M603" s="1"/>
      <c r="O603" t="s">
        <v>4007</v>
      </c>
      <c r="P603" s="1"/>
      <c r="Q603" s="1"/>
      <c r="S603" s="2">
        <f>CONSOLIDADO_2026[[#This Row],[Hora final]]-CONSOLIDADO_2026[[#This Row],[Hora inic]]</f>
        <v>0</v>
      </c>
    </row>
    <row r="604" spans="1:19" x14ac:dyDescent="0.25">
      <c r="A604" t="s">
        <v>4130</v>
      </c>
      <c r="B604">
        <v>1003361835</v>
      </c>
      <c r="C604" t="s">
        <v>792</v>
      </c>
      <c r="D604" t="s">
        <v>420</v>
      </c>
      <c r="E604" t="s">
        <v>4010</v>
      </c>
      <c r="F604" t="s">
        <v>25</v>
      </c>
      <c r="G604" s="1">
        <v>46244</v>
      </c>
      <c r="H604" s="1">
        <v>46245</v>
      </c>
      <c r="I604" s="2">
        <v>0.54166666666666663</v>
      </c>
      <c r="J604" s="2">
        <v>0.875</v>
      </c>
      <c r="L604" t="s">
        <v>4022</v>
      </c>
      <c r="M604" s="1"/>
      <c r="O604" t="s">
        <v>4007</v>
      </c>
      <c r="P604" s="1"/>
      <c r="Q604" s="1"/>
      <c r="S604" s="2">
        <f>CONSOLIDADO_2026[[#This Row],[Hora final]]-CONSOLIDADO_2026[[#This Row],[Hora inic]]</f>
        <v>0.33333333333333337</v>
      </c>
    </row>
    <row r="605" spans="1:19" x14ac:dyDescent="0.25">
      <c r="A605" t="s">
        <v>4130</v>
      </c>
      <c r="B605">
        <v>1007743475</v>
      </c>
      <c r="C605" t="s">
        <v>3251</v>
      </c>
      <c r="D605" t="s">
        <v>64</v>
      </c>
      <c r="E605" t="s">
        <v>4012</v>
      </c>
      <c r="F605" t="s">
        <v>25</v>
      </c>
      <c r="G605" s="1">
        <v>46244</v>
      </c>
      <c r="H605" s="1">
        <v>46244</v>
      </c>
      <c r="I605" s="2">
        <v>0.58333333333333337</v>
      </c>
      <c r="J605" s="2">
        <v>0.875</v>
      </c>
      <c r="L605" t="s">
        <v>4022</v>
      </c>
      <c r="M605" s="1"/>
      <c r="O605" t="s">
        <v>4007</v>
      </c>
      <c r="P605" s="1"/>
      <c r="Q605" s="1"/>
      <c r="S605" s="2">
        <f>CONSOLIDADO_2026[[#This Row],[Hora final]]-CONSOLIDADO_2026[[#This Row],[Hora inic]]</f>
        <v>0.29166666666666663</v>
      </c>
    </row>
    <row r="606" spans="1:19" x14ac:dyDescent="0.25">
      <c r="A606" t="s">
        <v>4130</v>
      </c>
      <c r="B606">
        <v>1002155665</v>
      </c>
      <c r="C606" t="s">
        <v>3756</v>
      </c>
      <c r="D606" t="s">
        <v>160</v>
      </c>
      <c r="E606" t="s">
        <v>4011</v>
      </c>
      <c r="F606" t="s">
        <v>25</v>
      </c>
      <c r="G606" s="1">
        <v>46244</v>
      </c>
      <c r="H606" s="1">
        <v>46245</v>
      </c>
      <c r="I606" s="2">
        <v>0.58333333333333337</v>
      </c>
      <c r="J606" s="2">
        <v>0.875</v>
      </c>
      <c r="L606" t="s">
        <v>4022</v>
      </c>
      <c r="M606" s="1"/>
      <c r="O606" t="s">
        <v>4007</v>
      </c>
      <c r="P606" s="1"/>
      <c r="Q606" s="1"/>
      <c r="S606" s="2">
        <f>CONSOLIDADO_2026[[#This Row],[Hora final]]-CONSOLIDADO_2026[[#This Row],[Hora inic]]</f>
        <v>0.29166666666666663</v>
      </c>
    </row>
    <row r="607" spans="1:19" x14ac:dyDescent="0.25">
      <c r="A607" t="s">
        <v>4130</v>
      </c>
      <c r="B607">
        <v>1003000892</v>
      </c>
      <c r="C607" t="s">
        <v>2887</v>
      </c>
      <c r="D607" t="s">
        <v>15</v>
      </c>
      <c r="E607" t="s">
        <v>4010</v>
      </c>
      <c r="F607" t="s">
        <v>4072</v>
      </c>
      <c r="G607" s="1">
        <v>46244</v>
      </c>
      <c r="H607" s="1">
        <v>46244</v>
      </c>
      <c r="I607" s="2">
        <v>0.5</v>
      </c>
      <c r="J607" s="2">
        <v>0.79166666666666663</v>
      </c>
      <c r="L607" t="s">
        <v>4099</v>
      </c>
      <c r="M607" s="1"/>
      <c r="O607" t="s">
        <v>4007</v>
      </c>
      <c r="P607" s="1"/>
      <c r="Q607" s="1"/>
      <c r="S607" s="2">
        <f>CONSOLIDADO_2026[[#This Row],[Hora final]]-CONSOLIDADO_2026[[#This Row],[Hora inic]]</f>
        <v>0.29166666666666663</v>
      </c>
    </row>
    <row r="608" spans="1:19" x14ac:dyDescent="0.25">
      <c r="A608" t="s">
        <v>4130</v>
      </c>
      <c r="B608">
        <v>43616929</v>
      </c>
      <c r="C608" t="s">
        <v>347</v>
      </c>
      <c r="D608" t="s">
        <v>78</v>
      </c>
      <c r="E608" t="s">
        <v>4010</v>
      </c>
      <c r="F608" t="s">
        <v>25</v>
      </c>
      <c r="G608" s="1">
        <v>46244</v>
      </c>
      <c r="H608" s="1">
        <v>46244</v>
      </c>
      <c r="I608" s="2">
        <v>0.58333333333333337</v>
      </c>
      <c r="J608" s="2">
        <v>0.875</v>
      </c>
      <c r="L608" t="s">
        <v>4022</v>
      </c>
      <c r="M608" s="1"/>
      <c r="O608" t="s">
        <v>4007</v>
      </c>
      <c r="P608" s="1"/>
      <c r="Q608" s="1"/>
      <c r="S608" s="2">
        <f>CONSOLIDADO_2026[[#This Row],[Hora final]]-CONSOLIDADO_2026[[#This Row],[Hora inic]]</f>
        <v>0.29166666666666663</v>
      </c>
    </row>
    <row r="609" spans="1:19" x14ac:dyDescent="0.25">
      <c r="A609" t="s">
        <v>4130</v>
      </c>
      <c r="B609">
        <v>1014237413</v>
      </c>
      <c r="C609" t="s">
        <v>756</v>
      </c>
      <c r="D609" t="s">
        <v>420</v>
      </c>
      <c r="E609" t="s">
        <v>4010</v>
      </c>
      <c r="F609" t="s">
        <v>25</v>
      </c>
      <c r="G609" s="1">
        <v>46244</v>
      </c>
      <c r="H609" s="1">
        <v>46246</v>
      </c>
      <c r="I609" s="2">
        <v>0.54166666666666663</v>
      </c>
      <c r="J609" s="2">
        <v>0.875</v>
      </c>
      <c r="L609" t="s">
        <v>261</v>
      </c>
      <c r="M609" s="1"/>
      <c r="O609" t="s">
        <v>4007</v>
      </c>
      <c r="P609" s="1"/>
      <c r="Q609" s="1"/>
      <c r="S609" s="2">
        <f>CONSOLIDADO_2026[[#This Row],[Hora final]]-CONSOLIDADO_2026[[#This Row],[Hora inic]]</f>
        <v>0.33333333333333337</v>
      </c>
    </row>
    <row r="610" spans="1:19" x14ac:dyDescent="0.25">
      <c r="A610" t="s">
        <v>4130</v>
      </c>
      <c r="B610">
        <v>1124014714</v>
      </c>
      <c r="C610" t="s">
        <v>2153</v>
      </c>
      <c r="D610" t="s">
        <v>343</v>
      </c>
      <c r="E610" t="s">
        <v>4012</v>
      </c>
      <c r="F610" t="s">
        <v>25</v>
      </c>
      <c r="G610" s="1">
        <v>46244</v>
      </c>
      <c r="H610" s="1">
        <v>46245</v>
      </c>
      <c r="I610" s="2">
        <v>0.54166666666666663</v>
      </c>
      <c r="J610" s="2">
        <v>0.875</v>
      </c>
      <c r="L610" t="s">
        <v>4022</v>
      </c>
      <c r="M610" s="1"/>
      <c r="O610" t="s">
        <v>4007</v>
      </c>
      <c r="P610" s="1"/>
      <c r="Q610" s="1"/>
      <c r="S610" s="2">
        <f>CONSOLIDADO_2026[[#This Row],[Hora final]]-CONSOLIDADO_2026[[#This Row],[Hora inic]]</f>
        <v>0.33333333333333337</v>
      </c>
    </row>
    <row r="611" spans="1:19" x14ac:dyDescent="0.25">
      <c r="A611" t="s">
        <v>4130</v>
      </c>
      <c r="B611">
        <v>1193568408</v>
      </c>
      <c r="C611" t="s">
        <v>373</v>
      </c>
      <c r="D611" t="s">
        <v>322</v>
      </c>
      <c r="E611" t="s">
        <v>4017</v>
      </c>
      <c r="F611" t="s">
        <v>25</v>
      </c>
      <c r="G611" s="1">
        <v>46244</v>
      </c>
      <c r="H611" s="1">
        <v>46245</v>
      </c>
      <c r="I611" s="2">
        <v>0.58333333333333337</v>
      </c>
      <c r="J611" s="2">
        <v>0.875</v>
      </c>
      <c r="L611" t="s">
        <v>4134</v>
      </c>
      <c r="M611" s="1"/>
      <c r="O611" t="s">
        <v>21</v>
      </c>
      <c r="P611" s="1"/>
      <c r="Q611" s="1"/>
      <c r="S611" s="2">
        <f>CONSOLIDADO_2026[[#This Row],[Hora final]]-CONSOLIDADO_2026[[#This Row],[Hora inic]]</f>
        <v>0.29166666666666663</v>
      </c>
    </row>
    <row r="612" spans="1:19" x14ac:dyDescent="0.25">
      <c r="A612" t="s">
        <v>4130</v>
      </c>
      <c r="B612">
        <v>1007959114</v>
      </c>
      <c r="C612" t="s">
        <v>2581</v>
      </c>
      <c r="D612" t="s">
        <v>51</v>
      </c>
      <c r="E612" t="s">
        <v>4011</v>
      </c>
      <c r="F612" t="s">
        <v>25</v>
      </c>
      <c r="G612" s="1">
        <v>46244</v>
      </c>
      <c r="H612" s="1">
        <v>46244</v>
      </c>
      <c r="I612" s="2">
        <v>0.54166666666666663</v>
      </c>
      <c r="J612" s="2">
        <v>0.875</v>
      </c>
      <c r="L612" t="s">
        <v>4022</v>
      </c>
      <c r="M612" s="1"/>
      <c r="O612" t="s">
        <v>4007</v>
      </c>
      <c r="P612" s="1"/>
      <c r="Q612" s="1"/>
      <c r="S612" s="2">
        <f>CONSOLIDADO_2026[[#This Row],[Hora final]]-CONSOLIDADO_2026[[#This Row],[Hora inic]]</f>
        <v>0.33333333333333337</v>
      </c>
    </row>
    <row r="613" spans="1:19" x14ac:dyDescent="0.25">
      <c r="A613" t="s">
        <v>4130</v>
      </c>
      <c r="B613">
        <v>1053853703</v>
      </c>
      <c r="C613" t="s">
        <v>2150</v>
      </c>
      <c r="D613" t="s">
        <v>543</v>
      </c>
      <c r="E613" t="s">
        <v>4010</v>
      </c>
      <c r="F613" t="s">
        <v>4053</v>
      </c>
      <c r="G613" s="1">
        <v>46244</v>
      </c>
      <c r="H613" s="1">
        <v>46244</v>
      </c>
      <c r="I613" s="2">
        <v>0.5</v>
      </c>
      <c r="J613" s="2">
        <v>0.83333333333333337</v>
      </c>
      <c r="L613" t="s">
        <v>261</v>
      </c>
      <c r="M613" s="1"/>
      <c r="O613" t="s">
        <v>4007</v>
      </c>
      <c r="P613" s="1"/>
      <c r="Q613" s="1"/>
      <c r="S613" s="2">
        <f>CONSOLIDADO_2026[[#This Row],[Hora final]]-CONSOLIDADO_2026[[#This Row],[Hora inic]]</f>
        <v>0.33333333333333337</v>
      </c>
    </row>
    <row r="614" spans="1:19" x14ac:dyDescent="0.25">
      <c r="A614" t="s">
        <v>4130</v>
      </c>
      <c r="B614">
        <v>1216726482</v>
      </c>
      <c r="C614" t="s">
        <v>2940</v>
      </c>
      <c r="D614" t="s">
        <v>553</v>
      </c>
      <c r="E614" t="s">
        <v>4010</v>
      </c>
      <c r="F614" t="s">
        <v>4053</v>
      </c>
      <c r="G614" s="1">
        <v>46244</v>
      </c>
      <c r="H614" s="1">
        <v>46244</v>
      </c>
      <c r="I614" s="2">
        <v>0.58333333333333337</v>
      </c>
      <c r="J614" s="2">
        <v>0.875</v>
      </c>
      <c r="L614" t="s">
        <v>261</v>
      </c>
      <c r="M614" s="1"/>
      <c r="O614" t="s">
        <v>4007</v>
      </c>
      <c r="P614" s="1"/>
      <c r="Q614" s="1"/>
      <c r="S614" s="2">
        <f>CONSOLIDADO_2026[[#This Row],[Hora final]]-CONSOLIDADO_2026[[#This Row],[Hora inic]]</f>
        <v>0.29166666666666663</v>
      </c>
    </row>
    <row r="615" spans="1:19" x14ac:dyDescent="0.25">
      <c r="A615" t="s">
        <v>4135</v>
      </c>
      <c r="B615">
        <v>1007743475</v>
      </c>
      <c r="C615" t="s">
        <v>3251</v>
      </c>
      <c r="D615" t="s">
        <v>64</v>
      </c>
      <c r="E615" t="s">
        <v>4012</v>
      </c>
      <c r="F615" t="s">
        <v>25</v>
      </c>
      <c r="G615" s="1">
        <v>46244</v>
      </c>
      <c r="H615" s="1">
        <v>46244</v>
      </c>
      <c r="I615" s="2"/>
      <c r="J615" s="2"/>
      <c r="L615" t="s">
        <v>4006</v>
      </c>
      <c r="M615" s="1"/>
      <c r="O615" t="s">
        <v>4007</v>
      </c>
      <c r="P615" s="1"/>
      <c r="Q615" s="1"/>
      <c r="S615" s="2">
        <f>CONSOLIDADO_2026[[#This Row],[Hora final]]-CONSOLIDADO_2026[[#This Row],[Hora inic]]</f>
        <v>0</v>
      </c>
    </row>
    <row r="616" spans="1:19" x14ac:dyDescent="0.25">
      <c r="A616" t="s">
        <v>4135</v>
      </c>
      <c r="B616">
        <v>1003361835</v>
      </c>
      <c r="C616" t="s">
        <v>792</v>
      </c>
      <c r="D616" t="s">
        <v>420</v>
      </c>
      <c r="E616" t="s">
        <v>4010</v>
      </c>
      <c r="F616" t="s">
        <v>25</v>
      </c>
      <c r="G616" s="1">
        <v>46244</v>
      </c>
      <c r="H616" s="1">
        <v>46245</v>
      </c>
      <c r="I616" s="2">
        <v>0.58333333333333337</v>
      </c>
      <c r="J616" s="2">
        <v>0.875</v>
      </c>
      <c r="L616" t="s">
        <v>261</v>
      </c>
      <c r="M616" s="1"/>
      <c r="O616" t="s">
        <v>4007</v>
      </c>
      <c r="P616" s="1"/>
      <c r="Q616" s="1"/>
      <c r="S616" s="2">
        <f>CONSOLIDADO_2026[[#This Row],[Hora final]]-CONSOLIDADO_2026[[#This Row],[Hora inic]]</f>
        <v>0.29166666666666663</v>
      </c>
    </row>
    <row r="617" spans="1:19" x14ac:dyDescent="0.25">
      <c r="A617" t="s">
        <v>4135</v>
      </c>
      <c r="B617">
        <v>1069505986</v>
      </c>
      <c r="C617" t="s">
        <v>850</v>
      </c>
      <c r="D617" t="s">
        <v>142</v>
      </c>
      <c r="E617" t="s">
        <v>4012</v>
      </c>
      <c r="F617" t="s">
        <v>25</v>
      </c>
      <c r="G617" s="1">
        <v>46244</v>
      </c>
      <c r="H617" s="1">
        <v>46244</v>
      </c>
      <c r="I617" s="2">
        <v>0.25</v>
      </c>
      <c r="J617" s="2">
        <v>0.54166666666666663</v>
      </c>
      <c r="L617" t="s">
        <v>4006</v>
      </c>
      <c r="M617" s="1"/>
      <c r="O617" t="s">
        <v>4007</v>
      </c>
      <c r="P617" s="1"/>
      <c r="Q617" s="1"/>
      <c r="S617" s="2">
        <f>CONSOLIDADO_2026[[#This Row],[Hora final]]-CONSOLIDADO_2026[[#This Row],[Hora inic]]</f>
        <v>0.29166666666666663</v>
      </c>
    </row>
    <row r="618" spans="1:19" x14ac:dyDescent="0.25">
      <c r="A618" t="s">
        <v>4135</v>
      </c>
      <c r="B618">
        <v>1036670970</v>
      </c>
      <c r="C618" t="s">
        <v>2642</v>
      </c>
      <c r="D618" t="s">
        <v>34</v>
      </c>
      <c r="E618" t="s">
        <v>4011</v>
      </c>
      <c r="F618" t="s">
        <v>25</v>
      </c>
      <c r="G618" s="1">
        <v>46244</v>
      </c>
      <c r="H618" s="1">
        <v>46244</v>
      </c>
      <c r="I618" s="2"/>
      <c r="J618" s="2"/>
      <c r="L618" t="s">
        <v>4006</v>
      </c>
      <c r="M618" s="1"/>
      <c r="O618" t="s">
        <v>4007</v>
      </c>
      <c r="P618" s="1"/>
      <c r="Q618" s="1"/>
      <c r="S618" s="2">
        <f>CONSOLIDADO_2026[[#This Row],[Hora final]]-CONSOLIDADO_2026[[#This Row],[Hora inic]]</f>
        <v>0</v>
      </c>
    </row>
    <row r="619" spans="1:19" x14ac:dyDescent="0.25">
      <c r="A619" t="s">
        <v>4135</v>
      </c>
      <c r="B619">
        <v>1003033764</v>
      </c>
      <c r="C619" t="s">
        <v>1209</v>
      </c>
      <c r="D619" t="s">
        <v>121</v>
      </c>
      <c r="E619" t="s">
        <v>4010</v>
      </c>
      <c r="F619" t="s">
        <v>25</v>
      </c>
      <c r="G619" s="1">
        <v>46244</v>
      </c>
      <c r="H619" s="1">
        <v>46245</v>
      </c>
      <c r="I619" s="2">
        <v>0.25</v>
      </c>
      <c r="J619" s="2">
        <v>0.54166666666666663</v>
      </c>
      <c r="L619" t="s">
        <v>261</v>
      </c>
      <c r="M619" s="1"/>
      <c r="O619" t="s">
        <v>4007</v>
      </c>
      <c r="P619" s="1"/>
      <c r="Q619" s="1"/>
      <c r="S619" s="2">
        <f>CONSOLIDADO_2026[[#This Row],[Hora final]]-CONSOLIDADO_2026[[#This Row],[Hora inic]]</f>
        <v>0.29166666666666663</v>
      </c>
    </row>
    <row r="620" spans="1:19" x14ac:dyDescent="0.25">
      <c r="A620" t="s">
        <v>4135</v>
      </c>
      <c r="B620">
        <v>1143345388</v>
      </c>
      <c r="C620" t="s">
        <v>3079</v>
      </c>
      <c r="D620" t="s">
        <v>64</v>
      </c>
      <c r="E620" t="s">
        <v>4012</v>
      </c>
      <c r="F620" t="s">
        <v>25</v>
      </c>
      <c r="G620" s="1">
        <v>46244</v>
      </c>
      <c r="H620" s="1">
        <v>46245</v>
      </c>
      <c r="I620" s="2">
        <v>0.58333333333333337</v>
      </c>
      <c r="J620" s="2">
        <v>0.875</v>
      </c>
      <c r="L620" t="s">
        <v>261</v>
      </c>
      <c r="M620" s="1"/>
      <c r="O620" t="s">
        <v>4007</v>
      </c>
      <c r="P620" s="1"/>
      <c r="Q620" s="1"/>
      <c r="S620" s="2">
        <f>CONSOLIDADO_2026[[#This Row],[Hora final]]-CONSOLIDADO_2026[[#This Row],[Hora inic]]</f>
        <v>0.29166666666666663</v>
      </c>
    </row>
    <row r="621" spans="1:19" x14ac:dyDescent="0.25">
      <c r="A621" t="s">
        <v>4135</v>
      </c>
      <c r="B621">
        <v>1193370054</v>
      </c>
      <c r="C621" t="s">
        <v>918</v>
      </c>
      <c r="D621" t="s">
        <v>142</v>
      </c>
      <c r="E621" t="s">
        <v>4012</v>
      </c>
      <c r="F621" t="s">
        <v>25</v>
      </c>
      <c r="G621" s="1">
        <v>46244</v>
      </c>
      <c r="H621" s="1">
        <v>46244</v>
      </c>
      <c r="I621" s="2">
        <v>0.25</v>
      </c>
      <c r="J621" s="2">
        <v>0.58333333333333337</v>
      </c>
      <c r="L621" t="s">
        <v>261</v>
      </c>
      <c r="M621" s="1"/>
      <c r="O621" t="s">
        <v>4007</v>
      </c>
      <c r="P621" s="1"/>
      <c r="Q621" s="1"/>
      <c r="S621" s="2">
        <f>CONSOLIDADO_2026[[#This Row],[Hora final]]-CONSOLIDADO_2026[[#This Row],[Hora inic]]</f>
        <v>0.33333333333333337</v>
      </c>
    </row>
    <row r="622" spans="1:19" x14ac:dyDescent="0.25">
      <c r="A622" t="s">
        <v>4135</v>
      </c>
      <c r="B622">
        <v>1037646627</v>
      </c>
      <c r="C622" t="s">
        <v>3260</v>
      </c>
      <c r="D622" t="s">
        <v>121</v>
      </c>
      <c r="E622" t="s">
        <v>4010</v>
      </c>
      <c r="F622" t="s">
        <v>25</v>
      </c>
      <c r="G622" s="1">
        <v>46244</v>
      </c>
      <c r="H622" s="1">
        <v>46245</v>
      </c>
      <c r="I622" s="2">
        <v>0.58333333333333337</v>
      </c>
      <c r="J622" s="2">
        <v>0.875</v>
      </c>
      <c r="K622" t="s">
        <v>244</v>
      </c>
      <c r="L622" t="s">
        <v>245</v>
      </c>
      <c r="M622" s="1"/>
      <c r="O622" t="s">
        <v>21</v>
      </c>
      <c r="P622" s="1"/>
      <c r="Q622" s="1"/>
      <c r="S622" s="2">
        <f>CONSOLIDADO_2026[[#This Row],[Hora final]]-CONSOLIDADO_2026[[#This Row],[Hora inic]]</f>
        <v>0.29166666666666663</v>
      </c>
    </row>
    <row r="623" spans="1:19" x14ac:dyDescent="0.25">
      <c r="A623" t="s">
        <v>4135</v>
      </c>
      <c r="B623">
        <v>1040047481</v>
      </c>
      <c r="C623" t="s">
        <v>2280</v>
      </c>
      <c r="D623" t="s">
        <v>211</v>
      </c>
      <c r="E623" t="s">
        <v>4017</v>
      </c>
      <c r="F623" t="s">
        <v>25</v>
      </c>
      <c r="G623" s="1">
        <v>46242</v>
      </c>
      <c r="H623" s="1">
        <v>46248</v>
      </c>
      <c r="I623" s="2"/>
      <c r="J623" s="2"/>
      <c r="L623" t="s">
        <v>4006</v>
      </c>
      <c r="M623" s="1"/>
      <c r="O623" t="s">
        <v>4007</v>
      </c>
      <c r="P623" s="1"/>
      <c r="Q623" s="1"/>
      <c r="S623" s="2">
        <f>CONSOLIDADO_2026[[#This Row],[Hora final]]-CONSOLIDADO_2026[[#This Row],[Hora inic]]</f>
        <v>0</v>
      </c>
    </row>
    <row r="624" spans="1:19" x14ac:dyDescent="0.25">
      <c r="A624" t="s">
        <v>4135</v>
      </c>
      <c r="B624">
        <v>1000921455</v>
      </c>
      <c r="C624" t="s">
        <v>33</v>
      </c>
      <c r="D624" t="s">
        <v>34</v>
      </c>
      <c r="E624" t="s">
        <v>4011</v>
      </c>
      <c r="F624" t="s">
        <v>25</v>
      </c>
      <c r="G624" s="1">
        <v>46242</v>
      </c>
      <c r="H624" s="1">
        <v>46246</v>
      </c>
      <c r="I624" s="2">
        <v>0.58333333333333337</v>
      </c>
      <c r="J624" s="2">
        <v>0.875</v>
      </c>
      <c r="L624" t="s">
        <v>261</v>
      </c>
      <c r="M624" s="1"/>
      <c r="O624" t="s">
        <v>4007</v>
      </c>
      <c r="P624" s="1"/>
      <c r="Q624" s="1"/>
      <c r="S624" s="2">
        <f>CONSOLIDADO_2026[[#This Row],[Hora final]]-CONSOLIDADO_2026[[#This Row],[Hora inic]]</f>
        <v>0.29166666666666663</v>
      </c>
    </row>
    <row r="625" spans="1:19" x14ac:dyDescent="0.25">
      <c r="A625" t="s">
        <v>4135</v>
      </c>
      <c r="B625">
        <v>1007842898</v>
      </c>
      <c r="C625" t="s">
        <v>4132</v>
      </c>
      <c r="D625" t="s">
        <v>343</v>
      </c>
      <c r="E625" t="s">
        <v>4012</v>
      </c>
      <c r="F625" t="s">
        <v>4015</v>
      </c>
      <c r="G625" s="1">
        <v>46244</v>
      </c>
      <c r="H625" s="1">
        <v>46246</v>
      </c>
      <c r="I625" s="2">
        <v>0.58333333333333337</v>
      </c>
      <c r="J625" s="2">
        <v>0.875</v>
      </c>
      <c r="L625" t="s">
        <v>261</v>
      </c>
      <c r="M625" s="1"/>
      <c r="O625" t="s">
        <v>4007</v>
      </c>
      <c r="P625" s="1"/>
      <c r="Q625" s="1"/>
      <c r="S625" s="2">
        <f>CONSOLIDADO_2026[[#This Row],[Hora final]]-CONSOLIDADO_2026[[#This Row],[Hora inic]]</f>
        <v>0.29166666666666663</v>
      </c>
    </row>
    <row r="626" spans="1:19" x14ac:dyDescent="0.25">
      <c r="A626" t="s">
        <v>4135</v>
      </c>
      <c r="B626">
        <v>1045718883</v>
      </c>
      <c r="C626" t="s">
        <v>47</v>
      </c>
      <c r="D626" t="s">
        <v>34</v>
      </c>
      <c r="E626" t="s">
        <v>4011</v>
      </c>
      <c r="F626" t="s">
        <v>25</v>
      </c>
      <c r="G626" s="1">
        <v>46240</v>
      </c>
      <c r="H626" s="1">
        <v>46249</v>
      </c>
      <c r="I626" s="2">
        <v>0.54166666666666663</v>
      </c>
      <c r="J626" s="2">
        <v>0.875</v>
      </c>
      <c r="K626" t="s">
        <v>240</v>
      </c>
      <c r="L626" t="s">
        <v>241</v>
      </c>
      <c r="M626" s="1"/>
      <c r="O626" t="s">
        <v>21</v>
      </c>
      <c r="P626" s="1"/>
      <c r="Q626" s="1"/>
      <c r="S626" s="2">
        <f>CONSOLIDADO_2026[[#This Row],[Hora final]]-CONSOLIDADO_2026[[#This Row],[Hora inic]]</f>
        <v>0.33333333333333337</v>
      </c>
    </row>
    <row r="627" spans="1:19" x14ac:dyDescent="0.25">
      <c r="A627" t="s">
        <v>4135</v>
      </c>
      <c r="B627">
        <v>1143413583</v>
      </c>
      <c r="C627" t="s">
        <v>54</v>
      </c>
      <c r="D627" t="s">
        <v>41</v>
      </c>
      <c r="E627" t="s">
        <v>4011</v>
      </c>
      <c r="F627" t="s">
        <v>4015</v>
      </c>
      <c r="G627" s="1">
        <v>46240</v>
      </c>
      <c r="H627" s="1">
        <v>46244</v>
      </c>
      <c r="I627" s="2"/>
      <c r="J627" s="2"/>
      <c r="L627" t="s">
        <v>4006</v>
      </c>
      <c r="M627" s="1"/>
      <c r="O627" t="s">
        <v>4007</v>
      </c>
      <c r="P627" s="1"/>
      <c r="Q627" s="1"/>
      <c r="S627" s="2">
        <f>CONSOLIDADO_2026[[#This Row],[Hora final]]-CONSOLIDADO_2026[[#This Row],[Hora inic]]</f>
        <v>0</v>
      </c>
    </row>
    <row r="628" spans="1:19" x14ac:dyDescent="0.25">
      <c r="A628" t="s">
        <v>4135</v>
      </c>
      <c r="B628">
        <v>1042422897</v>
      </c>
      <c r="C628" t="s">
        <v>4069</v>
      </c>
      <c r="D628" t="s">
        <v>326</v>
      </c>
      <c r="E628" t="s">
        <v>4005</v>
      </c>
      <c r="F628" t="s">
        <v>4015</v>
      </c>
      <c r="G628" s="1">
        <v>46242</v>
      </c>
      <c r="H628" s="1">
        <v>46245</v>
      </c>
      <c r="I628" s="2">
        <v>0.25</v>
      </c>
      <c r="J628" s="2">
        <v>0.58333333333333337</v>
      </c>
      <c r="L628" t="s">
        <v>261</v>
      </c>
      <c r="M628" s="1"/>
      <c r="O628" t="s">
        <v>4007</v>
      </c>
      <c r="P628" s="1"/>
      <c r="Q628" s="1"/>
      <c r="S628" s="2">
        <f>CONSOLIDADO_2026[[#This Row],[Hora final]]-CONSOLIDADO_2026[[#This Row],[Hora inic]]</f>
        <v>0.33333333333333337</v>
      </c>
    </row>
    <row r="629" spans="1:19" x14ac:dyDescent="0.25">
      <c r="A629" t="s">
        <v>4135</v>
      </c>
      <c r="B629">
        <v>1143374438</v>
      </c>
      <c r="C629" t="s">
        <v>85</v>
      </c>
      <c r="D629" t="s">
        <v>41</v>
      </c>
      <c r="E629" t="s">
        <v>4011</v>
      </c>
      <c r="F629" t="s">
        <v>25</v>
      </c>
      <c r="G629" s="1">
        <v>46239</v>
      </c>
      <c r="H629" s="1">
        <v>46268</v>
      </c>
      <c r="I629" s="2">
        <v>0.25</v>
      </c>
      <c r="J629" s="2">
        <v>0.54166666666666663</v>
      </c>
      <c r="K629" t="s">
        <v>171</v>
      </c>
      <c r="L629" t="s">
        <v>172</v>
      </c>
      <c r="M629" s="1"/>
      <c r="O629" t="s">
        <v>21</v>
      </c>
      <c r="P629" s="1"/>
      <c r="Q629" s="1"/>
      <c r="S629" s="2">
        <f>CONSOLIDADO_2026[[#This Row],[Hora final]]-CONSOLIDADO_2026[[#This Row],[Hora inic]]</f>
        <v>0.29166666666666663</v>
      </c>
    </row>
    <row r="630" spans="1:19" x14ac:dyDescent="0.25">
      <c r="A630" t="s">
        <v>4135</v>
      </c>
      <c r="B630">
        <v>1015483595</v>
      </c>
      <c r="C630" t="s">
        <v>243</v>
      </c>
      <c r="D630" t="s">
        <v>34</v>
      </c>
      <c r="E630" t="s">
        <v>4011</v>
      </c>
      <c r="F630" t="s">
        <v>30</v>
      </c>
      <c r="G630" s="1">
        <v>46244</v>
      </c>
      <c r="H630" s="1">
        <v>46265</v>
      </c>
      <c r="I630" s="2">
        <v>0.25</v>
      </c>
      <c r="J630" s="2">
        <v>0.58333333333333337</v>
      </c>
      <c r="L630" t="s">
        <v>261</v>
      </c>
      <c r="M630" s="1"/>
      <c r="O630" t="s">
        <v>4007</v>
      </c>
      <c r="P630" s="1"/>
      <c r="Q630" s="1"/>
      <c r="S630" s="2">
        <f>CONSOLIDADO_2026[[#This Row],[Hora final]]-CONSOLIDADO_2026[[#This Row],[Hora inic]]</f>
        <v>0.33333333333333337</v>
      </c>
    </row>
    <row r="631" spans="1:19" x14ac:dyDescent="0.25">
      <c r="A631" t="s">
        <v>4135</v>
      </c>
      <c r="B631">
        <v>1067963513</v>
      </c>
      <c r="C631" t="s">
        <v>112</v>
      </c>
      <c r="D631" t="s">
        <v>29</v>
      </c>
      <c r="E631" t="s">
        <v>4005</v>
      </c>
      <c r="F631" t="s">
        <v>30</v>
      </c>
      <c r="G631" s="1">
        <v>46240</v>
      </c>
      <c r="H631" s="1">
        <v>46265</v>
      </c>
      <c r="I631" s="2">
        <v>0.54166666666666663</v>
      </c>
      <c r="J631" s="2">
        <v>0.875</v>
      </c>
      <c r="L631" t="s">
        <v>4126</v>
      </c>
      <c r="M631" s="1"/>
      <c r="O631" t="s">
        <v>21</v>
      </c>
      <c r="P631" s="1"/>
      <c r="Q631" s="1"/>
      <c r="S631" s="2">
        <f>CONSOLIDADO_2026[[#This Row],[Hora final]]-CONSOLIDADO_2026[[#This Row],[Hora inic]]</f>
        <v>0.33333333333333337</v>
      </c>
    </row>
    <row r="632" spans="1:19" x14ac:dyDescent="0.25">
      <c r="A632" t="s">
        <v>4135</v>
      </c>
      <c r="B632">
        <v>1036670630</v>
      </c>
      <c r="C632" t="s">
        <v>1093</v>
      </c>
      <c r="D632" t="s">
        <v>15</v>
      </c>
      <c r="E632" t="s">
        <v>4012</v>
      </c>
      <c r="F632" t="s">
        <v>30</v>
      </c>
      <c r="G632" s="1">
        <v>46244</v>
      </c>
      <c r="H632" s="1">
        <v>46244</v>
      </c>
      <c r="I632" s="2"/>
      <c r="J632" s="2"/>
      <c r="L632" t="s">
        <v>4006</v>
      </c>
      <c r="M632" s="1"/>
      <c r="O632" t="s">
        <v>4007</v>
      </c>
      <c r="P632" s="1"/>
      <c r="Q632" s="1"/>
      <c r="S632" s="2">
        <f>CONSOLIDADO_2026[[#This Row],[Hora final]]-CONSOLIDADO_2026[[#This Row],[Hora inic]]</f>
        <v>0</v>
      </c>
    </row>
    <row r="633" spans="1:19" x14ac:dyDescent="0.25">
      <c r="A633" t="s">
        <v>4135</v>
      </c>
      <c r="B633">
        <v>42141273</v>
      </c>
      <c r="C633" t="s">
        <v>210</v>
      </c>
      <c r="D633" t="s">
        <v>211</v>
      </c>
      <c r="E633" t="s">
        <v>4017</v>
      </c>
      <c r="F633" t="s">
        <v>4029</v>
      </c>
      <c r="G633" s="1">
        <v>46232</v>
      </c>
      <c r="H633" s="1">
        <v>46261</v>
      </c>
      <c r="I633" s="2">
        <v>0.25</v>
      </c>
      <c r="J633" s="2">
        <v>0.5</v>
      </c>
      <c r="K633" t="s">
        <v>230</v>
      </c>
      <c r="L633" t="s">
        <v>231</v>
      </c>
      <c r="M633" s="1"/>
      <c r="O633" t="s">
        <v>4007</v>
      </c>
      <c r="P633" s="1"/>
      <c r="Q633" s="1"/>
      <c r="S633" s="2">
        <f>CONSOLIDADO_2026[[#This Row],[Hora final]]-CONSOLIDADO_2026[[#This Row],[Hora inic]]</f>
        <v>0.25</v>
      </c>
    </row>
    <row r="634" spans="1:19" x14ac:dyDescent="0.25">
      <c r="A634" t="s">
        <v>4135</v>
      </c>
      <c r="B634">
        <v>1001851670</v>
      </c>
      <c r="C634" t="s">
        <v>14</v>
      </c>
      <c r="D634" t="s">
        <v>15</v>
      </c>
      <c r="E634" t="s">
        <v>4012</v>
      </c>
      <c r="F634" t="s">
        <v>16</v>
      </c>
      <c r="G634" s="1">
        <v>46241</v>
      </c>
      <c r="H634" s="1">
        <v>46366</v>
      </c>
      <c r="I634" s="2">
        <v>0.54166666666666663</v>
      </c>
      <c r="J634" s="2">
        <v>0.875</v>
      </c>
      <c r="K634" t="s">
        <v>17</v>
      </c>
      <c r="L634" t="s">
        <v>18</v>
      </c>
      <c r="M634" s="1"/>
      <c r="O634" t="s">
        <v>21</v>
      </c>
      <c r="P634" s="1"/>
      <c r="Q634" s="1"/>
      <c r="S634" s="2">
        <f>CONSOLIDADO_2026[[#This Row],[Hora final]]-CONSOLIDADO_2026[[#This Row],[Hora inic]]</f>
        <v>0.33333333333333337</v>
      </c>
    </row>
    <row r="635" spans="1:19" x14ac:dyDescent="0.25">
      <c r="A635" t="s">
        <v>4135</v>
      </c>
      <c r="B635">
        <v>1035876080</v>
      </c>
      <c r="C635" t="s">
        <v>120</v>
      </c>
      <c r="D635" t="s">
        <v>121</v>
      </c>
      <c r="E635" t="s">
        <v>4010</v>
      </c>
      <c r="F635" t="s">
        <v>25</v>
      </c>
      <c r="G635" s="1">
        <v>46239</v>
      </c>
      <c r="H635" s="1">
        <v>46245</v>
      </c>
      <c r="I635" s="2">
        <v>0.25</v>
      </c>
      <c r="J635" s="2">
        <v>0.54166666666666663</v>
      </c>
      <c r="K635" t="s">
        <v>122</v>
      </c>
      <c r="L635" t="s">
        <v>123</v>
      </c>
      <c r="M635" s="1"/>
      <c r="O635" t="s">
        <v>21</v>
      </c>
      <c r="P635" s="1"/>
      <c r="Q635" s="1"/>
      <c r="S635" s="2">
        <f>CONSOLIDADO_2026[[#This Row],[Hora final]]-CONSOLIDADO_2026[[#This Row],[Hora inic]]</f>
        <v>0.29166666666666663</v>
      </c>
    </row>
    <row r="636" spans="1:19" x14ac:dyDescent="0.25">
      <c r="A636" t="s">
        <v>4135</v>
      </c>
      <c r="B636">
        <v>1005424850</v>
      </c>
      <c r="C636" t="s">
        <v>56</v>
      </c>
      <c r="D636" t="s">
        <v>57</v>
      </c>
      <c r="E636" t="s">
        <v>4010</v>
      </c>
      <c r="F636" t="s">
        <v>25</v>
      </c>
      <c r="G636" s="1">
        <v>46238</v>
      </c>
      <c r="H636" s="1">
        <v>46245</v>
      </c>
      <c r="I636" s="2">
        <v>0.25</v>
      </c>
      <c r="J636" s="2">
        <v>0.54166666666666663</v>
      </c>
      <c r="K636" t="s">
        <v>188</v>
      </c>
      <c r="L636" t="s">
        <v>189</v>
      </c>
      <c r="M636" s="1"/>
      <c r="O636" t="s">
        <v>21</v>
      </c>
      <c r="P636" s="1"/>
      <c r="Q636" s="1"/>
      <c r="S636" s="2">
        <f>CONSOLIDADO_2026[[#This Row],[Hora final]]-CONSOLIDADO_2026[[#This Row],[Hora inic]]</f>
        <v>0.29166666666666663</v>
      </c>
    </row>
    <row r="637" spans="1:19" x14ac:dyDescent="0.25">
      <c r="A637" t="s">
        <v>4135</v>
      </c>
      <c r="B637">
        <v>1152221372</v>
      </c>
      <c r="C637" t="s">
        <v>2313</v>
      </c>
      <c r="D637" t="s">
        <v>128</v>
      </c>
      <c r="E637" t="s">
        <v>4005</v>
      </c>
      <c r="F637" t="s">
        <v>4037</v>
      </c>
      <c r="G637" s="1">
        <v>46230</v>
      </c>
      <c r="H637" s="1"/>
      <c r="I637" s="2">
        <v>0.25</v>
      </c>
      <c r="J637" s="2">
        <v>0.54166666666666663</v>
      </c>
      <c r="K637" t="s">
        <v>147</v>
      </c>
      <c r="L637" t="s">
        <v>148</v>
      </c>
      <c r="M637" s="1"/>
      <c r="O637" t="s">
        <v>21</v>
      </c>
      <c r="P637" s="1"/>
      <c r="Q637" s="1"/>
      <c r="S637" s="2">
        <f>CONSOLIDADO_2026[[#This Row],[Hora final]]-CONSOLIDADO_2026[[#This Row],[Hora inic]]</f>
        <v>0.29166666666666663</v>
      </c>
    </row>
    <row r="638" spans="1:19" x14ac:dyDescent="0.25">
      <c r="A638" t="s">
        <v>4135</v>
      </c>
      <c r="B638">
        <v>1017264032</v>
      </c>
      <c r="C638" t="s">
        <v>63</v>
      </c>
      <c r="D638" t="s">
        <v>64</v>
      </c>
      <c r="E638" t="s">
        <v>4012</v>
      </c>
      <c r="F638" t="s">
        <v>25</v>
      </c>
      <c r="G638" s="1">
        <v>46229</v>
      </c>
      <c r="H638" s="1">
        <v>46258</v>
      </c>
      <c r="I638" s="2">
        <v>0.25</v>
      </c>
      <c r="J638" s="2">
        <v>0.58333333333333337</v>
      </c>
      <c r="K638" t="s">
        <v>154</v>
      </c>
      <c r="L638" t="s">
        <v>155</v>
      </c>
      <c r="M638" s="1"/>
      <c r="O638" t="s">
        <v>21</v>
      </c>
      <c r="P638" s="1"/>
      <c r="Q638" s="1"/>
      <c r="S638" s="2">
        <f>CONSOLIDADO_2026[[#This Row],[Hora final]]-CONSOLIDADO_2026[[#This Row],[Hora inic]]</f>
        <v>0.33333333333333337</v>
      </c>
    </row>
    <row r="639" spans="1:19" x14ac:dyDescent="0.25">
      <c r="A639" t="s">
        <v>4135</v>
      </c>
      <c r="B639">
        <v>1036132488</v>
      </c>
      <c r="C639" t="s">
        <v>150</v>
      </c>
      <c r="D639" t="s">
        <v>142</v>
      </c>
      <c r="E639" t="s">
        <v>4012</v>
      </c>
      <c r="F639" t="s">
        <v>25</v>
      </c>
      <c r="G639" s="1">
        <v>46227</v>
      </c>
      <c r="H639" s="1">
        <v>46246</v>
      </c>
      <c r="I639" s="2">
        <v>0.25</v>
      </c>
      <c r="J639" s="2">
        <v>0.58333333333333337</v>
      </c>
      <c r="K639" t="s">
        <v>247</v>
      </c>
      <c r="L639" t="s">
        <v>248</v>
      </c>
      <c r="M639" s="1"/>
      <c r="O639" t="s">
        <v>21</v>
      </c>
      <c r="P639" s="1"/>
      <c r="Q639" s="1"/>
      <c r="S639" s="2">
        <f>CONSOLIDADO_2026[[#This Row],[Hora final]]-CONSOLIDADO_2026[[#This Row],[Hora inic]]</f>
        <v>0.33333333333333337</v>
      </c>
    </row>
    <row r="640" spans="1:19" x14ac:dyDescent="0.25">
      <c r="A640" t="s">
        <v>4135</v>
      </c>
      <c r="B640">
        <v>43558465</v>
      </c>
      <c r="C640" t="s">
        <v>103</v>
      </c>
      <c r="D640" t="s">
        <v>64</v>
      </c>
      <c r="E640" t="s">
        <v>4012</v>
      </c>
      <c r="F640" t="s">
        <v>25</v>
      </c>
      <c r="G640" s="1">
        <v>46226</v>
      </c>
      <c r="H640" s="1">
        <v>46246</v>
      </c>
      <c r="I640" s="2"/>
      <c r="J640" s="2"/>
      <c r="L640" t="s">
        <v>261</v>
      </c>
      <c r="M640" s="1"/>
      <c r="O640" t="s">
        <v>4007</v>
      </c>
      <c r="P640" s="1"/>
      <c r="Q640" s="1"/>
      <c r="S640" s="2">
        <f>CONSOLIDADO_2026[[#This Row],[Hora final]]-CONSOLIDADO_2026[[#This Row],[Hora inic]]</f>
        <v>0</v>
      </c>
    </row>
    <row r="641" spans="1:19" x14ac:dyDescent="0.25">
      <c r="A641" t="s">
        <v>4135</v>
      </c>
      <c r="B641">
        <v>1037631989</v>
      </c>
      <c r="C641" t="s">
        <v>40</v>
      </c>
      <c r="D641" t="s">
        <v>41</v>
      </c>
      <c r="E641" t="s">
        <v>4011</v>
      </c>
      <c r="F641" t="s">
        <v>25</v>
      </c>
      <c r="G641" s="1">
        <v>46226</v>
      </c>
      <c r="H641" s="1">
        <v>46255</v>
      </c>
      <c r="I641" s="2">
        <v>0.25</v>
      </c>
      <c r="J641" s="2">
        <v>0.54166666666666663</v>
      </c>
      <c r="L641" t="s">
        <v>261</v>
      </c>
      <c r="M641" s="1"/>
      <c r="O641" t="s">
        <v>4007</v>
      </c>
      <c r="P641" s="1"/>
      <c r="Q641" s="1"/>
      <c r="S641" s="2">
        <f>CONSOLIDADO_2026[[#This Row],[Hora final]]-CONSOLIDADO_2026[[#This Row],[Hora inic]]</f>
        <v>0.29166666666666663</v>
      </c>
    </row>
    <row r="642" spans="1:19" x14ac:dyDescent="0.25">
      <c r="A642" t="s">
        <v>4135</v>
      </c>
      <c r="B642">
        <v>1043006106</v>
      </c>
      <c r="C642" t="s">
        <v>194</v>
      </c>
      <c r="D642" t="s">
        <v>160</v>
      </c>
      <c r="E642" t="s">
        <v>4011</v>
      </c>
      <c r="F642" t="s">
        <v>25</v>
      </c>
      <c r="G642" s="1">
        <v>46219</v>
      </c>
      <c r="H642" s="1">
        <v>46248</v>
      </c>
      <c r="I642" s="2">
        <v>0.25</v>
      </c>
      <c r="J642" s="2">
        <v>0.58333333333333337</v>
      </c>
      <c r="K642" t="s">
        <v>191</v>
      </c>
      <c r="L642" t="s">
        <v>192</v>
      </c>
      <c r="M642" s="1"/>
      <c r="O642" t="s">
        <v>21</v>
      </c>
      <c r="P642" s="1"/>
      <c r="Q642" s="1"/>
      <c r="S642" s="2">
        <f>CONSOLIDADO_2026[[#This Row],[Hora final]]-CONSOLIDADO_2026[[#This Row],[Hora inic]]</f>
        <v>0.33333333333333337</v>
      </c>
    </row>
    <row r="643" spans="1:19" x14ac:dyDescent="0.25">
      <c r="A643" t="s">
        <v>4135</v>
      </c>
      <c r="B643">
        <v>1037638426</v>
      </c>
      <c r="C643" t="s">
        <v>44</v>
      </c>
      <c r="D643" t="s">
        <v>41</v>
      </c>
      <c r="E643" t="s">
        <v>4011</v>
      </c>
      <c r="F643" t="s">
        <v>30</v>
      </c>
      <c r="G643" s="1">
        <v>46230</v>
      </c>
      <c r="H643" s="1">
        <v>46262</v>
      </c>
      <c r="I643" s="2">
        <v>0.54166666666666663</v>
      </c>
      <c r="J643" s="2">
        <v>0.875</v>
      </c>
      <c r="K643" t="s">
        <v>35</v>
      </c>
      <c r="L643" t="s">
        <v>36</v>
      </c>
      <c r="M643" s="1"/>
      <c r="O643" t="s">
        <v>21</v>
      </c>
      <c r="P643" s="1"/>
      <c r="Q643" s="1"/>
      <c r="S643" s="2">
        <f>CONSOLIDADO_2026[[#This Row],[Hora final]]-CONSOLIDADO_2026[[#This Row],[Hora inic]]</f>
        <v>0.33333333333333337</v>
      </c>
    </row>
    <row r="644" spans="1:19" x14ac:dyDescent="0.25">
      <c r="A644" t="s">
        <v>4135</v>
      </c>
      <c r="B644">
        <v>1018466443</v>
      </c>
      <c r="C644" t="s">
        <v>1715</v>
      </c>
      <c r="D644" t="s">
        <v>410</v>
      </c>
      <c r="E644" t="s">
        <v>4005</v>
      </c>
      <c r="F644" t="s">
        <v>4091</v>
      </c>
      <c r="G644" s="1">
        <v>46239</v>
      </c>
      <c r="H644" s="1">
        <v>46244</v>
      </c>
      <c r="I644" s="2"/>
      <c r="J644" s="2"/>
      <c r="L644" t="s">
        <v>4006</v>
      </c>
      <c r="M644" s="1"/>
      <c r="O644" t="s">
        <v>4007</v>
      </c>
      <c r="P644" s="1"/>
      <c r="Q644" s="1"/>
      <c r="S644" s="2">
        <f>CONSOLIDADO_2026[[#This Row],[Hora final]]-CONSOLIDADO_2026[[#This Row],[Hora inic]]</f>
        <v>0</v>
      </c>
    </row>
    <row r="645" spans="1:19" x14ac:dyDescent="0.25">
      <c r="A645" t="s">
        <v>4135</v>
      </c>
      <c r="B645">
        <v>1121506548</v>
      </c>
      <c r="C645" t="s">
        <v>50</v>
      </c>
      <c r="D645" t="s">
        <v>51</v>
      </c>
      <c r="E645" t="s">
        <v>4011</v>
      </c>
      <c r="F645" t="s">
        <v>16</v>
      </c>
      <c r="G645" s="1">
        <v>46217</v>
      </c>
      <c r="H645" s="1">
        <v>46342</v>
      </c>
      <c r="I645" s="2">
        <v>0.54166666666666663</v>
      </c>
      <c r="J645" s="2">
        <v>0.875</v>
      </c>
      <c r="L645" t="s">
        <v>261</v>
      </c>
      <c r="M645" s="1"/>
      <c r="O645" t="s">
        <v>4007</v>
      </c>
      <c r="P645" s="1"/>
      <c r="Q645" s="1"/>
      <c r="S645" s="2">
        <f>CONSOLIDADO_2026[[#This Row],[Hora final]]-CONSOLIDADO_2026[[#This Row],[Hora inic]]</f>
        <v>0.33333333333333337</v>
      </c>
    </row>
    <row r="646" spans="1:19" x14ac:dyDescent="0.25">
      <c r="A646" t="s">
        <v>4135</v>
      </c>
      <c r="B646">
        <v>1143460426</v>
      </c>
      <c r="C646" t="s">
        <v>4034</v>
      </c>
      <c r="D646" t="s">
        <v>160</v>
      </c>
      <c r="E646" t="s">
        <v>4011</v>
      </c>
      <c r="F646" t="s">
        <v>4015</v>
      </c>
      <c r="G646" s="1">
        <v>46195</v>
      </c>
      <c r="H646" s="1">
        <v>46198</v>
      </c>
      <c r="I646" s="2">
        <v>0.25</v>
      </c>
      <c r="J646" s="2">
        <v>0.58333333333333337</v>
      </c>
      <c r="K646" t="s">
        <v>162</v>
      </c>
      <c r="L646" t="s">
        <v>163</v>
      </c>
      <c r="M646" s="1"/>
      <c r="O646" t="s">
        <v>21</v>
      </c>
      <c r="P646" s="1"/>
      <c r="Q646" s="1"/>
      <c r="S646" s="2">
        <f>CONSOLIDADO_2026[[#This Row],[Hora final]]-CONSOLIDADO_2026[[#This Row],[Hora inic]]</f>
        <v>0.33333333333333337</v>
      </c>
    </row>
    <row r="647" spans="1:19" x14ac:dyDescent="0.25">
      <c r="A647" t="s">
        <v>4135</v>
      </c>
      <c r="B647">
        <v>1048266834</v>
      </c>
      <c r="C647" t="s">
        <v>1162</v>
      </c>
      <c r="D647" t="s">
        <v>29</v>
      </c>
      <c r="E647" t="s">
        <v>4005</v>
      </c>
      <c r="F647" t="s">
        <v>25</v>
      </c>
      <c r="G647" s="1">
        <v>46244</v>
      </c>
      <c r="H647" s="1">
        <v>46244</v>
      </c>
      <c r="I647" s="2"/>
      <c r="J647" s="2"/>
      <c r="L647" t="s">
        <v>4006</v>
      </c>
      <c r="M647" s="1"/>
      <c r="O647" t="s">
        <v>4007</v>
      </c>
      <c r="P647" s="1"/>
      <c r="Q647" s="1"/>
      <c r="S647" s="2">
        <f>CONSOLIDADO_2026[[#This Row],[Hora final]]-CONSOLIDADO_2026[[#This Row],[Hora inic]]</f>
        <v>0</v>
      </c>
    </row>
    <row r="648" spans="1:19" x14ac:dyDescent="0.25">
      <c r="A648" t="s">
        <v>4135</v>
      </c>
      <c r="B648">
        <v>1001995044</v>
      </c>
      <c r="C648" t="s">
        <v>3787</v>
      </c>
      <c r="D648" t="s">
        <v>128</v>
      </c>
      <c r="E648" t="s">
        <v>4005</v>
      </c>
      <c r="F648" t="s">
        <v>25</v>
      </c>
      <c r="G648" s="1">
        <v>46244</v>
      </c>
      <c r="H648" s="1">
        <v>46244</v>
      </c>
      <c r="I648" s="2"/>
      <c r="J648" s="2"/>
      <c r="L648" t="s">
        <v>4006</v>
      </c>
      <c r="M648" s="1"/>
      <c r="O648" t="s">
        <v>4007</v>
      </c>
      <c r="P648" s="1"/>
      <c r="Q648" s="1"/>
      <c r="S648" s="2">
        <f>CONSOLIDADO_2026[[#This Row],[Hora final]]-CONSOLIDADO_2026[[#This Row],[Hora inic]]</f>
        <v>0</v>
      </c>
    </row>
    <row r="649" spans="1:19" x14ac:dyDescent="0.25">
      <c r="A649" t="s">
        <v>4135</v>
      </c>
      <c r="B649">
        <v>1098777544</v>
      </c>
      <c r="C649" t="s">
        <v>81</v>
      </c>
      <c r="D649" t="s">
        <v>82</v>
      </c>
      <c r="E649" t="s">
        <v>4005</v>
      </c>
      <c r="F649" t="s">
        <v>25</v>
      </c>
      <c r="G649" s="1">
        <v>46217</v>
      </c>
      <c r="H649" s="1">
        <v>46246</v>
      </c>
      <c r="I649" s="2">
        <v>0.25</v>
      </c>
      <c r="J649" s="2">
        <v>0.54166666666666663</v>
      </c>
      <c r="L649" t="s">
        <v>261</v>
      </c>
      <c r="M649" s="1"/>
      <c r="O649" t="s">
        <v>4007</v>
      </c>
      <c r="P649" s="1"/>
      <c r="Q649" s="1"/>
      <c r="S649" s="2">
        <f>CONSOLIDADO_2026[[#This Row],[Hora final]]-CONSOLIDADO_2026[[#This Row],[Hora inic]]</f>
        <v>0.29166666666666663</v>
      </c>
    </row>
    <row r="650" spans="1:19" x14ac:dyDescent="0.25">
      <c r="A650" t="s">
        <v>4135</v>
      </c>
      <c r="B650">
        <v>1082896324</v>
      </c>
      <c r="C650" t="s">
        <v>77</v>
      </c>
      <c r="D650" t="s">
        <v>78</v>
      </c>
      <c r="E650" t="s">
        <v>4010</v>
      </c>
      <c r="F650" t="s">
        <v>25</v>
      </c>
      <c r="G650" s="1">
        <v>46242</v>
      </c>
      <c r="H650" s="1">
        <v>46272</v>
      </c>
      <c r="I650" s="2">
        <v>0.25</v>
      </c>
      <c r="J650" s="2">
        <v>0.54166666666666663</v>
      </c>
      <c r="K650" t="s">
        <v>73</v>
      </c>
      <c r="L650" t="s">
        <v>74</v>
      </c>
      <c r="M650" s="1"/>
      <c r="O650" t="s">
        <v>21</v>
      </c>
      <c r="P650" s="1"/>
      <c r="Q650" s="1"/>
      <c r="S650" s="2">
        <f>CONSOLIDADO_2026[[#This Row],[Hora final]]-CONSOLIDADO_2026[[#This Row],[Hora inic]]</f>
        <v>0.29166666666666663</v>
      </c>
    </row>
    <row r="651" spans="1:19" x14ac:dyDescent="0.25">
      <c r="A651" t="s">
        <v>4135</v>
      </c>
      <c r="B651">
        <v>1039468657</v>
      </c>
      <c r="C651" t="s">
        <v>2339</v>
      </c>
      <c r="D651" t="s">
        <v>2019</v>
      </c>
      <c r="E651" t="s">
        <v>4011</v>
      </c>
      <c r="F651" t="s">
        <v>25</v>
      </c>
      <c r="G651" s="1">
        <v>46244</v>
      </c>
      <c r="H651" s="1">
        <v>46245</v>
      </c>
      <c r="I651" s="2">
        <v>0.29166666666666669</v>
      </c>
      <c r="J651" s="2">
        <v>0.58333333333333337</v>
      </c>
      <c r="K651" t="s">
        <v>178</v>
      </c>
      <c r="L651" t="s">
        <v>179</v>
      </c>
      <c r="M651" s="1"/>
      <c r="O651" t="s">
        <v>21</v>
      </c>
      <c r="P651" s="1"/>
      <c r="Q651" s="1"/>
      <c r="S651" s="2">
        <f>CONSOLIDADO_2026[[#This Row],[Hora final]]-CONSOLIDADO_2026[[#This Row],[Hora inic]]</f>
        <v>0.29166666666666669</v>
      </c>
    </row>
    <row r="652" spans="1:19" x14ac:dyDescent="0.25">
      <c r="A652" t="s">
        <v>4135</v>
      </c>
      <c r="B652">
        <v>1102808787</v>
      </c>
      <c r="C652" t="s">
        <v>265</v>
      </c>
      <c r="D652" t="s">
        <v>51</v>
      </c>
      <c r="E652" t="s">
        <v>4011</v>
      </c>
      <c r="F652" t="s">
        <v>25</v>
      </c>
      <c r="G652" s="1">
        <v>46237</v>
      </c>
      <c r="H652" s="1">
        <v>46256</v>
      </c>
      <c r="I652" s="2"/>
      <c r="J652" s="2"/>
      <c r="L652" t="s">
        <v>261</v>
      </c>
      <c r="M652" s="1"/>
      <c r="O652" t="s">
        <v>4007</v>
      </c>
      <c r="P652" s="1"/>
      <c r="Q652" s="1"/>
      <c r="S652" s="2">
        <f>CONSOLIDADO_2026[[#This Row],[Hora final]]-CONSOLIDADO_2026[[#This Row],[Hora inic]]</f>
        <v>0</v>
      </c>
    </row>
    <row r="653" spans="1:19" x14ac:dyDescent="0.25">
      <c r="A653" t="s">
        <v>4135</v>
      </c>
      <c r="B653">
        <v>1071169507</v>
      </c>
      <c r="C653" t="s">
        <v>88</v>
      </c>
      <c r="D653" t="s">
        <v>89</v>
      </c>
      <c r="E653" t="s">
        <v>4017</v>
      </c>
      <c r="F653" t="s">
        <v>90</v>
      </c>
      <c r="G653" s="1">
        <v>46242</v>
      </c>
      <c r="H653" s="1">
        <v>46247</v>
      </c>
      <c r="I653" s="2">
        <v>0.25</v>
      </c>
      <c r="J653" s="2">
        <v>0.58333333333333337</v>
      </c>
      <c r="K653" t="s">
        <v>134</v>
      </c>
      <c r="L653" t="s">
        <v>135</v>
      </c>
      <c r="M653" s="1"/>
      <c r="O653" t="s">
        <v>21</v>
      </c>
      <c r="P653" s="1"/>
      <c r="Q653" s="1"/>
      <c r="S653" s="2">
        <f>CONSOLIDADO_2026[[#This Row],[Hora final]]-CONSOLIDADO_2026[[#This Row],[Hora inic]]</f>
        <v>0.33333333333333337</v>
      </c>
    </row>
    <row r="654" spans="1:19" x14ac:dyDescent="0.25">
      <c r="A654" t="s">
        <v>4135</v>
      </c>
      <c r="B654">
        <v>1036965348</v>
      </c>
      <c r="C654" t="s">
        <v>186</v>
      </c>
      <c r="D654" t="s">
        <v>4045</v>
      </c>
      <c r="E654" t="s">
        <v>4011</v>
      </c>
      <c r="F654" t="s">
        <v>4046</v>
      </c>
      <c r="G654" s="1">
        <v>46245</v>
      </c>
      <c r="H654" s="1">
        <v>46245</v>
      </c>
      <c r="I654" s="2">
        <v>0.25</v>
      </c>
      <c r="J654" s="2">
        <v>0.58333333333333337</v>
      </c>
      <c r="L654" t="s">
        <v>4099</v>
      </c>
      <c r="M654" s="1"/>
      <c r="O654" t="s">
        <v>4007</v>
      </c>
      <c r="P654" s="1"/>
      <c r="Q654" s="1"/>
      <c r="S654" s="2">
        <f>CONSOLIDADO_2026[[#This Row],[Hora final]]-CONSOLIDADO_2026[[#This Row],[Hora inic]]</f>
        <v>0.33333333333333337</v>
      </c>
    </row>
    <row r="655" spans="1:19" x14ac:dyDescent="0.25">
      <c r="A655" t="s">
        <v>4135</v>
      </c>
      <c r="B655">
        <v>1002155665</v>
      </c>
      <c r="C655" t="s">
        <v>3756</v>
      </c>
      <c r="D655" t="s">
        <v>160</v>
      </c>
      <c r="E655" t="s">
        <v>4011</v>
      </c>
      <c r="F655" t="s">
        <v>25</v>
      </c>
      <c r="G655" s="1">
        <v>46244</v>
      </c>
      <c r="H655" s="1">
        <v>46245</v>
      </c>
      <c r="I655" s="2">
        <v>0.54166666666666663</v>
      </c>
      <c r="J655" s="2">
        <v>0.875</v>
      </c>
      <c r="L655" t="s">
        <v>4022</v>
      </c>
      <c r="M655" s="1"/>
      <c r="O655" t="s">
        <v>4007</v>
      </c>
      <c r="P655" s="1"/>
      <c r="Q655" s="1"/>
      <c r="S655" s="2">
        <f>CONSOLIDADO_2026[[#This Row],[Hora final]]-CONSOLIDADO_2026[[#This Row],[Hora inic]]</f>
        <v>0.33333333333333337</v>
      </c>
    </row>
    <row r="656" spans="1:19" x14ac:dyDescent="0.25">
      <c r="A656" t="s">
        <v>4135</v>
      </c>
      <c r="B656">
        <v>1014237413</v>
      </c>
      <c r="C656" t="s">
        <v>756</v>
      </c>
      <c r="D656" t="s">
        <v>420</v>
      </c>
      <c r="E656" t="s">
        <v>4010</v>
      </c>
      <c r="F656" t="s">
        <v>25</v>
      </c>
      <c r="G656" s="1">
        <v>46244</v>
      </c>
      <c r="H656" s="1">
        <v>46246</v>
      </c>
      <c r="I656" s="2"/>
      <c r="J656" s="2"/>
      <c r="L656" t="s">
        <v>261</v>
      </c>
      <c r="M656" s="1"/>
      <c r="O656" t="s">
        <v>4007</v>
      </c>
      <c r="P656" s="1"/>
      <c r="Q656" s="1"/>
      <c r="S656" s="2">
        <f>CONSOLIDADO_2026[[#This Row],[Hora final]]-CONSOLIDADO_2026[[#This Row],[Hora inic]]</f>
        <v>0</v>
      </c>
    </row>
    <row r="657" spans="1:19" x14ac:dyDescent="0.25">
      <c r="A657" t="s">
        <v>4135</v>
      </c>
      <c r="B657">
        <v>43616929</v>
      </c>
      <c r="C657" t="s">
        <v>347</v>
      </c>
      <c r="D657" t="s">
        <v>78</v>
      </c>
      <c r="E657" t="s">
        <v>4010</v>
      </c>
      <c r="F657" t="s">
        <v>25</v>
      </c>
      <c r="G657" s="1">
        <v>46244</v>
      </c>
      <c r="H657" s="1">
        <v>46244</v>
      </c>
      <c r="I657" s="2"/>
      <c r="J657" s="2"/>
      <c r="L657" t="s">
        <v>4006</v>
      </c>
      <c r="M657" s="1"/>
      <c r="O657" t="s">
        <v>4007</v>
      </c>
      <c r="P657" s="1"/>
      <c r="Q657" s="1"/>
      <c r="S657" s="2">
        <f>CONSOLIDADO_2026[[#This Row],[Hora final]]-CONSOLIDADO_2026[[#This Row],[Hora inic]]</f>
        <v>0</v>
      </c>
    </row>
    <row r="658" spans="1:19" x14ac:dyDescent="0.25">
      <c r="A658" t="s">
        <v>4135</v>
      </c>
      <c r="B658">
        <v>1037671907</v>
      </c>
      <c r="C658" t="s">
        <v>4136</v>
      </c>
      <c r="D658" t="s">
        <v>57</v>
      </c>
      <c r="E658" t="s">
        <v>4010</v>
      </c>
      <c r="F658" t="s">
        <v>4015</v>
      </c>
      <c r="G658" s="1">
        <v>46245</v>
      </c>
      <c r="H658" s="1">
        <v>46247</v>
      </c>
      <c r="I658" s="2">
        <v>0.5</v>
      </c>
      <c r="J658" s="2">
        <v>0.83333333333333337</v>
      </c>
      <c r="L658" t="s">
        <v>261</v>
      </c>
      <c r="M658" s="1"/>
      <c r="O658" t="s">
        <v>4007</v>
      </c>
      <c r="P658" s="1"/>
      <c r="Q658" s="1"/>
      <c r="S658" s="2">
        <f>CONSOLIDADO_2026[[#This Row],[Hora final]]-CONSOLIDADO_2026[[#This Row],[Hora inic]]</f>
        <v>0.33333333333333337</v>
      </c>
    </row>
    <row r="659" spans="1:19" x14ac:dyDescent="0.25">
      <c r="A659" t="s">
        <v>4135</v>
      </c>
      <c r="B659">
        <v>1124014714</v>
      </c>
      <c r="C659" t="s">
        <v>2153</v>
      </c>
      <c r="D659" t="s">
        <v>343</v>
      </c>
      <c r="E659" t="s">
        <v>4012</v>
      </c>
      <c r="F659" t="s">
        <v>4040</v>
      </c>
      <c r="G659" s="1">
        <v>46244</v>
      </c>
      <c r="H659" s="1">
        <v>46245</v>
      </c>
      <c r="I659" s="2">
        <v>0.54166666666666663</v>
      </c>
      <c r="J659" s="2">
        <v>0.875</v>
      </c>
      <c r="L659" t="s">
        <v>4022</v>
      </c>
      <c r="M659" s="1"/>
      <c r="O659" t="s">
        <v>4007</v>
      </c>
      <c r="P659" s="1"/>
      <c r="Q659" s="1"/>
      <c r="S659" s="2">
        <f>CONSOLIDADO_2026[[#This Row],[Hora final]]-CONSOLIDADO_2026[[#This Row],[Hora inic]]</f>
        <v>0.33333333333333337</v>
      </c>
    </row>
    <row r="660" spans="1:19" x14ac:dyDescent="0.25">
      <c r="A660" t="s">
        <v>4135</v>
      </c>
      <c r="B660">
        <v>1007959114</v>
      </c>
      <c r="C660" t="s">
        <v>2581</v>
      </c>
      <c r="D660" t="s">
        <v>51</v>
      </c>
      <c r="E660" t="s">
        <v>4011</v>
      </c>
      <c r="F660" t="s">
        <v>25</v>
      </c>
      <c r="G660" s="1">
        <v>46244</v>
      </c>
      <c r="H660" s="1">
        <v>46244</v>
      </c>
      <c r="I660" s="2">
        <v>0.58333333333333337</v>
      </c>
      <c r="J660" s="2">
        <v>0.875</v>
      </c>
      <c r="L660" t="s">
        <v>261</v>
      </c>
      <c r="M660" s="1"/>
      <c r="O660" t="s">
        <v>4007</v>
      </c>
      <c r="P660" s="1"/>
      <c r="Q660" s="1"/>
      <c r="S660" s="2">
        <f>CONSOLIDADO_2026[[#This Row],[Hora final]]-CONSOLIDADO_2026[[#This Row],[Hora inic]]</f>
        <v>0.29166666666666663</v>
      </c>
    </row>
    <row r="661" spans="1:19" x14ac:dyDescent="0.25">
      <c r="A661" t="s">
        <v>4135</v>
      </c>
      <c r="B661">
        <v>1193568408</v>
      </c>
      <c r="C661" t="s">
        <v>373</v>
      </c>
      <c r="D661" t="s">
        <v>322</v>
      </c>
      <c r="E661" t="s">
        <v>4017</v>
      </c>
      <c r="F661" t="s">
        <v>25</v>
      </c>
      <c r="G661" s="1">
        <v>46244</v>
      </c>
      <c r="H661" s="1">
        <v>46245</v>
      </c>
      <c r="I661" s="2">
        <v>0.25</v>
      </c>
      <c r="J661" s="2">
        <v>0.58333333333333337</v>
      </c>
      <c r="K661" t="s">
        <v>3621</v>
      </c>
      <c r="L661" t="s">
        <v>3622</v>
      </c>
      <c r="M661" s="1"/>
      <c r="O661" t="s">
        <v>21</v>
      </c>
      <c r="P661" s="1"/>
      <c r="Q661" s="1"/>
      <c r="S661" s="2">
        <f>CONSOLIDADO_2026[[#This Row],[Hora final]]-CONSOLIDADO_2026[[#This Row],[Hora inic]]</f>
        <v>0.33333333333333337</v>
      </c>
    </row>
    <row r="662" spans="1:19" x14ac:dyDescent="0.25">
      <c r="A662" t="s">
        <v>4135</v>
      </c>
      <c r="B662">
        <v>1000662062</v>
      </c>
      <c r="C662" t="s">
        <v>260</v>
      </c>
      <c r="D662" t="s">
        <v>64</v>
      </c>
      <c r="E662" t="s">
        <v>4012</v>
      </c>
      <c r="F662" t="s">
        <v>25</v>
      </c>
      <c r="G662" s="1">
        <v>46245</v>
      </c>
      <c r="H662" s="1">
        <v>46249</v>
      </c>
      <c r="I662" s="2"/>
      <c r="J662" s="2"/>
      <c r="L662" t="s">
        <v>261</v>
      </c>
      <c r="M662" s="1"/>
      <c r="O662" t="s">
        <v>4007</v>
      </c>
      <c r="P662" s="1"/>
      <c r="Q662" s="1"/>
      <c r="S662" s="2">
        <f>CONSOLIDADO_2026[[#This Row],[Hora final]]-CONSOLIDADO_2026[[#This Row],[Hora inic]]</f>
        <v>0</v>
      </c>
    </row>
    <row r="663" spans="1:19" x14ac:dyDescent="0.25">
      <c r="A663" t="s">
        <v>4135</v>
      </c>
      <c r="B663">
        <v>1003000892</v>
      </c>
      <c r="C663" t="s">
        <v>2887</v>
      </c>
      <c r="D663" t="s">
        <v>326</v>
      </c>
      <c r="E663" t="s">
        <v>4005</v>
      </c>
      <c r="F663" t="s">
        <v>4072</v>
      </c>
      <c r="G663" s="1">
        <v>46245</v>
      </c>
      <c r="H663" s="1">
        <v>46245</v>
      </c>
      <c r="I663" s="2">
        <v>0.25</v>
      </c>
      <c r="J663" s="2">
        <v>0.58333333333333337</v>
      </c>
      <c r="L663" t="s">
        <v>4099</v>
      </c>
      <c r="M663" s="1"/>
      <c r="O663" t="s">
        <v>4007</v>
      </c>
      <c r="P663" s="1"/>
      <c r="Q663" s="1"/>
      <c r="S663" s="2">
        <f>CONSOLIDADO_2026[[#This Row],[Hora final]]-CONSOLIDADO_2026[[#This Row],[Hora inic]]</f>
        <v>0.33333333333333337</v>
      </c>
    </row>
    <row r="664" spans="1:19" x14ac:dyDescent="0.25">
      <c r="A664" t="s">
        <v>4135</v>
      </c>
      <c r="B664">
        <v>1000408752</v>
      </c>
      <c r="C664" t="s">
        <v>3598</v>
      </c>
      <c r="D664" t="s">
        <v>64</v>
      </c>
      <c r="E664" t="s">
        <v>4012</v>
      </c>
      <c r="F664" t="s">
        <v>25</v>
      </c>
      <c r="G664" s="1">
        <v>46244</v>
      </c>
      <c r="H664" s="1">
        <v>46246</v>
      </c>
      <c r="I664" s="2">
        <v>0.25</v>
      </c>
      <c r="J664" s="2">
        <v>0.54166666666666663</v>
      </c>
      <c r="L664" t="s">
        <v>261</v>
      </c>
      <c r="M664" s="1"/>
      <c r="O664" t="s">
        <v>4007</v>
      </c>
      <c r="P664" s="1"/>
      <c r="Q664" s="1"/>
      <c r="S664" s="2">
        <f>CONSOLIDADO_2026[[#This Row],[Hora final]]-CONSOLIDADO_2026[[#This Row],[Hora inic]]</f>
        <v>0.29166666666666663</v>
      </c>
    </row>
    <row r="665" spans="1:19" x14ac:dyDescent="0.25">
      <c r="A665" t="s">
        <v>4135</v>
      </c>
      <c r="B665">
        <v>1077462479</v>
      </c>
      <c r="C665" t="s">
        <v>3992</v>
      </c>
      <c r="D665" t="s">
        <v>142</v>
      </c>
      <c r="E665" t="s">
        <v>4012</v>
      </c>
      <c r="F665" t="s">
        <v>4053</v>
      </c>
      <c r="G665" s="1">
        <v>46245</v>
      </c>
      <c r="H665" s="1">
        <v>46247</v>
      </c>
      <c r="I665" s="2">
        <v>0.25</v>
      </c>
      <c r="J665" s="2">
        <v>0.54166666666666663</v>
      </c>
      <c r="L665" t="s">
        <v>261</v>
      </c>
      <c r="M665" s="1"/>
      <c r="O665" t="s">
        <v>4007</v>
      </c>
      <c r="P665" s="1"/>
      <c r="Q665" s="1"/>
      <c r="S665" s="2">
        <f>CONSOLIDADO_2026[[#This Row],[Hora final]]-CONSOLIDADO_2026[[#This Row],[Hora inic]]</f>
        <v>0.29166666666666663</v>
      </c>
    </row>
    <row r="666" spans="1:19" x14ac:dyDescent="0.25">
      <c r="A666" t="s">
        <v>4135</v>
      </c>
      <c r="B666">
        <v>1001369228</v>
      </c>
      <c r="C666" t="s">
        <v>92</v>
      </c>
      <c r="D666" t="s">
        <v>4046</v>
      </c>
      <c r="E666" t="s">
        <v>4017</v>
      </c>
      <c r="F666" t="s">
        <v>4046</v>
      </c>
      <c r="G666" s="1">
        <v>46245</v>
      </c>
      <c r="H666" s="1">
        <v>46245</v>
      </c>
      <c r="I666" s="2">
        <v>0.25</v>
      </c>
      <c r="J666" s="2">
        <v>0.58333333333333337</v>
      </c>
      <c r="L666" t="s">
        <v>4099</v>
      </c>
      <c r="M666" s="1"/>
      <c r="O666" t="s">
        <v>4007</v>
      </c>
      <c r="P666" s="1"/>
      <c r="Q666" s="1"/>
      <c r="S666" s="2">
        <f>CONSOLIDADO_2026[[#This Row],[Hora final]]-CONSOLIDADO_2026[[#This Row],[Hora inic]]</f>
        <v>0.33333333333333337</v>
      </c>
    </row>
    <row r="667" spans="1:19" x14ac:dyDescent="0.25">
      <c r="A667" t="s">
        <v>4135</v>
      </c>
      <c r="B667">
        <v>1017209928</v>
      </c>
      <c r="C667" t="s">
        <v>1135</v>
      </c>
      <c r="D667" t="s">
        <v>326</v>
      </c>
      <c r="E667" t="s">
        <v>4005</v>
      </c>
      <c r="F667" t="s">
        <v>25</v>
      </c>
      <c r="G667" s="1">
        <v>46245</v>
      </c>
      <c r="H667" s="1">
        <v>46246</v>
      </c>
      <c r="I667" s="2">
        <v>0.25</v>
      </c>
      <c r="J667" s="2">
        <v>0.58333333333333337</v>
      </c>
      <c r="L667" t="s">
        <v>4022</v>
      </c>
      <c r="M667" s="1"/>
      <c r="O667" t="s">
        <v>4007</v>
      </c>
      <c r="P667" s="1"/>
      <c r="Q667" s="1"/>
      <c r="S667" s="2">
        <f>CONSOLIDADO_2026[[#This Row],[Hora final]]-CONSOLIDADO_2026[[#This Row],[Hora inic]]</f>
        <v>0.33333333333333337</v>
      </c>
    </row>
    <row r="668" spans="1:19" x14ac:dyDescent="0.25">
      <c r="A668" t="s">
        <v>4135</v>
      </c>
      <c r="B668">
        <v>1007508679</v>
      </c>
      <c r="C668" t="s">
        <v>1298</v>
      </c>
      <c r="D668" t="s">
        <v>15</v>
      </c>
      <c r="E668" t="s">
        <v>4012</v>
      </c>
      <c r="F668" t="s">
        <v>25</v>
      </c>
      <c r="G668" s="1">
        <v>46245</v>
      </c>
      <c r="H668" s="1">
        <v>46245</v>
      </c>
      <c r="I668" s="2">
        <v>0.58333333333333337</v>
      </c>
      <c r="J668" s="2">
        <v>0.875</v>
      </c>
      <c r="L668" t="s">
        <v>261</v>
      </c>
      <c r="M668" s="1"/>
      <c r="O668" t="s">
        <v>4007</v>
      </c>
      <c r="P668" s="1"/>
      <c r="Q668" s="1"/>
      <c r="S668" s="2">
        <f>CONSOLIDADO_2026[[#This Row],[Hora final]]-CONSOLIDADO_2026[[#This Row],[Hora inic]]</f>
        <v>0.29166666666666663</v>
      </c>
    </row>
    <row r="669" spans="1:19" x14ac:dyDescent="0.25">
      <c r="A669" t="s">
        <v>4135</v>
      </c>
      <c r="B669">
        <v>1143360194</v>
      </c>
      <c r="C669" t="s">
        <v>3473</v>
      </c>
      <c r="D669" t="s">
        <v>160</v>
      </c>
      <c r="E669" t="s">
        <v>4011</v>
      </c>
      <c r="F669" t="s">
        <v>25</v>
      </c>
      <c r="G669" s="1">
        <v>46245</v>
      </c>
      <c r="H669" s="1">
        <v>46246</v>
      </c>
      <c r="I669" s="2">
        <v>0.25</v>
      </c>
      <c r="J669" s="2">
        <v>0.54166666666666663</v>
      </c>
      <c r="L669" t="s">
        <v>4022</v>
      </c>
      <c r="M669" s="1"/>
      <c r="O669" t="s">
        <v>4007</v>
      </c>
      <c r="P669" s="1"/>
      <c r="Q669" s="1"/>
      <c r="S669" s="2">
        <f>CONSOLIDADO_2026[[#This Row],[Hora final]]-CONSOLIDADO_2026[[#This Row],[Hora inic]]</f>
        <v>0.29166666666666663</v>
      </c>
    </row>
    <row r="670" spans="1:19" x14ac:dyDescent="0.25">
      <c r="A670" t="s">
        <v>4135</v>
      </c>
      <c r="B670">
        <v>1001944593</v>
      </c>
      <c r="C670" t="s">
        <v>2578</v>
      </c>
      <c r="D670" t="s">
        <v>78</v>
      </c>
      <c r="E670" t="s">
        <v>4010</v>
      </c>
      <c r="F670" t="s">
        <v>25</v>
      </c>
      <c r="G670" s="1">
        <v>46245</v>
      </c>
      <c r="H670" s="1">
        <v>46245</v>
      </c>
      <c r="I670" s="2">
        <v>0.25</v>
      </c>
      <c r="J670" s="2">
        <v>0.54166666666666663</v>
      </c>
      <c r="L670" t="s">
        <v>4022</v>
      </c>
      <c r="M670" s="1"/>
      <c r="O670" t="s">
        <v>4007</v>
      </c>
      <c r="P670" s="1"/>
      <c r="Q670" s="1"/>
      <c r="S670" s="2">
        <f>CONSOLIDADO_2026[[#This Row],[Hora final]]-CONSOLIDADO_2026[[#This Row],[Hora inic]]</f>
        <v>0.29166666666666663</v>
      </c>
    </row>
    <row r="671" spans="1:19" x14ac:dyDescent="0.25">
      <c r="A671" t="s">
        <v>4135</v>
      </c>
      <c r="B671">
        <v>1140876076</v>
      </c>
      <c r="C671" t="s">
        <v>1263</v>
      </c>
      <c r="D671" t="s">
        <v>34</v>
      </c>
      <c r="E671" t="s">
        <v>4011</v>
      </c>
      <c r="F671" t="s">
        <v>25</v>
      </c>
      <c r="G671" s="1">
        <v>46245</v>
      </c>
      <c r="H671" s="1">
        <v>46246</v>
      </c>
      <c r="I671" s="2">
        <v>0.58333333333333337</v>
      </c>
      <c r="J671" s="2">
        <v>0.875</v>
      </c>
      <c r="L671" t="s">
        <v>261</v>
      </c>
      <c r="M671" s="1"/>
      <c r="O671" t="s">
        <v>4007</v>
      </c>
      <c r="P671" s="1"/>
      <c r="Q671" s="1"/>
      <c r="S671" s="2">
        <f>CONSOLIDADO_2026[[#This Row],[Hora final]]-CONSOLIDADO_2026[[#This Row],[Hora inic]]</f>
        <v>0.29166666666666663</v>
      </c>
    </row>
    <row r="672" spans="1:19" x14ac:dyDescent="0.25">
      <c r="A672" t="s">
        <v>4135</v>
      </c>
      <c r="B672">
        <v>1001897056</v>
      </c>
      <c r="C672" t="s">
        <v>3660</v>
      </c>
      <c r="D672" t="s">
        <v>128</v>
      </c>
      <c r="E672" t="s">
        <v>4005</v>
      </c>
      <c r="F672" t="s">
        <v>25</v>
      </c>
      <c r="G672" s="1">
        <v>46245</v>
      </c>
      <c r="H672" s="1">
        <v>46249</v>
      </c>
      <c r="I672" s="2">
        <v>0.25</v>
      </c>
      <c r="J672" s="2">
        <v>0.54166666666666663</v>
      </c>
      <c r="L672" t="s">
        <v>4022</v>
      </c>
      <c r="M672" s="1"/>
      <c r="O672" t="s">
        <v>4007</v>
      </c>
      <c r="P672" s="1"/>
      <c r="Q672" s="1"/>
      <c r="S672" s="2">
        <f>CONSOLIDADO_2026[[#This Row],[Hora final]]-CONSOLIDADO_2026[[#This Row],[Hora inic]]</f>
        <v>0.29166666666666663</v>
      </c>
    </row>
    <row r="673" spans="1:19" x14ac:dyDescent="0.25">
      <c r="A673" t="s">
        <v>4135</v>
      </c>
      <c r="B673">
        <v>1193584838</v>
      </c>
      <c r="C673" t="s">
        <v>2955</v>
      </c>
      <c r="D673" t="s">
        <v>142</v>
      </c>
      <c r="E673" t="s">
        <v>4012</v>
      </c>
      <c r="F673" t="s">
        <v>25</v>
      </c>
      <c r="G673" s="1">
        <v>46245</v>
      </c>
      <c r="H673" s="1">
        <v>46247</v>
      </c>
      <c r="I673" s="2">
        <v>0.5</v>
      </c>
      <c r="J673" s="2">
        <v>0.83333333333333337</v>
      </c>
      <c r="L673" t="s">
        <v>4022</v>
      </c>
      <c r="M673" s="1"/>
      <c r="O673" t="s">
        <v>4007</v>
      </c>
      <c r="P673" s="1"/>
      <c r="Q673" s="1"/>
      <c r="S673" s="2">
        <f>CONSOLIDADO_2026[[#This Row],[Hora final]]-CONSOLIDADO_2026[[#This Row],[Hora inic]]</f>
        <v>0.33333333333333337</v>
      </c>
    </row>
    <row r="674" spans="1:19" x14ac:dyDescent="0.25">
      <c r="A674" t="s">
        <v>4135</v>
      </c>
      <c r="B674">
        <v>1052974971</v>
      </c>
      <c r="C674" t="s">
        <v>765</v>
      </c>
      <c r="D674" t="s">
        <v>97</v>
      </c>
      <c r="E674" t="s">
        <v>4005</v>
      </c>
      <c r="F674" t="s">
        <v>25</v>
      </c>
      <c r="G674" s="1">
        <v>46245</v>
      </c>
      <c r="H674" s="1">
        <v>46245</v>
      </c>
      <c r="I674" s="2">
        <v>0.41666666666666669</v>
      </c>
      <c r="J674" s="2">
        <v>0.79166666666666663</v>
      </c>
      <c r="L674" t="s">
        <v>4022</v>
      </c>
      <c r="M674" s="1"/>
      <c r="O674" t="s">
        <v>4007</v>
      </c>
      <c r="P674" s="1"/>
      <c r="Q674" s="1"/>
      <c r="S674" s="2">
        <f>CONSOLIDADO_2026[[#This Row],[Hora final]]-CONSOLIDADO_2026[[#This Row],[Hora inic]]</f>
        <v>0.37499999999999994</v>
      </c>
    </row>
    <row r="675" spans="1:19" x14ac:dyDescent="0.25">
      <c r="A675" t="s">
        <v>4135</v>
      </c>
      <c r="B675">
        <v>43271257</v>
      </c>
      <c r="C675" t="s">
        <v>1236</v>
      </c>
      <c r="D675" t="s">
        <v>34</v>
      </c>
      <c r="E675" t="s">
        <v>4011</v>
      </c>
      <c r="F675" t="s">
        <v>25</v>
      </c>
      <c r="G675" s="1">
        <v>46245</v>
      </c>
      <c r="H675" s="1">
        <v>46246</v>
      </c>
      <c r="I675" s="2">
        <v>0.25</v>
      </c>
      <c r="J675" s="2">
        <v>0.58333333333333337</v>
      </c>
      <c r="L675" t="s">
        <v>4022</v>
      </c>
      <c r="M675" s="1"/>
      <c r="O675" t="s">
        <v>4007</v>
      </c>
      <c r="P675" s="1"/>
      <c r="Q675" s="1"/>
      <c r="S675" s="2">
        <f>CONSOLIDADO_2026[[#This Row],[Hora final]]-CONSOLIDADO_2026[[#This Row],[Hora inic]]</f>
        <v>0.33333333333333337</v>
      </c>
    </row>
    <row r="676" spans="1:19" x14ac:dyDescent="0.25">
      <c r="A676" t="s">
        <v>4135</v>
      </c>
      <c r="B676">
        <v>1000416307</v>
      </c>
      <c r="C676" t="s">
        <v>3014</v>
      </c>
      <c r="D676" t="s">
        <v>82</v>
      </c>
      <c r="E676" t="s">
        <v>4005</v>
      </c>
      <c r="F676" t="s">
        <v>25</v>
      </c>
      <c r="G676" s="1">
        <v>46245</v>
      </c>
      <c r="H676" s="1">
        <v>46246</v>
      </c>
      <c r="I676" s="2">
        <v>0.25</v>
      </c>
      <c r="J676" s="2">
        <v>0.58333333333333337</v>
      </c>
      <c r="L676" t="s">
        <v>261</v>
      </c>
      <c r="M676" s="1"/>
      <c r="O676" t="s">
        <v>4007</v>
      </c>
      <c r="P676" s="1"/>
      <c r="Q676" s="1"/>
      <c r="S676" s="2">
        <f>CONSOLIDADO_2026[[#This Row],[Hora final]]-CONSOLIDADO_2026[[#This Row],[Hora inic]]</f>
        <v>0.33333333333333337</v>
      </c>
    </row>
    <row r="677" spans="1:19" x14ac:dyDescent="0.25">
      <c r="A677" t="s">
        <v>4135</v>
      </c>
      <c r="B677">
        <v>1057608489</v>
      </c>
      <c r="C677" t="s">
        <v>3032</v>
      </c>
      <c r="D677" t="s">
        <v>82</v>
      </c>
      <c r="E677" t="s">
        <v>4005</v>
      </c>
      <c r="F677" t="s">
        <v>25</v>
      </c>
      <c r="G677" s="1">
        <v>46245</v>
      </c>
      <c r="H677" s="1">
        <v>46246</v>
      </c>
      <c r="I677" s="2">
        <v>0.25</v>
      </c>
      <c r="J677" s="2">
        <v>0.58333333333333337</v>
      </c>
      <c r="L677" t="s">
        <v>261</v>
      </c>
      <c r="M677" s="1"/>
      <c r="O677" t="s">
        <v>4007</v>
      </c>
      <c r="P677" s="1"/>
      <c r="Q677" s="1"/>
      <c r="S677" s="2">
        <f>CONSOLIDADO_2026[[#This Row],[Hora final]]-CONSOLIDADO_2026[[#This Row],[Hora inic]]</f>
        <v>0.33333333333333337</v>
      </c>
    </row>
    <row r="678" spans="1:19" x14ac:dyDescent="0.25">
      <c r="A678" t="s">
        <v>4135</v>
      </c>
      <c r="B678">
        <v>1007223463</v>
      </c>
      <c r="C678" t="s">
        <v>487</v>
      </c>
      <c r="D678" t="s">
        <v>4045</v>
      </c>
      <c r="E678" t="s">
        <v>4017</v>
      </c>
      <c r="F678" t="s">
        <v>4046</v>
      </c>
      <c r="G678" s="1">
        <v>46245</v>
      </c>
      <c r="H678" s="1">
        <v>46245</v>
      </c>
      <c r="I678" s="2">
        <v>0.29166666666666669</v>
      </c>
      <c r="J678" s="2">
        <v>0.58333333333333337</v>
      </c>
      <c r="K678" t="s">
        <v>486</v>
      </c>
      <c r="L678" t="s">
        <v>487</v>
      </c>
      <c r="M678" s="1"/>
      <c r="O678" t="s">
        <v>4007</v>
      </c>
      <c r="P678" s="1"/>
      <c r="Q678" s="1"/>
      <c r="S678" s="2">
        <f>CONSOLIDADO_2026[[#This Row],[Hora final]]-CONSOLIDADO_2026[[#This Row],[Hora inic]]</f>
        <v>0.29166666666666669</v>
      </c>
    </row>
    <row r="679" spans="1:19" x14ac:dyDescent="0.25">
      <c r="A679" t="s">
        <v>4135</v>
      </c>
      <c r="B679">
        <v>1020470720</v>
      </c>
      <c r="C679" t="s">
        <v>544</v>
      </c>
      <c r="D679" t="s">
        <v>543</v>
      </c>
      <c r="E679" t="s">
        <v>4010</v>
      </c>
      <c r="F679" t="s">
        <v>25</v>
      </c>
      <c r="G679" s="1">
        <v>46245</v>
      </c>
      <c r="H679" s="1">
        <v>46246</v>
      </c>
      <c r="I679" s="2">
        <v>0.58333333333333337</v>
      </c>
      <c r="J679" s="2">
        <v>0.875</v>
      </c>
      <c r="L679" t="s">
        <v>261</v>
      </c>
      <c r="M679" s="1"/>
      <c r="O679" t="s">
        <v>4007</v>
      </c>
      <c r="P679" s="1"/>
      <c r="Q679" s="1"/>
      <c r="S679" s="2">
        <f>CONSOLIDADO_2026[[#This Row],[Hora final]]-CONSOLIDADO_2026[[#This Row],[Hora inic]]</f>
        <v>0.29166666666666663</v>
      </c>
    </row>
    <row r="680" spans="1:19" x14ac:dyDescent="0.25">
      <c r="A680" t="s">
        <v>4135</v>
      </c>
      <c r="B680">
        <v>1047503032</v>
      </c>
      <c r="C680" t="s">
        <v>2974</v>
      </c>
      <c r="D680" t="s">
        <v>89</v>
      </c>
      <c r="E680" t="s">
        <v>4017</v>
      </c>
      <c r="F680" t="s">
        <v>25</v>
      </c>
      <c r="G680" s="1">
        <v>46245</v>
      </c>
      <c r="H680" s="1">
        <v>46246</v>
      </c>
      <c r="I680" s="2">
        <v>0.54166666666666663</v>
      </c>
      <c r="J680" s="2">
        <v>0.875</v>
      </c>
      <c r="L680" t="s">
        <v>4022</v>
      </c>
      <c r="M680" s="1"/>
      <c r="O680" t="s">
        <v>4007</v>
      </c>
      <c r="P680" s="1"/>
      <c r="Q680" s="1"/>
      <c r="S680" s="2">
        <f>CONSOLIDADO_2026[[#This Row],[Hora final]]-CONSOLIDADO_2026[[#This Row],[Hora inic]]</f>
        <v>0.33333333333333337</v>
      </c>
    </row>
    <row r="681" spans="1:19" x14ac:dyDescent="0.25">
      <c r="A681" t="s">
        <v>4135</v>
      </c>
      <c r="B681">
        <v>1107046318</v>
      </c>
      <c r="C681" t="s">
        <v>213</v>
      </c>
      <c r="D681" t="s">
        <v>322</v>
      </c>
      <c r="E681" t="s">
        <v>4017</v>
      </c>
      <c r="F681" t="s">
        <v>4039</v>
      </c>
      <c r="G681" s="1">
        <v>46245</v>
      </c>
      <c r="H681" s="1">
        <v>46245</v>
      </c>
      <c r="I681" s="2">
        <v>0.25</v>
      </c>
      <c r="J681" s="2">
        <v>0.58333333333333337</v>
      </c>
      <c r="K681" t="s">
        <v>212</v>
      </c>
      <c r="L681" t="s">
        <v>213</v>
      </c>
      <c r="M681" s="1"/>
      <c r="O681" t="s">
        <v>4007</v>
      </c>
      <c r="P681" s="1"/>
      <c r="Q681" s="1"/>
      <c r="S681" s="2">
        <f>CONSOLIDADO_2026[[#This Row],[Hora final]]-CONSOLIDADO_2026[[#This Row],[Hora inic]]</f>
        <v>0.33333333333333337</v>
      </c>
    </row>
    <row r="682" spans="1:19" x14ac:dyDescent="0.25">
      <c r="A682" t="s">
        <v>4135</v>
      </c>
      <c r="B682">
        <v>1143373273</v>
      </c>
      <c r="C682" t="s">
        <v>1984</v>
      </c>
      <c r="D682" t="s">
        <v>211</v>
      </c>
      <c r="E682" t="s">
        <v>4017</v>
      </c>
      <c r="F682" t="s">
        <v>25</v>
      </c>
      <c r="G682" s="1">
        <v>46245</v>
      </c>
      <c r="H682" s="1">
        <v>46247</v>
      </c>
      <c r="I682" s="2">
        <v>0.58333333333333337</v>
      </c>
      <c r="J682" s="2">
        <v>0.875</v>
      </c>
      <c r="L682" t="s">
        <v>4022</v>
      </c>
      <c r="M682" s="1"/>
      <c r="O682" t="s">
        <v>4007</v>
      </c>
      <c r="P682" s="1"/>
      <c r="Q682" s="1"/>
      <c r="S682" s="2">
        <f>CONSOLIDADO_2026[[#This Row],[Hora final]]-CONSOLIDADO_2026[[#This Row],[Hora inic]]</f>
        <v>0.29166666666666663</v>
      </c>
    </row>
    <row r="683" spans="1:19" x14ac:dyDescent="0.25">
      <c r="A683" t="s">
        <v>4135</v>
      </c>
      <c r="B683">
        <v>1085265026</v>
      </c>
      <c r="C683" t="s">
        <v>3413</v>
      </c>
      <c r="D683" t="s">
        <v>64</v>
      </c>
      <c r="E683" t="s">
        <v>4012</v>
      </c>
      <c r="F683" t="s">
        <v>4137</v>
      </c>
      <c r="G683" s="1">
        <v>46245</v>
      </c>
      <c r="H683" s="1">
        <v>46249</v>
      </c>
      <c r="I683" s="2">
        <v>0.58333333333333337</v>
      </c>
      <c r="J683" s="2">
        <v>0.875</v>
      </c>
      <c r="L683" t="s">
        <v>261</v>
      </c>
      <c r="M683" s="1"/>
      <c r="O683" t="s">
        <v>4007</v>
      </c>
      <c r="P683" s="1"/>
      <c r="Q683" s="1"/>
      <c r="S683" s="2">
        <f>CONSOLIDADO_2026[[#This Row],[Hora final]]-CONSOLIDADO_2026[[#This Row],[Hora inic]]</f>
        <v>0.29166666666666663</v>
      </c>
    </row>
    <row r="684" spans="1:19" x14ac:dyDescent="0.25">
      <c r="A684" t="s">
        <v>4135</v>
      </c>
      <c r="B684">
        <v>1044393706</v>
      </c>
      <c r="C684" t="s">
        <v>822</v>
      </c>
      <c r="D684" t="s">
        <v>78</v>
      </c>
      <c r="E684" t="s">
        <v>4010</v>
      </c>
      <c r="F684" t="s">
        <v>25</v>
      </c>
      <c r="G684" s="1">
        <v>46245</v>
      </c>
      <c r="H684" s="1">
        <v>46246</v>
      </c>
      <c r="I684" s="2">
        <v>0.58333333333333337</v>
      </c>
      <c r="J684" s="2">
        <v>0.875</v>
      </c>
      <c r="L684" t="s">
        <v>4022</v>
      </c>
      <c r="M684" s="1"/>
      <c r="O684" t="s">
        <v>4007</v>
      </c>
      <c r="P684" s="1"/>
      <c r="Q684" s="1"/>
      <c r="S684" s="2">
        <f>CONSOLIDADO_2026[[#This Row],[Hora final]]-CONSOLIDADO_2026[[#This Row],[Hora inic]]</f>
        <v>0.29166666666666663</v>
      </c>
    </row>
    <row r="685" spans="1:19" x14ac:dyDescent="0.25">
      <c r="A685" t="s">
        <v>4135</v>
      </c>
      <c r="B685">
        <v>1037570349</v>
      </c>
      <c r="C685" t="s">
        <v>2770</v>
      </c>
      <c r="D685" t="s">
        <v>78</v>
      </c>
      <c r="E685" t="s">
        <v>4010</v>
      </c>
      <c r="F685" t="s">
        <v>25</v>
      </c>
      <c r="G685" s="1">
        <v>46245</v>
      </c>
      <c r="H685" s="1">
        <v>46246</v>
      </c>
      <c r="I685" s="2">
        <v>0.54166666666666663</v>
      </c>
      <c r="J685" s="2">
        <v>0.875</v>
      </c>
      <c r="L685" t="s">
        <v>4022</v>
      </c>
      <c r="M685" s="1"/>
      <c r="O685" t="s">
        <v>4007</v>
      </c>
      <c r="P685" s="1"/>
      <c r="Q685" s="1"/>
      <c r="S685" s="2">
        <f>CONSOLIDADO_2026[[#This Row],[Hora final]]-CONSOLIDADO_2026[[#This Row],[Hora inic]]</f>
        <v>0.33333333333333337</v>
      </c>
    </row>
    <row r="686" spans="1:19" x14ac:dyDescent="0.25">
      <c r="A686" t="s">
        <v>4138</v>
      </c>
      <c r="B686">
        <v>1057608489</v>
      </c>
      <c r="C686" t="s">
        <v>3032</v>
      </c>
      <c r="D686" t="s">
        <v>82</v>
      </c>
      <c r="E686" t="s">
        <v>4005</v>
      </c>
      <c r="F686" t="s">
        <v>25</v>
      </c>
      <c r="G686" s="1">
        <v>46245</v>
      </c>
      <c r="H686" s="1">
        <v>46246</v>
      </c>
      <c r="I686" s="2">
        <v>0.58333333333333337</v>
      </c>
      <c r="J686" s="2">
        <v>0.875</v>
      </c>
      <c r="L686" t="s">
        <v>261</v>
      </c>
      <c r="M686" s="1"/>
      <c r="O686" t="s">
        <v>4007</v>
      </c>
      <c r="P686" s="1"/>
      <c r="Q686" s="1"/>
      <c r="S686" s="2">
        <f>CONSOLIDADO_2026[[#This Row],[Hora final]]-CONSOLIDADO_2026[[#This Row],[Hora inic]]</f>
        <v>0.29166666666666663</v>
      </c>
    </row>
    <row r="687" spans="1:19" x14ac:dyDescent="0.25">
      <c r="A687" t="s">
        <v>4138</v>
      </c>
      <c r="B687">
        <v>43271257</v>
      </c>
      <c r="C687" t="s">
        <v>1236</v>
      </c>
      <c r="D687" t="s">
        <v>34</v>
      </c>
      <c r="E687" t="s">
        <v>4011</v>
      </c>
      <c r="F687" t="s">
        <v>25</v>
      </c>
      <c r="G687" s="1">
        <v>46245</v>
      </c>
      <c r="H687" s="1">
        <v>46246</v>
      </c>
      <c r="I687" s="2">
        <v>0.25</v>
      </c>
      <c r="J687" s="2">
        <v>0.54166666666666663</v>
      </c>
      <c r="L687" t="s">
        <v>261</v>
      </c>
      <c r="M687" s="1"/>
      <c r="O687" t="s">
        <v>4007</v>
      </c>
      <c r="P687" s="1"/>
      <c r="Q687" s="1"/>
      <c r="S687" s="2">
        <f>CONSOLIDADO_2026[[#This Row],[Hora final]]-CONSOLIDADO_2026[[#This Row],[Hora inic]]</f>
        <v>0.29166666666666663</v>
      </c>
    </row>
    <row r="688" spans="1:19" x14ac:dyDescent="0.25">
      <c r="A688" t="s">
        <v>4138</v>
      </c>
      <c r="B688">
        <v>1140876076</v>
      </c>
      <c r="C688" t="s">
        <v>1263</v>
      </c>
      <c r="D688" t="s">
        <v>34</v>
      </c>
      <c r="E688" t="s">
        <v>4011</v>
      </c>
      <c r="F688" t="s">
        <v>25</v>
      </c>
      <c r="G688" s="1">
        <v>46245</v>
      </c>
      <c r="H688" s="1">
        <v>46246</v>
      </c>
      <c r="I688" s="2">
        <v>0.25</v>
      </c>
      <c r="J688" s="2">
        <v>0.58333333333333337</v>
      </c>
      <c r="L688" t="s">
        <v>261</v>
      </c>
      <c r="M688" s="1"/>
      <c r="O688" t="s">
        <v>4007</v>
      </c>
      <c r="P688" s="1"/>
      <c r="Q688" s="1"/>
      <c r="S688" s="2">
        <f>CONSOLIDADO_2026[[#This Row],[Hora final]]-CONSOLIDADO_2026[[#This Row],[Hora inic]]</f>
        <v>0.33333333333333337</v>
      </c>
    </row>
    <row r="689" spans="1:19" x14ac:dyDescent="0.25">
      <c r="A689" t="s">
        <v>4138</v>
      </c>
      <c r="B689">
        <v>1001944593</v>
      </c>
      <c r="C689" t="s">
        <v>2578</v>
      </c>
      <c r="D689" t="s">
        <v>78</v>
      </c>
      <c r="E689" t="s">
        <v>4010</v>
      </c>
      <c r="F689" t="s">
        <v>25</v>
      </c>
      <c r="G689" s="1">
        <v>46245</v>
      </c>
      <c r="H689" s="1">
        <v>46245</v>
      </c>
      <c r="I689" s="2">
        <v>0.375</v>
      </c>
      <c r="J689" s="2">
        <v>0.70833333333333337</v>
      </c>
      <c r="L689" t="s">
        <v>4006</v>
      </c>
      <c r="M689" s="1"/>
      <c r="O689" t="s">
        <v>4007</v>
      </c>
      <c r="P689" s="1"/>
      <c r="Q689" s="1"/>
      <c r="S689" s="2">
        <f>CONSOLIDADO_2026[[#This Row],[Hora final]]-CONSOLIDADO_2026[[#This Row],[Hora inic]]</f>
        <v>0.33333333333333337</v>
      </c>
    </row>
    <row r="690" spans="1:19" x14ac:dyDescent="0.25">
      <c r="A690" t="s">
        <v>4138</v>
      </c>
      <c r="B690">
        <v>1143360194</v>
      </c>
      <c r="C690" t="s">
        <v>3473</v>
      </c>
      <c r="D690" t="s">
        <v>160</v>
      </c>
      <c r="E690" t="s">
        <v>4011</v>
      </c>
      <c r="F690" t="s">
        <v>25</v>
      </c>
      <c r="G690" s="1">
        <v>46245</v>
      </c>
      <c r="H690" s="1">
        <v>46246</v>
      </c>
      <c r="I690" s="2">
        <v>0.58333333333333337</v>
      </c>
      <c r="J690" s="2">
        <v>0.875</v>
      </c>
      <c r="L690" t="s">
        <v>4022</v>
      </c>
      <c r="M690" s="1"/>
      <c r="O690" t="s">
        <v>4007</v>
      </c>
      <c r="P690" s="1"/>
      <c r="Q690" s="1"/>
      <c r="S690" s="2">
        <f>CONSOLIDADO_2026[[#This Row],[Hora final]]-CONSOLIDADO_2026[[#This Row],[Hora inic]]</f>
        <v>0.29166666666666663</v>
      </c>
    </row>
    <row r="691" spans="1:19" x14ac:dyDescent="0.25">
      <c r="A691" t="s">
        <v>4138</v>
      </c>
      <c r="B691">
        <v>1000662062</v>
      </c>
      <c r="C691" t="s">
        <v>260</v>
      </c>
      <c r="D691" t="s">
        <v>64</v>
      </c>
      <c r="E691" t="s">
        <v>4012</v>
      </c>
      <c r="F691" t="s">
        <v>25</v>
      </c>
      <c r="G691" s="1">
        <v>46245</v>
      </c>
      <c r="H691" s="1">
        <v>46249</v>
      </c>
      <c r="I691" s="2">
        <v>0.58333333333333337</v>
      </c>
      <c r="J691" s="2">
        <v>0.875</v>
      </c>
      <c r="L691" t="s">
        <v>261</v>
      </c>
      <c r="M691" s="1"/>
      <c r="O691" t="s">
        <v>4007</v>
      </c>
      <c r="P691" s="1"/>
      <c r="Q691" s="1"/>
      <c r="S691" s="2">
        <f>CONSOLIDADO_2026[[#This Row],[Hora final]]-CONSOLIDADO_2026[[#This Row],[Hora inic]]</f>
        <v>0.29166666666666663</v>
      </c>
    </row>
    <row r="692" spans="1:19" x14ac:dyDescent="0.25">
      <c r="A692" t="s">
        <v>4138</v>
      </c>
      <c r="B692">
        <v>1007508679</v>
      </c>
      <c r="C692" t="s">
        <v>1298</v>
      </c>
      <c r="D692" t="s">
        <v>15</v>
      </c>
      <c r="E692" t="s">
        <v>4012</v>
      </c>
      <c r="F692" t="s">
        <v>25</v>
      </c>
      <c r="G692" s="1">
        <v>46245</v>
      </c>
      <c r="H692" s="1">
        <v>46245</v>
      </c>
      <c r="I692" s="2"/>
      <c r="J692" s="2"/>
      <c r="L692" t="s">
        <v>4006</v>
      </c>
      <c r="M692" s="1"/>
      <c r="O692" t="s">
        <v>4007</v>
      </c>
      <c r="P692" s="1"/>
      <c r="Q692" s="1"/>
      <c r="S692" s="2">
        <f>CONSOLIDADO_2026[[#This Row],[Hora final]]-CONSOLIDADO_2026[[#This Row],[Hora inic]]</f>
        <v>0</v>
      </c>
    </row>
    <row r="693" spans="1:19" x14ac:dyDescent="0.25">
      <c r="A693" t="s">
        <v>4138</v>
      </c>
      <c r="B693">
        <v>1017209928</v>
      </c>
      <c r="C693" t="s">
        <v>1135</v>
      </c>
      <c r="D693" t="s">
        <v>326</v>
      </c>
      <c r="E693" t="s">
        <v>4005</v>
      </c>
      <c r="F693" t="s">
        <v>25</v>
      </c>
      <c r="G693" s="1">
        <v>46245</v>
      </c>
      <c r="H693" s="1">
        <v>46246</v>
      </c>
      <c r="I693" s="2">
        <v>0.25</v>
      </c>
      <c r="J693" s="2">
        <v>0.54166666666666663</v>
      </c>
      <c r="L693" t="s">
        <v>261</v>
      </c>
      <c r="M693" s="1"/>
      <c r="O693" t="s">
        <v>4007</v>
      </c>
      <c r="P693" s="1"/>
      <c r="Q693" s="1"/>
      <c r="S693" s="2">
        <f>CONSOLIDADO_2026[[#This Row],[Hora final]]-CONSOLIDADO_2026[[#This Row],[Hora inic]]</f>
        <v>0.29166666666666663</v>
      </c>
    </row>
    <row r="694" spans="1:19" x14ac:dyDescent="0.25">
      <c r="A694" t="s">
        <v>4138</v>
      </c>
      <c r="B694">
        <v>1002155665</v>
      </c>
      <c r="C694" t="s">
        <v>3756</v>
      </c>
      <c r="D694" t="s">
        <v>160</v>
      </c>
      <c r="E694" t="s">
        <v>4011</v>
      </c>
      <c r="F694" t="s">
        <v>25</v>
      </c>
      <c r="G694" s="1">
        <v>46244</v>
      </c>
      <c r="H694" s="1">
        <v>46245</v>
      </c>
      <c r="I694" s="2"/>
      <c r="J694" s="2"/>
      <c r="L694" t="s">
        <v>4006</v>
      </c>
      <c r="M694" s="1"/>
      <c r="O694" t="s">
        <v>4007</v>
      </c>
      <c r="P694" s="1"/>
      <c r="Q694" s="1"/>
      <c r="S694" s="2">
        <f>CONSOLIDADO_2026[[#This Row],[Hora final]]-CONSOLIDADO_2026[[#This Row],[Hora inic]]</f>
        <v>0</v>
      </c>
    </row>
    <row r="695" spans="1:19" x14ac:dyDescent="0.25">
      <c r="A695" t="s">
        <v>4138</v>
      </c>
      <c r="B695">
        <v>1077462479</v>
      </c>
      <c r="C695" t="s">
        <v>3992</v>
      </c>
      <c r="D695" t="s">
        <v>142</v>
      </c>
      <c r="E695" t="s">
        <v>4012</v>
      </c>
      <c r="F695" t="s">
        <v>4053</v>
      </c>
      <c r="G695" s="1">
        <v>46245</v>
      </c>
      <c r="H695" s="1">
        <v>46247</v>
      </c>
      <c r="I695" s="2">
        <v>0.25</v>
      </c>
      <c r="J695" s="2">
        <v>0.54166666666666663</v>
      </c>
      <c r="L695" t="s">
        <v>261</v>
      </c>
      <c r="M695" s="1"/>
      <c r="O695" t="s">
        <v>4007</v>
      </c>
      <c r="P695" s="1"/>
      <c r="Q695" s="1"/>
      <c r="S695" s="2">
        <f>CONSOLIDADO_2026[[#This Row],[Hora final]]-CONSOLIDADO_2026[[#This Row],[Hora inic]]</f>
        <v>0.29166666666666663</v>
      </c>
    </row>
    <row r="696" spans="1:19" x14ac:dyDescent="0.25">
      <c r="A696" t="s">
        <v>4138</v>
      </c>
      <c r="B696">
        <v>1000408752</v>
      </c>
      <c r="C696" t="s">
        <v>3598</v>
      </c>
      <c r="D696" t="s">
        <v>64</v>
      </c>
      <c r="E696" t="s">
        <v>4012</v>
      </c>
      <c r="F696" t="s">
        <v>25</v>
      </c>
      <c r="G696" s="1">
        <v>46244</v>
      </c>
      <c r="H696" s="1">
        <v>46246</v>
      </c>
      <c r="I696" s="2">
        <v>0.25</v>
      </c>
      <c r="J696" s="2">
        <v>0.58333333333333337</v>
      </c>
      <c r="L696" t="s">
        <v>261</v>
      </c>
      <c r="M696" s="1"/>
      <c r="O696" t="s">
        <v>4007</v>
      </c>
      <c r="P696" s="1"/>
      <c r="Q696" s="1"/>
      <c r="S696" s="2">
        <f>CONSOLIDADO_2026[[#This Row],[Hora final]]-CONSOLIDADO_2026[[#This Row],[Hora inic]]</f>
        <v>0.33333333333333337</v>
      </c>
    </row>
    <row r="697" spans="1:19" x14ac:dyDescent="0.25">
      <c r="A697" t="s">
        <v>4138</v>
      </c>
      <c r="B697">
        <v>1193568408</v>
      </c>
      <c r="C697" t="s">
        <v>373</v>
      </c>
      <c r="D697" t="s">
        <v>322</v>
      </c>
      <c r="E697" t="s">
        <v>4017</v>
      </c>
      <c r="F697" t="s">
        <v>25</v>
      </c>
      <c r="G697" s="1">
        <v>46244</v>
      </c>
      <c r="H697" s="1">
        <v>46245</v>
      </c>
      <c r="I697" s="2"/>
      <c r="J697" s="2"/>
      <c r="L697" t="s">
        <v>4006</v>
      </c>
      <c r="M697" s="1"/>
      <c r="O697" t="s">
        <v>4007</v>
      </c>
      <c r="P697" s="1"/>
      <c r="Q697" s="1"/>
      <c r="S697" s="2">
        <f>CONSOLIDADO_2026[[#This Row],[Hora final]]-CONSOLIDADO_2026[[#This Row],[Hora inic]]</f>
        <v>0</v>
      </c>
    </row>
    <row r="698" spans="1:19" x14ac:dyDescent="0.25">
      <c r="A698" t="s">
        <v>4138</v>
      </c>
      <c r="B698">
        <v>1037646627</v>
      </c>
      <c r="C698" t="s">
        <v>3260</v>
      </c>
      <c r="D698" t="s">
        <v>121</v>
      </c>
      <c r="E698" t="s">
        <v>4010</v>
      </c>
      <c r="F698" t="s">
        <v>25</v>
      </c>
      <c r="G698" s="1">
        <v>46244</v>
      </c>
      <c r="H698" s="1">
        <v>46245</v>
      </c>
      <c r="I698" s="2"/>
      <c r="J698" s="2"/>
      <c r="L698" t="s">
        <v>4006</v>
      </c>
      <c r="M698" s="1"/>
      <c r="O698" t="s">
        <v>4007</v>
      </c>
      <c r="P698" s="1"/>
      <c r="Q698" s="1"/>
      <c r="S698" s="2">
        <f>CONSOLIDADO_2026[[#This Row],[Hora final]]-CONSOLIDADO_2026[[#This Row],[Hora inic]]</f>
        <v>0</v>
      </c>
    </row>
    <row r="699" spans="1:19" x14ac:dyDescent="0.25">
      <c r="A699" t="s">
        <v>4138</v>
      </c>
      <c r="B699">
        <v>1007959114</v>
      </c>
      <c r="C699" t="s">
        <v>2581</v>
      </c>
      <c r="D699" t="s">
        <v>51</v>
      </c>
      <c r="E699" t="s">
        <v>4011</v>
      </c>
      <c r="F699" t="s">
        <v>25</v>
      </c>
      <c r="G699" s="1">
        <v>46244</v>
      </c>
      <c r="H699" s="1">
        <v>46244</v>
      </c>
      <c r="I699" s="2">
        <v>0.25</v>
      </c>
      <c r="J699" s="2">
        <v>0.58333333333333337</v>
      </c>
      <c r="L699" t="s">
        <v>4006</v>
      </c>
      <c r="M699" s="1"/>
      <c r="O699" t="s">
        <v>4007</v>
      </c>
      <c r="P699" s="1"/>
      <c r="Q699" s="1"/>
      <c r="S699" s="2">
        <f>CONSOLIDADO_2026[[#This Row],[Hora final]]-CONSOLIDADO_2026[[#This Row],[Hora inic]]</f>
        <v>0.33333333333333337</v>
      </c>
    </row>
    <row r="700" spans="1:19" x14ac:dyDescent="0.25">
      <c r="A700" t="s">
        <v>4138</v>
      </c>
      <c r="B700">
        <v>1014237413</v>
      </c>
      <c r="C700" t="s">
        <v>756</v>
      </c>
      <c r="D700" t="s">
        <v>420</v>
      </c>
      <c r="E700" t="s">
        <v>4010</v>
      </c>
      <c r="F700" t="s">
        <v>25</v>
      </c>
      <c r="G700" s="1">
        <v>46244</v>
      </c>
      <c r="H700" s="1">
        <v>46246</v>
      </c>
      <c r="I700" s="2">
        <v>0.25</v>
      </c>
      <c r="J700" s="2">
        <v>0.54166666666666663</v>
      </c>
      <c r="L700" t="s">
        <v>261</v>
      </c>
      <c r="M700" s="1"/>
      <c r="O700" t="s">
        <v>4007</v>
      </c>
      <c r="P700" s="1"/>
      <c r="Q700" s="1"/>
      <c r="S700" s="2">
        <f>CONSOLIDADO_2026[[#This Row],[Hora final]]-CONSOLIDADO_2026[[#This Row],[Hora inic]]</f>
        <v>0.29166666666666663</v>
      </c>
    </row>
    <row r="701" spans="1:19" x14ac:dyDescent="0.25">
      <c r="A701" t="s">
        <v>4138</v>
      </c>
      <c r="B701">
        <v>1003361835</v>
      </c>
      <c r="C701" t="s">
        <v>792</v>
      </c>
      <c r="D701" t="s">
        <v>420</v>
      </c>
      <c r="E701" t="s">
        <v>4010</v>
      </c>
      <c r="F701" t="s">
        <v>25</v>
      </c>
      <c r="G701" s="1">
        <v>46244</v>
      </c>
      <c r="H701" s="1">
        <v>46245</v>
      </c>
      <c r="I701" s="2"/>
      <c r="J701" s="2"/>
      <c r="L701" t="s">
        <v>4006</v>
      </c>
      <c r="M701" s="1"/>
      <c r="O701" t="s">
        <v>4007</v>
      </c>
      <c r="P701" s="1"/>
      <c r="Q701" s="1"/>
      <c r="S701" s="2">
        <f>CONSOLIDADO_2026[[#This Row],[Hora final]]-CONSOLIDADO_2026[[#This Row],[Hora inic]]</f>
        <v>0</v>
      </c>
    </row>
    <row r="702" spans="1:19" x14ac:dyDescent="0.25">
      <c r="A702" t="s">
        <v>4138</v>
      </c>
      <c r="B702">
        <v>1143345388</v>
      </c>
      <c r="C702" t="s">
        <v>3079</v>
      </c>
      <c r="D702" t="s">
        <v>64</v>
      </c>
      <c r="E702" t="s">
        <v>4012</v>
      </c>
      <c r="F702" t="s">
        <v>25</v>
      </c>
      <c r="G702" s="1">
        <v>46244</v>
      </c>
      <c r="H702" s="1">
        <v>46245</v>
      </c>
      <c r="I702" s="2"/>
      <c r="J702" s="2"/>
      <c r="L702" t="s">
        <v>4006</v>
      </c>
      <c r="M702" s="1"/>
      <c r="O702" t="s">
        <v>4007</v>
      </c>
      <c r="P702" s="1"/>
      <c r="Q702" s="1"/>
      <c r="S702" s="2">
        <f>CONSOLIDADO_2026[[#This Row],[Hora final]]-CONSOLIDADO_2026[[#This Row],[Hora inic]]</f>
        <v>0</v>
      </c>
    </row>
    <row r="703" spans="1:19" x14ac:dyDescent="0.25">
      <c r="A703" t="s">
        <v>4138</v>
      </c>
      <c r="B703">
        <v>1193370054</v>
      </c>
      <c r="C703" t="s">
        <v>918</v>
      </c>
      <c r="D703" t="s">
        <v>142</v>
      </c>
      <c r="E703" t="s">
        <v>4012</v>
      </c>
      <c r="F703" t="s">
        <v>25</v>
      </c>
      <c r="G703" s="1">
        <v>46244</v>
      </c>
      <c r="H703" s="1">
        <v>46244</v>
      </c>
      <c r="I703" s="2">
        <v>0.25</v>
      </c>
      <c r="J703" s="2">
        <v>0.54166666666666663</v>
      </c>
      <c r="L703" t="s">
        <v>4006</v>
      </c>
      <c r="M703" s="1"/>
      <c r="O703" t="s">
        <v>4007</v>
      </c>
      <c r="P703" s="1"/>
      <c r="Q703" s="1"/>
      <c r="S703" s="2">
        <f>CONSOLIDADO_2026[[#This Row],[Hora final]]-CONSOLIDADO_2026[[#This Row],[Hora inic]]</f>
        <v>0.29166666666666663</v>
      </c>
    </row>
    <row r="704" spans="1:19" x14ac:dyDescent="0.25">
      <c r="A704" t="s">
        <v>4138</v>
      </c>
      <c r="B704">
        <v>1003033764</v>
      </c>
      <c r="C704" t="s">
        <v>1209</v>
      </c>
      <c r="D704" t="s">
        <v>121</v>
      </c>
      <c r="E704" t="s">
        <v>4010</v>
      </c>
      <c r="F704" t="s">
        <v>25</v>
      </c>
      <c r="G704" s="1">
        <v>46244</v>
      </c>
      <c r="H704" s="1">
        <v>46245</v>
      </c>
      <c r="I704" s="2"/>
      <c r="J704" s="2"/>
      <c r="L704" t="s">
        <v>4006</v>
      </c>
      <c r="M704" s="1"/>
      <c r="O704" t="s">
        <v>4007</v>
      </c>
      <c r="P704" s="1"/>
      <c r="Q704" s="1"/>
      <c r="S704" s="2">
        <f>CONSOLIDADO_2026[[#This Row],[Hora final]]-CONSOLIDADO_2026[[#This Row],[Hora inic]]</f>
        <v>0</v>
      </c>
    </row>
    <row r="705" spans="1:19" x14ac:dyDescent="0.25">
      <c r="A705" t="s">
        <v>4138</v>
      </c>
      <c r="B705">
        <v>1000921455</v>
      </c>
      <c r="C705" t="s">
        <v>33</v>
      </c>
      <c r="D705" t="s">
        <v>34</v>
      </c>
      <c r="E705" t="s">
        <v>4011</v>
      </c>
      <c r="F705" t="s">
        <v>25</v>
      </c>
      <c r="G705" s="1">
        <v>46242</v>
      </c>
      <c r="H705" s="1">
        <v>46246</v>
      </c>
      <c r="I705" s="2">
        <v>0.58333333333333337</v>
      </c>
      <c r="J705" s="2">
        <v>0.875</v>
      </c>
      <c r="L705" t="s">
        <v>261</v>
      </c>
      <c r="M705" s="1"/>
      <c r="O705" t="s">
        <v>4007</v>
      </c>
      <c r="P705" s="1"/>
      <c r="Q705" s="1"/>
      <c r="S705" s="2">
        <f>CONSOLIDADO_2026[[#This Row],[Hora final]]-CONSOLIDADO_2026[[#This Row],[Hora inic]]</f>
        <v>0.29166666666666663</v>
      </c>
    </row>
    <row r="706" spans="1:19" x14ac:dyDescent="0.25">
      <c r="A706" t="s">
        <v>4138</v>
      </c>
      <c r="B706">
        <v>1007842898</v>
      </c>
      <c r="C706" t="s">
        <v>4132</v>
      </c>
      <c r="D706" t="s">
        <v>343</v>
      </c>
      <c r="E706" t="s">
        <v>4012</v>
      </c>
      <c r="F706" t="s">
        <v>4015</v>
      </c>
      <c r="G706" s="1">
        <v>46244</v>
      </c>
      <c r="H706" s="1">
        <v>46246</v>
      </c>
      <c r="I706" s="2">
        <v>0.54166666666666663</v>
      </c>
      <c r="J706" s="2">
        <v>0.875</v>
      </c>
      <c r="L706" t="s">
        <v>4006</v>
      </c>
      <c r="M706" s="1"/>
      <c r="O706" t="s">
        <v>4007</v>
      </c>
      <c r="P706" s="1"/>
      <c r="Q706" s="1"/>
      <c r="S706" s="2">
        <f>CONSOLIDADO_2026[[#This Row],[Hora final]]-CONSOLIDADO_2026[[#This Row],[Hora inic]]</f>
        <v>0.33333333333333337</v>
      </c>
    </row>
    <row r="707" spans="1:19" x14ac:dyDescent="0.25">
      <c r="A707" t="s">
        <v>4138</v>
      </c>
      <c r="B707">
        <v>1082896324</v>
      </c>
      <c r="C707" t="s">
        <v>77</v>
      </c>
      <c r="D707" t="s">
        <v>78</v>
      </c>
      <c r="E707" t="s">
        <v>4010</v>
      </c>
      <c r="F707" t="s">
        <v>25</v>
      </c>
      <c r="G707" s="1">
        <v>46242</v>
      </c>
      <c r="H707" s="1">
        <v>46272</v>
      </c>
      <c r="I707" s="2">
        <v>0.25</v>
      </c>
      <c r="J707" s="2">
        <v>0.58333333333333337</v>
      </c>
      <c r="K707" t="s">
        <v>188</v>
      </c>
      <c r="L707" t="s">
        <v>189</v>
      </c>
      <c r="M707" s="1"/>
      <c r="O707" t="s">
        <v>21</v>
      </c>
      <c r="P707" s="1"/>
      <c r="Q707" s="1"/>
      <c r="S707" s="2">
        <f>CONSOLIDADO_2026[[#This Row],[Hora final]]-CONSOLIDADO_2026[[#This Row],[Hora inic]]</f>
        <v>0.33333333333333337</v>
      </c>
    </row>
    <row r="708" spans="1:19" x14ac:dyDescent="0.25">
      <c r="A708" t="s">
        <v>4138</v>
      </c>
      <c r="B708">
        <v>1045718883</v>
      </c>
      <c r="C708" t="s">
        <v>47</v>
      </c>
      <c r="D708" t="s">
        <v>34</v>
      </c>
      <c r="E708" t="s">
        <v>4011</v>
      </c>
      <c r="F708" t="s">
        <v>25</v>
      </c>
      <c r="G708" s="1">
        <v>46240</v>
      </c>
      <c r="H708" s="1">
        <v>46249</v>
      </c>
      <c r="I708" s="2"/>
      <c r="J708" s="2"/>
      <c r="L708" t="s">
        <v>4006</v>
      </c>
      <c r="M708" s="1"/>
      <c r="O708" t="s">
        <v>4007</v>
      </c>
      <c r="P708" s="1"/>
      <c r="Q708" s="1"/>
      <c r="S708" s="2">
        <f>CONSOLIDADO_2026[[#This Row],[Hora final]]-CONSOLIDADO_2026[[#This Row],[Hora inic]]</f>
        <v>0</v>
      </c>
    </row>
    <row r="709" spans="1:19" x14ac:dyDescent="0.25">
      <c r="A709" t="s">
        <v>4138</v>
      </c>
      <c r="B709">
        <v>1042422897</v>
      </c>
      <c r="C709" t="s">
        <v>4069</v>
      </c>
      <c r="D709" t="s">
        <v>326</v>
      </c>
      <c r="E709" t="s">
        <v>4005</v>
      </c>
      <c r="F709" t="s">
        <v>4015</v>
      </c>
      <c r="G709" s="1">
        <v>46242</v>
      </c>
      <c r="H709" s="1">
        <v>46245</v>
      </c>
      <c r="I709" s="2"/>
      <c r="J709" s="2"/>
      <c r="L709" t="s">
        <v>4006</v>
      </c>
      <c r="M709" s="1"/>
      <c r="O709" t="s">
        <v>4007</v>
      </c>
      <c r="P709" s="1"/>
      <c r="Q709" s="1"/>
      <c r="S709" s="2">
        <f>CONSOLIDADO_2026[[#This Row],[Hora final]]-CONSOLIDADO_2026[[#This Row],[Hora inic]]</f>
        <v>0</v>
      </c>
    </row>
    <row r="710" spans="1:19" x14ac:dyDescent="0.25">
      <c r="A710" t="s">
        <v>4138</v>
      </c>
      <c r="B710">
        <v>1143374438</v>
      </c>
      <c r="C710" t="s">
        <v>85</v>
      </c>
      <c r="D710" t="s">
        <v>41</v>
      </c>
      <c r="E710" t="s">
        <v>4011</v>
      </c>
      <c r="F710" t="s">
        <v>25</v>
      </c>
      <c r="G710" s="1">
        <v>46239</v>
      </c>
      <c r="H710" s="1">
        <v>46268</v>
      </c>
      <c r="I710" s="2">
        <v>0.25</v>
      </c>
      <c r="J710" s="2">
        <v>0.54166666666666663</v>
      </c>
      <c r="L710" t="s">
        <v>261</v>
      </c>
      <c r="M710" s="1"/>
      <c r="O710" t="s">
        <v>4007</v>
      </c>
      <c r="P710" s="1"/>
      <c r="Q710" s="1"/>
      <c r="S710" s="2">
        <f>CONSOLIDADO_2026[[#This Row],[Hora final]]-CONSOLIDADO_2026[[#This Row],[Hora inic]]</f>
        <v>0.29166666666666663</v>
      </c>
    </row>
    <row r="711" spans="1:19" x14ac:dyDescent="0.25">
      <c r="A711" t="s">
        <v>4138</v>
      </c>
      <c r="B711">
        <v>1015483595</v>
      </c>
      <c r="C711" t="s">
        <v>243</v>
      </c>
      <c r="D711" t="s">
        <v>34</v>
      </c>
      <c r="E711" t="s">
        <v>4011</v>
      </c>
      <c r="F711" t="s">
        <v>30</v>
      </c>
      <c r="G711" s="1">
        <v>46244</v>
      </c>
      <c r="H711" s="1">
        <v>46265</v>
      </c>
      <c r="I711" s="2">
        <v>0.25</v>
      </c>
      <c r="J711" s="2">
        <v>0.54166666666666663</v>
      </c>
      <c r="K711" t="s">
        <v>240</v>
      </c>
      <c r="L711" t="s">
        <v>241</v>
      </c>
      <c r="M711" s="1"/>
      <c r="O711" t="s">
        <v>21</v>
      </c>
      <c r="P711" s="1"/>
      <c r="Q711" s="1"/>
      <c r="S711" s="2">
        <f>CONSOLIDADO_2026[[#This Row],[Hora final]]-CONSOLIDADO_2026[[#This Row],[Hora inic]]</f>
        <v>0.29166666666666663</v>
      </c>
    </row>
    <row r="712" spans="1:19" x14ac:dyDescent="0.25">
      <c r="A712" t="s">
        <v>4138</v>
      </c>
      <c r="B712">
        <v>1001851670</v>
      </c>
      <c r="C712" t="s">
        <v>14</v>
      </c>
      <c r="D712" t="s">
        <v>15</v>
      </c>
      <c r="E712" t="s">
        <v>4012</v>
      </c>
      <c r="F712" t="s">
        <v>16</v>
      </c>
      <c r="G712" s="1">
        <v>46241</v>
      </c>
      <c r="H712" s="1">
        <v>46366</v>
      </c>
      <c r="I712" s="2">
        <v>0.25</v>
      </c>
      <c r="J712" s="2">
        <v>0.54166666666666663</v>
      </c>
      <c r="K712" t="s">
        <v>247</v>
      </c>
      <c r="L712" t="s">
        <v>248</v>
      </c>
      <c r="M712" s="1"/>
      <c r="O712" t="s">
        <v>21</v>
      </c>
      <c r="P712" s="1"/>
      <c r="Q712" s="1"/>
      <c r="S712" s="2">
        <f>CONSOLIDADO_2026[[#This Row],[Hora final]]-CONSOLIDADO_2026[[#This Row],[Hora inic]]</f>
        <v>0.29166666666666663</v>
      </c>
    </row>
    <row r="713" spans="1:19" x14ac:dyDescent="0.25">
      <c r="A713" t="s">
        <v>4138</v>
      </c>
      <c r="B713">
        <v>1067963513</v>
      </c>
      <c r="C713" t="s">
        <v>112</v>
      </c>
      <c r="D713" t="s">
        <v>29</v>
      </c>
      <c r="E713" t="s">
        <v>4005</v>
      </c>
      <c r="F713" t="s">
        <v>30</v>
      </c>
      <c r="G713" s="1">
        <v>46240</v>
      </c>
      <c r="H713" s="1">
        <v>46265</v>
      </c>
      <c r="I713" s="2">
        <v>0.58333333333333337</v>
      </c>
      <c r="J713" s="2">
        <v>0.875</v>
      </c>
      <c r="K713" t="s">
        <v>154</v>
      </c>
      <c r="L713" t="s">
        <v>155</v>
      </c>
      <c r="M713" s="1"/>
      <c r="O713" t="s">
        <v>21</v>
      </c>
      <c r="P713" s="1"/>
      <c r="Q713" s="1"/>
      <c r="S713" s="2">
        <f>CONSOLIDADO_2026[[#This Row],[Hora final]]-CONSOLIDADO_2026[[#This Row],[Hora inic]]</f>
        <v>0.29166666666666663</v>
      </c>
    </row>
    <row r="714" spans="1:19" x14ac:dyDescent="0.25">
      <c r="A714" t="s">
        <v>4138</v>
      </c>
      <c r="B714">
        <v>42141273</v>
      </c>
      <c r="C714" t="s">
        <v>210</v>
      </c>
      <c r="D714" t="s">
        <v>211</v>
      </c>
      <c r="E714" t="s">
        <v>4017</v>
      </c>
      <c r="F714" t="s">
        <v>4029</v>
      </c>
      <c r="G714" s="1">
        <v>46232</v>
      </c>
      <c r="H714" s="1">
        <v>46261</v>
      </c>
      <c r="I714" s="2">
        <v>0.25</v>
      </c>
      <c r="J714" s="2">
        <v>0.5</v>
      </c>
      <c r="K714" t="s">
        <v>230</v>
      </c>
      <c r="L714" t="s">
        <v>231</v>
      </c>
      <c r="M714" s="1"/>
      <c r="O714" t="s">
        <v>4007</v>
      </c>
      <c r="P714" s="1"/>
      <c r="Q714" s="1"/>
      <c r="S714" s="2">
        <f>CONSOLIDADO_2026[[#This Row],[Hora final]]-CONSOLIDADO_2026[[#This Row],[Hora inic]]</f>
        <v>0.25</v>
      </c>
    </row>
    <row r="715" spans="1:19" x14ac:dyDescent="0.25">
      <c r="A715" t="s">
        <v>4138</v>
      </c>
      <c r="B715">
        <v>1035876080</v>
      </c>
      <c r="C715" t="s">
        <v>120</v>
      </c>
      <c r="D715" t="s">
        <v>121</v>
      </c>
      <c r="E715" t="s">
        <v>4010</v>
      </c>
      <c r="F715" t="s">
        <v>25</v>
      </c>
      <c r="G715" s="1">
        <v>46239</v>
      </c>
      <c r="H715" s="1">
        <v>46245</v>
      </c>
      <c r="I715" s="2"/>
      <c r="J715" s="2"/>
      <c r="L715" t="s">
        <v>4006</v>
      </c>
      <c r="M715" s="1"/>
      <c r="O715" t="s">
        <v>4007</v>
      </c>
      <c r="P715" s="1"/>
      <c r="Q715" s="1"/>
      <c r="S715" s="2">
        <f>CONSOLIDADO_2026[[#This Row],[Hora final]]-CONSOLIDADO_2026[[#This Row],[Hora inic]]</f>
        <v>0</v>
      </c>
    </row>
    <row r="716" spans="1:19" x14ac:dyDescent="0.25">
      <c r="A716" t="s">
        <v>4138</v>
      </c>
      <c r="B716">
        <v>1005424850</v>
      </c>
      <c r="C716" t="s">
        <v>56</v>
      </c>
      <c r="D716" t="s">
        <v>57</v>
      </c>
      <c r="E716" t="s">
        <v>4010</v>
      </c>
      <c r="F716" t="s">
        <v>25</v>
      </c>
      <c r="G716" s="1">
        <v>46238</v>
      </c>
      <c r="H716" s="1">
        <v>46245</v>
      </c>
      <c r="I716" s="2"/>
      <c r="J716" s="2"/>
      <c r="L716" t="s">
        <v>4006</v>
      </c>
      <c r="M716" s="1"/>
      <c r="O716" t="s">
        <v>4007</v>
      </c>
      <c r="P716" s="1"/>
      <c r="Q716" s="1"/>
      <c r="S716" s="2">
        <f>CONSOLIDADO_2026[[#This Row],[Hora final]]-CONSOLIDADO_2026[[#This Row],[Hora inic]]</f>
        <v>0</v>
      </c>
    </row>
    <row r="717" spans="1:19" x14ac:dyDescent="0.25">
      <c r="A717" t="s">
        <v>4138</v>
      </c>
      <c r="B717">
        <v>1001137222</v>
      </c>
      <c r="C717" t="s">
        <v>2860</v>
      </c>
      <c r="D717" t="s">
        <v>4027</v>
      </c>
      <c r="E717" t="s">
        <v>4011</v>
      </c>
      <c r="F717" t="s">
        <v>4108</v>
      </c>
      <c r="G717" s="1">
        <v>46246</v>
      </c>
      <c r="H717" s="1">
        <v>46246</v>
      </c>
      <c r="I717" s="2">
        <v>0.54166666666666663</v>
      </c>
      <c r="J717" s="2">
        <v>0.875</v>
      </c>
      <c r="K717" t="s">
        <v>35</v>
      </c>
      <c r="L717" t="s">
        <v>36</v>
      </c>
      <c r="M717" s="1"/>
      <c r="O717" t="s">
        <v>4007</v>
      </c>
      <c r="P717" s="1"/>
      <c r="Q717" s="1"/>
      <c r="S717" s="2">
        <f>CONSOLIDADO_2026[[#This Row],[Hora final]]-CONSOLIDADO_2026[[#This Row],[Hora inic]]</f>
        <v>0.33333333333333337</v>
      </c>
    </row>
    <row r="718" spans="1:19" x14ac:dyDescent="0.25">
      <c r="A718" t="s">
        <v>4138</v>
      </c>
      <c r="B718">
        <v>1152221372</v>
      </c>
      <c r="C718" t="s">
        <v>2313</v>
      </c>
      <c r="D718" t="s">
        <v>128</v>
      </c>
      <c r="E718" t="s">
        <v>4005</v>
      </c>
      <c r="F718" t="s">
        <v>4037</v>
      </c>
      <c r="G718" s="1">
        <v>46230</v>
      </c>
      <c r="H718" s="1"/>
      <c r="I718" s="2">
        <v>0.25</v>
      </c>
      <c r="J718" s="2">
        <v>0.54166666666666663</v>
      </c>
      <c r="K718" t="s">
        <v>122</v>
      </c>
      <c r="L718" t="s">
        <v>123</v>
      </c>
      <c r="M718" s="1"/>
      <c r="O718" t="s">
        <v>21</v>
      </c>
      <c r="P718" s="1"/>
      <c r="Q718" s="1"/>
      <c r="S718" s="2">
        <f>CONSOLIDADO_2026[[#This Row],[Hora final]]-CONSOLIDADO_2026[[#This Row],[Hora inic]]</f>
        <v>0.29166666666666663</v>
      </c>
    </row>
    <row r="719" spans="1:19" x14ac:dyDescent="0.25">
      <c r="A719" t="s">
        <v>4138</v>
      </c>
      <c r="B719">
        <v>1094275204</v>
      </c>
      <c r="C719" t="s">
        <v>1823</v>
      </c>
      <c r="D719" t="s">
        <v>211</v>
      </c>
      <c r="E719" t="s">
        <v>4017</v>
      </c>
      <c r="F719" t="s">
        <v>4108</v>
      </c>
      <c r="G719" s="1">
        <v>46246</v>
      </c>
      <c r="H719" s="1">
        <v>46246</v>
      </c>
      <c r="I719" s="2">
        <v>0.58333333333333337</v>
      </c>
      <c r="J719" s="2">
        <v>0.875</v>
      </c>
      <c r="K719" t="s">
        <v>3621</v>
      </c>
      <c r="L719" t="s">
        <v>3622</v>
      </c>
      <c r="M719" s="1"/>
      <c r="O719" t="s">
        <v>4007</v>
      </c>
      <c r="P719" s="1"/>
      <c r="Q719" s="1"/>
      <c r="S719" s="2">
        <f>CONSOLIDADO_2026[[#This Row],[Hora final]]-CONSOLIDADO_2026[[#This Row],[Hora inic]]</f>
        <v>0.29166666666666663</v>
      </c>
    </row>
    <row r="720" spans="1:19" x14ac:dyDescent="0.25">
      <c r="A720" t="s">
        <v>4138</v>
      </c>
      <c r="B720">
        <v>1001479648</v>
      </c>
      <c r="C720" t="s">
        <v>2925</v>
      </c>
      <c r="D720" t="s">
        <v>322</v>
      </c>
      <c r="E720" t="s">
        <v>4017</v>
      </c>
      <c r="F720" t="s">
        <v>4108</v>
      </c>
      <c r="G720" s="1">
        <v>46245</v>
      </c>
      <c r="H720" s="1">
        <v>46245</v>
      </c>
      <c r="I720" s="2"/>
      <c r="J720" s="2"/>
      <c r="L720" t="s">
        <v>4006</v>
      </c>
      <c r="M720" s="1"/>
      <c r="O720" t="s">
        <v>4007</v>
      </c>
      <c r="P720" s="1"/>
      <c r="Q720" s="1"/>
      <c r="S720" s="2">
        <f>CONSOLIDADO_2026[[#This Row],[Hora final]]-CONSOLIDADO_2026[[#This Row],[Hora inic]]</f>
        <v>0</v>
      </c>
    </row>
    <row r="721" spans="1:19" x14ac:dyDescent="0.25">
      <c r="A721" t="s">
        <v>4138</v>
      </c>
      <c r="B721">
        <v>1004960056</v>
      </c>
      <c r="C721" t="s">
        <v>563</v>
      </c>
      <c r="D721" t="s">
        <v>553</v>
      </c>
      <c r="E721" t="s">
        <v>4010</v>
      </c>
      <c r="F721" t="s">
        <v>4058</v>
      </c>
      <c r="G721" s="1">
        <v>46246</v>
      </c>
      <c r="H721" s="1">
        <v>46247</v>
      </c>
      <c r="I721" s="2">
        <v>0.25</v>
      </c>
      <c r="J721" s="2">
        <v>0.54166666666666663</v>
      </c>
      <c r="K721" t="s">
        <v>171</v>
      </c>
      <c r="L721" t="s">
        <v>172</v>
      </c>
      <c r="M721" s="1"/>
      <c r="O721" t="s">
        <v>4007</v>
      </c>
      <c r="P721" s="1"/>
      <c r="Q721" s="1"/>
      <c r="S721" s="2">
        <f>CONSOLIDADO_2026[[#This Row],[Hora final]]-CONSOLIDADO_2026[[#This Row],[Hora inic]]</f>
        <v>0.29166666666666663</v>
      </c>
    </row>
    <row r="722" spans="1:19" x14ac:dyDescent="0.25">
      <c r="A722" t="s">
        <v>4138</v>
      </c>
      <c r="B722">
        <v>1017264032</v>
      </c>
      <c r="C722" t="s">
        <v>63</v>
      </c>
      <c r="D722" t="s">
        <v>64</v>
      </c>
      <c r="E722" t="s">
        <v>4012</v>
      </c>
      <c r="F722" t="s">
        <v>25</v>
      </c>
      <c r="G722" s="1">
        <v>46229</v>
      </c>
      <c r="H722" s="1">
        <v>46258</v>
      </c>
      <c r="I722" s="2">
        <v>0.25</v>
      </c>
      <c r="J722" s="2">
        <v>0.58333333333333337</v>
      </c>
      <c r="L722" t="s">
        <v>261</v>
      </c>
      <c r="M722" s="1"/>
      <c r="O722" t="s">
        <v>4007</v>
      </c>
      <c r="P722" s="1"/>
      <c r="Q722" s="1"/>
      <c r="S722" s="2">
        <f>CONSOLIDADO_2026[[#This Row],[Hora final]]-CONSOLIDADO_2026[[#This Row],[Hora inic]]</f>
        <v>0.33333333333333337</v>
      </c>
    </row>
    <row r="723" spans="1:19" x14ac:dyDescent="0.25">
      <c r="A723" t="s">
        <v>4138</v>
      </c>
      <c r="B723">
        <v>1071169507</v>
      </c>
      <c r="C723" t="s">
        <v>88</v>
      </c>
      <c r="D723" t="s">
        <v>89</v>
      </c>
      <c r="E723" t="s">
        <v>4017</v>
      </c>
      <c r="F723" t="s">
        <v>90</v>
      </c>
      <c r="G723" s="1">
        <v>46242</v>
      </c>
      <c r="H723" s="1">
        <v>46247</v>
      </c>
      <c r="I723" s="2">
        <v>0.25</v>
      </c>
      <c r="J723" s="2">
        <v>0.58333333333333337</v>
      </c>
      <c r="K723" t="s">
        <v>91</v>
      </c>
      <c r="L723" t="s">
        <v>92</v>
      </c>
      <c r="M723" s="1"/>
      <c r="O723" t="s">
        <v>21</v>
      </c>
      <c r="P723" s="1"/>
      <c r="Q723" s="1"/>
      <c r="S723" s="2">
        <f>CONSOLIDADO_2026[[#This Row],[Hora final]]-CONSOLIDADO_2026[[#This Row],[Hora inic]]</f>
        <v>0.33333333333333337</v>
      </c>
    </row>
    <row r="724" spans="1:19" x14ac:dyDescent="0.25">
      <c r="A724" t="s">
        <v>4138</v>
      </c>
      <c r="B724">
        <v>1036132488</v>
      </c>
      <c r="C724" t="s">
        <v>150</v>
      </c>
      <c r="D724" t="s">
        <v>142</v>
      </c>
      <c r="E724" t="s">
        <v>4012</v>
      </c>
      <c r="F724" t="s">
        <v>25</v>
      </c>
      <c r="G724" s="1">
        <v>46227</v>
      </c>
      <c r="H724" s="1">
        <v>46246</v>
      </c>
      <c r="I724" s="2">
        <v>0.25</v>
      </c>
      <c r="J724" s="2">
        <v>0.58333333333333337</v>
      </c>
      <c r="K724" t="s">
        <v>147</v>
      </c>
      <c r="L724" t="s">
        <v>148</v>
      </c>
      <c r="M724" s="1"/>
      <c r="O724" t="s">
        <v>21</v>
      </c>
      <c r="P724" s="1"/>
      <c r="Q724" s="1"/>
      <c r="S724" s="2">
        <f>CONSOLIDADO_2026[[#This Row],[Hora final]]-CONSOLIDADO_2026[[#This Row],[Hora inic]]</f>
        <v>0.33333333333333337</v>
      </c>
    </row>
    <row r="725" spans="1:19" x14ac:dyDescent="0.25">
      <c r="A725" t="s">
        <v>4138</v>
      </c>
      <c r="B725">
        <v>43558465</v>
      </c>
      <c r="C725" t="s">
        <v>103</v>
      </c>
      <c r="D725" t="s">
        <v>64</v>
      </c>
      <c r="E725" t="s">
        <v>4012</v>
      </c>
      <c r="F725" t="s">
        <v>25</v>
      </c>
      <c r="G725" s="1">
        <v>46226</v>
      </c>
      <c r="H725" s="1">
        <v>46246</v>
      </c>
      <c r="I725" s="2">
        <v>0.58333333333333337</v>
      </c>
      <c r="J725" s="2">
        <v>0.875</v>
      </c>
      <c r="L725" t="s">
        <v>261</v>
      </c>
      <c r="M725" s="1"/>
      <c r="O725" t="s">
        <v>4007</v>
      </c>
      <c r="P725" s="1"/>
      <c r="Q725" s="1"/>
      <c r="S725" s="2">
        <f>CONSOLIDADO_2026[[#This Row],[Hora final]]-CONSOLIDADO_2026[[#This Row],[Hora inic]]</f>
        <v>0.29166666666666663</v>
      </c>
    </row>
    <row r="726" spans="1:19" x14ac:dyDescent="0.25">
      <c r="A726" t="s">
        <v>4138</v>
      </c>
      <c r="B726">
        <v>1037631989</v>
      </c>
      <c r="C726" t="s">
        <v>40</v>
      </c>
      <c r="D726" t="s">
        <v>41</v>
      </c>
      <c r="E726" t="s">
        <v>4011</v>
      </c>
      <c r="F726" t="s">
        <v>25</v>
      </c>
      <c r="G726" s="1">
        <v>46226</v>
      </c>
      <c r="H726" s="1">
        <v>46255</v>
      </c>
      <c r="I726" s="2">
        <v>0.25</v>
      </c>
      <c r="J726" s="2">
        <v>0.54166666666666663</v>
      </c>
      <c r="L726" t="s">
        <v>261</v>
      </c>
      <c r="M726" s="1"/>
      <c r="O726" t="s">
        <v>4007</v>
      </c>
      <c r="P726" s="1"/>
      <c r="Q726" s="1"/>
      <c r="S726" s="2">
        <f>CONSOLIDADO_2026[[#This Row],[Hora final]]-CONSOLIDADO_2026[[#This Row],[Hora inic]]</f>
        <v>0.29166666666666663</v>
      </c>
    </row>
    <row r="727" spans="1:19" x14ac:dyDescent="0.25">
      <c r="A727" t="s">
        <v>4138</v>
      </c>
      <c r="B727">
        <v>1043006106</v>
      </c>
      <c r="C727" t="s">
        <v>194</v>
      </c>
      <c r="D727" t="s">
        <v>160</v>
      </c>
      <c r="E727" t="s">
        <v>4011</v>
      </c>
      <c r="F727" t="s">
        <v>25</v>
      </c>
      <c r="G727" s="1">
        <v>46219</v>
      </c>
      <c r="H727" s="1">
        <v>46248</v>
      </c>
      <c r="I727" s="2">
        <v>0.25</v>
      </c>
      <c r="J727" s="2">
        <v>0.58333333333333337</v>
      </c>
      <c r="L727" t="s">
        <v>261</v>
      </c>
      <c r="M727" s="1"/>
      <c r="O727" t="s">
        <v>4007</v>
      </c>
      <c r="P727" s="1"/>
      <c r="Q727" s="1"/>
      <c r="S727" s="2">
        <f>CONSOLIDADO_2026[[#This Row],[Hora final]]-CONSOLIDADO_2026[[#This Row],[Hora inic]]</f>
        <v>0.33333333333333337</v>
      </c>
    </row>
    <row r="728" spans="1:19" x14ac:dyDescent="0.25">
      <c r="A728" t="s">
        <v>4138</v>
      </c>
      <c r="B728">
        <v>1037638426</v>
      </c>
      <c r="C728" t="s">
        <v>44</v>
      </c>
      <c r="D728" t="s">
        <v>41</v>
      </c>
      <c r="E728" t="s">
        <v>4011</v>
      </c>
      <c r="F728" t="s">
        <v>30</v>
      </c>
      <c r="G728" s="1">
        <v>46230</v>
      </c>
      <c r="H728" s="1">
        <v>46262</v>
      </c>
      <c r="I728" s="2">
        <v>0.54166666666666663</v>
      </c>
      <c r="J728" s="2">
        <v>0.875</v>
      </c>
      <c r="K728" t="s">
        <v>178</v>
      </c>
      <c r="L728" t="s">
        <v>179</v>
      </c>
      <c r="M728" s="1"/>
      <c r="O728" t="s">
        <v>21</v>
      </c>
      <c r="P728" s="1"/>
      <c r="Q728" s="1"/>
      <c r="S728" s="2">
        <f>CONSOLIDADO_2026[[#This Row],[Hora final]]-CONSOLIDADO_2026[[#This Row],[Hora inic]]</f>
        <v>0.33333333333333337</v>
      </c>
    </row>
    <row r="729" spans="1:19" x14ac:dyDescent="0.25">
      <c r="A729" t="s">
        <v>4138</v>
      </c>
      <c r="B729">
        <v>1121506548</v>
      </c>
      <c r="C729" t="s">
        <v>50</v>
      </c>
      <c r="D729" t="s">
        <v>51</v>
      </c>
      <c r="E729" t="s">
        <v>4011</v>
      </c>
      <c r="F729" t="s">
        <v>16</v>
      </c>
      <c r="G729" s="1">
        <v>46217</v>
      </c>
      <c r="H729" s="1">
        <v>46342</v>
      </c>
      <c r="I729" s="2">
        <v>0.25</v>
      </c>
      <c r="J729" s="2">
        <v>0.58333333333333337</v>
      </c>
      <c r="K729" t="s">
        <v>244</v>
      </c>
      <c r="L729" t="s">
        <v>245</v>
      </c>
      <c r="M729" s="1"/>
      <c r="O729" t="s">
        <v>21</v>
      </c>
      <c r="P729" s="1"/>
      <c r="Q729" s="1"/>
      <c r="S729" s="2">
        <f>CONSOLIDADO_2026[[#This Row],[Hora final]]-CONSOLIDADO_2026[[#This Row],[Hora inic]]</f>
        <v>0.33333333333333337</v>
      </c>
    </row>
    <row r="730" spans="1:19" x14ac:dyDescent="0.25">
      <c r="A730" t="s">
        <v>4138</v>
      </c>
      <c r="B730">
        <v>1143460426</v>
      </c>
      <c r="C730" t="s">
        <v>4034</v>
      </c>
      <c r="D730" t="s">
        <v>160</v>
      </c>
      <c r="E730" t="s">
        <v>4011</v>
      </c>
      <c r="F730" t="s">
        <v>4015</v>
      </c>
      <c r="G730" s="1">
        <v>46195</v>
      </c>
      <c r="H730" s="1">
        <v>46198</v>
      </c>
      <c r="I730" s="2">
        <v>0.25</v>
      </c>
      <c r="J730" s="2">
        <v>0.54166666666666663</v>
      </c>
      <c r="K730" t="s">
        <v>191</v>
      </c>
      <c r="L730" t="s">
        <v>192</v>
      </c>
      <c r="M730" s="1"/>
      <c r="O730" t="s">
        <v>21</v>
      </c>
      <c r="P730" s="1"/>
      <c r="Q730" s="1"/>
      <c r="S730" s="2">
        <f>CONSOLIDADO_2026[[#This Row],[Hora final]]-CONSOLIDADO_2026[[#This Row],[Hora inic]]</f>
        <v>0.29166666666666663</v>
      </c>
    </row>
    <row r="731" spans="1:19" x14ac:dyDescent="0.25">
      <c r="A731" t="s">
        <v>4138</v>
      </c>
      <c r="B731">
        <v>1001897056</v>
      </c>
      <c r="C731" t="s">
        <v>3660</v>
      </c>
      <c r="D731" t="s">
        <v>128</v>
      </c>
      <c r="E731" t="s">
        <v>4005</v>
      </c>
      <c r="F731" t="s">
        <v>25</v>
      </c>
      <c r="G731" s="1">
        <v>46245</v>
      </c>
      <c r="H731" s="1">
        <v>46249</v>
      </c>
      <c r="I731" s="2">
        <v>0.54166666666666663</v>
      </c>
      <c r="J731" s="2">
        <v>0.875</v>
      </c>
      <c r="L731" t="s">
        <v>261</v>
      </c>
      <c r="M731" s="1"/>
      <c r="O731" t="s">
        <v>4007</v>
      </c>
      <c r="P731" s="1"/>
      <c r="Q731" s="1"/>
      <c r="S731" s="2">
        <f>CONSOLIDADO_2026[[#This Row],[Hora final]]-CONSOLIDADO_2026[[#This Row],[Hora inic]]</f>
        <v>0.33333333333333337</v>
      </c>
    </row>
    <row r="732" spans="1:19" x14ac:dyDescent="0.25">
      <c r="A732" t="s">
        <v>4138</v>
      </c>
      <c r="B732">
        <v>1098777544</v>
      </c>
      <c r="C732" t="s">
        <v>81</v>
      </c>
      <c r="D732" t="s">
        <v>82</v>
      </c>
      <c r="E732" t="s">
        <v>4005</v>
      </c>
      <c r="F732" t="s">
        <v>25</v>
      </c>
      <c r="G732" s="1">
        <v>46217</v>
      </c>
      <c r="H732" s="1">
        <v>46246</v>
      </c>
      <c r="I732" s="2">
        <v>0.25</v>
      </c>
      <c r="J732" s="2">
        <v>0.54166666666666663</v>
      </c>
      <c r="L732" t="s">
        <v>261</v>
      </c>
      <c r="M732" s="1"/>
      <c r="O732" t="s">
        <v>4007</v>
      </c>
      <c r="P732" s="1"/>
      <c r="Q732" s="1"/>
      <c r="S732" s="2">
        <f>CONSOLIDADO_2026[[#This Row],[Hora final]]-CONSOLIDADO_2026[[#This Row],[Hora inic]]</f>
        <v>0.29166666666666663</v>
      </c>
    </row>
    <row r="733" spans="1:19" x14ac:dyDescent="0.25">
      <c r="A733" t="s">
        <v>4138</v>
      </c>
      <c r="B733">
        <v>1000416307</v>
      </c>
      <c r="C733" t="s">
        <v>3014</v>
      </c>
      <c r="D733" t="s">
        <v>82</v>
      </c>
      <c r="E733" t="s">
        <v>4005</v>
      </c>
      <c r="F733" t="s">
        <v>25</v>
      </c>
      <c r="G733" s="1">
        <v>46245</v>
      </c>
      <c r="H733" s="1">
        <v>46246</v>
      </c>
      <c r="I733" s="2">
        <v>0.25</v>
      </c>
      <c r="J733" s="2">
        <v>0.54166666666666663</v>
      </c>
      <c r="K733" t="s">
        <v>106</v>
      </c>
      <c r="L733" t="s">
        <v>107</v>
      </c>
      <c r="M733" s="1"/>
      <c r="O733" t="s">
        <v>21</v>
      </c>
      <c r="P733" s="1"/>
      <c r="Q733" s="1"/>
      <c r="S733" s="2">
        <f>CONSOLIDADO_2026[[#This Row],[Hora final]]-CONSOLIDADO_2026[[#This Row],[Hora inic]]</f>
        <v>0.29166666666666663</v>
      </c>
    </row>
    <row r="734" spans="1:19" x14ac:dyDescent="0.25">
      <c r="A734" t="s">
        <v>4138</v>
      </c>
      <c r="B734">
        <v>1052974971</v>
      </c>
      <c r="C734" t="s">
        <v>765</v>
      </c>
      <c r="D734" t="s">
        <v>97</v>
      </c>
      <c r="E734" t="s">
        <v>4005</v>
      </c>
      <c r="F734" t="s">
        <v>25</v>
      </c>
      <c r="G734" s="1">
        <v>46245</v>
      </c>
      <c r="H734" s="1">
        <v>46245</v>
      </c>
      <c r="I734" s="2">
        <v>0.29166666666666669</v>
      </c>
      <c r="J734" s="2">
        <v>0.66666666666666663</v>
      </c>
      <c r="L734" t="s">
        <v>4006</v>
      </c>
      <c r="M734" s="1"/>
      <c r="O734" t="s">
        <v>4007</v>
      </c>
      <c r="P734" s="1"/>
      <c r="Q734" s="1"/>
      <c r="S734" s="2">
        <f>CONSOLIDADO_2026[[#This Row],[Hora final]]-CONSOLIDADO_2026[[#This Row],[Hora inic]]</f>
        <v>0.37499999999999994</v>
      </c>
    </row>
    <row r="735" spans="1:19" x14ac:dyDescent="0.25">
      <c r="A735" t="s">
        <v>4138</v>
      </c>
      <c r="B735">
        <v>1124014714</v>
      </c>
      <c r="C735" t="s">
        <v>2153</v>
      </c>
      <c r="D735" t="s">
        <v>343</v>
      </c>
      <c r="E735" t="s">
        <v>4012</v>
      </c>
      <c r="F735" t="s">
        <v>25</v>
      </c>
      <c r="G735" s="1">
        <v>46244</v>
      </c>
      <c r="H735" s="1">
        <v>46245</v>
      </c>
      <c r="I735" s="2">
        <v>0.54166666666666663</v>
      </c>
      <c r="J735" s="2">
        <v>0.875</v>
      </c>
      <c r="L735" t="s">
        <v>4006</v>
      </c>
      <c r="M735" s="1"/>
      <c r="O735" t="s">
        <v>4007</v>
      </c>
      <c r="P735" s="1"/>
      <c r="Q735" s="1"/>
      <c r="S735" s="2">
        <f>CONSOLIDADO_2026[[#This Row],[Hora final]]-CONSOLIDADO_2026[[#This Row],[Hora inic]]</f>
        <v>0.33333333333333337</v>
      </c>
    </row>
    <row r="736" spans="1:19" x14ac:dyDescent="0.25">
      <c r="A736" t="s">
        <v>4138</v>
      </c>
      <c r="B736">
        <v>1193584838</v>
      </c>
      <c r="C736" t="s">
        <v>2955</v>
      </c>
      <c r="D736" t="s">
        <v>142</v>
      </c>
      <c r="E736" t="s">
        <v>4012</v>
      </c>
      <c r="F736" t="s">
        <v>25</v>
      </c>
      <c r="G736" s="1">
        <v>46245</v>
      </c>
      <c r="H736" s="1">
        <v>46247</v>
      </c>
      <c r="I736" s="2">
        <v>0.54166666666666663</v>
      </c>
      <c r="J736" s="2">
        <v>0.83333333333333337</v>
      </c>
      <c r="L736" t="s">
        <v>4022</v>
      </c>
      <c r="M736" s="1"/>
      <c r="O736" t="s">
        <v>4007</v>
      </c>
      <c r="P736" s="1"/>
      <c r="Q736" s="1"/>
      <c r="S736" s="2">
        <f>CONSOLIDADO_2026[[#This Row],[Hora final]]-CONSOLIDADO_2026[[#This Row],[Hora inic]]</f>
        <v>0.29166666666666674</v>
      </c>
    </row>
    <row r="737" spans="1:19" x14ac:dyDescent="0.25">
      <c r="A737" t="s">
        <v>4138</v>
      </c>
      <c r="B737">
        <v>1020470720</v>
      </c>
      <c r="C737" t="s">
        <v>544</v>
      </c>
      <c r="D737" t="s">
        <v>543</v>
      </c>
      <c r="E737" t="s">
        <v>4010</v>
      </c>
      <c r="F737" t="s">
        <v>25</v>
      </c>
      <c r="G737" s="1">
        <v>46245</v>
      </c>
      <c r="H737" s="1">
        <v>46246</v>
      </c>
      <c r="I737" s="2">
        <v>0.25</v>
      </c>
      <c r="J737" s="2">
        <v>0.58333333333333337</v>
      </c>
      <c r="L737" t="s">
        <v>261</v>
      </c>
      <c r="M737" s="1"/>
      <c r="O737" t="s">
        <v>4007</v>
      </c>
      <c r="P737" s="1"/>
      <c r="Q737" s="1"/>
      <c r="S737" s="2">
        <f>CONSOLIDADO_2026[[#This Row],[Hora final]]-CONSOLIDADO_2026[[#This Row],[Hora inic]]</f>
        <v>0.33333333333333337</v>
      </c>
    </row>
    <row r="738" spans="1:19" x14ac:dyDescent="0.25">
      <c r="A738" t="s">
        <v>4138</v>
      </c>
      <c r="B738">
        <v>1037671907</v>
      </c>
      <c r="C738" t="s">
        <v>4136</v>
      </c>
      <c r="D738" t="s">
        <v>57</v>
      </c>
      <c r="E738" t="s">
        <v>4010</v>
      </c>
      <c r="F738" t="s">
        <v>4015</v>
      </c>
      <c r="G738" s="1">
        <v>46245</v>
      </c>
      <c r="H738" s="1">
        <v>46247</v>
      </c>
      <c r="I738" s="2">
        <v>0.5</v>
      </c>
      <c r="J738" s="2">
        <v>0.83333333333333337</v>
      </c>
      <c r="L738" t="s">
        <v>261</v>
      </c>
      <c r="M738" s="1"/>
      <c r="O738" t="s">
        <v>4007</v>
      </c>
      <c r="P738" s="1"/>
      <c r="Q738" s="1"/>
      <c r="S738" s="2">
        <f>CONSOLIDADO_2026[[#This Row],[Hora final]]-CONSOLIDADO_2026[[#This Row],[Hora inic]]</f>
        <v>0.33333333333333337</v>
      </c>
    </row>
    <row r="739" spans="1:19" x14ac:dyDescent="0.25">
      <c r="A739" t="s">
        <v>4138</v>
      </c>
      <c r="B739">
        <v>1039468657</v>
      </c>
      <c r="C739" t="s">
        <v>2339</v>
      </c>
      <c r="D739" t="s">
        <v>2019</v>
      </c>
      <c r="E739" t="s">
        <v>4011</v>
      </c>
      <c r="F739" t="s">
        <v>25</v>
      </c>
      <c r="G739" s="1">
        <v>46244</v>
      </c>
      <c r="H739" s="1">
        <v>46245</v>
      </c>
      <c r="I739" s="2"/>
      <c r="J739" s="2"/>
      <c r="L739" t="s">
        <v>4006</v>
      </c>
      <c r="M739" s="1"/>
      <c r="O739" t="s">
        <v>4007</v>
      </c>
      <c r="P739" s="1"/>
      <c r="Q739" s="1"/>
      <c r="S739" s="2">
        <f>CONSOLIDADO_2026[[#This Row],[Hora final]]-CONSOLIDADO_2026[[#This Row],[Hora inic]]</f>
        <v>0</v>
      </c>
    </row>
    <row r="740" spans="1:19" x14ac:dyDescent="0.25">
      <c r="A740" t="s">
        <v>4138</v>
      </c>
      <c r="B740">
        <v>1102808787</v>
      </c>
      <c r="C740" t="s">
        <v>265</v>
      </c>
      <c r="D740" t="s">
        <v>51</v>
      </c>
      <c r="E740" t="s">
        <v>4011</v>
      </c>
      <c r="F740" t="s">
        <v>25</v>
      </c>
      <c r="G740" s="1">
        <v>46237</v>
      </c>
      <c r="H740" s="1">
        <v>46256</v>
      </c>
      <c r="I740" s="2">
        <v>0.25</v>
      </c>
      <c r="J740" s="2">
        <v>0.54166666666666663</v>
      </c>
      <c r="L740" t="s">
        <v>261</v>
      </c>
      <c r="M740" s="1"/>
      <c r="O740" t="s">
        <v>4007</v>
      </c>
      <c r="P740" s="1"/>
      <c r="Q740" s="1"/>
      <c r="S740" s="2">
        <f>CONSOLIDADO_2026[[#This Row],[Hora final]]-CONSOLIDADO_2026[[#This Row],[Hora inic]]</f>
        <v>0.29166666666666663</v>
      </c>
    </row>
    <row r="741" spans="1:19" x14ac:dyDescent="0.25">
      <c r="A741" t="s">
        <v>4138</v>
      </c>
      <c r="B741">
        <v>1047503032</v>
      </c>
      <c r="C741" t="s">
        <v>2974</v>
      </c>
      <c r="D741" t="s">
        <v>89</v>
      </c>
      <c r="E741" t="s">
        <v>4017</v>
      </c>
      <c r="F741" t="s">
        <v>25</v>
      </c>
      <c r="G741" s="1">
        <v>46245</v>
      </c>
      <c r="H741" s="1">
        <v>46246</v>
      </c>
      <c r="I741" s="2">
        <v>0.25</v>
      </c>
      <c r="J741" s="2">
        <v>0.58333333333333337</v>
      </c>
      <c r="L741" t="s">
        <v>4139</v>
      </c>
      <c r="M741" s="1"/>
      <c r="O741" t="s">
        <v>21</v>
      </c>
      <c r="P741" s="1"/>
      <c r="Q741" s="1"/>
      <c r="S741" s="2">
        <f>CONSOLIDADO_2026[[#This Row],[Hora final]]-CONSOLIDADO_2026[[#This Row],[Hora inic]]</f>
        <v>0.33333333333333337</v>
      </c>
    </row>
    <row r="742" spans="1:19" x14ac:dyDescent="0.25">
      <c r="A742" t="s">
        <v>4138</v>
      </c>
      <c r="B742">
        <v>1036965348</v>
      </c>
      <c r="C742" t="s">
        <v>186</v>
      </c>
      <c r="D742" t="s">
        <v>4046</v>
      </c>
      <c r="E742" t="s">
        <v>4011</v>
      </c>
      <c r="F742" t="s">
        <v>4046</v>
      </c>
      <c r="G742" s="1">
        <v>46246</v>
      </c>
      <c r="H742" s="1">
        <v>46246</v>
      </c>
      <c r="I742" s="2">
        <v>0.25</v>
      </c>
      <c r="J742" s="2">
        <v>0.58333333333333337</v>
      </c>
      <c r="L742" t="s">
        <v>4099</v>
      </c>
      <c r="M742" s="1"/>
      <c r="O742" t="s">
        <v>4007</v>
      </c>
      <c r="P742" s="1"/>
      <c r="Q742" s="1"/>
      <c r="S742" s="2">
        <f>CONSOLIDADO_2026[[#This Row],[Hora final]]-CONSOLIDADO_2026[[#This Row],[Hora inic]]</f>
        <v>0.33333333333333337</v>
      </c>
    </row>
    <row r="743" spans="1:19" x14ac:dyDescent="0.25">
      <c r="A743" t="s">
        <v>4138</v>
      </c>
      <c r="B743">
        <v>1143373273</v>
      </c>
      <c r="C743" t="s">
        <v>1984</v>
      </c>
      <c r="D743" t="s">
        <v>211</v>
      </c>
      <c r="E743" t="s">
        <v>4017</v>
      </c>
      <c r="F743" t="s">
        <v>25</v>
      </c>
      <c r="G743" s="1">
        <v>46245</v>
      </c>
      <c r="H743" s="1">
        <v>46247</v>
      </c>
      <c r="I743" s="2">
        <v>0.54166666666666663</v>
      </c>
      <c r="J743" s="2">
        <v>0.875</v>
      </c>
      <c r="K743" t="s">
        <v>134</v>
      </c>
      <c r="L743" t="s">
        <v>135</v>
      </c>
      <c r="M743" s="1"/>
      <c r="O743" t="s">
        <v>21</v>
      </c>
      <c r="P743" s="1"/>
      <c r="Q743" s="1"/>
      <c r="S743" s="2">
        <f>CONSOLIDADO_2026[[#This Row],[Hora final]]-CONSOLIDADO_2026[[#This Row],[Hora inic]]</f>
        <v>0.33333333333333337</v>
      </c>
    </row>
    <row r="744" spans="1:19" x14ac:dyDescent="0.25">
      <c r="A744" t="s">
        <v>4138</v>
      </c>
      <c r="B744">
        <v>1085265026</v>
      </c>
      <c r="C744" t="s">
        <v>3413</v>
      </c>
      <c r="D744" t="s">
        <v>64</v>
      </c>
      <c r="E744" t="s">
        <v>4012</v>
      </c>
      <c r="F744" t="s">
        <v>4137</v>
      </c>
      <c r="G744" s="1">
        <v>46245</v>
      </c>
      <c r="H744" s="1">
        <v>46249</v>
      </c>
      <c r="I744" s="2">
        <v>0.58333333333333337</v>
      </c>
      <c r="J744" s="2">
        <v>0.875</v>
      </c>
      <c r="K744" t="s">
        <v>162</v>
      </c>
      <c r="L744" t="s">
        <v>163</v>
      </c>
      <c r="M744" s="1"/>
      <c r="O744" t="s">
        <v>21</v>
      </c>
      <c r="P744" s="1"/>
      <c r="Q744" s="1"/>
      <c r="S744" s="2">
        <f>CONSOLIDADO_2026[[#This Row],[Hora final]]-CONSOLIDADO_2026[[#This Row],[Hora inic]]</f>
        <v>0.29166666666666663</v>
      </c>
    </row>
    <row r="745" spans="1:19" x14ac:dyDescent="0.25">
      <c r="A745" t="s">
        <v>4138</v>
      </c>
      <c r="B745">
        <v>1044393706</v>
      </c>
      <c r="C745" t="s">
        <v>822</v>
      </c>
      <c r="D745" t="s">
        <v>78</v>
      </c>
      <c r="E745" t="s">
        <v>4010</v>
      </c>
      <c r="F745" t="s">
        <v>25</v>
      </c>
      <c r="G745" s="1">
        <v>46245</v>
      </c>
      <c r="H745" s="1">
        <v>46246</v>
      </c>
      <c r="I745" s="2">
        <v>0.54166666666666663</v>
      </c>
      <c r="J745" s="2">
        <v>0.875</v>
      </c>
      <c r="L745" t="s">
        <v>261</v>
      </c>
      <c r="M745" s="1"/>
      <c r="O745" t="s">
        <v>4007</v>
      </c>
      <c r="P745" s="1"/>
      <c r="Q745" s="1"/>
      <c r="S745" s="2">
        <f>CONSOLIDADO_2026[[#This Row],[Hora final]]-CONSOLIDADO_2026[[#This Row],[Hora inic]]</f>
        <v>0.33333333333333337</v>
      </c>
    </row>
    <row r="746" spans="1:19" x14ac:dyDescent="0.25">
      <c r="A746" t="s">
        <v>4138</v>
      </c>
      <c r="B746">
        <v>1037570349</v>
      </c>
      <c r="C746" t="s">
        <v>2770</v>
      </c>
      <c r="D746" t="s">
        <v>78</v>
      </c>
      <c r="E746" t="s">
        <v>4010</v>
      </c>
      <c r="F746" t="s">
        <v>25</v>
      </c>
      <c r="G746" s="1">
        <v>46245</v>
      </c>
      <c r="H746" s="1">
        <v>46246</v>
      </c>
      <c r="I746" s="2">
        <v>0.25</v>
      </c>
      <c r="J746" s="2">
        <v>0.54166666666666663</v>
      </c>
      <c r="L746" t="s">
        <v>4022</v>
      </c>
      <c r="M746" s="1"/>
      <c r="O746" t="s">
        <v>4007</v>
      </c>
      <c r="P746" s="1"/>
      <c r="Q746" s="1"/>
      <c r="S746" s="2">
        <f>CONSOLIDADO_2026[[#This Row],[Hora final]]-CONSOLIDADO_2026[[#This Row],[Hora inic]]</f>
        <v>0.29166666666666663</v>
      </c>
    </row>
    <row r="747" spans="1:19" x14ac:dyDescent="0.25">
      <c r="A747" t="s">
        <v>4138</v>
      </c>
      <c r="B747">
        <v>1045718883</v>
      </c>
      <c r="C747" t="s">
        <v>47</v>
      </c>
      <c r="D747" t="s">
        <v>34</v>
      </c>
      <c r="E747" t="s">
        <v>4011</v>
      </c>
      <c r="F747" t="s">
        <v>16</v>
      </c>
      <c r="G747" s="1">
        <v>46245</v>
      </c>
      <c r="H747" s="1">
        <v>46340</v>
      </c>
      <c r="I747" s="2">
        <v>0.25</v>
      </c>
      <c r="J747" s="2">
        <v>0.54166666666666663</v>
      </c>
      <c r="K747" t="s">
        <v>73</v>
      </c>
      <c r="L747" t="s">
        <v>74</v>
      </c>
      <c r="M747" s="1"/>
      <c r="O747" t="s">
        <v>21</v>
      </c>
      <c r="P747" s="1"/>
      <c r="Q747" s="1"/>
      <c r="S747" s="2">
        <f>CONSOLIDADO_2026[[#This Row],[Hora final]]-CONSOLIDADO_2026[[#This Row],[Hora inic]]</f>
        <v>0.29166666666666663</v>
      </c>
    </row>
    <row r="748" spans="1:19" x14ac:dyDescent="0.25">
      <c r="A748" t="s">
        <v>4138</v>
      </c>
      <c r="B748">
        <v>1035876080</v>
      </c>
      <c r="C748" t="s">
        <v>120</v>
      </c>
      <c r="D748" t="s">
        <v>121</v>
      </c>
      <c r="E748" t="s">
        <v>4010</v>
      </c>
      <c r="F748" t="s">
        <v>25</v>
      </c>
      <c r="G748" s="1">
        <v>46246</v>
      </c>
      <c r="H748" s="1">
        <v>46254</v>
      </c>
      <c r="I748" s="2">
        <v>0.25</v>
      </c>
      <c r="J748" s="2">
        <v>0.54166666666666663</v>
      </c>
      <c r="L748" t="s">
        <v>261</v>
      </c>
      <c r="M748" s="1"/>
      <c r="O748" t="s">
        <v>4007</v>
      </c>
      <c r="P748" s="1"/>
      <c r="Q748" s="1"/>
      <c r="S748" s="2">
        <f>CONSOLIDADO_2026[[#This Row],[Hora final]]-CONSOLIDADO_2026[[#This Row],[Hora inic]]</f>
        <v>0.29166666666666663</v>
      </c>
    </row>
    <row r="749" spans="1:19" x14ac:dyDescent="0.25">
      <c r="A749" t="s">
        <v>4138</v>
      </c>
      <c r="B749">
        <v>1094971283</v>
      </c>
      <c r="C749" t="s">
        <v>3338</v>
      </c>
      <c r="D749" t="s">
        <v>326</v>
      </c>
      <c r="E749" t="s">
        <v>4005</v>
      </c>
      <c r="F749" t="s">
        <v>4140</v>
      </c>
      <c r="G749" s="1">
        <v>46245</v>
      </c>
      <c r="H749" s="1">
        <v>46247</v>
      </c>
      <c r="I749" s="2">
        <v>0.25</v>
      </c>
      <c r="J749" s="2">
        <v>0.58333333333333337</v>
      </c>
      <c r="K749" t="s">
        <v>2886</v>
      </c>
      <c r="L749" t="s">
        <v>2887</v>
      </c>
      <c r="M749" s="1"/>
      <c r="O749" t="s">
        <v>21</v>
      </c>
      <c r="P749" s="1"/>
      <c r="Q749" s="1"/>
      <c r="S749" s="2">
        <f>CONSOLIDADO_2026[[#This Row],[Hora final]]-CONSOLIDADO_2026[[#This Row],[Hora inic]]</f>
        <v>0.33333333333333337</v>
      </c>
    </row>
    <row r="750" spans="1:19" x14ac:dyDescent="0.25">
      <c r="A750" t="s">
        <v>4138</v>
      </c>
      <c r="B750">
        <v>1037644923</v>
      </c>
      <c r="C750" t="s">
        <v>2629</v>
      </c>
      <c r="D750" t="s">
        <v>420</v>
      </c>
      <c r="E750" t="s">
        <v>4010</v>
      </c>
      <c r="F750" t="s">
        <v>4040</v>
      </c>
      <c r="G750" s="1">
        <v>46246</v>
      </c>
      <c r="H750" s="1"/>
      <c r="I750" s="2">
        <v>0.54166666666666663</v>
      </c>
      <c r="J750" s="2">
        <v>0.875</v>
      </c>
      <c r="L750" t="s">
        <v>4022</v>
      </c>
      <c r="M750" s="1"/>
      <c r="O750" t="s">
        <v>4007</v>
      </c>
      <c r="P750" s="1"/>
      <c r="Q750" s="1"/>
      <c r="S750" s="2">
        <f>CONSOLIDADO_2026[[#This Row],[Hora final]]-CONSOLIDADO_2026[[#This Row],[Hora inic]]</f>
        <v>0.33333333333333337</v>
      </c>
    </row>
    <row r="751" spans="1:19" x14ac:dyDescent="0.25">
      <c r="A751" t="s">
        <v>4138</v>
      </c>
      <c r="B751">
        <v>1007223463</v>
      </c>
      <c r="C751" t="s">
        <v>487</v>
      </c>
      <c r="D751" t="s">
        <v>4046</v>
      </c>
      <c r="E751" t="s">
        <v>4017</v>
      </c>
      <c r="F751" t="s">
        <v>4046</v>
      </c>
      <c r="G751" s="1">
        <v>46246</v>
      </c>
      <c r="H751" s="1">
        <v>46246</v>
      </c>
      <c r="I751" s="2">
        <v>0.25</v>
      </c>
      <c r="J751" s="2">
        <v>0.58333333333333337</v>
      </c>
      <c r="L751" t="s">
        <v>4099</v>
      </c>
      <c r="M751" s="1"/>
      <c r="O751" t="s">
        <v>4007</v>
      </c>
      <c r="P751" s="1"/>
      <c r="Q751" s="1"/>
      <c r="S751" s="2">
        <f>CONSOLIDADO_2026[[#This Row],[Hora final]]-CONSOLIDADO_2026[[#This Row],[Hora inic]]</f>
        <v>0.33333333333333337</v>
      </c>
    </row>
    <row r="752" spans="1:19" x14ac:dyDescent="0.25">
      <c r="A752" t="s">
        <v>4138</v>
      </c>
      <c r="B752">
        <v>1098686151</v>
      </c>
      <c r="C752" t="s">
        <v>1826</v>
      </c>
      <c r="D752" t="s">
        <v>15</v>
      </c>
      <c r="E752" t="s">
        <v>4012</v>
      </c>
      <c r="F752" t="s">
        <v>25</v>
      </c>
      <c r="G752" s="1">
        <v>46246</v>
      </c>
      <c r="H752" s="1">
        <v>46248</v>
      </c>
      <c r="I752" s="2">
        <v>0.54166666666666663</v>
      </c>
      <c r="J752" s="2">
        <v>0.875</v>
      </c>
      <c r="L752" t="s">
        <v>4022</v>
      </c>
      <c r="M752" s="1"/>
      <c r="O752" t="s">
        <v>4007</v>
      </c>
      <c r="P752" s="1"/>
      <c r="Q752" s="1"/>
      <c r="S752" s="2">
        <f>CONSOLIDADO_2026[[#This Row],[Hora final]]-CONSOLIDADO_2026[[#This Row],[Hora inic]]</f>
        <v>0.33333333333333337</v>
      </c>
    </row>
    <row r="753" spans="1:19" x14ac:dyDescent="0.25">
      <c r="A753" t="s">
        <v>4138</v>
      </c>
      <c r="B753">
        <v>1143267842</v>
      </c>
      <c r="C753" t="s">
        <v>1444</v>
      </c>
      <c r="D753" t="s">
        <v>78</v>
      </c>
      <c r="E753" t="s">
        <v>4010</v>
      </c>
      <c r="F753" t="s">
        <v>25</v>
      </c>
      <c r="G753" s="1">
        <v>46246</v>
      </c>
      <c r="H753" s="1">
        <v>46248</v>
      </c>
      <c r="I753" s="2">
        <v>0.58333333333333337</v>
      </c>
      <c r="J753" s="2">
        <v>0.875</v>
      </c>
      <c r="L753" t="s">
        <v>4022</v>
      </c>
      <c r="M753" s="1"/>
      <c r="O753" t="s">
        <v>4007</v>
      </c>
      <c r="P753" s="1"/>
      <c r="Q753" s="1"/>
      <c r="S753" s="2">
        <f>CONSOLIDADO_2026[[#This Row],[Hora final]]-CONSOLIDADO_2026[[#This Row],[Hora inic]]</f>
        <v>0.29166666666666663</v>
      </c>
    </row>
    <row r="754" spans="1:19" x14ac:dyDescent="0.25">
      <c r="A754" t="s">
        <v>4138</v>
      </c>
      <c r="B754">
        <v>1152462704</v>
      </c>
      <c r="C754" t="s">
        <v>663</v>
      </c>
      <c r="D754" t="s">
        <v>82</v>
      </c>
      <c r="E754" t="s">
        <v>4005</v>
      </c>
      <c r="F754" t="s">
        <v>4040</v>
      </c>
      <c r="G754" s="1">
        <v>46246</v>
      </c>
      <c r="H754" s="1"/>
      <c r="I754" s="2">
        <v>0.25</v>
      </c>
      <c r="J754" s="2">
        <v>0.58333333333333337</v>
      </c>
      <c r="L754" t="s">
        <v>4022</v>
      </c>
      <c r="M754" s="1"/>
      <c r="O754" t="s">
        <v>4007</v>
      </c>
      <c r="P754" s="1"/>
      <c r="Q754" s="1"/>
      <c r="S754" s="2">
        <f>CONSOLIDADO_2026[[#This Row],[Hora final]]-CONSOLIDADO_2026[[#This Row],[Hora inic]]</f>
        <v>0.33333333333333337</v>
      </c>
    </row>
    <row r="755" spans="1:19" x14ac:dyDescent="0.25">
      <c r="A755" t="s">
        <v>4138</v>
      </c>
      <c r="B755">
        <v>1082926383</v>
      </c>
      <c r="C755" t="s">
        <v>582</v>
      </c>
      <c r="D755" t="s">
        <v>82</v>
      </c>
      <c r="E755" t="s">
        <v>4005</v>
      </c>
      <c r="F755" t="s">
        <v>25</v>
      </c>
      <c r="G755" s="1">
        <v>46246</v>
      </c>
      <c r="H755" s="1">
        <v>46248</v>
      </c>
      <c r="I755" s="2">
        <v>0.58333333333333337</v>
      </c>
      <c r="J755" s="2">
        <v>0.875</v>
      </c>
      <c r="L755" t="s">
        <v>261</v>
      </c>
      <c r="M755" s="1"/>
      <c r="O755" t="s">
        <v>4007</v>
      </c>
      <c r="P755" s="1"/>
      <c r="Q755" s="1"/>
      <c r="S755" s="2">
        <f>CONSOLIDADO_2026[[#This Row],[Hora final]]-CONSOLIDADO_2026[[#This Row],[Hora inic]]</f>
        <v>0.29166666666666663</v>
      </c>
    </row>
    <row r="756" spans="1:19" x14ac:dyDescent="0.25">
      <c r="A756" t="s">
        <v>4138</v>
      </c>
      <c r="B756">
        <v>59310511</v>
      </c>
      <c r="C756" t="s">
        <v>1260</v>
      </c>
      <c r="D756" t="s">
        <v>160</v>
      </c>
      <c r="E756" t="s">
        <v>4011</v>
      </c>
      <c r="F756" t="s">
        <v>25</v>
      </c>
      <c r="G756" s="1">
        <v>46246</v>
      </c>
      <c r="H756" s="1">
        <v>46246</v>
      </c>
      <c r="I756" s="2">
        <v>0.58333333333333337</v>
      </c>
      <c r="J756" s="2">
        <v>0.875</v>
      </c>
      <c r="L756" t="s">
        <v>4022</v>
      </c>
      <c r="M756" s="1"/>
      <c r="O756" t="s">
        <v>4007</v>
      </c>
      <c r="P756" s="1"/>
      <c r="Q756" s="1"/>
      <c r="S756" s="2">
        <f>CONSOLIDADO_2026[[#This Row],[Hora final]]-CONSOLIDADO_2026[[#This Row],[Hora inic]]</f>
        <v>0.29166666666666663</v>
      </c>
    </row>
    <row r="757" spans="1:19" x14ac:dyDescent="0.25">
      <c r="A757" t="s">
        <v>4138</v>
      </c>
      <c r="B757">
        <v>1000532653</v>
      </c>
      <c r="C757" t="s">
        <v>1117</v>
      </c>
      <c r="D757" t="s">
        <v>82</v>
      </c>
      <c r="E757" t="s">
        <v>4005</v>
      </c>
      <c r="F757" t="s">
        <v>25</v>
      </c>
      <c r="G757" s="1">
        <v>46246</v>
      </c>
      <c r="H757" s="1">
        <v>46246</v>
      </c>
      <c r="I757" s="2">
        <v>0.58333333333333337</v>
      </c>
      <c r="J757" s="2">
        <v>0.875</v>
      </c>
      <c r="K757" t="s">
        <v>17</v>
      </c>
      <c r="L757" t="s">
        <v>18</v>
      </c>
      <c r="M757" s="1"/>
      <c r="O757" t="s">
        <v>4007</v>
      </c>
      <c r="P757" s="1"/>
      <c r="Q757" s="1"/>
      <c r="S757" s="2">
        <f>CONSOLIDADO_2026[[#This Row],[Hora final]]-CONSOLIDADO_2026[[#This Row],[Hora inic]]</f>
        <v>0.29166666666666663</v>
      </c>
    </row>
    <row r="758" spans="1:19" x14ac:dyDescent="0.25">
      <c r="A758" t="s">
        <v>4138</v>
      </c>
      <c r="B758">
        <v>43986125</v>
      </c>
      <c r="C758" t="s">
        <v>1233</v>
      </c>
      <c r="D758" t="s">
        <v>64</v>
      </c>
      <c r="E758" t="s">
        <v>4012</v>
      </c>
      <c r="F758" t="s">
        <v>4040</v>
      </c>
      <c r="G758" s="1">
        <v>46246</v>
      </c>
      <c r="H758" s="1">
        <v>46248</v>
      </c>
      <c r="I758" s="2">
        <v>0.58333333333333337</v>
      </c>
      <c r="J758" s="2">
        <v>0.875</v>
      </c>
      <c r="L758" t="s">
        <v>4022</v>
      </c>
      <c r="M758" s="1"/>
      <c r="O758" t="s">
        <v>4007</v>
      </c>
      <c r="P758" s="1"/>
      <c r="Q758" s="1"/>
      <c r="S758" s="2">
        <f>CONSOLIDADO_2026[[#This Row],[Hora final]]-CONSOLIDADO_2026[[#This Row],[Hora inic]]</f>
        <v>0.29166666666666663</v>
      </c>
    </row>
    <row r="759" spans="1:19" x14ac:dyDescent="0.25">
      <c r="A759" t="s">
        <v>4138</v>
      </c>
      <c r="B759">
        <v>1040755197</v>
      </c>
      <c r="C759" t="s">
        <v>3094</v>
      </c>
      <c r="D759" t="s">
        <v>4027</v>
      </c>
      <c r="E759" t="s">
        <v>4011</v>
      </c>
      <c r="F759" t="s">
        <v>4040</v>
      </c>
      <c r="G759" s="1">
        <v>46246</v>
      </c>
      <c r="H759" s="1">
        <v>46246</v>
      </c>
      <c r="I759" s="2">
        <v>0.58333333333333337</v>
      </c>
      <c r="J759" s="2">
        <v>0.875</v>
      </c>
      <c r="L759" t="s">
        <v>4022</v>
      </c>
      <c r="M759" s="1"/>
      <c r="O759" t="s">
        <v>4007</v>
      </c>
      <c r="P759" s="1"/>
      <c r="Q759" s="1"/>
      <c r="S759" s="2">
        <f>CONSOLIDADO_2026[[#This Row],[Hora final]]-CONSOLIDADO_2026[[#This Row],[Hora inic]]</f>
        <v>0.29166666666666663</v>
      </c>
    </row>
    <row r="760" spans="1:19" x14ac:dyDescent="0.25">
      <c r="A760" t="s">
        <v>4138</v>
      </c>
      <c r="B760">
        <v>1001140238</v>
      </c>
      <c r="C760" t="s">
        <v>18</v>
      </c>
      <c r="D760" t="s">
        <v>82</v>
      </c>
      <c r="E760" t="s">
        <v>4005</v>
      </c>
      <c r="F760" t="s">
        <v>4068</v>
      </c>
      <c r="G760" s="1">
        <v>46246</v>
      </c>
      <c r="H760" s="1">
        <v>46246</v>
      </c>
      <c r="I760" s="2">
        <v>0.58333333333333337</v>
      </c>
      <c r="J760" s="2">
        <v>0.625</v>
      </c>
      <c r="L760" t="s">
        <v>4099</v>
      </c>
      <c r="M760" s="1"/>
      <c r="O760" t="s">
        <v>4007</v>
      </c>
      <c r="P760" s="1"/>
      <c r="Q760" s="1"/>
      <c r="S760" s="2">
        <f>CONSOLIDADO_2026[[#This Row],[Hora final]]-CONSOLIDADO_2026[[#This Row],[Hora inic]]</f>
        <v>4.166666666666663E-2</v>
      </c>
    </row>
    <row r="761" spans="1:19" x14ac:dyDescent="0.25">
      <c r="A761" t="s">
        <v>4141</v>
      </c>
      <c r="B761">
        <v>1098686151</v>
      </c>
      <c r="C761" t="s">
        <v>1826</v>
      </c>
      <c r="D761" t="s">
        <v>15</v>
      </c>
      <c r="E761" t="s">
        <v>4012</v>
      </c>
      <c r="F761" t="s">
        <v>25</v>
      </c>
      <c r="G761" s="1">
        <v>46246</v>
      </c>
      <c r="H761" s="1">
        <v>46248</v>
      </c>
      <c r="I761" s="2">
        <v>0.25</v>
      </c>
      <c r="J761" s="2">
        <v>0.54166666666666663</v>
      </c>
      <c r="L761" t="s">
        <v>4022</v>
      </c>
      <c r="M761" s="1"/>
      <c r="O761" t="s">
        <v>4007</v>
      </c>
      <c r="P761" s="1"/>
      <c r="Q761" s="1"/>
      <c r="S761" s="2">
        <f>CONSOLIDADO_2026[[#This Row],[Hora final]]-CONSOLIDADO_2026[[#This Row],[Hora inic]]</f>
        <v>0.29166666666666663</v>
      </c>
    </row>
    <row r="762" spans="1:19" x14ac:dyDescent="0.25">
      <c r="A762" t="s">
        <v>4141</v>
      </c>
      <c r="B762">
        <v>1094971283</v>
      </c>
      <c r="C762" t="s">
        <v>3338</v>
      </c>
      <c r="D762" t="s">
        <v>326</v>
      </c>
      <c r="E762" t="s">
        <v>4005</v>
      </c>
      <c r="F762" t="s">
        <v>25</v>
      </c>
      <c r="G762" s="1">
        <v>46245</v>
      </c>
      <c r="H762" s="1">
        <v>46247</v>
      </c>
      <c r="I762" s="2">
        <v>0.25</v>
      </c>
      <c r="J762" s="2">
        <v>0.54166666666666663</v>
      </c>
      <c r="L762" t="s">
        <v>261</v>
      </c>
      <c r="M762" s="1"/>
      <c r="O762" t="s">
        <v>4007</v>
      </c>
      <c r="P762" s="1"/>
      <c r="Q762" s="1"/>
      <c r="S762" s="2">
        <f>CONSOLIDADO_2026[[#This Row],[Hora final]]-CONSOLIDADO_2026[[#This Row],[Hora inic]]</f>
        <v>0.29166666666666663</v>
      </c>
    </row>
    <row r="763" spans="1:19" x14ac:dyDescent="0.25">
      <c r="A763" t="s">
        <v>4141</v>
      </c>
      <c r="B763">
        <v>1037644923</v>
      </c>
      <c r="C763" t="s">
        <v>2629</v>
      </c>
      <c r="D763" t="s">
        <v>420</v>
      </c>
      <c r="E763" t="s">
        <v>4010</v>
      </c>
      <c r="F763" t="s">
        <v>4040</v>
      </c>
      <c r="G763" s="1">
        <v>46247</v>
      </c>
      <c r="H763" s="1"/>
      <c r="I763" s="2">
        <v>0.54166666666666663</v>
      </c>
      <c r="J763" s="2">
        <v>0.875</v>
      </c>
      <c r="L763" t="s">
        <v>4022</v>
      </c>
      <c r="M763" s="1"/>
      <c r="O763" t="s">
        <v>4007</v>
      </c>
      <c r="P763" s="1"/>
      <c r="Q763" s="1"/>
      <c r="S763" s="2">
        <f>CONSOLIDADO_2026[[#This Row],[Hora final]]-CONSOLIDADO_2026[[#This Row],[Hora inic]]</f>
        <v>0.33333333333333337</v>
      </c>
    </row>
    <row r="764" spans="1:19" x14ac:dyDescent="0.25">
      <c r="A764" t="s">
        <v>4141</v>
      </c>
      <c r="B764">
        <v>1044393706</v>
      </c>
      <c r="C764" t="s">
        <v>822</v>
      </c>
      <c r="D764" t="s">
        <v>78</v>
      </c>
      <c r="E764" t="s">
        <v>4010</v>
      </c>
      <c r="F764" t="s">
        <v>25</v>
      </c>
      <c r="G764" s="1">
        <v>46245</v>
      </c>
      <c r="H764" s="1">
        <v>46246</v>
      </c>
      <c r="I764" s="2"/>
      <c r="J764" s="2"/>
      <c r="L764" t="s">
        <v>4006</v>
      </c>
      <c r="M764" s="1"/>
      <c r="O764" t="s">
        <v>4007</v>
      </c>
      <c r="P764" s="1"/>
      <c r="Q764" s="1"/>
      <c r="S764" s="2">
        <f>CONSOLIDADO_2026[[#This Row],[Hora final]]-CONSOLIDADO_2026[[#This Row],[Hora inic]]</f>
        <v>0</v>
      </c>
    </row>
    <row r="765" spans="1:19" x14ac:dyDescent="0.25">
      <c r="A765" t="s">
        <v>4141</v>
      </c>
      <c r="B765">
        <v>1037570349</v>
      </c>
      <c r="C765" t="s">
        <v>2770</v>
      </c>
      <c r="D765" t="s">
        <v>78</v>
      </c>
      <c r="E765" t="s">
        <v>4010</v>
      </c>
      <c r="F765" t="s">
        <v>25</v>
      </c>
      <c r="G765" s="1">
        <v>46245</v>
      </c>
      <c r="H765" s="1">
        <v>46246</v>
      </c>
      <c r="I765" s="2"/>
      <c r="J765" s="2"/>
      <c r="L765" t="s">
        <v>4006</v>
      </c>
      <c r="M765" s="1"/>
      <c r="O765" t="s">
        <v>4007</v>
      </c>
      <c r="P765" s="1"/>
      <c r="Q765" s="1"/>
      <c r="S765" s="2">
        <f>CONSOLIDADO_2026[[#This Row],[Hora final]]-CONSOLIDADO_2026[[#This Row],[Hora inic]]</f>
        <v>0</v>
      </c>
    </row>
    <row r="766" spans="1:19" x14ac:dyDescent="0.25">
      <c r="A766" t="s">
        <v>4141</v>
      </c>
      <c r="B766">
        <v>1035876080</v>
      </c>
      <c r="C766" t="s">
        <v>120</v>
      </c>
      <c r="D766" t="s">
        <v>121</v>
      </c>
      <c r="E766" t="s">
        <v>4010</v>
      </c>
      <c r="F766" t="s">
        <v>25</v>
      </c>
      <c r="G766" s="1">
        <v>46246</v>
      </c>
      <c r="H766" s="1">
        <v>46254</v>
      </c>
      <c r="I766" s="2">
        <v>0.25</v>
      </c>
      <c r="J766" s="2">
        <v>0.58333333333333337</v>
      </c>
      <c r="K766" t="s">
        <v>73</v>
      </c>
      <c r="L766" t="s">
        <v>74</v>
      </c>
      <c r="M766" s="1"/>
      <c r="O766" t="s">
        <v>4007</v>
      </c>
      <c r="P766" s="1"/>
      <c r="Q766" s="1"/>
      <c r="S766" s="2">
        <f>CONSOLIDADO_2026[[#This Row],[Hora final]]-CONSOLIDADO_2026[[#This Row],[Hora inic]]</f>
        <v>0.33333333333333337</v>
      </c>
    </row>
    <row r="767" spans="1:19" x14ac:dyDescent="0.25">
      <c r="A767" t="s">
        <v>4141</v>
      </c>
      <c r="B767">
        <v>1085265026</v>
      </c>
      <c r="C767" t="s">
        <v>3413</v>
      </c>
      <c r="D767" t="s">
        <v>64</v>
      </c>
      <c r="E767" t="s">
        <v>4012</v>
      </c>
      <c r="F767" t="s">
        <v>90</v>
      </c>
      <c r="G767" s="1">
        <v>46245</v>
      </c>
      <c r="H767" s="1">
        <v>46249</v>
      </c>
      <c r="I767" s="2">
        <v>0.25</v>
      </c>
      <c r="J767" s="2">
        <v>0.58333333333333337</v>
      </c>
      <c r="L767" t="s">
        <v>261</v>
      </c>
      <c r="M767" s="1"/>
      <c r="O767" t="s">
        <v>4007</v>
      </c>
      <c r="P767" s="1"/>
      <c r="Q767" s="1"/>
      <c r="S767" s="2">
        <f>CONSOLIDADO_2026[[#This Row],[Hora final]]-CONSOLIDADO_2026[[#This Row],[Hora inic]]</f>
        <v>0.33333333333333337</v>
      </c>
    </row>
    <row r="768" spans="1:19" x14ac:dyDescent="0.25">
      <c r="A768" t="s">
        <v>4141</v>
      </c>
      <c r="B768">
        <v>1000416307</v>
      </c>
      <c r="C768" t="s">
        <v>3014</v>
      </c>
      <c r="D768" t="s">
        <v>82</v>
      </c>
      <c r="E768" t="s">
        <v>4005</v>
      </c>
      <c r="F768" t="s">
        <v>25</v>
      </c>
      <c r="G768" s="1">
        <v>46245</v>
      </c>
      <c r="H768" s="1">
        <v>46246</v>
      </c>
      <c r="I768" s="2"/>
      <c r="J768" s="2"/>
      <c r="L768" t="s">
        <v>4006</v>
      </c>
      <c r="M768" s="1"/>
      <c r="O768" t="s">
        <v>4007</v>
      </c>
      <c r="P768" s="1"/>
      <c r="Q768" s="1"/>
      <c r="S768" s="2">
        <f>CONSOLIDADO_2026[[#This Row],[Hora final]]-CONSOLIDADO_2026[[#This Row],[Hora inic]]</f>
        <v>0</v>
      </c>
    </row>
    <row r="769" spans="1:19" x14ac:dyDescent="0.25">
      <c r="A769" t="s">
        <v>4141</v>
      </c>
      <c r="B769">
        <v>1047503032</v>
      </c>
      <c r="C769" t="s">
        <v>2974</v>
      </c>
      <c r="D769" t="s">
        <v>89</v>
      </c>
      <c r="E769" t="s">
        <v>4017</v>
      </c>
      <c r="F769" t="s">
        <v>25</v>
      </c>
      <c r="G769" s="1">
        <v>46245</v>
      </c>
      <c r="H769" s="1">
        <v>46246</v>
      </c>
      <c r="I769" s="2"/>
      <c r="J769" s="2"/>
      <c r="L769" t="s">
        <v>4006</v>
      </c>
      <c r="M769" s="1"/>
      <c r="O769" t="s">
        <v>4007</v>
      </c>
      <c r="P769" s="1"/>
      <c r="Q769" s="1"/>
      <c r="S769" s="2">
        <f>CONSOLIDADO_2026[[#This Row],[Hora final]]-CONSOLIDADO_2026[[#This Row],[Hora inic]]</f>
        <v>0</v>
      </c>
    </row>
    <row r="770" spans="1:19" x14ac:dyDescent="0.25">
      <c r="A770" t="s">
        <v>4141</v>
      </c>
      <c r="B770">
        <v>1007111078</v>
      </c>
      <c r="C770" t="s">
        <v>3631</v>
      </c>
      <c r="D770" t="s">
        <v>4142</v>
      </c>
      <c r="E770" t="s">
        <v>4017</v>
      </c>
      <c r="F770" t="s">
        <v>4053</v>
      </c>
      <c r="G770" s="1">
        <v>46247</v>
      </c>
      <c r="H770" s="1">
        <v>46247</v>
      </c>
      <c r="I770" s="2">
        <v>0.29166666666666669</v>
      </c>
      <c r="J770" s="2">
        <v>0.66666666666666663</v>
      </c>
      <c r="K770" t="s">
        <v>230</v>
      </c>
      <c r="L770" t="s">
        <v>231</v>
      </c>
      <c r="M770" s="1"/>
      <c r="O770" t="s">
        <v>4007</v>
      </c>
      <c r="P770" s="1"/>
      <c r="Q770" s="1"/>
      <c r="S770" s="2">
        <f>CONSOLIDADO_2026[[#This Row],[Hora final]]-CONSOLIDADO_2026[[#This Row],[Hora inic]]</f>
        <v>0.37499999999999994</v>
      </c>
    </row>
    <row r="771" spans="1:19" x14ac:dyDescent="0.25">
      <c r="A771" t="s">
        <v>4141</v>
      </c>
      <c r="B771">
        <v>1020470720</v>
      </c>
      <c r="C771" t="s">
        <v>544</v>
      </c>
      <c r="D771" t="s">
        <v>543</v>
      </c>
      <c r="E771" t="s">
        <v>4010</v>
      </c>
      <c r="F771" t="s">
        <v>25</v>
      </c>
      <c r="G771" s="1">
        <v>46245</v>
      </c>
      <c r="H771" s="1">
        <v>46246</v>
      </c>
      <c r="I771" s="2"/>
      <c r="J771" s="2"/>
      <c r="L771" t="s">
        <v>4006</v>
      </c>
      <c r="M771" s="1"/>
      <c r="O771" t="s">
        <v>4007</v>
      </c>
      <c r="P771" s="1"/>
      <c r="Q771" s="1"/>
      <c r="S771" s="2">
        <f>CONSOLIDADO_2026[[#This Row],[Hora final]]-CONSOLIDADO_2026[[#This Row],[Hora inic]]</f>
        <v>0</v>
      </c>
    </row>
    <row r="772" spans="1:19" x14ac:dyDescent="0.25">
      <c r="A772" t="s">
        <v>4141</v>
      </c>
      <c r="B772">
        <v>1057608489</v>
      </c>
      <c r="C772" t="s">
        <v>3032</v>
      </c>
      <c r="D772" t="s">
        <v>82</v>
      </c>
      <c r="E772" t="s">
        <v>4005</v>
      </c>
      <c r="F772" t="s">
        <v>25</v>
      </c>
      <c r="G772" s="1">
        <v>46245</v>
      </c>
      <c r="H772" s="1">
        <v>46246</v>
      </c>
      <c r="I772" s="2"/>
      <c r="J772" s="2"/>
      <c r="L772" t="s">
        <v>4006</v>
      </c>
      <c r="M772" s="1"/>
      <c r="O772" t="s">
        <v>4007</v>
      </c>
      <c r="P772" s="1"/>
      <c r="Q772" s="1"/>
      <c r="S772" s="2">
        <f>CONSOLIDADO_2026[[#This Row],[Hora final]]-CONSOLIDADO_2026[[#This Row],[Hora inic]]</f>
        <v>0</v>
      </c>
    </row>
    <row r="773" spans="1:19" x14ac:dyDescent="0.25">
      <c r="A773" t="s">
        <v>4141</v>
      </c>
      <c r="B773">
        <v>43271257</v>
      </c>
      <c r="C773" t="s">
        <v>1236</v>
      </c>
      <c r="D773" t="s">
        <v>34</v>
      </c>
      <c r="E773" t="s">
        <v>4011</v>
      </c>
      <c r="F773" t="s">
        <v>25</v>
      </c>
      <c r="G773" s="1">
        <v>46245</v>
      </c>
      <c r="H773" s="1">
        <v>46246</v>
      </c>
      <c r="I773" s="2"/>
      <c r="J773" s="2"/>
      <c r="L773" t="s">
        <v>4006</v>
      </c>
      <c r="M773" s="1"/>
      <c r="O773" t="s">
        <v>4007</v>
      </c>
      <c r="P773" s="1"/>
      <c r="Q773" s="1"/>
      <c r="S773" s="2">
        <f>CONSOLIDADO_2026[[#This Row],[Hora final]]-CONSOLIDADO_2026[[#This Row],[Hora inic]]</f>
        <v>0</v>
      </c>
    </row>
    <row r="774" spans="1:19" x14ac:dyDescent="0.25">
      <c r="A774" t="s">
        <v>4141</v>
      </c>
      <c r="B774">
        <v>1193584838</v>
      </c>
      <c r="C774" t="s">
        <v>2955</v>
      </c>
      <c r="D774" t="s">
        <v>142</v>
      </c>
      <c r="E774" t="s">
        <v>4012</v>
      </c>
      <c r="F774" t="s">
        <v>25</v>
      </c>
      <c r="G774" s="1">
        <v>46245</v>
      </c>
      <c r="H774" s="1">
        <v>46247</v>
      </c>
      <c r="I774" s="2">
        <v>0.25</v>
      </c>
      <c r="J774" s="2">
        <v>0.58333333333333337</v>
      </c>
      <c r="L774" t="s">
        <v>261</v>
      </c>
      <c r="M774" s="1"/>
      <c r="O774" t="s">
        <v>4007</v>
      </c>
      <c r="P774" s="1"/>
      <c r="Q774" s="1"/>
      <c r="S774" s="2">
        <f>CONSOLIDADO_2026[[#This Row],[Hora final]]-CONSOLIDADO_2026[[#This Row],[Hora inic]]</f>
        <v>0.33333333333333337</v>
      </c>
    </row>
    <row r="775" spans="1:19" x14ac:dyDescent="0.25">
      <c r="A775" t="s">
        <v>4141</v>
      </c>
      <c r="B775">
        <v>1140876076</v>
      </c>
      <c r="C775" t="s">
        <v>1263</v>
      </c>
      <c r="D775" t="s">
        <v>34</v>
      </c>
      <c r="E775" t="s">
        <v>4011</v>
      </c>
      <c r="F775" t="s">
        <v>25</v>
      </c>
      <c r="G775" s="1">
        <v>46245</v>
      </c>
      <c r="H775" s="1">
        <v>46246</v>
      </c>
      <c r="I775" s="2"/>
      <c r="J775" s="2"/>
      <c r="L775" t="s">
        <v>4006</v>
      </c>
      <c r="M775" s="1"/>
      <c r="O775" t="s">
        <v>4007</v>
      </c>
      <c r="P775" s="1"/>
      <c r="Q775" s="1"/>
      <c r="S775" s="2">
        <f>CONSOLIDADO_2026[[#This Row],[Hora final]]-CONSOLIDADO_2026[[#This Row],[Hora inic]]</f>
        <v>0</v>
      </c>
    </row>
    <row r="776" spans="1:19" x14ac:dyDescent="0.25">
      <c r="A776" t="s">
        <v>4141</v>
      </c>
      <c r="B776">
        <v>1143360194</v>
      </c>
      <c r="C776" t="s">
        <v>3473</v>
      </c>
      <c r="D776" t="s">
        <v>160</v>
      </c>
      <c r="E776" t="s">
        <v>4011</v>
      </c>
      <c r="F776" t="s">
        <v>25</v>
      </c>
      <c r="G776" s="1">
        <v>46245</v>
      </c>
      <c r="H776" s="1">
        <v>46246</v>
      </c>
      <c r="I776" s="2"/>
      <c r="J776" s="2"/>
      <c r="L776" t="s">
        <v>4006</v>
      </c>
      <c r="M776" s="1"/>
      <c r="O776" t="s">
        <v>4007</v>
      </c>
      <c r="P776" s="1"/>
      <c r="Q776" s="1"/>
      <c r="S776" s="2">
        <f>CONSOLIDADO_2026[[#This Row],[Hora final]]-CONSOLIDADO_2026[[#This Row],[Hora inic]]</f>
        <v>0</v>
      </c>
    </row>
    <row r="777" spans="1:19" x14ac:dyDescent="0.25">
      <c r="A777" t="s">
        <v>4141</v>
      </c>
      <c r="B777">
        <v>1017209928</v>
      </c>
      <c r="C777" t="s">
        <v>1135</v>
      </c>
      <c r="D777" t="s">
        <v>326</v>
      </c>
      <c r="E777" t="s">
        <v>4005</v>
      </c>
      <c r="F777" t="s">
        <v>25</v>
      </c>
      <c r="G777" s="1">
        <v>46245</v>
      </c>
      <c r="H777" s="1">
        <v>46246</v>
      </c>
      <c r="I777" s="2"/>
      <c r="J777" s="2"/>
      <c r="L777" t="s">
        <v>4006</v>
      </c>
      <c r="M777" s="1"/>
      <c r="O777" t="s">
        <v>4007</v>
      </c>
      <c r="P777" s="1"/>
      <c r="Q777" s="1"/>
      <c r="S777" s="2">
        <f>CONSOLIDADO_2026[[#This Row],[Hora final]]-CONSOLIDADO_2026[[#This Row],[Hora inic]]</f>
        <v>0</v>
      </c>
    </row>
    <row r="778" spans="1:19" x14ac:dyDescent="0.25">
      <c r="A778" t="s">
        <v>4141</v>
      </c>
      <c r="B778">
        <v>1077462479</v>
      </c>
      <c r="C778" t="s">
        <v>3992</v>
      </c>
      <c r="D778" t="s">
        <v>142</v>
      </c>
      <c r="E778" t="s">
        <v>4012</v>
      </c>
      <c r="F778" t="s">
        <v>4053</v>
      </c>
      <c r="G778" s="1">
        <v>46245</v>
      </c>
      <c r="H778" s="1">
        <v>46247</v>
      </c>
      <c r="I778" s="2">
        <v>0.5</v>
      </c>
      <c r="J778" s="2">
        <v>0.83333333333333337</v>
      </c>
      <c r="K778" t="s">
        <v>154</v>
      </c>
      <c r="L778" t="s">
        <v>155</v>
      </c>
      <c r="M778" s="1"/>
      <c r="O778" t="s">
        <v>21</v>
      </c>
      <c r="P778" s="1"/>
      <c r="Q778" s="1"/>
      <c r="S778" s="2">
        <f>CONSOLIDADO_2026[[#This Row],[Hora final]]-CONSOLIDADO_2026[[#This Row],[Hora inic]]</f>
        <v>0.33333333333333337</v>
      </c>
    </row>
    <row r="779" spans="1:19" x14ac:dyDescent="0.25">
      <c r="A779" t="s">
        <v>4141</v>
      </c>
      <c r="B779">
        <v>1000408752</v>
      </c>
      <c r="C779" t="s">
        <v>3598</v>
      </c>
      <c r="D779" t="s">
        <v>64</v>
      </c>
      <c r="E779" t="s">
        <v>4012</v>
      </c>
      <c r="F779" t="s">
        <v>25</v>
      </c>
      <c r="G779" s="1">
        <v>46244</v>
      </c>
      <c r="H779" s="1">
        <v>46246</v>
      </c>
      <c r="I779" s="2"/>
      <c r="J779" s="2"/>
      <c r="L779" t="s">
        <v>4006</v>
      </c>
      <c r="M779" s="1"/>
      <c r="O779" t="s">
        <v>4007</v>
      </c>
      <c r="P779" s="1"/>
      <c r="Q779" s="1"/>
      <c r="S779" s="2">
        <f>CONSOLIDADO_2026[[#This Row],[Hora final]]-CONSOLIDADO_2026[[#This Row],[Hora inic]]</f>
        <v>0</v>
      </c>
    </row>
    <row r="780" spans="1:19" x14ac:dyDescent="0.25">
      <c r="A780" t="s">
        <v>4141</v>
      </c>
      <c r="B780">
        <v>1014237413</v>
      </c>
      <c r="C780" t="s">
        <v>756</v>
      </c>
      <c r="D780" t="s">
        <v>420</v>
      </c>
      <c r="E780" t="s">
        <v>4010</v>
      </c>
      <c r="F780" t="s">
        <v>25</v>
      </c>
      <c r="G780" s="1">
        <v>46244</v>
      </c>
      <c r="H780" s="1">
        <v>46246</v>
      </c>
      <c r="I780" s="2"/>
      <c r="J780" s="2"/>
      <c r="L780" t="s">
        <v>4006</v>
      </c>
      <c r="M780" s="1"/>
      <c r="O780" t="s">
        <v>4007</v>
      </c>
      <c r="P780" s="1"/>
      <c r="Q780" s="1"/>
      <c r="S780" s="2">
        <f>CONSOLIDADO_2026[[#This Row],[Hora final]]-CONSOLIDADO_2026[[#This Row],[Hora inic]]</f>
        <v>0</v>
      </c>
    </row>
    <row r="781" spans="1:19" x14ac:dyDescent="0.25">
      <c r="A781" t="s">
        <v>4141</v>
      </c>
      <c r="B781">
        <v>1000921455</v>
      </c>
      <c r="C781" t="s">
        <v>33</v>
      </c>
      <c r="D781" t="s">
        <v>34</v>
      </c>
      <c r="E781" t="s">
        <v>4011</v>
      </c>
      <c r="F781" t="s">
        <v>25</v>
      </c>
      <c r="G781" s="1">
        <v>46242</v>
      </c>
      <c r="H781" s="1">
        <v>46246</v>
      </c>
      <c r="I781" s="2"/>
      <c r="J781" s="2"/>
      <c r="L781" t="s">
        <v>4006</v>
      </c>
      <c r="M781" s="1"/>
      <c r="O781" t="s">
        <v>4007</v>
      </c>
      <c r="P781" s="1"/>
      <c r="Q781" s="1"/>
      <c r="S781" s="2">
        <f>CONSOLIDADO_2026[[#This Row],[Hora final]]-CONSOLIDADO_2026[[#This Row],[Hora inic]]</f>
        <v>0</v>
      </c>
    </row>
    <row r="782" spans="1:19" x14ac:dyDescent="0.25">
      <c r="A782" t="s">
        <v>4141</v>
      </c>
      <c r="B782">
        <v>1143374438</v>
      </c>
      <c r="C782" t="s">
        <v>85</v>
      </c>
      <c r="D782" t="s">
        <v>41</v>
      </c>
      <c r="E782" t="s">
        <v>4011</v>
      </c>
      <c r="F782" t="s">
        <v>25</v>
      </c>
      <c r="G782" s="1">
        <v>46239</v>
      </c>
      <c r="H782" s="1">
        <v>46268</v>
      </c>
      <c r="I782" s="2">
        <v>0.58333333333333337</v>
      </c>
      <c r="J782" s="2">
        <v>0.875</v>
      </c>
      <c r="L782" t="s">
        <v>261</v>
      </c>
      <c r="M782" s="1"/>
      <c r="O782" t="s">
        <v>4007</v>
      </c>
      <c r="P782" s="1"/>
      <c r="Q782" s="1"/>
      <c r="S782" s="2">
        <f>CONSOLIDADO_2026[[#This Row],[Hora final]]-CONSOLIDADO_2026[[#This Row],[Hora inic]]</f>
        <v>0.29166666666666663</v>
      </c>
    </row>
    <row r="783" spans="1:19" x14ac:dyDescent="0.25">
      <c r="A783" t="s">
        <v>4141</v>
      </c>
      <c r="B783">
        <v>1015483595</v>
      </c>
      <c r="C783" t="s">
        <v>243</v>
      </c>
      <c r="D783" t="s">
        <v>34</v>
      </c>
      <c r="E783" t="s">
        <v>4011</v>
      </c>
      <c r="F783" t="s">
        <v>30</v>
      </c>
      <c r="G783" s="1">
        <v>46244</v>
      </c>
      <c r="H783" s="1">
        <v>46265</v>
      </c>
      <c r="I783" s="2">
        <v>0.54166666666666663</v>
      </c>
      <c r="J783" s="2">
        <v>0.875</v>
      </c>
      <c r="K783" t="s">
        <v>178</v>
      </c>
      <c r="L783" t="s">
        <v>179</v>
      </c>
      <c r="M783" s="1"/>
      <c r="O783" t="s">
        <v>21</v>
      </c>
      <c r="P783" s="1"/>
      <c r="Q783" s="1"/>
      <c r="S783" s="2">
        <f>CONSOLIDADO_2026[[#This Row],[Hora final]]-CONSOLIDADO_2026[[#This Row],[Hora inic]]</f>
        <v>0.33333333333333337</v>
      </c>
    </row>
    <row r="784" spans="1:19" x14ac:dyDescent="0.25">
      <c r="A784" t="s">
        <v>4141</v>
      </c>
      <c r="B784">
        <v>1001851670</v>
      </c>
      <c r="C784" t="s">
        <v>14</v>
      </c>
      <c r="D784" t="s">
        <v>15</v>
      </c>
      <c r="E784" t="s">
        <v>4012</v>
      </c>
      <c r="F784" t="s">
        <v>16</v>
      </c>
      <c r="G784" s="1">
        <v>46241</v>
      </c>
      <c r="H784" s="1">
        <v>46366</v>
      </c>
      <c r="I784" s="2">
        <v>0.54166666666666663</v>
      </c>
      <c r="J784" s="2">
        <v>0.875</v>
      </c>
      <c r="K784" t="s">
        <v>247</v>
      </c>
      <c r="L784" t="s">
        <v>248</v>
      </c>
      <c r="M784" s="1"/>
      <c r="O784" t="s">
        <v>21</v>
      </c>
      <c r="P784" s="1"/>
      <c r="Q784" s="1"/>
      <c r="S784" s="2">
        <f>CONSOLIDADO_2026[[#This Row],[Hora final]]-CONSOLIDADO_2026[[#This Row],[Hora inic]]</f>
        <v>0.33333333333333337</v>
      </c>
    </row>
    <row r="785" spans="1:19" x14ac:dyDescent="0.25">
      <c r="A785" t="s">
        <v>4141</v>
      </c>
      <c r="B785">
        <v>1067963513</v>
      </c>
      <c r="C785" t="s">
        <v>112</v>
      </c>
      <c r="D785" t="s">
        <v>29</v>
      </c>
      <c r="E785" t="s">
        <v>4005</v>
      </c>
      <c r="F785" t="s">
        <v>30</v>
      </c>
      <c r="G785" s="1">
        <v>46240</v>
      </c>
      <c r="H785" s="1">
        <v>46265</v>
      </c>
      <c r="I785" s="2">
        <v>0.25</v>
      </c>
      <c r="J785" s="2">
        <v>0.54166666666666663</v>
      </c>
      <c r="L785" t="s">
        <v>4127</v>
      </c>
      <c r="M785" s="1"/>
      <c r="O785" t="s">
        <v>4007</v>
      </c>
      <c r="P785" s="1"/>
      <c r="Q785" s="1"/>
      <c r="S785" s="2">
        <f>CONSOLIDADO_2026[[#This Row],[Hora final]]-CONSOLIDADO_2026[[#This Row],[Hora inic]]</f>
        <v>0.29166666666666663</v>
      </c>
    </row>
    <row r="786" spans="1:19" x14ac:dyDescent="0.25">
      <c r="A786" t="s">
        <v>4141</v>
      </c>
      <c r="B786">
        <v>42141273</v>
      </c>
      <c r="C786" t="s">
        <v>210</v>
      </c>
      <c r="D786" t="s">
        <v>211</v>
      </c>
      <c r="E786" t="s">
        <v>4017</v>
      </c>
      <c r="F786" t="s">
        <v>4029</v>
      </c>
      <c r="G786" s="1">
        <v>46232</v>
      </c>
      <c r="H786" s="1">
        <v>46261</v>
      </c>
      <c r="I786" s="2">
        <v>0.25</v>
      </c>
      <c r="J786" s="2">
        <v>0.5</v>
      </c>
      <c r="K786" t="s">
        <v>134</v>
      </c>
      <c r="L786" t="s">
        <v>135</v>
      </c>
      <c r="M786" s="1"/>
      <c r="O786" t="s">
        <v>4007</v>
      </c>
      <c r="P786" s="1"/>
      <c r="Q786" s="1"/>
      <c r="S786" s="2">
        <f>CONSOLIDADO_2026[[#This Row],[Hora final]]-CONSOLIDADO_2026[[#This Row],[Hora inic]]</f>
        <v>0.25</v>
      </c>
    </row>
    <row r="787" spans="1:19" x14ac:dyDescent="0.25">
      <c r="A787" t="s">
        <v>4141</v>
      </c>
      <c r="B787">
        <v>1010246557</v>
      </c>
      <c r="C787" t="s">
        <v>3428</v>
      </c>
      <c r="D787" t="s">
        <v>326</v>
      </c>
      <c r="E787" t="s">
        <v>4005</v>
      </c>
      <c r="F787" t="s">
        <v>4108</v>
      </c>
      <c r="G787" s="1">
        <v>46247</v>
      </c>
      <c r="H787" s="1">
        <v>46247</v>
      </c>
      <c r="I787" s="2">
        <v>0.25</v>
      </c>
      <c r="J787" s="2">
        <v>0.54166666666666663</v>
      </c>
      <c r="K787" t="s">
        <v>106</v>
      </c>
      <c r="L787" t="s">
        <v>107</v>
      </c>
      <c r="M787" s="1"/>
      <c r="O787" t="s">
        <v>4007</v>
      </c>
      <c r="P787" s="1"/>
      <c r="Q787" s="1"/>
      <c r="S787" s="2">
        <f>CONSOLIDADO_2026[[#This Row],[Hora final]]-CONSOLIDADO_2026[[#This Row],[Hora inic]]</f>
        <v>0.29166666666666663</v>
      </c>
    </row>
    <row r="788" spans="1:19" x14ac:dyDescent="0.25">
      <c r="A788" t="s">
        <v>4141</v>
      </c>
      <c r="B788">
        <v>1001137222</v>
      </c>
      <c r="C788" t="s">
        <v>2860</v>
      </c>
      <c r="D788" t="s">
        <v>4027</v>
      </c>
      <c r="E788" t="s">
        <v>4011</v>
      </c>
      <c r="F788" t="s">
        <v>4108</v>
      </c>
      <c r="G788" s="1">
        <v>46246</v>
      </c>
      <c r="H788" s="1">
        <v>46246</v>
      </c>
      <c r="I788" s="2"/>
      <c r="J788" s="2"/>
      <c r="L788" t="s">
        <v>4006</v>
      </c>
      <c r="M788" s="1"/>
      <c r="O788" t="s">
        <v>4007</v>
      </c>
      <c r="P788" s="1"/>
      <c r="Q788" s="1"/>
      <c r="S788" s="2">
        <f>CONSOLIDADO_2026[[#This Row],[Hora final]]-CONSOLIDADO_2026[[#This Row],[Hora inic]]</f>
        <v>0</v>
      </c>
    </row>
    <row r="789" spans="1:19" x14ac:dyDescent="0.25">
      <c r="A789" t="s">
        <v>4141</v>
      </c>
      <c r="B789">
        <v>1152221372</v>
      </c>
      <c r="C789" t="s">
        <v>2313</v>
      </c>
      <c r="D789" t="s">
        <v>128</v>
      </c>
      <c r="E789" t="s">
        <v>4005</v>
      </c>
      <c r="F789" t="s">
        <v>4037</v>
      </c>
      <c r="G789" s="1">
        <v>46230</v>
      </c>
      <c r="H789" s="1"/>
      <c r="I789" s="2">
        <v>0.54166666666666663</v>
      </c>
      <c r="J789" s="2">
        <v>0.875</v>
      </c>
      <c r="L789" t="s">
        <v>261</v>
      </c>
      <c r="M789" s="1"/>
      <c r="O789" t="s">
        <v>4007</v>
      </c>
      <c r="P789" s="1"/>
      <c r="Q789" s="1"/>
      <c r="S789" s="2">
        <f>CONSOLIDADO_2026[[#This Row],[Hora final]]-CONSOLIDADO_2026[[#This Row],[Hora inic]]</f>
        <v>0.33333333333333337</v>
      </c>
    </row>
    <row r="790" spans="1:19" x14ac:dyDescent="0.25">
      <c r="A790" t="s">
        <v>4141</v>
      </c>
      <c r="B790">
        <v>1094275204</v>
      </c>
      <c r="C790" t="s">
        <v>1823</v>
      </c>
      <c r="D790" t="s">
        <v>211</v>
      </c>
      <c r="E790" t="s">
        <v>4017</v>
      </c>
      <c r="F790" t="s">
        <v>4108</v>
      </c>
      <c r="G790" s="1">
        <v>46246</v>
      </c>
      <c r="H790" s="1">
        <v>46246</v>
      </c>
      <c r="I790" s="2"/>
      <c r="J790" s="2"/>
      <c r="L790" t="s">
        <v>4006</v>
      </c>
      <c r="M790" s="1"/>
      <c r="O790" t="s">
        <v>4007</v>
      </c>
      <c r="P790" s="1"/>
      <c r="Q790" s="1"/>
      <c r="S790" s="2">
        <f>CONSOLIDADO_2026[[#This Row],[Hora final]]-CONSOLIDADO_2026[[#This Row],[Hora inic]]</f>
        <v>0</v>
      </c>
    </row>
    <row r="791" spans="1:19" x14ac:dyDescent="0.25">
      <c r="A791" t="s">
        <v>4141</v>
      </c>
      <c r="B791">
        <v>1004960056</v>
      </c>
      <c r="C791" t="s">
        <v>563</v>
      </c>
      <c r="D791" t="s">
        <v>553</v>
      </c>
      <c r="E791" t="s">
        <v>4010</v>
      </c>
      <c r="F791" t="s">
        <v>4058</v>
      </c>
      <c r="G791" s="1">
        <v>46246</v>
      </c>
      <c r="H791" s="1">
        <v>46247</v>
      </c>
      <c r="I791" s="2">
        <v>0.25</v>
      </c>
      <c r="J791" s="2">
        <v>0.54166666666666663</v>
      </c>
      <c r="K791" t="s">
        <v>162</v>
      </c>
      <c r="L791" t="s">
        <v>163</v>
      </c>
      <c r="M791" s="1"/>
      <c r="O791" t="s">
        <v>4007</v>
      </c>
      <c r="P791" s="1"/>
      <c r="Q791" s="1"/>
      <c r="S791" s="2">
        <f>CONSOLIDADO_2026[[#This Row],[Hora final]]-CONSOLIDADO_2026[[#This Row],[Hora inic]]</f>
        <v>0.29166666666666663</v>
      </c>
    </row>
    <row r="792" spans="1:19" x14ac:dyDescent="0.25">
      <c r="A792" t="s">
        <v>4141</v>
      </c>
      <c r="B792">
        <v>1017264032</v>
      </c>
      <c r="C792" t="s">
        <v>63</v>
      </c>
      <c r="D792" t="s">
        <v>64</v>
      </c>
      <c r="E792" t="s">
        <v>4012</v>
      </c>
      <c r="F792" t="s">
        <v>25</v>
      </c>
      <c r="G792" s="1">
        <v>46229</v>
      </c>
      <c r="H792" s="1">
        <v>46258</v>
      </c>
      <c r="I792" s="2">
        <v>0.58333333333333337</v>
      </c>
      <c r="J792" s="2">
        <v>0.875</v>
      </c>
      <c r="L792" t="s">
        <v>261</v>
      </c>
      <c r="M792" s="1"/>
      <c r="O792" t="s">
        <v>4007</v>
      </c>
      <c r="P792" s="1"/>
      <c r="Q792" s="1"/>
      <c r="S792" s="2">
        <f>CONSOLIDADO_2026[[#This Row],[Hora final]]-CONSOLIDADO_2026[[#This Row],[Hora inic]]</f>
        <v>0.29166666666666663</v>
      </c>
    </row>
    <row r="793" spans="1:19" x14ac:dyDescent="0.25">
      <c r="A793" t="s">
        <v>4141</v>
      </c>
      <c r="B793">
        <v>1000640883</v>
      </c>
      <c r="C793" t="s">
        <v>3227</v>
      </c>
      <c r="D793" t="s">
        <v>64</v>
      </c>
      <c r="E793" t="s">
        <v>4012</v>
      </c>
      <c r="F793" t="s">
        <v>4040</v>
      </c>
      <c r="G793" s="1">
        <v>46247</v>
      </c>
      <c r="H793" s="1"/>
      <c r="I793" s="2">
        <v>0.58333333333333337</v>
      </c>
      <c r="J793" s="2">
        <v>0.875</v>
      </c>
      <c r="L793" t="s">
        <v>4143</v>
      </c>
      <c r="M793" s="1"/>
      <c r="O793" t="s">
        <v>4007</v>
      </c>
      <c r="P793" s="1"/>
      <c r="Q793" s="1"/>
      <c r="S793" s="2">
        <f>CONSOLIDADO_2026[[#This Row],[Hora final]]-CONSOLIDADO_2026[[#This Row],[Hora inic]]</f>
        <v>0.29166666666666663</v>
      </c>
    </row>
    <row r="794" spans="1:19" x14ac:dyDescent="0.25">
      <c r="A794" t="s">
        <v>4141</v>
      </c>
      <c r="B794">
        <v>1071169507</v>
      </c>
      <c r="C794" t="s">
        <v>88</v>
      </c>
      <c r="D794" t="s">
        <v>89</v>
      </c>
      <c r="E794" t="s">
        <v>4017</v>
      </c>
      <c r="F794" t="s">
        <v>90</v>
      </c>
      <c r="G794" s="1">
        <v>46242</v>
      </c>
      <c r="H794" s="1">
        <v>46247</v>
      </c>
      <c r="I794" s="2">
        <v>0.58333333333333337</v>
      </c>
      <c r="J794" s="2">
        <v>0.875</v>
      </c>
      <c r="K794" t="s">
        <v>212</v>
      </c>
      <c r="L794" t="s">
        <v>213</v>
      </c>
      <c r="M794" s="1"/>
      <c r="O794" t="s">
        <v>21</v>
      </c>
      <c r="P794" s="1"/>
      <c r="Q794" s="1"/>
      <c r="S794" s="2">
        <f>CONSOLIDADO_2026[[#This Row],[Hora final]]-CONSOLIDADO_2026[[#This Row],[Hora inic]]</f>
        <v>0.29166666666666663</v>
      </c>
    </row>
    <row r="795" spans="1:19" x14ac:dyDescent="0.25">
      <c r="A795" t="s">
        <v>4141</v>
      </c>
      <c r="B795">
        <v>1036132488</v>
      </c>
      <c r="C795" t="s">
        <v>150</v>
      </c>
      <c r="D795" t="s">
        <v>142</v>
      </c>
      <c r="E795" t="s">
        <v>4012</v>
      </c>
      <c r="F795" t="s">
        <v>25</v>
      </c>
      <c r="G795" s="1">
        <v>46227</v>
      </c>
      <c r="H795" s="1">
        <v>46246</v>
      </c>
      <c r="I795" s="2"/>
      <c r="J795" s="2"/>
      <c r="L795" t="s">
        <v>4006</v>
      </c>
      <c r="M795" s="1"/>
      <c r="O795" t="s">
        <v>4007</v>
      </c>
      <c r="P795" s="1"/>
      <c r="Q795" s="1"/>
      <c r="S795" s="2">
        <f>CONSOLIDADO_2026[[#This Row],[Hora final]]-CONSOLIDADO_2026[[#This Row],[Hora inic]]</f>
        <v>0</v>
      </c>
    </row>
    <row r="796" spans="1:19" x14ac:dyDescent="0.25">
      <c r="A796" t="s">
        <v>4141</v>
      </c>
      <c r="B796">
        <v>1037631989</v>
      </c>
      <c r="C796" t="s">
        <v>40</v>
      </c>
      <c r="D796" t="s">
        <v>41</v>
      </c>
      <c r="E796" t="s">
        <v>4011</v>
      </c>
      <c r="F796" t="s">
        <v>25</v>
      </c>
      <c r="G796" s="1">
        <v>46226</v>
      </c>
      <c r="H796" s="1">
        <v>46255</v>
      </c>
      <c r="I796" s="2">
        <v>0.54166666666666663</v>
      </c>
      <c r="J796" s="2">
        <v>0.875</v>
      </c>
      <c r="L796" t="s">
        <v>261</v>
      </c>
      <c r="M796" s="1"/>
      <c r="O796" t="s">
        <v>4007</v>
      </c>
      <c r="P796" s="1"/>
      <c r="Q796" s="1"/>
      <c r="S796" s="2">
        <f>CONSOLIDADO_2026[[#This Row],[Hora final]]-CONSOLIDADO_2026[[#This Row],[Hora inic]]</f>
        <v>0.33333333333333337</v>
      </c>
    </row>
    <row r="797" spans="1:19" x14ac:dyDescent="0.25">
      <c r="A797" t="s">
        <v>4141</v>
      </c>
      <c r="B797">
        <v>1143414481</v>
      </c>
      <c r="C797" t="s">
        <v>2395</v>
      </c>
      <c r="D797" t="s">
        <v>41</v>
      </c>
      <c r="E797" t="s">
        <v>4011</v>
      </c>
      <c r="F797" t="s">
        <v>4091</v>
      </c>
      <c r="G797" s="1">
        <v>46247</v>
      </c>
      <c r="H797" s="1">
        <v>46252</v>
      </c>
      <c r="I797" s="2">
        <v>0.54166666666666663</v>
      </c>
      <c r="J797" s="2">
        <v>0.875</v>
      </c>
      <c r="K797" t="s">
        <v>17</v>
      </c>
      <c r="L797" t="s">
        <v>18</v>
      </c>
      <c r="M797" s="1"/>
      <c r="O797" t="s">
        <v>4007</v>
      </c>
      <c r="P797" s="1"/>
      <c r="Q797" s="1"/>
      <c r="S797" s="2">
        <f>CONSOLIDADO_2026[[#This Row],[Hora final]]-CONSOLIDADO_2026[[#This Row],[Hora inic]]</f>
        <v>0.33333333333333337</v>
      </c>
    </row>
    <row r="798" spans="1:19" x14ac:dyDescent="0.25">
      <c r="A798" t="s">
        <v>4141</v>
      </c>
      <c r="B798">
        <v>1043006106</v>
      </c>
      <c r="C798" t="s">
        <v>194</v>
      </c>
      <c r="D798" t="s">
        <v>160</v>
      </c>
      <c r="E798" t="s">
        <v>4011</v>
      </c>
      <c r="F798" t="s">
        <v>25</v>
      </c>
      <c r="G798" s="1">
        <v>46219</v>
      </c>
      <c r="H798" s="1">
        <v>46248</v>
      </c>
      <c r="I798" s="2">
        <v>0.58333333333333337</v>
      </c>
      <c r="J798" s="2">
        <v>0.875</v>
      </c>
      <c r="K798" t="s">
        <v>188</v>
      </c>
      <c r="L798" t="s">
        <v>189</v>
      </c>
      <c r="M798" s="1"/>
      <c r="O798" t="s">
        <v>21</v>
      </c>
      <c r="P798" s="1"/>
      <c r="Q798" s="1"/>
      <c r="S798" s="2">
        <f>CONSOLIDADO_2026[[#This Row],[Hora final]]-CONSOLIDADO_2026[[#This Row],[Hora inic]]</f>
        <v>0.29166666666666663</v>
      </c>
    </row>
    <row r="799" spans="1:19" x14ac:dyDescent="0.25">
      <c r="A799" t="s">
        <v>4141</v>
      </c>
      <c r="B799">
        <v>1037638426</v>
      </c>
      <c r="C799" t="s">
        <v>44</v>
      </c>
      <c r="D799" t="s">
        <v>41</v>
      </c>
      <c r="E799" t="s">
        <v>4011</v>
      </c>
      <c r="F799" t="s">
        <v>30</v>
      </c>
      <c r="G799" s="1">
        <v>46230</v>
      </c>
      <c r="H799" s="1">
        <v>46262</v>
      </c>
      <c r="I799" s="2">
        <v>0.25</v>
      </c>
      <c r="J799" s="2">
        <v>0.54166666666666663</v>
      </c>
      <c r="K799" t="s">
        <v>240</v>
      </c>
      <c r="L799" t="s">
        <v>241</v>
      </c>
      <c r="M799" s="1"/>
      <c r="O799" t="s">
        <v>21</v>
      </c>
      <c r="P799" s="1"/>
      <c r="Q799" s="1"/>
      <c r="S799" s="2">
        <f>CONSOLIDADO_2026[[#This Row],[Hora final]]-CONSOLIDADO_2026[[#This Row],[Hora inic]]</f>
        <v>0.29166666666666663</v>
      </c>
    </row>
    <row r="800" spans="1:19" x14ac:dyDescent="0.25">
      <c r="A800" t="s">
        <v>4141</v>
      </c>
      <c r="B800">
        <v>1121506548</v>
      </c>
      <c r="C800" t="s">
        <v>50</v>
      </c>
      <c r="D800" t="s">
        <v>51</v>
      </c>
      <c r="E800" t="s">
        <v>4011</v>
      </c>
      <c r="F800" t="s">
        <v>16</v>
      </c>
      <c r="G800" s="1">
        <v>46217</v>
      </c>
      <c r="H800" s="1">
        <v>46342</v>
      </c>
      <c r="I800" s="2">
        <v>0.58333333333333337</v>
      </c>
      <c r="J800" s="2">
        <v>0.875</v>
      </c>
      <c r="L800" t="s">
        <v>261</v>
      </c>
      <c r="M800" s="1"/>
      <c r="O800" t="s">
        <v>4007</v>
      </c>
      <c r="P800" s="1"/>
      <c r="Q800" s="1"/>
      <c r="S800" s="2">
        <f>CONSOLIDADO_2026[[#This Row],[Hora final]]-CONSOLIDADO_2026[[#This Row],[Hora inic]]</f>
        <v>0.29166666666666663</v>
      </c>
    </row>
    <row r="801" spans="1:19" x14ac:dyDescent="0.25">
      <c r="A801" t="s">
        <v>4141</v>
      </c>
      <c r="B801">
        <v>1037630071</v>
      </c>
      <c r="C801" t="s">
        <v>3544</v>
      </c>
      <c r="D801" t="s">
        <v>97</v>
      </c>
      <c r="E801" t="s">
        <v>4005</v>
      </c>
      <c r="F801" t="s">
        <v>4024</v>
      </c>
      <c r="G801" s="1">
        <v>46247</v>
      </c>
      <c r="H801" s="1">
        <v>46265</v>
      </c>
      <c r="I801" s="2">
        <v>0.25</v>
      </c>
      <c r="J801" s="2">
        <v>0.58333333333333337</v>
      </c>
      <c r="K801" t="s">
        <v>147</v>
      </c>
      <c r="L801" t="s">
        <v>148</v>
      </c>
      <c r="M801" s="1"/>
      <c r="O801" t="s">
        <v>4007</v>
      </c>
      <c r="P801" s="1"/>
      <c r="Q801" s="1"/>
      <c r="S801" s="2">
        <f>CONSOLIDADO_2026[[#This Row],[Hora final]]-CONSOLIDADO_2026[[#This Row],[Hora inic]]</f>
        <v>0.33333333333333337</v>
      </c>
    </row>
    <row r="802" spans="1:19" x14ac:dyDescent="0.25">
      <c r="A802" t="s">
        <v>4141</v>
      </c>
      <c r="B802">
        <v>1143460426</v>
      </c>
      <c r="C802" t="s">
        <v>4034</v>
      </c>
      <c r="D802" t="s">
        <v>160</v>
      </c>
      <c r="E802" t="s">
        <v>4011</v>
      </c>
      <c r="F802" t="s">
        <v>4015</v>
      </c>
      <c r="G802" s="1">
        <v>46195</v>
      </c>
      <c r="H802" s="1">
        <v>46198</v>
      </c>
      <c r="I802" s="2">
        <v>0.58333333333333337</v>
      </c>
      <c r="J802" s="2">
        <v>0.875</v>
      </c>
      <c r="K802" t="s">
        <v>191</v>
      </c>
      <c r="L802" t="s">
        <v>192</v>
      </c>
      <c r="M802" s="1"/>
      <c r="O802" t="s">
        <v>21</v>
      </c>
      <c r="P802" s="1"/>
      <c r="Q802" s="1"/>
      <c r="S802" s="2">
        <f>CONSOLIDADO_2026[[#This Row],[Hora final]]-CONSOLIDADO_2026[[#This Row],[Hora inic]]</f>
        <v>0.29166666666666663</v>
      </c>
    </row>
    <row r="803" spans="1:19" x14ac:dyDescent="0.25">
      <c r="A803" t="s">
        <v>4141</v>
      </c>
      <c r="B803">
        <v>1001897056</v>
      </c>
      <c r="C803" t="s">
        <v>3660</v>
      </c>
      <c r="D803" t="s">
        <v>128</v>
      </c>
      <c r="E803" t="s">
        <v>4005</v>
      </c>
      <c r="F803" t="s">
        <v>25</v>
      </c>
      <c r="G803" s="1">
        <v>46245</v>
      </c>
      <c r="H803" s="1">
        <v>46249</v>
      </c>
      <c r="I803" s="2">
        <v>0.54166666666666663</v>
      </c>
      <c r="J803" s="2">
        <v>0.875</v>
      </c>
      <c r="L803" t="s">
        <v>261</v>
      </c>
      <c r="M803" s="1"/>
      <c r="O803" t="s">
        <v>4007</v>
      </c>
      <c r="P803" s="1"/>
      <c r="Q803" s="1"/>
      <c r="S803" s="2">
        <f>CONSOLIDADO_2026[[#This Row],[Hora final]]-CONSOLIDADO_2026[[#This Row],[Hora inic]]</f>
        <v>0.33333333333333337</v>
      </c>
    </row>
    <row r="804" spans="1:19" x14ac:dyDescent="0.25">
      <c r="A804" t="s">
        <v>4141</v>
      </c>
      <c r="B804">
        <v>1098777544</v>
      </c>
      <c r="C804" t="s">
        <v>81</v>
      </c>
      <c r="D804" t="s">
        <v>82</v>
      </c>
      <c r="E804" t="s">
        <v>4005</v>
      </c>
      <c r="F804" t="s">
        <v>25</v>
      </c>
      <c r="G804" s="1">
        <v>46217</v>
      </c>
      <c r="H804" s="1">
        <v>46246</v>
      </c>
      <c r="I804" s="2"/>
      <c r="J804" s="2"/>
      <c r="L804" t="s">
        <v>4006</v>
      </c>
      <c r="M804" s="1"/>
      <c r="O804" t="s">
        <v>4007</v>
      </c>
      <c r="P804" s="1"/>
      <c r="Q804" s="1"/>
      <c r="S804" s="2">
        <f>CONSOLIDADO_2026[[#This Row],[Hora final]]-CONSOLIDADO_2026[[#This Row],[Hora inic]]</f>
        <v>0</v>
      </c>
    </row>
    <row r="805" spans="1:19" x14ac:dyDescent="0.25">
      <c r="A805" t="s">
        <v>4141</v>
      </c>
      <c r="B805">
        <v>1152462704</v>
      </c>
      <c r="C805" t="s">
        <v>663</v>
      </c>
      <c r="D805" t="s">
        <v>82</v>
      </c>
      <c r="E805" t="s">
        <v>4005</v>
      </c>
      <c r="F805" t="s">
        <v>4040</v>
      </c>
      <c r="G805" s="1">
        <v>46246</v>
      </c>
      <c r="H805" s="1"/>
      <c r="I805" s="2"/>
      <c r="J805" s="2"/>
      <c r="L805" t="s">
        <v>4022</v>
      </c>
      <c r="M805" s="1"/>
      <c r="O805" t="s">
        <v>4007</v>
      </c>
      <c r="P805" s="1"/>
      <c r="Q805" s="1"/>
      <c r="S805" s="2">
        <f>CONSOLIDADO_2026[[#This Row],[Hora final]]-CONSOLIDADO_2026[[#This Row],[Hora inic]]</f>
        <v>0</v>
      </c>
    </row>
    <row r="806" spans="1:19" x14ac:dyDescent="0.25">
      <c r="A806" t="s">
        <v>4141</v>
      </c>
      <c r="B806">
        <v>1082926383</v>
      </c>
      <c r="C806" t="s">
        <v>582</v>
      </c>
      <c r="D806" t="s">
        <v>82</v>
      </c>
      <c r="E806" t="s">
        <v>4005</v>
      </c>
      <c r="F806" t="s">
        <v>25</v>
      </c>
      <c r="G806" s="1">
        <v>46246</v>
      </c>
      <c r="H806" s="1">
        <v>46248</v>
      </c>
      <c r="I806" s="2">
        <v>0.25</v>
      </c>
      <c r="J806" s="2">
        <v>0.58333333333333337</v>
      </c>
      <c r="L806" t="s">
        <v>261</v>
      </c>
      <c r="M806" s="1"/>
      <c r="O806" t="s">
        <v>4007</v>
      </c>
      <c r="P806" s="1"/>
      <c r="Q806" s="1"/>
      <c r="S806" s="2">
        <f>CONSOLIDADO_2026[[#This Row],[Hora final]]-CONSOLIDADO_2026[[#This Row],[Hora inic]]</f>
        <v>0.33333333333333337</v>
      </c>
    </row>
    <row r="807" spans="1:19" x14ac:dyDescent="0.25">
      <c r="A807" t="s">
        <v>4141</v>
      </c>
      <c r="B807">
        <v>1000662062</v>
      </c>
      <c r="C807" t="s">
        <v>260</v>
      </c>
      <c r="D807" t="s">
        <v>64</v>
      </c>
      <c r="E807" t="s">
        <v>4012</v>
      </c>
      <c r="F807" t="s">
        <v>25</v>
      </c>
      <c r="G807" s="1">
        <v>46245</v>
      </c>
      <c r="H807" s="1">
        <v>46249</v>
      </c>
      <c r="I807" s="2">
        <v>0.25</v>
      </c>
      <c r="J807" s="2">
        <v>0.58333333333333337</v>
      </c>
      <c r="L807" t="s">
        <v>261</v>
      </c>
      <c r="M807" s="1"/>
      <c r="O807" t="s">
        <v>4007</v>
      </c>
      <c r="P807" s="1"/>
      <c r="Q807" s="1"/>
      <c r="S807" s="2">
        <f>CONSOLIDADO_2026[[#This Row],[Hora final]]-CONSOLIDADO_2026[[#This Row],[Hora inic]]</f>
        <v>0.33333333333333337</v>
      </c>
    </row>
    <row r="808" spans="1:19" x14ac:dyDescent="0.25">
      <c r="A808" t="s">
        <v>4141</v>
      </c>
      <c r="B808">
        <v>43558465</v>
      </c>
      <c r="C808" t="s">
        <v>103</v>
      </c>
      <c r="D808" t="s">
        <v>64</v>
      </c>
      <c r="E808" t="s">
        <v>4012</v>
      </c>
      <c r="F808" t="s">
        <v>25</v>
      </c>
      <c r="G808" s="1">
        <v>46226</v>
      </c>
      <c r="H808" s="1">
        <v>46246</v>
      </c>
      <c r="I808" s="2"/>
      <c r="J808" s="2"/>
      <c r="L808" t="s">
        <v>4006</v>
      </c>
      <c r="M808" s="1"/>
      <c r="O808" t="s">
        <v>4007</v>
      </c>
      <c r="P808" s="1"/>
      <c r="Q808" s="1"/>
      <c r="S808" s="2">
        <f>CONSOLIDADO_2026[[#This Row],[Hora final]]-CONSOLIDADO_2026[[#This Row],[Hora inic]]</f>
        <v>0</v>
      </c>
    </row>
    <row r="809" spans="1:19" x14ac:dyDescent="0.25">
      <c r="A809" t="s">
        <v>4141</v>
      </c>
      <c r="B809">
        <v>1082896324</v>
      </c>
      <c r="C809" t="s">
        <v>77</v>
      </c>
      <c r="D809" t="s">
        <v>78</v>
      </c>
      <c r="E809" t="s">
        <v>4010</v>
      </c>
      <c r="F809" t="s">
        <v>25</v>
      </c>
      <c r="G809" s="1">
        <v>46242</v>
      </c>
      <c r="H809" s="1">
        <v>46272</v>
      </c>
      <c r="I809" s="2">
        <v>0.58333333333333337</v>
      </c>
      <c r="J809" s="2">
        <v>0.875</v>
      </c>
      <c r="K809" t="s">
        <v>171</v>
      </c>
      <c r="L809" t="s">
        <v>172</v>
      </c>
      <c r="M809" s="1"/>
      <c r="O809" t="s">
        <v>21</v>
      </c>
      <c r="P809" s="1"/>
      <c r="Q809" s="1"/>
      <c r="S809" s="2">
        <f>CONSOLIDADO_2026[[#This Row],[Hora final]]-CONSOLIDADO_2026[[#This Row],[Hora inic]]</f>
        <v>0.29166666666666663</v>
      </c>
    </row>
    <row r="810" spans="1:19" x14ac:dyDescent="0.25">
      <c r="A810" t="s">
        <v>4141</v>
      </c>
      <c r="B810">
        <v>1143267842</v>
      </c>
      <c r="C810" t="s">
        <v>1444</v>
      </c>
      <c r="D810" t="s">
        <v>78</v>
      </c>
      <c r="E810" t="s">
        <v>4010</v>
      </c>
      <c r="F810" t="s">
        <v>25</v>
      </c>
      <c r="G810" s="1">
        <v>46246</v>
      </c>
      <c r="H810" s="1">
        <v>46248</v>
      </c>
      <c r="I810" s="2">
        <v>0.54166666666666663</v>
      </c>
      <c r="J810" s="2">
        <v>0.875</v>
      </c>
      <c r="L810" t="s">
        <v>4022</v>
      </c>
      <c r="M810" s="1"/>
      <c r="O810" t="s">
        <v>4007</v>
      </c>
      <c r="P810" s="1"/>
      <c r="Q810" s="1"/>
      <c r="S810" s="2">
        <f>CONSOLIDADO_2026[[#This Row],[Hora final]]-CONSOLIDADO_2026[[#This Row],[Hora inic]]</f>
        <v>0.33333333333333337</v>
      </c>
    </row>
    <row r="811" spans="1:19" x14ac:dyDescent="0.25">
      <c r="A811" t="s">
        <v>4141</v>
      </c>
      <c r="B811">
        <v>1037671907</v>
      </c>
      <c r="C811" t="s">
        <v>4136</v>
      </c>
      <c r="D811" t="s">
        <v>57</v>
      </c>
      <c r="E811" t="s">
        <v>4010</v>
      </c>
      <c r="F811" t="s">
        <v>4015</v>
      </c>
      <c r="G811" s="1">
        <v>46245</v>
      </c>
      <c r="H811" s="1">
        <v>46247</v>
      </c>
      <c r="I811" s="2">
        <v>0.25</v>
      </c>
      <c r="J811" s="2">
        <v>0.54166666666666663</v>
      </c>
      <c r="L811" t="s">
        <v>261</v>
      </c>
      <c r="M811" s="1"/>
      <c r="O811" t="s">
        <v>4007</v>
      </c>
      <c r="P811" s="1"/>
      <c r="Q811" s="1"/>
      <c r="S811" s="2">
        <f>CONSOLIDADO_2026[[#This Row],[Hora final]]-CONSOLIDADO_2026[[#This Row],[Hora inic]]</f>
        <v>0.29166666666666663</v>
      </c>
    </row>
    <row r="812" spans="1:19" x14ac:dyDescent="0.25">
      <c r="A812" t="s">
        <v>4141</v>
      </c>
      <c r="B812">
        <v>1045718883</v>
      </c>
      <c r="C812" t="s">
        <v>47</v>
      </c>
      <c r="D812" t="s">
        <v>34</v>
      </c>
      <c r="E812" t="s">
        <v>4011</v>
      </c>
      <c r="F812" t="s">
        <v>16</v>
      </c>
      <c r="G812" s="1">
        <v>46245</v>
      </c>
      <c r="H812" s="1">
        <v>46340</v>
      </c>
      <c r="I812" s="2">
        <v>0.25</v>
      </c>
      <c r="J812" s="2">
        <v>0.54166666666666663</v>
      </c>
      <c r="K812" t="s">
        <v>35</v>
      </c>
      <c r="L812" t="s">
        <v>36</v>
      </c>
      <c r="M812" s="1"/>
      <c r="O812" t="s">
        <v>21</v>
      </c>
      <c r="P812" s="1"/>
      <c r="Q812" s="1"/>
      <c r="S812" s="2">
        <f>CONSOLIDADO_2026[[#This Row],[Hora final]]-CONSOLIDADO_2026[[#This Row],[Hora inic]]</f>
        <v>0.29166666666666663</v>
      </c>
    </row>
    <row r="813" spans="1:19" x14ac:dyDescent="0.25">
      <c r="A813" t="s">
        <v>4141</v>
      </c>
      <c r="B813">
        <v>1102808787</v>
      </c>
      <c r="C813" t="s">
        <v>265</v>
      </c>
      <c r="D813" t="s">
        <v>51</v>
      </c>
      <c r="E813" t="s">
        <v>4011</v>
      </c>
      <c r="F813" t="s">
        <v>25</v>
      </c>
      <c r="G813" s="1">
        <v>46237</v>
      </c>
      <c r="H813" s="1">
        <v>46256</v>
      </c>
      <c r="I813" s="2">
        <v>0.54166666666666663</v>
      </c>
      <c r="J813" s="2">
        <v>0.875</v>
      </c>
      <c r="L813" t="s">
        <v>261</v>
      </c>
      <c r="M813" s="1"/>
      <c r="O813" t="s">
        <v>4007</v>
      </c>
      <c r="P813" s="1"/>
      <c r="Q813" s="1"/>
      <c r="S813" s="2">
        <f>CONSOLIDADO_2026[[#This Row],[Hora final]]-CONSOLIDADO_2026[[#This Row],[Hora inic]]</f>
        <v>0.33333333333333337</v>
      </c>
    </row>
    <row r="814" spans="1:19" x14ac:dyDescent="0.25">
      <c r="A814" t="s">
        <v>4141</v>
      </c>
      <c r="B814">
        <v>59310511</v>
      </c>
      <c r="C814" t="s">
        <v>1260</v>
      </c>
      <c r="D814" t="s">
        <v>160</v>
      </c>
      <c r="E814" t="s">
        <v>4011</v>
      </c>
      <c r="F814" t="s">
        <v>25</v>
      </c>
      <c r="G814" s="1">
        <v>46246</v>
      </c>
      <c r="H814" s="1">
        <v>46246</v>
      </c>
      <c r="I814" s="2"/>
      <c r="J814" s="2"/>
      <c r="L814" t="s">
        <v>4006</v>
      </c>
      <c r="M814" s="1"/>
      <c r="O814" t="s">
        <v>4007</v>
      </c>
      <c r="P814" s="1"/>
      <c r="Q814" s="1"/>
      <c r="S814" s="2">
        <f>CONSOLIDADO_2026[[#This Row],[Hora final]]-CONSOLIDADO_2026[[#This Row],[Hora inic]]</f>
        <v>0</v>
      </c>
    </row>
    <row r="815" spans="1:19" x14ac:dyDescent="0.25">
      <c r="A815" t="s">
        <v>4141</v>
      </c>
      <c r="B815">
        <v>1005424850</v>
      </c>
      <c r="C815" t="s">
        <v>56</v>
      </c>
      <c r="D815" t="s">
        <v>57</v>
      </c>
      <c r="E815" t="s">
        <v>4010</v>
      </c>
      <c r="F815" t="s">
        <v>4024</v>
      </c>
      <c r="G815" s="1">
        <v>46247</v>
      </c>
      <c r="H815" s="1">
        <v>46262</v>
      </c>
      <c r="I815" s="2">
        <v>0.5</v>
      </c>
      <c r="J815" s="2">
        <v>0.83333333333333337</v>
      </c>
      <c r="K815" t="s">
        <v>244</v>
      </c>
      <c r="L815" t="s">
        <v>245</v>
      </c>
      <c r="M815" s="1"/>
      <c r="O815" t="s">
        <v>4007</v>
      </c>
      <c r="P815" s="1"/>
      <c r="Q815" s="1"/>
      <c r="S815" s="2">
        <f>CONSOLIDADO_2026[[#This Row],[Hora final]]-CONSOLIDADO_2026[[#This Row],[Hora inic]]</f>
        <v>0.33333333333333337</v>
      </c>
    </row>
    <row r="816" spans="1:19" x14ac:dyDescent="0.25">
      <c r="A816" t="s">
        <v>4141</v>
      </c>
      <c r="B816">
        <v>1036132488</v>
      </c>
      <c r="C816" t="s">
        <v>150</v>
      </c>
      <c r="D816" t="s">
        <v>142</v>
      </c>
      <c r="E816" t="s">
        <v>4012</v>
      </c>
      <c r="F816" t="s">
        <v>4040</v>
      </c>
      <c r="G816" s="1">
        <v>46247</v>
      </c>
      <c r="H816" s="1">
        <v>46248</v>
      </c>
      <c r="I816" s="2">
        <v>0.25</v>
      </c>
      <c r="J816" s="2">
        <v>0.58333333333333337</v>
      </c>
      <c r="L816" t="s">
        <v>4022</v>
      </c>
      <c r="M816" s="1"/>
      <c r="O816" t="s">
        <v>4007</v>
      </c>
      <c r="P816" s="1"/>
      <c r="Q816" s="1"/>
      <c r="S816" s="2">
        <f>CONSOLIDADO_2026[[#This Row],[Hora final]]-CONSOLIDADO_2026[[#This Row],[Hora inic]]</f>
        <v>0.33333333333333337</v>
      </c>
    </row>
    <row r="817" spans="1:19" x14ac:dyDescent="0.25">
      <c r="A817" t="s">
        <v>4141</v>
      </c>
      <c r="B817">
        <v>1143373273</v>
      </c>
      <c r="C817" t="s">
        <v>1984</v>
      </c>
      <c r="D817" t="s">
        <v>211</v>
      </c>
      <c r="E817" t="s">
        <v>4017</v>
      </c>
      <c r="F817" t="s">
        <v>25</v>
      </c>
      <c r="G817" s="1">
        <v>46245</v>
      </c>
      <c r="H817" s="1">
        <v>46247</v>
      </c>
      <c r="I817" s="2">
        <v>0.25</v>
      </c>
      <c r="J817" s="2">
        <v>0.58333333333333337</v>
      </c>
      <c r="K817" t="s">
        <v>3621</v>
      </c>
      <c r="L817" t="s">
        <v>3622</v>
      </c>
      <c r="M817" s="1"/>
      <c r="O817" t="s">
        <v>21</v>
      </c>
      <c r="P817" s="1"/>
      <c r="Q817" s="1"/>
      <c r="S817" s="2">
        <f>CONSOLIDADO_2026[[#This Row],[Hora final]]-CONSOLIDADO_2026[[#This Row],[Hora inic]]</f>
        <v>0.33333333333333337</v>
      </c>
    </row>
    <row r="818" spans="1:19" x14ac:dyDescent="0.25">
      <c r="A818" t="s">
        <v>4141</v>
      </c>
      <c r="B818">
        <v>1036965348</v>
      </c>
      <c r="C818" t="s">
        <v>186</v>
      </c>
      <c r="D818" t="s">
        <v>4046</v>
      </c>
      <c r="E818" t="s">
        <v>4011</v>
      </c>
      <c r="F818" t="s">
        <v>4046</v>
      </c>
      <c r="G818" s="1">
        <v>46247</v>
      </c>
      <c r="H818" s="1">
        <v>46247</v>
      </c>
      <c r="I818" s="2">
        <v>0.25</v>
      </c>
      <c r="J818" s="2">
        <v>0.58333333333333337</v>
      </c>
      <c r="L818" t="s">
        <v>4099</v>
      </c>
      <c r="M818" s="1"/>
      <c r="O818" t="s">
        <v>4007</v>
      </c>
      <c r="P818" s="1"/>
      <c r="Q818" s="1"/>
      <c r="S818" s="2">
        <f>CONSOLIDADO_2026[[#This Row],[Hora final]]-CONSOLIDADO_2026[[#This Row],[Hora inic]]</f>
        <v>0.33333333333333337</v>
      </c>
    </row>
    <row r="819" spans="1:19" x14ac:dyDescent="0.25">
      <c r="A819" t="s">
        <v>4141</v>
      </c>
      <c r="B819">
        <v>1000532653</v>
      </c>
      <c r="C819" t="s">
        <v>1117</v>
      </c>
      <c r="D819" t="s">
        <v>82</v>
      </c>
      <c r="E819" t="s">
        <v>4005</v>
      </c>
      <c r="F819" t="s">
        <v>25</v>
      </c>
      <c r="G819" s="1">
        <v>46246</v>
      </c>
      <c r="H819" s="1">
        <v>46246</v>
      </c>
      <c r="I819" s="2"/>
      <c r="J819" s="2"/>
      <c r="L819" t="s">
        <v>4006</v>
      </c>
      <c r="M819" s="1"/>
      <c r="O819" t="s">
        <v>4007</v>
      </c>
      <c r="P819" s="1"/>
      <c r="Q819" s="1"/>
      <c r="S819" s="2">
        <f>CONSOLIDADO_2026[[#This Row],[Hora final]]-CONSOLIDADO_2026[[#This Row],[Hora inic]]</f>
        <v>0</v>
      </c>
    </row>
    <row r="820" spans="1:19" x14ac:dyDescent="0.25">
      <c r="A820" t="s">
        <v>4141</v>
      </c>
      <c r="B820">
        <v>43986125</v>
      </c>
      <c r="C820" t="s">
        <v>1233</v>
      </c>
      <c r="D820" t="s">
        <v>64</v>
      </c>
      <c r="E820" t="s">
        <v>4012</v>
      </c>
      <c r="F820" t="s">
        <v>25</v>
      </c>
      <c r="G820" s="1">
        <v>46246</v>
      </c>
      <c r="H820" s="1">
        <v>46248</v>
      </c>
      <c r="I820" s="2">
        <v>0.25</v>
      </c>
      <c r="J820" s="2">
        <v>0.58333333333333337</v>
      </c>
      <c r="L820" t="s">
        <v>261</v>
      </c>
      <c r="M820" s="1"/>
      <c r="O820" t="s">
        <v>4007</v>
      </c>
      <c r="P820" s="1"/>
      <c r="Q820" s="1"/>
      <c r="S820" s="2">
        <f>CONSOLIDADO_2026[[#This Row],[Hora final]]-CONSOLIDADO_2026[[#This Row],[Hora inic]]</f>
        <v>0.33333333333333337</v>
      </c>
    </row>
    <row r="821" spans="1:19" x14ac:dyDescent="0.25">
      <c r="A821" t="s">
        <v>4141</v>
      </c>
      <c r="B821">
        <v>1040755197</v>
      </c>
      <c r="C821" t="s">
        <v>3094</v>
      </c>
      <c r="D821" t="s">
        <v>4027</v>
      </c>
      <c r="E821" t="s">
        <v>4011</v>
      </c>
      <c r="F821" t="s">
        <v>25</v>
      </c>
      <c r="G821" s="1">
        <v>46246</v>
      </c>
      <c r="H821" s="1">
        <v>46246</v>
      </c>
      <c r="I821" s="2">
        <v>0.25</v>
      </c>
      <c r="J821" s="2">
        <v>0.5</v>
      </c>
      <c r="L821" t="s">
        <v>261</v>
      </c>
      <c r="M821" s="1"/>
      <c r="O821" t="s">
        <v>4007</v>
      </c>
      <c r="P821" s="1"/>
      <c r="Q821" s="1"/>
      <c r="S821" s="2">
        <f>CONSOLIDADO_2026[[#This Row],[Hora final]]-CONSOLIDADO_2026[[#This Row],[Hora inic]]</f>
        <v>0.25</v>
      </c>
    </row>
    <row r="822" spans="1:19" x14ac:dyDescent="0.25">
      <c r="A822" t="s">
        <v>4141</v>
      </c>
      <c r="B822">
        <v>1152462501</v>
      </c>
      <c r="C822" t="s">
        <v>3008</v>
      </c>
      <c r="D822" t="s">
        <v>41</v>
      </c>
      <c r="E822" t="s">
        <v>4011</v>
      </c>
      <c r="F822" t="s">
        <v>4040</v>
      </c>
      <c r="G822" s="1">
        <v>46247</v>
      </c>
      <c r="H822" s="1"/>
      <c r="I822" s="2">
        <v>0.58333333333333337</v>
      </c>
      <c r="J822" s="2">
        <v>0.875</v>
      </c>
      <c r="K822" t="s">
        <v>122</v>
      </c>
      <c r="L822" t="s">
        <v>123</v>
      </c>
      <c r="M822" s="1"/>
      <c r="O822" t="s">
        <v>4007</v>
      </c>
      <c r="P822" s="1"/>
      <c r="Q822" s="1"/>
      <c r="S822" s="2">
        <f>CONSOLIDADO_2026[[#This Row],[Hora final]]-CONSOLIDADO_2026[[#This Row],[Hora inic]]</f>
        <v>0.29166666666666663</v>
      </c>
    </row>
    <row r="823" spans="1:19" x14ac:dyDescent="0.25">
      <c r="A823" t="s">
        <v>4141</v>
      </c>
      <c r="B823">
        <v>1053860403</v>
      </c>
      <c r="C823" t="s">
        <v>2271</v>
      </c>
      <c r="D823" t="s">
        <v>211</v>
      </c>
      <c r="E823" t="s">
        <v>4017</v>
      </c>
      <c r="F823" t="s">
        <v>4040</v>
      </c>
      <c r="G823" s="1">
        <v>46247</v>
      </c>
      <c r="H823" s="1"/>
      <c r="I823" s="2">
        <v>0.54166666666666663</v>
      </c>
      <c r="J823" s="2">
        <v>0.875</v>
      </c>
      <c r="L823" t="s">
        <v>4144</v>
      </c>
      <c r="M823" s="1"/>
      <c r="O823" t="s">
        <v>4007</v>
      </c>
      <c r="P823" s="1"/>
      <c r="Q823" s="1"/>
      <c r="S823" s="2">
        <f>CONSOLIDADO_2026[[#This Row],[Hora final]]-CONSOLIDADO_2026[[#This Row],[Hora inic]]</f>
        <v>0.33333333333333337</v>
      </c>
    </row>
    <row r="824" spans="1:19" x14ac:dyDescent="0.25">
      <c r="A824" t="s">
        <v>4141</v>
      </c>
      <c r="B824">
        <v>1001369228</v>
      </c>
      <c r="C824" t="s">
        <v>92</v>
      </c>
      <c r="D824" t="s">
        <v>4046</v>
      </c>
      <c r="E824" t="s">
        <v>4017</v>
      </c>
      <c r="F824" t="s">
        <v>4046</v>
      </c>
      <c r="G824" s="1">
        <v>46247</v>
      </c>
      <c r="H824" s="1">
        <v>46248</v>
      </c>
      <c r="I824" s="2">
        <v>0.25</v>
      </c>
      <c r="J824" s="2">
        <v>0.58333333333333337</v>
      </c>
      <c r="L824" t="s">
        <v>4099</v>
      </c>
      <c r="M824" s="1"/>
      <c r="O824" t="s">
        <v>4007</v>
      </c>
      <c r="P824" s="1"/>
      <c r="Q824" s="1"/>
      <c r="S824" s="2">
        <f>CONSOLIDADO_2026[[#This Row],[Hora final]]-CONSOLIDADO_2026[[#This Row],[Hora inic]]</f>
        <v>0.33333333333333337</v>
      </c>
    </row>
    <row r="825" spans="1:19" x14ac:dyDescent="0.25">
      <c r="A825" t="s">
        <v>4141</v>
      </c>
      <c r="B825">
        <v>1003459576</v>
      </c>
      <c r="C825" t="s">
        <v>956</v>
      </c>
      <c r="D825" t="s">
        <v>142</v>
      </c>
      <c r="E825" t="s">
        <v>4012</v>
      </c>
      <c r="F825" t="s">
        <v>4040</v>
      </c>
      <c r="G825" s="1">
        <v>46247</v>
      </c>
      <c r="H825" s="1"/>
      <c r="I825" s="2">
        <v>0.45833333333333331</v>
      </c>
      <c r="J825" s="2">
        <v>0.75</v>
      </c>
      <c r="L825" t="s">
        <v>4022</v>
      </c>
      <c r="M825" s="1"/>
      <c r="O825" t="s">
        <v>4007</v>
      </c>
      <c r="P825" s="1"/>
      <c r="Q825" s="1"/>
      <c r="S825" s="2">
        <f>CONSOLIDADO_2026[[#This Row],[Hora final]]-CONSOLIDADO_2026[[#This Row],[Hora inic]]</f>
        <v>0.29166666666666669</v>
      </c>
    </row>
    <row r="826" spans="1:19" x14ac:dyDescent="0.25">
      <c r="A826" t="s">
        <v>4141</v>
      </c>
      <c r="B826">
        <v>1000100875</v>
      </c>
      <c r="C826" t="s">
        <v>3610</v>
      </c>
      <c r="D826" t="s">
        <v>64</v>
      </c>
      <c r="E826" t="s">
        <v>4012</v>
      </c>
      <c r="F826" t="s">
        <v>4040</v>
      </c>
      <c r="G826" s="1">
        <v>46247</v>
      </c>
      <c r="H826" s="1">
        <v>46248</v>
      </c>
      <c r="I826" s="2">
        <v>0.58333333333333337</v>
      </c>
      <c r="J826" s="2">
        <v>0.875</v>
      </c>
      <c r="L826" t="s">
        <v>4022</v>
      </c>
      <c r="M826" s="1"/>
      <c r="O826" t="s">
        <v>4007</v>
      </c>
      <c r="P826" s="1"/>
      <c r="Q826" s="1"/>
      <c r="S826" s="2">
        <f>CONSOLIDADO_2026[[#This Row],[Hora final]]-CONSOLIDADO_2026[[#This Row],[Hora inic]]</f>
        <v>0.29166666666666663</v>
      </c>
    </row>
    <row r="827" spans="1:19" x14ac:dyDescent="0.25">
      <c r="A827" t="s">
        <v>4141</v>
      </c>
      <c r="B827">
        <v>1152434926</v>
      </c>
      <c r="C827" t="s">
        <v>3248</v>
      </c>
      <c r="D827" t="s">
        <v>142</v>
      </c>
      <c r="E827" t="s">
        <v>4012</v>
      </c>
      <c r="F827" t="s">
        <v>25</v>
      </c>
      <c r="G827" s="1">
        <v>46247</v>
      </c>
      <c r="H827" s="1">
        <v>46249</v>
      </c>
      <c r="I827" s="2">
        <v>0.25</v>
      </c>
      <c r="J827" s="2">
        <v>0.58333333333333337</v>
      </c>
      <c r="L827" t="s">
        <v>261</v>
      </c>
      <c r="M827" s="1"/>
      <c r="O827" t="s">
        <v>4007</v>
      </c>
      <c r="P827" s="1"/>
      <c r="Q827" s="1"/>
      <c r="S827" s="2">
        <f>CONSOLIDADO_2026[[#This Row],[Hora final]]-CONSOLIDADO_2026[[#This Row],[Hora inic]]</f>
        <v>0.33333333333333337</v>
      </c>
    </row>
    <row r="828" spans="1:19" x14ac:dyDescent="0.25">
      <c r="A828" t="s">
        <v>4141</v>
      </c>
      <c r="B828">
        <v>1052409952</v>
      </c>
      <c r="C828" t="s">
        <v>2356</v>
      </c>
      <c r="D828" t="s">
        <v>153</v>
      </c>
      <c r="E828" t="s">
        <v>4010</v>
      </c>
      <c r="F828" t="s">
        <v>4040</v>
      </c>
      <c r="G828" s="1">
        <v>46247</v>
      </c>
      <c r="H828" s="1"/>
      <c r="I828" s="2">
        <v>0.58333333333333337</v>
      </c>
      <c r="J828" s="2">
        <v>0.875</v>
      </c>
      <c r="L828" t="s">
        <v>4022</v>
      </c>
      <c r="M828" s="1"/>
      <c r="O828" t="s">
        <v>4007</v>
      </c>
      <c r="P828" s="1"/>
      <c r="Q828" s="1"/>
      <c r="S828" s="2">
        <f>CONSOLIDADO_2026[[#This Row],[Hora final]]-CONSOLIDADO_2026[[#This Row],[Hora inic]]</f>
        <v>0.29166666666666663</v>
      </c>
    </row>
    <row r="829" spans="1:19" x14ac:dyDescent="0.25">
      <c r="A829" t="s">
        <v>4141</v>
      </c>
      <c r="B829">
        <v>1036665065</v>
      </c>
      <c r="C829" t="s">
        <v>3654</v>
      </c>
      <c r="D829" t="s">
        <v>51</v>
      </c>
      <c r="E829" t="s">
        <v>4011</v>
      </c>
      <c r="F829" t="s">
        <v>4040</v>
      </c>
      <c r="G829" s="1">
        <v>46247</v>
      </c>
      <c r="H829" s="1"/>
      <c r="I829" s="2">
        <v>0.25</v>
      </c>
      <c r="J829" s="2">
        <v>0.58333333333333337</v>
      </c>
      <c r="L829" t="s">
        <v>4022</v>
      </c>
      <c r="M829" s="1"/>
      <c r="O829" t="s">
        <v>4007</v>
      </c>
      <c r="P829" s="1"/>
      <c r="Q829" s="1"/>
      <c r="S829" s="2">
        <f>CONSOLIDADO_2026[[#This Row],[Hora final]]-CONSOLIDADO_2026[[#This Row],[Hora inic]]</f>
        <v>0.33333333333333337</v>
      </c>
    </row>
    <row r="830" spans="1:19" x14ac:dyDescent="0.25">
      <c r="A830" t="s">
        <v>4141</v>
      </c>
      <c r="B830">
        <v>1001013936</v>
      </c>
      <c r="C830" t="s">
        <v>3820</v>
      </c>
      <c r="D830" t="s">
        <v>41</v>
      </c>
      <c r="E830" t="s">
        <v>4011</v>
      </c>
      <c r="F830" t="s">
        <v>25</v>
      </c>
      <c r="G830" s="1">
        <v>46247</v>
      </c>
      <c r="H830" s="1">
        <v>46248</v>
      </c>
      <c r="I830" s="2">
        <v>0.25</v>
      </c>
      <c r="J830" s="2">
        <v>0.54166666666666663</v>
      </c>
      <c r="L830" t="s">
        <v>261</v>
      </c>
      <c r="M830" s="1"/>
      <c r="O830" t="s">
        <v>4007</v>
      </c>
      <c r="P830" s="1"/>
      <c r="Q830" s="1"/>
      <c r="S830" s="2">
        <f>CONSOLIDADO_2026[[#This Row],[Hora final]]-CONSOLIDADO_2026[[#This Row],[Hora inic]]</f>
        <v>0.29166666666666663</v>
      </c>
    </row>
    <row r="831" spans="1:19" x14ac:dyDescent="0.25">
      <c r="A831" t="s">
        <v>4141</v>
      </c>
      <c r="B831">
        <v>1152436231</v>
      </c>
      <c r="C831" t="s">
        <v>131</v>
      </c>
      <c r="D831" t="s">
        <v>132</v>
      </c>
      <c r="E831" t="s">
        <v>4010</v>
      </c>
      <c r="F831" t="s">
        <v>4040</v>
      </c>
      <c r="G831" s="1">
        <v>46247</v>
      </c>
      <c r="H831" s="1"/>
      <c r="I831" s="2">
        <v>0.25</v>
      </c>
      <c r="J831" s="2">
        <v>0.58333333333333337</v>
      </c>
      <c r="L831" t="s">
        <v>4022</v>
      </c>
      <c r="M831" s="1"/>
      <c r="O831" t="s">
        <v>4007</v>
      </c>
      <c r="P831" s="1"/>
      <c r="Q831" s="1"/>
      <c r="S831" s="2">
        <f>CONSOLIDADO_2026[[#This Row],[Hora final]]-CONSOLIDADO_2026[[#This Row],[Hora inic]]</f>
        <v>0.33333333333333337</v>
      </c>
    </row>
    <row r="832" spans="1:19" x14ac:dyDescent="0.25">
      <c r="A832" t="s">
        <v>4141</v>
      </c>
      <c r="B832">
        <v>1234090551</v>
      </c>
      <c r="C832" t="s">
        <v>2193</v>
      </c>
      <c r="D832" t="s">
        <v>89</v>
      </c>
      <c r="E832" t="s">
        <v>4017</v>
      </c>
      <c r="F832" t="s">
        <v>4040</v>
      </c>
      <c r="G832" s="1">
        <v>46247</v>
      </c>
      <c r="H832" s="1">
        <v>46248</v>
      </c>
      <c r="I832" s="2">
        <v>0.25</v>
      </c>
      <c r="J832" s="2">
        <v>0.58333333333333337</v>
      </c>
      <c r="L832" t="s">
        <v>4022</v>
      </c>
      <c r="M832" s="1"/>
      <c r="O832" t="s">
        <v>4007</v>
      </c>
      <c r="P832" s="1"/>
      <c r="Q832" s="1"/>
      <c r="S832" s="2">
        <f>CONSOLIDADO_2026[[#This Row],[Hora final]]-CONSOLIDADO_2026[[#This Row],[Hora inic]]</f>
        <v>0.33333333333333337</v>
      </c>
    </row>
    <row r="833" spans="1:19" x14ac:dyDescent="0.25">
      <c r="A833" t="s">
        <v>4141</v>
      </c>
      <c r="B833">
        <v>43453341</v>
      </c>
      <c r="C833" t="s">
        <v>1251</v>
      </c>
      <c r="D833" t="s">
        <v>121</v>
      </c>
      <c r="E833" t="s">
        <v>4010</v>
      </c>
      <c r="F833" t="s">
        <v>4040</v>
      </c>
      <c r="G833" s="1">
        <v>46247</v>
      </c>
      <c r="H833" s="1"/>
      <c r="I833" s="2">
        <v>0.25</v>
      </c>
      <c r="J833" s="2">
        <v>0.58333333333333337</v>
      </c>
      <c r="L833" t="s">
        <v>4022</v>
      </c>
      <c r="M833" s="1"/>
      <c r="O833" t="s">
        <v>4007</v>
      </c>
      <c r="P833" s="1"/>
      <c r="Q833" s="1"/>
      <c r="S833" s="2">
        <f>CONSOLIDADO_2026[[#This Row],[Hora final]]-CONSOLIDADO_2026[[#This Row],[Hora inic]]</f>
        <v>0.33333333333333337</v>
      </c>
    </row>
    <row r="834" spans="1:19" x14ac:dyDescent="0.25">
      <c r="A834" t="s">
        <v>4141</v>
      </c>
      <c r="B834" t="s">
        <v>4210</v>
      </c>
      <c r="C834" t="s">
        <v>4211</v>
      </c>
      <c r="D834" t="s">
        <v>326</v>
      </c>
      <c r="E834" t="s">
        <v>4005</v>
      </c>
      <c r="F834" t="s">
        <v>25</v>
      </c>
      <c r="G834" s="1">
        <v>46247</v>
      </c>
      <c r="H834" s="1">
        <v>46248</v>
      </c>
      <c r="I834" s="2">
        <v>0.58333333333333337</v>
      </c>
      <c r="J834" s="2">
        <v>0.875</v>
      </c>
      <c r="L834" t="s">
        <v>261</v>
      </c>
      <c r="M834" s="1"/>
      <c r="O834" t="s">
        <v>4007</v>
      </c>
      <c r="P834" s="1"/>
      <c r="Q834" s="1"/>
      <c r="S834" s="2">
        <f>CONSOLIDADO_2026[[#This Row],[Hora final]]-CONSOLIDADO_2026[[#This Row],[Hora inic]]</f>
        <v>0.29166666666666663</v>
      </c>
    </row>
    <row r="835" spans="1:19" x14ac:dyDescent="0.25">
      <c r="A835" t="s">
        <v>4141</v>
      </c>
      <c r="B835">
        <v>1067959066</v>
      </c>
      <c r="C835" t="s">
        <v>3446</v>
      </c>
      <c r="D835" t="s">
        <v>322</v>
      </c>
      <c r="E835" t="s">
        <v>4017</v>
      </c>
      <c r="F835" t="s">
        <v>4040</v>
      </c>
      <c r="G835" s="1">
        <v>46247</v>
      </c>
      <c r="H835" s="1"/>
      <c r="I835" s="2">
        <v>0.58333333333333337</v>
      </c>
      <c r="J835" s="2">
        <v>0.875</v>
      </c>
      <c r="L835" t="s">
        <v>4022</v>
      </c>
      <c r="M835" s="1"/>
      <c r="O835" t="s">
        <v>4007</v>
      </c>
      <c r="P835" s="1"/>
      <c r="Q835" s="1"/>
      <c r="S835" s="2">
        <f>CONSOLIDADO_2026[[#This Row],[Hora final]]-CONSOLIDADO_2026[[#This Row],[Hora inic]]</f>
        <v>0.29166666666666663</v>
      </c>
    </row>
    <row r="836" spans="1:19" x14ac:dyDescent="0.25">
      <c r="A836" t="s">
        <v>4208</v>
      </c>
      <c r="B836">
        <v>1001013936</v>
      </c>
      <c r="C836" t="s">
        <v>3820</v>
      </c>
      <c r="D836" t="s">
        <v>41</v>
      </c>
      <c r="E836" t="s">
        <v>4011</v>
      </c>
      <c r="F836" t="s">
        <v>25</v>
      </c>
      <c r="G836" s="1">
        <v>46247</v>
      </c>
      <c r="H836" s="1">
        <v>46248</v>
      </c>
      <c r="I836" s="2">
        <v>0.25</v>
      </c>
      <c r="J836" s="2">
        <v>0.58333333333333337</v>
      </c>
      <c r="L836" t="s">
        <v>261</v>
      </c>
      <c r="M836" s="1"/>
      <c r="O836" t="s">
        <v>4007</v>
      </c>
      <c r="P836" s="1"/>
      <c r="Q836" s="1"/>
      <c r="S836" s="2">
        <f>CONSOLIDADO_2026[[#This Row],[Hora final]]-CONSOLIDADO_2026[[#This Row],[Hora inic]]</f>
        <v>0.33333333333333337</v>
      </c>
    </row>
    <row r="837" spans="1:19" x14ac:dyDescent="0.25">
      <c r="A837" t="s">
        <v>4208</v>
      </c>
      <c r="B837">
        <v>1234090551</v>
      </c>
      <c r="C837" t="s">
        <v>2193</v>
      </c>
      <c r="D837" t="s">
        <v>89</v>
      </c>
      <c r="E837" t="s">
        <v>4017</v>
      </c>
      <c r="F837" t="s">
        <v>25</v>
      </c>
      <c r="G837" s="1">
        <v>46247</v>
      </c>
      <c r="H837" s="1">
        <v>46248</v>
      </c>
      <c r="I837" s="2">
        <v>0.58333333333333337</v>
      </c>
      <c r="J837" s="2">
        <v>0.875</v>
      </c>
      <c r="K837" t="s">
        <v>230</v>
      </c>
      <c r="L837" t="s">
        <v>231</v>
      </c>
      <c r="M837" s="1"/>
      <c r="O837" t="s">
        <v>4007</v>
      </c>
      <c r="P837" s="1"/>
      <c r="Q837" s="1"/>
      <c r="S837" s="2">
        <f>CONSOLIDADO_2026[[#This Row],[Hora final]]-CONSOLIDADO_2026[[#This Row],[Hora inic]]</f>
        <v>0.29166666666666663</v>
      </c>
    </row>
    <row r="838" spans="1:19" x14ac:dyDescent="0.25">
      <c r="A838" t="s">
        <v>4208</v>
      </c>
      <c r="B838">
        <v>1152436231</v>
      </c>
      <c r="C838" t="s">
        <v>131</v>
      </c>
      <c r="D838" t="s">
        <v>132</v>
      </c>
      <c r="E838" t="s">
        <v>4010</v>
      </c>
      <c r="F838" t="s">
        <v>4040</v>
      </c>
      <c r="G838" s="1">
        <v>46247</v>
      </c>
      <c r="H838" s="1"/>
      <c r="I838" s="2">
        <v>0.25</v>
      </c>
      <c r="J838" s="2">
        <v>0.54166666666666663</v>
      </c>
      <c r="L838" t="s">
        <v>4022</v>
      </c>
      <c r="M838" s="1"/>
      <c r="O838" t="s">
        <v>4007</v>
      </c>
      <c r="P838" s="1"/>
      <c r="Q838" s="1"/>
      <c r="S838" s="2">
        <f>CONSOLIDADO_2026[[#This Row],[Hora final]]-CONSOLIDADO_2026[[#This Row],[Hora inic]]</f>
        <v>0.29166666666666663</v>
      </c>
    </row>
    <row r="839" spans="1:19" x14ac:dyDescent="0.25">
      <c r="A839" t="s">
        <v>4208</v>
      </c>
      <c r="B839">
        <v>1036665065</v>
      </c>
      <c r="C839" t="s">
        <v>3654</v>
      </c>
      <c r="D839" t="s">
        <v>51</v>
      </c>
      <c r="E839" t="s">
        <v>4011</v>
      </c>
      <c r="F839" t="s">
        <v>4040</v>
      </c>
      <c r="G839" s="1">
        <v>46247</v>
      </c>
      <c r="H839" s="1"/>
      <c r="I839" s="2">
        <v>0.25</v>
      </c>
      <c r="J839" s="2">
        <v>0.58333333333333337</v>
      </c>
      <c r="L839" t="s">
        <v>4022</v>
      </c>
      <c r="M839" s="1"/>
      <c r="O839" t="s">
        <v>4007</v>
      </c>
      <c r="P839" s="1"/>
      <c r="Q839" s="1"/>
      <c r="S839" s="2">
        <f>CONSOLIDADO_2026[[#This Row],[Hora final]]-CONSOLIDADO_2026[[#This Row],[Hora inic]]</f>
        <v>0.33333333333333337</v>
      </c>
    </row>
    <row r="840" spans="1:19" x14ac:dyDescent="0.25">
      <c r="A840" t="s">
        <v>4208</v>
      </c>
      <c r="B840">
        <v>1052409952</v>
      </c>
      <c r="C840" t="s">
        <v>2356</v>
      </c>
      <c r="D840" t="s">
        <v>153</v>
      </c>
      <c r="E840" t="s">
        <v>4010</v>
      </c>
      <c r="F840" t="s">
        <v>4040</v>
      </c>
      <c r="G840" s="1">
        <v>46247</v>
      </c>
      <c r="H840" s="1"/>
      <c r="I840" s="2">
        <v>0.25</v>
      </c>
      <c r="J840" s="2">
        <v>0.58333333333333337</v>
      </c>
      <c r="L840" t="s">
        <v>4022</v>
      </c>
      <c r="M840" s="1"/>
      <c r="O840" t="s">
        <v>4007</v>
      </c>
      <c r="P840" s="1"/>
      <c r="Q840" s="1"/>
      <c r="S840" s="2">
        <f>CONSOLIDADO_2026[[#This Row],[Hora final]]-CONSOLIDADO_2026[[#This Row],[Hora inic]]</f>
        <v>0.33333333333333337</v>
      </c>
    </row>
    <row r="841" spans="1:19" x14ac:dyDescent="0.25">
      <c r="A841" t="s">
        <v>4208</v>
      </c>
      <c r="B841">
        <v>1152434926</v>
      </c>
      <c r="C841" t="s">
        <v>3248</v>
      </c>
      <c r="D841" t="s">
        <v>142</v>
      </c>
      <c r="E841" t="s">
        <v>4012</v>
      </c>
      <c r="F841" t="s">
        <v>25</v>
      </c>
      <c r="G841" s="1">
        <v>46247</v>
      </c>
      <c r="H841" s="1">
        <v>46249</v>
      </c>
      <c r="I841" s="2">
        <v>0.25</v>
      </c>
      <c r="J841" s="2">
        <v>0.54166666666666663</v>
      </c>
      <c r="L841" t="s">
        <v>261</v>
      </c>
      <c r="M841" s="1"/>
      <c r="O841" t="s">
        <v>4007</v>
      </c>
      <c r="P841" s="1"/>
      <c r="Q841" s="1"/>
      <c r="S841" s="2">
        <f>CONSOLIDADO_2026[[#This Row],[Hora final]]-CONSOLIDADO_2026[[#This Row],[Hora inic]]</f>
        <v>0.29166666666666663</v>
      </c>
    </row>
    <row r="842" spans="1:19" x14ac:dyDescent="0.25">
      <c r="A842" t="s">
        <v>4208</v>
      </c>
      <c r="B842">
        <v>1000100875</v>
      </c>
      <c r="C842" t="s">
        <v>3610</v>
      </c>
      <c r="D842" t="s">
        <v>64</v>
      </c>
      <c r="E842" t="s">
        <v>4012</v>
      </c>
      <c r="F842" t="s">
        <v>25</v>
      </c>
      <c r="G842" s="1">
        <v>46247</v>
      </c>
      <c r="H842" s="1">
        <v>46248</v>
      </c>
      <c r="I842" s="2">
        <v>0.58333333333333337</v>
      </c>
      <c r="J842" s="2">
        <v>0.875</v>
      </c>
      <c r="L842" t="s">
        <v>261</v>
      </c>
      <c r="M842" s="1"/>
      <c r="O842" t="s">
        <v>4007</v>
      </c>
      <c r="P842" s="1"/>
      <c r="Q842" s="1"/>
      <c r="S842" s="2">
        <f>CONSOLIDADO_2026[[#This Row],[Hora final]]-CONSOLIDADO_2026[[#This Row],[Hora inic]]</f>
        <v>0.29166666666666663</v>
      </c>
    </row>
    <row r="843" spans="1:19" x14ac:dyDescent="0.25">
      <c r="A843" t="s">
        <v>4208</v>
      </c>
      <c r="B843">
        <v>1003459576</v>
      </c>
      <c r="C843" t="s">
        <v>956</v>
      </c>
      <c r="D843" t="s">
        <v>142</v>
      </c>
      <c r="E843" t="s">
        <v>4012</v>
      </c>
      <c r="F843" t="s">
        <v>4040</v>
      </c>
      <c r="G843" s="1">
        <v>46246</v>
      </c>
      <c r="H843" s="1"/>
      <c r="I843" s="2"/>
      <c r="J843" s="2"/>
      <c r="L843" t="s">
        <v>4022</v>
      </c>
      <c r="M843" s="1"/>
      <c r="O843" t="s">
        <v>4007</v>
      </c>
      <c r="P843" s="1"/>
      <c r="Q843" s="1"/>
      <c r="S843" s="2">
        <f>CONSOLIDADO_2026[[#This Row],[Hora final]]-CONSOLIDADO_2026[[#This Row],[Hora inic]]</f>
        <v>0</v>
      </c>
    </row>
    <row r="844" spans="1:19" x14ac:dyDescent="0.25">
      <c r="A844" t="s">
        <v>4208</v>
      </c>
      <c r="B844">
        <v>1036132488</v>
      </c>
      <c r="C844" t="s">
        <v>150</v>
      </c>
      <c r="D844" t="s">
        <v>142</v>
      </c>
      <c r="E844" t="s">
        <v>4012</v>
      </c>
      <c r="F844" t="s">
        <v>25</v>
      </c>
      <c r="G844" s="1">
        <v>46247</v>
      </c>
      <c r="H844" s="1">
        <v>46248</v>
      </c>
      <c r="I844" s="2">
        <v>0.25</v>
      </c>
      <c r="J844" s="2">
        <v>0.54166666666666663</v>
      </c>
      <c r="K844" t="s">
        <v>122</v>
      </c>
      <c r="L844" t="s">
        <v>123</v>
      </c>
      <c r="M844" s="1"/>
      <c r="O844" t="s">
        <v>4007</v>
      </c>
      <c r="P844" s="1"/>
      <c r="Q844" s="1"/>
      <c r="S844" s="2">
        <f>CONSOLIDADO_2026[[#This Row],[Hora final]]-CONSOLIDADO_2026[[#This Row],[Hora inic]]</f>
        <v>0.29166666666666663</v>
      </c>
    </row>
    <row r="845" spans="1:19" x14ac:dyDescent="0.25">
      <c r="A845" t="s">
        <v>4208</v>
      </c>
      <c r="B845">
        <v>1152462501</v>
      </c>
      <c r="C845" t="s">
        <v>3008</v>
      </c>
      <c r="D845" t="s">
        <v>41</v>
      </c>
      <c r="E845" t="s">
        <v>4011</v>
      </c>
      <c r="F845" t="s">
        <v>4040</v>
      </c>
      <c r="G845" s="1">
        <v>46247</v>
      </c>
      <c r="H845" s="1"/>
      <c r="I845" s="2">
        <v>0.29166666666666669</v>
      </c>
      <c r="J845" s="2">
        <v>0.66666666666666663</v>
      </c>
      <c r="L845" t="s">
        <v>4213</v>
      </c>
      <c r="M845" s="1"/>
      <c r="O845" t="s">
        <v>4007</v>
      </c>
      <c r="P845" s="1"/>
      <c r="Q845" s="1"/>
      <c r="S845" s="2">
        <f>CONSOLIDADO_2026[[#This Row],[Hora final]]-CONSOLIDADO_2026[[#This Row],[Hora inic]]</f>
        <v>0.37499999999999994</v>
      </c>
    </row>
    <row r="846" spans="1:19" x14ac:dyDescent="0.25">
      <c r="A846" t="s">
        <v>4208</v>
      </c>
      <c r="B846">
        <v>1040755197</v>
      </c>
      <c r="C846" t="s">
        <v>3094</v>
      </c>
      <c r="D846" t="s">
        <v>4027</v>
      </c>
      <c r="E846" t="s">
        <v>4011</v>
      </c>
      <c r="F846" t="s">
        <v>25</v>
      </c>
      <c r="G846" s="1">
        <v>46246</v>
      </c>
      <c r="H846" s="1">
        <v>46246</v>
      </c>
      <c r="I846" s="2"/>
      <c r="J846" s="2"/>
      <c r="L846" t="s">
        <v>4006</v>
      </c>
      <c r="M846" s="1"/>
      <c r="O846" t="s">
        <v>4007</v>
      </c>
      <c r="P846" s="1"/>
      <c r="Q846" s="1"/>
      <c r="S846" s="2">
        <f>CONSOLIDADO_2026[[#This Row],[Hora final]]-CONSOLIDADO_2026[[#This Row],[Hora inic]]</f>
        <v>0</v>
      </c>
    </row>
    <row r="847" spans="1:19" x14ac:dyDescent="0.25">
      <c r="A847" t="s">
        <v>4208</v>
      </c>
      <c r="B847">
        <v>43986125</v>
      </c>
      <c r="C847" t="s">
        <v>1233</v>
      </c>
      <c r="D847" t="s">
        <v>64</v>
      </c>
      <c r="E847" t="s">
        <v>4012</v>
      </c>
      <c r="F847" t="s">
        <v>25</v>
      </c>
      <c r="G847" s="1">
        <v>46246</v>
      </c>
      <c r="H847" s="1">
        <v>46248</v>
      </c>
      <c r="I847" s="2">
        <v>0.25</v>
      </c>
      <c r="J847" s="2">
        <v>0.58333333333333337</v>
      </c>
      <c r="K847" t="s">
        <v>2886</v>
      </c>
      <c r="L847" t="s">
        <v>2887</v>
      </c>
      <c r="M847" s="1"/>
      <c r="O847" t="s">
        <v>4007</v>
      </c>
      <c r="P847" s="1"/>
      <c r="Q847" s="1"/>
      <c r="S847" s="2">
        <f>CONSOLIDADO_2026[[#This Row],[Hora final]]-CONSOLIDADO_2026[[#This Row],[Hora inic]]</f>
        <v>0.33333333333333337</v>
      </c>
    </row>
    <row r="848" spans="1:19" x14ac:dyDescent="0.25">
      <c r="A848" t="s">
        <v>4208</v>
      </c>
      <c r="B848">
        <v>1143373273</v>
      </c>
      <c r="C848" t="s">
        <v>1984</v>
      </c>
      <c r="D848" t="s">
        <v>211</v>
      </c>
      <c r="E848" t="s">
        <v>4017</v>
      </c>
      <c r="F848" t="s">
        <v>25</v>
      </c>
      <c r="G848" s="1">
        <v>46245</v>
      </c>
      <c r="H848" s="1">
        <v>46247</v>
      </c>
      <c r="I848" s="2"/>
      <c r="J848" s="2"/>
      <c r="L848" t="s">
        <v>4006</v>
      </c>
      <c r="M848" s="1"/>
      <c r="O848" t="s">
        <v>4007</v>
      </c>
      <c r="P848" s="1"/>
      <c r="Q848" s="1"/>
      <c r="S848" s="2">
        <f>CONSOLIDADO_2026[[#This Row],[Hora final]]-CONSOLIDADO_2026[[#This Row],[Hora inic]]</f>
        <v>0</v>
      </c>
    </row>
    <row r="849" spans="1:19" x14ac:dyDescent="0.25">
      <c r="A849" t="s">
        <v>4208</v>
      </c>
      <c r="B849">
        <v>1143267842</v>
      </c>
      <c r="C849" t="s">
        <v>1444</v>
      </c>
      <c r="D849" t="s">
        <v>78</v>
      </c>
      <c r="E849" t="s">
        <v>4010</v>
      </c>
      <c r="F849" t="s">
        <v>25</v>
      </c>
      <c r="G849" s="1">
        <v>46246</v>
      </c>
      <c r="H849" s="1">
        <v>46248</v>
      </c>
      <c r="I849" s="2">
        <v>0.58333333333333337</v>
      </c>
      <c r="J849" s="2">
        <v>0.875</v>
      </c>
      <c r="K849" t="s">
        <v>162</v>
      </c>
      <c r="L849" t="s">
        <v>163</v>
      </c>
      <c r="M849" s="1"/>
      <c r="O849" t="s">
        <v>4007</v>
      </c>
      <c r="P849" s="1"/>
      <c r="Q849" s="1"/>
      <c r="S849" s="2">
        <f>CONSOLIDADO_2026[[#This Row],[Hora final]]-CONSOLIDADO_2026[[#This Row],[Hora inic]]</f>
        <v>0.29166666666666663</v>
      </c>
    </row>
    <row r="850" spans="1:19" x14ac:dyDescent="0.25">
      <c r="A850" t="s">
        <v>4208</v>
      </c>
      <c r="B850">
        <v>1082926383</v>
      </c>
      <c r="C850" t="s">
        <v>582</v>
      </c>
      <c r="D850" t="s">
        <v>82</v>
      </c>
      <c r="E850" t="s">
        <v>4005</v>
      </c>
      <c r="F850" t="s">
        <v>25</v>
      </c>
      <c r="G850" s="1">
        <v>46246</v>
      </c>
      <c r="H850" s="1">
        <v>46248</v>
      </c>
      <c r="I850" s="2">
        <v>0.25</v>
      </c>
      <c r="J850" s="2">
        <v>0.54166666666666663</v>
      </c>
      <c r="K850" t="s">
        <v>247</v>
      </c>
      <c r="L850" t="s">
        <v>248</v>
      </c>
      <c r="M850" s="1"/>
      <c r="O850" t="s">
        <v>4007</v>
      </c>
      <c r="P850" s="1"/>
      <c r="Q850" s="1"/>
      <c r="S850" s="2">
        <f>CONSOLIDADO_2026[[#This Row],[Hora final]]-CONSOLIDADO_2026[[#This Row],[Hora inic]]</f>
        <v>0.29166666666666663</v>
      </c>
    </row>
    <row r="851" spans="1:19" x14ac:dyDescent="0.25">
      <c r="A851" t="s">
        <v>4208</v>
      </c>
      <c r="B851">
        <v>1098686151</v>
      </c>
      <c r="C851" t="s">
        <v>1826</v>
      </c>
      <c r="D851" t="s">
        <v>15</v>
      </c>
      <c r="E851" t="s">
        <v>4012</v>
      </c>
      <c r="F851" t="s">
        <v>25</v>
      </c>
      <c r="G851" s="1">
        <v>46246</v>
      </c>
      <c r="H851" s="1">
        <v>46248</v>
      </c>
      <c r="I851" s="2">
        <v>0.25</v>
      </c>
      <c r="J851" s="2">
        <v>0.54166666666666663</v>
      </c>
      <c r="L851" t="s">
        <v>261</v>
      </c>
      <c r="M851" s="1"/>
      <c r="O851" t="s">
        <v>4007</v>
      </c>
      <c r="P851" s="1"/>
      <c r="Q851" s="1"/>
      <c r="S851" s="2">
        <f>CONSOLIDADO_2026[[#This Row],[Hora final]]-CONSOLIDADO_2026[[#This Row],[Hora inic]]</f>
        <v>0.29166666666666663</v>
      </c>
    </row>
    <row r="852" spans="1:19" x14ac:dyDescent="0.25">
      <c r="A852" t="s">
        <v>4208</v>
      </c>
      <c r="B852">
        <v>1094971283</v>
      </c>
      <c r="C852" t="s">
        <v>3338</v>
      </c>
      <c r="D852" t="s">
        <v>326</v>
      </c>
      <c r="E852" t="s">
        <v>4005</v>
      </c>
      <c r="F852" t="s">
        <v>25</v>
      </c>
      <c r="G852" s="1">
        <v>46245</v>
      </c>
      <c r="H852" s="1">
        <v>46247</v>
      </c>
      <c r="I852" s="2"/>
      <c r="J852" s="2"/>
      <c r="L852" t="s">
        <v>4006</v>
      </c>
      <c r="M852" s="1"/>
      <c r="O852" t="s">
        <v>4007</v>
      </c>
      <c r="P852" s="1"/>
      <c r="Q852" s="1"/>
      <c r="S852" s="2">
        <f>CONSOLIDADO_2026[[#This Row],[Hora final]]-CONSOLIDADO_2026[[#This Row],[Hora inic]]</f>
        <v>0</v>
      </c>
    </row>
    <row r="853" spans="1:19" x14ac:dyDescent="0.25">
      <c r="A853" t="s">
        <v>4208</v>
      </c>
      <c r="B853">
        <v>1037644923</v>
      </c>
      <c r="C853" t="s">
        <v>2629</v>
      </c>
      <c r="D853" t="s">
        <v>420</v>
      </c>
      <c r="E853" t="s">
        <v>4010</v>
      </c>
      <c r="F853" t="s">
        <v>4040</v>
      </c>
      <c r="G853" s="1">
        <v>46247</v>
      </c>
      <c r="H853" s="1"/>
      <c r="I853" s="2">
        <v>0.25</v>
      </c>
      <c r="J853" s="2">
        <v>0.54166666666666663</v>
      </c>
      <c r="L853" t="s">
        <v>4022</v>
      </c>
      <c r="M853" s="1"/>
      <c r="O853" t="s">
        <v>4007</v>
      </c>
      <c r="P853" s="1"/>
      <c r="Q853" s="1"/>
      <c r="S853" s="2">
        <f>CONSOLIDADO_2026[[#This Row],[Hora final]]-CONSOLIDADO_2026[[#This Row],[Hora inic]]</f>
        <v>0.29166666666666663</v>
      </c>
    </row>
    <row r="854" spans="1:19" x14ac:dyDescent="0.25">
      <c r="A854" t="s">
        <v>4208</v>
      </c>
      <c r="B854">
        <v>1035876080</v>
      </c>
      <c r="C854" t="s">
        <v>120</v>
      </c>
      <c r="D854" t="s">
        <v>121</v>
      </c>
      <c r="E854" t="s">
        <v>4010</v>
      </c>
      <c r="F854" t="s">
        <v>25</v>
      </c>
      <c r="G854" s="1">
        <v>46246</v>
      </c>
      <c r="H854" s="1">
        <v>46254</v>
      </c>
      <c r="I854" s="2">
        <v>0.25</v>
      </c>
      <c r="J854" s="2">
        <v>0.58333333333333337</v>
      </c>
      <c r="K854" t="s">
        <v>171</v>
      </c>
      <c r="L854" t="s">
        <v>172</v>
      </c>
      <c r="M854" s="1"/>
      <c r="O854" t="s">
        <v>4007</v>
      </c>
      <c r="P854" s="1"/>
      <c r="Q854" s="1"/>
      <c r="S854" s="2">
        <f>CONSOLIDADO_2026[[#This Row],[Hora final]]-CONSOLIDADO_2026[[#This Row],[Hora inic]]</f>
        <v>0.33333333333333337</v>
      </c>
    </row>
    <row r="855" spans="1:19" x14ac:dyDescent="0.25">
      <c r="A855" t="s">
        <v>4208</v>
      </c>
      <c r="B855">
        <v>1085265026</v>
      </c>
      <c r="C855" t="s">
        <v>3413</v>
      </c>
      <c r="D855" t="s">
        <v>64</v>
      </c>
      <c r="E855" t="s">
        <v>4012</v>
      </c>
      <c r="F855" t="s">
        <v>90</v>
      </c>
      <c r="G855" s="1">
        <v>46245</v>
      </c>
      <c r="H855" s="1">
        <v>46249</v>
      </c>
      <c r="I855" s="2">
        <v>0.25</v>
      </c>
      <c r="J855" s="2">
        <v>0.54166666666666663</v>
      </c>
      <c r="K855" t="s">
        <v>147</v>
      </c>
      <c r="L855" t="s">
        <v>148</v>
      </c>
      <c r="M855" s="1"/>
      <c r="O855" t="s">
        <v>21</v>
      </c>
      <c r="P855" s="1"/>
      <c r="Q855" s="1"/>
      <c r="S855" s="2">
        <f>CONSOLIDADO_2026[[#This Row],[Hora final]]-CONSOLIDADO_2026[[#This Row],[Hora inic]]</f>
        <v>0.29166666666666663</v>
      </c>
    </row>
    <row r="856" spans="1:19" x14ac:dyDescent="0.25">
      <c r="A856" t="s">
        <v>4208</v>
      </c>
      <c r="B856">
        <v>1193584838</v>
      </c>
      <c r="C856" t="s">
        <v>2955</v>
      </c>
      <c r="D856" t="s">
        <v>142</v>
      </c>
      <c r="E856" t="s">
        <v>4012</v>
      </c>
      <c r="F856" t="s">
        <v>25</v>
      </c>
      <c r="G856" s="1">
        <v>46245</v>
      </c>
      <c r="H856" s="1">
        <v>46247</v>
      </c>
      <c r="I856" s="2"/>
      <c r="J856" s="2"/>
      <c r="L856" t="s">
        <v>4006</v>
      </c>
      <c r="M856" s="1"/>
      <c r="O856" t="s">
        <v>4007</v>
      </c>
      <c r="P856" s="1"/>
      <c r="Q856" s="1"/>
      <c r="S856" s="2">
        <f>CONSOLIDADO_2026[[#This Row],[Hora final]]-CONSOLIDADO_2026[[#This Row],[Hora inic]]</f>
        <v>0</v>
      </c>
    </row>
    <row r="857" spans="1:19" x14ac:dyDescent="0.25">
      <c r="A857" t="s">
        <v>4208</v>
      </c>
      <c r="B857">
        <v>1000662062</v>
      </c>
      <c r="C857" t="s">
        <v>260</v>
      </c>
      <c r="D857" t="s">
        <v>64</v>
      </c>
      <c r="E857" t="s">
        <v>4012</v>
      </c>
      <c r="F857" t="s">
        <v>25</v>
      </c>
      <c r="G857" s="1">
        <v>46245</v>
      </c>
      <c r="H857" s="1">
        <v>46249</v>
      </c>
      <c r="I857" s="2">
        <v>0.58333333333333337</v>
      </c>
      <c r="J857" s="2">
        <v>0.875</v>
      </c>
      <c r="L857" t="s">
        <v>261</v>
      </c>
      <c r="M857" s="1"/>
      <c r="O857" t="s">
        <v>4007</v>
      </c>
      <c r="P857" s="1"/>
      <c r="Q857" s="1"/>
      <c r="S857" s="2">
        <f>CONSOLIDADO_2026[[#This Row],[Hora final]]-CONSOLIDADO_2026[[#This Row],[Hora inic]]</f>
        <v>0.29166666666666663</v>
      </c>
    </row>
    <row r="858" spans="1:19" x14ac:dyDescent="0.25">
      <c r="A858" t="s">
        <v>4208</v>
      </c>
      <c r="B858">
        <v>1077462479</v>
      </c>
      <c r="C858" t="s">
        <v>3992</v>
      </c>
      <c r="D858" t="s">
        <v>142</v>
      </c>
      <c r="E858" t="s">
        <v>4012</v>
      </c>
      <c r="F858" t="s">
        <v>4053</v>
      </c>
      <c r="G858" s="1">
        <v>46245</v>
      </c>
      <c r="H858" s="1">
        <v>46247</v>
      </c>
      <c r="I858" s="2"/>
      <c r="J858" s="2"/>
      <c r="L858" t="s">
        <v>4006</v>
      </c>
      <c r="M858" s="1"/>
      <c r="O858" t="s">
        <v>4007</v>
      </c>
      <c r="P858" s="1"/>
      <c r="Q858" s="1"/>
      <c r="S858" s="2">
        <f>CONSOLIDADO_2026[[#This Row],[Hora final]]-CONSOLIDADO_2026[[#This Row],[Hora inic]]</f>
        <v>0</v>
      </c>
    </row>
    <row r="859" spans="1:19" x14ac:dyDescent="0.25">
      <c r="A859" t="s">
        <v>4208</v>
      </c>
      <c r="B859">
        <v>1037638426</v>
      </c>
      <c r="C859" t="s">
        <v>44</v>
      </c>
      <c r="D859" t="s">
        <v>41</v>
      </c>
      <c r="E859" t="s">
        <v>4011</v>
      </c>
      <c r="F859" t="s">
        <v>30</v>
      </c>
      <c r="G859" s="1">
        <v>46230</v>
      </c>
      <c r="H859" s="1">
        <v>46262</v>
      </c>
      <c r="I859" s="2">
        <v>0.25</v>
      </c>
      <c r="J859" s="2">
        <v>0.58333333333333337</v>
      </c>
      <c r="K859" t="s">
        <v>178</v>
      </c>
      <c r="L859" t="s">
        <v>179</v>
      </c>
      <c r="M859" s="1"/>
      <c r="O859" t="s">
        <v>21</v>
      </c>
      <c r="P859" s="1"/>
      <c r="Q859" s="1"/>
      <c r="S859" s="2">
        <f>CONSOLIDADO_2026[[#This Row],[Hora final]]-CONSOLIDADO_2026[[#This Row],[Hora inic]]</f>
        <v>0.33333333333333337</v>
      </c>
    </row>
    <row r="860" spans="1:19" x14ac:dyDescent="0.25">
      <c r="A860" t="s">
        <v>4208</v>
      </c>
      <c r="B860">
        <v>1082896324</v>
      </c>
      <c r="C860" t="s">
        <v>77</v>
      </c>
      <c r="D860" t="s">
        <v>78</v>
      </c>
      <c r="E860" t="s">
        <v>4010</v>
      </c>
      <c r="F860" t="s">
        <v>25</v>
      </c>
      <c r="G860" s="1">
        <v>46242</v>
      </c>
      <c r="H860" s="1">
        <v>46272</v>
      </c>
      <c r="I860" s="2">
        <v>0.58333333333333337</v>
      </c>
      <c r="J860" s="2">
        <v>0.875</v>
      </c>
      <c r="L860" t="s">
        <v>261</v>
      </c>
      <c r="M860" s="1"/>
      <c r="O860" t="s">
        <v>4007</v>
      </c>
      <c r="P860" s="1"/>
      <c r="Q860" s="1"/>
      <c r="S860" s="2">
        <f>CONSOLIDADO_2026[[#This Row],[Hora final]]-CONSOLIDADO_2026[[#This Row],[Hora inic]]</f>
        <v>0.29166666666666663</v>
      </c>
    </row>
    <row r="861" spans="1:19" x14ac:dyDescent="0.25">
      <c r="A861" t="s">
        <v>4208</v>
      </c>
      <c r="B861">
        <v>1143374438</v>
      </c>
      <c r="C861" t="s">
        <v>85</v>
      </c>
      <c r="D861" t="s">
        <v>41</v>
      </c>
      <c r="E861" t="s">
        <v>4011</v>
      </c>
      <c r="F861" t="s">
        <v>25</v>
      </c>
      <c r="G861" s="1">
        <v>46239</v>
      </c>
      <c r="H861" s="1">
        <v>46268</v>
      </c>
      <c r="I861" s="2">
        <v>0.58333333333333337</v>
      </c>
      <c r="J861" s="2">
        <v>0.875</v>
      </c>
      <c r="L861" t="s">
        <v>261</v>
      </c>
      <c r="M861" s="1"/>
      <c r="O861" t="s">
        <v>4007</v>
      </c>
      <c r="P861" s="1"/>
      <c r="Q861" s="1"/>
      <c r="S861" s="2">
        <f>CONSOLIDADO_2026[[#This Row],[Hora final]]-CONSOLIDADO_2026[[#This Row],[Hora inic]]</f>
        <v>0.29166666666666663</v>
      </c>
    </row>
    <row r="862" spans="1:19" x14ac:dyDescent="0.25">
      <c r="A862" t="s">
        <v>4208</v>
      </c>
      <c r="B862">
        <v>1015483595</v>
      </c>
      <c r="C862" t="s">
        <v>243</v>
      </c>
      <c r="D862" t="s">
        <v>34</v>
      </c>
      <c r="E862" t="s">
        <v>4011</v>
      </c>
      <c r="F862" t="s">
        <v>30</v>
      </c>
      <c r="G862" s="1">
        <v>46244</v>
      </c>
      <c r="H862" s="1">
        <v>46265</v>
      </c>
      <c r="I862" s="2">
        <v>0.54166666666666663</v>
      </c>
      <c r="J862" s="2">
        <v>0.875</v>
      </c>
      <c r="K862" t="s">
        <v>35</v>
      </c>
      <c r="L862" t="s">
        <v>36</v>
      </c>
      <c r="M862" s="1"/>
      <c r="O862" t="s">
        <v>21</v>
      </c>
      <c r="P862" s="1"/>
      <c r="Q862" s="1"/>
      <c r="S862" s="2">
        <f>CONSOLIDADO_2026[[#This Row],[Hora final]]-CONSOLIDADO_2026[[#This Row],[Hora inic]]</f>
        <v>0.33333333333333337</v>
      </c>
    </row>
    <row r="863" spans="1:19" x14ac:dyDescent="0.25">
      <c r="A863" t="s">
        <v>4208</v>
      </c>
      <c r="B863">
        <v>1001851670</v>
      </c>
      <c r="C863" t="s">
        <v>14</v>
      </c>
      <c r="D863" t="s">
        <v>15</v>
      </c>
      <c r="E863" t="s">
        <v>4012</v>
      </c>
      <c r="F863" t="s">
        <v>16</v>
      </c>
      <c r="G863" s="1">
        <v>46241</v>
      </c>
      <c r="H863" s="1">
        <v>46366</v>
      </c>
      <c r="I863" s="2">
        <v>0.25</v>
      </c>
      <c r="J863" s="2">
        <v>0.54166666666666663</v>
      </c>
      <c r="K863" t="s">
        <v>17</v>
      </c>
      <c r="L863" t="s">
        <v>18</v>
      </c>
      <c r="M863" s="1"/>
      <c r="O863" t="s">
        <v>21</v>
      </c>
      <c r="P863" s="1"/>
      <c r="Q863" s="1"/>
      <c r="S863" s="2">
        <f>CONSOLIDADO_2026[[#This Row],[Hora final]]-CONSOLIDADO_2026[[#This Row],[Hora inic]]</f>
        <v>0.29166666666666663</v>
      </c>
    </row>
    <row r="864" spans="1:19" x14ac:dyDescent="0.25">
      <c r="A864" t="s">
        <v>4208</v>
      </c>
      <c r="B864">
        <v>1067963513</v>
      </c>
      <c r="C864" t="s">
        <v>112</v>
      </c>
      <c r="D864" t="s">
        <v>29</v>
      </c>
      <c r="E864" t="s">
        <v>4005</v>
      </c>
      <c r="F864" t="s">
        <v>30</v>
      </c>
      <c r="G864" s="1">
        <v>46240</v>
      </c>
      <c r="H864" s="1">
        <v>46265</v>
      </c>
      <c r="I864" s="2"/>
      <c r="J864" s="2"/>
      <c r="L864" t="s">
        <v>4127</v>
      </c>
      <c r="M864" s="1"/>
      <c r="O864" t="s">
        <v>4007</v>
      </c>
      <c r="P864" s="1"/>
      <c r="Q864" s="1"/>
      <c r="S864" s="2">
        <f>CONSOLIDADO_2026[[#This Row],[Hora final]]-CONSOLIDADO_2026[[#This Row],[Hora inic]]</f>
        <v>0</v>
      </c>
    </row>
    <row r="865" spans="1:19" x14ac:dyDescent="0.25">
      <c r="A865" t="s">
        <v>4208</v>
      </c>
      <c r="B865">
        <v>1005424850</v>
      </c>
      <c r="C865" t="s">
        <v>56</v>
      </c>
      <c r="D865" t="s">
        <v>57</v>
      </c>
      <c r="E865" t="s">
        <v>4010</v>
      </c>
      <c r="F865" t="s">
        <v>4024</v>
      </c>
      <c r="G865" s="1">
        <v>46247</v>
      </c>
      <c r="H865" s="1">
        <v>46262</v>
      </c>
      <c r="I865" s="2">
        <v>0.5</v>
      </c>
      <c r="J865" s="2">
        <v>0.83333333333333337</v>
      </c>
      <c r="K865" t="s">
        <v>244</v>
      </c>
      <c r="L865" t="s">
        <v>245</v>
      </c>
      <c r="M865" s="1"/>
      <c r="O865" t="s">
        <v>4007</v>
      </c>
      <c r="P865" s="1"/>
      <c r="Q865" s="1"/>
      <c r="S865" s="2">
        <f>CONSOLIDADO_2026[[#This Row],[Hora final]]-CONSOLIDADO_2026[[#This Row],[Hora inic]]</f>
        <v>0.33333333333333337</v>
      </c>
    </row>
    <row r="866" spans="1:19" x14ac:dyDescent="0.25">
      <c r="A866" t="s">
        <v>4208</v>
      </c>
      <c r="B866">
        <v>42141273</v>
      </c>
      <c r="C866" t="s">
        <v>210</v>
      </c>
      <c r="D866" t="s">
        <v>211</v>
      </c>
      <c r="E866" t="s">
        <v>4017</v>
      </c>
      <c r="F866" t="s">
        <v>4029</v>
      </c>
      <c r="G866" s="1">
        <v>46232</v>
      </c>
      <c r="H866" s="1">
        <v>46261</v>
      </c>
      <c r="I866" s="2">
        <v>0.25</v>
      </c>
      <c r="J866" s="2">
        <v>0.5</v>
      </c>
      <c r="K866" t="s">
        <v>134</v>
      </c>
      <c r="L866" t="s">
        <v>135</v>
      </c>
      <c r="M866" s="1"/>
      <c r="O866" t="s">
        <v>4007</v>
      </c>
      <c r="P866" s="1"/>
      <c r="Q866" s="1"/>
      <c r="S866" s="2">
        <f>CONSOLIDADO_2026[[#This Row],[Hora final]]-CONSOLIDADO_2026[[#This Row],[Hora inic]]</f>
        <v>0.25</v>
      </c>
    </row>
    <row r="867" spans="1:19" x14ac:dyDescent="0.25">
      <c r="A867" t="s">
        <v>4208</v>
      </c>
      <c r="B867">
        <v>1037671907</v>
      </c>
      <c r="C867" t="s">
        <v>4136</v>
      </c>
      <c r="D867" t="s">
        <v>57</v>
      </c>
      <c r="E867" t="s">
        <v>4010</v>
      </c>
      <c r="F867" t="s">
        <v>4015</v>
      </c>
      <c r="G867" s="1">
        <v>46245</v>
      </c>
      <c r="H867" s="1">
        <v>46247</v>
      </c>
      <c r="I867" s="2"/>
      <c r="J867" s="2"/>
      <c r="L867" t="s">
        <v>4006</v>
      </c>
      <c r="M867" s="1"/>
      <c r="O867" t="s">
        <v>4007</v>
      </c>
      <c r="P867" s="1"/>
      <c r="Q867" s="1"/>
      <c r="S867" s="2">
        <f>CONSOLIDADO_2026[[#This Row],[Hora final]]-CONSOLIDADO_2026[[#This Row],[Hora inic]]</f>
        <v>0</v>
      </c>
    </row>
    <row r="868" spans="1:19" x14ac:dyDescent="0.25">
      <c r="A868" t="s">
        <v>4208</v>
      </c>
      <c r="B868">
        <v>1010246557</v>
      </c>
      <c r="C868" t="s">
        <v>3428</v>
      </c>
      <c r="D868" t="s">
        <v>326</v>
      </c>
      <c r="E868" t="s">
        <v>4005</v>
      </c>
      <c r="F868" t="s">
        <v>4108</v>
      </c>
      <c r="G868" s="1">
        <v>46247</v>
      </c>
      <c r="H868" s="1">
        <v>46247</v>
      </c>
      <c r="I868" s="2"/>
      <c r="J868" s="2"/>
      <c r="L868" t="s">
        <v>4006</v>
      </c>
      <c r="M868" s="1"/>
      <c r="O868" t="s">
        <v>4007</v>
      </c>
      <c r="P868" s="1"/>
      <c r="Q868" s="1"/>
      <c r="S868" s="2">
        <f>CONSOLIDADO_2026[[#This Row],[Hora final]]-CONSOLIDADO_2026[[#This Row],[Hora inic]]</f>
        <v>0</v>
      </c>
    </row>
    <row r="869" spans="1:19" x14ac:dyDescent="0.25">
      <c r="A869" t="s">
        <v>4208</v>
      </c>
      <c r="B869">
        <v>1152221372</v>
      </c>
      <c r="C869" t="s">
        <v>2313</v>
      </c>
      <c r="D869" t="s">
        <v>128</v>
      </c>
      <c r="E869" t="s">
        <v>4005</v>
      </c>
      <c r="F869" t="s">
        <v>4037</v>
      </c>
      <c r="G869" s="1">
        <v>46230</v>
      </c>
      <c r="H869" s="1"/>
      <c r="I869" s="2">
        <v>0.58333333333333337</v>
      </c>
      <c r="J869" s="2">
        <v>0.875</v>
      </c>
      <c r="K869" t="s">
        <v>106</v>
      </c>
      <c r="L869" t="s">
        <v>107</v>
      </c>
      <c r="M869" s="1"/>
      <c r="O869" t="s">
        <v>21</v>
      </c>
      <c r="P869" s="1"/>
      <c r="Q869" s="1"/>
      <c r="S869" s="2">
        <f>CONSOLIDADO_2026[[#This Row],[Hora final]]-CONSOLIDADO_2026[[#This Row],[Hora inic]]</f>
        <v>0.29166666666666663</v>
      </c>
    </row>
    <row r="870" spans="1:19" x14ac:dyDescent="0.25">
      <c r="A870" t="s">
        <v>4208</v>
      </c>
      <c r="B870">
        <v>1004960056</v>
      </c>
      <c r="C870" t="s">
        <v>563</v>
      </c>
      <c r="D870" t="s">
        <v>553</v>
      </c>
      <c r="E870" t="s">
        <v>4010</v>
      </c>
      <c r="F870" t="s">
        <v>4058</v>
      </c>
      <c r="G870" s="1">
        <v>46246</v>
      </c>
      <c r="H870" s="1">
        <v>46247</v>
      </c>
      <c r="I870" s="2"/>
      <c r="J870" s="2"/>
      <c r="L870" t="s">
        <v>4006</v>
      </c>
      <c r="M870" s="1"/>
      <c r="O870" t="s">
        <v>4007</v>
      </c>
      <c r="P870" s="1"/>
      <c r="Q870" s="1"/>
      <c r="S870" s="2">
        <f>CONSOLIDADO_2026[[#This Row],[Hora final]]-CONSOLIDADO_2026[[#This Row],[Hora inic]]</f>
        <v>0</v>
      </c>
    </row>
    <row r="871" spans="1:19" x14ac:dyDescent="0.25">
      <c r="A871" t="s">
        <v>4208</v>
      </c>
      <c r="B871">
        <v>1017264032</v>
      </c>
      <c r="C871" t="s">
        <v>63</v>
      </c>
      <c r="D871" t="s">
        <v>64</v>
      </c>
      <c r="E871" t="s">
        <v>4012</v>
      </c>
      <c r="F871" t="s">
        <v>25</v>
      </c>
      <c r="G871" s="1">
        <v>46229</v>
      </c>
      <c r="H871" s="1">
        <v>46258</v>
      </c>
      <c r="I871" s="2">
        <v>0.58333333333333337</v>
      </c>
      <c r="J871" s="2">
        <v>0.875</v>
      </c>
      <c r="L871" t="s">
        <v>261</v>
      </c>
      <c r="M871" s="1"/>
      <c r="O871" t="s">
        <v>4007</v>
      </c>
      <c r="P871" s="1"/>
      <c r="Q871" s="1"/>
      <c r="S871" s="2">
        <f>CONSOLIDADO_2026[[#This Row],[Hora final]]-CONSOLIDADO_2026[[#This Row],[Hora inic]]</f>
        <v>0.29166666666666663</v>
      </c>
    </row>
    <row r="872" spans="1:19" x14ac:dyDescent="0.25">
      <c r="A872" t="s">
        <v>4208</v>
      </c>
      <c r="B872">
        <v>1000640883</v>
      </c>
      <c r="C872" t="s">
        <v>3227</v>
      </c>
      <c r="D872" t="s">
        <v>64</v>
      </c>
      <c r="E872" t="s">
        <v>4012</v>
      </c>
      <c r="F872" t="s">
        <v>4040</v>
      </c>
      <c r="G872" s="1">
        <v>46247</v>
      </c>
      <c r="H872" s="1"/>
      <c r="I872" s="2">
        <v>0.58333333333333337</v>
      </c>
      <c r="J872" s="2">
        <v>0.875</v>
      </c>
      <c r="L872" t="s">
        <v>4022</v>
      </c>
      <c r="M872" s="1"/>
      <c r="O872" t="s">
        <v>4007</v>
      </c>
      <c r="P872" s="1"/>
      <c r="Q872" s="1"/>
      <c r="S872" s="2">
        <f>CONSOLIDADO_2026[[#This Row],[Hora final]]-CONSOLIDADO_2026[[#This Row],[Hora inic]]</f>
        <v>0.29166666666666663</v>
      </c>
    </row>
    <row r="873" spans="1:19" x14ac:dyDescent="0.25">
      <c r="A873" t="s">
        <v>4208</v>
      </c>
      <c r="B873">
        <v>1037631989</v>
      </c>
      <c r="C873" t="s">
        <v>40</v>
      </c>
      <c r="D873" t="s">
        <v>41</v>
      </c>
      <c r="E873" t="s">
        <v>4011</v>
      </c>
      <c r="F873" t="s">
        <v>25</v>
      </c>
      <c r="G873" s="1">
        <v>46226</v>
      </c>
      <c r="H873" s="1">
        <v>46255</v>
      </c>
      <c r="I873" s="2">
        <v>0.54166666666666663</v>
      </c>
      <c r="J873" s="2">
        <v>0.875</v>
      </c>
      <c r="L873" t="s">
        <v>261</v>
      </c>
      <c r="M873" s="1"/>
      <c r="O873" t="s">
        <v>4007</v>
      </c>
      <c r="P873" s="1"/>
      <c r="Q873" s="1"/>
      <c r="S873" s="2">
        <f>CONSOLIDADO_2026[[#This Row],[Hora final]]-CONSOLIDADO_2026[[#This Row],[Hora inic]]</f>
        <v>0.33333333333333337</v>
      </c>
    </row>
    <row r="874" spans="1:19" x14ac:dyDescent="0.25">
      <c r="A874" t="s">
        <v>4208</v>
      </c>
      <c r="B874">
        <v>1143414481</v>
      </c>
      <c r="C874" t="s">
        <v>2395</v>
      </c>
      <c r="D874" t="s">
        <v>41</v>
      </c>
      <c r="E874" t="s">
        <v>4011</v>
      </c>
      <c r="F874" t="s">
        <v>4091</v>
      </c>
      <c r="G874" s="1">
        <v>46247</v>
      </c>
      <c r="H874" s="1">
        <v>46252</v>
      </c>
      <c r="I874" s="2">
        <v>0.58333333333333337</v>
      </c>
      <c r="J874" s="2">
        <v>0.875</v>
      </c>
      <c r="L874" t="s">
        <v>261</v>
      </c>
      <c r="M874" s="1"/>
      <c r="O874" t="s">
        <v>4007</v>
      </c>
      <c r="P874" s="1"/>
      <c r="Q874" s="1"/>
      <c r="S874" s="2">
        <f>CONSOLIDADO_2026[[#This Row],[Hora final]]-CONSOLIDADO_2026[[#This Row],[Hora inic]]</f>
        <v>0.29166666666666663</v>
      </c>
    </row>
    <row r="875" spans="1:19" x14ac:dyDescent="0.25">
      <c r="A875" t="s">
        <v>4208</v>
      </c>
      <c r="B875">
        <v>1043006106</v>
      </c>
      <c r="C875" t="s">
        <v>194</v>
      </c>
      <c r="D875" t="s">
        <v>160</v>
      </c>
      <c r="E875" t="s">
        <v>4011</v>
      </c>
      <c r="F875" t="s">
        <v>25</v>
      </c>
      <c r="G875" s="1">
        <v>46219</v>
      </c>
      <c r="H875" s="1">
        <v>46248</v>
      </c>
      <c r="I875" s="2">
        <v>0.58333333333333337</v>
      </c>
      <c r="J875" s="2">
        <v>0.875</v>
      </c>
      <c r="L875" t="s">
        <v>261</v>
      </c>
      <c r="M875" s="1"/>
      <c r="O875" t="s">
        <v>4007</v>
      </c>
      <c r="P875" s="1"/>
      <c r="Q875" s="1"/>
      <c r="S875" s="2">
        <f>CONSOLIDADO_2026[[#This Row],[Hora final]]-CONSOLIDADO_2026[[#This Row],[Hora inic]]</f>
        <v>0.29166666666666663</v>
      </c>
    </row>
    <row r="876" spans="1:19" x14ac:dyDescent="0.25">
      <c r="A876" t="s">
        <v>4208</v>
      </c>
      <c r="B876">
        <v>1121506548</v>
      </c>
      <c r="C876" t="s">
        <v>50</v>
      </c>
      <c r="D876" t="s">
        <v>51</v>
      </c>
      <c r="E876" t="s">
        <v>4011</v>
      </c>
      <c r="F876" t="s">
        <v>16</v>
      </c>
      <c r="G876" s="1">
        <v>46217</v>
      </c>
      <c r="H876" s="1">
        <v>46342</v>
      </c>
      <c r="I876" s="2">
        <v>0.58333333333333337</v>
      </c>
      <c r="J876" s="2">
        <v>0.875</v>
      </c>
      <c r="K876" t="s">
        <v>240</v>
      </c>
      <c r="L876" t="s">
        <v>241</v>
      </c>
      <c r="M876" s="1"/>
      <c r="O876" t="s">
        <v>21</v>
      </c>
      <c r="P876" s="1"/>
      <c r="Q876" s="1"/>
      <c r="S876" s="2">
        <f>CONSOLIDADO_2026[[#This Row],[Hora final]]-CONSOLIDADO_2026[[#This Row],[Hora inic]]</f>
        <v>0.29166666666666663</v>
      </c>
    </row>
    <row r="877" spans="1:19" x14ac:dyDescent="0.25">
      <c r="A877" t="s">
        <v>4208</v>
      </c>
      <c r="B877">
        <v>1037630071</v>
      </c>
      <c r="C877" t="s">
        <v>3544</v>
      </c>
      <c r="D877" t="s">
        <v>97</v>
      </c>
      <c r="E877" t="s">
        <v>4005</v>
      </c>
      <c r="F877" t="s">
        <v>4024</v>
      </c>
      <c r="G877" s="1">
        <v>46247</v>
      </c>
      <c r="H877" s="1">
        <v>46265</v>
      </c>
      <c r="I877" s="2">
        <v>0.25</v>
      </c>
      <c r="J877" s="2">
        <v>0.58333333333333337</v>
      </c>
      <c r="K877" t="s">
        <v>154</v>
      </c>
      <c r="L877" t="s">
        <v>155</v>
      </c>
      <c r="M877" s="1"/>
      <c r="O877" t="s">
        <v>4007</v>
      </c>
      <c r="P877" s="1"/>
      <c r="Q877" s="1"/>
      <c r="S877" s="2">
        <f>CONSOLIDADO_2026[[#This Row],[Hora final]]-CONSOLIDADO_2026[[#This Row],[Hora inic]]</f>
        <v>0.33333333333333337</v>
      </c>
    </row>
    <row r="878" spans="1:19" x14ac:dyDescent="0.25">
      <c r="A878" t="s">
        <v>4208</v>
      </c>
      <c r="B878">
        <v>1143460426</v>
      </c>
      <c r="C878" t="s">
        <v>4034</v>
      </c>
      <c r="D878" t="s">
        <v>160</v>
      </c>
      <c r="E878" t="s">
        <v>4011</v>
      </c>
      <c r="F878" t="s">
        <v>4015</v>
      </c>
      <c r="G878" s="1">
        <v>46195</v>
      </c>
      <c r="H878" s="1">
        <v>46198</v>
      </c>
      <c r="I878" s="2">
        <v>0.58333333333333337</v>
      </c>
      <c r="J878" s="2">
        <v>0.875</v>
      </c>
      <c r="K878" t="s">
        <v>191</v>
      </c>
      <c r="L878" t="s">
        <v>192</v>
      </c>
      <c r="M878" s="1"/>
      <c r="O878" t="s">
        <v>21</v>
      </c>
      <c r="P878" s="1"/>
      <c r="Q878" s="1"/>
      <c r="S878" s="2">
        <f>CONSOLIDADO_2026[[#This Row],[Hora final]]-CONSOLIDADO_2026[[#This Row],[Hora inic]]</f>
        <v>0.29166666666666663</v>
      </c>
    </row>
    <row r="879" spans="1:19" x14ac:dyDescent="0.25">
      <c r="A879" t="s">
        <v>4208</v>
      </c>
      <c r="B879">
        <v>1001897056</v>
      </c>
      <c r="C879" t="s">
        <v>3660</v>
      </c>
      <c r="D879" t="s">
        <v>128</v>
      </c>
      <c r="E879" t="s">
        <v>4005</v>
      </c>
      <c r="F879" t="s">
        <v>25</v>
      </c>
      <c r="G879" s="1">
        <v>46245</v>
      </c>
      <c r="H879" s="1">
        <v>46249</v>
      </c>
      <c r="I879" s="2">
        <v>0.54166666666666663</v>
      </c>
      <c r="J879" s="2">
        <v>0.875</v>
      </c>
      <c r="L879" t="s">
        <v>261</v>
      </c>
      <c r="M879" s="1"/>
      <c r="O879" t="s">
        <v>4007</v>
      </c>
      <c r="P879" s="1"/>
      <c r="Q879" s="1"/>
      <c r="S879" s="2">
        <f>CONSOLIDADO_2026[[#This Row],[Hora final]]-CONSOLIDADO_2026[[#This Row],[Hora inic]]</f>
        <v>0.33333333333333337</v>
      </c>
    </row>
    <row r="880" spans="1:19" x14ac:dyDescent="0.25">
      <c r="A880" t="s">
        <v>4208</v>
      </c>
      <c r="B880">
        <v>1152462704</v>
      </c>
      <c r="C880" t="s">
        <v>663</v>
      </c>
      <c r="D880" t="s">
        <v>82</v>
      </c>
      <c r="E880" t="s">
        <v>4005</v>
      </c>
      <c r="F880" t="s">
        <v>4040</v>
      </c>
      <c r="G880" s="1">
        <v>46246</v>
      </c>
      <c r="H880" s="1"/>
      <c r="I880" s="2">
        <v>0.58333333333333337</v>
      </c>
      <c r="J880" s="2">
        <v>0.875</v>
      </c>
      <c r="L880" t="s">
        <v>4022</v>
      </c>
      <c r="M880" s="1"/>
      <c r="O880" t="s">
        <v>4007</v>
      </c>
      <c r="P880" s="1"/>
      <c r="Q880" s="1"/>
      <c r="S880" s="2">
        <f>CONSOLIDADO_2026[[#This Row],[Hora final]]-CONSOLIDADO_2026[[#This Row],[Hora inic]]</f>
        <v>0.29166666666666663</v>
      </c>
    </row>
    <row r="881" spans="1:19" x14ac:dyDescent="0.25">
      <c r="A881" t="s">
        <v>4208</v>
      </c>
      <c r="B881">
        <v>1045718883</v>
      </c>
      <c r="C881" t="s">
        <v>47</v>
      </c>
      <c r="D881" t="s">
        <v>34</v>
      </c>
      <c r="E881" t="s">
        <v>4011</v>
      </c>
      <c r="F881" t="s">
        <v>16</v>
      </c>
      <c r="G881" s="1">
        <v>46245</v>
      </c>
      <c r="H881" s="1">
        <v>46340</v>
      </c>
      <c r="I881" s="2">
        <v>0.25</v>
      </c>
      <c r="J881" s="2">
        <v>0.54166666666666663</v>
      </c>
      <c r="K881" t="s">
        <v>73</v>
      </c>
      <c r="L881" t="s">
        <v>74</v>
      </c>
      <c r="M881" s="1"/>
      <c r="O881" t="s">
        <v>21</v>
      </c>
      <c r="P881" s="1"/>
      <c r="Q881" s="1"/>
      <c r="S881" s="2">
        <f>CONSOLIDADO_2026[[#This Row],[Hora final]]-CONSOLIDADO_2026[[#This Row],[Hora inic]]</f>
        <v>0.29166666666666663</v>
      </c>
    </row>
    <row r="882" spans="1:19" x14ac:dyDescent="0.25">
      <c r="A882" t="s">
        <v>4208</v>
      </c>
      <c r="B882">
        <v>1102808787</v>
      </c>
      <c r="C882" t="s">
        <v>265</v>
      </c>
      <c r="D882" t="s">
        <v>51</v>
      </c>
      <c r="E882" t="s">
        <v>4011</v>
      </c>
      <c r="F882" t="s">
        <v>25</v>
      </c>
      <c r="G882" s="1">
        <v>46237</v>
      </c>
      <c r="H882" s="1">
        <v>46256</v>
      </c>
      <c r="I882" s="2">
        <v>0.25</v>
      </c>
      <c r="J882" s="2">
        <v>0.58333333333333337</v>
      </c>
      <c r="L882" t="s">
        <v>261</v>
      </c>
      <c r="M882" s="1"/>
      <c r="O882" t="s">
        <v>4007</v>
      </c>
      <c r="P882" s="1"/>
      <c r="Q882" s="1"/>
      <c r="S882" s="2">
        <f>CONSOLIDADO_2026[[#This Row],[Hora final]]-CONSOLIDADO_2026[[#This Row],[Hora inic]]</f>
        <v>0.33333333333333337</v>
      </c>
    </row>
    <row r="883" spans="1:19" x14ac:dyDescent="0.25">
      <c r="A883" t="s">
        <v>4208</v>
      </c>
      <c r="B883">
        <v>1071169507</v>
      </c>
      <c r="C883" t="s">
        <v>88</v>
      </c>
      <c r="D883" t="s">
        <v>89</v>
      </c>
      <c r="E883" t="s">
        <v>4017</v>
      </c>
      <c r="F883" t="s">
        <v>90</v>
      </c>
      <c r="G883" s="1">
        <v>46242</v>
      </c>
      <c r="H883" s="1">
        <v>46247</v>
      </c>
      <c r="I883" s="2"/>
      <c r="J883" s="2"/>
      <c r="L883" t="s">
        <v>4006</v>
      </c>
      <c r="M883" s="1"/>
      <c r="O883" t="s">
        <v>4007</v>
      </c>
      <c r="P883" s="1"/>
      <c r="Q883" s="1"/>
      <c r="S883" s="2">
        <f>CONSOLIDADO_2026[[#This Row],[Hora final]]-CONSOLIDADO_2026[[#This Row],[Hora inic]]</f>
        <v>0</v>
      </c>
    </row>
    <row r="884" spans="1:19" x14ac:dyDescent="0.25">
      <c r="A884" t="s">
        <v>4208</v>
      </c>
      <c r="B884">
        <v>1007111078</v>
      </c>
      <c r="C884" t="s">
        <v>3631</v>
      </c>
      <c r="D884" t="s">
        <v>4142</v>
      </c>
      <c r="E884" t="s">
        <v>4017</v>
      </c>
      <c r="F884" t="s">
        <v>4053</v>
      </c>
      <c r="G884" s="1">
        <v>46247</v>
      </c>
      <c r="H884" s="1">
        <v>46247</v>
      </c>
      <c r="I884" s="2"/>
      <c r="J884" s="2"/>
      <c r="L884" t="s">
        <v>4006</v>
      </c>
      <c r="M884" s="1"/>
      <c r="O884" t="s">
        <v>4007</v>
      </c>
      <c r="P884" s="1"/>
      <c r="Q884" s="1"/>
      <c r="S884" s="2">
        <f>CONSOLIDADO_2026[[#This Row],[Hora final]]-CONSOLIDADO_2026[[#This Row],[Hora inic]]</f>
        <v>0</v>
      </c>
    </row>
    <row r="885" spans="1:19" x14ac:dyDescent="0.25">
      <c r="A885" t="s">
        <v>4208</v>
      </c>
      <c r="B885">
        <v>1053860403</v>
      </c>
      <c r="C885" t="s">
        <v>2271</v>
      </c>
      <c r="D885" t="s">
        <v>211</v>
      </c>
      <c r="E885" t="s">
        <v>4017</v>
      </c>
      <c r="F885" t="s">
        <v>4040</v>
      </c>
      <c r="G885" s="1">
        <v>46247</v>
      </c>
      <c r="H885" s="1"/>
      <c r="I885" s="2">
        <v>0.25</v>
      </c>
      <c r="J885" s="2">
        <v>0.54166666666666663</v>
      </c>
      <c r="L885" t="s">
        <v>4146</v>
      </c>
      <c r="M885" s="1"/>
      <c r="O885" t="s">
        <v>4007</v>
      </c>
      <c r="P885" s="1"/>
      <c r="Q885" s="1"/>
      <c r="S885" s="2">
        <f>CONSOLIDADO_2026[[#This Row],[Hora final]]-CONSOLIDADO_2026[[#This Row],[Hora inic]]</f>
        <v>0.29166666666666663</v>
      </c>
    </row>
    <row r="886" spans="1:19" x14ac:dyDescent="0.25">
      <c r="A886" t="s">
        <v>4208</v>
      </c>
      <c r="B886">
        <v>1007223463</v>
      </c>
      <c r="C886" t="s">
        <v>487</v>
      </c>
      <c r="D886" t="s">
        <v>4045</v>
      </c>
      <c r="E886" t="s">
        <v>4017</v>
      </c>
      <c r="F886" t="s">
        <v>4046</v>
      </c>
      <c r="G886" s="1">
        <v>46248</v>
      </c>
      <c r="H886" s="1">
        <v>46248</v>
      </c>
      <c r="I886" s="2">
        <v>0.25</v>
      </c>
      <c r="J886" s="2">
        <v>0.58333333333333337</v>
      </c>
      <c r="L886" t="s">
        <v>4099</v>
      </c>
      <c r="M886" s="1"/>
      <c r="O886" t="s">
        <v>4007</v>
      </c>
      <c r="P886" s="1"/>
      <c r="Q886" s="1"/>
      <c r="S886" s="2">
        <f>CONSOLIDADO_2026[[#This Row],[Hora final]]-CONSOLIDADO_2026[[#This Row],[Hora inic]]</f>
        <v>0.33333333333333337</v>
      </c>
    </row>
    <row r="887" spans="1:19" x14ac:dyDescent="0.25">
      <c r="A887" t="s">
        <v>4208</v>
      </c>
      <c r="B887">
        <v>1036965348</v>
      </c>
      <c r="C887" t="s">
        <v>186</v>
      </c>
      <c r="D887" t="s">
        <v>4045</v>
      </c>
      <c r="E887" t="s">
        <v>4011</v>
      </c>
      <c r="F887" t="s">
        <v>4046</v>
      </c>
      <c r="G887" s="1">
        <v>46248</v>
      </c>
      <c r="H887" s="1">
        <v>46248</v>
      </c>
      <c r="I887" s="2">
        <v>0.25</v>
      </c>
      <c r="J887" s="2">
        <v>0.58333333333333337</v>
      </c>
      <c r="L887" t="s">
        <v>4099</v>
      </c>
      <c r="M887" s="1"/>
      <c r="O887" t="s">
        <v>4007</v>
      </c>
      <c r="P887" s="1"/>
      <c r="Q887" s="1"/>
      <c r="S887" s="2">
        <f>CONSOLIDADO_2026[[#This Row],[Hora final]]-CONSOLIDADO_2026[[#This Row],[Hora inic]]</f>
        <v>0.33333333333333337</v>
      </c>
    </row>
    <row r="888" spans="1:19" x14ac:dyDescent="0.25">
      <c r="A888" t="s">
        <v>4208</v>
      </c>
      <c r="B888">
        <v>43453341</v>
      </c>
      <c r="C888" t="s">
        <v>1251</v>
      </c>
      <c r="D888" t="s">
        <v>121</v>
      </c>
      <c r="E888" t="s">
        <v>4010</v>
      </c>
      <c r="F888" t="s">
        <v>4040</v>
      </c>
      <c r="G888" s="1">
        <v>46247</v>
      </c>
      <c r="H888" s="1"/>
      <c r="I888" s="2">
        <v>0.54166666666666663</v>
      </c>
      <c r="J888" s="2">
        <v>0.875</v>
      </c>
      <c r="L888" t="s">
        <v>4022</v>
      </c>
      <c r="M888" s="1"/>
      <c r="O888" t="s">
        <v>4007</v>
      </c>
      <c r="P888" s="1"/>
      <c r="Q888" s="1"/>
      <c r="S888" s="2">
        <f>CONSOLIDADO_2026[[#This Row],[Hora final]]-CONSOLIDADO_2026[[#This Row],[Hora inic]]</f>
        <v>0.33333333333333337</v>
      </c>
    </row>
    <row r="889" spans="1:19" x14ac:dyDescent="0.25">
      <c r="A889" t="s">
        <v>4208</v>
      </c>
      <c r="B889" t="s">
        <v>4210</v>
      </c>
      <c r="C889" t="s">
        <v>4211</v>
      </c>
      <c r="D889" t="s">
        <v>326</v>
      </c>
      <c r="E889" t="s">
        <v>4005</v>
      </c>
      <c r="F889" t="s">
        <v>25</v>
      </c>
      <c r="G889" s="1">
        <v>46247</v>
      </c>
      <c r="H889" s="1">
        <v>46248</v>
      </c>
      <c r="I889" s="2">
        <v>0.25</v>
      </c>
      <c r="J889" s="2">
        <v>0.58333333333333337</v>
      </c>
      <c r="L889" t="s">
        <v>261</v>
      </c>
      <c r="M889" s="1"/>
      <c r="O889" t="s">
        <v>4007</v>
      </c>
      <c r="P889" s="1"/>
      <c r="Q889" s="1"/>
      <c r="S889" s="2">
        <f>CONSOLIDADO_2026[[#This Row],[Hora final]]-CONSOLIDADO_2026[[#This Row],[Hora inic]]</f>
        <v>0.33333333333333337</v>
      </c>
    </row>
    <row r="890" spans="1:19" x14ac:dyDescent="0.25">
      <c r="A890" t="s">
        <v>4208</v>
      </c>
      <c r="B890">
        <v>1001446162</v>
      </c>
      <c r="C890" t="s">
        <v>3622</v>
      </c>
      <c r="D890" t="s">
        <v>4093</v>
      </c>
      <c r="E890" t="s">
        <v>4017</v>
      </c>
      <c r="F890" t="s">
        <v>4093</v>
      </c>
      <c r="G890" s="1">
        <v>46248</v>
      </c>
      <c r="H890" s="1">
        <v>46248</v>
      </c>
      <c r="I890" s="2">
        <v>0.25</v>
      </c>
      <c r="J890" s="2">
        <v>0.58333333333333337</v>
      </c>
      <c r="L890" t="s">
        <v>4099</v>
      </c>
      <c r="M890" s="1"/>
      <c r="O890" t="s">
        <v>4007</v>
      </c>
      <c r="P890" s="1"/>
      <c r="Q890" s="1"/>
      <c r="S890" s="2">
        <f>CONSOLIDADO_2026[[#This Row],[Hora final]]-CONSOLIDADO_2026[[#This Row],[Hora inic]]</f>
        <v>0.33333333333333337</v>
      </c>
    </row>
    <row r="891" spans="1:19" x14ac:dyDescent="0.25">
      <c r="A891" t="s">
        <v>4208</v>
      </c>
      <c r="B891">
        <v>1067959066</v>
      </c>
      <c r="C891" t="s">
        <v>3446</v>
      </c>
      <c r="D891" t="s">
        <v>322</v>
      </c>
      <c r="E891" t="s">
        <v>4017</v>
      </c>
      <c r="F891" t="s">
        <v>4040</v>
      </c>
      <c r="G891" s="1">
        <v>46247</v>
      </c>
      <c r="H891" s="1"/>
      <c r="I891" s="2">
        <v>0.58333333333333337</v>
      </c>
      <c r="J891" s="2">
        <v>0.875</v>
      </c>
      <c r="L891" t="s">
        <v>4212</v>
      </c>
      <c r="M891" s="1"/>
      <c r="O891" t="s">
        <v>4007</v>
      </c>
      <c r="P891" s="1"/>
      <c r="Q891" s="1"/>
      <c r="S891" s="2">
        <f>CONSOLIDADO_2026[[#This Row],[Hora final]]-CONSOLIDADO_2026[[#This Row],[Hora inic]]</f>
        <v>0.29166666666666663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6040F-A773-4E98-A3A6-1209666B8A4D}">
  <dimension ref="A1:I839"/>
  <sheetViews>
    <sheetView topLeftCell="E1" workbookViewId="0">
      <selection activeCell="B1349" sqref="B1349:I1349"/>
    </sheetView>
  </sheetViews>
  <sheetFormatPr baseColWidth="10" defaultColWidth="11.42578125" defaultRowHeight="15" x14ac:dyDescent="0.25"/>
  <cols>
    <col min="1" max="1" width="39" bestFit="1" customWidth="1"/>
    <col min="2" max="2" width="15.28515625" bestFit="1" customWidth="1"/>
    <col min="3" max="3" width="40.140625" bestFit="1" customWidth="1"/>
    <col min="4" max="4" width="24.28515625" bestFit="1" customWidth="1"/>
    <col min="5" max="5" width="14.7109375" bestFit="1" customWidth="1"/>
    <col min="6" max="6" width="16.28515625" style="1" bestFit="1" customWidth="1"/>
    <col min="7" max="7" width="15.85546875" style="1" bestFit="1" customWidth="1"/>
    <col min="8" max="8" width="28" bestFit="1" customWidth="1"/>
    <col min="9" max="9" width="53.7109375" bestFit="1" customWidth="1"/>
    <col min="10" max="10" width="25.42578125" bestFit="1" customWidth="1"/>
    <col min="11" max="11" width="25.5703125" bestFit="1" customWidth="1"/>
    <col min="12" max="12" width="13" bestFit="1" customWidth="1"/>
    <col min="13" max="13" width="81.140625" customWidth="1"/>
    <col min="14" max="14" width="81.140625" bestFit="1" customWidth="1"/>
  </cols>
  <sheetData>
    <row r="1" spans="1:9" x14ac:dyDescent="0.25">
      <c r="A1" t="s">
        <v>4145</v>
      </c>
      <c r="B1" t="s">
        <v>1</v>
      </c>
      <c r="C1" t="s">
        <v>2</v>
      </c>
      <c r="D1" t="s">
        <v>3</v>
      </c>
      <c r="E1" t="s">
        <v>3994</v>
      </c>
      <c r="F1" s="1" t="s">
        <v>5</v>
      </c>
      <c r="G1" s="1" t="s">
        <v>6</v>
      </c>
      <c r="H1" t="s">
        <v>8</v>
      </c>
      <c r="I1" t="s">
        <v>9</v>
      </c>
    </row>
    <row r="2" spans="1:9" hidden="1" x14ac:dyDescent="0.25">
      <c r="A2" s="1">
        <v>46235</v>
      </c>
      <c r="B2">
        <v>1102885216</v>
      </c>
      <c r="C2" t="s">
        <v>3864</v>
      </c>
      <c r="D2" t="s">
        <v>410</v>
      </c>
      <c r="E2" t="s">
        <v>4005</v>
      </c>
      <c r="F2" s="1">
        <v>46234</v>
      </c>
      <c r="G2" s="1">
        <v>46234</v>
      </c>
      <c r="I2" t="s">
        <v>4006</v>
      </c>
    </row>
    <row r="3" spans="1:9" hidden="1" x14ac:dyDescent="0.25">
      <c r="A3" s="1">
        <v>46237</v>
      </c>
      <c r="B3">
        <v>1037634709</v>
      </c>
      <c r="C3" t="s">
        <v>4009</v>
      </c>
      <c r="D3" t="s">
        <v>420</v>
      </c>
      <c r="E3" t="s">
        <v>4010</v>
      </c>
      <c r="F3" s="1">
        <v>46234</v>
      </c>
      <c r="G3" s="1">
        <v>46235</v>
      </c>
      <c r="I3" t="s">
        <v>4006</v>
      </c>
    </row>
    <row r="4" spans="1:9" hidden="1" x14ac:dyDescent="0.25">
      <c r="A4" s="1">
        <v>46237</v>
      </c>
      <c r="B4">
        <v>1152436231</v>
      </c>
      <c r="C4" t="s">
        <v>131</v>
      </c>
      <c r="D4" t="s">
        <v>132</v>
      </c>
      <c r="E4" t="s">
        <v>4010</v>
      </c>
      <c r="F4" s="1">
        <v>46234</v>
      </c>
      <c r="G4" s="1">
        <v>46235</v>
      </c>
      <c r="I4" t="s">
        <v>4006</v>
      </c>
    </row>
    <row r="5" spans="1:9" hidden="1" x14ac:dyDescent="0.25">
      <c r="A5" s="1">
        <v>46237</v>
      </c>
      <c r="B5">
        <v>42158742</v>
      </c>
      <c r="C5" t="s">
        <v>3150</v>
      </c>
      <c r="D5" t="s">
        <v>24</v>
      </c>
      <c r="E5" t="s">
        <v>4011</v>
      </c>
      <c r="F5" s="1">
        <v>46234</v>
      </c>
      <c r="G5" s="1">
        <v>46235</v>
      </c>
      <c r="I5" t="s">
        <v>4006</v>
      </c>
    </row>
    <row r="6" spans="1:9" hidden="1" x14ac:dyDescent="0.25">
      <c r="A6" s="1">
        <v>46235</v>
      </c>
      <c r="B6">
        <v>1001013936</v>
      </c>
      <c r="C6" t="s">
        <v>3820</v>
      </c>
      <c r="D6" t="s">
        <v>41</v>
      </c>
      <c r="E6" t="s">
        <v>4011</v>
      </c>
      <c r="F6" s="1">
        <v>46234</v>
      </c>
      <c r="G6" s="1">
        <v>46234</v>
      </c>
      <c r="I6" t="s">
        <v>4006</v>
      </c>
    </row>
    <row r="7" spans="1:9" hidden="1" x14ac:dyDescent="0.25">
      <c r="A7" s="1">
        <v>46237</v>
      </c>
      <c r="B7">
        <v>1016090631</v>
      </c>
      <c r="C7" t="s">
        <v>2818</v>
      </c>
      <c r="D7" t="s">
        <v>64</v>
      </c>
      <c r="E7" t="s">
        <v>4012</v>
      </c>
      <c r="F7" s="1">
        <v>46233</v>
      </c>
      <c r="G7" s="1">
        <v>46235</v>
      </c>
      <c r="I7" t="s">
        <v>4006</v>
      </c>
    </row>
    <row r="8" spans="1:9" hidden="1" x14ac:dyDescent="0.25">
      <c r="A8" s="1">
        <v>46235</v>
      </c>
      <c r="B8">
        <v>1000893991</v>
      </c>
      <c r="C8" t="s">
        <v>3562</v>
      </c>
      <c r="D8" t="s">
        <v>64</v>
      </c>
      <c r="E8" t="s">
        <v>4012</v>
      </c>
      <c r="F8" s="1">
        <v>46234</v>
      </c>
      <c r="G8" s="1">
        <v>46234</v>
      </c>
      <c r="I8" t="s">
        <v>4006</v>
      </c>
    </row>
    <row r="9" spans="1:9" hidden="1" x14ac:dyDescent="0.25">
      <c r="A9" s="1">
        <v>46237</v>
      </c>
      <c r="B9">
        <v>1128467297</v>
      </c>
      <c r="C9" t="s">
        <v>3356</v>
      </c>
      <c r="D9" t="s">
        <v>543</v>
      </c>
      <c r="E9" t="s">
        <v>4010</v>
      </c>
      <c r="F9" s="1">
        <v>46234</v>
      </c>
      <c r="G9" s="1">
        <v>46235</v>
      </c>
      <c r="I9" t="s">
        <v>4006</v>
      </c>
    </row>
    <row r="10" spans="1:9" hidden="1" x14ac:dyDescent="0.25">
      <c r="A10" s="1">
        <v>46237</v>
      </c>
      <c r="B10">
        <v>1017270154</v>
      </c>
      <c r="C10" t="s">
        <v>928</v>
      </c>
      <c r="D10" t="s">
        <v>343</v>
      </c>
      <c r="E10" t="s">
        <v>4012</v>
      </c>
      <c r="F10" s="1">
        <v>46234</v>
      </c>
      <c r="G10" s="1">
        <v>46235</v>
      </c>
      <c r="I10" t="s">
        <v>4006</v>
      </c>
    </row>
    <row r="11" spans="1:9" hidden="1" x14ac:dyDescent="0.25">
      <c r="A11" s="1">
        <v>46237</v>
      </c>
      <c r="B11">
        <v>1043022975</v>
      </c>
      <c r="C11" t="s">
        <v>1733</v>
      </c>
      <c r="D11" t="s">
        <v>34</v>
      </c>
      <c r="E11" t="s">
        <v>4011</v>
      </c>
      <c r="F11" s="1">
        <v>46234</v>
      </c>
      <c r="G11" s="1">
        <v>46235</v>
      </c>
      <c r="I11" t="s">
        <v>4006</v>
      </c>
    </row>
    <row r="12" spans="1:9" hidden="1" x14ac:dyDescent="0.25">
      <c r="A12" s="1">
        <v>46239</v>
      </c>
      <c r="B12">
        <v>1140905046</v>
      </c>
      <c r="C12" t="s">
        <v>4014</v>
      </c>
      <c r="D12" t="s">
        <v>410</v>
      </c>
      <c r="E12" t="s">
        <v>4005</v>
      </c>
      <c r="F12" s="1">
        <v>46235</v>
      </c>
      <c r="G12" s="1">
        <v>46238</v>
      </c>
      <c r="I12" t="s">
        <v>4006</v>
      </c>
    </row>
    <row r="13" spans="1:9" hidden="1" x14ac:dyDescent="0.25">
      <c r="A13" s="1">
        <v>46238</v>
      </c>
      <c r="B13" t="s">
        <v>228</v>
      </c>
      <c r="C13" t="s">
        <v>229</v>
      </c>
      <c r="D13" t="s">
        <v>211</v>
      </c>
      <c r="E13" t="s">
        <v>4017</v>
      </c>
      <c r="F13" s="1">
        <v>46230</v>
      </c>
      <c r="G13" s="1">
        <v>46355</v>
      </c>
      <c r="I13" t="s">
        <v>4006</v>
      </c>
    </row>
    <row r="14" spans="1:9" hidden="1" x14ac:dyDescent="0.25">
      <c r="A14" s="1">
        <v>46239</v>
      </c>
      <c r="B14">
        <v>1085318652</v>
      </c>
      <c r="C14" t="s">
        <v>235</v>
      </c>
      <c r="D14" t="s">
        <v>211</v>
      </c>
      <c r="E14" t="s">
        <v>4017</v>
      </c>
      <c r="F14" s="1">
        <v>46233</v>
      </c>
      <c r="G14" s="1">
        <v>46238</v>
      </c>
      <c r="I14" t="s">
        <v>4006</v>
      </c>
    </row>
    <row r="15" spans="1:9" hidden="1" x14ac:dyDescent="0.25">
      <c r="A15" s="1">
        <v>46239</v>
      </c>
      <c r="B15">
        <v>21852680</v>
      </c>
      <c r="C15" t="s">
        <v>4018</v>
      </c>
      <c r="D15" t="s">
        <v>410</v>
      </c>
      <c r="E15" t="s">
        <v>4005</v>
      </c>
      <c r="F15" s="1">
        <v>46235</v>
      </c>
      <c r="G15" s="1">
        <v>46238</v>
      </c>
      <c r="I15" t="s">
        <v>4006</v>
      </c>
    </row>
    <row r="16" spans="1:9" hidden="1" x14ac:dyDescent="0.25">
      <c r="A16" s="1">
        <v>46235</v>
      </c>
      <c r="B16">
        <v>1143413071</v>
      </c>
      <c r="C16" t="s">
        <v>424</v>
      </c>
      <c r="D16" t="s">
        <v>41</v>
      </c>
      <c r="E16" t="s">
        <v>4011</v>
      </c>
      <c r="F16" s="1">
        <v>46232</v>
      </c>
      <c r="G16" s="1">
        <v>46234</v>
      </c>
      <c r="I16" t="s">
        <v>4006</v>
      </c>
    </row>
    <row r="17" spans="1:9" hidden="1" x14ac:dyDescent="0.25">
      <c r="A17" s="1">
        <v>46239</v>
      </c>
      <c r="B17">
        <v>1143374438</v>
      </c>
      <c r="C17" t="s">
        <v>85</v>
      </c>
      <c r="D17" t="s">
        <v>41</v>
      </c>
      <c r="E17" t="s">
        <v>4011</v>
      </c>
      <c r="F17" s="1">
        <v>46209</v>
      </c>
      <c r="G17" s="1">
        <v>46238</v>
      </c>
      <c r="I17" t="s">
        <v>4006</v>
      </c>
    </row>
    <row r="18" spans="1:9" hidden="1" x14ac:dyDescent="0.25">
      <c r="A18" s="1">
        <v>46237</v>
      </c>
      <c r="B18">
        <v>1061819313</v>
      </c>
      <c r="C18" t="s">
        <v>223</v>
      </c>
      <c r="D18" t="s">
        <v>142</v>
      </c>
      <c r="E18" t="s">
        <v>4012</v>
      </c>
      <c r="F18" s="1">
        <v>46231</v>
      </c>
      <c r="G18" s="1">
        <v>46235</v>
      </c>
      <c r="I18" t="s">
        <v>4006</v>
      </c>
    </row>
    <row r="19" spans="1:9" hidden="1" x14ac:dyDescent="0.25">
      <c r="A19" s="1">
        <v>46235</v>
      </c>
      <c r="B19">
        <v>50995706</v>
      </c>
      <c r="C19" t="s">
        <v>2458</v>
      </c>
      <c r="D19" t="s">
        <v>64</v>
      </c>
      <c r="E19" t="s">
        <v>4012</v>
      </c>
      <c r="F19" s="1">
        <v>46234</v>
      </c>
      <c r="G19" s="1">
        <v>46234</v>
      </c>
      <c r="I19" t="s">
        <v>4006</v>
      </c>
    </row>
    <row r="20" spans="1:9" hidden="1" x14ac:dyDescent="0.25">
      <c r="A20" s="1">
        <v>46235</v>
      </c>
      <c r="B20">
        <v>1037634709</v>
      </c>
      <c r="C20" t="s">
        <v>4009</v>
      </c>
      <c r="D20" t="s">
        <v>420</v>
      </c>
      <c r="E20" t="s">
        <v>4010</v>
      </c>
      <c r="F20" s="1">
        <v>46234</v>
      </c>
      <c r="G20" s="1">
        <v>46235</v>
      </c>
      <c r="H20" t="s">
        <v>58</v>
      </c>
      <c r="I20" t="s">
        <v>59</v>
      </c>
    </row>
    <row r="21" spans="1:9" hidden="1" x14ac:dyDescent="0.25">
      <c r="A21" s="1">
        <v>46235</v>
      </c>
      <c r="B21">
        <v>1152436231</v>
      </c>
      <c r="C21" t="s">
        <v>131</v>
      </c>
      <c r="D21" t="s">
        <v>132</v>
      </c>
      <c r="E21" t="s">
        <v>4010</v>
      </c>
      <c r="F21" s="1">
        <v>46234</v>
      </c>
      <c r="G21" s="1">
        <v>46235</v>
      </c>
      <c r="H21" t="s">
        <v>1435</v>
      </c>
      <c r="I21" t="s">
        <v>1436</v>
      </c>
    </row>
    <row r="22" spans="1:9" hidden="1" x14ac:dyDescent="0.25">
      <c r="A22" s="1">
        <v>46235</v>
      </c>
      <c r="B22">
        <v>1128467297</v>
      </c>
      <c r="C22" t="s">
        <v>3356</v>
      </c>
      <c r="D22" t="s">
        <v>543</v>
      </c>
      <c r="E22" t="s">
        <v>4010</v>
      </c>
      <c r="F22" s="1">
        <v>46234</v>
      </c>
      <c r="G22" s="1">
        <v>46235</v>
      </c>
      <c r="H22" t="s">
        <v>252</v>
      </c>
      <c r="I22" t="s">
        <v>253</v>
      </c>
    </row>
    <row r="23" spans="1:9" hidden="1" x14ac:dyDescent="0.25">
      <c r="A23" s="1">
        <v>46235</v>
      </c>
      <c r="B23">
        <v>42158742</v>
      </c>
      <c r="C23" t="s">
        <v>3150</v>
      </c>
      <c r="D23" t="s">
        <v>24</v>
      </c>
      <c r="E23" t="s">
        <v>4011</v>
      </c>
      <c r="F23" s="1">
        <v>46234</v>
      </c>
      <c r="G23" s="1">
        <v>46235</v>
      </c>
      <c r="H23" t="s">
        <v>240</v>
      </c>
      <c r="I23" t="s">
        <v>241</v>
      </c>
    </row>
    <row r="24" spans="1:9" hidden="1" x14ac:dyDescent="0.25">
      <c r="A24" s="1">
        <v>46237</v>
      </c>
      <c r="B24">
        <v>1047505786</v>
      </c>
      <c r="C24" t="s">
        <v>110</v>
      </c>
      <c r="D24" t="s">
        <v>15</v>
      </c>
      <c r="E24" t="s">
        <v>4012</v>
      </c>
      <c r="F24" s="1">
        <v>46229</v>
      </c>
      <c r="G24" s="1">
        <v>46243</v>
      </c>
      <c r="H24" t="s">
        <v>106</v>
      </c>
      <c r="I24" t="s">
        <v>107</v>
      </c>
    </row>
    <row r="25" spans="1:9" hidden="1" x14ac:dyDescent="0.25">
      <c r="A25" s="1">
        <v>46238</v>
      </c>
      <c r="B25">
        <v>1143374438</v>
      </c>
      <c r="C25" t="s">
        <v>85</v>
      </c>
      <c r="D25" t="s">
        <v>41</v>
      </c>
      <c r="E25" t="s">
        <v>4011</v>
      </c>
      <c r="F25" s="1">
        <v>46209</v>
      </c>
      <c r="G25" s="1">
        <v>46238</v>
      </c>
      <c r="H25" t="s">
        <v>73</v>
      </c>
      <c r="I25" t="s">
        <v>74</v>
      </c>
    </row>
    <row r="26" spans="1:9" hidden="1" x14ac:dyDescent="0.25">
      <c r="A26" s="1">
        <v>46235</v>
      </c>
      <c r="B26">
        <v>1016090631</v>
      </c>
      <c r="C26" t="s">
        <v>2818</v>
      </c>
      <c r="D26" t="s">
        <v>64</v>
      </c>
      <c r="E26" t="s">
        <v>4012</v>
      </c>
      <c r="F26" s="1">
        <v>46233</v>
      </c>
      <c r="G26" s="1">
        <v>46235</v>
      </c>
      <c r="I26" t="s">
        <v>261</v>
      </c>
    </row>
    <row r="27" spans="1:9" hidden="1" x14ac:dyDescent="0.25">
      <c r="A27" s="1">
        <v>46235</v>
      </c>
      <c r="B27">
        <v>1152226738</v>
      </c>
      <c r="C27" t="s">
        <v>127</v>
      </c>
      <c r="D27" t="s">
        <v>128</v>
      </c>
      <c r="E27" t="s">
        <v>4005</v>
      </c>
      <c r="F27" s="1">
        <v>46234</v>
      </c>
      <c r="G27" s="1">
        <v>46237</v>
      </c>
      <c r="I27" t="s">
        <v>261</v>
      </c>
    </row>
    <row r="28" spans="1:9" hidden="1" x14ac:dyDescent="0.25">
      <c r="A28" s="1">
        <v>46235</v>
      </c>
      <c r="B28">
        <v>21852680</v>
      </c>
      <c r="C28" t="s">
        <v>4019</v>
      </c>
      <c r="D28" t="s">
        <v>410</v>
      </c>
      <c r="E28" t="s">
        <v>4005</v>
      </c>
      <c r="F28" s="1">
        <v>46235</v>
      </c>
      <c r="G28" s="1">
        <v>46238</v>
      </c>
      <c r="I28" t="s">
        <v>261</v>
      </c>
    </row>
    <row r="29" spans="1:9" hidden="1" x14ac:dyDescent="0.25">
      <c r="A29" s="1">
        <v>46235</v>
      </c>
      <c r="B29">
        <v>1061819313</v>
      </c>
      <c r="C29" t="s">
        <v>223</v>
      </c>
      <c r="D29" t="s">
        <v>142</v>
      </c>
      <c r="E29" t="s">
        <v>4012</v>
      </c>
      <c r="F29" s="1">
        <v>46231</v>
      </c>
      <c r="G29" s="1">
        <v>46235</v>
      </c>
      <c r="H29" t="s">
        <v>219</v>
      </c>
      <c r="I29" t="s">
        <v>220</v>
      </c>
    </row>
    <row r="30" spans="1:9" hidden="1" x14ac:dyDescent="0.25">
      <c r="A30" s="1">
        <v>46235</v>
      </c>
      <c r="B30">
        <v>1140905046</v>
      </c>
      <c r="C30" t="s">
        <v>4020</v>
      </c>
      <c r="D30" t="s">
        <v>410</v>
      </c>
      <c r="E30" t="s">
        <v>4005</v>
      </c>
      <c r="F30" s="1">
        <v>46235</v>
      </c>
      <c r="G30" s="1">
        <v>46238</v>
      </c>
      <c r="H30" t="s">
        <v>225</v>
      </c>
      <c r="I30" t="s">
        <v>226</v>
      </c>
    </row>
    <row r="31" spans="1:9" hidden="1" x14ac:dyDescent="0.25">
      <c r="A31" s="1">
        <v>46235</v>
      </c>
      <c r="B31" t="s">
        <v>228</v>
      </c>
      <c r="C31" t="s">
        <v>229</v>
      </c>
      <c r="D31" t="s">
        <v>211</v>
      </c>
      <c r="E31" t="s">
        <v>4017</v>
      </c>
      <c r="F31" s="1">
        <v>46230</v>
      </c>
      <c r="G31" s="1">
        <v>46355</v>
      </c>
      <c r="H31" t="s">
        <v>230</v>
      </c>
      <c r="I31" t="s">
        <v>231</v>
      </c>
    </row>
    <row r="32" spans="1:9" hidden="1" x14ac:dyDescent="0.25">
      <c r="A32" s="1">
        <v>46237</v>
      </c>
      <c r="B32">
        <v>1085318652</v>
      </c>
      <c r="C32" t="s">
        <v>235</v>
      </c>
      <c r="D32" t="s">
        <v>211</v>
      </c>
      <c r="E32" t="s">
        <v>4017</v>
      </c>
      <c r="F32" s="1">
        <v>46233</v>
      </c>
      <c r="G32" s="1">
        <v>46238</v>
      </c>
      <c r="H32" t="s">
        <v>230</v>
      </c>
      <c r="I32" t="s">
        <v>231</v>
      </c>
    </row>
    <row r="33" spans="1:9" hidden="1" x14ac:dyDescent="0.25">
      <c r="A33" s="1">
        <v>46237</v>
      </c>
      <c r="B33">
        <v>1152226738</v>
      </c>
      <c r="C33" t="s">
        <v>127</v>
      </c>
      <c r="D33" t="s">
        <v>128</v>
      </c>
      <c r="E33" t="s">
        <v>4005</v>
      </c>
      <c r="F33" s="1">
        <v>46234</v>
      </c>
      <c r="G33" s="1">
        <v>46237</v>
      </c>
      <c r="H33" t="s">
        <v>122</v>
      </c>
      <c r="I33" t="s">
        <v>123</v>
      </c>
    </row>
    <row r="34" spans="1:9" hidden="1" x14ac:dyDescent="0.25">
      <c r="A34" s="1">
        <v>46237</v>
      </c>
      <c r="B34">
        <v>1001940238</v>
      </c>
      <c r="C34" t="s">
        <v>4021</v>
      </c>
      <c r="D34" t="s">
        <v>57</v>
      </c>
      <c r="E34" t="s">
        <v>4010</v>
      </c>
      <c r="F34" s="1">
        <v>46237</v>
      </c>
      <c r="G34" s="1">
        <v>46239</v>
      </c>
      <c r="H34" t="s">
        <v>188</v>
      </c>
      <c r="I34" t="s">
        <v>189</v>
      </c>
    </row>
    <row r="35" spans="1:9" hidden="1" x14ac:dyDescent="0.25">
      <c r="A35" s="1">
        <v>46239</v>
      </c>
      <c r="B35">
        <v>1047505786</v>
      </c>
      <c r="C35" t="s">
        <v>110</v>
      </c>
      <c r="D35" t="s">
        <v>15</v>
      </c>
      <c r="E35" t="s">
        <v>4012</v>
      </c>
      <c r="F35" s="1">
        <v>46229</v>
      </c>
      <c r="G35" s="1">
        <v>46243</v>
      </c>
      <c r="H35" t="s">
        <v>137</v>
      </c>
      <c r="I35" t="s">
        <v>138</v>
      </c>
    </row>
    <row r="36" spans="1:9" hidden="1" x14ac:dyDescent="0.25">
      <c r="A36" s="1">
        <v>46239</v>
      </c>
      <c r="B36">
        <v>1001940238</v>
      </c>
      <c r="C36" t="s">
        <v>4021</v>
      </c>
      <c r="D36" t="s">
        <v>57</v>
      </c>
      <c r="E36" t="s">
        <v>4010</v>
      </c>
      <c r="F36" s="1">
        <v>46237</v>
      </c>
      <c r="G36" s="1">
        <v>46239</v>
      </c>
      <c r="H36" t="s">
        <v>206</v>
      </c>
      <c r="I36" t="s">
        <v>207</v>
      </c>
    </row>
    <row r="37" spans="1:9" hidden="1" x14ac:dyDescent="0.25">
      <c r="A37" s="1">
        <v>46235</v>
      </c>
      <c r="B37">
        <v>1017270154</v>
      </c>
      <c r="C37" t="s">
        <v>928</v>
      </c>
      <c r="D37" t="s">
        <v>343</v>
      </c>
      <c r="E37" t="s">
        <v>4012</v>
      </c>
      <c r="F37" s="1">
        <v>46234</v>
      </c>
      <c r="G37" s="1">
        <v>46235</v>
      </c>
      <c r="H37" t="s">
        <v>147</v>
      </c>
      <c r="I37" t="s">
        <v>148</v>
      </c>
    </row>
    <row r="38" spans="1:9" hidden="1" x14ac:dyDescent="0.25">
      <c r="A38" s="1">
        <v>46238</v>
      </c>
      <c r="B38" t="s">
        <v>46</v>
      </c>
      <c r="C38" t="s">
        <v>47</v>
      </c>
      <c r="D38" t="s">
        <v>34</v>
      </c>
      <c r="E38" t="s">
        <v>4011</v>
      </c>
      <c r="F38" s="1">
        <v>46224</v>
      </c>
      <c r="G38" s="1">
        <v>46239</v>
      </c>
      <c r="H38" t="s">
        <v>178</v>
      </c>
      <c r="I38" t="s">
        <v>179</v>
      </c>
    </row>
    <row r="39" spans="1:9" hidden="1" x14ac:dyDescent="0.25">
      <c r="A39" s="1">
        <v>46237</v>
      </c>
      <c r="B39">
        <v>1140905046</v>
      </c>
      <c r="C39" t="s">
        <v>4020</v>
      </c>
      <c r="D39" t="s">
        <v>410</v>
      </c>
      <c r="E39" t="s">
        <v>4005</v>
      </c>
      <c r="F39" s="1">
        <v>46235</v>
      </c>
      <c r="G39" s="1">
        <v>46238</v>
      </c>
      <c r="H39" t="s">
        <v>247</v>
      </c>
      <c r="I39" t="s">
        <v>248</v>
      </c>
    </row>
    <row r="40" spans="1:9" hidden="1" x14ac:dyDescent="0.25">
      <c r="A40" s="1">
        <v>46237</v>
      </c>
      <c r="B40" t="s">
        <v>46</v>
      </c>
      <c r="C40" t="s">
        <v>47</v>
      </c>
      <c r="D40" t="s">
        <v>34</v>
      </c>
      <c r="E40" t="s">
        <v>4011</v>
      </c>
      <c r="F40" s="1">
        <v>46224</v>
      </c>
      <c r="G40" s="1">
        <v>46239</v>
      </c>
      <c r="H40" t="s">
        <v>35</v>
      </c>
      <c r="I40" t="s">
        <v>36</v>
      </c>
    </row>
    <row r="41" spans="1:9" hidden="1" x14ac:dyDescent="0.25">
      <c r="A41" s="1">
        <v>46237</v>
      </c>
      <c r="B41">
        <v>21852680</v>
      </c>
      <c r="C41" t="s">
        <v>4019</v>
      </c>
      <c r="D41" t="s">
        <v>410</v>
      </c>
      <c r="E41" t="s">
        <v>4005</v>
      </c>
      <c r="F41" s="1">
        <v>46235</v>
      </c>
      <c r="G41" s="1">
        <v>46238</v>
      </c>
      <c r="H41" t="s">
        <v>144</v>
      </c>
      <c r="I41" t="s">
        <v>145</v>
      </c>
    </row>
    <row r="42" spans="1:9" hidden="1" x14ac:dyDescent="0.25">
      <c r="A42" s="1">
        <v>46237</v>
      </c>
      <c r="B42">
        <v>1143374438</v>
      </c>
      <c r="C42" t="s">
        <v>85</v>
      </c>
      <c r="D42" t="s">
        <v>41</v>
      </c>
      <c r="E42" t="s">
        <v>4011</v>
      </c>
      <c r="F42" s="1">
        <v>46209</v>
      </c>
      <c r="G42" s="1">
        <v>46238</v>
      </c>
      <c r="H42" t="s">
        <v>216</v>
      </c>
      <c r="I42" t="s">
        <v>217</v>
      </c>
    </row>
    <row r="43" spans="1:9" hidden="1" x14ac:dyDescent="0.25">
      <c r="A43" s="1">
        <v>46237</v>
      </c>
      <c r="B43" t="s">
        <v>228</v>
      </c>
      <c r="C43" t="s">
        <v>229</v>
      </c>
      <c r="D43" t="s">
        <v>211</v>
      </c>
      <c r="E43" t="s">
        <v>4017</v>
      </c>
      <c r="F43" s="1">
        <v>46230</v>
      </c>
      <c r="G43" s="1">
        <v>46355</v>
      </c>
      <c r="H43" t="s">
        <v>256</v>
      </c>
      <c r="I43" t="s">
        <v>257</v>
      </c>
    </row>
    <row r="44" spans="1:9" hidden="1" x14ac:dyDescent="0.25">
      <c r="A44" s="1">
        <v>46235</v>
      </c>
      <c r="B44">
        <v>1085318652</v>
      </c>
      <c r="C44" t="s">
        <v>235</v>
      </c>
      <c r="D44" t="s">
        <v>211</v>
      </c>
      <c r="E44" t="s">
        <v>4017</v>
      </c>
      <c r="F44" s="1">
        <v>46233</v>
      </c>
      <c r="G44" s="1">
        <v>46238</v>
      </c>
      <c r="H44" t="s">
        <v>256</v>
      </c>
      <c r="I44" t="s">
        <v>257</v>
      </c>
    </row>
    <row r="45" spans="1:9" hidden="1" x14ac:dyDescent="0.25">
      <c r="A45" s="1">
        <v>46235</v>
      </c>
      <c r="B45">
        <v>1143374438</v>
      </c>
      <c r="C45" t="s">
        <v>85</v>
      </c>
      <c r="D45" t="s">
        <v>41</v>
      </c>
      <c r="E45" t="s">
        <v>4011</v>
      </c>
      <c r="F45" s="1">
        <v>46209</v>
      </c>
      <c r="G45" s="1">
        <v>46238</v>
      </c>
      <c r="H45" t="s">
        <v>171</v>
      </c>
      <c r="I45" t="s">
        <v>172</v>
      </c>
    </row>
    <row r="46" spans="1:9" hidden="1" x14ac:dyDescent="0.25">
      <c r="A46" s="1">
        <v>46237</v>
      </c>
      <c r="B46">
        <v>50995706</v>
      </c>
      <c r="C46" t="s">
        <v>2458</v>
      </c>
      <c r="D46" t="s">
        <v>64</v>
      </c>
      <c r="E46" t="s">
        <v>4012</v>
      </c>
      <c r="F46" s="1">
        <v>46234</v>
      </c>
      <c r="G46" s="1">
        <v>46234</v>
      </c>
      <c r="I46" t="s">
        <v>4022</v>
      </c>
    </row>
    <row r="47" spans="1:9" hidden="1" x14ac:dyDescent="0.25">
      <c r="A47" s="1">
        <v>46235</v>
      </c>
      <c r="B47">
        <v>57303015</v>
      </c>
      <c r="C47" t="s">
        <v>114</v>
      </c>
      <c r="D47" t="s">
        <v>64</v>
      </c>
      <c r="E47" t="s">
        <v>4012</v>
      </c>
      <c r="F47" s="1">
        <v>46232</v>
      </c>
      <c r="G47" s="1">
        <v>46235</v>
      </c>
      <c r="H47" t="s">
        <v>115</v>
      </c>
      <c r="I47" t="s">
        <v>116</v>
      </c>
    </row>
    <row r="48" spans="1:9" hidden="1" x14ac:dyDescent="0.25">
      <c r="A48" s="1">
        <v>46237</v>
      </c>
      <c r="B48">
        <v>57303015</v>
      </c>
      <c r="C48" t="s">
        <v>114</v>
      </c>
      <c r="D48" t="s">
        <v>64</v>
      </c>
      <c r="E48" t="s">
        <v>4012</v>
      </c>
      <c r="F48" s="1">
        <v>46232</v>
      </c>
      <c r="G48" s="1">
        <v>46235</v>
      </c>
      <c r="I48" t="s">
        <v>4006</v>
      </c>
    </row>
    <row r="49" spans="1:9" hidden="1" x14ac:dyDescent="0.25">
      <c r="A49" s="1">
        <v>46235</v>
      </c>
      <c r="B49">
        <v>1140851921</v>
      </c>
      <c r="C49" t="s">
        <v>4023</v>
      </c>
      <c r="D49" t="s">
        <v>326</v>
      </c>
      <c r="E49" t="s">
        <v>4005</v>
      </c>
      <c r="F49" s="1">
        <v>46231</v>
      </c>
      <c r="G49" s="1">
        <v>46234</v>
      </c>
      <c r="I49" t="s">
        <v>4006</v>
      </c>
    </row>
    <row r="50" spans="1:9" hidden="1" x14ac:dyDescent="0.25">
      <c r="A50" s="1">
        <v>46235</v>
      </c>
      <c r="B50">
        <v>1143375080</v>
      </c>
      <c r="C50" t="s">
        <v>1090</v>
      </c>
      <c r="D50" t="s">
        <v>153</v>
      </c>
      <c r="E50" t="s">
        <v>4010</v>
      </c>
      <c r="F50" s="1">
        <v>46232</v>
      </c>
      <c r="G50" s="1">
        <v>46239</v>
      </c>
      <c r="H50" t="s">
        <v>206</v>
      </c>
      <c r="I50" t="s">
        <v>207</v>
      </c>
    </row>
    <row r="51" spans="1:9" hidden="1" x14ac:dyDescent="0.25">
      <c r="A51" s="1">
        <v>46237</v>
      </c>
      <c r="B51">
        <v>1143375080</v>
      </c>
      <c r="C51" t="s">
        <v>1090</v>
      </c>
      <c r="D51" t="s">
        <v>153</v>
      </c>
      <c r="E51" t="s">
        <v>4010</v>
      </c>
      <c r="F51" s="1">
        <v>46232</v>
      </c>
      <c r="G51" s="1">
        <v>46239</v>
      </c>
      <c r="H51" t="s">
        <v>1435</v>
      </c>
      <c r="I51" t="s">
        <v>1436</v>
      </c>
    </row>
    <row r="52" spans="1:9" hidden="1" x14ac:dyDescent="0.25">
      <c r="A52" s="1">
        <v>46239</v>
      </c>
      <c r="B52">
        <v>1143375080</v>
      </c>
      <c r="C52" t="s">
        <v>4025</v>
      </c>
      <c r="D52" t="s">
        <v>153</v>
      </c>
      <c r="E52" t="s">
        <v>4010</v>
      </c>
      <c r="F52" s="1">
        <v>46232</v>
      </c>
      <c r="G52" s="1">
        <v>46239</v>
      </c>
      <c r="H52" t="s">
        <v>225</v>
      </c>
      <c r="I52" t="s">
        <v>226</v>
      </c>
    </row>
    <row r="53" spans="1:9" hidden="1" x14ac:dyDescent="0.25">
      <c r="A53" s="1">
        <v>46235</v>
      </c>
      <c r="B53">
        <v>1143995272</v>
      </c>
      <c r="C53" t="s">
        <v>2223</v>
      </c>
      <c r="D53" t="s">
        <v>197</v>
      </c>
      <c r="E53" t="s">
        <v>4005</v>
      </c>
      <c r="F53" s="1">
        <v>46234</v>
      </c>
      <c r="G53" s="1">
        <v>46234</v>
      </c>
      <c r="I53" t="s">
        <v>4006</v>
      </c>
    </row>
    <row r="54" spans="1:9" hidden="1" x14ac:dyDescent="0.25">
      <c r="A54" s="1">
        <v>46235</v>
      </c>
      <c r="B54">
        <v>39192742</v>
      </c>
      <c r="C54" t="s">
        <v>2584</v>
      </c>
      <c r="D54" t="s">
        <v>211</v>
      </c>
      <c r="E54" t="s">
        <v>4017</v>
      </c>
      <c r="F54" s="1">
        <v>46230</v>
      </c>
      <c r="G54" s="1">
        <v>46232</v>
      </c>
      <c r="I54" t="s">
        <v>4006</v>
      </c>
    </row>
    <row r="55" spans="1:9" hidden="1" x14ac:dyDescent="0.25">
      <c r="A55" s="1">
        <v>46235</v>
      </c>
      <c r="B55">
        <v>1193459665</v>
      </c>
      <c r="C55" t="s">
        <v>4026</v>
      </c>
      <c r="D55" t="s">
        <v>326</v>
      </c>
      <c r="E55" t="s">
        <v>4005</v>
      </c>
      <c r="F55" s="1">
        <v>46230</v>
      </c>
      <c r="G55" s="1">
        <v>46234</v>
      </c>
      <c r="I55" t="s">
        <v>4006</v>
      </c>
    </row>
    <row r="56" spans="1:9" hidden="1" x14ac:dyDescent="0.25">
      <c r="A56" s="1">
        <v>46235</v>
      </c>
      <c r="B56">
        <v>1017264032</v>
      </c>
      <c r="C56" t="s">
        <v>63</v>
      </c>
      <c r="D56" t="s">
        <v>64</v>
      </c>
      <c r="E56" t="s">
        <v>4012</v>
      </c>
      <c r="F56" s="1">
        <v>46229</v>
      </c>
      <c r="G56" s="1">
        <v>46258</v>
      </c>
      <c r="H56" t="s">
        <v>65</v>
      </c>
      <c r="I56" t="s">
        <v>66</v>
      </c>
    </row>
    <row r="57" spans="1:9" hidden="1" x14ac:dyDescent="0.25">
      <c r="A57" s="1">
        <v>46237</v>
      </c>
      <c r="B57">
        <v>1017264032</v>
      </c>
      <c r="C57" t="s">
        <v>63</v>
      </c>
      <c r="D57" t="s">
        <v>64</v>
      </c>
      <c r="E57" t="s">
        <v>4012</v>
      </c>
      <c r="F57" s="1">
        <v>46229</v>
      </c>
      <c r="G57" s="1">
        <v>46258</v>
      </c>
      <c r="H57" t="s">
        <v>137</v>
      </c>
      <c r="I57" t="s">
        <v>138</v>
      </c>
    </row>
    <row r="58" spans="1:9" hidden="1" x14ac:dyDescent="0.25">
      <c r="A58" s="1">
        <v>46239</v>
      </c>
      <c r="B58">
        <v>1017264032</v>
      </c>
      <c r="C58" t="s">
        <v>105</v>
      </c>
      <c r="D58" t="s">
        <v>64</v>
      </c>
      <c r="E58" t="s">
        <v>4012</v>
      </c>
      <c r="F58" s="1">
        <v>46229</v>
      </c>
      <c r="G58" s="1">
        <v>46258</v>
      </c>
      <c r="H58" t="s">
        <v>106</v>
      </c>
      <c r="I58" t="s">
        <v>107</v>
      </c>
    </row>
    <row r="59" spans="1:9" hidden="1" x14ac:dyDescent="0.25">
      <c r="A59" s="1">
        <v>46235</v>
      </c>
      <c r="B59">
        <v>1002159016</v>
      </c>
      <c r="C59" t="s">
        <v>196</v>
      </c>
      <c r="D59" t="s">
        <v>197</v>
      </c>
      <c r="E59" t="s">
        <v>4005</v>
      </c>
      <c r="F59" s="1">
        <v>46230</v>
      </c>
      <c r="G59" s="1">
        <v>46235</v>
      </c>
      <c r="H59" t="s">
        <v>198</v>
      </c>
      <c r="I59" t="s">
        <v>199</v>
      </c>
    </row>
    <row r="60" spans="1:9" hidden="1" x14ac:dyDescent="0.25">
      <c r="A60" s="1">
        <v>46237</v>
      </c>
      <c r="B60">
        <v>1002159016</v>
      </c>
      <c r="C60" t="s">
        <v>196</v>
      </c>
      <c r="D60" t="s">
        <v>197</v>
      </c>
      <c r="E60" t="s">
        <v>4005</v>
      </c>
      <c r="F60" s="1">
        <v>46230</v>
      </c>
      <c r="G60" s="1">
        <v>46235</v>
      </c>
      <c r="I60" t="s">
        <v>4006</v>
      </c>
    </row>
    <row r="61" spans="1:9" hidden="1" x14ac:dyDescent="0.25">
      <c r="A61" s="1">
        <v>46235</v>
      </c>
      <c r="B61">
        <v>1118569642</v>
      </c>
      <c r="C61" t="s">
        <v>96</v>
      </c>
      <c r="D61" t="s">
        <v>97</v>
      </c>
      <c r="E61" t="s">
        <v>4005</v>
      </c>
      <c r="F61" s="1">
        <v>46230</v>
      </c>
      <c r="G61" s="1">
        <v>46235</v>
      </c>
      <c r="H61" t="s">
        <v>98</v>
      </c>
      <c r="I61" t="s">
        <v>99</v>
      </c>
    </row>
    <row r="62" spans="1:9" hidden="1" x14ac:dyDescent="0.25">
      <c r="A62" s="1">
        <v>46237</v>
      </c>
      <c r="B62">
        <v>1118569642</v>
      </c>
      <c r="C62" t="s">
        <v>96</v>
      </c>
      <c r="D62" t="s">
        <v>97</v>
      </c>
      <c r="E62" t="s">
        <v>4005</v>
      </c>
      <c r="F62" s="1">
        <v>46230</v>
      </c>
      <c r="G62" s="1">
        <v>46235</v>
      </c>
      <c r="I62" t="s">
        <v>4006</v>
      </c>
    </row>
    <row r="63" spans="1:9" hidden="1" x14ac:dyDescent="0.25">
      <c r="A63" s="1">
        <v>46235</v>
      </c>
      <c r="B63" t="s">
        <v>2859</v>
      </c>
      <c r="C63" t="s">
        <v>2860</v>
      </c>
      <c r="D63" t="s">
        <v>4027</v>
      </c>
      <c r="E63" t="s">
        <v>4011</v>
      </c>
      <c r="F63" s="1">
        <v>46232</v>
      </c>
      <c r="G63" s="1">
        <v>46234</v>
      </c>
      <c r="I63" t="s">
        <v>4006</v>
      </c>
    </row>
    <row r="64" spans="1:9" hidden="1" x14ac:dyDescent="0.25">
      <c r="A64" s="1">
        <v>46237</v>
      </c>
      <c r="B64">
        <v>1036132488</v>
      </c>
      <c r="C64" t="s">
        <v>150</v>
      </c>
      <c r="D64" t="s">
        <v>142</v>
      </c>
      <c r="E64" t="s">
        <v>4012</v>
      </c>
      <c r="F64" s="1">
        <v>46227</v>
      </c>
      <c r="G64" s="1">
        <v>46246</v>
      </c>
      <c r="H64" t="s">
        <v>237</v>
      </c>
      <c r="I64" t="s">
        <v>238</v>
      </c>
    </row>
    <row r="65" spans="1:9" hidden="1" x14ac:dyDescent="0.25">
      <c r="A65" s="1">
        <v>46239</v>
      </c>
      <c r="B65">
        <v>1036132488</v>
      </c>
      <c r="C65" t="s">
        <v>141</v>
      </c>
      <c r="D65" t="s">
        <v>142</v>
      </c>
      <c r="E65" t="s">
        <v>4012</v>
      </c>
      <c r="F65" s="1">
        <v>46227</v>
      </c>
      <c r="G65" s="1">
        <v>46246</v>
      </c>
      <c r="H65" t="s">
        <v>219</v>
      </c>
      <c r="I65" t="s">
        <v>220</v>
      </c>
    </row>
    <row r="66" spans="1:9" hidden="1" x14ac:dyDescent="0.25">
      <c r="A66" s="1">
        <v>46235</v>
      </c>
      <c r="B66">
        <v>50927877</v>
      </c>
      <c r="C66" t="s">
        <v>1655</v>
      </c>
      <c r="D66" t="s">
        <v>97</v>
      </c>
      <c r="E66" t="s">
        <v>4005</v>
      </c>
      <c r="F66" s="1">
        <v>46234</v>
      </c>
      <c r="G66" s="1">
        <v>46234</v>
      </c>
      <c r="I66" t="s">
        <v>4006</v>
      </c>
    </row>
    <row r="67" spans="1:9" hidden="1" x14ac:dyDescent="0.25">
      <c r="A67" s="1">
        <v>46235</v>
      </c>
      <c r="B67">
        <v>72011169</v>
      </c>
      <c r="C67" t="s">
        <v>202</v>
      </c>
      <c r="D67" t="s">
        <v>64</v>
      </c>
      <c r="E67" t="s">
        <v>4012</v>
      </c>
      <c r="F67" s="1">
        <v>46225</v>
      </c>
      <c r="G67" s="1">
        <v>46239</v>
      </c>
      <c r="I67" t="s">
        <v>261</v>
      </c>
    </row>
    <row r="68" spans="1:9" hidden="1" x14ac:dyDescent="0.25">
      <c r="A68" s="1">
        <v>46237</v>
      </c>
      <c r="B68">
        <v>72011169</v>
      </c>
      <c r="C68" t="s">
        <v>202</v>
      </c>
      <c r="D68" t="s">
        <v>64</v>
      </c>
      <c r="E68" t="s">
        <v>4012</v>
      </c>
      <c r="F68" s="1">
        <v>46225</v>
      </c>
      <c r="G68" s="1">
        <v>46239</v>
      </c>
      <c r="H68" t="s">
        <v>198</v>
      </c>
      <c r="I68" t="s">
        <v>199</v>
      </c>
    </row>
    <row r="69" spans="1:9" hidden="1" x14ac:dyDescent="0.25">
      <c r="A69" s="1">
        <v>46239</v>
      </c>
      <c r="B69">
        <v>72011169</v>
      </c>
      <c r="C69" t="s">
        <v>175</v>
      </c>
      <c r="D69" t="s">
        <v>64</v>
      </c>
      <c r="E69" t="s">
        <v>4012</v>
      </c>
      <c r="F69" s="1">
        <v>46225</v>
      </c>
      <c r="G69" s="1">
        <v>46239</v>
      </c>
      <c r="I69" t="s">
        <v>261</v>
      </c>
    </row>
    <row r="70" spans="1:9" hidden="1" x14ac:dyDescent="0.25">
      <c r="A70" s="1">
        <v>46235</v>
      </c>
      <c r="B70">
        <v>43558465</v>
      </c>
      <c r="C70" t="s">
        <v>103</v>
      </c>
      <c r="D70" t="s">
        <v>64</v>
      </c>
      <c r="E70" t="s">
        <v>4012</v>
      </c>
      <c r="F70" s="1">
        <v>46226</v>
      </c>
      <c r="G70" s="1">
        <v>46246</v>
      </c>
      <c r="I70" t="s">
        <v>261</v>
      </c>
    </row>
    <row r="71" spans="1:9" hidden="1" x14ac:dyDescent="0.25">
      <c r="A71" s="1">
        <v>46237</v>
      </c>
      <c r="B71">
        <v>43558465</v>
      </c>
      <c r="C71" t="s">
        <v>103</v>
      </c>
      <c r="D71" t="s">
        <v>64</v>
      </c>
      <c r="E71" t="s">
        <v>4012</v>
      </c>
      <c r="F71" s="1">
        <v>46226</v>
      </c>
      <c r="G71" s="1">
        <v>46246</v>
      </c>
      <c r="H71" t="s">
        <v>154</v>
      </c>
      <c r="I71" t="s">
        <v>155</v>
      </c>
    </row>
    <row r="72" spans="1:9" hidden="1" x14ac:dyDescent="0.25">
      <c r="A72" s="1">
        <v>46239</v>
      </c>
      <c r="B72">
        <v>43558465</v>
      </c>
      <c r="C72" t="s">
        <v>103</v>
      </c>
      <c r="D72" t="s">
        <v>64</v>
      </c>
      <c r="E72" t="s">
        <v>4012</v>
      </c>
      <c r="F72" s="1">
        <v>46226</v>
      </c>
      <c r="G72" s="1">
        <v>46246</v>
      </c>
      <c r="I72" t="s">
        <v>261</v>
      </c>
    </row>
    <row r="73" spans="1:9" hidden="1" x14ac:dyDescent="0.25">
      <c r="A73" s="1">
        <v>46235</v>
      </c>
      <c r="B73">
        <v>1037631989</v>
      </c>
      <c r="C73" t="s">
        <v>40</v>
      </c>
      <c r="D73" t="s">
        <v>41</v>
      </c>
      <c r="E73" t="s">
        <v>4011</v>
      </c>
      <c r="F73" s="1">
        <v>46226</v>
      </c>
      <c r="G73" s="1">
        <v>46255</v>
      </c>
      <c r="I73" t="s">
        <v>261</v>
      </c>
    </row>
    <row r="74" spans="1:9" hidden="1" x14ac:dyDescent="0.25">
      <c r="A74" s="1">
        <v>46237</v>
      </c>
      <c r="B74">
        <v>1037631989</v>
      </c>
      <c r="C74" t="s">
        <v>40</v>
      </c>
      <c r="D74" t="s">
        <v>41</v>
      </c>
      <c r="E74" t="s">
        <v>4011</v>
      </c>
      <c r="F74" s="1">
        <v>46226</v>
      </c>
      <c r="G74" s="1">
        <v>46255</v>
      </c>
      <c r="H74" t="s">
        <v>171</v>
      </c>
      <c r="I74" t="s">
        <v>172</v>
      </c>
    </row>
    <row r="75" spans="1:9" hidden="1" x14ac:dyDescent="0.25">
      <c r="A75" s="1">
        <v>46239</v>
      </c>
      <c r="B75">
        <v>1037631989</v>
      </c>
      <c r="C75" t="s">
        <v>40</v>
      </c>
      <c r="D75" t="s">
        <v>41</v>
      </c>
      <c r="E75" t="s">
        <v>4011</v>
      </c>
      <c r="F75" s="1">
        <v>46226</v>
      </c>
      <c r="G75" s="1">
        <v>46255</v>
      </c>
      <c r="H75" t="s">
        <v>58</v>
      </c>
      <c r="I75" t="s">
        <v>59</v>
      </c>
    </row>
    <row r="76" spans="1:9" hidden="1" x14ac:dyDescent="0.25">
      <c r="A76" s="1">
        <v>46237</v>
      </c>
      <c r="B76">
        <v>42141273</v>
      </c>
      <c r="C76" t="s">
        <v>210</v>
      </c>
      <c r="D76" t="s">
        <v>211</v>
      </c>
      <c r="E76" t="s">
        <v>4017</v>
      </c>
      <c r="F76" s="1">
        <v>46224</v>
      </c>
      <c r="G76" s="1">
        <v>46238</v>
      </c>
      <c r="H76" t="s">
        <v>212</v>
      </c>
      <c r="I76" t="s">
        <v>213</v>
      </c>
    </row>
    <row r="77" spans="1:9" hidden="1" x14ac:dyDescent="0.25">
      <c r="A77" s="1">
        <v>46239</v>
      </c>
      <c r="B77">
        <v>42141273</v>
      </c>
      <c r="C77" t="s">
        <v>210</v>
      </c>
      <c r="D77" t="s">
        <v>211</v>
      </c>
      <c r="E77" t="s">
        <v>4017</v>
      </c>
      <c r="F77" s="1">
        <v>46224</v>
      </c>
      <c r="G77" s="1">
        <v>46238</v>
      </c>
      <c r="I77" t="s">
        <v>4006</v>
      </c>
    </row>
    <row r="78" spans="1:9" hidden="1" x14ac:dyDescent="0.25">
      <c r="A78" s="1">
        <v>46235</v>
      </c>
      <c r="B78">
        <v>1043006106</v>
      </c>
      <c r="C78" t="s">
        <v>194</v>
      </c>
      <c r="D78" t="s">
        <v>160</v>
      </c>
      <c r="E78" t="s">
        <v>4011</v>
      </c>
      <c r="F78" s="1">
        <v>46219</v>
      </c>
      <c r="G78" s="1">
        <v>46248</v>
      </c>
      <c r="H78" t="s">
        <v>191</v>
      </c>
      <c r="I78" t="s">
        <v>192</v>
      </c>
    </row>
    <row r="79" spans="1:9" hidden="1" x14ac:dyDescent="0.25">
      <c r="A79" s="1">
        <v>46237</v>
      </c>
      <c r="B79">
        <v>1043006106</v>
      </c>
      <c r="C79" t="s">
        <v>194</v>
      </c>
      <c r="D79" t="s">
        <v>160</v>
      </c>
      <c r="E79" t="s">
        <v>4011</v>
      </c>
      <c r="F79" s="1">
        <v>46219</v>
      </c>
      <c r="G79" s="1">
        <v>46248</v>
      </c>
      <c r="H79" t="s">
        <v>191</v>
      </c>
      <c r="I79" t="s">
        <v>192</v>
      </c>
    </row>
    <row r="80" spans="1:9" hidden="1" x14ac:dyDescent="0.25">
      <c r="A80" s="1">
        <v>46239</v>
      </c>
      <c r="B80">
        <v>1043006106</v>
      </c>
      <c r="C80" t="s">
        <v>159</v>
      </c>
      <c r="D80" t="s">
        <v>160</v>
      </c>
      <c r="E80" t="s">
        <v>4011</v>
      </c>
      <c r="F80" s="1">
        <v>46219</v>
      </c>
      <c r="G80" s="1">
        <v>46248</v>
      </c>
      <c r="I80" t="s">
        <v>261</v>
      </c>
    </row>
    <row r="81" spans="1:9" hidden="1" x14ac:dyDescent="0.25">
      <c r="A81" s="1">
        <v>46235</v>
      </c>
      <c r="B81">
        <v>1045022397</v>
      </c>
      <c r="C81" t="s">
        <v>4030</v>
      </c>
      <c r="D81" t="s">
        <v>553</v>
      </c>
      <c r="E81" t="s">
        <v>4010</v>
      </c>
      <c r="F81" s="1">
        <v>46232</v>
      </c>
      <c r="G81" s="1">
        <v>46234</v>
      </c>
      <c r="I81" t="s">
        <v>4006</v>
      </c>
    </row>
    <row r="82" spans="1:9" hidden="1" x14ac:dyDescent="0.25">
      <c r="A82" s="1">
        <v>46235</v>
      </c>
      <c r="B82">
        <v>1037638426</v>
      </c>
      <c r="C82" t="s">
        <v>44</v>
      </c>
      <c r="D82" t="s">
        <v>41</v>
      </c>
      <c r="E82" t="s">
        <v>4011</v>
      </c>
      <c r="F82" s="1">
        <v>46230</v>
      </c>
      <c r="G82" s="1">
        <v>46262</v>
      </c>
      <c r="H82" t="s">
        <v>73</v>
      </c>
      <c r="I82" t="s">
        <v>74</v>
      </c>
    </row>
    <row r="83" spans="1:9" hidden="1" x14ac:dyDescent="0.25">
      <c r="A83" s="1">
        <v>46237</v>
      </c>
      <c r="B83">
        <v>1037638426</v>
      </c>
      <c r="C83" t="s">
        <v>44</v>
      </c>
      <c r="D83" t="s">
        <v>41</v>
      </c>
      <c r="E83" t="s">
        <v>4011</v>
      </c>
      <c r="F83" s="1">
        <v>46230</v>
      </c>
      <c r="G83" s="1">
        <v>46262</v>
      </c>
      <c r="H83" t="s">
        <v>69</v>
      </c>
      <c r="I83" t="s">
        <v>70</v>
      </c>
    </row>
    <row r="84" spans="1:9" hidden="1" x14ac:dyDescent="0.25">
      <c r="A84" s="1">
        <v>46239</v>
      </c>
      <c r="B84">
        <v>1037638426</v>
      </c>
      <c r="C84" t="s">
        <v>72</v>
      </c>
      <c r="D84" t="s">
        <v>41</v>
      </c>
      <c r="E84" t="s">
        <v>4011</v>
      </c>
      <c r="F84" s="1">
        <v>46230</v>
      </c>
      <c r="G84" s="1">
        <v>46262</v>
      </c>
      <c r="H84" t="s">
        <v>69</v>
      </c>
      <c r="I84" t="s">
        <v>70</v>
      </c>
    </row>
    <row r="85" spans="1:9" hidden="1" x14ac:dyDescent="0.25">
      <c r="A85" s="1">
        <v>46235</v>
      </c>
      <c r="B85">
        <v>1035876080</v>
      </c>
      <c r="C85" t="s">
        <v>120</v>
      </c>
      <c r="D85" t="s">
        <v>121</v>
      </c>
      <c r="E85" t="s">
        <v>4010</v>
      </c>
      <c r="F85" s="1">
        <v>46224</v>
      </c>
      <c r="G85" s="1">
        <v>46238</v>
      </c>
      <c r="I85" t="s">
        <v>261</v>
      </c>
    </row>
    <row r="86" spans="1:9" hidden="1" x14ac:dyDescent="0.25">
      <c r="A86" s="1">
        <v>46237</v>
      </c>
      <c r="B86">
        <v>1035876080</v>
      </c>
      <c r="C86" t="s">
        <v>120</v>
      </c>
      <c r="D86" t="s">
        <v>121</v>
      </c>
      <c r="E86" t="s">
        <v>4010</v>
      </c>
      <c r="F86" s="1">
        <v>46224</v>
      </c>
      <c r="G86" s="1">
        <v>46238</v>
      </c>
      <c r="H86" t="s">
        <v>219</v>
      </c>
      <c r="I86" t="s">
        <v>220</v>
      </c>
    </row>
    <row r="87" spans="1:9" hidden="1" x14ac:dyDescent="0.25">
      <c r="A87" s="1">
        <v>46239</v>
      </c>
      <c r="B87">
        <v>1035876080</v>
      </c>
      <c r="C87" t="s">
        <v>120</v>
      </c>
      <c r="D87" t="s">
        <v>121</v>
      </c>
      <c r="E87" t="s">
        <v>4010</v>
      </c>
      <c r="F87" s="1">
        <v>46224</v>
      </c>
      <c r="G87" s="1">
        <v>46238</v>
      </c>
      <c r="I87" t="s">
        <v>4006</v>
      </c>
    </row>
    <row r="88" spans="1:9" hidden="1" x14ac:dyDescent="0.25">
      <c r="A88" s="1">
        <v>46235</v>
      </c>
      <c r="B88">
        <v>1121506548</v>
      </c>
      <c r="C88" t="s">
        <v>50</v>
      </c>
      <c r="D88" t="s">
        <v>51</v>
      </c>
      <c r="E88" t="s">
        <v>4011</v>
      </c>
      <c r="F88" s="1">
        <v>46217</v>
      </c>
      <c r="G88" s="1">
        <v>46342</v>
      </c>
      <c r="H88" t="s">
        <v>69</v>
      </c>
      <c r="I88" t="s">
        <v>70</v>
      </c>
    </row>
    <row r="89" spans="1:9" hidden="1" x14ac:dyDescent="0.25">
      <c r="A89" s="1">
        <v>46237</v>
      </c>
      <c r="B89">
        <v>1121506548</v>
      </c>
      <c r="C89" t="s">
        <v>50</v>
      </c>
      <c r="D89" t="s">
        <v>51</v>
      </c>
      <c r="E89" t="s">
        <v>4011</v>
      </c>
      <c r="F89" s="1">
        <v>46217</v>
      </c>
      <c r="G89" s="1">
        <v>46342</v>
      </c>
      <c r="H89" t="s">
        <v>98</v>
      </c>
      <c r="I89" t="s">
        <v>99</v>
      </c>
    </row>
    <row r="90" spans="1:9" hidden="1" x14ac:dyDescent="0.25">
      <c r="A90" s="1">
        <v>46239</v>
      </c>
      <c r="B90">
        <v>1121506548</v>
      </c>
      <c r="C90" t="s">
        <v>50</v>
      </c>
      <c r="D90" t="s">
        <v>51</v>
      </c>
      <c r="E90" t="s">
        <v>4011</v>
      </c>
      <c r="F90" s="1">
        <v>46217</v>
      </c>
      <c r="G90" s="1">
        <v>46342</v>
      </c>
      <c r="H90" t="s">
        <v>247</v>
      </c>
      <c r="I90" t="s">
        <v>248</v>
      </c>
    </row>
    <row r="91" spans="1:9" hidden="1" x14ac:dyDescent="0.25">
      <c r="A91" s="1">
        <v>46237</v>
      </c>
      <c r="B91" t="s">
        <v>182</v>
      </c>
      <c r="C91" t="s">
        <v>183</v>
      </c>
      <c r="D91" t="s">
        <v>51</v>
      </c>
      <c r="E91" t="s">
        <v>4011</v>
      </c>
      <c r="F91" s="1">
        <v>46227</v>
      </c>
      <c r="G91" s="1">
        <v>46237</v>
      </c>
      <c r="H91" t="s">
        <v>178</v>
      </c>
      <c r="I91" t="s">
        <v>179</v>
      </c>
    </row>
    <row r="92" spans="1:9" hidden="1" x14ac:dyDescent="0.25">
      <c r="A92" s="1">
        <v>46238</v>
      </c>
      <c r="B92" t="s">
        <v>182</v>
      </c>
      <c r="C92" t="s">
        <v>183</v>
      </c>
      <c r="D92" t="s">
        <v>51</v>
      </c>
      <c r="E92" t="s">
        <v>4011</v>
      </c>
      <c r="F92" s="1">
        <v>46227</v>
      </c>
      <c r="G92" s="1">
        <v>46237</v>
      </c>
      <c r="I92" t="s">
        <v>4006</v>
      </c>
    </row>
    <row r="93" spans="1:9" hidden="1" x14ac:dyDescent="0.25">
      <c r="A93" s="1">
        <v>46235</v>
      </c>
      <c r="B93">
        <v>22519737</v>
      </c>
      <c r="C93" t="s">
        <v>4031</v>
      </c>
      <c r="D93" t="s">
        <v>142</v>
      </c>
      <c r="E93" t="s">
        <v>4012</v>
      </c>
      <c r="F93" s="1">
        <v>46231</v>
      </c>
      <c r="G93" s="1">
        <v>46234</v>
      </c>
      <c r="I93" t="s">
        <v>4006</v>
      </c>
    </row>
    <row r="94" spans="1:9" hidden="1" x14ac:dyDescent="0.25">
      <c r="A94" s="1">
        <v>46235</v>
      </c>
      <c r="B94">
        <v>1037653415</v>
      </c>
      <c r="C94" t="s">
        <v>2286</v>
      </c>
      <c r="D94" t="s">
        <v>4027</v>
      </c>
      <c r="E94" t="s">
        <v>4011</v>
      </c>
      <c r="F94" s="1">
        <v>46234</v>
      </c>
      <c r="G94" s="1">
        <v>46234</v>
      </c>
      <c r="I94" t="s">
        <v>4006</v>
      </c>
    </row>
    <row r="95" spans="1:9" hidden="1" x14ac:dyDescent="0.25">
      <c r="A95" s="1">
        <v>46237</v>
      </c>
      <c r="B95">
        <v>1143460426</v>
      </c>
      <c r="C95" t="s">
        <v>4034</v>
      </c>
      <c r="D95" t="s">
        <v>160</v>
      </c>
      <c r="E95" t="s">
        <v>4011</v>
      </c>
      <c r="F95" s="1">
        <v>46195</v>
      </c>
      <c r="G95" s="1">
        <v>46198</v>
      </c>
      <c r="H95" t="s">
        <v>206</v>
      </c>
      <c r="I95" t="s">
        <v>207</v>
      </c>
    </row>
    <row r="96" spans="1:9" hidden="1" x14ac:dyDescent="0.25">
      <c r="A96" s="1">
        <v>46239</v>
      </c>
      <c r="B96">
        <v>1143460426</v>
      </c>
      <c r="C96" t="s">
        <v>4034</v>
      </c>
      <c r="D96" t="s">
        <v>160</v>
      </c>
      <c r="E96" t="s">
        <v>4011</v>
      </c>
      <c r="F96" s="1">
        <v>46195</v>
      </c>
      <c r="G96" s="1">
        <v>46198</v>
      </c>
      <c r="H96" t="s">
        <v>191</v>
      </c>
      <c r="I96" t="s">
        <v>192</v>
      </c>
    </row>
    <row r="97" spans="1:9" hidden="1" x14ac:dyDescent="0.25">
      <c r="A97" s="1">
        <v>46235</v>
      </c>
      <c r="B97" t="s">
        <v>4035</v>
      </c>
      <c r="C97" t="s">
        <v>4036</v>
      </c>
      <c r="D97" t="s">
        <v>326</v>
      </c>
      <c r="E97" t="s">
        <v>4005</v>
      </c>
      <c r="F97" s="1">
        <v>46233</v>
      </c>
      <c r="G97" s="1">
        <v>46235</v>
      </c>
      <c r="I97" t="s">
        <v>261</v>
      </c>
    </row>
    <row r="98" spans="1:9" hidden="1" x14ac:dyDescent="0.25">
      <c r="A98" s="1">
        <v>46237</v>
      </c>
      <c r="B98" t="s">
        <v>4035</v>
      </c>
      <c r="C98" t="s">
        <v>4036</v>
      </c>
      <c r="D98" t="s">
        <v>326</v>
      </c>
      <c r="E98" t="s">
        <v>4005</v>
      </c>
      <c r="F98" s="1">
        <v>46233</v>
      </c>
      <c r="G98" s="1">
        <v>46235</v>
      </c>
      <c r="I98" t="s">
        <v>4006</v>
      </c>
    </row>
    <row r="99" spans="1:9" hidden="1" x14ac:dyDescent="0.25">
      <c r="A99" s="1">
        <v>46235</v>
      </c>
      <c r="B99">
        <v>1083048455</v>
      </c>
      <c r="C99" t="s">
        <v>2742</v>
      </c>
      <c r="D99" t="s">
        <v>326</v>
      </c>
      <c r="E99" t="s">
        <v>4005</v>
      </c>
      <c r="F99" s="1">
        <v>46234</v>
      </c>
      <c r="G99" s="1">
        <v>46234</v>
      </c>
      <c r="I99" t="s">
        <v>4006</v>
      </c>
    </row>
    <row r="100" spans="1:9" hidden="1" x14ac:dyDescent="0.25">
      <c r="A100" s="1">
        <v>46235</v>
      </c>
      <c r="B100">
        <v>1152221372</v>
      </c>
      <c r="C100" t="s">
        <v>2313</v>
      </c>
      <c r="D100" t="s">
        <v>128</v>
      </c>
      <c r="E100" t="s">
        <v>4005</v>
      </c>
      <c r="F100" s="1">
        <v>46230</v>
      </c>
      <c r="I100" t="s">
        <v>261</v>
      </c>
    </row>
    <row r="101" spans="1:9" hidden="1" x14ac:dyDescent="0.25">
      <c r="A101" s="1">
        <v>46237</v>
      </c>
      <c r="B101">
        <v>1152221372</v>
      </c>
      <c r="C101" t="s">
        <v>2313</v>
      </c>
      <c r="D101" t="s">
        <v>128</v>
      </c>
      <c r="E101" t="s">
        <v>4005</v>
      </c>
      <c r="F101" s="1">
        <v>46230</v>
      </c>
      <c r="H101" t="s">
        <v>203</v>
      </c>
      <c r="I101" t="s">
        <v>204</v>
      </c>
    </row>
    <row r="102" spans="1:9" hidden="1" x14ac:dyDescent="0.25">
      <c r="A102" s="1">
        <v>46239</v>
      </c>
      <c r="B102">
        <v>1152221372</v>
      </c>
      <c r="C102" t="s">
        <v>4038</v>
      </c>
      <c r="D102" t="s">
        <v>128</v>
      </c>
      <c r="E102" t="s">
        <v>4005</v>
      </c>
      <c r="F102" s="1">
        <v>46230</v>
      </c>
      <c r="H102" t="s">
        <v>252</v>
      </c>
      <c r="I102" t="s">
        <v>253</v>
      </c>
    </row>
    <row r="103" spans="1:9" hidden="1" x14ac:dyDescent="0.25">
      <c r="A103" s="1">
        <v>46235</v>
      </c>
      <c r="B103">
        <v>1098777544</v>
      </c>
      <c r="C103" t="s">
        <v>81</v>
      </c>
      <c r="D103" t="s">
        <v>82</v>
      </c>
      <c r="E103" t="s">
        <v>4005</v>
      </c>
      <c r="F103" s="1">
        <v>46217</v>
      </c>
      <c r="G103" s="1">
        <v>46246</v>
      </c>
      <c r="I103" t="s">
        <v>261</v>
      </c>
    </row>
    <row r="104" spans="1:9" hidden="1" x14ac:dyDescent="0.25">
      <c r="A104" s="1">
        <v>46237</v>
      </c>
      <c r="B104">
        <v>1098777544</v>
      </c>
      <c r="C104" t="s">
        <v>81</v>
      </c>
      <c r="D104" t="s">
        <v>82</v>
      </c>
      <c r="E104" t="s">
        <v>4005</v>
      </c>
      <c r="F104" s="1">
        <v>46217</v>
      </c>
      <c r="G104" s="1">
        <v>46246</v>
      </c>
      <c r="H104" t="s">
        <v>225</v>
      </c>
      <c r="I104" t="s">
        <v>226</v>
      </c>
    </row>
    <row r="105" spans="1:9" hidden="1" x14ac:dyDescent="0.25">
      <c r="A105" s="1">
        <v>46238</v>
      </c>
      <c r="B105">
        <v>1098777544</v>
      </c>
      <c r="C105" t="s">
        <v>81</v>
      </c>
      <c r="D105" t="s">
        <v>82</v>
      </c>
      <c r="E105" t="s">
        <v>4005</v>
      </c>
      <c r="F105" s="1">
        <v>46217</v>
      </c>
      <c r="G105" s="1">
        <v>46246</v>
      </c>
      <c r="H105" t="s">
        <v>144</v>
      </c>
      <c r="I105" t="s">
        <v>145</v>
      </c>
    </row>
    <row r="106" spans="1:9" hidden="1" x14ac:dyDescent="0.25">
      <c r="A106" s="1">
        <v>46239</v>
      </c>
      <c r="B106">
        <v>1098777544</v>
      </c>
      <c r="C106" t="s">
        <v>81</v>
      </c>
      <c r="D106" t="s">
        <v>82</v>
      </c>
      <c r="E106" t="s">
        <v>4005</v>
      </c>
      <c r="F106" s="1">
        <v>46217</v>
      </c>
      <c r="G106" s="1">
        <v>46246</v>
      </c>
      <c r="H106" t="s">
        <v>122</v>
      </c>
      <c r="I106" t="s">
        <v>123</v>
      </c>
    </row>
    <row r="107" spans="1:9" hidden="1" x14ac:dyDescent="0.25">
      <c r="A107" s="1">
        <v>46235</v>
      </c>
      <c r="B107">
        <v>1000445985</v>
      </c>
      <c r="C107" t="s">
        <v>3974</v>
      </c>
      <c r="D107" t="s">
        <v>64</v>
      </c>
      <c r="E107" t="s">
        <v>4012</v>
      </c>
      <c r="F107" s="1">
        <v>46233</v>
      </c>
      <c r="G107" s="1">
        <v>46234</v>
      </c>
      <c r="I107" t="s">
        <v>4006</v>
      </c>
    </row>
    <row r="108" spans="1:9" hidden="1" x14ac:dyDescent="0.25">
      <c r="A108" s="1">
        <v>46235</v>
      </c>
      <c r="B108">
        <v>32852919</v>
      </c>
      <c r="C108" t="s">
        <v>709</v>
      </c>
      <c r="D108" t="s">
        <v>78</v>
      </c>
      <c r="E108" t="s">
        <v>4010</v>
      </c>
      <c r="F108" s="1">
        <v>46234</v>
      </c>
      <c r="G108" s="1">
        <v>46234</v>
      </c>
      <c r="I108" t="s">
        <v>4006</v>
      </c>
    </row>
    <row r="109" spans="1:9" hidden="1" x14ac:dyDescent="0.25">
      <c r="A109" s="1">
        <v>46235</v>
      </c>
      <c r="B109">
        <v>1047476960</v>
      </c>
      <c r="C109" t="s">
        <v>3180</v>
      </c>
      <c r="D109" t="s">
        <v>420</v>
      </c>
      <c r="E109" t="s">
        <v>4010</v>
      </c>
      <c r="F109" s="1">
        <v>46234</v>
      </c>
      <c r="G109" s="1">
        <v>46237</v>
      </c>
      <c r="I109" t="s">
        <v>4022</v>
      </c>
    </row>
    <row r="110" spans="1:9" hidden="1" x14ac:dyDescent="0.25">
      <c r="A110" s="1">
        <v>46237</v>
      </c>
      <c r="B110">
        <v>1047476960</v>
      </c>
      <c r="C110" t="s">
        <v>3180</v>
      </c>
      <c r="D110" t="s">
        <v>420</v>
      </c>
      <c r="E110" t="s">
        <v>4010</v>
      </c>
      <c r="F110" s="1">
        <v>46234</v>
      </c>
      <c r="G110" s="1">
        <v>46237</v>
      </c>
      <c r="I110" t="s">
        <v>4042</v>
      </c>
    </row>
    <row r="111" spans="1:9" hidden="1" x14ac:dyDescent="0.25">
      <c r="A111" s="1">
        <v>46238</v>
      </c>
      <c r="B111">
        <v>1047476960</v>
      </c>
      <c r="C111" t="s">
        <v>3180</v>
      </c>
      <c r="D111" t="s">
        <v>420</v>
      </c>
      <c r="E111" t="s">
        <v>4010</v>
      </c>
      <c r="F111" s="1">
        <v>46234</v>
      </c>
      <c r="G111" s="1">
        <v>46237</v>
      </c>
      <c r="I111" t="s">
        <v>4006</v>
      </c>
    </row>
    <row r="112" spans="1:9" hidden="1" x14ac:dyDescent="0.25">
      <c r="A112" s="1">
        <v>46235</v>
      </c>
      <c r="B112">
        <v>1143470207</v>
      </c>
      <c r="C112" t="s">
        <v>4043</v>
      </c>
      <c r="D112" t="s">
        <v>153</v>
      </c>
      <c r="E112" t="s">
        <v>4010</v>
      </c>
      <c r="F112" s="1">
        <v>46230</v>
      </c>
      <c r="G112" s="1">
        <v>46234</v>
      </c>
      <c r="I112" t="s">
        <v>4006</v>
      </c>
    </row>
    <row r="113" spans="1:9" hidden="1" x14ac:dyDescent="0.25">
      <c r="A113" s="1">
        <v>46235</v>
      </c>
      <c r="B113">
        <v>1001005240</v>
      </c>
      <c r="C113" t="s">
        <v>152</v>
      </c>
      <c r="D113" t="s">
        <v>153</v>
      </c>
      <c r="E113" t="s">
        <v>4010</v>
      </c>
      <c r="F113" s="1">
        <v>46234</v>
      </c>
      <c r="G113" s="1">
        <v>46240</v>
      </c>
      <c r="H113" t="s">
        <v>162</v>
      </c>
      <c r="I113" t="s">
        <v>163</v>
      </c>
    </row>
    <row r="114" spans="1:9" hidden="1" x14ac:dyDescent="0.25">
      <c r="A114" s="1">
        <v>46237</v>
      </c>
      <c r="B114">
        <v>1001005240</v>
      </c>
      <c r="C114" t="s">
        <v>152</v>
      </c>
      <c r="D114" t="s">
        <v>153</v>
      </c>
      <c r="E114" t="s">
        <v>4010</v>
      </c>
      <c r="F114" s="1">
        <v>46234</v>
      </c>
      <c r="G114" s="1">
        <v>46240</v>
      </c>
      <c r="H114" t="s">
        <v>240</v>
      </c>
      <c r="I114" t="s">
        <v>241</v>
      </c>
    </row>
    <row r="115" spans="1:9" hidden="1" x14ac:dyDescent="0.25">
      <c r="A115" s="1">
        <v>46238</v>
      </c>
      <c r="B115">
        <v>1001005240</v>
      </c>
      <c r="C115" t="s">
        <v>152</v>
      </c>
      <c r="D115" t="s">
        <v>153</v>
      </c>
      <c r="E115" t="s">
        <v>4010</v>
      </c>
      <c r="F115" s="1">
        <v>46234</v>
      </c>
      <c r="G115" s="1">
        <v>46240</v>
      </c>
      <c r="H115" t="s">
        <v>188</v>
      </c>
      <c r="I115" t="s">
        <v>189</v>
      </c>
    </row>
    <row r="116" spans="1:9" hidden="1" x14ac:dyDescent="0.25">
      <c r="A116" s="1">
        <v>46239</v>
      </c>
      <c r="B116">
        <v>1001005240</v>
      </c>
      <c r="C116" t="s">
        <v>152</v>
      </c>
      <c r="D116" t="s">
        <v>153</v>
      </c>
      <c r="E116" t="s">
        <v>4010</v>
      </c>
      <c r="F116" s="1">
        <v>46234</v>
      </c>
      <c r="G116" s="1">
        <v>46240</v>
      </c>
      <c r="H116" t="s">
        <v>154</v>
      </c>
      <c r="I116" t="s">
        <v>155</v>
      </c>
    </row>
    <row r="117" spans="1:9" hidden="1" x14ac:dyDescent="0.25">
      <c r="A117" s="1">
        <v>46235</v>
      </c>
      <c r="B117">
        <v>1020488082</v>
      </c>
      <c r="C117" t="s">
        <v>3793</v>
      </c>
      <c r="D117" t="s">
        <v>326</v>
      </c>
      <c r="E117" t="s">
        <v>4005</v>
      </c>
      <c r="F117" s="1">
        <v>46234</v>
      </c>
      <c r="G117" s="1">
        <v>46235</v>
      </c>
      <c r="I117" t="s">
        <v>4022</v>
      </c>
    </row>
    <row r="118" spans="1:9" hidden="1" x14ac:dyDescent="0.25">
      <c r="A118" s="1">
        <v>46237</v>
      </c>
      <c r="B118">
        <v>1020488082</v>
      </c>
      <c r="C118" t="s">
        <v>3793</v>
      </c>
      <c r="D118" t="s">
        <v>326</v>
      </c>
      <c r="E118" t="s">
        <v>4005</v>
      </c>
      <c r="F118" s="1">
        <v>46234</v>
      </c>
      <c r="G118" s="1">
        <v>46235</v>
      </c>
      <c r="I118" t="s">
        <v>4006</v>
      </c>
    </row>
    <row r="119" spans="1:9" hidden="1" x14ac:dyDescent="0.25">
      <c r="A119" s="1">
        <v>46237</v>
      </c>
      <c r="B119">
        <v>1144057947</v>
      </c>
      <c r="C119" t="s">
        <v>1556</v>
      </c>
      <c r="D119" t="s">
        <v>89</v>
      </c>
      <c r="E119" t="s">
        <v>4017</v>
      </c>
      <c r="F119" s="1">
        <v>46220</v>
      </c>
      <c r="G119" s="1">
        <v>46235</v>
      </c>
      <c r="I119" t="s">
        <v>4006</v>
      </c>
    </row>
    <row r="120" spans="1:9" hidden="1" x14ac:dyDescent="0.25">
      <c r="A120" s="1">
        <v>46235</v>
      </c>
      <c r="B120" t="s">
        <v>185</v>
      </c>
      <c r="C120" t="s">
        <v>186</v>
      </c>
      <c r="D120" t="s">
        <v>4045</v>
      </c>
      <c r="E120" t="s">
        <v>4011</v>
      </c>
      <c r="F120" s="1">
        <v>46235</v>
      </c>
      <c r="G120" s="1">
        <v>46235</v>
      </c>
      <c r="I120" t="s">
        <v>4047</v>
      </c>
    </row>
    <row r="121" spans="1:9" hidden="1" x14ac:dyDescent="0.25">
      <c r="A121" s="1">
        <v>46237</v>
      </c>
      <c r="B121" t="s">
        <v>185</v>
      </c>
      <c r="C121" t="s">
        <v>186</v>
      </c>
      <c r="D121" t="s">
        <v>4045</v>
      </c>
      <c r="E121" t="s">
        <v>4011</v>
      </c>
      <c r="F121" s="1">
        <v>46235</v>
      </c>
      <c r="G121" s="1">
        <v>46235</v>
      </c>
      <c r="H121" t="s">
        <v>185</v>
      </c>
      <c r="I121" t="s">
        <v>186</v>
      </c>
    </row>
    <row r="122" spans="1:9" hidden="1" x14ac:dyDescent="0.25">
      <c r="A122" s="1">
        <v>46235</v>
      </c>
      <c r="B122">
        <v>1192769686</v>
      </c>
      <c r="C122" t="s">
        <v>1882</v>
      </c>
      <c r="D122" t="s">
        <v>326</v>
      </c>
      <c r="E122" t="s">
        <v>4005</v>
      </c>
      <c r="F122" s="1">
        <v>46234</v>
      </c>
      <c r="G122" s="1">
        <v>46235</v>
      </c>
      <c r="H122" t="s">
        <v>244</v>
      </c>
      <c r="I122" t="s">
        <v>245</v>
      </c>
    </row>
    <row r="123" spans="1:9" hidden="1" x14ac:dyDescent="0.25">
      <c r="A123" s="1">
        <v>46237</v>
      </c>
      <c r="B123">
        <v>1192769686</v>
      </c>
      <c r="C123" t="s">
        <v>1882</v>
      </c>
      <c r="D123" t="s">
        <v>326</v>
      </c>
      <c r="E123" t="s">
        <v>4005</v>
      </c>
      <c r="F123" s="1">
        <v>46234</v>
      </c>
      <c r="G123" s="1">
        <v>46235</v>
      </c>
      <c r="I123" t="s">
        <v>4006</v>
      </c>
    </row>
    <row r="124" spans="1:9" hidden="1" x14ac:dyDescent="0.25">
      <c r="A124" s="1">
        <v>46235</v>
      </c>
      <c r="B124">
        <v>1037651431</v>
      </c>
      <c r="C124" t="s">
        <v>464</v>
      </c>
      <c r="D124" t="s">
        <v>15</v>
      </c>
      <c r="E124" t="s">
        <v>4012</v>
      </c>
      <c r="F124" s="1">
        <v>46235</v>
      </c>
      <c r="G124" s="1">
        <v>46235</v>
      </c>
      <c r="I124" t="s">
        <v>261</v>
      </c>
    </row>
    <row r="125" spans="1:9" hidden="1" x14ac:dyDescent="0.25">
      <c r="A125" s="1">
        <v>46237</v>
      </c>
      <c r="B125">
        <v>1037651431</v>
      </c>
      <c r="C125" t="s">
        <v>464</v>
      </c>
      <c r="D125" t="s">
        <v>15</v>
      </c>
      <c r="E125" t="s">
        <v>4012</v>
      </c>
      <c r="F125" s="1">
        <v>46235</v>
      </c>
      <c r="G125" s="1">
        <v>46235</v>
      </c>
      <c r="I125" t="s">
        <v>4006</v>
      </c>
    </row>
    <row r="126" spans="1:9" hidden="1" x14ac:dyDescent="0.25">
      <c r="A126" s="1">
        <v>46235</v>
      </c>
      <c r="B126">
        <v>1142948064</v>
      </c>
      <c r="C126" t="s">
        <v>1505</v>
      </c>
      <c r="D126" t="s">
        <v>132</v>
      </c>
      <c r="E126" t="s">
        <v>4010</v>
      </c>
      <c r="F126" s="1">
        <v>46234</v>
      </c>
      <c r="G126" s="1">
        <v>46234</v>
      </c>
      <c r="I126" t="s">
        <v>4006</v>
      </c>
    </row>
    <row r="127" spans="1:9" hidden="1" x14ac:dyDescent="0.25">
      <c r="A127" s="1">
        <v>46235</v>
      </c>
      <c r="B127">
        <v>1143470207</v>
      </c>
      <c r="C127" t="s">
        <v>4043</v>
      </c>
      <c r="D127" t="s">
        <v>153</v>
      </c>
      <c r="E127" t="s">
        <v>4010</v>
      </c>
      <c r="F127" s="1">
        <v>46235</v>
      </c>
      <c r="G127" s="1">
        <v>46238</v>
      </c>
      <c r="I127" t="s">
        <v>261</v>
      </c>
    </row>
    <row r="128" spans="1:9" hidden="1" x14ac:dyDescent="0.25">
      <c r="A128" s="1">
        <v>46237</v>
      </c>
      <c r="B128">
        <v>1143470207</v>
      </c>
      <c r="C128" t="s">
        <v>4043</v>
      </c>
      <c r="D128" t="s">
        <v>153</v>
      </c>
      <c r="E128" t="s">
        <v>4010</v>
      </c>
      <c r="F128" s="1">
        <v>46235</v>
      </c>
      <c r="G128" s="1">
        <v>46238</v>
      </c>
      <c r="H128" t="s">
        <v>244</v>
      </c>
      <c r="I128" t="s">
        <v>245</v>
      </c>
    </row>
    <row r="129" spans="1:9" hidden="1" x14ac:dyDescent="0.25">
      <c r="A129" s="1">
        <v>46238</v>
      </c>
      <c r="B129">
        <v>1143470207</v>
      </c>
      <c r="C129" t="s">
        <v>4043</v>
      </c>
      <c r="D129" t="s">
        <v>153</v>
      </c>
      <c r="E129" t="s">
        <v>4010</v>
      </c>
      <c r="F129" s="1">
        <v>46235</v>
      </c>
      <c r="G129" s="1">
        <v>46238</v>
      </c>
      <c r="I129" t="s">
        <v>261</v>
      </c>
    </row>
    <row r="130" spans="1:9" hidden="1" x14ac:dyDescent="0.25">
      <c r="A130" s="1">
        <v>46239</v>
      </c>
      <c r="B130">
        <v>1143470207</v>
      </c>
      <c r="C130" t="s">
        <v>4043</v>
      </c>
      <c r="D130" t="s">
        <v>153</v>
      </c>
      <c r="E130" t="s">
        <v>4010</v>
      </c>
      <c r="F130" s="1">
        <v>46235</v>
      </c>
      <c r="G130" s="1">
        <v>46238</v>
      </c>
      <c r="I130" t="s">
        <v>4006</v>
      </c>
    </row>
    <row r="131" spans="1:9" hidden="1" x14ac:dyDescent="0.25">
      <c r="A131" s="1">
        <v>46235</v>
      </c>
      <c r="B131">
        <v>1037661959</v>
      </c>
      <c r="C131" t="s">
        <v>3171</v>
      </c>
      <c r="D131" t="s">
        <v>410</v>
      </c>
      <c r="E131" t="s">
        <v>4005</v>
      </c>
      <c r="F131" s="1">
        <v>46235</v>
      </c>
      <c r="G131" s="1">
        <v>46235</v>
      </c>
      <c r="I131" t="s">
        <v>261</v>
      </c>
    </row>
    <row r="132" spans="1:9" hidden="1" x14ac:dyDescent="0.25">
      <c r="A132" s="1">
        <v>46237</v>
      </c>
      <c r="B132">
        <v>1037661959</v>
      </c>
      <c r="C132" t="s">
        <v>3171</v>
      </c>
      <c r="D132" t="s">
        <v>410</v>
      </c>
      <c r="E132" t="s">
        <v>4005</v>
      </c>
      <c r="F132" s="1">
        <v>46235</v>
      </c>
      <c r="G132" s="1">
        <v>46235</v>
      </c>
      <c r="I132" t="s">
        <v>4006</v>
      </c>
    </row>
    <row r="133" spans="1:9" hidden="1" x14ac:dyDescent="0.25">
      <c r="A133" s="1">
        <v>46235</v>
      </c>
      <c r="B133">
        <v>1000416383</v>
      </c>
      <c r="C133" t="s">
        <v>1176</v>
      </c>
      <c r="D133" t="s">
        <v>4027</v>
      </c>
      <c r="E133" t="s">
        <v>4011</v>
      </c>
      <c r="F133" s="1">
        <v>46234</v>
      </c>
      <c r="G133" s="1">
        <v>46235</v>
      </c>
      <c r="I133" t="s">
        <v>4022</v>
      </c>
    </row>
    <row r="134" spans="1:9" hidden="1" x14ac:dyDescent="0.25">
      <c r="A134" s="1">
        <v>46237</v>
      </c>
      <c r="B134">
        <v>1000416383</v>
      </c>
      <c r="C134" t="s">
        <v>1176</v>
      </c>
      <c r="D134" t="s">
        <v>4027</v>
      </c>
      <c r="E134" t="s">
        <v>4011</v>
      </c>
      <c r="F134" s="1">
        <v>46234</v>
      </c>
      <c r="G134" s="1">
        <v>46235</v>
      </c>
      <c r="I134" t="s">
        <v>4006</v>
      </c>
    </row>
    <row r="135" spans="1:9" hidden="1" x14ac:dyDescent="0.25">
      <c r="A135" s="1">
        <v>46235</v>
      </c>
      <c r="B135">
        <v>1193459665</v>
      </c>
      <c r="C135" t="s">
        <v>4026</v>
      </c>
      <c r="D135" t="s">
        <v>326</v>
      </c>
      <c r="E135" t="s">
        <v>4005</v>
      </c>
      <c r="F135" s="1">
        <v>46235</v>
      </c>
      <c r="G135" s="1">
        <v>46238</v>
      </c>
      <c r="I135" t="s">
        <v>261</v>
      </c>
    </row>
    <row r="136" spans="1:9" hidden="1" x14ac:dyDescent="0.25">
      <c r="A136" s="1">
        <v>46235</v>
      </c>
      <c r="B136">
        <v>1152446353</v>
      </c>
      <c r="C136" t="s">
        <v>3885</v>
      </c>
      <c r="D136" t="s">
        <v>15</v>
      </c>
      <c r="E136" t="s">
        <v>4012</v>
      </c>
      <c r="F136" s="1">
        <v>46235</v>
      </c>
      <c r="G136" s="1">
        <v>46235</v>
      </c>
      <c r="I136" t="s">
        <v>261</v>
      </c>
    </row>
    <row r="137" spans="1:9" hidden="1" x14ac:dyDescent="0.25">
      <c r="A137" s="1">
        <v>46235</v>
      </c>
      <c r="B137">
        <v>1067959066</v>
      </c>
      <c r="C137" t="s">
        <v>3446</v>
      </c>
      <c r="D137" t="s">
        <v>322</v>
      </c>
      <c r="E137" t="s">
        <v>4017</v>
      </c>
      <c r="F137" s="1">
        <v>46235</v>
      </c>
      <c r="G137" s="1">
        <v>46235</v>
      </c>
      <c r="I137" t="s">
        <v>4049</v>
      </c>
    </row>
    <row r="138" spans="1:9" hidden="1" x14ac:dyDescent="0.25">
      <c r="A138" s="1">
        <v>46235</v>
      </c>
      <c r="B138">
        <v>1007868236</v>
      </c>
      <c r="C138" t="s">
        <v>1453</v>
      </c>
      <c r="D138" t="s">
        <v>82</v>
      </c>
      <c r="E138" t="s">
        <v>4005</v>
      </c>
      <c r="F138" s="1">
        <v>46235</v>
      </c>
      <c r="G138" s="1">
        <v>46235</v>
      </c>
      <c r="I138" t="s">
        <v>261</v>
      </c>
    </row>
    <row r="139" spans="1:9" hidden="1" x14ac:dyDescent="0.25">
      <c r="A139" s="1">
        <v>46237</v>
      </c>
      <c r="B139">
        <v>1007868236</v>
      </c>
      <c r="C139" t="s">
        <v>1453</v>
      </c>
      <c r="D139" t="s">
        <v>82</v>
      </c>
      <c r="E139" t="s">
        <v>4005</v>
      </c>
      <c r="F139" s="1">
        <v>46235</v>
      </c>
      <c r="G139" s="1">
        <v>46235</v>
      </c>
      <c r="I139" t="s">
        <v>4006</v>
      </c>
    </row>
    <row r="140" spans="1:9" hidden="1" x14ac:dyDescent="0.25">
      <c r="A140" s="1">
        <v>46237</v>
      </c>
      <c r="B140">
        <v>1037668071</v>
      </c>
      <c r="C140" t="s">
        <v>1708</v>
      </c>
      <c r="D140" t="s">
        <v>64</v>
      </c>
      <c r="E140" t="s">
        <v>4012</v>
      </c>
      <c r="F140" s="1">
        <v>46235</v>
      </c>
      <c r="G140" s="1">
        <v>46235</v>
      </c>
      <c r="I140" t="s">
        <v>4022</v>
      </c>
    </row>
    <row r="141" spans="1:9" hidden="1" x14ac:dyDescent="0.25">
      <c r="A141" s="1">
        <v>46235</v>
      </c>
      <c r="B141">
        <v>43271257</v>
      </c>
      <c r="C141" t="s">
        <v>1236</v>
      </c>
      <c r="D141" t="s">
        <v>34</v>
      </c>
      <c r="E141" t="s">
        <v>4011</v>
      </c>
      <c r="F141" s="1">
        <v>46235</v>
      </c>
      <c r="G141" s="1">
        <v>46235</v>
      </c>
      <c r="I141" t="s">
        <v>4022</v>
      </c>
    </row>
    <row r="142" spans="1:9" hidden="1" x14ac:dyDescent="0.25">
      <c r="A142" s="1">
        <v>46237</v>
      </c>
      <c r="B142">
        <v>43271257</v>
      </c>
      <c r="C142" t="s">
        <v>1236</v>
      </c>
      <c r="D142" t="s">
        <v>34</v>
      </c>
      <c r="E142" t="s">
        <v>4011</v>
      </c>
      <c r="F142" s="1">
        <v>46235</v>
      </c>
      <c r="G142" s="1">
        <v>46235</v>
      </c>
      <c r="I142" t="s">
        <v>4006</v>
      </c>
    </row>
    <row r="143" spans="1:9" hidden="1" x14ac:dyDescent="0.25">
      <c r="A143" s="1">
        <v>46235</v>
      </c>
      <c r="B143">
        <v>1046668203</v>
      </c>
      <c r="C143" t="s">
        <v>2645</v>
      </c>
      <c r="D143" t="s">
        <v>78</v>
      </c>
      <c r="E143" t="s">
        <v>4010</v>
      </c>
      <c r="F143" s="1">
        <v>46235</v>
      </c>
      <c r="G143" s="1">
        <v>46235</v>
      </c>
      <c r="I143" t="s">
        <v>4022</v>
      </c>
    </row>
    <row r="144" spans="1:9" hidden="1" x14ac:dyDescent="0.25">
      <c r="A144" s="1">
        <v>46237</v>
      </c>
      <c r="B144">
        <v>1046668203</v>
      </c>
      <c r="C144" t="s">
        <v>2645</v>
      </c>
      <c r="D144" t="s">
        <v>78</v>
      </c>
      <c r="E144" t="s">
        <v>4010</v>
      </c>
      <c r="F144" s="1">
        <v>46235</v>
      </c>
      <c r="G144" s="1">
        <v>46235</v>
      </c>
      <c r="I144" t="s">
        <v>4006</v>
      </c>
    </row>
    <row r="145" spans="1:9" hidden="1" x14ac:dyDescent="0.25">
      <c r="A145" s="1">
        <v>46235</v>
      </c>
      <c r="B145">
        <v>42827780</v>
      </c>
      <c r="C145" t="s">
        <v>2447</v>
      </c>
      <c r="D145" t="s">
        <v>197</v>
      </c>
      <c r="E145" t="s">
        <v>4005</v>
      </c>
      <c r="F145" s="1">
        <v>46235</v>
      </c>
      <c r="G145" s="1">
        <v>46235</v>
      </c>
      <c r="I145" t="s">
        <v>4022</v>
      </c>
    </row>
    <row r="146" spans="1:9" hidden="1" x14ac:dyDescent="0.25">
      <c r="A146" s="1">
        <v>46237</v>
      </c>
      <c r="B146">
        <v>42827780</v>
      </c>
      <c r="C146" t="s">
        <v>2447</v>
      </c>
      <c r="D146" t="s">
        <v>197</v>
      </c>
      <c r="E146" t="s">
        <v>4005</v>
      </c>
      <c r="F146" s="1">
        <v>46235</v>
      </c>
      <c r="G146" s="1">
        <v>46235</v>
      </c>
      <c r="I146" t="s">
        <v>4006</v>
      </c>
    </row>
    <row r="147" spans="1:9" hidden="1" x14ac:dyDescent="0.25">
      <c r="A147" s="1">
        <v>46235</v>
      </c>
      <c r="B147">
        <v>1045017347</v>
      </c>
      <c r="C147" t="s">
        <v>1218</v>
      </c>
      <c r="D147" t="s">
        <v>326</v>
      </c>
      <c r="E147" t="s">
        <v>4012</v>
      </c>
      <c r="F147" s="1">
        <v>46235</v>
      </c>
      <c r="G147" s="1">
        <v>46235</v>
      </c>
      <c r="I147" t="s">
        <v>4022</v>
      </c>
    </row>
    <row r="148" spans="1:9" hidden="1" x14ac:dyDescent="0.25">
      <c r="A148" s="1">
        <v>46237</v>
      </c>
      <c r="B148">
        <v>1045017347</v>
      </c>
      <c r="C148" t="s">
        <v>1218</v>
      </c>
      <c r="D148" t="s">
        <v>326</v>
      </c>
      <c r="E148" t="s">
        <v>4005</v>
      </c>
      <c r="F148" s="1">
        <v>46235</v>
      </c>
      <c r="G148" s="1">
        <v>46235</v>
      </c>
      <c r="I148" t="s">
        <v>4006</v>
      </c>
    </row>
    <row r="149" spans="1:9" hidden="1" x14ac:dyDescent="0.25">
      <c r="A149" s="1">
        <v>46237</v>
      </c>
      <c r="B149">
        <v>1037642818</v>
      </c>
      <c r="C149" t="s">
        <v>3657</v>
      </c>
      <c r="D149" t="s">
        <v>41</v>
      </c>
      <c r="E149" t="s">
        <v>4011</v>
      </c>
      <c r="F149" s="1">
        <v>46235</v>
      </c>
      <c r="I149" t="s">
        <v>4022</v>
      </c>
    </row>
    <row r="150" spans="1:9" hidden="1" x14ac:dyDescent="0.25">
      <c r="A150" s="1">
        <v>46238</v>
      </c>
      <c r="B150">
        <v>1037642818</v>
      </c>
      <c r="C150" t="s">
        <v>3657</v>
      </c>
      <c r="D150" t="s">
        <v>41</v>
      </c>
      <c r="E150" t="s">
        <v>4011</v>
      </c>
      <c r="F150" s="1">
        <v>46235</v>
      </c>
      <c r="I150" t="s">
        <v>4051</v>
      </c>
    </row>
    <row r="151" spans="1:9" hidden="1" x14ac:dyDescent="0.25">
      <c r="A151" s="1">
        <v>46235</v>
      </c>
      <c r="B151">
        <v>1035442917</v>
      </c>
      <c r="C151" t="s">
        <v>2736</v>
      </c>
      <c r="D151" t="s">
        <v>197</v>
      </c>
      <c r="E151" t="s">
        <v>4005</v>
      </c>
      <c r="F151" s="1">
        <v>46235</v>
      </c>
      <c r="I151" t="s">
        <v>4022</v>
      </c>
    </row>
    <row r="152" spans="1:9" hidden="1" x14ac:dyDescent="0.25">
      <c r="A152" s="1">
        <v>46237</v>
      </c>
      <c r="B152">
        <v>1035442917</v>
      </c>
      <c r="C152" t="s">
        <v>2736</v>
      </c>
      <c r="D152" t="s">
        <v>197</v>
      </c>
      <c r="E152" t="s">
        <v>4005</v>
      </c>
      <c r="F152" s="1">
        <v>46235</v>
      </c>
      <c r="I152" t="s">
        <v>4052</v>
      </c>
    </row>
    <row r="153" spans="1:9" hidden="1" x14ac:dyDescent="0.25">
      <c r="A153" s="1">
        <v>46238</v>
      </c>
      <c r="B153">
        <v>1035442917</v>
      </c>
      <c r="C153" t="s">
        <v>2736</v>
      </c>
      <c r="D153" t="s">
        <v>197</v>
      </c>
      <c r="E153" t="s">
        <v>4005</v>
      </c>
      <c r="F153" s="1">
        <v>46235</v>
      </c>
      <c r="I153" t="s">
        <v>4051</v>
      </c>
    </row>
    <row r="154" spans="1:9" hidden="1" x14ac:dyDescent="0.25">
      <c r="A154" s="1">
        <v>46235</v>
      </c>
      <c r="B154">
        <v>1000640650</v>
      </c>
      <c r="C154" t="s">
        <v>3726</v>
      </c>
      <c r="D154" t="s">
        <v>160</v>
      </c>
      <c r="E154" t="s">
        <v>4011</v>
      </c>
      <c r="F154" s="1">
        <v>46235</v>
      </c>
      <c r="G154" s="1">
        <v>46235</v>
      </c>
      <c r="I154" t="s">
        <v>4022</v>
      </c>
    </row>
    <row r="155" spans="1:9" hidden="1" x14ac:dyDescent="0.25">
      <c r="A155" s="1">
        <v>46237</v>
      </c>
      <c r="B155">
        <v>1000640650</v>
      </c>
      <c r="C155" t="s">
        <v>3726</v>
      </c>
      <c r="D155" t="s">
        <v>160</v>
      </c>
      <c r="E155" t="s">
        <v>4011</v>
      </c>
      <c r="F155" s="1">
        <v>46235</v>
      </c>
      <c r="G155" s="1">
        <v>46235</v>
      </c>
      <c r="I155" t="s">
        <v>4006</v>
      </c>
    </row>
    <row r="156" spans="1:9" hidden="1" x14ac:dyDescent="0.25">
      <c r="A156" s="1">
        <v>46235</v>
      </c>
      <c r="B156">
        <v>1233189573</v>
      </c>
      <c r="C156" t="s">
        <v>2806</v>
      </c>
      <c r="D156" t="s">
        <v>142</v>
      </c>
      <c r="E156" t="s">
        <v>4012</v>
      </c>
      <c r="F156" s="1">
        <v>46235</v>
      </c>
      <c r="G156" s="1">
        <v>46235</v>
      </c>
      <c r="I156" t="s">
        <v>4022</v>
      </c>
    </row>
    <row r="157" spans="1:9" hidden="1" x14ac:dyDescent="0.25">
      <c r="A157" s="1">
        <v>46237</v>
      </c>
      <c r="B157">
        <v>1233189573</v>
      </c>
      <c r="C157" t="s">
        <v>2806</v>
      </c>
      <c r="D157" t="s">
        <v>142</v>
      </c>
      <c r="E157" t="s">
        <v>4012</v>
      </c>
      <c r="F157" s="1">
        <v>46235</v>
      </c>
      <c r="G157" s="1">
        <v>46235</v>
      </c>
      <c r="I157" t="s">
        <v>4006</v>
      </c>
    </row>
    <row r="158" spans="1:9" hidden="1" x14ac:dyDescent="0.25">
      <c r="A158" s="1">
        <v>46235</v>
      </c>
      <c r="B158">
        <v>1088348251</v>
      </c>
      <c r="C158" t="s">
        <v>2111</v>
      </c>
      <c r="D158" t="s">
        <v>142</v>
      </c>
      <c r="E158" t="s">
        <v>4012</v>
      </c>
      <c r="F158" s="1">
        <v>46235</v>
      </c>
      <c r="G158" s="1">
        <v>46235</v>
      </c>
      <c r="I158" t="s">
        <v>4022</v>
      </c>
    </row>
    <row r="159" spans="1:9" hidden="1" x14ac:dyDescent="0.25">
      <c r="A159" s="1">
        <v>46237</v>
      </c>
      <c r="B159">
        <v>1088348251</v>
      </c>
      <c r="C159" t="s">
        <v>2111</v>
      </c>
      <c r="D159" t="s">
        <v>142</v>
      </c>
      <c r="E159" t="s">
        <v>4012</v>
      </c>
      <c r="F159" s="1">
        <v>46235</v>
      </c>
      <c r="G159" s="1">
        <v>46235</v>
      </c>
      <c r="I159" t="s">
        <v>4022</v>
      </c>
    </row>
    <row r="160" spans="1:9" hidden="1" x14ac:dyDescent="0.25">
      <c r="A160" s="1">
        <v>46235</v>
      </c>
      <c r="B160">
        <v>1193584838</v>
      </c>
      <c r="C160" t="s">
        <v>2955</v>
      </c>
      <c r="D160" t="s">
        <v>142</v>
      </c>
      <c r="E160" t="s">
        <v>4012</v>
      </c>
      <c r="F160" s="1">
        <v>46235</v>
      </c>
      <c r="G160" s="1">
        <v>46235</v>
      </c>
      <c r="I160" t="s">
        <v>4022</v>
      </c>
    </row>
    <row r="161" spans="1:9" hidden="1" x14ac:dyDescent="0.25">
      <c r="A161" s="1">
        <v>46237</v>
      </c>
      <c r="B161">
        <v>1193584838</v>
      </c>
      <c r="C161" t="s">
        <v>2955</v>
      </c>
      <c r="D161" t="s">
        <v>420</v>
      </c>
      <c r="E161" t="s">
        <v>4010</v>
      </c>
      <c r="F161" s="1">
        <v>46235</v>
      </c>
      <c r="G161" s="1">
        <v>46235</v>
      </c>
      <c r="I161" t="s">
        <v>4006</v>
      </c>
    </row>
    <row r="162" spans="1:9" hidden="1" x14ac:dyDescent="0.25">
      <c r="A162" s="1">
        <v>46235</v>
      </c>
      <c r="B162">
        <v>1017241980</v>
      </c>
      <c r="C162" t="s">
        <v>1389</v>
      </c>
      <c r="D162" t="s">
        <v>64</v>
      </c>
      <c r="E162" t="s">
        <v>4012</v>
      </c>
      <c r="F162" s="1">
        <v>46235</v>
      </c>
      <c r="G162" s="1">
        <v>46235</v>
      </c>
      <c r="I162" t="s">
        <v>261</v>
      </c>
    </row>
    <row r="163" spans="1:9" hidden="1" x14ac:dyDescent="0.25">
      <c r="A163" s="1">
        <v>46237</v>
      </c>
      <c r="B163">
        <v>1017241980</v>
      </c>
      <c r="C163" t="s">
        <v>1389</v>
      </c>
      <c r="D163" t="s">
        <v>64</v>
      </c>
      <c r="E163" t="s">
        <v>4012</v>
      </c>
      <c r="F163" s="1">
        <v>46235</v>
      </c>
      <c r="G163" s="1">
        <v>46235</v>
      </c>
      <c r="I163" t="s">
        <v>4006</v>
      </c>
    </row>
    <row r="164" spans="1:9" hidden="1" x14ac:dyDescent="0.25">
      <c r="A164" s="1">
        <v>46235</v>
      </c>
      <c r="B164">
        <v>1036962119</v>
      </c>
      <c r="C164" t="s">
        <v>1951</v>
      </c>
      <c r="D164" t="s">
        <v>78</v>
      </c>
      <c r="E164" t="s">
        <v>4010</v>
      </c>
      <c r="F164" s="1">
        <v>46235</v>
      </c>
      <c r="G164" s="1">
        <v>46235</v>
      </c>
      <c r="I164" t="s">
        <v>4022</v>
      </c>
    </row>
    <row r="165" spans="1:9" hidden="1" x14ac:dyDescent="0.25">
      <c r="A165" s="1">
        <v>46239</v>
      </c>
      <c r="B165">
        <v>1036962119</v>
      </c>
      <c r="C165" t="s">
        <v>1951</v>
      </c>
      <c r="D165" t="s">
        <v>78</v>
      </c>
      <c r="E165" t="s">
        <v>4010</v>
      </c>
      <c r="F165" s="1">
        <v>46235</v>
      </c>
      <c r="G165" s="1">
        <v>46235</v>
      </c>
      <c r="I165" t="s">
        <v>4006</v>
      </c>
    </row>
    <row r="166" spans="1:9" hidden="1" x14ac:dyDescent="0.25">
      <c r="A166" s="1">
        <v>46237</v>
      </c>
      <c r="B166">
        <v>1032491944</v>
      </c>
      <c r="C166" t="s">
        <v>607</v>
      </c>
      <c r="D166" t="s">
        <v>24</v>
      </c>
      <c r="E166" t="s">
        <v>4011</v>
      </c>
      <c r="F166" s="1">
        <v>46237</v>
      </c>
      <c r="G166" s="1">
        <v>46241</v>
      </c>
      <c r="I166" t="s">
        <v>4054</v>
      </c>
    </row>
    <row r="167" spans="1:9" hidden="1" x14ac:dyDescent="0.25">
      <c r="A167" s="1">
        <v>46239</v>
      </c>
      <c r="B167">
        <v>1032491944</v>
      </c>
      <c r="C167" t="s">
        <v>23</v>
      </c>
      <c r="D167" t="s">
        <v>24</v>
      </c>
      <c r="E167" t="s">
        <v>4011</v>
      </c>
      <c r="F167" s="1">
        <v>46237</v>
      </c>
      <c r="G167" s="1">
        <v>46241</v>
      </c>
      <c r="H167" t="s">
        <v>178</v>
      </c>
      <c r="I167" t="s">
        <v>179</v>
      </c>
    </row>
    <row r="168" spans="1:9" hidden="1" x14ac:dyDescent="0.25">
      <c r="A168" s="1">
        <v>46237</v>
      </c>
      <c r="B168">
        <v>1037659560</v>
      </c>
      <c r="C168" t="s">
        <v>166</v>
      </c>
      <c r="D168" t="s">
        <v>41</v>
      </c>
      <c r="E168" t="s">
        <v>4011</v>
      </c>
      <c r="F168" s="1">
        <v>46235</v>
      </c>
      <c r="G168" s="1">
        <v>46240</v>
      </c>
      <c r="I168" t="s">
        <v>4055</v>
      </c>
    </row>
    <row r="169" spans="1:9" hidden="1" x14ac:dyDescent="0.25">
      <c r="A169" s="1">
        <v>46239</v>
      </c>
      <c r="B169">
        <v>1037659560</v>
      </c>
      <c r="C169" t="s">
        <v>166</v>
      </c>
      <c r="D169" t="s">
        <v>41</v>
      </c>
      <c r="E169" t="s">
        <v>4011</v>
      </c>
      <c r="F169" s="1">
        <v>46235</v>
      </c>
      <c r="G169" s="1">
        <v>46240</v>
      </c>
      <c r="I169" t="s">
        <v>261</v>
      </c>
    </row>
    <row r="170" spans="1:9" hidden="1" x14ac:dyDescent="0.25">
      <c r="A170" s="1">
        <v>46237</v>
      </c>
      <c r="B170">
        <v>1001851670</v>
      </c>
      <c r="C170" t="s">
        <v>14</v>
      </c>
      <c r="D170" t="s">
        <v>15</v>
      </c>
      <c r="E170" t="s">
        <v>4012</v>
      </c>
      <c r="F170" s="1">
        <v>46237</v>
      </c>
      <c r="G170" s="1">
        <v>46366</v>
      </c>
      <c r="I170" t="s">
        <v>261</v>
      </c>
    </row>
    <row r="171" spans="1:9" hidden="1" x14ac:dyDescent="0.25">
      <c r="A171" s="1">
        <v>46238</v>
      </c>
      <c r="B171">
        <v>1001851670</v>
      </c>
      <c r="C171" t="s">
        <v>14</v>
      </c>
      <c r="D171" t="s">
        <v>15</v>
      </c>
      <c r="E171" t="s">
        <v>4012</v>
      </c>
      <c r="F171" s="1">
        <v>46237</v>
      </c>
      <c r="G171" s="1">
        <v>46366</v>
      </c>
      <c r="H171" t="s">
        <v>237</v>
      </c>
      <c r="I171" t="s">
        <v>238</v>
      </c>
    </row>
    <row r="172" spans="1:9" hidden="1" x14ac:dyDescent="0.25">
      <c r="A172" s="1">
        <v>46239</v>
      </c>
      <c r="B172">
        <v>1001851670</v>
      </c>
      <c r="C172" t="s">
        <v>14</v>
      </c>
      <c r="D172" t="s">
        <v>15</v>
      </c>
      <c r="E172" t="s">
        <v>4012</v>
      </c>
      <c r="F172" s="1">
        <v>46237</v>
      </c>
      <c r="G172" s="1">
        <v>46366</v>
      </c>
      <c r="H172" t="s">
        <v>188</v>
      </c>
      <c r="I172" t="s">
        <v>189</v>
      </c>
    </row>
    <row r="173" spans="1:9" hidden="1" x14ac:dyDescent="0.25">
      <c r="A173" s="1">
        <v>46237</v>
      </c>
      <c r="B173">
        <v>1140851921</v>
      </c>
      <c r="C173" t="s">
        <v>4023</v>
      </c>
      <c r="D173" t="s">
        <v>326</v>
      </c>
      <c r="E173" t="s">
        <v>4005</v>
      </c>
      <c r="F173" s="1">
        <v>46237</v>
      </c>
      <c r="G173" s="1">
        <v>46239</v>
      </c>
      <c r="I173" t="s">
        <v>4057</v>
      </c>
    </row>
    <row r="174" spans="1:9" hidden="1" x14ac:dyDescent="0.25">
      <c r="A174" s="1">
        <v>46239</v>
      </c>
      <c r="B174">
        <v>1140851921</v>
      </c>
      <c r="C174" t="s">
        <v>4023</v>
      </c>
      <c r="D174" t="s">
        <v>326</v>
      </c>
      <c r="E174" t="s">
        <v>4005</v>
      </c>
      <c r="F174" s="1">
        <v>46237</v>
      </c>
      <c r="G174" s="1">
        <v>46239</v>
      </c>
      <c r="H174" t="s">
        <v>1346</v>
      </c>
      <c r="I174" t="s">
        <v>1347</v>
      </c>
    </row>
    <row r="175" spans="1:9" hidden="1" x14ac:dyDescent="0.25">
      <c r="A175" s="1">
        <v>46237</v>
      </c>
      <c r="B175">
        <v>1102808787</v>
      </c>
      <c r="C175" t="s">
        <v>265</v>
      </c>
      <c r="D175" t="s">
        <v>51</v>
      </c>
      <c r="E175" t="s">
        <v>4011</v>
      </c>
      <c r="F175" s="1">
        <v>46237</v>
      </c>
      <c r="G175" s="1">
        <v>46256</v>
      </c>
      <c r="I175" t="s">
        <v>4022</v>
      </c>
    </row>
    <row r="176" spans="1:9" hidden="1" x14ac:dyDescent="0.25">
      <c r="A176" s="1">
        <v>46239</v>
      </c>
      <c r="B176">
        <v>1102808787</v>
      </c>
      <c r="C176" t="s">
        <v>265</v>
      </c>
      <c r="D176" t="s">
        <v>51</v>
      </c>
      <c r="E176" t="s">
        <v>4011</v>
      </c>
      <c r="F176" s="1">
        <v>46237</v>
      </c>
      <c r="G176" s="1">
        <v>46256</v>
      </c>
      <c r="I176" t="s">
        <v>261</v>
      </c>
    </row>
    <row r="177" spans="1:9" hidden="1" x14ac:dyDescent="0.25">
      <c r="A177" s="1">
        <v>46237</v>
      </c>
      <c r="B177">
        <v>1152208665</v>
      </c>
      <c r="C177" t="s">
        <v>1084</v>
      </c>
      <c r="D177" t="s">
        <v>322</v>
      </c>
      <c r="E177" t="s">
        <v>4017</v>
      </c>
      <c r="F177" s="1">
        <v>46237</v>
      </c>
      <c r="G177" s="1">
        <v>46238</v>
      </c>
      <c r="I177" t="s">
        <v>4059</v>
      </c>
    </row>
    <row r="178" spans="1:9" hidden="1" x14ac:dyDescent="0.25">
      <c r="A178" s="1">
        <v>46238</v>
      </c>
      <c r="B178">
        <v>1152208665</v>
      </c>
      <c r="C178" t="s">
        <v>1084</v>
      </c>
      <c r="D178" t="s">
        <v>322</v>
      </c>
      <c r="E178" t="s">
        <v>4017</v>
      </c>
      <c r="F178" s="1">
        <v>46237</v>
      </c>
      <c r="G178" s="1">
        <v>46238</v>
      </c>
      <c r="H178" t="s">
        <v>134</v>
      </c>
      <c r="I178" t="s">
        <v>135</v>
      </c>
    </row>
    <row r="179" spans="1:9" hidden="1" x14ac:dyDescent="0.25">
      <c r="A179" s="1">
        <v>46239</v>
      </c>
      <c r="B179">
        <v>1152208665</v>
      </c>
      <c r="C179" t="s">
        <v>1084</v>
      </c>
      <c r="D179" t="s">
        <v>322</v>
      </c>
      <c r="E179" t="s">
        <v>4017</v>
      </c>
      <c r="F179" s="1">
        <v>46237</v>
      </c>
      <c r="G179" s="1">
        <v>46238</v>
      </c>
      <c r="I179" t="s">
        <v>4006</v>
      </c>
    </row>
    <row r="180" spans="1:9" hidden="1" x14ac:dyDescent="0.25">
      <c r="A180" s="1">
        <v>46237</v>
      </c>
      <c r="B180">
        <v>1004841623</v>
      </c>
      <c r="C180" t="s">
        <v>4060</v>
      </c>
      <c r="D180" t="s">
        <v>420</v>
      </c>
      <c r="E180" t="s">
        <v>4010</v>
      </c>
      <c r="F180" s="1">
        <v>46237</v>
      </c>
      <c r="G180" s="1">
        <v>46241</v>
      </c>
      <c r="I180" t="s">
        <v>4022</v>
      </c>
    </row>
    <row r="181" spans="1:9" hidden="1" x14ac:dyDescent="0.25">
      <c r="A181" s="1">
        <v>46238</v>
      </c>
      <c r="B181">
        <v>1004841623</v>
      </c>
      <c r="C181" t="s">
        <v>4060</v>
      </c>
      <c r="D181" t="s">
        <v>420</v>
      </c>
      <c r="E181" t="s">
        <v>4010</v>
      </c>
      <c r="F181" s="1">
        <v>46237</v>
      </c>
      <c r="G181" s="1">
        <v>46241</v>
      </c>
      <c r="H181" t="s">
        <v>167</v>
      </c>
      <c r="I181" t="s">
        <v>168</v>
      </c>
    </row>
    <row r="182" spans="1:9" hidden="1" x14ac:dyDescent="0.25">
      <c r="A182" s="1">
        <v>46239</v>
      </c>
      <c r="B182">
        <v>1004841623</v>
      </c>
      <c r="C182" t="s">
        <v>4062</v>
      </c>
      <c r="D182" t="s">
        <v>420</v>
      </c>
      <c r="E182" t="s">
        <v>4010</v>
      </c>
      <c r="F182" s="1">
        <v>46237</v>
      </c>
      <c r="G182" s="1">
        <v>46241</v>
      </c>
      <c r="H182" t="s">
        <v>171</v>
      </c>
      <c r="I182" t="s">
        <v>172</v>
      </c>
    </row>
    <row r="183" spans="1:9" hidden="1" x14ac:dyDescent="0.25">
      <c r="A183" s="1">
        <v>46237</v>
      </c>
      <c r="B183">
        <v>1036962119</v>
      </c>
      <c r="C183" t="s">
        <v>1951</v>
      </c>
      <c r="D183" t="s">
        <v>78</v>
      </c>
      <c r="E183" t="s">
        <v>4010</v>
      </c>
      <c r="F183" s="1">
        <v>46237</v>
      </c>
      <c r="G183" s="1">
        <v>46235</v>
      </c>
      <c r="I183" t="s">
        <v>4063</v>
      </c>
    </row>
    <row r="184" spans="1:9" hidden="1" x14ac:dyDescent="0.25">
      <c r="A184" s="1">
        <v>46238</v>
      </c>
      <c r="B184">
        <v>1036962119</v>
      </c>
      <c r="C184" t="s">
        <v>1951</v>
      </c>
      <c r="D184" t="s">
        <v>78</v>
      </c>
      <c r="E184" t="s">
        <v>4010</v>
      </c>
      <c r="F184" s="1">
        <v>46237</v>
      </c>
      <c r="G184" s="1">
        <v>46235</v>
      </c>
      <c r="I184" t="s">
        <v>4022</v>
      </c>
    </row>
    <row r="185" spans="1:9" hidden="1" x14ac:dyDescent="0.25">
      <c r="A185" s="1">
        <v>46237</v>
      </c>
      <c r="B185">
        <v>1143413583</v>
      </c>
      <c r="C185" t="s">
        <v>54</v>
      </c>
      <c r="D185" t="s">
        <v>41</v>
      </c>
      <c r="E185" t="s">
        <v>4011</v>
      </c>
      <c r="F185" s="1">
        <v>46236</v>
      </c>
      <c r="G185" s="1">
        <v>46239</v>
      </c>
      <c r="I185" t="s">
        <v>4022</v>
      </c>
    </row>
    <row r="186" spans="1:9" hidden="1" x14ac:dyDescent="0.25">
      <c r="A186" s="1">
        <v>46238</v>
      </c>
      <c r="B186">
        <v>1143413583</v>
      </c>
      <c r="C186" t="s">
        <v>54</v>
      </c>
      <c r="D186" t="s">
        <v>41</v>
      </c>
      <c r="E186" t="s">
        <v>4011</v>
      </c>
      <c r="F186" s="1">
        <v>46236</v>
      </c>
      <c r="G186" s="1">
        <v>46239</v>
      </c>
      <c r="H186" t="s">
        <v>162</v>
      </c>
      <c r="I186" t="s">
        <v>163</v>
      </c>
    </row>
    <row r="187" spans="1:9" hidden="1" x14ac:dyDescent="0.25">
      <c r="A187" s="1">
        <v>46239</v>
      </c>
      <c r="B187">
        <v>1143413583</v>
      </c>
      <c r="C187" t="s">
        <v>54</v>
      </c>
      <c r="D187" t="s">
        <v>41</v>
      </c>
      <c r="E187" t="s">
        <v>4011</v>
      </c>
      <c r="F187" s="1">
        <v>46236</v>
      </c>
      <c r="G187" s="1">
        <v>46239</v>
      </c>
      <c r="H187" t="s">
        <v>35</v>
      </c>
      <c r="I187" t="s">
        <v>36</v>
      </c>
    </row>
    <row r="188" spans="1:9" hidden="1" x14ac:dyDescent="0.25">
      <c r="A188" s="1">
        <v>46237</v>
      </c>
      <c r="B188">
        <v>1129516553</v>
      </c>
      <c r="C188" t="s">
        <v>1344</v>
      </c>
      <c r="D188" t="s">
        <v>142</v>
      </c>
      <c r="E188" t="s">
        <v>4012</v>
      </c>
      <c r="F188" s="1">
        <v>46237</v>
      </c>
      <c r="G188" s="1">
        <v>46238</v>
      </c>
      <c r="I188" t="s">
        <v>4022</v>
      </c>
    </row>
    <row r="189" spans="1:9" hidden="1" x14ac:dyDescent="0.25">
      <c r="A189" s="1">
        <v>46238</v>
      </c>
      <c r="B189">
        <v>1129516553</v>
      </c>
      <c r="C189" t="s">
        <v>1344</v>
      </c>
      <c r="D189" t="s">
        <v>142</v>
      </c>
      <c r="E189" t="s">
        <v>4012</v>
      </c>
      <c r="F189" s="1">
        <v>46237</v>
      </c>
      <c r="G189" s="1">
        <v>46238</v>
      </c>
      <c r="I189" t="s">
        <v>4022</v>
      </c>
    </row>
    <row r="190" spans="1:9" hidden="1" x14ac:dyDescent="0.25">
      <c r="A190" s="1">
        <v>46239</v>
      </c>
      <c r="B190">
        <v>1129516553</v>
      </c>
      <c r="C190" t="s">
        <v>1344</v>
      </c>
      <c r="D190" t="s">
        <v>142</v>
      </c>
      <c r="E190" t="s">
        <v>4012</v>
      </c>
      <c r="F190" s="1">
        <v>46237</v>
      </c>
      <c r="G190" s="1">
        <v>46238</v>
      </c>
      <c r="I190" t="s">
        <v>4006</v>
      </c>
    </row>
    <row r="191" spans="1:9" hidden="1" x14ac:dyDescent="0.25">
      <c r="A191" s="1">
        <v>46237</v>
      </c>
      <c r="B191">
        <v>1005624879</v>
      </c>
      <c r="C191" t="s">
        <v>263</v>
      </c>
      <c r="D191" t="s">
        <v>132</v>
      </c>
      <c r="E191" t="s">
        <v>4010</v>
      </c>
      <c r="F191" s="1">
        <v>46237</v>
      </c>
      <c r="G191" s="1">
        <v>46240</v>
      </c>
      <c r="I191" t="s">
        <v>4064</v>
      </c>
    </row>
    <row r="192" spans="1:9" hidden="1" x14ac:dyDescent="0.25">
      <c r="A192" s="1">
        <v>46238</v>
      </c>
      <c r="B192">
        <v>1005624879</v>
      </c>
      <c r="C192" t="s">
        <v>263</v>
      </c>
      <c r="D192" t="s">
        <v>132</v>
      </c>
      <c r="E192" t="s">
        <v>4010</v>
      </c>
      <c r="F192" s="1">
        <v>46237</v>
      </c>
      <c r="G192" s="1">
        <v>46240</v>
      </c>
      <c r="I192" t="s">
        <v>261</v>
      </c>
    </row>
    <row r="193" spans="1:9" hidden="1" x14ac:dyDescent="0.25">
      <c r="A193" s="1">
        <v>46239</v>
      </c>
      <c r="B193">
        <v>1005624879</v>
      </c>
      <c r="C193" t="s">
        <v>251</v>
      </c>
      <c r="D193" t="s">
        <v>132</v>
      </c>
      <c r="E193" t="s">
        <v>4010</v>
      </c>
      <c r="F193" s="1">
        <v>46237</v>
      </c>
      <c r="G193" s="1">
        <v>46240</v>
      </c>
      <c r="I193" t="s">
        <v>261</v>
      </c>
    </row>
    <row r="194" spans="1:9" hidden="1" x14ac:dyDescent="0.25">
      <c r="A194" s="1">
        <v>46237</v>
      </c>
      <c r="B194" t="s">
        <v>4065</v>
      </c>
      <c r="C194" t="s">
        <v>2003</v>
      </c>
      <c r="D194" t="s">
        <v>2002</v>
      </c>
      <c r="E194" t="s">
        <v>4017</v>
      </c>
      <c r="F194" s="1">
        <v>46237</v>
      </c>
      <c r="G194" s="1">
        <v>46238</v>
      </c>
      <c r="H194" t="s">
        <v>3621</v>
      </c>
      <c r="I194" t="s">
        <v>3622</v>
      </c>
    </row>
    <row r="195" spans="1:9" hidden="1" x14ac:dyDescent="0.25">
      <c r="A195" s="1">
        <v>46238</v>
      </c>
      <c r="B195" t="s">
        <v>4065</v>
      </c>
      <c r="C195" t="s">
        <v>2003</v>
      </c>
      <c r="D195" t="s">
        <v>2002</v>
      </c>
      <c r="E195" t="s">
        <v>4017</v>
      </c>
      <c r="F195" s="1">
        <v>46237</v>
      </c>
      <c r="G195" s="1">
        <v>46238</v>
      </c>
      <c r="I195" t="s">
        <v>261</v>
      </c>
    </row>
    <row r="196" spans="1:9" hidden="1" x14ac:dyDescent="0.25">
      <c r="A196" s="1">
        <v>46239</v>
      </c>
      <c r="B196" t="s">
        <v>4065</v>
      </c>
      <c r="C196" t="s">
        <v>2003</v>
      </c>
      <c r="D196" t="s">
        <v>2002</v>
      </c>
      <c r="E196" t="s">
        <v>4017</v>
      </c>
      <c r="F196" s="1">
        <v>46237</v>
      </c>
      <c r="G196" s="1">
        <v>46238</v>
      </c>
      <c r="I196" t="s">
        <v>4006</v>
      </c>
    </row>
    <row r="197" spans="1:9" hidden="1" x14ac:dyDescent="0.25">
      <c r="A197" s="1">
        <v>46237</v>
      </c>
      <c r="B197">
        <v>1152436231</v>
      </c>
      <c r="C197" t="s">
        <v>131</v>
      </c>
      <c r="D197" t="s">
        <v>132</v>
      </c>
      <c r="E197" t="s">
        <v>4010</v>
      </c>
      <c r="F197" s="1">
        <v>46237</v>
      </c>
      <c r="G197" s="1">
        <v>46240</v>
      </c>
      <c r="I197" t="s">
        <v>4022</v>
      </c>
    </row>
    <row r="198" spans="1:9" hidden="1" x14ac:dyDescent="0.25">
      <c r="A198" s="1">
        <v>46238</v>
      </c>
      <c r="B198">
        <v>1152436231</v>
      </c>
      <c r="C198" t="s">
        <v>131</v>
      </c>
      <c r="D198" t="s">
        <v>132</v>
      </c>
      <c r="E198" t="s">
        <v>4010</v>
      </c>
      <c r="F198" s="1">
        <v>46237</v>
      </c>
      <c r="G198" s="1">
        <v>46240</v>
      </c>
      <c r="H198" t="s">
        <v>122</v>
      </c>
      <c r="I198" t="s">
        <v>123</v>
      </c>
    </row>
    <row r="199" spans="1:9" hidden="1" x14ac:dyDescent="0.25">
      <c r="A199" s="1">
        <v>46239</v>
      </c>
      <c r="B199">
        <v>1152436231</v>
      </c>
      <c r="C199" t="s">
        <v>131</v>
      </c>
      <c r="D199" t="s">
        <v>132</v>
      </c>
      <c r="E199" t="s">
        <v>4010</v>
      </c>
      <c r="F199" s="1">
        <v>46237</v>
      </c>
      <c r="G199" s="1">
        <v>46240</v>
      </c>
      <c r="H199" t="s">
        <v>167</v>
      </c>
      <c r="I199" t="s">
        <v>168</v>
      </c>
    </row>
    <row r="200" spans="1:9" hidden="1" x14ac:dyDescent="0.25">
      <c r="A200" s="1">
        <v>46237</v>
      </c>
      <c r="B200">
        <v>1000099010</v>
      </c>
      <c r="C200" t="s">
        <v>579</v>
      </c>
      <c r="D200" t="s">
        <v>128</v>
      </c>
      <c r="E200" t="s">
        <v>4005</v>
      </c>
      <c r="F200" s="1">
        <v>46237</v>
      </c>
      <c r="G200" s="1">
        <v>46239</v>
      </c>
      <c r="I200" t="s">
        <v>4022</v>
      </c>
    </row>
    <row r="201" spans="1:9" hidden="1" x14ac:dyDescent="0.25">
      <c r="A201" s="1">
        <v>46238</v>
      </c>
      <c r="B201">
        <v>1000099010</v>
      </c>
      <c r="C201" t="s">
        <v>579</v>
      </c>
      <c r="D201" t="s">
        <v>128</v>
      </c>
      <c r="E201" t="s">
        <v>4005</v>
      </c>
      <c r="F201" s="1">
        <v>46237</v>
      </c>
      <c r="G201" s="1">
        <v>46239</v>
      </c>
      <c r="I201" t="s">
        <v>4022</v>
      </c>
    </row>
    <row r="202" spans="1:9" hidden="1" x14ac:dyDescent="0.25">
      <c r="A202" s="1">
        <v>46239</v>
      </c>
      <c r="B202">
        <v>1000099010</v>
      </c>
      <c r="C202" t="s">
        <v>579</v>
      </c>
      <c r="D202" t="s">
        <v>128</v>
      </c>
      <c r="E202" t="s">
        <v>4005</v>
      </c>
      <c r="F202" s="1">
        <v>46237</v>
      </c>
      <c r="G202" s="1">
        <v>46239</v>
      </c>
      <c r="I202" t="s">
        <v>4022</v>
      </c>
    </row>
    <row r="203" spans="1:9" hidden="1" x14ac:dyDescent="0.25">
      <c r="A203" s="1">
        <v>46237</v>
      </c>
      <c r="B203">
        <v>1193459665</v>
      </c>
      <c r="C203" t="s">
        <v>4026</v>
      </c>
      <c r="D203" t="s">
        <v>326</v>
      </c>
      <c r="E203" t="s">
        <v>4005</v>
      </c>
      <c r="F203" s="1">
        <v>46237</v>
      </c>
      <c r="G203" s="1">
        <v>46239</v>
      </c>
      <c r="I203" t="s">
        <v>261</v>
      </c>
    </row>
    <row r="204" spans="1:9" hidden="1" x14ac:dyDescent="0.25">
      <c r="A204" s="1">
        <v>46238</v>
      </c>
      <c r="B204">
        <v>1193459665</v>
      </c>
      <c r="C204" t="s">
        <v>4026</v>
      </c>
      <c r="D204" t="s">
        <v>326</v>
      </c>
      <c r="E204" t="s">
        <v>4005</v>
      </c>
      <c r="F204" s="1">
        <v>46237</v>
      </c>
      <c r="G204" s="1">
        <v>46239</v>
      </c>
      <c r="H204" t="s">
        <v>247</v>
      </c>
      <c r="I204" t="s">
        <v>248</v>
      </c>
    </row>
    <row r="205" spans="1:9" hidden="1" x14ac:dyDescent="0.25">
      <c r="A205" s="1">
        <v>46239</v>
      </c>
      <c r="B205">
        <v>1193459665</v>
      </c>
      <c r="C205" t="s">
        <v>4066</v>
      </c>
      <c r="D205" t="s">
        <v>326</v>
      </c>
      <c r="E205" t="s">
        <v>4005</v>
      </c>
      <c r="F205" s="1">
        <v>46237</v>
      </c>
      <c r="G205" s="1">
        <v>46239</v>
      </c>
      <c r="H205" t="s">
        <v>144</v>
      </c>
      <c r="I205" t="s">
        <v>145</v>
      </c>
    </row>
    <row r="206" spans="1:9" hidden="1" x14ac:dyDescent="0.25">
      <c r="A206" s="1">
        <v>46237</v>
      </c>
      <c r="B206">
        <v>1072648283</v>
      </c>
      <c r="C206" t="s">
        <v>739</v>
      </c>
      <c r="D206" t="s">
        <v>211</v>
      </c>
      <c r="E206" t="s">
        <v>4017</v>
      </c>
      <c r="F206" s="1">
        <v>46237</v>
      </c>
      <c r="G206" s="1">
        <v>46239</v>
      </c>
      <c r="H206" t="s">
        <v>91</v>
      </c>
      <c r="I206" t="s">
        <v>92</v>
      </c>
    </row>
    <row r="207" spans="1:9" hidden="1" x14ac:dyDescent="0.25">
      <c r="A207" s="1">
        <v>46238</v>
      </c>
      <c r="B207">
        <v>1072648283</v>
      </c>
      <c r="C207" t="s">
        <v>739</v>
      </c>
      <c r="D207" t="s">
        <v>211</v>
      </c>
      <c r="E207" t="s">
        <v>4017</v>
      </c>
      <c r="F207" s="1">
        <v>46237</v>
      </c>
      <c r="G207" s="1">
        <v>46239</v>
      </c>
      <c r="H207" t="s">
        <v>486</v>
      </c>
      <c r="I207" t="s">
        <v>487</v>
      </c>
    </row>
    <row r="208" spans="1:9" hidden="1" x14ac:dyDescent="0.25">
      <c r="A208" s="1">
        <v>46239</v>
      </c>
      <c r="B208">
        <v>1072648283</v>
      </c>
      <c r="C208" t="s">
        <v>739</v>
      </c>
      <c r="D208" t="s">
        <v>211</v>
      </c>
      <c r="E208" t="s">
        <v>4017</v>
      </c>
      <c r="F208" s="1">
        <v>46237</v>
      </c>
      <c r="G208" s="1">
        <v>46239</v>
      </c>
      <c r="H208" t="s">
        <v>486</v>
      </c>
      <c r="I208" t="s">
        <v>487</v>
      </c>
    </row>
    <row r="209" spans="1:9" hidden="1" x14ac:dyDescent="0.25">
      <c r="A209" s="1">
        <v>46237</v>
      </c>
      <c r="B209">
        <v>1124076705</v>
      </c>
      <c r="C209" t="s">
        <v>730</v>
      </c>
      <c r="D209" t="s">
        <v>64</v>
      </c>
      <c r="E209" t="s">
        <v>4012</v>
      </c>
      <c r="F209" s="1">
        <v>46237</v>
      </c>
      <c r="G209" s="1">
        <v>46239</v>
      </c>
      <c r="I209" t="s">
        <v>4022</v>
      </c>
    </row>
    <row r="210" spans="1:9" hidden="1" x14ac:dyDescent="0.25">
      <c r="A210" s="1">
        <v>46238</v>
      </c>
      <c r="B210">
        <v>1124076705</v>
      </c>
      <c r="C210" t="s">
        <v>730</v>
      </c>
      <c r="D210" t="s">
        <v>64</v>
      </c>
      <c r="E210" t="s">
        <v>4012</v>
      </c>
      <c r="F210" s="1">
        <v>46237</v>
      </c>
      <c r="G210" s="1">
        <v>46239</v>
      </c>
      <c r="I210" t="s">
        <v>4022</v>
      </c>
    </row>
    <row r="211" spans="1:9" hidden="1" x14ac:dyDescent="0.25">
      <c r="A211" s="1">
        <v>46239</v>
      </c>
      <c r="B211">
        <v>1124076705</v>
      </c>
      <c r="C211" t="s">
        <v>730</v>
      </c>
      <c r="D211" t="s">
        <v>64</v>
      </c>
      <c r="E211" t="s">
        <v>4012</v>
      </c>
      <c r="F211" s="1">
        <v>46237</v>
      </c>
      <c r="G211" s="1">
        <v>46239</v>
      </c>
      <c r="I211" t="s">
        <v>261</v>
      </c>
    </row>
    <row r="212" spans="1:9" hidden="1" x14ac:dyDescent="0.25">
      <c r="A212" s="1">
        <v>46237</v>
      </c>
      <c r="B212">
        <v>1001996913</v>
      </c>
      <c r="C212" t="s">
        <v>3132</v>
      </c>
      <c r="D212" t="s">
        <v>41</v>
      </c>
      <c r="E212" t="s">
        <v>4011</v>
      </c>
      <c r="F212" s="1">
        <v>46237</v>
      </c>
      <c r="G212" s="1">
        <v>46238</v>
      </c>
      <c r="I212" t="s">
        <v>4022</v>
      </c>
    </row>
    <row r="213" spans="1:9" hidden="1" x14ac:dyDescent="0.25">
      <c r="A213" s="1">
        <v>46238</v>
      </c>
      <c r="B213">
        <v>1001996913</v>
      </c>
      <c r="C213" t="s">
        <v>3132</v>
      </c>
      <c r="D213" t="s">
        <v>41</v>
      </c>
      <c r="E213" t="s">
        <v>4011</v>
      </c>
      <c r="F213" s="1">
        <v>46237</v>
      </c>
      <c r="G213" s="1">
        <v>46238</v>
      </c>
      <c r="I213" t="s">
        <v>4022</v>
      </c>
    </row>
    <row r="214" spans="1:9" hidden="1" x14ac:dyDescent="0.25">
      <c r="A214" s="1">
        <v>46239</v>
      </c>
      <c r="B214">
        <v>1001996913</v>
      </c>
      <c r="C214" t="s">
        <v>3132</v>
      </c>
      <c r="D214" t="s">
        <v>41</v>
      </c>
      <c r="E214" t="s">
        <v>4011</v>
      </c>
      <c r="F214" s="1">
        <v>46237</v>
      </c>
      <c r="G214" s="1">
        <v>46238</v>
      </c>
      <c r="I214" t="s">
        <v>4006</v>
      </c>
    </row>
    <row r="215" spans="1:9" hidden="1" x14ac:dyDescent="0.25">
      <c r="A215" s="1">
        <v>46237</v>
      </c>
      <c r="B215">
        <v>1004373476</v>
      </c>
      <c r="C215" t="s">
        <v>3744</v>
      </c>
      <c r="D215" t="s">
        <v>34</v>
      </c>
      <c r="E215" t="s">
        <v>4011</v>
      </c>
      <c r="F215" s="1">
        <v>46237</v>
      </c>
      <c r="G215" s="1">
        <v>46238</v>
      </c>
      <c r="I215" t="s">
        <v>4022</v>
      </c>
    </row>
    <row r="216" spans="1:9" hidden="1" x14ac:dyDescent="0.25">
      <c r="A216" s="1">
        <v>46238</v>
      </c>
      <c r="B216">
        <v>1004373476</v>
      </c>
      <c r="C216" t="s">
        <v>3744</v>
      </c>
      <c r="D216" t="s">
        <v>34</v>
      </c>
      <c r="E216" t="s">
        <v>4011</v>
      </c>
      <c r="F216" s="1">
        <v>46237</v>
      </c>
      <c r="G216" s="1">
        <v>46238</v>
      </c>
      <c r="H216" t="s">
        <v>240</v>
      </c>
      <c r="I216" t="s">
        <v>241</v>
      </c>
    </row>
    <row r="217" spans="1:9" hidden="1" x14ac:dyDescent="0.25">
      <c r="A217" s="1">
        <v>46239</v>
      </c>
      <c r="B217">
        <v>1004373476</v>
      </c>
      <c r="C217" t="s">
        <v>3744</v>
      </c>
      <c r="D217" t="s">
        <v>34</v>
      </c>
      <c r="E217" t="s">
        <v>4011</v>
      </c>
      <c r="F217" s="1">
        <v>46237</v>
      </c>
      <c r="G217" s="1">
        <v>46238</v>
      </c>
      <c r="I217" t="s">
        <v>4006</v>
      </c>
    </row>
    <row r="218" spans="1:9" hidden="1" x14ac:dyDescent="0.25">
      <c r="A218" s="1">
        <v>46237</v>
      </c>
      <c r="B218">
        <v>1082984414</v>
      </c>
      <c r="C218" t="s">
        <v>2908</v>
      </c>
      <c r="D218" t="s">
        <v>153</v>
      </c>
      <c r="E218" t="s">
        <v>4010</v>
      </c>
      <c r="F218" s="1">
        <v>46237</v>
      </c>
      <c r="G218" s="1">
        <v>46238</v>
      </c>
      <c r="I218" t="s">
        <v>4067</v>
      </c>
    </row>
    <row r="219" spans="1:9" hidden="1" x14ac:dyDescent="0.25">
      <c r="A219" s="1">
        <v>46238</v>
      </c>
      <c r="B219">
        <v>1082984414</v>
      </c>
      <c r="C219" t="s">
        <v>2908</v>
      </c>
      <c r="D219" t="s">
        <v>153</v>
      </c>
      <c r="E219" t="s">
        <v>4010</v>
      </c>
      <c r="F219" s="1">
        <v>46237</v>
      </c>
      <c r="G219" s="1">
        <v>46238</v>
      </c>
      <c r="I219" t="s">
        <v>261</v>
      </c>
    </row>
    <row r="220" spans="1:9" hidden="1" x14ac:dyDescent="0.25">
      <c r="A220" s="1">
        <v>46239</v>
      </c>
      <c r="B220">
        <v>1082984414</v>
      </c>
      <c r="C220" t="s">
        <v>2908</v>
      </c>
      <c r="D220" t="s">
        <v>153</v>
      </c>
      <c r="E220" t="s">
        <v>4010</v>
      </c>
      <c r="F220" s="1">
        <v>46237</v>
      </c>
      <c r="G220" s="1">
        <v>46238</v>
      </c>
      <c r="I220" t="s">
        <v>4006</v>
      </c>
    </row>
    <row r="221" spans="1:9" hidden="1" x14ac:dyDescent="0.25">
      <c r="A221" s="1">
        <v>46237</v>
      </c>
      <c r="B221">
        <v>1085687504</v>
      </c>
      <c r="C221" t="s">
        <v>204</v>
      </c>
      <c r="D221" t="s">
        <v>128</v>
      </c>
      <c r="E221" t="s">
        <v>4005</v>
      </c>
      <c r="F221" s="1">
        <v>46237</v>
      </c>
      <c r="G221" s="1">
        <v>46237</v>
      </c>
      <c r="H221" t="s">
        <v>203</v>
      </c>
      <c r="I221" t="s">
        <v>204</v>
      </c>
    </row>
    <row r="222" spans="1:9" hidden="1" x14ac:dyDescent="0.25">
      <c r="A222" s="1">
        <v>46237</v>
      </c>
      <c r="B222">
        <v>1042422897</v>
      </c>
      <c r="C222" t="s">
        <v>4069</v>
      </c>
      <c r="D222" t="s">
        <v>326</v>
      </c>
      <c r="E222" t="s">
        <v>4005</v>
      </c>
      <c r="F222" s="1">
        <v>46237</v>
      </c>
      <c r="G222" s="1">
        <v>46238</v>
      </c>
      <c r="I222" t="s">
        <v>4070</v>
      </c>
    </row>
    <row r="223" spans="1:9" hidden="1" x14ac:dyDescent="0.25">
      <c r="A223" s="1">
        <v>46238</v>
      </c>
      <c r="B223">
        <v>1042422897</v>
      </c>
      <c r="C223" t="s">
        <v>4069</v>
      </c>
      <c r="D223" t="s">
        <v>326</v>
      </c>
      <c r="E223" t="s">
        <v>4005</v>
      </c>
      <c r="F223" s="1">
        <v>46237</v>
      </c>
      <c r="G223" s="1">
        <v>46238</v>
      </c>
      <c r="I223" t="s">
        <v>261</v>
      </c>
    </row>
    <row r="224" spans="1:9" hidden="1" x14ac:dyDescent="0.25">
      <c r="A224" s="1">
        <v>46239</v>
      </c>
      <c r="B224">
        <v>1042422897</v>
      </c>
      <c r="C224" t="s">
        <v>4071</v>
      </c>
      <c r="D224" t="s">
        <v>326</v>
      </c>
      <c r="E224" t="s">
        <v>4005</v>
      </c>
      <c r="F224" s="1">
        <v>46237</v>
      </c>
      <c r="G224" s="1">
        <v>46238</v>
      </c>
      <c r="I224" t="s">
        <v>4006</v>
      </c>
    </row>
    <row r="225" spans="1:9" hidden="1" x14ac:dyDescent="0.25">
      <c r="A225" s="1">
        <v>46237</v>
      </c>
      <c r="B225">
        <v>1017267628</v>
      </c>
      <c r="C225" t="s">
        <v>3242</v>
      </c>
      <c r="D225" t="s">
        <v>326</v>
      </c>
      <c r="E225" t="s">
        <v>4005</v>
      </c>
      <c r="F225" s="1">
        <v>46237</v>
      </c>
      <c r="G225" s="1">
        <v>46243</v>
      </c>
      <c r="I225" t="s">
        <v>4022</v>
      </c>
    </row>
    <row r="226" spans="1:9" hidden="1" x14ac:dyDescent="0.25">
      <c r="A226" s="1">
        <v>46238</v>
      </c>
      <c r="B226">
        <v>1017267628</v>
      </c>
      <c r="C226" t="s">
        <v>3242</v>
      </c>
      <c r="D226" t="s">
        <v>326</v>
      </c>
      <c r="E226" t="s">
        <v>4005</v>
      </c>
      <c r="F226" s="1">
        <v>46237</v>
      </c>
      <c r="G226" s="1">
        <v>46243</v>
      </c>
      <c r="I226" t="s">
        <v>4022</v>
      </c>
    </row>
    <row r="227" spans="1:9" hidden="1" x14ac:dyDescent="0.25">
      <c r="A227" s="1">
        <v>46239</v>
      </c>
      <c r="B227">
        <v>1017267628</v>
      </c>
      <c r="C227" t="s">
        <v>3242</v>
      </c>
      <c r="D227" t="s">
        <v>326</v>
      </c>
      <c r="E227" t="s">
        <v>4005</v>
      </c>
      <c r="F227" s="1">
        <v>46237</v>
      </c>
      <c r="G227" s="1">
        <v>46243</v>
      </c>
      <c r="I227" t="s">
        <v>4022</v>
      </c>
    </row>
    <row r="228" spans="1:9" hidden="1" x14ac:dyDescent="0.25">
      <c r="A228" s="1">
        <v>46237</v>
      </c>
      <c r="B228">
        <v>1000083810</v>
      </c>
      <c r="C228" t="s">
        <v>1123</v>
      </c>
      <c r="D228" t="s">
        <v>142</v>
      </c>
      <c r="E228" t="s">
        <v>4012</v>
      </c>
      <c r="F228" s="1">
        <v>46237</v>
      </c>
      <c r="G228" s="1">
        <v>46239</v>
      </c>
      <c r="I228" t="s">
        <v>4022</v>
      </c>
    </row>
    <row r="229" spans="1:9" hidden="1" x14ac:dyDescent="0.25">
      <c r="A229" s="1">
        <v>46238</v>
      </c>
      <c r="B229">
        <v>1000083810</v>
      </c>
      <c r="C229" t="s">
        <v>1123</v>
      </c>
      <c r="D229" t="s">
        <v>142</v>
      </c>
      <c r="E229" t="s">
        <v>4012</v>
      </c>
      <c r="F229" s="1">
        <v>46237</v>
      </c>
      <c r="G229" s="1">
        <v>46239</v>
      </c>
      <c r="I229" t="s">
        <v>4022</v>
      </c>
    </row>
    <row r="230" spans="1:9" hidden="1" x14ac:dyDescent="0.25">
      <c r="A230" s="1">
        <v>46239</v>
      </c>
      <c r="B230">
        <v>1000083810</v>
      </c>
      <c r="C230" t="s">
        <v>1123</v>
      </c>
      <c r="D230" t="s">
        <v>142</v>
      </c>
      <c r="E230" t="s">
        <v>4012</v>
      </c>
      <c r="F230" s="1">
        <v>46237</v>
      </c>
      <c r="G230" s="1">
        <v>46239</v>
      </c>
      <c r="I230" t="s">
        <v>261</v>
      </c>
    </row>
    <row r="231" spans="1:9" hidden="1" x14ac:dyDescent="0.25">
      <c r="A231" s="1">
        <v>46237</v>
      </c>
      <c r="B231">
        <v>1020486493</v>
      </c>
      <c r="C231" t="s">
        <v>4073</v>
      </c>
      <c r="D231" t="s">
        <v>326</v>
      </c>
      <c r="E231" t="s">
        <v>4005</v>
      </c>
      <c r="F231" s="1">
        <v>46237</v>
      </c>
      <c r="G231" s="1">
        <v>46239</v>
      </c>
      <c r="H231" t="s">
        <v>65</v>
      </c>
      <c r="I231" t="s">
        <v>66</v>
      </c>
    </row>
    <row r="232" spans="1:9" hidden="1" x14ac:dyDescent="0.25">
      <c r="A232" s="1">
        <v>46238</v>
      </c>
      <c r="B232">
        <v>1020486493</v>
      </c>
      <c r="C232" t="s">
        <v>4073</v>
      </c>
      <c r="D232" t="s">
        <v>326</v>
      </c>
      <c r="E232" t="s">
        <v>4005</v>
      </c>
      <c r="F232" s="1">
        <v>46237</v>
      </c>
      <c r="G232" s="1">
        <v>46239</v>
      </c>
      <c r="H232" t="s">
        <v>1318</v>
      </c>
      <c r="I232" t="s">
        <v>1319</v>
      </c>
    </row>
    <row r="233" spans="1:9" hidden="1" x14ac:dyDescent="0.25">
      <c r="A233" s="1">
        <v>46239</v>
      </c>
      <c r="B233">
        <v>1020486493</v>
      </c>
      <c r="C233" t="s">
        <v>4074</v>
      </c>
      <c r="D233" t="s">
        <v>326</v>
      </c>
      <c r="E233" t="s">
        <v>4005</v>
      </c>
      <c r="F233" s="1">
        <v>46237</v>
      </c>
      <c r="G233" s="1">
        <v>46239</v>
      </c>
      <c r="H233" t="s">
        <v>198</v>
      </c>
      <c r="I233" t="s">
        <v>199</v>
      </c>
    </row>
    <row r="234" spans="1:9" hidden="1" x14ac:dyDescent="0.25">
      <c r="A234" s="1">
        <v>46238</v>
      </c>
      <c r="B234" t="s">
        <v>264</v>
      </c>
      <c r="C234" t="s">
        <v>265</v>
      </c>
      <c r="D234" t="s">
        <v>51</v>
      </c>
      <c r="E234" t="s">
        <v>4011</v>
      </c>
      <c r="F234" s="1">
        <v>46237</v>
      </c>
      <c r="G234" s="1">
        <v>46256</v>
      </c>
      <c r="I234" t="s">
        <v>261</v>
      </c>
    </row>
    <row r="235" spans="1:9" hidden="1" x14ac:dyDescent="0.25">
      <c r="A235" s="1">
        <v>46238</v>
      </c>
      <c r="B235" t="s">
        <v>4075</v>
      </c>
      <c r="C235" t="s">
        <v>4023</v>
      </c>
      <c r="D235" t="s">
        <v>326</v>
      </c>
      <c r="E235" t="s">
        <v>4005</v>
      </c>
      <c r="F235" s="1">
        <v>46237</v>
      </c>
      <c r="G235" s="1">
        <v>46239</v>
      </c>
      <c r="H235" t="s">
        <v>106</v>
      </c>
      <c r="I235" t="s">
        <v>107</v>
      </c>
    </row>
    <row r="236" spans="1:9" hidden="1" x14ac:dyDescent="0.25">
      <c r="A236" s="1">
        <v>46238</v>
      </c>
      <c r="B236" t="s">
        <v>2805</v>
      </c>
      <c r="C236" t="s">
        <v>4076</v>
      </c>
      <c r="D236" t="s">
        <v>142</v>
      </c>
      <c r="E236" t="s">
        <v>4012</v>
      </c>
      <c r="F236" s="1">
        <v>46235</v>
      </c>
      <c r="G236" s="1">
        <v>46235</v>
      </c>
      <c r="I236" t="s">
        <v>4006</v>
      </c>
    </row>
    <row r="237" spans="1:9" hidden="1" x14ac:dyDescent="0.25">
      <c r="A237" s="1">
        <v>46238</v>
      </c>
      <c r="B237" t="s">
        <v>1388</v>
      </c>
      <c r="C237" t="s">
        <v>1389</v>
      </c>
      <c r="D237" t="s">
        <v>132</v>
      </c>
      <c r="E237" t="s">
        <v>4010</v>
      </c>
      <c r="F237" s="1">
        <v>46235</v>
      </c>
      <c r="G237" s="1">
        <v>46235</v>
      </c>
      <c r="I237" t="s">
        <v>4006</v>
      </c>
    </row>
    <row r="238" spans="1:9" hidden="1" x14ac:dyDescent="0.25">
      <c r="A238" s="1">
        <v>46238</v>
      </c>
      <c r="B238" t="s">
        <v>2954</v>
      </c>
      <c r="C238" t="s">
        <v>4077</v>
      </c>
      <c r="D238" t="s">
        <v>142</v>
      </c>
      <c r="E238" t="s">
        <v>4012</v>
      </c>
      <c r="F238" s="1">
        <v>46235</v>
      </c>
      <c r="G238" s="1">
        <v>46235</v>
      </c>
      <c r="I238" t="s">
        <v>4006</v>
      </c>
    </row>
    <row r="239" spans="1:9" hidden="1" x14ac:dyDescent="0.25">
      <c r="A239" s="1">
        <v>46238</v>
      </c>
      <c r="B239" t="s">
        <v>2110</v>
      </c>
      <c r="C239" t="s">
        <v>4078</v>
      </c>
      <c r="D239" t="s">
        <v>142</v>
      </c>
      <c r="E239" t="s">
        <v>4012</v>
      </c>
      <c r="F239" s="1">
        <v>46235</v>
      </c>
      <c r="G239" s="1">
        <v>46235</v>
      </c>
      <c r="I239" t="s">
        <v>4006</v>
      </c>
    </row>
    <row r="240" spans="1:9" hidden="1" x14ac:dyDescent="0.25">
      <c r="A240" s="1">
        <v>46238</v>
      </c>
      <c r="B240" t="s">
        <v>2446</v>
      </c>
      <c r="C240" t="s">
        <v>4079</v>
      </c>
      <c r="D240" t="s">
        <v>128</v>
      </c>
      <c r="E240" t="s">
        <v>4005</v>
      </c>
      <c r="F240" s="1">
        <v>46235</v>
      </c>
      <c r="G240" s="1">
        <v>46235</v>
      </c>
      <c r="I240" t="s">
        <v>4006</v>
      </c>
    </row>
    <row r="241" spans="1:9" hidden="1" x14ac:dyDescent="0.25">
      <c r="A241" s="1">
        <v>46238</v>
      </c>
      <c r="B241" t="s">
        <v>1707</v>
      </c>
      <c r="C241" t="s">
        <v>4080</v>
      </c>
      <c r="D241" t="s">
        <v>64</v>
      </c>
      <c r="E241" t="s">
        <v>4012</v>
      </c>
      <c r="F241" s="1">
        <v>46235</v>
      </c>
      <c r="G241" s="1">
        <v>46235</v>
      </c>
      <c r="I241" t="s">
        <v>4006</v>
      </c>
    </row>
    <row r="242" spans="1:9" hidden="1" x14ac:dyDescent="0.25">
      <c r="A242" s="1">
        <v>46238</v>
      </c>
      <c r="B242" t="s">
        <v>1235</v>
      </c>
      <c r="C242" t="s">
        <v>4081</v>
      </c>
      <c r="D242" t="s">
        <v>34</v>
      </c>
      <c r="E242" t="s">
        <v>4011</v>
      </c>
      <c r="F242" s="1">
        <v>46235</v>
      </c>
      <c r="G242" s="1">
        <v>46235</v>
      </c>
      <c r="I242" t="s">
        <v>4006</v>
      </c>
    </row>
    <row r="243" spans="1:9" hidden="1" x14ac:dyDescent="0.25">
      <c r="A243" s="1">
        <v>46238</v>
      </c>
      <c r="B243" t="s">
        <v>3445</v>
      </c>
      <c r="C243" t="s">
        <v>3446</v>
      </c>
      <c r="D243" t="s">
        <v>322</v>
      </c>
      <c r="E243" t="s">
        <v>4017</v>
      </c>
      <c r="F243" s="1">
        <v>46235</v>
      </c>
      <c r="G243" s="1">
        <v>46235</v>
      </c>
      <c r="I243" t="s">
        <v>4006</v>
      </c>
    </row>
    <row r="244" spans="1:9" hidden="1" x14ac:dyDescent="0.25">
      <c r="A244" s="1">
        <v>46238</v>
      </c>
      <c r="B244" t="s">
        <v>22</v>
      </c>
      <c r="C244" t="s">
        <v>23</v>
      </c>
      <c r="D244" t="s">
        <v>24</v>
      </c>
      <c r="E244" t="s">
        <v>4011</v>
      </c>
      <c r="F244" s="1">
        <v>46237</v>
      </c>
      <c r="G244" s="1">
        <v>46241</v>
      </c>
      <c r="H244" t="s">
        <v>17</v>
      </c>
      <c r="I244" t="s">
        <v>18</v>
      </c>
    </row>
    <row r="245" spans="1:9" hidden="1" x14ac:dyDescent="0.25">
      <c r="A245" s="1">
        <v>46238</v>
      </c>
      <c r="B245" t="s">
        <v>1175</v>
      </c>
      <c r="C245" t="s">
        <v>1176</v>
      </c>
      <c r="D245" t="s">
        <v>4027</v>
      </c>
      <c r="E245" t="s">
        <v>4011</v>
      </c>
      <c r="F245" s="1">
        <v>46234</v>
      </c>
      <c r="G245" s="1">
        <v>46235</v>
      </c>
      <c r="I245" t="s">
        <v>4006</v>
      </c>
    </row>
    <row r="246" spans="1:9" hidden="1" x14ac:dyDescent="0.25">
      <c r="A246" s="1">
        <v>46238</v>
      </c>
      <c r="B246" t="s">
        <v>463</v>
      </c>
      <c r="C246" t="s">
        <v>4082</v>
      </c>
      <c r="D246" t="s">
        <v>15</v>
      </c>
      <c r="E246" t="s">
        <v>4012</v>
      </c>
      <c r="F246" s="1">
        <v>46235</v>
      </c>
      <c r="G246" s="1">
        <v>46235</v>
      </c>
      <c r="I246" t="s">
        <v>4006</v>
      </c>
    </row>
    <row r="247" spans="1:9" hidden="1" x14ac:dyDescent="0.25">
      <c r="A247" s="1">
        <v>46238</v>
      </c>
      <c r="B247" t="s">
        <v>3863</v>
      </c>
      <c r="C247" t="s">
        <v>3864</v>
      </c>
      <c r="D247" t="s">
        <v>410</v>
      </c>
      <c r="E247" t="s">
        <v>4005</v>
      </c>
      <c r="F247" s="1">
        <v>46234</v>
      </c>
      <c r="G247" s="1">
        <v>46234</v>
      </c>
      <c r="I247" t="s">
        <v>4006</v>
      </c>
    </row>
    <row r="248" spans="1:9" hidden="1" x14ac:dyDescent="0.25">
      <c r="A248" s="1">
        <v>46238</v>
      </c>
      <c r="B248" t="s">
        <v>3149</v>
      </c>
      <c r="C248" t="s">
        <v>4083</v>
      </c>
      <c r="D248" t="s">
        <v>24</v>
      </c>
      <c r="E248" t="s">
        <v>4011</v>
      </c>
      <c r="F248" s="1">
        <v>46234</v>
      </c>
      <c r="G248" s="1">
        <v>46235</v>
      </c>
      <c r="I248" t="s">
        <v>4006</v>
      </c>
    </row>
    <row r="249" spans="1:9" hidden="1" x14ac:dyDescent="0.25">
      <c r="A249" s="1">
        <v>46238</v>
      </c>
      <c r="B249" t="s">
        <v>2817</v>
      </c>
      <c r="C249" t="s">
        <v>2818</v>
      </c>
      <c r="D249" t="s">
        <v>64</v>
      </c>
      <c r="E249" t="s">
        <v>4012</v>
      </c>
      <c r="F249" s="1">
        <v>46233</v>
      </c>
      <c r="G249" s="1">
        <v>46235</v>
      </c>
      <c r="I249" t="s">
        <v>4006</v>
      </c>
    </row>
    <row r="250" spans="1:9" hidden="1" x14ac:dyDescent="0.25">
      <c r="A250" s="1">
        <v>46238</v>
      </c>
      <c r="B250" t="s">
        <v>3355</v>
      </c>
      <c r="C250" t="s">
        <v>4084</v>
      </c>
      <c r="D250" t="s">
        <v>543</v>
      </c>
      <c r="E250" t="s">
        <v>4010</v>
      </c>
      <c r="F250" s="1">
        <v>46234</v>
      </c>
      <c r="G250" s="1">
        <v>46235</v>
      </c>
      <c r="I250" t="s">
        <v>4006</v>
      </c>
    </row>
    <row r="251" spans="1:9" hidden="1" x14ac:dyDescent="0.25">
      <c r="A251" s="1">
        <v>46238</v>
      </c>
      <c r="B251" t="s">
        <v>126</v>
      </c>
      <c r="C251" t="s">
        <v>4085</v>
      </c>
      <c r="D251" t="s">
        <v>128</v>
      </c>
      <c r="E251" t="s">
        <v>4005</v>
      </c>
      <c r="F251" s="1">
        <v>46234</v>
      </c>
      <c r="G251" s="1">
        <v>46237</v>
      </c>
      <c r="I251" t="s">
        <v>4006</v>
      </c>
    </row>
    <row r="252" spans="1:9" hidden="1" x14ac:dyDescent="0.25">
      <c r="A252" s="1">
        <v>46238</v>
      </c>
      <c r="B252" t="s">
        <v>4086</v>
      </c>
      <c r="C252" t="s">
        <v>4021</v>
      </c>
      <c r="D252" t="s">
        <v>57</v>
      </c>
      <c r="E252" t="s">
        <v>4010</v>
      </c>
      <c r="F252" s="1">
        <v>46237</v>
      </c>
      <c r="G252" s="1">
        <v>46239</v>
      </c>
      <c r="H252" t="s">
        <v>206</v>
      </c>
      <c r="I252" t="s">
        <v>207</v>
      </c>
    </row>
    <row r="253" spans="1:9" hidden="1" x14ac:dyDescent="0.25">
      <c r="A253" s="1">
        <v>46238</v>
      </c>
      <c r="B253" t="s">
        <v>109</v>
      </c>
      <c r="C253" t="s">
        <v>110</v>
      </c>
      <c r="D253" t="s">
        <v>15</v>
      </c>
      <c r="E253" t="s">
        <v>4012</v>
      </c>
      <c r="F253" s="1">
        <v>46229</v>
      </c>
      <c r="G253" s="1">
        <v>46243</v>
      </c>
      <c r="H253" t="s">
        <v>219</v>
      </c>
      <c r="I253" t="s">
        <v>220</v>
      </c>
    </row>
    <row r="254" spans="1:9" hidden="1" x14ac:dyDescent="0.25">
      <c r="A254" s="1">
        <v>46238</v>
      </c>
      <c r="B254" t="s">
        <v>4087</v>
      </c>
      <c r="C254" t="s">
        <v>4014</v>
      </c>
      <c r="D254" t="s">
        <v>410</v>
      </c>
      <c r="E254" t="s">
        <v>4005</v>
      </c>
      <c r="F254" s="1">
        <v>46235</v>
      </c>
      <c r="G254" s="1">
        <v>46238</v>
      </c>
      <c r="H254" t="s">
        <v>225</v>
      </c>
      <c r="I254" t="s">
        <v>226</v>
      </c>
    </row>
    <row r="255" spans="1:9" hidden="1" x14ac:dyDescent="0.25">
      <c r="A255" s="1">
        <v>46238</v>
      </c>
      <c r="B255" t="s">
        <v>234</v>
      </c>
      <c r="C255" t="s">
        <v>235</v>
      </c>
      <c r="D255" t="s">
        <v>211</v>
      </c>
      <c r="E255" t="s">
        <v>4017</v>
      </c>
      <c r="F255" s="1">
        <v>46233</v>
      </c>
      <c r="G255" s="1">
        <v>46238</v>
      </c>
      <c r="H255" t="s">
        <v>230</v>
      </c>
      <c r="I255" t="s">
        <v>231</v>
      </c>
    </row>
    <row r="256" spans="1:9" hidden="1" x14ac:dyDescent="0.25">
      <c r="A256" s="1">
        <v>46238</v>
      </c>
      <c r="B256" t="s">
        <v>4088</v>
      </c>
      <c r="C256" t="s">
        <v>4018</v>
      </c>
      <c r="D256" t="s">
        <v>410</v>
      </c>
      <c r="E256" t="s">
        <v>4005</v>
      </c>
      <c r="F256" s="1">
        <v>46235</v>
      </c>
      <c r="G256" s="1">
        <v>46238</v>
      </c>
      <c r="H256" t="s">
        <v>198</v>
      </c>
      <c r="I256" t="s">
        <v>199</v>
      </c>
    </row>
    <row r="257" spans="1:9" hidden="1" x14ac:dyDescent="0.25">
      <c r="A257" s="1">
        <v>46238</v>
      </c>
      <c r="B257" t="s">
        <v>2312</v>
      </c>
      <c r="C257" t="s">
        <v>4038</v>
      </c>
      <c r="D257" t="s">
        <v>128</v>
      </c>
      <c r="E257" t="s">
        <v>4005</v>
      </c>
      <c r="F257" s="1">
        <v>46230</v>
      </c>
      <c r="H257" t="s">
        <v>203</v>
      </c>
      <c r="I257" t="s">
        <v>204</v>
      </c>
    </row>
    <row r="258" spans="1:9" hidden="1" x14ac:dyDescent="0.25">
      <c r="A258" s="1">
        <v>46238</v>
      </c>
      <c r="B258" t="s">
        <v>222</v>
      </c>
      <c r="C258" t="s">
        <v>4089</v>
      </c>
      <c r="D258" t="s">
        <v>142</v>
      </c>
      <c r="E258" t="s">
        <v>4012</v>
      </c>
      <c r="F258" s="1">
        <v>46231</v>
      </c>
      <c r="G258" s="1">
        <v>46235</v>
      </c>
      <c r="I258" t="s">
        <v>4006</v>
      </c>
    </row>
    <row r="259" spans="1:9" hidden="1" x14ac:dyDescent="0.25">
      <c r="A259" s="1">
        <v>46238</v>
      </c>
      <c r="B259" t="s">
        <v>113</v>
      </c>
      <c r="C259" t="s">
        <v>4090</v>
      </c>
      <c r="D259" t="s">
        <v>64</v>
      </c>
      <c r="E259" t="s">
        <v>4012</v>
      </c>
      <c r="F259" s="1">
        <v>46232</v>
      </c>
      <c r="G259" s="1">
        <v>46235</v>
      </c>
      <c r="I259" t="s">
        <v>4006</v>
      </c>
    </row>
    <row r="260" spans="1:9" hidden="1" x14ac:dyDescent="0.25">
      <c r="A260" s="1">
        <v>46238</v>
      </c>
      <c r="B260" t="s">
        <v>3900</v>
      </c>
      <c r="C260" t="s">
        <v>3901</v>
      </c>
      <c r="D260" t="s">
        <v>29</v>
      </c>
      <c r="E260" t="s">
        <v>4005</v>
      </c>
      <c r="F260" s="1">
        <v>46238</v>
      </c>
      <c r="G260" s="1">
        <v>46240</v>
      </c>
      <c r="H260" t="s">
        <v>1346</v>
      </c>
      <c r="I260" t="s">
        <v>1347</v>
      </c>
    </row>
    <row r="261" spans="1:9" hidden="1" x14ac:dyDescent="0.25">
      <c r="A261" s="1">
        <v>46238</v>
      </c>
      <c r="B261" t="s">
        <v>165</v>
      </c>
      <c r="C261" t="s">
        <v>166</v>
      </c>
      <c r="D261" t="s">
        <v>41</v>
      </c>
      <c r="E261" t="s">
        <v>4011</v>
      </c>
      <c r="F261" s="1">
        <v>46235</v>
      </c>
      <c r="G261" s="1">
        <v>46240</v>
      </c>
      <c r="H261" t="s">
        <v>244</v>
      </c>
      <c r="I261" t="s">
        <v>245</v>
      </c>
    </row>
    <row r="262" spans="1:9" hidden="1" x14ac:dyDescent="0.25">
      <c r="A262" s="1">
        <v>46238</v>
      </c>
      <c r="B262" t="s">
        <v>1089</v>
      </c>
      <c r="C262" t="s">
        <v>4025</v>
      </c>
      <c r="D262" t="s">
        <v>153</v>
      </c>
      <c r="E262" t="s">
        <v>4010</v>
      </c>
      <c r="F262" s="1">
        <v>46232</v>
      </c>
      <c r="G262" s="1">
        <v>46239</v>
      </c>
      <c r="H262" t="s">
        <v>58</v>
      </c>
      <c r="I262" t="s">
        <v>59</v>
      </c>
    </row>
    <row r="263" spans="1:9" hidden="1" x14ac:dyDescent="0.25">
      <c r="A263" s="1">
        <v>46238</v>
      </c>
      <c r="B263" t="s">
        <v>62</v>
      </c>
      <c r="C263" t="s">
        <v>105</v>
      </c>
      <c r="D263" t="s">
        <v>64</v>
      </c>
      <c r="E263" t="s">
        <v>4012</v>
      </c>
      <c r="F263" s="1">
        <v>46229</v>
      </c>
      <c r="G263" s="1">
        <v>46258</v>
      </c>
      <c r="H263" t="s">
        <v>147</v>
      </c>
      <c r="I263" t="s">
        <v>148</v>
      </c>
    </row>
    <row r="264" spans="1:9" hidden="1" x14ac:dyDescent="0.25">
      <c r="A264" s="1">
        <v>46238</v>
      </c>
      <c r="B264" t="s">
        <v>140</v>
      </c>
      <c r="C264" t="s">
        <v>141</v>
      </c>
      <c r="D264" t="s">
        <v>142</v>
      </c>
      <c r="E264" t="s">
        <v>4012</v>
      </c>
      <c r="F264" s="1">
        <v>46227</v>
      </c>
      <c r="G264" s="1">
        <v>46246</v>
      </c>
      <c r="H264" t="s">
        <v>137</v>
      </c>
      <c r="I264" t="s">
        <v>138</v>
      </c>
    </row>
    <row r="265" spans="1:9" hidden="1" x14ac:dyDescent="0.25">
      <c r="A265" s="1">
        <v>46238</v>
      </c>
      <c r="B265" t="s">
        <v>174</v>
      </c>
      <c r="C265" t="s">
        <v>175</v>
      </c>
      <c r="D265" t="s">
        <v>64</v>
      </c>
      <c r="E265" t="s">
        <v>4012</v>
      </c>
      <c r="F265" s="1">
        <v>46225</v>
      </c>
      <c r="G265" s="1">
        <v>46239</v>
      </c>
      <c r="H265" t="s">
        <v>171</v>
      </c>
      <c r="I265" t="s">
        <v>172</v>
      </c>
    </row>
    <row r="266" spans="1:9" hidden="1" x14ac:dyDescent="0.25">
      <c r="A266" s="1">
        <v>46238</v>
      </c>
      <c r="B266" t="s">
        <v>102</v>
      </c>
      <c r="C266" t="s">
        <v>103</v>
      </c>
      <c r="D266" t="s">
        <v>64</v>
      </c>
      <c r="E266" t="s">
        <v>4012</v>
      </c>
      <c r="F266" s="1">
        <v>46226</v>
      </c>
      <c r="G266" s="1">
        <v>46246</v>
      </c>
      <c r="H266" t="s">
        <v>98</v>
      </c>
      <c r="I266" t="s">
        <v>99</v>
      </c>
    </row>
    <row r="267" spans="1:9" hidden="1" x14ac:dyDescent="0.25">
      <c r="A267" s="1">
        <v>46238</v>
      </c>
      <c r="B267" t="s">
        <v>39</v>
      </c>
      <c r="C267" t="s">
        <v>40</v>
      </c>
      <c r="D267" t="s">
        <v>41</v>
      </c>
      <c r="E267" t="s">
        <v>4011</v>
      </c>
      <c r="F267" s="1">
        <v>46226</v>
      </c>
      <c r="G267" s="1">
        <v>46255</v>
      </c>
      <c r="H267" t="s">
        <v>35</v>
      </c>
      <c r="I267" t="s">
        <v>36</v>
      </c>
    </row>
    <row r="268" spans="1:9" hidden="1" x14ac:dyDescent="0.25">
      <c r="A268" s="1">
        <v>46238</v>
      </c>
      <c r="B268" t="s">
        <v>209</v>
      </c>
      <c r="C268" t="s">
        <v>210</v>
      </c>
      <c r="D268" t="s">
        <v>211</v>
      </c>
      <c r="E268" t="s">
        <v>4017</v>
      </c>
      <c r="F268" s="1">
        <v>46224</v>
      </c>
      <c r="G268" s="1">
        <v>46238</v>
      </c>
      <c r="I268" t="s">
        <v>261</v>
      </c>
    </row>
    <row r="269" spans="1:9" hidden="1" x14ac:dyDescent="0.25">
      <c r="A269" s="1">
        <v>46238</v>
      </c>
      <c r="B269" t="s">
        <v>158</v>
      </c>
      <c r="C269" t="s">
        <v>159</v>
      </c>
      <c r="D269" t="s">
        <v>160</v>
      </c>
      <c r="E269" t="s">
        <v>4011</v>
      </c>
      <c r="F269" s="1">
        <v>46219</v>
      </c>
      <c r="G269" s="1">
        <v>46248</v>
      </c>
      <c r="H269" t="s">
        <v>191</v>
      </c>
      <c r="I269" t="s">
        <v>192</v>
      </c>
    </row>
    <row r="270" spans="1:9" hidden="1" x14ac:dyDescent="0.25">
      <c r="A270" s="1">
        <v>46238</v>
      </c>
      <c r="B270" t="s">
        <v>43</v>
      </c>
      <c r="C270" t="s">
        <v>72</v>
      </c>
      <c r="D270" t="s">
        <v>41</v>
      </c>
      <c r="E270" t="s">
        <v>4011</v>
      </c>
      <c r="F270" s="1">
        <v>46230</v>
      </c>
      <c r="G270" s="1">
        <v>46248</v>
      </c>
      <c r="H270" t="s">
        <v>154</v>
      </c>
      <c r="I270" t="s">
        <v>155</v>
      </c>
    </row>
    <row r="271" spans="1:9" hidden="1" x14ac:dyDescent="0.25">
      <c r="A271" s="1">
        <v>46238</v>
      </c>
      <c r="B271" t="s">
        <v>119</v>
      </c>
      <c r="C271" t="s">
        <v>120</v>
      </c>
      <c r="D271" t="s">
        <v>121</v>
      </c>
      <c r="E271" t="s">
        <v>4010</v>
      </c>
      <c r="F271" s="1">
        <v>46224</v>
      </c>
      <c r="G271" s="1">
        <v>46238</v>
      </c>
      <c r="H271" t="s">
        <v>216</v>
      </c>
      <c r="I271" t="s">
        <v>217</v>
      </c>
    </row>
    <row r="272" spans="1:9" hidden="1" x14ac:dyDescent="0.25">
      <c r="A272" s="1">
        <v>46238</v>
      </c>
      <c r="B272" t="s">
        <v>49</v>
      </c>
      <c r="C272" t="s">
        <v>50</v>
      </c>
      <c r="D272" t="s">
        <v>51</v>
      </c>
      <c r="E272" t="s">
        <v>4011</v>
      </c>
      <c r="F272" s="1">
        <v>46217</v>
      </c>
      <c r="G272" s="1">
        <v>46342</v>
      </c>
      <c r="H272" t="s">
        <v>69</v>
      </c>
      <c r="I272" t="s">
        <v>70</v>
      </c>
    </row>
    <row r="273" spans="1:9" hidden="1" x14ac:dyDescent="0.25">
      <c r="A273" s="1">
        <v>46238</v>
      </c>
      <c r="B273" t="s">
        <v>4092</v>
      </c>
      <c r="C273" t="s">
        <v>4034</v>
      </c>
      <c r="D273" t="s">
        <v>160</v>
      </c>
      <c r="E273" t="s">
        <v>4011</v>
      </c>
      <c r="F273" s="1">
        <v>46195</v>
      </c>
      <c r="I273" t="s">
        <v>261</v>
      </c>
    </row>
    <row r="274" spans="1:9" hidden="1" x14ac:dyDescent="0.25">
      <c r="A274" s="1">
        <v>46238</v>
      </c>
      <c r="B274">
        <v>1152699151</v>
      </c>
      <c r="C274" t="s">
        <v>944</v>
      </c>
      <c r="D274" t="s">
        <v>4093</v>
      </c>
      <c r="E274" t="s">
        <v>4011</v>
      </c>
      <c r="F274" s="1">
        <v>46238</v>
      </c>
      <c r="G274" s="1">
        <v>46240</v>
      </c>
      <c r="H274" t="s">
        <v>3621</v>
      </c>
      <c r="I274" t="s">
        <v>3622</v>
      </c>
    </row>
    <row r="275" spans="1:9" hidden="1" x14ac:dyDescent="0.25">
      <c r="A275" s="1">
        <v>46239</v>
      </c>
      <c r="B275">
        <v>1152699151</v>
      </c>
      <c r="C275" t="s">
        <v>944</v>
      </c>
      <c r="D275" t="s">
        <v>4093</v>
      </c>
      <c r="E275" t="s">
        <v>4011</v>
      </c>
      <c r="F275" s="1">
        <v>46238</v>
      </c>
      <c r="G275" s="1">
        <v>46240</v>
      </c>
      <c r="H275" t="s">
        <v>3621</v>
      </c>
      <c r="I275" t="s">
        <v>3622</v>
      </c>
    </row>
    <row r="276" spans="1:9" hidden="1" x14ac:dyDescent="0.25">
      <c r="A276" s="1">
        <v>46238</v>
      </c>
      <c r="B276">
        <v>1152470285</v>
      </c>
      <c r="C276" t="s">
        <v>3559</v>
      </c>
      <c r="D276" t="s">
        <v>57</v>
      </c>
      <c r="E276" t="s">
        <v>4010</v>
      </c>
      <c r="F276" s="1">
        <v>46238</v>
      </c>
      <c r="G276" s="1">
        <v>46238</v>
      </c>
      <c r="H276" t="s">
        <v>1435</v>
      </c>
      <c r="I276" t="s">
        <v>1436</v>
      </c>
    </row>
    <row r="277" spans="1:9" hidden="1" x14ac:dyDescent="0.25">
      <c r="A277" s="1">
        <v>46239</v>
      </c>
      <c r="B277">
        <v>1152470285</v>
      </c>
      <c r="C277" t="s">
        <v>4094</v>
      </c>
      <c r="D277" t="s">
        <v>57</v>
      </c>
      <c r="E277" t="s">
        <v>4010</v>
      </c>
      <c r="F277" s="1">
        <v>46238</v>
      </c>
      <c r="G277" s="1">
        <v>46238</v>
      </c>
      <c r="I277" t="s">
        <v>4006</v>
      </c>
    </row>
    <row r="278" spans="1:9" hidden="1" x14ac:dyDescent="0.25">
      <c r="A278" s="1">
        <v>46238</v>
      </c>
      <c r="B278" t="s">
        <v>185</v>
      </c>
      <c r="C278" t="s">
        <v>186</v>
      </c>
      <c r="D278" t="s">
        <v>4045</v>
      </c>
      <c r="E278" t="s">
        <v>4011</v>
      </c>
      <c r="F278" s="1">
        <v>46238</v>
      </c>
      <c r="G278" s="1">
        <v>46238</v>
      </c>
      <c r="H278" t="s">
        <v>185</v>
      </c>
      <c r="I278" t="s">
        <v>186</v>
      </c>
    </row>
    <row r="279" spans="1:9" hidden="1" x14ac:dyDescent="0.25">
      <c r="A279" s="1">
        <v>46238</v>
      </c>
      <c r="B279">
        <v>1193055266</v>
      </c>
      <c r="C279" t="s">
        <v>257</v>
      </c>
      <c r="D279" t="s">
        <v>4045</v>
      </c>
      <c r="E279" t="s">
        <v>4017</v>
      </c>
      <c r="F279" s="1">
        <v>46238</v>
      </c>
      <c r="G279" s="1">
        <v>46238</v>
      </c>
      <c r="H279" t="s">
        <v>256</v>
      </c>
      <c r="I279" t="s">
        <v>257</v>
      </c>
    </row>
    <row r="280" spans="1:9" hidden="1" x14ac:dyDescent="0.25">
      <c r="A280" s="1">
        <v>46238</v>
      </c>
      <c r="B280">
        <v>1152687492</v>
      </c>
      <c r="C280" t="s">
        <v>4095</v>
      </c>
      <c r="D280" t="s">
        <v>336</v>
      </c>
      <c r="E280" t="s">
        <v>4017</v>
      </c>
      <c r="F280" s="1">
        <v>46238</v>
      </c>
      <c r="G280" s="1">
        <v>46240</v>
      </c>
      <c r="H280" t="s">
        <v>212</v>
      </c>
      <c r="I280" t="s">
        <v>213</v>
      </c>
    </row>
    <row r="281" spans="1:9" hidden="1" x14ac:dyDescent="0.25">
      <c r="A281" s="1">
        <v>46239</v>
      </c>
      <c r="B281">
        <v>1152687492</v>
      </c>
      <c r="C281" t="s">
        <v>4095</v>
      </c>
      <c r="D281" t="s">
        <v>336</v>
      </c>
      <c r="E281" t="s">
        <v>4017</v>
      </c>
      <c r="F281" s="1">
        <v>46238</v>
      </c>
      <c r="G281" s="1">
        <v>46240</v>
      </c>
      <c r="H281" t="s">
        <v>230</v>
      </c>
      <c r="I281" t="s">
        <v>231</v>
      </c>
    </row>
    <row r="282" spans="1:9" hidden="1" x14ac:dyDescent="0.25">
      <c r="A282" s="1">
        <v>46238</v>
      </c>
      <c r="B282">
        <v>1117545007</v>
      </c>
      <c r="C282" t="s">
        <v>2325</v>
      </c>
      <c r="D282" t="s">
        <v>128</v>
      </c>
      <c r="E282" t="s">
        <v>4005</v>
      </c>
      <c r="F282" s="1">
        <v>46237</v>
      </c>
      <c r="G282" s="1">
        <v>46239</v>
      </c>
      <c r="H282" t="s">
        <v>252</v>
      </c>
      <c r="I282" t="s">
        <v>253</v>
      </c>
    </row>
    <row r="283" spans="1:9" hidden="1" x14ac:dyDescent="0.25">
      <c r="A283" s="1">
        <v>46239</v>
      </c>
      <c r="B283">
        <v>1117545007</v>
      </c>
      <c r="C283" t="s">
        <v>2325</v>
      </c>
      <c r="D283" t="s">
        <v>128</v>
      </c>
      <c r="E283" t="s">
        <v>4005</v>
      </c>
      <c r="F283" s="1">
        <v>46237</v>
      </c>
      <c r="G283" s="1">
        <v>46239</v>
      </c>
      <c r="H283" t="s">
        <v>17</v>
      </c>
      <c r="I283" t="s">
        <v>18</v>
      </c>
    </row>
    <row r="284" spans="1:9" hidden="1" x14ac:dyDescent="0.25">
      <c r="A284" s="1">
        <v>46238</v>
      </c>
      <c r="B284">
        <v>1214743121</v>
      </c>
      <c r="C284" t="s">
        <v>4096</v>
      </c>
      <c r="D284" t="s">
        <v>343</v>
      </c>
      <c r="E284" t="s">
        <v>4012</v>
      </c>
      <c r="F284" s="1">
        <v>46238</v>
      </c>
      <c r="I284" t="s">
        <v>4022</v>
      </c>
    </row>
    <row r="285" spans="1:9" hidden="1" x14ac:dyDescent="0.25">
      <c r="A285" s="1">
        <v>46239</v>
      </c>
      <c r="B285">
        <v>1214743121</v>
      </c>
      <c r="C285" t="s">
        <v>4096</v>
      </c>
      <c r="D285" t="s">
        <v>343</v>
      </c>
      <c r="E285" t="s">
        <v>4012</v>
      </c>
      <c r="F285" s="1">
        <v>46238</v>
      </c>
      <c r="I285" t="s">
        <v>4051</v>
      </c>
    </row>
    <row r="286" spans="1:9" hidden="1" x14ac:dyDescent="0.25">
      <c r="A286" s="1">
        <v>46238</v>
      </c>
      <c r="B286">
        <v>1005660092</v>
      </c>
      <c r="C286" t="s">
        <v>2262</v>
      </c>
      <c r="D286" t="s">
        <v>4027</v>
      </c>
      <c r="E286" t="s">
        <v>4011</v>
      </c>
      <c r="F286" s="1">
        <v>46238</v>
      </c>
      <c r="G286" s="1">
        <v>46238</v>
      </c>
      <c r="I286" t="s">
        <v>4022</v>
      </c>
    </row>
    <row r="287" spans="1:9" hidden="1" x14ac:dyDescent="0.25">
      <c r="A287" s="1">
        <v>46238</v>
      </c>
      <c r="B287">
        <v>88030132</v>
      </c>
      <c r="C287" t="s">
        <v>1903</v>
      </c>
      <c r="D287" t="s">
        <v>142</v>
      </c>
      <c r="E287" t="s">
        <v>4012</v>
      </c>
      <c r="F287" s="1">
        <v>46238</v>
      </c>
      <c r="I287" t="s">
        <v>4051</v>
      </c>
    </row>
    <row r="288" spans="1:9" hidden="1" x14ac:dyDescent="0.25">
      <c r="A288" s="1">
        <v>46239</v>
      </c>
      <c r="B288">
        <v>88030132</v>
      </c>
      <c r="C288" t="s">
        <v>1903</v>
      </c>
      <c r="D288" t="s">
        <v>142</v>
      </c>
      <c r="E288" t="s">
        <v>4012</v>
      </c>
      <c r="F288" s="1">
        <v>46238</v>
      </c>
      <c r="I288" t="s">
        <v>4022</v>
      </c>
    </row>
    <row r="289" spans="1:9" hidden="1" x14ac:dyDescent="0.25">
      <c r="A289" s="1">
        <v>46238</v>
      </c>
      <c r="B289">
        <v>1067963513</v>
      </c>
      <c r="C289" t="s">
        <v>4097</v>
      </c>
      <c r="D289" t="s">
        <v>29</v>
      </c>
      <c r="E289" t="s">
        <v>4005</v>
      </c>
      <c r="F289" s="1">
        <v>46238</v>
      </c>
      <c r="G289" s="1">
        <v>46238</v>
      </c>
      <c r="I289" t="s">
        <v>4022</v>
      </c>
    </row>
    <row r="290" spans="1:9" hidden="1" x14ac:dyDescent="0.25">
      <c r="A290" s="1">
        <v>46239</v>
      </c>
      <c r="B290">
        <v>1067963513</v>
      </c>
      <c r="C290" t="s">
        <v>28</v>
      </c>
      <c r="D290" t="s">
        <v>29</v>
      </c>
      <c r="E290" t="s">
        <v>4005</v>
      </c>
      <c r="F290" s="1">
        <v>46238</v>
      </c>
      <c r="G290" s="1">
        <v>46238</v>
      </c>
      <c r="I290" t="s">
        <v>4022</v>
      </c>
    </row>
    <row r="291" spans="1:9" hidden="1" x14ac:dyDescent="0.25">
      <c r="A291" s="1">
        <v>46238</v>
      </c>
      <c r="B291">
        <v>1000412686</v>
      </c>
      <c r="C291" t="s">
        <v>2827</v>
      </c>
      <c r="D291" t="s">
        <v>57</v>
      </c>
      <c r="E291" t="s">
        <v>4010</v>
      </c>
      <c r="F291" s="1">
        <v>46238</v>
      </c>
      <c r="G291" s="1">
        <v>46238</v>
      </c>
      <c r="I291" t="s">
        <v>4022</v>
      </c>
    </row>
    <row r="292" spans="1:9" hidden="1" x14ac:dyDescent="0.25">
      <c r="A292" s="1">
        <v>46239</v>
      </c>
      <c r="B292">
        <v>1000412686</v>
      </c>
      <c r="C292" t="s">
        <v>2827</v>
      </c>
      <c r="D292" t="s">
        <v>57</v>
      </c>
      <c r="E292" t="s">
        <v>4010</v>
      </c>
      <c r="F292" s="1">
        <v>46238</v>
      </c>
      <c r="G292" s="1">
        <v>46238</v>
      </c>
      <c r="I292" t="s">
        <v>4022</v>
      </c>
    </row>
    <row r="293" spans="1:9" hidden="1" x14ac:dyDescent="0.25">
      <c r="A293" s="1">
        <v>46238</v>
      </c>
      <c r="B293">
        <v>1193104616</v>
      </c>
      <c r="C293" t="s">
        <v>1954</v>
      </c>
      <c r="D293" t="s">
        <v>64</v>
      </c>
      <c r="E293" t="s">
        <v>4012</v>
      </c>
      <c r="F293" s="1">
        <v>46238</v>
      </c>
      <c r="G293" s="1">
        <v>46240</v>
      </c>
      <c r="I293" t="s">
        <v>261</v>
      </c>
    </row>
    <row r="294" spans="1:9" hidden="1" x14ac:dyDescent="0.25">
      <c r="A294" s="1">
        <v>46239</v>
      </c>
      <c r="B294">
        <v>1193104616</v>
      </c>
      <c r="C294" t="s">
        <v>1954</v>
      </c>
      <c r="D294" t="s">
        <v>64</v>
      </c>
      <c r="E294" t="s">
        <v>4012</v>
      </c>
      <c r="F294" s="1">
        <v>46238</v>
      </c>
      <c r="G294" s="1">
        <v>46240</v>
      </c>
      <c r="H294" t="s">
        <v>147</v>
      </c>
      <c r="I294" t="s">
        <v>148</v>
      </c>
    </row>
    <row r="295" spans="1:9" hidden="1" x14ac:dyDescent="0.25">
      <c r="A295" s="1">
        <v>46238</v>
      </c>
      <c r="B295">
        <v>1001369228</v>
      </c>
      <c r="C295" t="s">
        <v>92</v>
      </c>
      <c r="D295" t="s">
        <v>4045</v>
      </c>
      <c r="E295" t="s">
        <v>4017</v>
      </c>
      <c r="F295" s="1">
        <v>46238</v>
      </c>
      <c r="G295" s="1">
        <v>46239</v>
      </c>
      <c r="I295" t="s">
        <v>4098</v>
      </c>
    </row>
    <row r="296" spans="1:9" hidden="1" x14ac:dyDescent="0.25">
      <c r="A296" s="1">
        <v>46239</v>
      </c>
      <c r="B296">
        <v>1001369228</v>
      </c>
      <c r="C296" t="s">
        <v>92</v>
      </c>
      <c r="D296" t="s">
        <v>4045</v>
      </c>
      <c r="E296" t="s">
        <v>4017</v>
      </c>
      <c r="F296" s="1">
        <v>46238</v>
      </c>
      <c r="G296" s="1">
        <v>46239</v>
      </c>
      <c r="I296" t="s">
        <v>4099</v>
      </c>
    </row>
    <row r="297" spans="1:9" hidden="1" x14ac:dyDescent="0.25">
      <c r="A297" s="1">
        <v>46238</v>
      </c>
      <c r="B297">
        <v>1005424850</v>
      </c>
      <c r="C297" t="s">
        <v>56</v>
      </c>
      <c r="D297" t="s">
        <v>57</v>
      </c>
      <c r="E297" t="s">
        <v>4010</v>
      </c>
      <c r="F297" s="1">
        <v>46238</v>
      </c>
      <c r="G297" s="1">
        <v>46245</v>
      </c>
      <c r="I297" t="s">
        <v>261</v>
      </c>
    </row>
    <row r="298" spans="1:9" hidden="1" x14ac:dyDescent="0.25">
      <c r="A298" s="1">
        <v>46239</v>
      </c>
      <c r="B298">
        <v>1005424850</v>
      </c>
      <c r="C298" t="s">
        <v>56</v>
      </c>
      <c r="D298" t="s">
        <v>57</v>
      </c>
      <c r="E298" t="s">
        <v>4010</v>
      </c>
      <c r="F298" s="1">
        <v>46238</v>
      </c>
      <c r="G298" s="1">
        <v>46245</v>
      </c>
      <c r="I298" t="s">
        <v>261</v>
      </c>
    </row>
    <row r="299" spans="1:9" hidden="1" x14ac:dyDescent="0.25">
      <c r="A299" s="1">
        <v>46239</v>
      </c>
      <c r="B299">
        <v>1140899272</v>
      </c>
      <c r="C299" t="s">
        <v>4100</v>
      </c>
      <c r="D299" t="s">
        <v>41</v>
      </c>
      <c r="E299" t="s">
        <v>4011</v>
      </c>
      <c r="F299" s="1">
        <v>46238</v>
      </c>
      <c r="G299" s="1">
        <v>46240</v>
      </c>
      <c r="I299" t="s">
        <v>4101</v>
      </c>
    </row>
    <row r="300" spans="1:9" hidden="1" x14ac:dyDescent="0.25">
      <c r="A300" s="1">
        <v>46238</v>
      </c>
      <c r="B300">
        <v>1037626926</v>
      </c>
      <c r="C300" t="s">
        <v>4102</v>
      </c>
      <c r="D300" t="s">
        <v>15</v>
      </c>
      <c r="E300" t="s">
        <v>4012</v>
      </c>
      <c r="F300" s="1">
        <v>46237</v>
      </c>
      <c r="G300" s="1">
        <v>46238</v>
      </c>
      <c r="I300" t="s">
        <v>261</v>
      </c>
    </row>
    <row r="301" spans="1:9" hidden="1" x14ac:dyDescent="0.25">
      <c r="A301" s="1">
        <v>46239</v>
      </c>
      <c r="B301">
        <v>1037626926</v>
      </c>
      <c r="C301" t="s">
        <v>4103</v>
      </c>
      <c r="D301" t="s">
        <v>15</v>
      </c>
      <c r="E301" t="s">
        <v>4012</v>
      </c>
      <c r="F301" s="1">
        <v>46237</v>
      </c>
      <c r="G301" s="1">
        <v>46238</v>
      </c>
      <c r="I301" t="s">
        <v>4006</v>
      </c>
    </row>
    <row r="302" spans="1:9" hidden="1" x14ac:dyDescent="0.25">
      <c r="A302" s="1">
        <v>46238</v>
      </c>
      <c r="B302">
        <v>1036656151</v>
      </c>
      <c r="C302" t="s">
        <v>4104</v>
      </c>
      <c r="D302" t="s">
        <v>34</v>
      </c>
      <c r="E302" t="s">
        <v>4011</v>
      </c>
      <c r="F302" s="1">
        <v>46238</v>
      </c>
      <c r="G302" s="1">
        <v>46239</v>
      </c>
      <c r="I302" t="s">
        <v>4022</v>
      </c>
    </row>
    <row r="303" spans="1:9" hidden="1" x14ac:dyDescent="0.25">
      <c r="A303" s="1">
        <v>46239</v>
      </c>
      <c r="B303">
        <v>1036656151</v>
      </c>
      <c r="C303" t="s">
        <v>1643</v>
      </c>
      <c r="D303" t="s">
        <v>34</v>
      </c>
      <c r="E303" t="s">
        <v>4011</v>
      </c>
      <c r="F303" s="1">
        <v>46238</v>
      </c>
      <c r="G303" s="1">
        <v>46239</v>
      </c>
      <c r="H303" t="s">
        <v>98</v>
      </c>
      <c r="I303" t="s">
        <v>99</v>
      </c>
    </row>
    <row r="304" spans="1:9" hidden="1" x14ac:dyDescent="0.25">
      <c r="A304" s="1">
        <v>46238</v>
      </c>
      <c r="B304">
        <v>1001901817</v>
      </c>
      <c r="C304" t="s">
        <v>4105</v>
      </c>
      <c r="D304" t="s">
        <v>553</v>
      </c>
      <c r="E304" t="s">
        <v>4010</v>
      </c>
      <c r="F304" s="1">
        <v>46238</v>
      </c>
      <c r="G304" s="1">
        <v>46239</v>
      </c>
      <c r="I304" t="s">
        <v>4022</v>
      </c>
    </row>
    <row r="305" spans="1:9" hidden="1" x14ac:dyDescent="0.25">
      <c r="A305" s="1">
        <v>46239</v>
      </c>
      <c r="B305">
        <v>1001901817</v>
      </c>
      <c r="C305" t="s">
        <v>4105</v>
      </c>
      <c r="D305" t="s">
        <v>553</v>
      </c>
      <c r="E305" t="s">
        <v>4010</v>
      </c>
      <c r="F305" s="1">
        <v>46238</v>
      </c>
      <c r="G305" s="1">
        <v>46239</v>
      </c>
      <c r="H305" t="s">
        <v>216</v>
      </c>
      <c r="I305" t="s">
        <v>217</v>
      </c>
    </row>
    <row r="306" spans="1:9" hidden="1" x14ac:dyDescent="0.25">
      <c r="A306" s="1">
        <v>46238</v>
      </c>
      <c r="B306">
        <v>1037634709</v>
      </c>
      <c r="C306" t="s">
        <v>4009</v>
      </c>
      <c r="D306" t="s">
        <v>420</v>
      </c>
      <c r="E306" t="s">
        <v>4010</v>
      </c>
      <c r="F306" s="1">
        <v>46238</v>
      </c>
      <c r="G306" s="1">
        <v>46240</v>
      </c>
      <c r="I306" t="s">
        <v>261</v>
      </c>
    </row>
    <row r="307" spans="1:9" hidden="1" x14ac:dyDescent="0.25">
      <c r="A307" s="1">
        <v>46239</v>
      </c>
      <c r="B307">
        <v>1037634709</v>
      </c>
      <c r="C307" t="s">
        <v>4009</v>
      </c>
      <c r="D307" t="s">
        <v>420</v>
      </c>
      <c r="E307" t="s">
        <v>4010</v>
      </c>
      <c r="F307" s="1">
        <v>46238</v>
      </c>
      <c r="G307" s="1">
        <v>46240</v>
      </c>
      <c r="H307" t="s">
        <v>162</v>
      </c>
      <c r="I307" t="s">
        <v>163</v>
      </c>
    </row>
    <row r="308" spans="1:9" hidden="1" x14ac:dyDescent="0.25">
      <c r="A308" s="1">
        <v>46238</v>
      </c>
      <c r="B308">
        <v>1000439437</v>
      </c>
      <c r="C308" t="s">
        <v>376</v>
      </c>
      <c r="D308" t="s">
        <v>128</v>
      </c>
      <c r="E308" t="s">
        <v>4005</v>
      </c>
      <c r="F308" s="1">
        <v>46238</v>
      </c>
      <c r="G308" s="1">
        <v>46240</v>
      </c>
      <c r="I308" t="s">
        <v>4022</v>
      </c>
    </row>
    <row r="309" spans="1:9" hidden="1" x14ac:dyDescent="0.25">
      <c r="A309" s="1">
        <v>46239</v>
      </c>
      <c r="B309">
        <v>1000439437</v>
      </c>
      <c r="C309" t="s">
        <v>376</v>
      </c>
      <c r="D309" t="s">
        <v>128</v>
      </c>
      <c r="E309" t="s">
        <v>4005</v>
      </c>
      <c r="F309" s="1">
        <v>46238</v>
      </c>
      <c r="G309" s="1">
        <v>46240</v>
      </c>
      <c r="I309" t="s">
        <v>261</v>
      </c>
    </row>
    <row r="310" spans="1:9" hidden="1" x14ac:dyDescent="0.25">
      <c r="A310" s="1">
        <v>46238</v>
      </c>
      <c r="B310">
        <v>1017259589</v>
      </c>
      <c r="C310" t="s">
        <v>2044</v>
      </c>
      <c r="D310" t="s">
        <v>57</v>
      </c>
      <c r="E310" t="s">
        <v>4010</v>
      </c>
      <c r="F310" s="1">
        <v>46238</v>
      </c>
      <c r="G310" s="1">
        <v>46238</v>
      </c>
      <c r="I310" t="s">
        <v>4022</v>
      </c>
    </row>
    <row r="311" spans="1:9" hidden="1" x14ac:dyDescent="0.25">
      <c r="A311" s="1">
        <v>46239</v>
      </c>
      <c r="B311">
        <v>1017259589</v>
      </c>
      <c r="C311" t="s">
        <v>4106</v>
      </c>
      <c r="D311" t="s">
        <v>57</v>
      </c>
      <c r="E311" t="s">
        <v>4010</v>
      </c>
      <c r="F311" s="1">
        <v>46238</v>
      </c>
      <c r="G311" s="1">
        <v>46238</v>
      </c>
      <c r="I311" t="s">
        <v>4006</v>
      </c>
    </row>
    <row r="312" spans="1:9" hidden="1" x14ac:dyDescent="0.25">
      <c r="A312" s="1">
        <v>46239</v>
      </c>
      <c r="B312">
        <v>1143166909</v>
      </c>
      <c r="C312" t="s">
        <v>2672</v>
      </c>
      <c r="D312" t="s">
        <v>322</v>
      </c>
      <c r="E312" t="s">
        <v>4017</v>
      </c>
      <c r="F312" s="1">
        <v>46239</v>
      </c>
      <c r="I312" t="s">
        <v>4107</v>
      </c>
    </row>
    <row r="313" spans="1:9" hidden="1" x14ac:dyDescent="0.25">
      <c r="A313" s="1">
        <v>46239</v>
      </c>
      <c r="B313">
        <v>1083001678</v>
      </c>
      <c r="C313" t="s">
        <v>522</v>
      </c>
      <c r="D313" t="s">
        <v>128</v>
      </c>
      <c r="E313" t="s">
        <v>4005</v>
      </c>
      <c r="F313" s="1">
        <v>46239</v>
      </c>
      <c r="G313" s="1">
        <v>46239</v>
      </c>
      <c r="H313" t="s">
        <v>1435</v>
      </c>
      <c r="I313" t="s">
        <v>1436</v>
      </c>
    </row>
    <row r="314" spans="1:9" hidden="1" x14ac:dyDescent="0.25">
      <c r="A314" s="1">
        <v>46239</v>
      </c>
      <c r="B314">
        <v>1020475954</v>
      </c>
      <c r="C314" t="s">
        <v>3901</v>
      </c>
      <c r="D314" t="s">
        <v>29</v>
      </c>
      <c r="E314" t="s">
        <v>4005</v>
      </c>
      <c r="F314" s="1">
        <v>46238</v>
      </c>
      <c r="G314" s="1">
        <v>46240</v>
      </c>
      <c r="H314" t="s">
        <v>237</v>
      </c>
      <c r="I314" t="s">
        <v>238</v>
      </c>
    </row>
    <row r="315" spans="1:9" hidden="1" x14ac:dyDescent="0.25">
      <c r="A315" s="1">
        <v>46239</v>
      </c>
      <c r="B315">
        <v>1045718883</v>
      </c>
      <c r="C315" t="s">
        <v>47</v>
      </c>
      <c r="D315" t="s">
        <v>34</v>
      </c>
      <c r="E315" t="s">
        <v>4011</v>
      </c>
      <c r="F315" s="1">
        <v>46224</v>
      </c>
      <c r="G315" s="1">
        <v>46239</v>
      </c>
      <c r="H315" t="s">
        <v>240</v>
      </c>
      <c r="I315" t="s">
        <v>241</v>
      </c>
    </row>
    <row r="316" spans="1:9" hidden="1" x14ac:dyDescent="0.25">
      <c r="A316" s="1">
        <v>46239</v>
      </c>
      <c r="B316">
        <v>1018466443</v>
      </c>
      <c r="C316" t="s">
        <v>4109</v>
      </c>
      <c r="D316" t="s">
        <v>410</v>
      </c>
      <c r="E316" t="s">
        <v>4005</v>
      </c>
      <c r="F316" s="1">
        <v>46239</v>
      </c>
      <c r="G316" s="1">
        <v>46244</v>
      </c>
      <c r="H316" t="s">
        <v>1318</v>
      </c>
      <c r="I316" t="s">
        <v>1319</v>
      </c>
    </row>
    <row r="317" spans="1:9" hidden="1" x14ac:dyDescent="0.25">
      <c r="A317" s="1">
        <v>46239</v>
      </c>
      <c r="B317" t="s">
        <v>185</v>
      </c>
      <c r="C317" t="s">
        <v>186</v>
      </c>
      <c r="D317" t="s">
        <v>4045</v>
      </c>
      <c r="E317" t="s">
        <v>4011</v>
      </c>
      <c r="F317" s="1">
        <v>46239</v>
      </c>
      <c r="G317" s="1">
        <v>46239</v>
      </c>
      <c r="H317" t="s">
        <v>185</v>
      </c>
      <c r="I317" t="s">
        <v>186</v>
      </c>
    </row>
    <row r="318" spans="1:9" hidden="1" x14ac:dyDescent="0.25">
      <c r="A318" s="1">
        <v>46239</v>
      </c>
      <c r="B318">
        <v>1037669752</v>
      </c>
      <c r="C318" t="s">
        <v>3550</v>
      </c>
      <c r="D318" t="s">
        <v>132</v>
      </c>
      <c r="E318" t="s">
        <v>4010</v>
      </c>
      <c r="F318" s="1">
        <v>46239</v>
      </c>
      <c r="G318" s="1">
        <v>46239</v>
      </c>
      <c r="H318" t="s">
        <v>203</v>
      </c>
      <c r="I318" t="s">
        <v>204</v>
      </c>
    </row>
    <row r="319" spans="1:9" hidden="1" x14ac:dyDescent="0.25">
      <c r="A319" s="1">
        <v>46239</v>
      </c>
      <c r="B319">
        <v>1005605946</v>
      </c>
      <c r="C319" t="s">
        <v>135</v>
      </c>
      <c r="D319" t="s">
        <v>4045</v>
      </c>
      <c r="E319" t="s">
        <v>4017</v>
      </c>
      <c r="F319" s="1">
        <v>46239</v>
      </c>
      <c r="G319" s="1">
        <v>46239</v>
      </c>
      <c r="H319" t="s">
        <v>134</v>
      </c>
      <c r="I319" t="s">
        <v>135</v>
      </c>
    </row>
    <row r="320" spans="1:9" hidden="1" x14ac:dyDescent="0.25">
      <c r="A320" s="1">
        <v>46239</v>
      </c>
      <c r="B320">
        <v>1143374438</v>
      </c>
      <c r="C320" t="s">
        <v>85</v>
      </c>
      <c r="D320" t="s">
        <v>41</v>
      </c>
      <c r="E320" t="s">
        <v>4011</v>
      </c>
      <c r="F320" s="1">
        <v>46239</v>
      </c>
      <c r="G320" s="1">
        <v>46268</v>
      </c>
      <c r="I320" t="s">
        <v>4022</v>
      </c>
    </row>
    <row r="321" spans="1:9" hidden="1" x14ac:dyDescent="0.25">
      <c r="A321" s="1">
        <v>46239</v>
      </c>
      <c r="B321">
        <v>42141273</v>
      </c>
      <c r="C321" t="s">
        <v>210</v>
      </c>
      <c r="D321" t="s">
        <v>211</v>
      </c>
      <c r="E321" t="s">
        <v>4017</v>
      </c>
      <c r="F321" s="1">
        <v>46238</v>
      </c>
      <c r="G321" s="1">
        <v>46295</v>
      </c>
      <c r="H321" t="s">
        <v>212</v>
      </c>
      <c r="I321" t="s">
        <v>213</v>
      </c>
    </row>
    <row r="322" spans="1:9" hidden="1" x14ac:dyDescent="0.25">
      <c r="A322" s="1">
        <v>46239</v>
      </c>
      <c r="B322">
        <v>1017270154</v>
      </c>
      <c r="C322" t="s">
        <v>928</v>
      </c>
      <c r="D322" t="s">
        <v>343</v>
      </c>
      <c r="E322" t="s">
        <v>4012</v>
      </c>
      <c r="F322" s="1">
        <v>46238</v>
      </c>
      <c r="I322" t="s">
        <v>4022</v>
      </c>
    </row>
    <row r="323" spans="1:9" hidden="1" x14ac:dyDescent="0.25">
      <c r="A323" s="1">
        <v>46240</v>
      </c>
      <c r="B323">
        <v>1017270154</v>
      </c>
      <c r="C323" t="s">
        <v>4112</v>
      </c>
      <c r="D323" t="s">
        <v>343</v>
      </c>
      <c r="E323" t="s">
        <v>4012</v>
      </c>
      <c r="F323" s="1">
        <v>46238</v>
      </c>
      <c r="I323" t="s">
        <v>4022</v>
      </c>
    </row>
    <row r="324" spans="1:9" hidden="1" x14ac:dyDescent="0.25">
      <c r="A324" s="1">
        <v>46239</v>
      </c>
      <c r="B324">
        <v>1035876080</v>
      </c>
      <c r="C324" t="s">
        <v>120</v>
      </c>
      <c r="D324" t="s">
        <v>121</v>
      </c>
      <c r="E324" t="s">
        <v>4010</v>
      </c>
      <c r="F324" s="1">
        <v>46238</v>
      </c>
      <c r="I324" t="s">
        <v>4022</v>
      </c>
    </row>
    <row r="325" spans="1:9" hidden="1" x14ac:dyDescent="0.25">
      <c r="A325" s="1">
        <v>46239</v>
      </c>
      <c r="B325">
        <v>1003377961</v>
      </c>
      <c r="C325" t="s">
        <v>2527</v>
      </c>
      <c r="D325" t="s">
        <v>64</v>
      </c>
      <c r="E325" t="s">
        <v>4012</v>
      </c>
      <c r="F325" s="1">
        <v>46239</v>
      </c>
      <c r="G325" s="1">
        <v>46239</v>
      </c>
      <c r="I325" t="s">
        <v>261</v>
      </c>
    </row>
    <row r="326" spans="1:9" hidden="1" x14ac:dyDescent="0.25">
      <c r="A326" s="1">
        <v>46239</v>
      </c>
      <c r="B326">
        <v>1065664047</v>
      </c>
      <c r="C326" t="s">
        <v>1114</v>
      </c>
      <c r="D326" t="s">
        <v>89</v>
      </c>
      <c r="E326" t="s">
        <v>4017</v>
      </c>
      <c r="F326" s="1">
        <v>46238</v>
      </c>
      <c r="I326" t="s">
        <v>4022</v>
      </c>
    </row>
    <row r="327" spans="1:9" hidden="1" x14ac:dyDescent="0.25">
      <c r="A327" s="1">
        <v>46239</v>
      </c>
      <c r="B327">
        <v>1143394119</v>
      </c>
      <c r="C327" t="s">
        <v>4110</v>
      </c>
      <c r="D327" t="s">
        <v>142</v>
      </c>
      <c r="E327" t="s">
        <v>4012</v>
      </c>
      <c r="F327" s="1">
        <v>46238</v>
      </c>
      <c r="I327" t="s">
        <v>4022</v>
      </c>
    </row>
    <row r="328" spans="1:9" hidden="1" x14ac:dyDescent="0.25">
      <c r="A328" s="1">
        <v>46239</v>
      </c>
      <c r="B328">
        <v>1082896324</v>
      </c>
      <c r="C328" t="s">
        <v>77</v>
      </c>
      <c r="D328" t="s">
        <v>78</v>
      </c>
      <c r="E328" t="s">
        <v>4010</v>
      </c>
      <c r="F328" s="1">
        <v>46238</v>
      </c>
      <c r="I328" t="s">
        <v>4022</v>
      </c>
    </row>
    <row r="329" spans="1:9" hidden="1" x14ac:dyDescent="0.25">
      <c r="A329" s="1">
        <v>46239</v>
      </c>
      <c r="B329">
        <v>1235045754</v>
      </c>
      <c r="C329" t="s">
        <v>2371</v>
      </c>
      <c r="D329" t="s">
        <v>343</v>
      </c>
      <c r="E329" t="s">
        <v>4012</v>
      </c>
      <c r="F329" s="1">
        <v>46238</v>
      </c>
      <c r="G329" s="1">
        <v>46240</v>
      </c>
      <c r="I329" t="s">
        <v>261</v>
      </c>
    </row>
    <row r="330" spans="1:9" hidden="1" x14ac:dyDescent="0.25">
      <c r="A330" s="1">
        <v>46240</v>
      </c>
      <c r="B330">
        <v>1235045754</v>
      </c>
      <c r="C330" t="s">
        <v>2371</v>
      </c>
      <c r="D330" t="s">
        <v>343</v>
      </c>
      <c r="E330" t="s">
        <v>4012</v>
      </c>
      <c r="F330" s="1">
        <v>46238</v>
      </c>
      <c r="G330" s="1">
        <v>46240</v>
      </c>
      <c r="H330" t="s">
        <v>137</v>
      </c>
      <c r="I330" t="s">
        <v>138</v>
      </c>
    </row>
    <row r="331" spans="1:9" hidden="1" x14ac:dyDescent="0.25">
      <c r="A331" s="1">
        <v>46239</v>
      </c>
      <c r="B331">
        <v>1005569691</v>
      </c>
      <c r="C331" t="s">
        <v>3613</v>
      </c>
      <c r="D331" t="s">
        <v>326</v>
      </c>
      <c r="E331" t="s">
        <v>4005</v>
      </c>
      <c r="F331" s="1">
        <v>46239</v>
      </c>
      <c r="G331" s="1">
        <v>46240</v>
      </c>
      <c r="I331" t="s">
        <v>4022</v>
      </c>
    </row>
    <row r="332" spans="1:9" hidden="1" x14ac:dyDescent="0.25">
      <c r="A332" s="1">
        <v>46239</v>
      </c>
      <c r="B332">
        <v>1001014608</v>
      </c>
      <c r="C332" t="s">
        <v>268</v>
      </c>
      <c r="D332" t="s">
        <v>64</v>
      </c>
      <c r="E332" t="s">
        <v>4012</v>
      </c>
      <c r="F332" s="1">
        <v>46239</v>
      </c>
      <c r="G332" s="1">
        <v>46268</v>
      </c>
      <c r="I332" t="s">
        <v>4022</v>
      </c>
    </row>
    <row r="333" spans="1:9" hidden="1" x14ac:dyDescent="0.25">
      <c r="A333" s="1">
        <v>46240</v>
      </c>
      <c r="B333">
        <v>1001014608</v>
      </c>
      <c r="C333" t="s">
        <v>268</v>
      </c>
      <c r="D333" t="s">
        <v>64</v>
      </c>
      <c r="E333" t="s">
        <v>4012</v>
      </c>
      <c r="F333" s="1">
        <v>46239</v>
      </c>
      <c r="G333" s="1">
        <v>46268</v>
      </c>
      <c r="I333" t="s">
        <v>4022</v>
      </c>
    </row>
    <row r="334" spans="1:9" hidden="1" x14ac:dyDescent="0.25">
      <c r="A334" s="1">
        <v>46239</v>
      </c>
      <c r="B334">
        <v>1041901478</v>
      </c>
      <c r="C334" t="s">
        <v>327</v>
      </c>
      <c r="D334" t="s">
        <v>326</v>
      </c>
      <c r="E334" t="s">
        <v>4005</v>
      </c>
      <c r="F334" s="1">
        <v>46239</v>
      </c>
      <c r="G334" s="1">
        <v>46240</v>
      </c>
      <c r="I334" t="s">
        <v>4022</v>
      </c>
    </row>
    <row r="335" spans="1:9" hidden="1" x14ac:dyDescent="0.25">
      <c r="A335" s="1">
        <v>46240</v>
      </c>
      <c r="B335">
        <v>1041901478</v>
      </c>
      <c r="C335" t="s">
        <v>327</v>
      </c>
      <c r="D335" t="s">
        <v>326</v>
      </c>
      <c r="E335" t="s">
        <v>4005</v>
      </c>
      <c r="F335" s="1">
        <v>46239</v>
      </c>
      <c r="G335" s="1">
        <v>46240</v>
      </c>
      <c r="H335" t="s">
        <v>1346</v>
      </c>
      <c r="I335" t="s">
        <v>1347</v>
      </c>
    </row>
    <row r="336" spans="1:9" hidden="1" x14ac:dyDescent="0.25">
      <c r="A336" s="1">
        <v>46239</v>
      </c>
      <c r="B336">
        <v>1192923605</v>
      </c>
      <c r="C336" t="s">
        <v>315</v>
      </c>
      <c r="D336" t="s">
        <v>211</v>
      </c>
      <c r="E336" t="s">
        <v>4017</v>
      </c>
      <c r="F336" s="1">
        <v>46239</v>
      </c>
      <c r="G336" s="1">
        <v>46240</v>
      </c>
      <c r="I336" t="s">
        <v>261</v>
      </c>
    </row>
    <row r="337" spans="1:9" hidden="1" x14ac:dyDescent="0.25">
      <c r="A337" s="1">
        <v>46239</v>
      </c>
      <c r="B337">
        <v>1036670630</v>
      </c>
      <c r="C337" t="s">
        <v>1093</v>
      </c>
      <c r="D337" t="s">
        <v>15</v>
      </c>
      <c r="E337" t="s">
        <v>4012</v>
      </c>
      <c r="F337" s="1">
        <v>46239</v>
      </c>
      <c r="I337" t="s">
        <v>4022</v>
      </c>
    </row>
    <row r="338" spans="1:9" hidden="1" x14ac:dyDescent="0.25">
      <c r="A338" s="1">
        <v>46239</v>
      </c>
      <c r="B338">
        <v>1026156098</v>
      </c>
      <c r="C338" t="s">
        <v>3518</v>
      </c>
      <c r="D338" t="s">
        <v>34</v>
      </c>
      <c r="E338" t="s">
        <v>4011</v>
      </c>
      <c r="F338" s="1">
        <v>46239</v>
      </c>
      <c r="G338" s="1">
        <v>46240</v>
      </c>
      <c r="I338" t="s">
        <v>4022</v>
      </c>
    </row>
    <row r="339" spans="1:9" hidden="1" x14ac:dyDescent="0.25">
      <c r="A339" s="1">
        <v>46239</v>
      </c>
      <c r="B339">
        <v>1128458157</v>
      </c>
      <c r="C339" t="s">
        <v>2739</v>
      </c>
      <c r="D339" t="s">
        <v>326</v>
      </c>
      <c r="E339" t="s">
        <v>4005</v>
      </c>
      <c r="F339" s="1">
        <v>46239</v>
      </c>
      <c r="G339" s="1">
        <v>46240</v>
      </c>
      <c r="I339" t="s">
        <v>4022</v>
      </c>
    </row>
    <row r="340" spans="1:9" hidden="1" x14ac:dyDescent="0.25">
      <c r="A340" s="1">
        <v>46239</v>
      </c>
      <c r="B340">
        <v>1128458157</v>
      </c>
      <c r="C340" t="s">
        <v>2739</v>
      </c>
      <c r="D340" t="s">
        <v>326</v>
      </c>
      <c r="E340" t="s">
        <v>4005</v>
      </c>
      <c r="F340" s="1">
        <v>46239</v>
      </c>
      <c r="G340" s="1">
        <v>46240</v>
      </c>
      <c r="I340" t="s">
        <v>4022</v>
      </c>
    </row>
    <row r="341" spans="1:9" hidden="1" x14ac:dyDescent="0.25">
      <c r="A341" s="1">
        <v>46239</v>
      </c>
      <c r="B341">
        <v>1001868101</v>
      </c>
      <c r="C341" t="s">
        <v>74</v>
      </c>
      <c r="D341" t="s">
        <v>4045</v>
      </c>
      <c r="E341" t="s">
        <v>4010</v>
      </c>
      <c r="F341" s="1">
        <v>46239</v>
      </c>
      <c r="G341" s="1">
        <v>46239</v>
      </c>
      <c r="H341" t="s">
        <v>73</v>
      </c>
      <c r="I341" t="s">
        <v>74</v>
      </c>
    </row>
    <row r="342" spans="1:9" hidden="1" x14ac:dyDescent="0.25">
      <c r="A342" s="1">
        <v>46239</v>
      </c>
      <c r="B342">
        <v>1065850707</v>
      </c>
      <c r="C342" t="s">
        <v>2698</v>
      </c>
      <c r="D342" t="s">
        <v>121</v>
      </c>
      <c r="E342" t="s">
        <v>4010</v>
      </c>
      <c r="F342" s="1">
        <v>46239</v>
      </c>
      <c r="G342" s="1">
        <v>46240</v>
      </c>
      <c r="I342" t="s">
        <v>4022</v>
      </c>
    </row>
    <row r="343" spans="1:9" hidden="1" x14ac:dyDescent="0.25">
      <c r="A343" s="1">
        <v>46239</v>
      </c>
      <c r="B343">
        <v>1007223463</v>
      </c>
      <c r="C343" t="s">
        <v>487</v>
      </c>
      <c r="D343" t="s">
        <v>4045</v>
      </c>
      <c r="E343" t="s">
        <v>4017</v>
      </c>
      <c r="F343" s="1">
        <v>46239</v>
      </c>
      <c r="G343" s="1">
        <v>46239</v>
      </c>
      <c r="I343" t="s">
        <v>4099</v>
      </c>
    </row>
    <row r="344" spans="1:9" hidden="1" x14ac:dyDescent="0.25">
      <c r="A344" s="1">
        <v>46240</v>
      </c>
      <c r="B344">
        <v>1082896324</v>
      </c>
      <c r="C344" t="s">
        <v>77</v>
      </c>
      <c r="D344" t="s">
        <v>78</v>
      </c>
      <c r="E344" t="s">
        <v>4010</v>
      </c>
      <c r="F344" s="1">
        <v>46239</v>
      </c>
      <c r="G344" s="1">
        <v>46240</v>
      </c>
      <c r="H344" t="s">
        <v>1318</v>
      </c>
      <c r="I344" t="s">
        <v>1319</v>
      </c>
    </row>
    <row r="345" spans="1:9" hidden="1" x14ac:dyDescent="0.25">
      <c r="A345" s="1">
        <v>46240</v>
      </c>
      <c r="B345">
        <v>1143394119</v>
      </c>
      <c r="C345" t="s">
        <v>832</v>
      </c>
      <c r="D345" t="s">
        <v>142</v>
      </c>
      <c r="E345" t="s">
        <v>4012</v>
      </c>
      <c r="F345" s="1">
        <v>46239</v>
      </c>
      <c r="G345" s="1">
        <v>46239</v>
      </c>
      <c r="I345" t="s">
        <v>4113</v>
      </c>
    </row>
    <row r="346" spans="1:9" hidden="1" x14ac:dyDescent="0.25">
      <c r="A346" s="1">
        <v>46240</v>
      </c>
      <c r="B346">
        <v>1000439437</v>
      </c>
      <c r="C346" t="s">
        <v>376</v>
      </c>
      <c r="D346" t="s">
        <v>128</v>
      </c>
      <c r="E346" t="s">
        <v>4005</v>
      </c>
      <c r="F346" s="1">
        <v>46238</v>
      </c>
      <c r="G346" s="1">
        <v>46240</v>
      </c>
      <c r="H346" t="s">
        <v>17</v>
      </c>
      <c r="I346" t="s">
        <v>18</v>
      </c>
    </row>
    <row r="347" spans="1:9" hidden="1" x14ac:dyDescent="0.25">
      <c r="A347" s="1">
        <v>46240</v>
      </c>
      <c r="B347">
        <v>1140899272</v>
      </c>
      <c r="C347" t="s">
        <v>4100</v>
      </c>
      <c r="D347" t="s">
        <v>41</v>
      </c>
      <c r="E347" t="s">
        <v>4011</v>
      </c>
      <c r="F347" s="1">
        <v>46238</v>
      </c>
      <c r="G347" s="1">
        <v>46240</v>
      </c>
      <c r="I347" t="s">
        <v>261</v>
      </c>
    </row>
    <row r="348" spans="1:9" hidden="1" x14ac:dyDescent="0.25">
      <c r="A348" s="1">
        <v>46240</v>
      </c>
      <c r="B348">
        <v>1065664047</v>
      </c>
      <c r="C348" t="s">
        <v>1114</v>
      </c>
      <c r="D348" t="s">
        <v>89</v>
      </c>
      <c r="E348" t="s">
        <v>4017</v>
      </c>
      <c r="F348" s="1">
        <v>46239</v>
      </c>
      <c r="G348" s="1">
        <v>46240</v>
      </c>
      <c r="H348" t="s">
        <v>256</v>
      </c>
      <c r="I348" t="s">
        <v>257</v>
      </c>
    </row>
    <row r="349" spans="1:9" hidden="1" x14ac:dyDescent="0.25">
      <c r="A349" s="1">
        <v>46240</v>
      </c>
      <c r="B349">
        <v>1003377961</v>
      </c>
      <c r="C349" t="s">
        <v>2527</v>
      </c>
      <c r="D349" t="s">
        <v>64</v>
      </c>
      <c r="E349" t="s">
        <v>4012</v>
      </c>
      <c r="F349" s="1">
        <v>46239</v>
      </c>
      <c r="G349" s="1">
        <v>46239</v>
      </c>
      <c r="I349" t="s">
        <v>4006</v>
      </c>
    </row>
    <row r="350" spans="1:9" hidden="1" x14ac:dyDescent="0.25">
      <c r="A350" s="1">
        <v>46240</v>
      </c>
      <c r="B350">
        <v>42141273</v>
      </c>
      <c r="C350" t="s">
        <v>210</v>
      </c>
      <c r="D350" t="s">
        <v>211</v>
      </c>
      <c r="E350" t="s">
        <v>4017</v>
      </c>
      <c r="F350" s="1">
        <v>46232</v>
      </c>
      <c r="G350" s="1">
        <v>46261</v>
      </c>
      <c r="H350" t="s">
        <v>486</v>
      </c>
      <c r="I350" t="s">
        <v>487</v>
      </c>
    </row>
    <row r="351" spans="1:9" hidden="1" x14ac:dyDescent="0.25">
      <c r="A351" s="1">
        <v>46240</v>
      </c>
      <c r="B351">
        <v>1035876080</v>
      </c>
      <c r="C351" t="s">
        <v>120</v>
      </c>
      <c r="D351" t="s">
        <v>121</v>
      </c>
      <c r="E351" t="s">
        <v>4010</v>
      </c>
      <c r="F351" s="1">
        <v>46239</v>
      </c>
      <c r="G351" s="1">
        <v>46245</v>
      </c>
      <c r="H351" t="s">
        <v>216</v>
      </c>
      <c r="I351" t="s">
        <v>217</v>
      </c>
    </row>
    <row r="352" spans="1:9" hidden="1" x14ac:dyDescent="0.25">
      <c r="A352" s="1">
        <v>46240</v>
      </c>
      <c r="B352">
        <v>1017259589</v>
      </c>
      <c r="C352" t="s">
        <v>4106</v>
      </c>
      <c r="D352" t="s">
        <v>57</v>
      </c>
      <c r="E352" t="s">
        <v>4010</v>
      </c>
      <c r="F352" s="1">
        <v>46238</v>
      </c>
      <c r="G352" s="1">
        <v>46238</v>
      </c>
      <c r="I352" t="s">
        <v>4006</v>
      </c>
    </row>
    <row r="353" spans="1:9" hidden="1" x14ac:dyDescent="0.25">
      <c r="A353" s="1">
        <v>46240</v>
      </c>
      <c r="B353">
        <v>1000412686</v>
      </c>
      <c r="C353" t="s">
        <v>2827</v>
      </c>
      <c r="D353" t="s">
        <v>57</v>
      </c>
      <c r="E353" t="s">
        <v>4010</v>
      </c>
      <c r="F353" s="1">
        <v>46238</v>
      </c>
      <c r="G353" s="1">
        <v>46238</v>
      </c>
      <c r="I353" t="s">
        <v>4006</v>
      </c>
    </row>
    <row r="354" spans="1:9" hidden="1" x14ac:dyDescent="0.25">
      <c r="A354" s="1">
        <v>46240</v>
      </c>
      <c r="B354">
        <v>1193104616</v>
      </c>
      <c r="C354" t="s">
        <v>1954</v>
      </c>
      <c r="D354" t="s">
        <v>64</v>
      </c>
      <c r="E354" t="s">
        <v>4012</v>
      </c>
      <c r="F354" s="1">
        <v>46238</v>
      </c>
      <c r="G354" s="1">
        <v>46240</v>
      </c>
      <c r="I354" t="s">
        <v>261</v>
      </c>
    </row>
    <row r="355" spans="1:9" hidden="1" x14ac:dyDescent="0.25">
      <c r="A355" s="1">
        <v>46240</v>
      </c>
      <c r="B355">
        <v>1005424850</v>
      </c>
      <c r="C355" t="s">
        <v>56</v>
      </c>
      <c r="D355" t="s">
        <v>57</v>
      </c>
      <c r="E355" t="s">
        <v>4010</v>
      </c>
      <c r="F355" s="1">
        <v>46238</v>
      </c>
      <c r="G355" s="1">
        <v>46245</v>
      </c>
      <c r="H355" t="s">
        <v>58</v>
      </c>
      <c r="I355" t="s">
        <v>59</v>
      </c>
    </row>
    <row r="356" spans="1:9" hidden="1" x14ac:dyDescent="0.25">
      <c r="A356" s="1">
        <v>46240</v>
      </c>
      <c r="B356">
        <v>1032491944</v>
      </c>
      <c r="C356" t="s">
        <v>23</v>
      </c>
      <c r="D356" t="s">
        <v>24</v>
      </c>
      <c r="E356" t="s">
        <v>4011</v>
      </c>
      <c r="F356" s="1">
        <v>46237</v>
      </c>
      <c r="G356" s="1">
        <v>46241</v>
      </c>
      <c r="H356" t="s">
        <v>69</v>
      </c>
      <c r="I356" t="s">
        <v>70</v>
      </c>
    </row>
    <row r="357" spans="1:9" hidden="1" x14ac:dyDescent="0.25">
      <c r="A357" s="1">
        <v>46240</v>
      </c>
      <c r="B357">
        <v>1036656151</v>
      </c>
      <c r="C357" t="s">
        <v>1643</v>
      </c>
      <c r="D357" t="s">
        <v>34</v>
      </c>
      <c r="E357" t="s">
        <v>4011</v>
      </c>
      <c r="F357" s="1">
        <v>46238</v>
      </c>
      <c r="G357" s="1">
        <v>46239</v>
      </c>
      <c r="I357" t="s">
        <v>4006</v>
      </c>
    </row>
    <row r="358" spans="1:9" hidden="1" x14ac:dyDescent="0.25">
      <c r="A358" s="1">
        <v>46240</v>
      </c>
      <c r="B358">
        <v>1067963513</v>
      </c>
      <c r="C358" t="s">
        <v>28</v>
      </c>
      <c r="D358" t="s">
        <v>29</v>
      </c>
      <c r="E358" t="s">
        <v>4005</v>
      </c>
      <c r="F358" s="1">
        <v>46238</v>
      </c>
      <c r="G358" s="1">
        <v>46238</v>
      </c>
      <c r="I358" t="s">
        <v>4006</v>
      </c>
    </row>
    <row r="359" spans="1:9" hidden="1" x14ac:dyDescent="0.25">
      <c r="A359" s="1">
        <v>46240</v>
      </c>
      <c r="B359">
        <v>1001901817</v>
      </c>
      <c r="C359" t="s">
        <v>4105</v>
      </c>
      <c r="D359" t="s">
        <v>553</v>
      </c>
      <c r="E359" t="s">
        <v>4010</v>
      </c>
      <c r="F359" s="1">
        <v>46237</v>
      </c>
      <c r="G359" s="1">
        <v>46239</v>
      </c>
      <c r="I359" t="s">
        <v>4006</v>
      </c>
    </row>
    <row r="360" spans="1:9" hidden="1" x14ac:dyDescent="0.25">
      <c r="A360" s="1">
        <v>46240</v>
      </c>
      <c r="B360">
        <v>88030132</v>
      </c>
      <c r="C360" t="s">
        <v>1903</v>
      </c>
      <c r="D360" t="s">
        <v>142</v>
      </c>
      <c r="E360" t="s">
        <v>4012</v>
      </c>
      <c r="F360" s="1">
        <v>46237</v>
      </c>
      <c r="G360" s="1">
        <v>46237</v>
      </c>
      <c r="I360" t="s">
        <v>4006</v>
      </c>
    </row>
    <row r="361" spans="1:9" hidden="1" x14ac:dyDescent="0.25">
      <c r="A361" s="1">
        <v>46240</v>
      </c>
      <c r="B361">
        <v>1193459665</v>
      </c>
      <c r="C361" t="s">
        <v>4066</v>
      </c>
      <c r="D361" t="s">
        <v>326</v>
      </c>
      <c r="E361" t="s">
        <v>4005</v>
      </c>
      <c r="F361" s="1">
        <v>46237</v>
      </c>
      <c r="G361" s="1">
        <v>46239</v>
      </c>
      <c r="I361" t="s">
        <v>4006</v>
      </c>
    </row>
    <row r="362" spans="1:9" hidden="1" x14ac:dyDescent="0.25">
      <c r="A362" s="1">
        <v>46240</v>
      </c>
      <c r="B362">
        <v>1152687492</v>
      </c>
      <c r="C362" t="s">
        <v>4095</v>
      </c>
      <c r="D362" t="s">
        <v>336</v>
      </c>
      <c r="E362" t="s">
        <v>4017</v>
      </c>
      <c r="F362" s="1">
        <v>46238</v>
      </c>
      <c r="G362" s="1">
        <v>46240</v>
      </c>
      <c r="I362" t="s">
        <v>4006</v>
      </c>
    </row>
    <row r="363" spans="1:9" hidden="1" x14ac:dyDescent="0.25">
      <c r="A363" s="1">
        <v>46240</v>
      </c>
      <c r="B363">
        <v>1004841623</v>
      </c>
      <c r="C363" t="s">
        <v>4062</v>
      </c>
      <c r="D363" t="s">
        <v>420</v>
      </c>
      <c r="E363" t="s">
        <v>4010</v>
      </c>
      <c r="F363" s="1">
        <v>46237</v>
      </c>
      <c r="G363" s="1">
        <v>46241</v>
      </c>
      <c r="I363" t="s">
        <v>4006</v>
      </c>
    </row>
    <row r="364" spans="1:9" hidden="1" x14ac:dyDescent="0.25">
      <c r="A364" s="1">
        <v>46240</v>
      </c>
      <c r="B364">
        <v>1143166909</v>
      </c>
      <c r="C364" t="s">
        <v>2672</v>
      </c>
      <c r="D364" t="s">
        <v>322</v>
      </c>
      <c r="E364" t="s">
        <v>4017</v>
      </c>
      <c r="F364" s="1">
        <v>46239</v>
      </c>
      <c r="I364" t="s">
        <v>4006</v>
      </c>
    </row>
    <row r="365" spans="1:9" hidden="1" x14ac:dyDescent="0.25">
      <c r="A365" s="1">
        <v>46240</v>
      </c>
      <c r="B365">
        <v>1117545007</v>
      </c>
      <c r="C365" t="s">
        <v>2325</v>
      </c>
      <c r="D365" t="s">
        <v>128</v>
      </c>
      <c r="E365" t="s">
        <v>4005</v>
      </c>
      <c r="F365" s="1">
        <v>46237</v>
      </c>
      <c r="G365" s="1">
        <v>46239</v>
      </c>
      <c r="I365" t="s">
        <v>4006</v>
      </c>
    </row>
    <row r="366" spans="1:9" hidden="1" x14ac:dyDescent="0.25">
      <c r="A366" s="1">
        <v>46240</v>
      </c>
      <c r="B366">
        <v>1005624879</v>
      </c>
      <c r="C366" t="s">
        <v>251</v>
      </c>
      <c r="D366" t="s">
        <v>132</v>
      </c>
      <c r="E366" t="s">
        <v>4010</v>
      </c>
      <c r="F366" s="1">
        <v>46237</v>
      </c>
      <c r="G366" s="1">
        <v>46240</v>
      </c>
      <c r="H366" t="s">
        <v>252</v>
      </c>
      <c r="I366" t="s">
        <v>253</v>
      </c>
    </row>
    <row r="367" spans="1:9" hidden="1" x14ac:dyDescent="0.25">
      <c r="A367" s="1">
        <v>46240</v>
      </c>
      <c r="B367">
        <v>1072648283</v>
      </c>
      <c r="C367" t="s">
        <v>739</v>
      </c>
      <c r="D367" t="s">
        <v>211</v>
      </c>
      <c r="E367" t="s">
        <v>4017</v>
      </c>
      <c r="F367" s="1">
        <v>46237</v>
      </c>
      <c r="G367" s="1">
        <v>46239</v>
      </c>
      <c r="I367" t="s">
        <v>4006</v>
      </c>
    </row>
    <row r="368" spans="1:9" hidden="1" x14ac:dyDescent="0.25">
      <c r="A368" s="1">
        <v>46240</v>
      </c>
      <c r="B368">
        <v>1042422897</v>
      </c>
      <c r="C368" t="s">
        <v>4071</v>
      </c>
      <c r="D368" t="s">
        <v>326</v>
      </c>
      <c r="E368" t="s">
        <v>4005</v>
      </c>
      <c r="F368" s="1">
        <v>46237</v>
      </c>
      <c r="G368" s="1">
        <v>46238</v>
      </c>
      <c r="I368" t="s">
        <v>4006</v>
      </c>
    </row>
    <row r="369" spans="1:9" hidden="1" x14ac:dyDescent="0.25">
      <c r="A369" s="1">
        <v>46240</v>
      </c>
      <c r="B369">
        <v>1040184262</v>
      </c>
      <c r="C369" t="s">
        <v>4114</v>
      </c>
      <c r="D369" t="s">
        <v>2002</v>
      </c>
      <c r="E369" t="s">
        <v>4017</v>
      </c>
      <c r="F369" s="1">
        <v>46237</v>
      </c>
      <c r="G369" s="1">
        <v>46238</v>
      </c>
      <c r="I369" t="s">
        <v>4006</v>
      </c>
    </row>
    <row r="370" spans="1:9" hidden="1" x14ac:dyDescent="0.25">
      <c r="A370" s="1">
        <v>46240</v>
      </c>
      <c r="B370">
        <v>1152436231</v>
      </c>
      <c r="C370" t="s">
        <v>131</v>
      </c>
      <c r="D370" t="s">
        <v>132</v>
      </c>
      <c r="E370" t="s">
        <v>4010</v>
      </c>
      <c r="F370" s="1">
        <v>46237</v>
      </c>
      <c r="G370" s="1">
        <v>46240</v>
      </c>
      <c r="H370" t="s">
        <v>162</v>
      </c>
      <c r="I370" t="s">
        <v>163</v>
      </c>
    </row>
    <row r="371" spans="1:9" hidden="1" x14ac:dyDescent="0.25">
      <c r="A371" s="1">
        <v>46240</v>
      </c>
      <c r="B371">
        <v>1143413583</v>
      </c>
      <c r="C371" t="s">
        <v>54</v>
      </c>
      <c r="D371" t="s">
        <v>41</v>
      </c>
      <c r="E371" t="s">
        <v>4011</v>
      </c>
      <c r="F371" s="1">
        <v>46236</v>
      </c>
      <c r="G371" s="1">
        <v>46239</v>
      </c>
      <c r="I371" t="s">
        <v>4006</v>
      </c>
    </row>
    <row r="372" spans="1:9" hidden="1" x14ac:dyDescent="0.25">
      <c r="A372" s="1">
        <v>46240</v>
      </c>
      <c r="B372">
        <v>1102808787</v>
      </c>
      <c r="C372" t="s">
        <v>265</v>
      </c>
      <c r="D372" t="s">
        <v>51</v>
      </c>
      <c r="E372" t="s">
        <v>4011</v>
      </c>
      <c r="F372" s="1">
        <v>46237</v>
      </c>
      <c r="G372" s="1">
        <v>46256</v>
      </c>
      <c r="I372" t="s">
        <v>261</v>
      </c>
    </row>
    <row r="373" spans="1:9" hidden="1" x14ac:dyDescent="0.25">
      <c r="A373" s="1">
        <v>46240</v>
      </c>
      <c r="B373">
        <v>1020486493</v>
      </c>
      <c r="C373" t="s">
        <v>4074</v>
      </c>
      <c r="D373" t="s">
        <v>326</v>
      </c>
      <c r="E373" t="s">
        <v>4005</v>
      </c>
      <c r="F373" s="1">
        <v>46237</v>
      </c>
      <c r="G373" s="1">
        <v>46239</v>
      </c>
      <c r="I373" t="s">
        <v>4006</v>
      </c>
    </row>
    <row r="374" spans="1:9" hidden="1" x14ac:dyDescent="0.25">
      <c r="A374" s="1">
        <v>46240</v>
      </c>
      <c r="B374">
        <v>1140851921</v>
      </c>
      <c r="C374" t="s">
        <v>4023</v>
      </c>
      <c r="D374" t="s">
        <v>326</v>
      </c>
      <c r="E374" t="s">
        <v>4005</v>
      </c>
      <c r="F374" s="1">
        <v>46237</v>
      </c>
      <c r="G374" s="1">
        <v>46239</v>
      </c>
      <c r="I374" t="s">
        <v>4006</v>
      </c>
    </row>
    <row r="375" spans="1:9" hidden="1" x14ac:dyDescent="0.25">
      <c r="A375" s="1">
        <v>46240</v>
      </c>
      <c r="B375">
        <v>1001005240</v>
      </c>
      <c r="C375" t="s">
        <v>152</v>
      </c>
      <c r="D375" t="s">
        <v>153</v>
      </c>
      <c r="E375" t="s">
        <v>4010</v>
      </c>
      <c r="F375" s="1">
        <v>46234</v>
      </c>
      <c r="G375" s="1">
        <v>46240</v>
      </c>
      <c r="H375" t="s">
        <v>171</v>
      </c>
      <c r="I375" t="s">
        <v>172</v>
      </c>
    </row>
    <row r="376" spans="1:9" hidden="1" x14ac:dyDescent="0.25">
      <c r="A376" s="1">
        <v>46240</v>
      </c>
      <c r="B376">
        <v>1001940238</v>
      </c>
      <c r="C376" t="s">
        <v>4021</v>
      </c>
      <c r="D376" t="s">
        <v>57</v>
      </c>
      <c r="E376" t="s">
        <v>4010</v>
      </c>
      <c r="F376" s="1">
        <v>46237</v>
      </c>
      <c r="G376" s="1">
        <v>46239</v>
      </c>
      <c r="I376" t="s">
        <v>4006</v>
      </c>
    </row>
    <row r="377" spans="1:9" hidden="1" x14ac:dyDescent="0.25">
      <c r="A377" s="1">
        <v>46240</v>
      </c>
      <c r="B377">
        <v>1047505786</v>
      </c>
      <c r="C377" t="s">
        <v>110</v>
      </c>
      <c r="D377" t="s">
        <v>15</v>
      </c>
      <c r="E377" t="s">
        <v>4012</v>
      </c>
      <c r="F377" s="1">
        <v>46229</v>
      </c>
      <c r="G377" s="1">
        <v>46243</v>
      </c>
      <c r="I377" t="s">
        <v>261</v>
      </c>
    </row>
    <row r="378" spans="1:9" hidden="1" x14ac:dyDescent="0.25">
      <c r="A378" s="1">
        <v>46240</v>
      </c>
      <c r="B378">
        <v>1140905046</v>
      </c>
      <c r="C378" t="s">
        <v>4014</v>
      </c>
      <c r="D378" t="s">
        <v>410</v>
      </c>
      <c r="E378" t="s">
        <v>4005</v>
      </c>
      <c r="F378" s="1">
        <v>46235</v>
      </c>
      <c r="G378" s="1">
        <v>46238</v>
      </c>
      <c r="I378" t="s">
        <v>4006</v>
      </c>
    </row>
    <row r="379" spans="1:9" hidden="1" x14ac:dyDescent="0.25">
      <c r="A379" s="1">
        <v>46240</v>
      </c>
      <c r="B379">
        <v>21852680</v>
      </c>
      <c r="C379" t="s">
        <v>4018</v>
      </c>
      <c r="D379" t="s">
        <v>410</v>
      </c>
      <c r="E379" t="s">
        <v>4005</v>
      </c>
      <c r="F379" s="1">
        <v>46235</v>
      </c>
      <c r="G379" s="1">
        <v>46238</v>
      </c>
      <c r="I379" t="s">
        <v>4006</v>
      </c>
    </row>
    <row r="380" spans="1:9" hidden="1" x14ac:dyDescent="0.25">
      <c r="A380" s="1">
        <v>46240</v>
      </c>
      <c r="B380">
        <v>1152221372</v>
      </c>
      <c r="C380" t="s">
        <v>4038</v>
      </c>
      <c r="D380" t="s">
        <v>128</v>
      </c>
      <c r="E380" t="s">
        <v>4005</v>
      </c>
      <c r="F380" s="1">
        <v>46230</v>
      </c>
      <c r="H380" t="s">
        <v>1435</v>
      </c>
      <c r="I380" t="s">
        <v>1436</v>
      </c>
    </row>
    <row r="381" spans="1:9" hidden="1" x14ac:dyDescent="0.25">
      <c r="A381" s="1">
        <v>46240</v>
      </c>
      <c r="B381">
        <v>1152699151</v>
      </c>
      <c r="C381" t="s">
        <v>944</v>
      </c>
      <c r="D381" t="s">
        <v>4093</v>
      </c>
      <c r="E381" t="s">
        <v>4011</v>
      </c>
      <c r="F381" s="1">
        <v>46238</v>
      </c>
      <c r="G381" s="1">
        <v>46240</v>
      </c>
      <c r="H381" t="s">
        <v>3621</v>
      </c>
      <c r="I381" t="s">
        <v>3622</v>
      </c>
    </row>
    <row r="382" spans="1:9" hidden="1" x14ac:dyDescent="0.25">
      <c r="A382" s="1">
        <v>46240</v>
      </c>
      <c r="B382">
        <v>1083001678</v>
      </c>
      <c r="C382" t="s">
        <v>522</v>
      </c>
      <c r="D382" t="s">
        <v>128</v>
      </c>
      <c r="E382" t="s">
        <v>4005</v>
      </c>
      <c r="F382" s="1">
        <v>46239</v>
      </c>
      <c r="G382" s="1">
        <v>46239</v>
      </c>
      <c r="I382" t="s">
        <v>4006</v>
      </c>
    </row>
    <row r="383" spans="1:9" hidden="1" x14ac:dyDescent="0.25">
      <c r="A383" s="1">
        <v>46240</v>
      </c>
      <c r="B383">
        <v>1020475954</v>
      </c>
      <c r="C383" t="s">
        <v>3901</v>
      </c>
      <c r="D383" t="s">
        <v>29</v>
      </c>
      <c r="E383" t="s">
        <v>4005</v>
      </c>
      <c r="F383" s="1">
        <v>46238</v>
      </c>
      <c r="G383" s="1">
        <v>46240</v>
      </c>
      <c r="H383" t="s">
        <v>244</v>
      </c>
      <c r="I383" t="s">
        <v>245</v>
      </c>
    </row>
    <row r="384" spans="1:9" hidden="1" x14ac:dyDescent="0.25">
      <c r="A384" s="1">
        <v>46240</v>
      </c>
      <c r="B384">
        <v>1037659560</v>
      </c>
      <c r="C384" t="s">
        <v>166</v>
      </c>
      <c r="D384" t="s">
        <v>41</v>
      </c>
      <c r="E384" t="s">
        <v>4011</v>
      </c>
      <c r="F384" s="1">
        <v>46235</v>
      </c>
      <c r="G384" s="1">
        <v>46240</v>
      </c>
      <c r="H384" t="s">
        <v>167</v>
      </c>
      <c r="I384" t="s">
        <v>168</v>
      </c>
    </row>
    <row r="385" spans="1:9" hidden="1" x14ac:dyDescent="0.25">
      <c r="A385" s="1">
        <v>46240</v>
      </c>
      <c r="B385">
        <v>1143375080</v>
      </c>
      <c r="C385" t="s">
        <v>4025</v>
      </c>
      <c r="D385" t="s">
        <v>153</v>
      </c>
      <c r="E385" t="s">
        <v>4010</v>
      </c>
      <c r="F385" s="1">
        <v>46232</v>
      </c>
      <c r="G385" s="1">
        <v>46239</v>
      </c>
      <c r="I385" t="s">
        <v>4006</v>
      </c>
    </row>
    <row r="386" spans="1:9" hidden="1" x14ac:dyDescent="0.25">
      <c r="A386" s="1">
        <v>46240</v>
      </c>
      <c r="B386">
        <v>1017264032</v>
      </c>
      <c r="C386" t="s">
        <v>105</v>
      </c>
      <c r="D386" t="s">
        <v>64</v>
      </c>
      <c r="E386" t="s">
        <v>4012</v>
      </c>
      <c r="F386" s="1">
        <v>46229</v>
      </c>
      <c r="G386" s="1">
        <v>46258</v>
      </c>
      <c r="H386" t="s">
        <v>106</v>
      </c>
      <c r="I386" t="s">
        <v>107</v>
      </c>
    </row>
    <row r="387" spans="1:9" hidden="1" x14ac:dyDescent="0.25">
      <c r="A387" s="1">
        <v>46240</v>
      </c>
      <c r="B387">
        <v>1036132488</v>
      </c>
      <c r="C387" t="s">
        <v>141</v>
      </c>
      <c r="D387" t="s">
        <v>142</v>
      </c>
      <c r="E387" t="s">
        <v>4012</v>
      </c>
      <c r="F387" s="1">
        <v>46227</v>
      </c>
      <c r="G387" s="1">
        <v>46246</v>
      </c>
      <c r="H387" t="s">
        <v>147</v>
      </c>
      <c r="I387" t="s">
        <v>148</v>
      </c>
    </row>
    <row r="388" spans="1:9" hidden="1" x14ac:dyDescent="0.25">
      <c r="A388" s="1">
        <v>46240</v>
      </c>
      <c r="B388">
        <v>1045718883</v>
      </c>
      <c r="C388" t="s">
        <v>47</v>
      </c>
      <c r="D388" t="s">
        <v>34</v>
      </c>
      <c r="E388" t="s">
        <v>4011</v>
      </c>
      <c r="F388" s="1">
        <v>46224</v>
      </c>
      <c r="G388" s="1">
        <v>46239</v>
      </c>
      <c r="I388" t="s">
        <v>4006</v>
      </c>
    </row>
    <row r="389" spans="1:9" hidden="1" x14ac:dyDescent="0.25">
      <c r="A389" s="1">
        <v>46240</v>
      </c>
      <c r="B389">
        <v>72011169</v>
      </c>
      <c r="C389" t="s">
        <v>175</v>
      </c>
      <c r="D389" t="s">
        <v>64</v>
      </c>
      <c r="E389" t="s">
        <v>4012</v>
      </c>
      <c r="F389" s="1">
        <v>46225</v>
      </c>
      <c r="G389" s="1">
        <v>46239</v>
      </c>
      <c r="I389" t="s">
        <v>4006</v>
      </c>
    </row>
    <row r="390" spans="1:9" hidden="1" x14ac:dyDescent="0.25">
      <c r="A390" s="1">
        <v>46240</v>
      </c>
      <c r="B390">
        <v>43558465</v>
      </c>
      <c r="C390" t="s">
        <v>103</v>
      </c>
      <c r="D390" t="s">
        <v>64</v>
      </c>
      <c r="E390" t="s">
        <v>4012</v>
      </c>
      <c r="F390" s="1">
        <v>46226</v>
      </c>
      <c r="G390" s="1">
        <v>46246</v>
      </c>
      <c r="H390" t="s">
        <v>198</v>
      </c>
      <c r="I390" t="s">
        <v>199</v>
      </c>
    </row>
    <row r="391" spans="1:9" hidden="1" x14ac:dyDescent="0.25">
      <c r="A391" s="1">
        <v>46240</v>
      </c>
      <c r="B391">
        <v>1037631989</v>
      </c>
      <c r="C391" t="s">
        <v>40</v>
      </c>
      <c r="D391" t="s">
        <v>41</v>
      </c>
      <c r="E391" t="s">
        <v>4011</v>
      </c>
      <c r="F391" s="1">
        <v>46226</v>
      </c>
      <c r="G391" s="1">
        <v>46255</v>
      </c>
      <c r="H391" t="s">
        <v>35</v>
      </c>
      <c r="I391" t="s">
        <v>36</v>
      </c>
    </row>
    <row r="392" spans="1:9" hidden="1" x14ac:dyDescent="0.25">
      <c r="A392" s="1">
        <v>46240</v>
      </c>
      <c r="B392">
        <v>1043006106</v>
      </c>
      <c r="C392" t="s">
        <v>159</v>
      </c>
      <c r="D392" t="s">
        <v>160</v>
      </c>
      <c r="E392" t="s">
        <v>4011</v>
      </c>
      <c r="F392" s="1">
        <v>46219</v>
      </c>
      <c r="G392" s="1">
        <v>46248</v>
      </c>
      <c r="H392" t="s">
        <v>154</v>
      </c>
      <c r="I392" t="s">
        <v>155</v>
      </c>
    </row>
    <row r="393" spans="1:9" hidden="1" x14ac:dyDescent="0.25">
      <c r="A393" s="1">
        <v>46240</v>
      </c>
      <c r="B393">
        <v>1037638426</v>
      </c>
      <c r="C393" t="s">
        <v>72</v>
      </c>
      <c r="D393" t="s">
        <v>41</v>
      </c>
      <c r="E393" t="s">
        <v>4011</v>
      </c>
      <c r="F393" s="1">
        <v>46230</v>
      </c>
      <c r="G393" s="1">
        <v>46262</v>
      </c>
      <c r="H393" t="s">
        <v>191</v>
      </c>
      <c r="I393" t="s">
        <v>192</v>
      </c>
    </row>
    <row r="394" spans="1:9" hidden="1" x14ac:dyDescent="0.25">
      <c r="A394" s="1">
        <v>46240</v>
      </c>
      <c r="B394">
        <v>1018466443</v>
      </c>
      <c r="C394" t="s">
        <v>4109</v>
      </c>
      <c r="D394" t="s">
        <v>410</v>
      </c>
      <c r="E394" t="s">
        <v>4005</v>
      </c>
      <c r="F394" s="1">
        <v>46239</v>
      </c>
      <c r="G394" s="1">
        <v>46244</v>
      </c>
      <c r="H394" t="s">
        <v>144</v>
      </c>
      <c r="I394" t="s">
        <v>145</v>
      </c>
    </row>
    <row r="395" spans="1:9" hidden="1" x14ac:dyDescent="0.25">
      <c r="A395" s="1">
        <v>46240</v>
      </c>
      <c r="B395">
        <v>1121506548</v>
      </c>
      <c r="C395" t="s">
        <v>50</v>
      </c>
      <c r="D395" t="s">
        <v>51</v>
      </c>
      <c r="E395" t="s">
        <v>4011</v>
      </c>
      <c r="F395" s="1">
        <v>46217</v>
      </c>
      <c r="G395" s="1">
        <v>46342</v>
      </c>
      <c r="H395" t="s">
        <v>240</v>
      </c>
      <c r="I395" t="s">
        <v>241</v>
      </c>
    </row>
    <row r="396" spans="1:9" hidden="1" x14ac:dyDescent="0.25">
      <c r="A396" s="1">
        <v>46240</v>
      </c>
      <c r="B396">
        <v>1143460426</v>
      </c>
      <c r="C396" t="s">
        <v>4034</v>
      </c>
      <c r="D396" t="s">
        <v>160</v>
      </c>
      <c r="E396" t="s">
        <v>4011</v>
      </c>
      <c r="F396" s="1">
        <v>46195</v>
      </c>
      <c r="G396" s="1">
        <v>46198</v>
      </c>
      <c r="H396" t="s">
        <v>225</v>
      </c>
      <c r="I396" t="s">
        <v>226</v>
      </c>
    </row>
    <row r="397" spans="1:9" hidden="1" x14ac:dyDescent="0.25">
      <c r="A397" s="1">
        <v>46240</v>
      </c>
      <c r="B397">
        <v>1017267628</v>
      </c>
      <c r="C397" t="s">
        <v>3242</v>
      </c>
      <c r="D397" t="s">
        <v>326</v>
      </c>
      <c r="E397" t="s">
        <v>4005</v>
      </c>
      <c r="F397" s="1">
        <v>46237</v>
      </c>
      <c r="G397" s="1">
        <v>46243</v>
      </c>
      <c r="H397" t="s">
        <v>203</v>
      </c>
      <c r="I397" t="s">
        <v>204</v>
      </c>
    </row>
    <row r="398" spans="1:9" hidden="1" x14ac:dyDescent="0.25">
      <c r="A398" s="1">
        <v>46240</v>
      </c>
      <c r="B398">
        <v>1005569691</v>
      </c>
      <c r="C398" t="s">
        <v>3613</v>
      </c>
      <c r="D398" t="s">
        <v>326</v>
      </c>
      <c r="E398" t="s">
        <v>4005</v>
      </c>
      <c r="F398" s="1">
        <v>46239</v>
      </c>
      <c r="G398" s="1">
        <v>46240</v>
      </c>
      <c r="H398" t="s">
        <v>237</v>
      </c>
      <c r="I398" t="s">
        <v>238</v>
      </c>
    </row>
    <row r="399" spans="1:9" hidden="1" x14ac:dyDescent="0.25">
      <c r="A399" s="1">
        <v>46240</v>
      </c>
      <c r="B399">
        <v>1000099010</v>
      </c>
      <c r="C399" t="s">
        <v>579</v>
      </c>
      <c r="D399" t="s">
        <v>128</v>
      </c>
      <c r="E399" t="s">
        <v>4005</v>
      </c>
      <c r="F399" s="1">
        <v>46237</v>
      </c>
      <c r="G399" s="1">
        <v>46239</v>
      </c>
      <c r="I399" t="s">
        <v>4006</v>
      </c>
    </row>
    <row r="400" spans="1:9" hidden="1" x14ac:dyDescent="0.25">
      <c r="A400" s="1">
        <v>46240</v>
      </c>
      <c r="B400">
        <v>1098777544</v>
      </c>
      <c r="C400" t="s">
        <v>81</v>
      </c>
      <c r="D400" t="s">
        <v>82</v>
      </c>
      <c r="E400" t="s">
        <v>4005</v>
      </c>
      <c r="F400" s="1">
        <v>46217</v>
      </c>
      <c r="G400" s="1">
        <v>46246</v>
      </c>
      <c r="H400" t="s">
        <v>206</v>
      </c>
      <c r="I400" t="s">
        <v>207</v>
      </c>
    </row>
    <row r="401" spans="1:9" hidden="1" x14ac:dyDescent="0.25">
      <c r="A401" s="1">
        <v>46240</v>
      </c>
      <c r="B401">
        <v>1037669752</v>
      </c>
      <c r="C401" t="s">
        <v>3550</v>
      </c>
      <c r="D401" t="s">
        <v>132</v>
      </c>
      <c r="E401" t="s">
        <v>4010</v>
      </c>
      <c r="F401" s="1">
        <v>46239</v>
      </c>
      <c r="G401" s="1">
        <v>46239</v>
      </c>
      <c r="I401" t="s">
        <v>4006</v>
      </c>
    </row>
    <row r="402" spans="1:9" hidden="1" x14ac:dyDescent="0.25">
      <c r="A402" s="1">
        <v>46240</v>
      </c>
      <c r="B402">
        <v>1037634709</v>
      </c>
      <c r="C402" t="s">
        <v>4009</v>
      </c>
      <c r="D402" t="s">
        <v>420</v>
      </c>
      <c r="E402" t="s">
        <v>4010</v>
      </c>
      <c r="F402" s="1">
        <v>46238</v>
      </c>
      <c r="G402" s="1">
        <v>46240</v>
      </c>
      <c r="H402" t="s">
        <v>73</v>
      </c>
      <c r="I402" t="s">
        <v>74</v>
      </c>
    </row>
    <row r="403" spans="1:9" hidden="1" x14ac:dyDescent="0.25">
      <c r="A403" s="1">
        <v>46240</v>
      </c>
      <c r="B403">
        <v>1001851670</v>
      </c>
      <c r="C403" t="s">
        <v>14</v>
      </c>
      <c r="D403" t="s">
        <v>15</v>
      </c>
      <c r="E403" t="s">
        <v>4012</v>
      </c>
      <c r="F403" s="1">
        <v>46237</v>
      </c>
      <c r="G403" s="1">
        <v>46366</v>
      </c>
      <c r="H403" t="s">
        <v>219</v>
      </c>
      <c r="I403" t="s">
        <v>220</v>
      </c>
    </row>
    <row r="404" spans="1:9" hidden="1" x14ac:dyDescent="0.25">
      <c r="A404" s="1">
        <v>46240</v>
      </c>
      <c r="B404">
        <v>1000083810</v>
      </c>
      <c r="C404" t="s">
        <v>1123</v>
      </c>
      <c r="D404" t="s">
        <v>142</v>
      </c>
      <c r="E404" t="s">
        <v>4012</v>
      </c>
      <c r="F404" s="1">
        <v>46237</v>
      </c>
      <c r="G404" s="1">
        <v>46239</v>
      </c>
      <c r="I404" t="s">
        <v>4006</v>
      </c>
    </row>
    <row r="405" spans="1:9" hidden="1" x14ac:dyDescent="0.25">
      <c r="A405" s="1">
        <v>46240</v>
      </c>
      <c r="B405">
        <v>1124076705</v>
      </c>
      <c r="C405" t="s">
        <v>730</v>
      </c>
      <c r="D405" t="s">
        <v>64</v>
      </c>
      <c r="E405" t="s">
        <v>4012</v>
      </c>
      <c r="F405" s="1">
        <v>46237</v>
      </c>
      <c r="G405" s="1">
        <v>46239</v>
      </c>
      <c r="I405" t="s">
        <v>4006</v>
      </c>
    </row>
    <row r="406" spans="1:9" hidden="1" x14ac:dyDescent="0.25">
      <c r="A406" s="1">
        <v>46240</v>
      </c>
      <c r="B406">
        <v>1143374438</v>
      </c>
      <c r="C406" t="s">
        <v>85</v>
      </c>
      <c r="D406" t="s">
        <v>41</v>
      </c>
      <c r="E406" t="s">
        <v>4011</v>
      </c>
      <c r="F406" s="1">
        <v>46239</v>
      </c>
      <c r="G406" s="1">
        <v>46268</v>
      </c>
      <c r="I406" t="s">
        <v>4022</v>
      </c>
    </row>
    <row r="407" spans="1:9" hidden="1" x14ac:dyDescent="0.25">
      <c r="A407" s="1">
        <v>46240</v>
      </c>
      <c r="B407" t="s">
        <v>185</v>
      </c>
      <c r="C407" t="s">
        <v>186</v>
      </c>
      <c r="D407" t="s">
        <v>4045</v>
      </c>
      <c r="E407" t="s">
        <v>4011</v>
      </c>
      <c r="F407" s="1">
        <v>46240</v>
      </c>
      <c r="G407" s="1">
        <v>46240</v>
      </c>
      <c r="H407" t="s">
        <v>185</v>
      </c>
      <c r="I407" t="s">
        <v>186</v>
      </c>
    </row>
    <row r="408" spans="1:9" hidden="1" x14ac:dyDescent="0.25">
      <c r="A408" s="1">
        <v>46240</v>
      </c>
      <c r="B408">
        <v>1192923605</v>
      </c>
      <c r="C408" t="s">
        <v>315</v>
      </c>
      <c r="D408" t="s">
        <v>211</v>
      </c>
      <c r="E408" t="s">
        <v>4017</v>
      </c>
      <c r="F408" s="1">
        <v>46239</v>
      </c>
      <c r="G408" s="1">
        <v>46240</v>
      </c>
      <c r="H408" t="s">
        <v>212</v>
      </c>
      <c r="I408" t="s">
        <v>213</v>
      </c>
    </row>
    <row r="409" spans="1:9" hidden="1" x14ac:dyDescent="0.25">
      <c r="A409" s="1">
        <v>46240</v>
      </c>
      <c r="B409">
        <v>1036670630</v>
      </c>
      <c r="C409" t="s">
        <v>1093</v>
      </c>
      <c r="D409" t="s">
        <v>15</v>
      </c>
      <c r="E409" t="s">
        <v>4012</v>
      </c>
      <c r="F409" s="1">
        <v>46240</v>
      </c>
      <c r="G409" s="1">
        <v>46240</v>
      </c>
      <c r="H409" t="s">
        <v>188</v>
      </c>
      <c r="I409" t="s">
        <v>189</v>
      </c>
    </row>
    <row r="410" spans="1:9" hidden="1" x14ac:dyDescent="0.25">
      <c r="A410" s="1">
        <v>46240</v>
      </c>
      <c r="B410">
        <v>1001947708</v>
      </c>
      <c r="C410" t="s">
        <v>1386</v>
      </c>
      <c r="D410" t="s">
        <v>78</v>
      </c>
      <c r="E410" t="s">
        <v>4010</v>
      </c>
      <c r="F410" s="1">
        <v>46240</v>
      </c>
      <c r="G410" s="1">
        <v>46240</v>
      </c>
      <c r="H410" t="s">
        <v>1318</v>
      </c>
      <c r="I410" t="s">
        <v>1319</v>
      </c>
    </row>
    <row r="411" spans="1:9" hidden="1" x14ac:dyDescent="0.25">
      <c r="A411" s="1">
        <v>46240</v>
      </c>
      <c r="B411">
        <v>1026156098</v>
      </c>
      <c r="C411" t="s">
        <v>3518</v>
      </c>
      <c r="D411" t="s">
        <v>34</v>
      </c>
      <c r="E411" t="s">
        <v>4011</v>
      </c>
      <c r="F411" s="1">
        <v>46239</v>
      </c>
      <c r="G411" s="1">
        <v>46240</v>
      </c>
      <c r="H411" t="s">
        <v>98</v>
      </c>
      <c r="I411" t="s">
        <v>99</v>
      </c>
    </row>
    <row r="412" spans="1:9" hidden="1" x14ac:dyDescent="0.25">
      <c r="A412" s="1">
        <v>46240</v>
      </c>
      <c r="B412" t="s">
        <v>4116</v>
      </c>
      <c r="C412" t="s">
        <v>4105</v>
      </c>
      <c r="D412" t="s">
        <v>553</v>
      </c>
      <c r="E412" t="s">
        <v>4010</v>
      </c>
      <c r="F412" s="1">
        <v>46240</v>
      </c>
      <c r="I412" t="s">
        <v>4117</v>
      </c>
    </row>
    <row r="413" spans="1:9" hidden="1" x14ac:dyDescent="0.25">
      <c r="A413" s="1">
        <v>46240</v>
      </c>
      <c r="B413">
        <v>1065850707</v>
      </c>
      <c r="C413" t="s">
        <v>2698</v>
      </c>
      <c r="D413" t="s">
        <v>121</v>
      </c>
      <c r="E413" t="s">
        <v>4010</v>
      </c>
      <c r="F413" s="1">
        <v>46239</v>
      </c>
      <c r="G413" s="1">
        <v>46240</v>
      </c>
      <c r="I413" t="s">
        <v>4022</v>
      </c>
    </row>
    <row r="414" spans="1:9" hidden="1" x14ac:dyDescent="0.25">
      <c r="A414" s="1">
        <v>46240</v>
      </c>
      <c r="B414">
        <v>1128458157</v>
      </c>
      <c r="C414" t="s">
        <v>2739</v>
      </c>
      <c r="D414" t="s">
        <v>326</v>
      </c>
      <c r="E414" t="s">
        <v>4005</v>
      </c>
      <c r="F414" s="1">
        <v>46239</v>
      </c>
      <c r="G414" s="1">
        <v>46240</v>
      </c>
      <c r="I414" t="s">
        <v>261</v>
      </c>
    </row>
    <row r="415" spans="1:9" hidden="1" x14ac:dyDescent="0.25">
      <c r="A415" s="1">
        <v>46240</v>
      </c>
      <c r="B415">
        <v>1037630337</v>
      </c>
      <c r="C415" t="s">
        <v>1468</v>
      </c>
      <c r="D415" t="s">
        <v>15</v>
      </c>
      <c r="E415" t="s">
        <v>4012</v>
      </c>
      <c r="F415" s="1">
        <v>46240</v>
      </c>
      <c r="G415" s="1">
        <v>46240</v>
      </c>
      <c r="H415" t="s">
        <v>178</v>
      </c>
      <c r="I415" t="s">
        <v>179</v>
      </c>
    </row>
    <row r="416" spans="1:9" hidden="1" x14ac:dyDescent="0.25">
      <c r="A416" s="1">
        <v>46240</v>
      </c>
      <c r="B416">
        <v>1067963513</v>
      </c>
      <c r="C416" t="s">
        <v>28</v>
      </c>
      <c r="D416" t="s">
        <v>29</v>
      </c>
      <c r="E416" t="s">
        <v>4005</v>
      </c>
      <c r="F416" s="1">
        <v>46240</v>
      </c>
      <c r="G416" s="1">
        <v>46265</v>
      </c>
      <c r="H416" t="s">
        <v>247</v>
      </c>
      <c r="I416" t="s">
        <v>248</v>
      </c>
    </row>
    <row r="417" spans="1:9" hidden="1" x14ac:dyDescent="0.25">
      <c r="A417" s="1">
        <v>46240</v>
      </c>
      <c r="B417">
        <v>1045718883</v>
      </c>
      <c r="C417" t="s">
        <v>47</v>
      </c>
      <c r="D417" t="s">
        <v>34</v>
      </c>
      <c r="E417" t="s">
        <v>4011</v>
      </c>
      <c r="F417" s="1">
        <v>46239</v>
      </c>
      <c r="G417" s="1">
        <v>46249</v>
      </c>
      <c r="I417" t="s">
        <v>4022</v>
      </c>
    </row>
    <row r="418" spans="1:9" hidden="1" x14ac:dyDescent="0.25">
      <c r="A418" s="1">
        <v>46240</v>
      </c>
      <c r="B418">
        <v>1010135017</v>
      </c>
      <c r="C418" t="s">
        <v>1245</v>
      </c>
      <c r="D418" t="s">
        <v>326</v>
      </c>
      <c r="E418" t="s">
        <v>4005</v>
      </c>
      <c r="F418" s="1">
        <v>46239</v>
      </c>
      <c r="I418" t="s">
        <v>4022</v>
      </c>
    </row>
    <row r="419" spans="1:9" hidden="1" x14ac:dyDescent="0.25">
      <c r="A419" s="1">
        <v>46240</v>
      </c>
      <c r="B419">
        <v>1072648283</v>
      </c>
      <c r="C419" t="s">
        <v>739</v>
      </c>
      <c r="D419" t="s">
        <v>211</v>
      </c>
      <c r="E419" t="s">
        <v>4017</v>
      </c>
      <c r="F419" s="1">
        <v>46240</v>
      </c>
      <c r="G419" s="1">
        <v>46240</v>
      </c>
      <c r="I419" t="s">
        <v>4059</v>
      </c>
    </row>
    <row r="420" spans="1:9" hidden="1" x14ac:dyDescent="0.25">
      <c r="A420" s="1">
        <v>46240</v>
      </c>
      <c r="B420">
        <v>1001853191</v>
      </c>
      <c r="C420" t="s">
        <v>3198</v>
      </c>
      <c r="D420" t="s">
        <v>34</v>
      </c>
      <c r="E420" t="s">
        <v>4011</v>
      </c>
      <c r="F420" s="1">
        <v>46240</v>
      </c>
      <c r="G420" s="1">
        <v>46242</v>
      </c>
      <c r="I420" t="s">
        <v>4022</v>
      </c>
    </row>
    <row r="421" spans="1:9" hidden="1" x14ac:dyDescent="0.25">
      <c r="A421" s="1">
        <v>46240</v>
      </c>
      <c r="B421">
        <v>1006490561</v>
      </c>
      <c r="C421" t="s">
        <v>4118</v>
      </c>
      <c r="D421" t="s">
        <v>410</v>
      </c>
      <c r="E421" t="s">
        <v>4005</v>
      </c>
      <c r="F421" s="1">
        <v>46240</v>
      </c>
      <c r="G421" s="1">
        <v>46242</v>
      </c>
      <c r="I421" t="s">
        <v>4022</v>
      </c>
    </row>
    <row r="422" spans="1:9" hidden="1" x14ac:dyDescent="0.25">
      <c r="A422" s="1">
        <v>46240</v>
      </c>
      <c r="B422">
        <v>1083048455</v>
      </c>
      <c r="C422" t="s">
        <v>2742</v>
      </c>
      <c r="D422" t="s">
        <v>326</v>
      </c>
      <c r="E422" t="s">
        <v>4005</v>
      </c>
      <c r="F422" s="1">
        <v>46240</v>
      </c>
      <c r="G422" s="1">
        <v>46240</v>
      </c>
      <c r="I422" t="s">
        <v>4022</v>
      </c>
    </row>
    <row r="423" spans="1:9" hidden="1" x14ac:dyDescent="0.25">
      <c r="A423" s="1">
        <v>46240</v>
      </c>
      <c r="B423">
        <v>1042422897</v>
      </c>
      <c r="C423" t="s">
        <v>4069</v>
      </c>
      <c r="D423" t="s">
        <v>326</v>
      </c>
      <c r="E423" t="s">
        <v>4005</v>
      </c>
      <c r="F423" s="1">
        <v>46240</v>
      </c>
      <c r="I423" t="s">
        <v>4022</v>
      </c>
    </row>
    <row r="424" spans="1:9" hidden="1" x14ac:dyDescent="0.25">
      <c r="A424" s="1">
        <v>46240</v>
      </c>
      <c r="B424">
        <v>1007959114</v>
      </c>
      <c r="C424" t="s">
        <v>4119</v>
      </c>
      <c r="D424" t="s">
        <v>51</v>
      </c>
      <c r="E424" t="s">
        <v>4011</v>
      </c>
      <c r="F424" s="1">
        <v>46240</v>
      </c>
      <c r="G424" s="1">
        <v>46240</v>
      </c>
      <c r="I424" t="s">
        <v>4022</v>
      </c>
    </row>
    <row r="425" spans="1:9" hidden="1" x14ac:dyDescent="0.25">
      <c r="A425" s="1">
        <v>46240</v>
      </c>
      <c r="B425">
        <v>1084253148</v>
      </c>
      <c r="C425" t="s">
        <v>1049</v>
      </c>
      <c r="D425" t="s">
        <v>211</v>
      </c>
      <c r="E425" t="s">
        <v>4017</v>
      </c>
      <c r="F425" s="1">
        <v>46240</v>
      </c>
      <c r="G425" s="1">
        <v>46240</v>
      </c>
      <c r="I425" t="s">
        <v>4022</v>
      </c>
    </row>
    <row r="426" spans="1:9" hidden="1" x14ac:dyDescent="0.25">
      <c r="A426" s="1">
        <v>46240</v>
      </c>
      <c r="B426">
        <v>45529043</v>
      </c>
      <c r="C426" t="s">
        <v>712</v>
      </c>
      <c r="D426" t="s">
        <v>322</v>
      </c>
      <c r="E426" t="s">
        <v>4017</v>
      </c>
      <c r="F426" s="1">
        <v>46240</v>
      </c>
      <c r="G426" s="1">
        <v>46240</v>
      </c>
      <c r="I426" t="s">
        <v>4120</v>
      </c>
    </row>
    <row r="427" spans="1:9" hidden="1" x14ac:dyDescent="0.25">
      <c r="A427" s="1">
        <v>46240</v>
      </c>
      <c r="B427">
        <v>1214717629</v>
      </c>
      <c r="C427" t="s">
        <v>3038</v>
      </c>
      <c r="D427" t="s">
        <v>410</v>
      </c>
      <c r="E427" t="s">
        <v>4005</v>
      </c>
      <c r="F427" s="1">
        <v>46240</v>
      </c>
      <c r="G427" s="1">
        <v>46240</v>
      </c>
      <c r="I427" t="s">
        <v>4022</v>
      </c>
    </row>
    <row r="428" spans="1:9" hidden="1" x14ac:dyDescent="0.25">
      <c r="A428" s="1">
        <v>46240</v>
      </c>
      <c r="B428">
        <v>1010039979</v>
      </c>
      <c r="C428" t="s">
        <v>3873</v>
      </c>
      <c r="D428" t="s">
        <v>78</v>
      </c>
      <c r="E428" t="s">
        <v>4010</v>
      </c>
      <c r="F428" s="1">
        <v>46240</v>
      </c>
      <c r="G428" s="1">
        <v>46240</v>
      </c>
      <c r="I428" t="s">
        <v>4022</v>
      </c>
    </row>
    <row r="429" spans="1:9" hidden="1" x14ac:dyDescent="0.25">
      <c r="A429" s="1">
        <v>46240</v>
      </c>
      <c r="B429">
        <v>1214743963</v>
      </c>
      <c r="C429" t="s">
        <v>1511</v>
      </c>
      <c r="D429" t="s">
        <v>326</v>
      </c>
      <c r="E429" t="s">
        <v>4005</v>
      </c>
      <c r="F429" s="1">
        <v>46240</v>
      </c>
      <c r="G429" s="1">
        <v>46240</v>
      </c>
      <c r="I429" t="s">
        <v>4022</v>
      </c>
    </row>
    <row r="430" spans="1:9" hidden="1" x14ac:dyDescent="0.25">
      <c r="A430" s="1">
        <v>46240</v>
      </c>
      <c r="B430">
        <v>1039462842</v>
      </c>
      <c r="C430" t="s">
        <v>431</v>
      </c>
      <c r="D430" t="s">
        <v>78</v>
      </c>
      <c r="E430" t="s">
        <v>4010</v>
      </c>
      <c r="F430" s="1">
        <v>46240</v>
      </c>
      <c r="G430" s="1">
        <v>46240</v>
      </c>
      <c r="I430" t="s">
        <v>4022</v>
      </c>
    </row>
    <row r="431" spans="1:9" hidden="1" x14ac:dyDescent="0.25">
      <c r="A431" s="1">
        <v>46242</v>
      </c>
      <c r="B431">
        <v>1007959114</v>
      </c>
      <c r="C431" t="s">
        <v>4122</v>
      </c>
      <c r="D431" t="s">
        <v>51</v>
      </c>
      <c r="E431" t="s">
        <v>4011</v>
      </c>
      <c r="F431" s="1">
        <v>46240</v>
      </c>
      <c r="G431" s="1">
        <v>46240</v>
      </c>
      <c r="I431" t="s">
        <v>4006</v>
      </c>
    </row>
    <row r="432" spans="1:9" hidden="1" x14ac:dyDescent="0.25">
      <c r="A432" s="1">
        <v>46242</v>
      </c>
      <c r="B432">
        <v>1083048455</v>
      </c>
      <c r="C432" t="s">
        <v>4123</v>
      </c>
      <c r="D432" t="s">
        <v>326</v>
      </c>
      <c r="E432" t="s">
        <v>4005</v>
      </c>
      <c r="F432" s="1">
        <v>46240</v>
      </c>
      <c r="G432" s="1">
        <v>46240</v>
      </c>
      <c r="I432" t="s">
        <v>4006</v>
      </c>
    </row>
    <row r="433" spans="1:9" hidden="1" x14ac:dyDescent="0.25">
      <c r="A433" s="1">
        <v>46242</v>
      </c>
      <c r="B433">
        <v>1193537336</v>
      </c>
      <c r="C433" t="s">
        <v>2087</v>
      </c>
      <c r="D433" t="s">
        <v>420</v>
      </c>
      <c r="E433" t="s">
        <v>4010</v>
      </c>
      <c r="F433" s="1">
        <v>46240</v>
      </c>
      <c r="G433" s="1">
        <v>46240</v>
      </c>
      <c r="I433" t="s">
        <v>4006</v>
      </c>
    </row>
    <row r="434" spans="1:9" hidden="1" x14ac:dyDescent="0.25">
      <c r="A434" s="1">
        <v>46242</v>
      </c>
      <c r="B434">
        <v>1006490561</v>
      </c>
      <c r="C434" t="s">
        <v>4118</v>
      </c>
      <c r="D434" t="s">
        <v>410</v>
      </c>
      <c r="E434" t="s">
        <v>4005</v>
      </c>
      <c r="F434" s="1">
        <v>46240</v>
      </c>
      <c r="G434" s="1">
        <v>46242</v>
      </c>
      <c r="H434" t="s">
        <v>247</v>
      </c>
      <c r="I434" t="s">
        <v>248</v>
      </c>
    </row>
    <row r="435" spans="1:9" hidden="1" x14ac:dyDescent="0.25">
      <c r="A435" s="1">
        <v>46242</v>
      </c>
      <c r="B435">
        <v>1001853191</v>
      </c>
      <c r="C435" t="s">
        <v>3198</v>
      </c>
      <c r="D435" t="s">
        <v>34</v>
      </c>
      <c r="E435" t="s">
        <v>4011</v>
      </c>
      <c r="F435" s="1">
        <v>46240</v>
      </c>
      <c r="G435" s="1">
        <v>46242</v>
      </c>
      <c r="H435" t="s">
        <v>17</v>
      </c>
      <c r="I435" t="s">
        <v>18</v>
      </c>
    </row>
    <row r="436" spans="1:9" hidden="1" x14ac:dyDescent="0.25">
      <c r="A436" s="1">
        <v>46242</v>
      </c>
      <c r="B436">
        <v>1127074377</v>
      </c>
      <c r="C436" t="s">
        <v>344</v>
      </c>
      <c r="D436" t="s">
        <v>343</v>
      </c>
      <c r="E436" t="s">
        <v>4012</v>
      </c>
      <c r="F436" s="1">
        <v>46242</v>
      </c>
      <c r="G436" s="1">
        <v>46242</v>
      </c>
      <c r="H436" t="s">
        <v>1318</v>
      </c>
      <c r="I436" t="s">
        <v>1319</v>
      </c>
    </row>
    <row r="437" spans="1:9" hidden="1" x14ac:dyDescent="0.25">
      <c r="A437" s="1">
        <v>46242</v>
      </c>
      <c r="B437">
        <v>1128458157</v>
      </c>
      <c r="C437" t="s">
        <v>2739</v>
      </c>
      <c r="D437" t="s">
        <v>326</v>
      </c>
      <c r="E437" t="s">
        <v>4005</v>
      </c>
      <c r="F437" s="1">
        <v>46239</v>
      </c>
      <c r="G437" s="1">
        <v>46240</v>
      </c>
      <c r="I437" t="s">
        <v>4006</v>
      </c>
    </row>
    <row r="438" spans="1:9" hidden="1" x14ac:dyDescent="0.25">
      <c r="A438" s="1">
        <v>46242</v>
      </c>
      <c r="B438">
        <v>1041901478</v>
      </c>
      <c r="C438" t="s">
        <v>327</v>
      </c>
      <c r="D438" t="s">
        <v>326</v>
      </c>
      <c r="E438" t="s">
        <v>4005</v>
      </c>
      <c r="F438" s="1">
        <v>46239</v>
      </c>
      <c r="G438" s="1">
        <v>46240</v>
      </c>
      <c r="I438" t="s">
        <v>4006</v>
      </c>
    </row>
    <row r="439" spans="1:9" hidden="1" x14ac:dyDescent="0.25">
      <c r="A439" s="1">
        <v>46242</v>
      </c>
      <c r="B439">
        <v>1037630337</v>
      </c>
      <c r="C439" t="s">
        <v>1468</v>
      </c>
      <c r="D439" t="s">
        <v>15</v>
      </c>
      <c r="E439" t="s">
        <v>4012</v>
      </c>
      <c r="F439" s="1">
        <v>46240</v>
      </c>
      <c r="G439" s="1">
        <v>46240</v>
      </c>
      <c r="I439" t="s">
        <v>4006</v>
      </c>
    </row>
    <row r="440" spans="1:9" hidden="1" x14ac:dyDescent="0.25">
      <c r="A440" s="1">
        <v>46242</v>
      </c>
      <c r="B440">
        <v>1036670630</v>
      </c>
      <c r="C440" t="s">
        <v>4124</v>
      </c>
      <c r="D440" t="s">
        <v>15</v>
      </c>
      <c r="E440" t="s">
        <v>4012</v>
      </c>
      <c r="F440" s="1">
        <v>46240</v>
      </c>
      <c r="G440" s="1">
        <v>46240</v>
      </c>
      <c r="I440" t="s">
        <v>4006</v>
      </c>
    </row>
    <row r="441" spans="1:9" hidden="1" x14ac:dyDescent="0.25">
      <c r="A441" s="1">
        <v>46242</v>
      </c>
      <c r="B441">
        <v>1005569691</v>
      </c>
      <c r="C441" t="s">
        <v>3613</v>
      </c>
      <c r="D441" t="s">
        <v>326</v>
      </c>
      <c r="E441" t="s">
        <v>4005</v>
      </c>
      <c r="F441" s="1">
        <v>46239</v>
      </c>
      <c r="G441" s="1">
        <v>46240</v>
      </c>
      <c r="I441" t="s">
        <v>4006</v>
      </c>
    </row>
    <row r="442" spans="1:9" hidden="1" x14ac:dyDescent="0.25">
      <c r="A442" s="1">
        <v>46242</v>
      </c>
      <c r="B442">
        <v>1065850707</v>
      </c>
      <c r="C442" t="s">
        <v>2698</v>
      </c>
      <c r="D442" t="s">
        <v>121</v>
      </c>
      <c r="E442" t="s">
        <v>4010</v>
      </c>
      <c r="F442" s="1">
        <v>46239</v>
      </c>
      <c r="G442" s="1">
        <v>46240</v>
      </c>
      <c r="I442" t="s">
        <v>4006</v>
      </c>
    </row>
    <row r="443" spans="1:9" hidden="1" x14ac:dyDescent="0.25">
      <c r="A443" s="1">
        <v>46242</v>
      </c>
      <c r="B443">
        <v>1192923605</v>
      </c>
      <c r="C443" t="s">
        <v>315</v>
      </c>
      <c r="D443" t="s">
        <v>211</v>
      </c>
      <c r="E443" t="s">
        <v>4017</v>
      </c>
      <c r="F443" s="1">
        <v>46239</v>
      </c>
      <c r="G443" s="1">
        <v>46240</v>
      </c>
      <c r="I443" t="s">
        <v>4006</v>
      </c>
    </row>
    <row r="444" spans="1:9" hidden="1" x14ac:dyDescent="0.25">
      <c r="A444" s="1">
        <v>46242</v>
      </c>
      <c r="B444">
        <v>1026156098</v>
      </c>
      <c r="C444" t="s">
        <v>3518</v>
      </c>
      <c r="D444" t="s">
        <v>34</v>
      </c>
      <c r="E444" t="s">
        <v>4011</v>
      </c>
      <c r="F444" s="1">
        <v>46239</v>
      </c>
      <c r="G444" s="1">
        <v>46240</v>
      </c>
      <c r="I444" t="s">
        <v>4006</v>
      </c>
    </row>
    <row r="445" spans="1:9" hidden="1" x14ac:dyDescent="0.25">
      <c r="A445" s="1">
        <v>46242</v>
      </c>
      <c r="B445">
        <v>1001901817</v>
      </c>
      <c r="C445" t="s">
        <v>4105</v>
      </c>
      <c r="D445" t="s">
        <v>553</v>
      </c>
      <c r="E445" t="s">
        <v>4010</v>
      </c>
      <c r="F445" s="1">
        <v>46240</v>
      </c>
      <c r="G445" s="1">
        <v>46240</v>
      </c>
      <c r="I445" t="s">
        <v>4006</v>
      </c>
    </row>
    <row r="446" spans="1:9" hidden="1" x14ac:dyDescent="0.25">
      <c r="A446" s="1">
        <v>46242</v>
      </c>
      <c r="B446">
        <v>1235045754</v>
      </c>
      <c r="C446" t="s">
        <v>2371</v>
      </c>
      <c r="D446" t="s">
        <v>343</v>
      </c>
      <c r="E446" t="s">
        <v>4012</v>
      </c>
      <c r="F446" s="1">
        <v>46238</v>
      </c>
      <c r="G446" s="1">
        <v>46240</v>
      </c>
      <c r="I446" t="s">
        <v>4006</v>
      </c>
    </row>
    <row r="447" spans="1:9" hidden="1" x14ac:dyDescent="0.25">
      <c r="A447" s="1">
        <v>46242</v>
      </c>
      <c r="B447">
        <v>1017270154</v>
      </c>
      <c r="C447" t="s">
        <v>4112</v>
      </c>
      <c r="D447" t="s">
        <v>343</v>
      </c>
      <c r="E447" t="s">
        <v>4012</v>
      </c>
      <c r="F447" s="1">
        <v>46239</v>
      </c>
      <c r="G447" s="1">
        <v>46240</v>
      </c>
      <c r="I447" t="s">
        <v>4006</v>
      </c>
    </row>
    <row r="448" spans="1:9" hidden="1" x14ac:dyDescent="0.25">
      <c r="A448" s="1">
        <v>46242</v>
      </c>
      <c r="B448">
        <v>1082896324</v>
      </c>
      <c r="C448" t="s">
        <v>77</v>
      </c>
      <c r="D448" t="s">
        <v>78</v>
      </c>
      <c r="E448" t="s">
        <v>4010</v>
      </c>
      <c r="F448" s="1">
        <v>46239</v>
      </c>
      <c r="G448" s="1">
        <v>46240</v>
      </c>
      <c r="I448" t="s">
        <v>4006</v>
      </c>
    </row>
    <row r="449" spans="1:9" hidden="1" x14ac:dyDescent="0.25">
      <c r="A449" s="1">
        <v>46242</v>
      </c>
      <c r="B449">
        <v>1143394119</v>
      </c>
      <c r="C449" t="s">
        <v>832</v>
      </c>
      <c r="D449" t="s">
        <v>142</v>
      </c>
      <c r="E449" t="s">
        <v>4012</v>
      </c>
      <c r="F449" s="1">
        <v>46239</v>
      </c>
      <c r="G449" s="1">
        <v>46239</v>
      </c>
      <c r="I449" t="s">
        <v>4006</v>
      </c>
    </row>
    <row r="450" spans="1:9" hidden="1" x14ac:dyDescent="0.25">
      <c r="A450" s="1">
        <v>46242</v>
      </c>
      <c r="B450">
        <v>1000439437</v>
      </c>
      <c r="C450" t="s">
        <v>376</v>
      </c>
      <c r="D450" t="s">
        <v>128</v>
      </c>
      <c r="E450" t="s">
        <v>4005</v>
      </c>
      <c r="F450" s="1">
        <v>46238</v>
      </c>
      <c r="G450" s="1">
        <v>46240</v>
      </c>
      <c r="I450" t="s">
        <v>4006</v>
      </c>
    </row>
    <row r="451" spans="1:9" hidden="1" x14ac:dyDescent="0.25">
      <c r="A451" s="1">
        <v>46242</v>
      </c>
      <c r="B451">
        <v>1140899272</v>
      </c>
      <c r="C451" t="s">
        <v>4100</v>
      </c>
      <c r="D451" t="s">
        <v>41</v>
      </c>
      <c r="E451" t="s">
        <v>4011</v>
      </c>
      <c r="F451" s="1">
        <v>46238</v>
      </c>
      <c r="G451" s="1">
        <v>46240</v>
      </c>
      <c r="I451" t="s">
        <v>4006</v>
      </c>
    </row>
    <row r="452" spans="1:9" hidden="1" x14ac:dyDescent="0.25">
      <c r="A452" s="1">
        <v>46242</v>
      </c>
      <c r="B452">
        <v>1065664047</v>
      </c>
      <c r="C452" t="s">
        <v>1114</v>
      </c>
      <c r="D452" t="s">
        <v>89</v>
      </c>
      <c r="E452" t="s">
        <v>4017</v>
      </c>
      <c r="F452" s="1">
        <v>46239</v>
      </c>
      <c r="G452" s="1">
        <v>46240</v>
      </c>
      <c r="I452" t="s">
        <v>4006</v>
      </c>
    </row>
    <row r="453" spans="1:9" hidden="1" x14ac:dyDescent="0.25">
      <c r="A453" s="1">
        <v>46242</v>
      </c>
      <c r="B453">
        <v>1193104616</v>
      </c>
      <c r="C453" t="s">
        <v>1954</v>
      </c>
      <c r="D453" t="s">
        <v>64</v>
      </c>
      <c r="E453" t="s">
        <v>4012</v>
      </c>
      <c r="F453" s="1">
        <v>46238</v>
      </c>
      <c r="G453" s="1">
        <v>46240</v>
      </c>
      <c r="I453" t="s">
        <v>4006</v>
      </c>
    </row>
    <row r="454" spans="1:9" hidden="1" x14ac:dyDescent="0.25">
      <c r="A454" s="1">
        <v>46242</v>
      </c>
      <c r="B454">
        <v>1032491944</v>
      </c>
      <c r="C454" t="s">
        <v>23</v>
      </c>
      <c r="D454" t="s">
        <v>24</v>
      </c>
      <c r="E454" t="s">
        <v>4011</v>
      </c>
      <c r="F454" s="1">
        <v>46237</v>
      </c>
      <c r="G454" s="1">
        <v>46241</v>
      </c>
      <c r="I454" t="s">
        <v>4006</v>
      </c>
    </row>
    <row r="455" spans="1:9" hidden="1" x14ac:dyDescent="0.25">
      <c r="A455" s="1">
        <v>46242</v>
      </c>
      <c r="B455">
        <v>1193459665</v>
      </c>
      <c r="C455" t="s">
        <v>4066</v>
      </c>
      <c r="D455" t="s">
        <v>326</v>
      </c>
      <c r="E455" t="s">
        <v>4005</v>
      </c>
      <c r="F455" s="1">
        <v>46237</v>
      </c>
      <c r="G455" s="1">
        <v>46239</v>
      </c>
      <c r="I455" t="s">
        <v>4006</v>
      </c>
    </row>
    <row r="456" spans="1:9" hidden="1" x14ac:dyDescent="0.25">
      <c r="A456" s="1">
        <v>46242</v>
      </c>
      <c r="B456">
        <v>1004841623</v>
      </c>
      <c r="C456" t="s">
        <v>4062</v>
      </c>
      <c r="D456" t="s">
        <v>420</v>
      </c>
      <c r="E456" t="s">
        <v>4010</v>
      </c>
      <c r="F456" s="1">
        <v>46237</v>
      </c>
      <c r="G456" s="1">
        <v>46241</v>
      </c>
      <c r="I456" t="s">
        <v>4006</v>
      </c>
    </row>
    <row r="457" spans="1:9" hidden="1" x14ac:dyDescent="0.25">
      <c r="A457" s="1">
        <v>46242</v>
      </c>
      <c r="B457">
        <v>1005624879</v>
      </c>
      <c r="C457" t="s">
        <v>251</v>
      </c>
      <c r="D457" t="s">
        <v>132</v>
      </c>
      <c r="E457" t="s">
        <v>4010</v>
      </c>
      <c r="F457" s="1">
        <v>46237</v>
      </c>
      <c r="G457" s="1">
        <v>46240</v>
      </c>
      <c r="I457" t="s">
        <v>4006</v>
      </c>
    </row>
    <row r="458" spans="1:9" hidden="1" x14ac:dyDescent="0.25">
      <c r="A458" s="1">
        <v>46242</v>
      </c>
      <c r="B458">
        <v>1143413583</v>
      </c>
      <c r="C458" t="s">
        <v>54</v>
      </c>
      <c r="D458" t="s">
        <v>41</v>
      </c>
      <c r="E458" t="s">
        <v>4011</v>
      </c>
      <c r="F458" s="1">
        <v>46236</v>
      </c>
      <c r="G458" s="1">
        <v>46239</v>
      </c>
      <c r="I458" t="s">
        <v>4006</v>
      </c>
    </row>
    <row r="459" spans="1:9" hidden="1" x14ac:dyDescent="0.25">
      <c r="A459" s="1">
        <v>46242</v>
      </c>
      <c r="B459">
        <v>1020486493</v>
      </c>
      <c r="C459" t="s">
        <v>4074</v>
      </c>
      <c r="D459" t="s">
        <v>326</v>
      </c>
      <c r="E459" t="s">
        <v>4005</v>
      </c>
      <c r="F459" s="1">
        <v>46237</v>
      </c>
      <c r="G459" s="1">
        <v>46239</v>
      </c>
      <c r="I459" t="s">
        <v>4006</v>
      </c>
    </row>
    <row r="460" spans="1:9" hidden="1" x14ac:dyDescent="0.25">
      <c r="A460" s="1">
        <v>46242</v>
      </c>
      <c r="B460">
        <v>1001005240</v>
      </c>
      <c r="C460" t="s">
        <v>152</v>
      </c>
      <c r="D460" t="s">
        <v>153</v>
      </c>
      <c r="E460" t="s">
        <v>4010</v>
      </c>
      <c r="F460" s="1">
        <v>46234</v>
      </c>
      <c r="G460" s="1">
        <v>46240</v>
      </c>
      <c r="I460" t="s">
        <v>4006</v>
      </c>
    </row>
    <row r="461" spans="1:9" hidden="1" x14ac:dyDescent="0.25">
      <c r="A461" s="1">
        <v>46242</v>
      </c>
      <c r="B461">
        <v>1001940238</v>
      </c>
      <c r="C461" t="s">
        <v>4021</v>
      </c>
      <c r="D461" t="s">
        <v>57</v>
      </c>
      <c r="E461" t="s">
        <v>4010</v>
      </c>
      <c r="F461" s="1">
        <v>46237</v>
      </c>
      <c r="G461" s="1">
        <v>46239</v>
      </c>
      <c r="I461" t="s">
        <v>4006</v>
      </c>
    </row>
    <row r="462" spans="1:9" hidden="1" x14ac:dyDescent="0.25">
      <c r="A462" s="1">
        <v>46242</v>
      </c>
      <c r="B462">
        <v>1047505786</v>
      </c>
      <c r="C462" t="s">
        <v>110</v>
      </c>
      <c r="D462" t="s">
        <v>15</v>
      </c>
      <c r="E462" t="s">
        <v>4012</v>
      </c>
      <c r="F462" s="1">
        <v>46229</v>
      </c>
      <c r="G462" s="1">
        <v>46243</v>
      </c>
      <c r="H462" t="s">
        <v>137</v>
      </c>
      <c r="I462" t="s">
        <v>138</v>
      </c>
    </row>
    <row r="463" spans="1:9" hidden="1" x14ac:dyDescent="0.25">
      <c r="A463" s="1">
        <v>46242</v>
      </c>
      <c r="B463">
        <v>1020475954</v>
      </c>
      <c r="C463" t="s">
        <v>3901</v>
      </c>
      <c r="D463" t="s">
        <v>29</v>
      </c>
      <c r="E463" t="s">
        <v>4005</v>
      </c>
      <c r="F463" s="1">
        <v>46238</v>
      </c>
      <c r="G463" s="1">
        <v>46240</v>
      </c>
      <c r="I463" t="s">
        <v>4006</v>
      </c>
    </row>
    <row r="464" spans="1:9" hidden="1" x14ac:dyDescent="0.25">
      <c r="A464" s="1">
        <v>46242</v>
      </c>
      <c r="B464">
        <v>1037659560</v>
      </c>
      <c r="C464" t="s">
        <v>166</v>
      </c>
      <c r="D464" t="s">
        <v>41</v>
      </c>
      <c r="E464" t="s">
        <v>4011</v>
      </c>
      <c r="F464" s="1">
        <v>46235</v>
      </c>
      <c r="G464" s="1">
        <v>46240</v>
      </c>
      <c r="I464" t="s">
        <v>4006</v>
      </c>
    </row>
    <row r="465" spans="1:9" hidden="1" x14ac:dyDescent="0.25">
      <c r="A465" s="1">
        <v>46242</v>
      </c>
      <c r="B465">
        <v>1143375080</v>
      </c>
      <c r="C465" t="s">
        <v>4025</v>
      </c>
      <c r="D465" t="s">
        <v>153</v>
      </c>
      <c r="E465" t="s">
        <v>4010</v>
      </c>
      <c r="F465" s="1">
        <v>46232</v>
      </c>
      <c r="G465" s="1">
        <v>46239</v>
      </c>
      <c r="I465" t="s">
        <v>4006</v>
      </c>
    </row>
    <row r="466" spans="1:9" hidden="1" x14ac:dyDescent="0.25">
      <c r="A466" s="1">
        <v>46242</v>
      </c>
      <c r="B466">
        <v>1036132488</v>
      </c>
      <c r="C466" t="s">
        <v>141</v>
      </c>
      <c r="D466" t="s">
        <v>142</v>
      </c>
      <c r="E466" t="s">
        <v>4012</v>
      </c>
      <c r="F466" s="1">
        <v>46227</v>
      </c>
      <c r="G466" s="1">
        <v>46246</v>
      </c>
      <c r="H466" t="s">
        <v>237</v>
      </c>
      <c r="I466" t="s">
        <v>238</v>
      </c>
    </row>
    <row r="467" spans="1:9" hidden="1" x14ac:dyDescent="0.25">
      <c r="A467" s="1">
        <v>46242</v>
      </c>
      <c r="B467">
        <v>43558465</v>
      </c>
      <c r="C467" t="s">
        <v>103</v>
      </c>
      <c r="D467" t="s">
        <v>64</v>
      </c>
      <c r="E467" t="s">
        <v>4012</v>
      </c>
      <c r="F467" s="1">
        <v>46226</v>
      </c>
      <c r="G467" s="1">
        <v>46246</v>
      </c>
      <c r="H467" t="s">
        <v>203</v>
      </c>
      <c r="I467" t="s">
        <v>204</v>
      </c>
    </row>
    <row r="468" spans="1:9" hidden="1" x14ac:dyDescent="0.25">
      <c r="A468" s="1">
        <v>46242</v>
      </c>
      <c r="B468">
        <v>1143460426</v>
      </c>
      <c r="C468" t="s">
        <v>4034</v>
      </c>
      <c r="D468" t="s">
        <v>160</v>
      </c>
      <c r="E468" t="s">
        <v>4011</v>
      </c>
      <c r="F468" s="1">
        <v>46195</v>
      </c>
      <c r="G468" s="1">
        <v>46198</v>
      </c>
      <c r="H468" t="s">
        <v>216</v>
      </c>
      <c r="I468" t="s">
        <v>217</v>
      </c>
    </row>
    <row r="469" spans="1:9" hidden="1" x14ac:dyDescent="0.25">
      <c r="A469" s="1">
        <v>46242</v>
      </c>
      <c r="B469">
        <v>1010135017</v>
      </c>
      <c r="C469" t="s">
        <v>1245</v>
      </c>
      <c r="D469" t="s">
        <v>326</v>
      </c>
      <c r="E469" t="s">
        <v>4005</v>
      </c>
      <c r="F469" s="1">
        <v>46239</v>
      </c>
      <c r="I469" t="s">
        <v>4051</v>
      </c>
    </row>
    <row r="470" spans="1:9" hidden="1" x14ac:dyDescent="0.25">
      <c r="A470" s="1">
        <v>46242</v>
      </c>
      <c r="B470">
        <v>1042422897</v>
      </c>
      <c r="C470" t="s">
        <v>4069</v>
      </c>
      <c r="D470" t="s">
        <v>326</v>
      </c>
      <c r="E470" t="s">
        <v>4005</v>
      </c>
      <c r="F470" s="1">
        <v>46242</v>
      </c>
      <c r="G470" s="1">
        <v>46245</v>
      </c>
      <c r="I470" t="s">
        <v>4126</v>
      </c>
    </row>
    <row r="471" spans="1:9" hidden="1" x14ac:dyDescent="0.25">
      <c r="A471" s="1">
        <v>46242</v>
      </c>
      <c r="B471">
        <v>1037634709</v>
      </c>
      <c r="C471" t="s">
        <v>4009</v>
      </c>
      <c r="D471" t="s">
        <v>420</v>
      </c>
      <c r="E471" t="s">
        <v>4010</v>
      </c>
      <c r="F471" s="1">
        <v>46238</v>
      </c>
      <c r="G471" s="1">
        <v>46240</v>
      </c>
      <c r="I471" t="s">
        <v>4006</v>
      </c>
    </row>
    <row r="472" spans="1:9" hidden="1" x14ac:dyDescent="0.25">
      <c r="A472" s="1">
        <v>46242</v>
      </c>
      <c r="B472">
        <v>1214717629</v>
      </c>
      <c r="C472" t="s">
        <v>3038</v>
      </c>
      <c r="D472" t="s">
        <v>410</v>
      </c>
      <c r="E472" t="s">
        <v>4005</v>
      </c>
      <c r="F472" s="1">
        <v>46240</v>
      </c>
      <c r="G472" s="1">
        <v>46240</v>
      </c>
      <c r="I472" t="s">
        <v>4006</v>
      </c>
    </row>
    <row r="473" spans="1:9" hidden="1" x14ac:dyDescent="0.25">
      <c r="A473" s="1">
        <v>46242</v>
      </c>
      <c r="B473">
        <v>1001851670</v>
      </c>
      <c r="C473" t="s">
        <v>14</v>
      </c>
      <c r="D473" t="s">
        <v>15</v>
      </c>
      <c r="E473" t="s">
        <v>4012</v>
      </c>
      <c r="F473" s="1">
        <v>46237</v>
      </c>
      <c r="G473" s="1">
        <v>46366</v>
      </c>
      <c r="H473" t="s">
        <v>154</v>
      </c>
      <c r="I473" t="s">
        <v>155</v>
      </c>
    </row>
    <row r="474" spans="1:9" hidden="1" x14ac:dyDescent="0.25">
      <c r="A474" s="1">
        <v>46242</v>
      </c>
      <c r="B474">
        <v>1045718883</v>
      </c>
      <c r="C474" t="s">
        <v>47</v>
      </c>
      <c r="D474" t="s">
        <v>34</v>
      </c>
      <c r="E474" t="s">
        <v>4011</v>
      </c>
      <c r="F474" s="1">
        <v>46240</v>
      </c>
      <c r="G474" s="1">
        <v>46249</v>
      </c>
      <c r="H474" t="s">
        <v>178</v>
      </c>
      <c r="I474" t="s">
        <v>179</v>
      </c>
    </row>
    <row r="475" spans="1:9" hidden="1" x14ac:dyDescent="0.25">
      <c r="A475" s="1">
        <v>46242</v>
      </c>
      <c r="B475">
        <v>1152699151</v>
      </c>
      <c r="C475" t="s">
        <v>944</v>
      </c>
      <c r="D475" t="s">
        <v>4093</v>
      </c>
      <c r="E475" t="s">
        <v>4011</v>
      </c>
      <c r="F475" s="1">
        <v>46238</v>
      </c>
      <c r="G475" s="1">
        <v>46240</v>
      </c>
      <c r="I475" t="s">
        <v>4006</v>
      </c>
    </row>
    <row r="476" spans="1:9" hidden="1" x14ac:dyDescent="0.25">
      <c r="A476" s="1">
        <v>46242</v>
      </c>
      <c r="B476">
        <v>45529043</v>
      </c>
      <c r="C476" t="s">
        <v>712</v>
      </c>
      <c r="D476" t="s">
        <v>322</v>
      </c>
      <c r="E476" t="s">
        <v>4017</v>
      </c>
      <c r="F476" s="1">
        <v>46240</v>
      </c>
      <c r="G476" s="1">
        <v>46240</v>
      </c>
      <c r="I476" t="s">
        <v>4006</v>
      </c>
    </row>
    <row r="477" spans="1:9" hidden="1" x14ac:dyDescent="0.25">
      <c r="A477" s="1">
        <v>46242</v>
      </c>
      <c r="B477">
        <v>1152687492</v>
      </c>
      <c r="C477" t="s">
        <v>4095</v>
      </c>
      <c r="D477" t="s">
        <v>336</v>
      </c>
      <c r="E477" t="s">
        <v>4017</v>
      </c>
      <c r="F477" s="1">
        <v>46238</v>
      </c>
      <c r="G477" s="1">
        <v>46240</v>
      </c>
      <c r="I477" t="s">
        <v>4006</v>
      </c>
    </row>
    <row r="478" spans="1:9" hidden="1" x14ac:dyDescent="0.25">
      <c r="A478" s="1">
        <v>46242</v>
      </c>
      <c r="B478">
        <v>1214743963</v>
      </c>
      <c r="C478" t="s">
        <v>1511</v>
      </c>
      <c r="D478" t="s">
        <v>326</v>
      </c>
      <c r="E478" t="s">
        <v>4005</v>
      </c>
      <c r="F478" s="1">
        <v>46240</v>
      </c>
      <c r="G478" s="1">
        <v>46240</v>
      </c>
      <c r="I478" t="s">
        <v>4006</v>
      </c>
    </row>
    <row r="479" spans="1:9" hidden="1" x14ac:dyDescent="0.25">
      <c r="A479" s="1">
        <v>46242</v>
      </c>
      <c r="B479">
        <v>1001446162</v>
      </c>
      <c r="C479" t="s">
        <v>3622</v>
      </c>
      <c r="D479" t="s">
        <v>4045</v>
      </c>
      <c r="E479" t="s">
        <v>4017</v>
      </c>
      <c r="F479" s="1">
        <v>46242</v>
      </c>
      <c r="G479" s="1">
        <v>46242</v>
      </c>
      <c r="H479" t="s">
        <v>3621</v>
      </c>
      <c r="I479" t="s">
        <v>3622</v>
      </c>
    </row>
    <row r="480" spans="1:9" hidden="1" x14ac:dyDescent="0.25">
      <c r="A480" s="1">
        <v>46242</v>
      </c>
      <c r="B480">
        <v>1001369228</v>
      </c>
      <c r="C480" t="s">
        <v>92</v>
      </c>
      <c r="D480" t="s">
        <v>4045</v>
      </c>
      <c r="E480" t="s">
        <v>4017</v>
      </c>
      <c r="F480" s="1">
        <v>46242</v>
      </c>
      <c r="G480" s="1">
        <v>46242</v>
      </c>
      <c r="H480" t="s">
        <v>91</v>
      </c>
      <c r="I480" t="s">
        <v>92</v>
      </c>
    </row>
    <row r="481" spans="1:9" hidden="1" x14ac:dyDescent="0.25">
      <c r="A481" s="1">
        <v>46242</v>
      </c>
      <c r="B481">
        <v>1039462842</v>
      </c>
      <c r="C481" t="s">
        <v>431</v>
      </c>
      <c r="D481" t="s">
        <v>78</v>
      </c>
      <c r="E481" t="s">
        <v>4010</v>
      </c>
      <c r="F481" s="1">
        <v>46240</v>
      </c>
      <c r="G481" s="1">
        <v>46240</v>
      </c>
      <c r="I481" t="s">
        <v>4006</v>
      </c>
    </row>
    <row r="482" spans="1:9" hidden="1" x14ac:dyDescent="0.25">
      <c r="A482" s="1">
        <v>46242</v>
      </c>
      <c r="B482">
        <v>1000921455</v>
      </c>
      <c r="C482" t="s">
        <v>33</v>
      </c>
      <c r="D482" t="s">
        <v>34</v>
      </c>
      <c r="E482" t="s">
        <v>4011</v>
      </c>
      <c r="F482" s="1">
        <v>46239</v>
      </c>
      <c r="G482" s="1">
        <v>46246</v>
      </c>
      <c r="H482" t="s">
        <v>35</v>
      </c>
      <c r="I482" t="s">
        <v>36</v>
      </c>
    </row>
    <row r="483" spans="1:9" hidden="1" x14ac:dyDescent="0.25">
      <c r="A483" s="1">
        <v>46242</v>
      </c>
      <c r="B483">
        <v>1143413583</v>
      </c>
      <c r="C483" t="s">
        <v>54</v>
      </c>
      <c r="D483" t="s">
        <v>41</v>
      </c>
      <c r="E483" t="s">
        <v>4011</v>
      </c>
      <c r="F483" s="1">
        <v>46240</v>
      </c>
      <c r="G483" s="1">
        <v>46244</v>
      </c>
      <c r="H483" t="s">
        <v>188</v>
      </c>
      <c r="I483" t="s">
        <v>189</v>
      </c>
    </row>
    <row r="484" spans="1:9" hidden="1" x14ac:dyDescent="0.25">
      <c r="A484" s="1">
        <v>46242</v>
      </c>
      <c r="B484">
        <v>1037668455</v>
      </c>
      <c r="C484" t="s">
        <v>2968</v>
      </c>
      <c r="D484" t="s">
        <v>24</v>
      </c>
      <c r="E484" t="s">
        <v>4011</v>
      </c>
      <c r="F484" s="1">
        <v>46241</v>
      </c>
      <c r="G484" s="1">
        <v>46242</v>
      </c>
      <c r="H484" t="s">
        <v>167</v>
      </c>
      <c r="I484" t="s">
        <v>168</v>
      </c>
    </row>
    <row r="485" spans="1:9" hidden="1" x14ac:dyDescent="0.25">
      <c r="A485" s="1">
        <v>46242</v>
      </c>
      <c r="B485">
        <v>1026134762</v>
      </c>
      <c r="C485" t="s">
        <v>1295</v>
      </c>
      <c r="D485" t="s">
        <v>34</v>
      </c>
      <c r="E485" t="s">
        <v>4011</v>
      </c>
      <c r="F485" s="1">
        <v>46242</v>
      </c>
      <c r="G485" s="1">
        <v>46242</v>
      </c>
      <c r="H485" t="s">
        <v>122</v>
      </c>
      <c r="I485" t="s">
        <v>123</v>
      </c>
    </row>
    <row r="486" spans="1:9" hidden="1" x14ac:dyDescent="0.25">
      <c r="A486" s="1">
        <v>46242</v>
      </c>
      <c r="B486">
        <v>1001817894</v>
      </c>
      <c r="C486" t="s">
        <v>1487</v>
      </c>
      <c r="D486" t="s">
        <v>34</v>
      </c>
      <c r="E486" t="s">
        <v>4011</v>
      </c>
      <c r="F486" s="1">
        <v>46242</v>
      </c>
      <c r="G486" s="1">
        <v>46242</v>
      </c>
      <c r="I486" t="s">
        <v>4022</v>
      </c>
    </row>
    <row r="487" spans="1:9" hidden="1" x14ac:dyDescent="0.25">
      <c r="A487" s="1">
        <v>46242</v>
      </c>
      <c r="B487">
        <v>1083567466</v>
      </c>
      <c r="C487" t="s">
        <v>1395</v>
      </c>
      <c r="D487" t="s">
        <v>343</v>
      </c>
      <c r="E487" t="s">
        <v>4012</v>
      </c>
      <c r="F487" s="1">
        <v>46242</v>
      </c>
      <c r="G487" s="1">
        <v>46242</v>
      </c>
      <c r="I487" t="s">
        <v>4022</v>
      </c>
    </row>
    <row r="488" spans="1:9" hidden="1" x14ac:dyDescent="0.25">
      <c r="A488" s="1">
        <v>46242</v>
      </c>
      <c r="B488">
        <v>1003083272</v>
      </c>
      <c r="C488" t="s">
        <v>1203</v>
      </c>
      <c r="D488" t="s">
        <v>64</v>
      </c>
      <c r="E488" t="s">
        <v>4012</v>
      </c>
      <c r="F488" s="1">
        <v>46241</v>
      </c>
      <c r="G488" s="1">
        <v>46242</v>
      </c>
      <c r="I488" t="s">
        <v>261</v>
      </c>
    </row>
    <row r="489" spans="1:9" hidden="1" x14ac:dyDescent="0.25">
      <c r="A489" s="1">
        <v>46242</v>
      </c>
      <c r="B489">
        <v>1083037131</v>
      </c>
      <c r="C489" t="s">
        <v>458</v>
      </c>
      <c r="D489" t="s">
        <v>160</v>
      </c>
      <c r="E489" t="s">
        <v>4011</v>
      </c>
      <c r="F489" s="1">
        <v>46242</v>
      </c>
      <c r="G489" s="1">
        <v>46242</v>
      </c>
      <c r="I489" t="s">
        <v>261</v>
      </c>
    </row>
    <row r="490" spans="1:9" hidden="1" x14ac:dyDescent="0.25">
      <c r="A490" s="1">
        <v>46242</v>
      </c>
      <c r="B490">
        <v>1037637914</v>
      </c>
      <c r="C490" t="s">
        <v>2704</v>
      </c>
      <c r="D490" t="s">
        <v>34</v>
      </c>
      <c r="E490" t="s">
        <v>4011</v>
      </c>
      <c r="F490" s="1">
        <v>46242</v>
      </c>
      <c r="G490" s="1">
        <v>46242</v>
      </c>
      <c r="I490" t="s">
        <v>261</v>
      </c>
    </row>
    <row r="491" spans="1:9" hidden="1" x14ac:dyDescent="0.25">
      <c r="A491" s="1">
        <v>46242</v>
      </c>
      <c r="B491">
        <v>1235045754</v>
      </c>
      <c r="C491" t="s">
        <v>2371</v>
      </c>
      <c r="D491" t="s">
        <v>343</v>
      </c>
      <c r="E491" t="s">
        <v>4012</v>
      </c>
      <c r="F491" s="1">
        <v>46242</v>
      </c>
      <c r="G491" s="1">
        <v>46242</v>
      </c>
      <c r="I491" t="s">
        <v>4022</v>
      </c>
    </row>
    <row r="492" spans="1:9" hidden="1" x14ac:dyDescent="0.25">
      <c r="A492" s="1">
        <v>46242</v>
      </c>
      <c r="B492">
        <v>1015483595</v>
      </c>
      <c r="C492" t="s">
        <v>4128</v>
      </c>
      <c r="D492" t="s">
        <v>34</v>
      </c>
      <c r="E492" t="s">
        <v>4011</v>
      </c>
      <c r="F492" s="1">
        <v>46244</v>
      </c>
      <c r="G492" s="1">
        <v>46265</v>
      </c>
      <c r="I492" t="s">
        <v>4022</v>
      </c>
    </row>
    <row r="493" spans="1:9" hidden="1" x14ac:dyDescent="0.25">
      <c r="A493" s="1">
        <v>46242</v>
      </c>
      <c r="B493">
        <v>1214714989</v>
      </c>
      <c r="C493" t="s">
        <v>2135</v>
      </c>
      <c r="D493" t="s">
        <v>326</v>
      </c>
      <c r="E493" t="s">
        <v>4005</v>
      </c>
      <c r="F493" s="1">
        <v>46242</v>
      </c>
      <c r="G493" s="1">
        <v>46242</v>
      </c>
      <c r="I493" t="s">
        <v>4022</v>
      </c>
    </row>
    <row r="494" spans="1:9" hidden="1" x14ac:dyDescent="0.25">
      <c r="A494" s="1">
        <v>46242</v>
      </c>
      <c r="B494">
        <v>1010149319</v>
      </c>
      <c r="C494" t="s">
        <v>3135</v>
      </c>
      <c r="D494" t="s">
        <v>142</v>
      </c>
      <c r="E494" t="s">
        <v>4012</v>
      </c>
      <c r="F494" s="1">
        <v>46242</v>
      </c>
      <c r="G494" s="1">
        <v>46242</v>
      </c>
      <c r="I494" t="s">
        <v>4022</v>
      </c>
    </row>
    <row r="495" spans="1:9" hidden="1" x14ac:dyDescent="0.25">
      <c r="A495" s="1">
        <v>46242</v>
      </c>
      <c r="B495">
        <v>1010246557</v>
      </c>
      <c r="C495" t="s">
        <v>3428</v>
      </c>
      <c r="D495" t="s">
        <v>326</v>
      </c>
      <c r="E495" t="s">
        <v>4005</v>
      </c>
      <c r="F495" s="1">
        <v>46242</v>
      </c>
      <c r="G495" s="1">
        <v>46242</v>
      </c>
      <c r="I495" t="s">
        <v>4129</v>
      </c>
    </row>
    <row r="496" spans="1:9" hidden="1" x14ac:dyDescent="0.25">
      <c r="A496" s="1">
        <v>46242</v>
      </c>
      <c r="B496">
        <v>88030132</v>
      </c>
      <c r="C496" t="s">
        <v>1903</v>
      </c>
      <c r="D496" t="s">
        <v>142</v>
      </c>
      <c r="E496" t="s">
        <v>4012</v>
      </c>
      <c r="F496" s="1">
        <v>46242</v>
      </c>
      <c r="G496" s="1">
        <v>46243</v>
      </c>
      <c r="I496" t="s">
        <v>4022</v>
      </c>
    </row>
    <row r="497" spans="1:9" hidden="1" x14ac:dyDescent="0.25">
      <c r="A497" s="1">
        <v>46242</v>
      </c>
      <c r="B497">
        <v>1107046318</v>
      </c>
      <c r="C497" t="s">
        <v>213</v>
      </c>
      <c r="D497" t="s">
        <v>322</v>
      </c>
      <c r="E497" t="s">
        <v>4017</v>
      </c>
      <c r="F497" s="1">
        <v>46242</v>
      </c>
      <c r="G497" s="1">
        <v>46242</v>
      </c>
      <c r="I497" t="s">
        <v>4099</v>
      </c>
    </row>
    <row r="498" spans="1:9" hidden="1" x14ac:dyDescent="0.25">
      <c r="A498" s="1">
        <v>46242</v>
      </c>
      <c r="B498">
        <v>1038412205</v>
      </c>
      <c r="C498" t="s">
        <v>2800</v>
      </c>
      <c r="D498" t="s">
        <v>410</v>
      </c>
      <c r="E498" t="s">
        <v>4005</v>
      </c>
      <c r="F498" s="1">
        <v>46242</v>
      </c>
      <c r="G498" s="1">
        <v>46242</v>
      </c>
      <c r="I498" t="s">
        <v>4022</v>
      </c>
    </row>
    <row r="499" spans="1:9" hidden="1" x14ac:dyDescent="0.25">
      <c r="A499" s="1">
        <v>46242</v>
      </c>
      <c r="B499">
        <v>1071169507</v>
      </c>
      <c r="C499" t="s">
        <v>88</v>
      </c>
      <c r="D499" t="s">
        <v>89</v>
      </c>
      <c r="E499" t="s">
        <v>4017</v>
      </c>
      <c r="F499" s="1">
        <v>46242</v>
      </c>
      <c r="G499" s="1">
        <v>46247</v>
      </c>
      <c r="I499" t="s">
        <v>261</v>
      </c>
    </row>
    <row r="500" spans="1:9" hidden="1" x14ac:dyDescent="0.25">
      <c r="A500" s="1">
        <v>46242</v>
      </c>
      <c r="B500">
        <v>1001445343</v>
      </c>
      <c r="C500" t="s">
        <v>1374</v>
      </c>
      <c r="D500" t="s">
        <v>322</v>
      </c>
      <c r="E500" t="s">
        <v>4017</v>
      </c>
      <c r="F500" s="1">
        <v>46242</v>
      </c>
      <c r="G500" s="1">
        <v>46242</v>
      </c>
      <c r="H500" t="s">
        <v>134</v>
      </c>
      <c r="I500" t="s">
        <v>135</v>
      </c>
    </row>
    <row r="501" spans="1:9" hidden="1" x14ac:dyDescent="0.25">
      <c r="A501" s="1">
        <v>46244</v>
      </c>
      <c r="B501">
        <v>1001853191</v>
      </c>
      <c r="C501" t="s">
        <v>3198</v>
      </c>
      <c r="D501" t="s">
        <v>34</v>
      </c>
      <c r="E501" t="s">
        <v>4011</v>
      </c>
      <c r="F501" s="1">
        <v>46240</v>
      </c>
      <c r="G501" s="1">
        <v>46242</v>
      </c>
      <c r="I501" t="s">
        <v>4006</v>
      </c>
    </row>
    <row r="502" spans="1:9" hidden="1" x14ac:dyDescent="0.25">
      <c r="A502" s="1">
        <v>46244</v>
      </c>
      <c r="B502">
        <v>1015483595</v>
      </c>
      <c r="C502" t="s">
        <v>177</v>
      </c>
      <c r="D502" t="s">
        <v>34</v>
      </c>
      <c r="E502" t="s">
        <v>4011</v>
      </c>
      <c r="F502" s="1">
        <v>46244</v>
      </c>
      <c r="G502" s="1">
        <v>46265</v>
      </c>
      <c r="H502" t="s">
        <v>178</v>
      </c>
      <c r="I502" t="s">
        <v>179</v>
      </c>
    </row>
    <row r="503" spans="1:9" hidden="1" x14ac:dyDescent="0.25">
      <c r="A503" s="1">
        <v>46244</v>
      </c>
      <c r="B503">
        <v>1006490561</v>
      </c>
      <c r="C503" t="s">
        <v>4118</v>
      </c>
      <c r="D503" t="s">
        <v>410</v>
      </c>
      <c r="E503" t="s">
        <v>4005</v>
      </c>
      <c r="F503" s="1">
        <v>46240</v>
      </c>
      <c r="G503" s="1">
        <v>46242</v>
      </c>
      <c r="I503" t="s">
        <v>4006</v>
      </c>
    </row>
    <row r="504" spans="1:9" hidden="1" x14ac:dyDescent="0.25">
      <c r="A504" s="1">
        <v>46244</v>
      </c>
      <c r="B504">
        <v>1127074377</v>
      </c>
      <c r="C504" t="s">
        <v>344</v>
      </c>
      <c r="D504" t="s">
        <v>343</v>
      </c>
      <c r="E504" t="s">
        <v>4012</v>
      </c>
      <c r="F504" s="1">
        <v>46242</v>
      </c>
      <c r="G504" s="1">
        <v>46242</v>
      </c>
      <c r="I504" t="s">
        <v>4006</v>
      </c>
    </row>
    <row r="505" spans="1:9" hidden="1" x14ac:dyDescent="0.25">
      <c r="A505" s="1">
        <v>46244</v>
      </c>
      <c r="B505">
        <v>1067963513</v>
      </c>
      <c r="C505" t="s">
        <v>28</v>
      </c>
      <c r="D505" t="s">
        <v>29</v>
      </c>
      <c r="E505" t="s">
        <v>4005</v>
      </c>
      <c r="F505" s="1">
        <v>46240</v>
      </c>
      <c r="G505" s="1">
        <v>46265</v>
      </c>
      <c r="H505" t="s">
        <v>17</v>
      </c>
      <c r="I505" t="s">
        <v>18</v>
      </c>
    </row>
    <row r="506" spans="1:9" hidden="1" x14ac:dyDescent="0.25">
      <c r="A506" s="1">
        <v>46244</v>
      </c>
      <c r="B506">
        <v>1036670630</v>
      </c>
      <c r="C506" t="s">
        <v>4124</v>
      </c>
      <c r="D506" t="s">
        <v>15</v>
      </c>
      <c r="E506" t="s">
        <v>4012</v>
      </c>
      <c r="F506" s="1">
        <v>46244</v>
      </c>
      <c r="G506" s="1">
        <v>46244</v>
      </c>
      <c r="H506" t="s">
        <v>147</v>
      </c>
      <c r="I506" t="s">
        <v>148</v>
      </c>
    </row>
    <row r="507" spans="1:9" hidden="1" x14ac:dyDescent="0.25">
      <c r="A507" s="1">
        <v>46244</v>
      </c>
      <c r="B507">
        <v>1143374438</v>
      </c>
      <c r="C507" t="s">
        <v>85</v>
      </c>
      <c r="D507" t="s">
        <v>41</v>
      </c>
      <c r="E507" t="s">
        <v>4011</v>
      </c>
      <c r="F507" s="1">
        <v>46239</v>
      </c>
      <c r="G507" s="1">
        <v>46268</v>
      </c>
      <c r="I507" t="s">
        <v>261</v>
      </c>
    </row>
    <row r="508" spans="1:9" hidden="1" x14ac:dyDescent="0.25">
      <c r="A508" s="1">
        <v>46244</v>
      </c>
      <c r="B508">
        <v>1001014608</v>
      </c>
      <c r="C508" t="s">
        <v>268</v>
      </c>
      <c r="D508" t="s">
        <v>64</v>
      </c>
      <c r="E508" t="s">
        <v>4012</v>
      </c>
      <c r="F508" s="1">
        <v>46239</v>
      </c>
      <c r="G508" s="1">
        <v>46268</v>
      </c>
      <c r="I508" t="s">
        <v>4006</v>
      </c>
    </row>
    <row r="509" spans="1:9" hidden="1" x14ac:dyDescent="0.25">
      <c r="A509" s="1">
        <v>46244</v>
      </c>
      <c r="B509">
        <v>42141273</v>
      </c>
      <c r="C509" t="s">
        <v>210</v>
      </c>
      <c r="D509" t="s">
        <v>211</v>
      </c>
      <c r="E509" t="s">
        <v>4017</v>
      </c>
      <c r="F509" s="1">
        <v>46232</v>
      </c>
      <c r="G509" s="1">
        <v>46261</v>
      </c>
      <c r="H509" t="s">
        <v>134</v>
      </c>
      <c r="I509" t="s">
        <v>135</v>
      </c>
    </row>
    <row r="510" spans="1:9" hidden="1" x14ac:dyDescent="0.25">
      <c r="A510" s="1">
        <v>46244</v>
      </c>
      <c r="B510">
        <v>1035876080</v>
      </c>
      <c r="C510" t="s">
        <v>120</v>
      </c>
      <c r="D510" t="s">
        <v>121</v>
      </c>
      <c r="E510" t="s">
        <v>4010</v>
      </c>
      <c r="F510" s="1">
        <v>46239</v>
      </c>
      <c r="G510" s="1">
        <v>46245</v>
      </c>
      <c r="H510" t="s">
        <v>247</v>
      </c>
      <c r="I510" t="s">
        <v>248</v>
      </c>
    </row>
    <row r="511" spans="1:9" hidden="1" x14ac:dyDescent="0.25">
      <c r="A511" s="1">
        <v>46244</v>
      </c>
      <c r="B511">
        <v>1005424850</v>
      </c>
      <c r="C511" t="s">
        <v>56</v>
      </c>
      <c r="D511" t="s">
        <v>57</v>
      </c>
      <c r="E511" t="s">
        <v>4010</v>
      </c>
      <c r="F511" s="1">
        <v>46238</v>
      </c>
      <c r="G511" s="1">
        <v>46245</v>
      </c>
      <c r="H511" t="s">
        <v>162</v>
      </c>
      <c r="I511" t="s">
        <v>163</v>
      </c>
    </row>
    <row r="512" spans="1:9" hidden="1" x14ac:dyDescent="0.25">
      <c r="A512" s="1">
        <v>46244</v>
      </c>
      <c r="B512">
        <v>1017267628</v>
      </c>
      <c r="C512" t="s">
        <v>4125</v>
      </c>
      <c r="D512" t="s">
        <v>326</v>
      </c>
      <c r="E512" t="s">
        <v>4005</v>
      </c>
      <c r="F512" s="1">
        <v>46237</v>
      </c>
      <c r="G512" s="1">
        <v>46243</v>
      </c>
      <c r="I512" t="s">
        <v>4006</v>
      </c>
    </row>
    <row r="513" spans="1:9" hidden="1" x14ac:dyDescent="0.25">
      <c r="A513" s="1">
        <v>46244</v>
      </c>
      <c r="B513">
        <v>1152436231</v>
      </c>
      <c r="C513" t="s">
        <v>131</v>
      </c>
      <c r="D513" t="s">
        <v>132</v>
      </c>
      <c r="E513" t="s">
        <v>4010</v>
      </c>
      <c r="F513" s="1">
        <v>46237</v>
      </c>
      <c r="G513" s="1">
        <v>46240</v>
      </c>
      <c r="I513" t="s">
        <v>4006</v>
      </c>
    </row>
    <row r="514" spans="1:9" hidden="1" x14ac:dyDescent="0.25">
      <c r="A514" s="1">
        <v>46244</v>
      </c>
      <c r="B514">
        <v>1047505786</v>
      </c>
      <c r="C514" t="s">
        <v>110</v>
      </c>
      <c r="D514" t="s">
        <v>15</v>
      </c>
      <c r="E514" t="s">
        <v>4012</v>
      </c>
      <c r="F514" s="1">
        <v>46229</v>
      </c>
      <c r="G514" s="1">
        <v>46243</v>
      </c>
      <c r="I514" t="s">
        <v>4006</v>
      </c>
    </row>
    <row r="515" spans="1:9" hidden="1" x14ac:dyDescent="0.25">
      <c r="A515" s="1">
        <v>46244</v>
      </c>
      <c r="B515">
        <v>1152221372</v>
      </c>
      <c r="C515" t="s">
        <v>4038</v>
      </c>
      <c r="D515" t="s">
        <v>128</v>
      </c>
      <c r="E515" t="s">
        <v>4005</v>
      </c>
      <c r="F515" s="1">
        <v>46230</v>
      </c>
      <c r="H515" t="s">
        <v>122</v>
      </c>
      <c r="I515" t="s">
        <v>123</v>
      </c>
    </row>
    <row r="516" spans="1:9" hidden="1" x14ac:dyDescent="0.25">
      <c r="A516" s="1">
        <v>46244</v>
      </c>
      <c r="B516">
        <v>1017264032</v>
      </c>
      <c r="C516" t="s">
        <v>105</v>
      </c>
      <c r="D516" t="s">
        <v>64</v>
      </c>
      <c r="E516" t="s">
        <v>4012</v>
      </c>
      <c r="F516" s="1">
        <v>46229</v>
      </c>
      <c r="G516" s="1">
        <v>46258</v>
      </c>
      <c r="H516" t="s">
        <v>244</v>
      </c>
      <c r="I516" t="s">
        <v>245</v>
      </c>
    </row>
    <row r="517" spans="1:9" hidden="1" x14ac:dyDescent="0.25">
      <c r="A517" s="1">
        <v>46244</v>
      </c>
      <c r="B517">
        <v>1037631989</v>
      </c>
      <c r="C517" t="s">
        <v>40</v>
      </c>
      <c r="D517" t="s">
        <v>41</v>
      </c>
      <c r="E517" t="s">
        <v>4011</v>
      </c>
      <c r="F517" s="1">
        <v>46226</v>
      </c>
      <c r="G517" s="1">
        <v>46255</v>
      </c>
      <c r="H517" t="s">
        <v>185</v>
      </c>
      <c r="I517" t="s">
        <v>186</v>
      </c>
    </row>
    <row r="518" spans="1:9" hidden="1" x14ac:dyDescent="0.25">
      <c r="A518" s="1">
        <v>46244</v>
      </c>
      <c r="B518">
        <v>1037638426</v>
      </c>
      <c r="C518" t="s">
        <v>72</v>
      </c>
      <c r="D518" t="s">
        <v>41</v>
      </c>
      <c r="E518" t="s">
        <v>4011</v>
      </c>
      <c r="F518" s="1">
        <v>46230</v>
      </c>
      <c r="G518" s="1">
        <v>46262</v>
      </c>
      <c r="H518" t="s">
        <v>240</v>
      </c>
      <c r="I518" t="s">
        <v>241</v>
      </c>
    </row>
    <row r="519" spans="1:9" hidden="1" x14ac:dyDescent="0.25">
      <c r="A519" s="1">
        <v>46244</v>
      </c>
      <c r="B519">
        <v>1018466443</v>
      </c>
      <c r="C519" t="s">
        <v>4109</v>
      </c>
      <c r="D519" t="s">
        <v>410</v>
      </c>
      <c r="E519" t="s">
        <v>4005</v>
      </c>
      <c r="F519" s="1">
        <v>46239</v>
      </c>
      <c r="G519" s="1">
        <v>46244</v>
      </c>
      <c r="H519" t="s">
        <v>188</v>
      </c>
      <c r="I519" t="s">
        <v>189</v>
      </c>
    </row>
    <row r="520" spans="1:9" hidden="1" x14ac:dyDescent="0.25">
      <c r="A520" s="1">
        <v>46244</v>
      </c>
      <c r="B520">
        <v>1001851670</v>
      </c>
      <c r="C520" t="s">
        <v>14</v>
      </c>
      <c r="D520" t="s">
        <v>15</v>
      </c>
      <c r="E520" t="s">
        <v>4012</v>
      </c>
      <c r="F520" s="1">
        <v>46237</v>
      </c>
      <c r="G520" s="1">
        <v>46366</v>
      </c>
      <c r="I520" t="s">
        <v>261</v>
      </c>
    </row>
    <row r="521" spans="1:9" hidden="1" x14ac:dyDescent="0.25">
      <c r="A521" s="1">
        <v>46244</v>
      </c>
      <c r="B521">
        <v>1036132488</v>
      </c>
      <c r="C521" t="s">
        <v>141</v>
      </c>
      <c r="D521" t="s">
        <v>142</v>
      </c>
      <c r="E521" t="s">
        <v>4012</v>
      </c>
      <c r="F521" s="1">
        <v>46227</v>
      </c>
      <c r="G521" s="1">
        <v>46246</v>
      </c>
      <c r="H521" t="s">
        <v>154</v>
      </c>
      <c r="I521" t="s">
        <v>155</v>
      </c>
    </row>
    <row r="522" spans="1:9" hidden="1" x14ac:dyDescent="0.25">
      <c r="A522" s="1">
        <v>46244</v>
      </c>
      <c r="B522">
        <v>43558465</v>
      </c>
      <c r="C522" t="s">
        <v>103</v>
      </c>
      <c r="D522" t="s">
        <v>64</v>
      </c>
      <c r="E522" t="s">
        <v>4012</v>
      </c>
      <c r="F522" s="1">
        <v>46226</v>
      </c>
      <c r="G522" s="1">
        <v>46246</v>
      </c>
      <c r="I522" t="s">
        <v>261</v>
      </c>
    </row>
    <row r="523" spans="1:9" hidden="1" x14ac:dyDescent="0.25">
      <c r="A523" s="1">
        <v>46244</v>
      </c>
      <c r="B523">
        <v>1010135017</v>
      </c>
      <c r="C523" t="s">
        <v>1245</v>
      </c>
      <c r="D523" t="s">
        <v>326</v>
      </c>
      <c r="E523" t="s">
        <v>4005</v>
      </c>
      <c r="F523" s="1">
        <v>46239</v>
      </c>
      <c r="I523" t="s">
        <v>4051</v>
      </c>
    </row>
    <row r="524" spans="1:9" hidden="1" x14ac:dyDescent="0.25">
      <c r="A524" s="1">
        <v>46244</v>
      </c>
      <c r="B524">
        <v>1042422897</v>
      </c>
      <c r="C524" t="s">
        <v>4069</v>
      </c>
      <c r="D524" t="s">
        <v>326</v>
      </c>
      <c r="E524" t="s">
        <v>4005</v>
      </c>
      <c r="F524" s="1">
        <v>46242</v>
      </c>
      <c r="G524" s="1">
        <v>46245</v>
      </c>
      <c r="H524" t="s">
        <v>106</v>
      </c>
      <c r="I524" t="s">
        <v>107</v>
      </c>
    </row>
    <row r="525" spans="1:9" hidden="1" x14ac:dyDescent="0.25">
      <c r="A525" s="1">
        <v>46244</v>
      </c>
      <c r="B525">
        <v>1098777544</v>
      </c>
      <c r="C525" t="s">
        <v>81</v>
      </c>
      <c r="D525" t="s">
        <v>82</v>
      </c>
      <c r="E525" t="s">
        <v>4005</v>
      </c>
      <c r="F525" s="1">
        <v>46217</v>
      </c>
      <c r="G525" s="1">
        <v>46246</v>
      </c>
      <c r="H525" t="s">
        <v>73</v>
      </c>
      <c r="I525" t="s">
        <v>74</v>
      </c>
    </row>
    <row r="526" spans="1:9" hidden="1" x14ac:dyDescent="0.25">
      <c r="A526" s="1">
        <v>46244</v>
      </c>
      <c r="B526">
        <v>1072648283</v>
      </c>
      <c r="C526" t="s">
        <v>739</v>
      </c>
      <c r="D526" t="s">
        <v>211</v>
      </c>
      <c r="E526" t="s">
        <v>4017</v>
      </c>
      <c r="F526" s="1">
        <v>46240</v>
      </c>
      <c r="G526" s="1">
        <v>46240</v>
      </c>
      <c r="I526" t="s">
        <v>4006</v>
      </c>
    </row>
    <row r="527" spans="1:9" hidden="1" x14ac:dyDescent="0.25">
      <c r="A527" s="1">
        <v>46244</v>
      </c>
      <c r="B527">
        <v>1084253148</v>
      </c>
      <c r="C527" t="s">
        <v>1049</v>
      </c>
      <c r="D527" t="s">
        <v>211</v>
      </c>
      <c r="E527" t="s">
        <v>4017</v>
      </c>
      <c r="F527" s="1">
        <v>46240</v>
      </c>
      <c r="G527" s="1">
        <v>46240</v>
      </c>
      <c r="I527" t="s">
        <v>4006</v>
      </c>
    </row>
    <row r="528" spans="1:9" hidden="1" x14ac:dyDescent="0.25">
      <c r="A528" s="1">
        <v>46244</v>
      </c>
      <c r="B528">
        <v>1045718883</v>
      </c>
      <c r="C528" t="s">
        <v>47</v>
      </c>
      <c r="D528" t="s">
        <v>34</v>
      </c>
      <c r="E528" t="s">
        <v>4011</v>
      </c>
      <c r="F528" s="1">
        <v>46239</v>
      </c>
      <c r="G528" s="1">
        <v>46249</v>
      </c>
      <c r="I528" t="s">
        <v>261</v>
      </c>
    </row>
    <row r="529" spans="1:9" hidden="1" x14ac:dyDescent="0.25">
      <c r="A529" s="1">
        <v>46244</v>
      </c>
      <c r="B529">
        <v>1000921455</v>
      </c>
      <c r="C529" t="s">
        <v>33</v>
      </c>
      <c r="D529" t="s">
        <v>34</v>
      </c>
      <c r="E529" t="s">
        <v>4011</v>
      </c>
      <c r="F529" s="1">
        <v>46239</v>
      </c>
      <c r="G529" s="1">
        <v>46246</v>
      </c>
      <c r="I529" t="s">
        <v>261</v>
      </c>
    </row>
    <row r="530" spans="1:9" hidden="1" x14ac:dyDescent="0.25">
      <c r="A530" s="1">
        <v>46244</v>
      </c>
      <c r="B530">
        <v>1143413583</v>
      </c>
      <c r="C530" t="s">
        <v>54</v>
      </c>
      <c r="D530" t="s">
        <v>41</v>
      </c>
      <c r="E530" t="s">
        <v>4011</v>
      </c>
      <c r="F530" s="1">
        <v>46240</v>
      </c>
      <c r="G530" s="1">
        <v>46244</v>
      </c>
      <c r="I530" t="s">
        <v>261</v>
      </c>
    </row>
    <row r="531" spans="1:9" hidden="1" x14ac:dyDescent="0.25">
      <c r="A531" s="1">
        <v>46244</v>
      </c>
      <c r="B531">
        <v>1043006106</v>
      </c>
      <c r="C531" t="s">
        <v>159</v>
      </c>
      <c r="D531" t="s">
        <v>160</v>
      </c>
      <c r="E531" t="s">
        <v>4011</v>
      </c>
      <c r="F531" s="1">
        <v>46219</v>
      </c>
      <c r="G531" s="1">
        <v>46248</v>
      </c>
      <c r="H531" t="s">
        <v>191</v>
      </c>
      <c r="I531" t="s">
        <v>192</v>
      </c>
    </row>
    <row r="532" spans="1:9" hidden="1" x14ac:dyDescent="0.25">
      <c r="A532" s="1">
        <v>46244</v>
      </c>
      <c r="B532">
        <v>1121506548</v>
      </c>
      <c r="C532" t="s">
        <v>50</v>
      </c>
      <c r="D532" t="s">
        <v>51</v>
      </c>
      <c r="E532" t="s">
        <v>4011</v>
      </c>
      <c r="F532" s="1">
        <v>46217</v>
      </c>
      <c r="G532" s="1">
        <v>46342</v>
      </c>
      <c r="H532" t="s">
        <v>35</v>
      </c>
      <c r="I532" t="s">
        <v>36</v>
      </c>
    </row>
    <row r="533" spans="1:9" hidden="1" x14ac:dyDescent="0.25">
      <c r="A533" s="1">
        <v>46244</v>
      </c>
      <c r="B533">
        <v>1143460426</v>
      </c>
      <c r="C533" t="s">
        <v>4034</v>
      </c>
      <c r="D533" t="s">
        <v>160</v>
      </c>
      <c r="E533" t="s">
        <v>4011</v>
      </c>
      <c r="F533" s="1">
        <v>46195</v>
      </c>
      <c r="G533" s="1">
        <v>46198</v>
      </c>
      <c r="I533" t="s">
        <v>261</v>
      </c>
    </row>
    <row r="534" spans="1:9" hidden="1" x14ac:dyDescent="0.25">
      <c r="A534" s="1">
        <v>46244</v>
      </c>
      <c r="B534">
        <v>1102808787</v>
      </c>
      <c r="C534" t="s">
        <v>265</v>
      </c>
      <c r="D534" t="s">
        <v>51</v>
      </c>
      <c r="E534" t="s">
        <v>4011</v>
      </c>
      <c r="F534" s="1">
        <v>46237</v>
      </c>
      <c r="G534" s="1">
        <v>46256</v>
      </c>
      <c r="I534" t="s">
        <v>261</v>
      </c>
    </row>
    <row r="535" spans="1:9" hidden="1" x14ac:dyDescent="0.25">
      <c r="A535" s="1">
        <v>46244</v>
      </c>
      <c r="B535">
        <v>1037668455</v>
      </c>
      <c r="C535" t="s">
        <v>2968</v>
      </c>
      <c r="D535" t="s">
        <v>24</v>
      </c>
      <c r="E535" t="s">
        <v>4011</v>
      </c>
      <c r="F535" s="1">
        <v>46241</v>
      </c>
      <c r="G535" s="1">
        <v>46242</v>
      </c>
      <c r="I535" t="s">
        <v>4006</v>
      </c>
    </row>
    <row r="536" spans="1:9" hidden="1" x14ac:dyDescent="0.25">
      <c r="A536" s="1">
        <v>46244</v>
      </c>
      <c r="B536">
        <v>1026134762</v>
      </c>
      <c r="C536" t="s">
        <v>1295</v>
      </c>
      <c r="D536" t="s">
        <v>34</v>
      </c>
      <c r="E536" t="s">
        <v>4011</v>
      </c>
      <c r="F536" s="1">
        <v>46242</v>
      </c>
      <c r="G536" s="1">
        <v>46242</v>
      </c>
      <c r="I536" t="s">
        <v>4006</v>
      </c>
    </row>
    <row r="537" spans="1:9" hidden="1" x14ac:dyDescent="0.25">
      <c r="A537" s="1">
        <v>46244</v>
      </c>
      <c r="B537">
        <v>1001817894</v>
      </c>
      <c r="C537" t="s">
        <v>1487</v>
      </c>
      <c r="D537" t="s">
        <v>34</v>
      </c>
      <c r="E537" t="s">
        <v>4011</v>
      </c>
      <c r="F537" s="1">
        <v>46242</v>
      </c>
      <c r="G537" s="1">
        <v>46242</v>
      </c>
      <c r="I537" t="s">
        <v>4006</v>
      </c>
    </row>
    <row r="538" spans="1:9" hidden="1" x14ac:dyDescent="0.25">
      <c r="A538" s="1">
        <v>46244</v>
      </c>
      <c r="B538">
        <v>1083567466</v>
      </c>
      <c r="C538" t="s">
        <v>1395</v>
      </c>
      <c r="D538" t="s">
        <v>343</v>
      </c>
      <c r="E538" t="s">
        <v>4012</v>
      </c>
      <c r="F538" s="1">
        <v>46242</v>
      </c>
      <c r="G538" s="1">
        <v>46242</v>
      </c>
      <c r="I538" t="s">
        <v>4006</v>
      </c>
    </row>
    <row r="539" spans="1:9" hidden="1" x14ac:dyDescent="0.25">
      <c r="A539" s="1">
        <v>46244</v>
      </c>
      <c r="B539">
        <v>1003083272</v>
      </c>
      <c r="C539" t="s">
        <v>1203</v>
      </c>
      <c r="D539" t="s">
        <v>64</v>
      </c>
      <c r="E539" t="s">
        <v>4012</v>
      </c>
      <c r="F539" s="1">
        <v>46241</v>
      </c>
      <c r="G539" s="1">
        <v>46242</v>
      </c>
      <c r="I539" t="s">
        <v>4006</v>
      </c>
    </row>
    <row r="540" spans="1:9" hidden="1" x14ac:dyDescent="0.25">
      <c r="A540" s="1">
        <v>46244</v>
      </c>
      <c r="B540">
        <v>1083037131</v>
      </c>
      <c r="C540" t="s">
        <v>458</v>
      </c>
      <c r="D540" t="s">
        <v>160</v>
      </c>
      <c r="E540" t="s">
        <v>4011</v>
      </c>
      <c r="F540" s="1">
        <v>46242</v>
      </c>
      <c r="G540" s="1">
        <v>46242</v>
      </c>
      <c r="I540" t="s">
        <v>4006</v>
      </c>
    </row>
    <row r="541" spans="1:9" hidden="1" x14ac:dyDescent="0.25">
      <c r="A541" s="1">
        <v>46244</v>
      </c>
      <c r="B541">
        <v>1037637914</v>
      </c>
      <c r="C541" t="s">
        <v>2704</v>
      </c>
      <c r="D541" t="s">
        <v>34</v>
      </c>
      <c r="E541" t="s">
        <v>4011</v>
      </c>
      <c r="F541" s="1">
        <v>46242</v>
      </c>
      <c r="G541" s="1">
        <v>46242</v>
      </c>
      <c r="I541" t="s">
        <v>4006</v>
      </c>
    </row>
    <row r="542" spans="1:9" hidden="1" x14ac:dyDescent="0.25">
      <c r="A542" s="1">
        <v>46244</v>
      </c>
      <c r="B542">
        <v>1235045754</v>
      </c>
      <c r="C542" t="s">
        <v>2371</v>
      </c>
      <c r="D542" t="s">
        <v>343</v>
      </c>
      <c r="E542" t="s">
        <v>4012</v>
      </c>
      <c r="F542" s="1">
        <v>46242</v>
      </c>
      <c r="G542" s="1">
        <v>46242</v>
      </c>
      <c r="I542" t="s">
        <v>4006</v>
      </c>
    </row>
    <row r="543" spans="1:9" hidden="1" x14ac:dyDescent="0.25">
      <c r="A543" s="1">
        <v>46244</v>
      </c>
      <c r="B543">
        <v>1214714989</v>
      </c>
      <c r="C543" t="s">
        <v>2135</v>
      </c>
      <c r="D543" t="s">
        <v>326</v>
      </c>
      <c r="E543" t="s">
        <v>4005</v>
      </c>
      <c r="F543" s="1">
        <v>46242</v>
      </c>
      <c r="G543" s="1">
        <v>46242</v>
      </c>
      <c r="I543" t="s">
        <v>4006</v>
      </c>
    </row>
    <row r="544" spans="1:9" hidden="1" x14ac:dyDescent="0.25">
      <c r="A544" s="1">
        <v>46244</v>
      </c>
      <c r="B544">
        <v>1010149319</v>
      </c>
      <c r="C544" t="s">
        <v>3135</v>
      </c>
      <c r="D544" t="s">
        <v>142</v>
      </c>
      <c r="E544" t="s">
        <v>4012</v>
      </c>
      <c r="F544" s="1">
        <v>46242</v>
      </c>
      <c r="G544" s="1">
        <v>46242</v>
      </c>
      <c r="I544" t="s">
        <v>4006</v>
      </c>
    </row>
    <row r="545" spans="1:9" hidden="1" x14ac:dyDescent="0.25">
      <c r="A545" s="1">
        <v>46244</v>
      </c>
      <c r="B545">
        <v>1010246557</v>
      </c>
      <c r="C545" t="s">
        <v>3428</v>
      </c>
      <c r="D545" t="s">
        <v>326</v>
      </c>
      <c r="E545" t="s">
        <v>4005</v>
      </c>
      <c r="F545" s="1">
        <v>46242</v>
      </c>
      <c r="G545" s="1">
        <v>46242</v>
      </c>
      <c r="I545" t="s">
        <v>4006</v>
      </c>
    </row>
    <row r="546" spans="1:9" hidden="1" x14ac:dyDescent="0.25">
      <c r="A546" s="1">
        <v>46244</v>
      </c>
      <c r="B546">
        <v>88030132</v>
      </c>
      <c r="C546" t="s">
        <v>1903</v>
      </c>
      <c r="D546" t="s">
        <v>142</v>
      </c>
      <c r="E546" t="s">
        <v>4012</v>
      </c>
      <c r="F546" s="1">
        <v>46242</v>
      </c>
      <c r="G546" s="1">
        <v>46243</v>
      </c>
      <c r="I546" t="s">
        <v>4006</v>
      </c>
    </row>
    <row r="547" spans="1:9" hidden="1" x14ac:dyDescent="0.25">
      <c r="A547" s="1">
        <v>46244</v>
      </c>
      <c r="B547">
        <v>1071169507</v>
      </c>
      <c r="C547" t="s">
        <v>88</v>
      </c>
      <c r="D547" t="s">
        <v>89</v>
      </c>
      <c r="E547" t="s">
        <v>4017</v>
      </c>
      <c r="F547" s="1">
        <v>46242</v>
      </c>
      <c r="G547" s="1">
        <v>46247</v>
      </c>
      <c r="H547" t="s">
        <v>91</v>
      </c>
      <c r="I547" t="s">
        <v>92</v>
      </c>
    </row>
    <row r="548" spans="1:9" hidden="1" x14ac:dyDescent="0.25">
      <c r="A548" s="1">
        <v>46244</v>
      </c>
      <c r="B548">
        <v>1038412205</v>
      </c>
      <c r="C548" t="s">
        <v>2800</v>
      </c>
      <c r="D548" t="s">
        <v>410</v>
      </c>
      <c r="E548" t="s">
        <v>4005</v>
      </c>
      <c r="F548" s="1">
        <v>46242</v>
      </c>
      <c r="G548" s="1">
        <v>46242</v>
      </c>
      <c r="I548" t="s">
        <v>4006</v>
      </c>
    </row>
    <row r="549" spans="1:9" hidden="1" x14ac:dyDescent="0.25">
      <c r="A549" s="1">
        <v>46244</v>
      </c>
      <c r="B549">
        <v>1028005084</v>
      </c>
      <c r="C549" t="s">
        <v>1781</v>
      </c>
      <c r="D549" t="s">
        <v>97</v>
      </c>
      <c r="E549" t="s">
        <v>4005</v>
      </c>
      <c r="F549" s="1">
        <v>46242</v>
      </c>
      <c r="I549" t="s">
        <v>4006</v>
      </c>
    </row>
    <row r="550" spans="1:9" hidden="1" x14ac:dyDescent="0.25">
      <c r="A550" s="1">
        <v>46244</v>
      </c>
      <c r="B550">
        <v>1007842898</v>
      </c>
      <c r="C550" t="s">
        <v>4132</v>
      </c>
      <c r="D550" t="s">
        <v>343</v>
      </c>
      <c r="E550" t="s">
        <v>4012</v>
      </c>
      <c r="F550" s="1">
        <v>46242</v>
      </c>
      <c r="H550" t="s">
        <v>171</v>
      </c>
      <c r="I550" t="s">
        <v>172</v>
      </c>
    </row>
    <row r="551" spans="1:9" hidden="1" x14ac:dyDescent="0.25">
      <c r="A551" s="1">
        <v>46244</v>
      </c>
      <c r="B551">
        <v>1001446162</v>
      </c>
      <c r="C551" t="s">
        <v>3622</v>
      </c>
      <c r="D551" t="s">
        <v>4045</v>
      </c>
      <c r="E551" t="s">
        <v>4017</v>
      </c>
      <c r="F551" s="1">
        <v>46244</v>
      </c>
      <c r="G551" s="1">
        <v>46244</v>
      </c>
      <c r="H551" t="s">
        <v>3621</v>
      </c>
      <c r="I551" t="s">
        <v>3622</v>
      </c>
    </row>
    <row r="552" spans="1:9" hidden="1" x14ac:dyDescent="0.25">
      <c r="A552" s="1">
        <v>46244</v>
      </c>
      <c r="B552">
        <v>1107046318</v>
      </c>
      <c r="C552" t="s">
        <v>213</v>
      </c>
      <c r="D552" t="s">
        <v>4045</v>
      </c>
      <c r="E552" t="s">
        <v>4017</v>
      </c>
      <c r="F552" s="1">
        <v>46244</v>
      </c>
      <c r="G552" s="1">
        <v>46244</v>
      </c>
      <c r="H552" t="s">
        <v>212</v>
      </c>
      <c r="I552" t="s">
        <v>213</v>
      </c>
    </row>
    <row r="553" spans="1:9" hidden="1" x14ac:dyDescent="0.25">
      <c r="A553" s="1">
        <v>46244</v>
      </c>
      <c r="B553">
        <v>1082896324</v>
      </c>
      <c r="C553" t="s">
        <v>77</v>
      </c>
      <c r="D553" t="s">
        <v>78</v>
      </c>
      <c r="E553" t="s">
        <v>4010</v>
      </c>
      <c r="F553" s="1">
        <v>46242</v>
      </c>
      <c r="G553" s="1">
        <v>46272</v>
      </c>
      <c r="I553" t="s">
        <v>261</v>
      </c>
    </row>
    <row r="554" spans="1:9" hidden="1" x14ac:dyDescent="0.25">
      <c r="A554" s="1">
        <v>46244</v>
      </c>
      <c r="B554">
        <v>1036670970</v>
      </c>
      <c r="C554" t="s">
        <v>2642</v>
      </c>
      <c r="D554" t="s">
        <v>34</v>
      </c>
      <c r="E554" t="s">
        <v>4011</v>
      </c>
      <c r="F554" s="1">
        <v>46244</v>
      </c>
      <c r="G554" s="1">
        <v>46244</v>
      </c>
      <c r="I554" t="s">
        <v>4022</v>
      </c>
    </row>
    <row r="555" spans="1:9" hidden="1" x14ac:dyDescent="0.25">
      <c r="A555" s="1">
        <v>46244</v>
      </c>
      <c r="B555">
        <v>1003033764</v>
      </c>
      <c r="C555" t="s">
        <v>1209</v>
      </c>
      <c r="D555" t="s">
        <v>121</v>
      </c>
      <c r="E555" t="s">
        <v>4010</v>
      </c>
      <c r="F555" s="1">
        <v>46244</v>
      </c>
      <c r="G555" s="1">
        <v>46245</v>
      </c>
      <c r="I555" t="s">
        <v>4022</v>
      </c>
    </row>
    <row r="556" spans="1:9" hidden="1" x14ac:dyDescent="0.25">
      <c r="A556" s="1">
        <v>46244</v>
      </c>
      <c r="B556">
        <v>1143345388</v>
      </c>
      <c r="C556" t="s">
        <v>3079</v>
      </c>
      <c r="D556" t="s">
        <v>64</v>
      </c>
      <c r="E556" t="s">
        <v>4012</v>
      </c>
      <c r="F556" s="1">
        <v>46244</v>
      </c>
      <c r="G556" s="1">
        <v>46245</v>
      </c>
      <c r="I556" t="s">
        <v>4022</v>
      </c>
    </row>
    <row r="557" spans="1:9" hidden="1" x14ac:dyDescent="0.25">
      <c r="A557" s="1">
        <v>46244</v>
      </c>
      <c r="B557">
        <v>1193370054</v>
      </c>
      <c r="C557" t="s">
        <v>918</v>
      </c>
      <c r="D557" t="s">
        <v>142</v>
      </c>
      <c r="E557" t="s">
        <v>4012</v>
      </c>
      <c r="F557" s="1">
        <v>46244</v>
      </c>
      <c r="G557" s="1">
        <v>46244</v>
      </c>
      <c r="I557" t="s">
        <v>4022</v>
      </c>
    </row>
    <row r="558" spans="1:9" hidden="1" x14ac:dyDescent="0.25">
      <c r="A558" s="1">
        <v>46244</v>
      </c>
      <c r="B558">
        <v>1048266834</v>
      </c>
      <c r="C558" t="s">
        <v>1162</v>
      </c>
      <c r="D558" t="s">
        <v>29</v>
      </c>
      <c r="E558" t="s">
        <v>4005</v>
      </c>
      <c r="F558" s="1">
        <v>46244</v>
      </c>
      <c r="G558" s="1">
        <v>46244</v>
      </c>
      <c r="I558" t="s">
        <v>261</v>
      </c>
    </row>
    <row r="559" spans="1:9" hidden="1" x14ac:dyDescent="0.25">
      <c r="A559" s="1">
        <v>46244</v>
      </c>
      <c r="B559">
        <v>1069505986</v>
      </c>
      <c r="C559" t="s">
        <v>850</v>
      </c>
      <c r="D559" t="s">
        <v>142</v>
      </c>
      <c r="E559" t="s">
        <v>4012</v>
      </c>
      <c r="F559" s="1">
        <v>46244</v>
      </c>
      <c r="G559" s="1">
        <v>46244</v>
      </c>
      <c r="I559" t="s">
        <v>261</v>
      </c>
    </row>
    <row r="560" spans="1:9" hidden="1" x14ac:dyDescent="0.25">
      <c r="A560" s="1">
        <v>46244</v>
      </c>
      <c r="B560">
        <v>1039468657</v>
      </c>
      <c r="C560" t="s">
        <v>2339</v>
      </c>
      <c r="D560" t="s">
        <v>2019</v>
      </c>
      <c r="E560" t="s">
        <v>4011</v>
      </c>
      <c r="F560" s="1">
        <v>46244</v>
      </c>
      <c r="G560" s="1">
        <v>46245</v>
      </c>
      <c r="I560" t="s">
        <v>261</v>
      </c>
    </row>
    <row r="561" spans="1:9" hidden="1" x14ac:dyDescent="0.25">
      <c r="A561" s="1">
        <v>46244</v>
      </c>
      <c r="B561">
        <v>1001995044</v>
      </c>
      <c r="C561" t="s">
        <v>3787</v>
      </c>
      <c r="D561" t="s">
        <v>128</v>
      </c>
      <c r="E561" t="s">
        <v>4005</v>
      </c>
      <c r="F561" s="1">
        <v>46244</v>
      </c>
      <c r="G561" s="1">
        <v>46244</v>
      </c>
      <c r="I561" t="s">
        <v>4022</v>
      </c>
    </row>
    <row r="562" spans="1:9" hidden="1" x14ac:dyDescent="0.25">
      <c r="A562" s="1">
        <v>46244</v>
      </c>
      <c r="B562">
        <v>1003361835</v>
      </c>
      <c r="C562" t="s">
        <v>792</v>
      </c>
      <c r="D562" t="s">
        <v>420</v>
      </c>
      <c r="E562" t="s">
        <v>4010</v>
      </c>
      <c r="F562" s="1">
        <v>46244</v>
      </c>
      <c r="G562" s="1">
        <v>46245</v>
      </c>
      <c r="I562" t="s">
        <v>4022</v>
      </c>
    </row>
    <row r="563" spans="1:9" hidden="1" x14ac:dyDescent="0.25">
      <c r="A563" s="1">
        <v>46244</v>
      </c>
      <c r="B563">
        <v>1007743475</v>
      </c>
      <c r="C563" t="s">
        <v>3251</v>
      </c>
      <c r="D563" t="s">
        <v>64</v>
      </c>
      <c r="E563" t="s">
        <v>4012</v>
      </c>
      <c r="F563" s="1">
        <v>46244</v>
      </c>
      <c r="G563" s="1">
        <v>46244</v>
      </c>
      <c r="I563" t="s">
        <v>4022</v>
      </c>
    </row>
    <row r="564" spans="1:9" hidden="1" x14ac:dyDescent="0.25">
      <c r="A564" s="1">
        <v>46244</v>
      </c>
      <c r="B564">
        <v>1002155665</v>
      </c>
      <c r="C564" t="s">
        <v>3756</v>
      </c>
      <c r="D564" t="s">
        <v>160</v>
      </c>
      <c r="E564" t="s">
        <v>4011</v>
      </c>
      <c r="F564" s="1">
        <v>46244</v>
      </c>
      <c r="G564" s="1">
        <v>46245</v>
      </c>
      <c r="I564" t="s">
        <v>4022</v>
      </c>
    </row>
    <row r="565" spans="1:9" hidden="1" x14ac:dyDescent="0.25">
      <c r="A565" s="1">
        <v>46244</v>
      </c>
      <c r="B565">
        <v>43616929</v>
      </c>
      <c r="C565" t="s">
        <v>347</v>
      </c>
      <c r="D565" t="s">
        <v>78</v>
      </c>
      <c r="E565" t="s">
        <v>4010</v>
      </c>
      <c r="F565" s="1">
        <v>46244</v>
      </c>
      <c r="G565" s="1">
        <v>46244</v>
      </c>
      <c r="I565" t="s">
        <v>4022</v>
      </c>
    </row>
    <row r="566" spans="1:9" hidden="1" x14ac:dyDescent="0.25">
      <c r="A566" s="1">
        <v>46244</v>
      </c>
      <c r="B566">
        <v>1014237413</v>
      </c>
      <c r="C566" t="s">
        <v>756</v>
      </c>
      <c r="D566" t="s">
        <v>420</v>
      </c>
      <c r="E566" t="s">
        <v>4010</v>
      </c>
      <c r="F566" s="1">
        <v>46244</v>
      </c>
      <c r="G566" s="1">
        <v>46246</v>
      </c>
      <c r="I566" t="s">
        <v>261</v>
      </c>
    </row>
    <row r="567" spans="1:9" hidden="1" x14ac:dyDescent="0.25">
      <c r="A567" s="1">
        <v>46244</v>
      </c>
      <c r="B567">
        <v>1124014714</v>
      </c>
      <c r="C567" t="s">
        <v>2153</v>
      </c>
      <c r="D567" t="s">
        <v>343</v>
      </c>
      <c r="E567" t="s">
        <v>4012</v>
      </c>
      <c r="F567" s="1">
        <v>46244</v>
      </c>
      <c r="G567" s="1">
        <v>46245</v>
      </c>
      <c r="I567" t="s">
        <v>4022</v>
      </c>
    </row>
    <row r="568" spans="1:9" hidden="1" x14ac:dyDescent="0.25">
      <c r="A568" s="1">
        <v>46244</v>
      </c>
      <c r="B568">
        <v>1193568408</v>
      </c>
      <c r="C568" t="s">
        <v>373</v>
      </c>
      <c r="D568" t="s">
        <v>322</v>
      </c>
      <c r="E568" t="s">
        <v>4017</v>
      </c>
      <c r="F568" s="1">
        <v>46244</v>
      </c>
      <c r="G568" s="1">
        <v>46245</v>
      </c>
      <c r="I568" t="s">
        <v>4134</v>
      </c>
    </row>
    <row r="569" spans="1:9" hidden="1" x14ac:dyDescent="0.25">
      <c r="A569" s="1">
        <v>46244</v>
      </c>
      <c r="B569">
        <v>1007959114</v>
      </c>
      <c r="C569" t="s">
        <v>2581</v>
      </c>
      <c r="D569" t="s">
        <v>51</v>
      </c>
      <c r="E569" t="s">
        <v>4011</v>
      </c>
      <c r="F569" s="1">
        <v>46244</v>
      </c>
      <c r="G569" s="1">
        <v>46244</v>
      </c>
      <c r="I569" t="s">
        <v>4022</v>
      </c>
    </row>
    <row r="570" spans="1:9" hidden="1" x14ac:dyDescent="0.25">
      <c r="A570" s="1">
        <v>46244</v>
      </c>
      <c r="B570">
        <v>1053853703</v>
      </c>
      <c r="C570" t="s">
        <v>2150</v>
      </c>
      <c r="D570" t="s">
        <v>543</v>
      </c>
      <c r="E570" t="s">
        <v>4010</v>
      </c>
      <c r="F570" s="1">
        <v>46244</v>
      </c>
      <c r="G570" s="1">
        <v>46244</v>
      </c>
      <c r="I570" t="s">
        <v>261</v>
      </c>
    </row>
    <row r="571" spans="1:9" hidden="1" x14ac:dyDescent="0.25">
      <c r="A571" s="1">
        <v>46244</v>
      </c>
      <c r="B571">
        <v>1216726482</v>
      </c>
      <c r="C571" t="s">
        <v>2940</v>
      </c>
      <c r="D571" t="s">
        <v>553</v>
      </c>
      <c r="E571" t="s">
        <v>4010</v>
      </c>
      <c r="F571" s="1">
        <v>46244</v>
      </c>
      <c r="G571" s="1">
        <v>46244</v>
      </c>
      <c r="I571" t="s">
        <v>261</v>
      </c>
    </row>
    <row r="572" spans="1:9" hidden="1" x14ac:dyDescent="0.25">
      <c r="A572" s="1">
        <v>46245</v>
      </c>
      <c r="B572">
        <v>1007743475</v>
      </c>
      <c r="C572" t="s">
        <v>3251</v>
      </c>
      <c r="D572" t="s">
        <v>64</v>
      </c>
      <c r="E572" t="s">
        <v>4012</v>
      </c>
      <c r="F572" s="1">
        <v>46244</v>
      </c>
      <c r="G572" s="1">
        <v>46244</v>
      </c>
      <c r="I572" t="s">
        <v>4006</v>
      </c>
    </row>
    <row r="573" spans="1:9" hidden="1" x14ac:dyDescent="0.25">
      <c r="A573" s="1">
        <v>46245</v>
      </c>
      <c r="B573">
        <v>1003361835</v>
      </c>
      <c r="C573" t="s">
        <v>792</v>
      </c>
      <c r="D573" t="s">
        <v>420</v>
      </c>
      <c r="E573" t="s">
        <v>4010</v>
      </c>
      <c r="F573" s="1">
        <v>46244</v>
      </c>
      <c r="G573" s="1">
        <v>46245</v>
      </c>
      <c r="I573" t="s">
        <v>261</v>
      </c>
    </row>
    <row r="574" spans="1:9" hidden="1" x14ac:dyDescent="0.25">
      <c r="A574" s="1">
        <v>46245</v>
      </c>
      <c r="B574">
        <v>1069505986</v>
      </c>
      <c r="C574" t="s">
        <v>850</v>
      </c>
      <c r="D574" t="s">
        <v>142</v>
      </c>
      <c r="E574" t="s">
        <v>4012</v>
      </c>
      <c r="F574" s="1">
        <v>46244</v>
      </c>
      <c r="G574" s="1">
        <v>46244</v>
      </c>
      <c r="I574" t="s">
        <v>4006</v>
      </c>
    </row>
    <row r="575" spans="1:9" hidden="1" x14ac:dyDescent="0.25">
      <c r="A575" s="1">
        <v>46245</v>
      </c>
      <c r="B575">
        <v>1036670970</v>
      </c>
      <c r="C575" t="s">
        <v>2642</v>
      </c>
      <c r="D575" t="s">
        <v>34</v>
      </c>
      <c r="E575" t="s">
        <v>4011</v>
      </c>
      <c r="F575" s="1">
        <v>46244</v>
      </c>
      <c r="G575" s="1">
        <v>46244</v>
      </c>
      <c r="I575" t="s">
        <v>4006</v>
      </c>
    </row>
    <row r="576" spans="1:9" hidden="1" x14ac:dyDescent="0.25">
      <c r="A576" s="1">
        <v>46245</v>
      </c>
      <c r="B576">
        <v>1003033764</v>
      </c>
      <c r="C576" t="s">
        <v>1209</v>
      </c>
      <c r="D576" t="s">
        <v>121</v>
      </c>
      <c r="E576" t="s">
        <v>4010</v>
      </c>
      <c r="F576" s="1">
        <v>46244</v>
      </c>
      <c r="G576" s="1">
        <v>46245</v>
      </c>
      <c r="I576" t="s">
        <v>261</v>
      </c>
    </row>
    <row r="577" spans="1:9" hidden="1" x14ac:dyDescent="0.25">
      <c r="A577" s="1">
        <v>46245</v>
      </c>
      <c r="B577">
        <v>1143345388</v>
      </c>
      <c r="C577" t="s">
        <v>3079</v>
      </c>
      <c r="D577" t="s">
        <v>64</v>
      </c>
      <c r="E577" t="s">
        <v>4012</v>
      </c>
      <c r="F577" s="1">
        <v>46244</v>
      </c>
      <c r="G577" s="1">
        <v>46245</v>
      </c>
      <c r="I577" t="s">
        <v>261</v>
      </c>
    </row>
    <row r="578" spans="1:9" hidden="1" x14ac:dyDescent="0.25">
      <c r="A578" s="1">
        <v>46245</v>
      </c>
      <c r="B578">
        <v>1193370054</v>
      </c>
      <c r="C578" t="s">
        <v>918</v>
      </c>
      <c r="D578" t="s">
        <v>142</v>
      </c>
      <c r="E578" t="s">
        <v>4012</v>
      </c>
      <c r="F578" s="1">
        <v>46244</v>
      </c>
      <c r="G578" s="1">
        <v>46244</v>
      </c>
      <c r="I578" t="s">
        <v>261</v>
      </c>
    </row>
    <row r="579" spans="1:9" hidden="1" x14ac:dyDescent="0.25">
      <c r="A579" s="1">
        <v>46245</v>
      </c>
      <c r="B579">
        <v>1037646627</v>
      </c>
      <c r="C579" t="s">
        <v>3260</v>
      </c>
      <c r="D579" t="s">
        <v>121</v>
      </c>
      <c r="E579" t="s">
        <v>4010</v>
      </c>
      <c r="F579" s="1">
        <v>46244</v>
      </c>
      <c r="G579" s="1">
        <v>46245</v>
      </c>
      <c r="H579" t="s">
        <v>244</v>
      </c>
      <c r="I579" t="s">
        <v>245</v>
      </c>
    </row>
    <row r="580" spans="1:9" hidden="1" x14ac:dyDescent="0.25">
      <c r="A580" s="1">
        <v>46245</v>
      </c>
      <c r="B580">
        <v>1040047481</v>
      </c>
      <c r="C580" t="s">
        <v>2280</v>
      </c>
      <c r="D580" t="s">
        <v>211</v>
      </c>
      <c r="E580" t="s">
        <v>4017</v>
      </c>
      <c r="F580" s="1">
        <v>46242</v>
      </c>
      <c r="G580" s="1">
        <v>46248</v>
      </c>
      <c r="I580" t="s">
        <v>4006</v>
      </c>
    </row>
    <row r="581" spans="1:9" hidden="1" x14ac:dyDescent="0.25">
      <c r="A581" s="1">
        <v>46245</v>
      </c>
      <c r="B581">
        <v>1000921455</v>
      </c>
      <c r="C581" t="s">
        <v>33</v>
      </c>
      <c r="D581" t="s">
        <v>34</v>
      </c>
      <c r="E581" t="s">
        <v>4011</v>
      </c>
      <c r="F581" s="1">
        <v>46242</v>
      </c>
      <c r="G581" s="1">
        <v>46246</v>
      </c>
      <c r="I581" t="s">
        <v>261</v>
      </c>
    </row>
    <row r="582" spans="1:9" hidden="1" x14ac:dyDescent="0.25">
      <c r="A582" s="1">
        <v>46245</v>
      </c>
      <c r="B582">
        <v>1007842898</v>
      </c>
      <c r="C582" t="s">
        <v>4132</v>
      </c>
      <c r="D582" t="s">
        <v>343</v>
      </c>
      <c r="E582" t="s">
        <v>4012</v>
      </c>
      <c r="F582" s="1">
        <v>46244</v>
      </c>
      <c r="G582" s="1">
        <v>46246</v>
      </c>
      <c r="I582" t="s">
        <v>261</v>
      </c>
    </row>
    <row r="583" spans="1:9" hidden="1" x14ac:dyDescent="0.25">
      <c r="A583" s="1">
        <v>46245</v>
      </c>
      <c r="B583">
        <v>1045718883</v>
      </c>
      <c r="C583" t="s">
        <v>47</v>
      </c>
      <c r="D583" t="s">
        <v>34</v>
      </c>
      <c r="E583" t="s">
        <v>4011</v>
      </c>
      <c r="F583" s="1">
        <v>46240</v>
      </c>
      <c r="G583" s="1">
        <v>46249</v>
      </c>
      <c r="H583" t="s">
        <v>240</v>
      </c>
      <c r="I583" t="s">
        <v>241</v>
      </c>
    </row>
    <row r="584" spans="1:9" hidden="1" x14ac:dyDescent="0.25">
      <c r="A584" s="1">
        <v>46245</v>
      </c>
      <c r="B584">
        <v>1143413583</v>
      </c>
      <c r="C584" t="s">
        <v>54</v>
      </c>
      <c r="D584" t="s">
        <v>41</v>
      </c>
      <c r="E584" t="s">
        <v>4011</v>
      </c>
      <c r="F584" s="1">
        <v>46240</v>
      </c>
      <c r="G584" s="1">
        <v>46244</v>
      </c>
      <c r="I584" t="s">
        <v>4006</v>
      </c>
    </row>
    <row r="585" spans="1:9" hidden="1" x14ac:dyDescent="0.25">
      <c r="A585" s="1">
        <v>46245</v>
      </c>
      <c r="B585">
        <v>1042422897</v>
      </c>
      <c r="C585" t="s">
        <v>4069</v>
      </c>
      <c r="D585" t="s">
        <v>326</v>
      </c>
      <c r="E585" t="s">
        <v>4005</v>
      </c>
      <c r="F585" s="1">
        <v>46242</v>
      </c>
      <c r="G585" s="1">
        <v>46245</v>
      </c>
      <c r="I585" t="s">
        <v>261</v>
      </c>
    </row>
    <row r="586" spans="1:9" hidden="1" x14ac:dyDescent="0.25">
      <c r="A586" s="1">
        <v>46245</v>
      </c>
      <c r="B586">
        <v>1143374438</v>
      </c>
      <c r="C586" t="s">
        <v>85</v>
      </c>
      <c r="D586" t="s">
        <v>41</v>
      </c>
      <c r="E586" t="s">
        <v>4011</v>
      </c>
      <c r="F586" s="1">
        <v>46239</v>
      </c>
      <c r="G586" s="1">
        <v>46268</v>
      </c>
      <c r="H586" t="s">
        <v>171</v>
      </c>
      <c r="I586" t="s">
        <v>172</v>
      </c>
    </row>
    <row r="587" spans="1:9" hidden="1" x14ac:dyDescent="0.25">
      <c r="A587" s="1">
        <v>46245</v>
      </c>
      <c r="B587">
        <v>1015483595</v>
      </c>
      <c r="C587" t="s">
        <v>243</v>
      </c>
      <c r="D587" t="s">
        <v>34</v>
      </c>
      <c r="E587" t="s">
        <v>4011</v>
      </c>
      <c r="F587" s="1">
        <v>46244</v>
      </c>
      <c r="G587" s="1">
        <v>46265</v>
      </c>
      <c r="I587" t="s">
        <v>261</v>
      </c>
    </row>
    <row r="588" spans="1:9" hidden="1" x14ac:dyDescent="0.25">
      <c r="A588" s="1">
        <v>46245</v>
      </c>
      <c r="B588">
        <v>1067963513</v>
      </c>
      <c r="C588" t="s">
        <v>112</v>
      </c>
      <c r="D588" t="s">
        <v>29</v>
      </c>
      <c r="E588" t="s">
        <v>4005</v>
      </c>
      <c r="F588" s="1">
        <v>46240</v>
      </c>
      <c r="G588" s="1">
        <v>46265</v>
      </c>
      <c r="I588" t="s">
        <v>4126</v>
      </c>
    </row>
    <row r="589" spans="1:9" hidden="1" x14ac:dyDescent="0.25">
      <c r="A589" s="1">
        <v>46245</v>
      </c>
      <c r="B589">
        <v>1036670630</v>
      </c>
      <c r="C589" t="s">
        <v>1093</v>
      </c>
      <c r="D589" t="s">
        <v>15</v>
      </c>
      <c r="E589" t="s">
        <v>4012</v>
      </c>
      <c r="F589" s="1">
        <v>46244</v>
      </c>
      <c r="G589" s="1">
        <v>46244</v>
      </c>
      <c r="I589" t="s">
        <v>4006</v>
      </c>
    </row>
    <row r="590" spans="1:9" hidden="1" x14ac:dyDescent="0.25">
      <c r="A590" s="1">
        <v>46245</v>
      </c>
      <c r="B590">
        <v>42141273</v>
      </c>
      <c r="C590" t="s">
        <v>210</v>
      </c>
      <c r="D590" t="s">
        <v>211</v>
      </c>
      <c r="E590" t="s">
        <v>4017</v>
      </c>
      <c r="F590" s="1">
        <v>46232</v>
      </c>
      <c r="G590" s="1">
        <v>46261</v>
      </c>
      <c r="H590" t="s">
        <v>230</v>
      </c>
      <c r="I590" t="s">
        <v>231</v>
      </c>
    </row>
    <row r="591" spans="1:9" hidden="1" x14ac:dyDescent="0.25">
      <c r="A591" s="1">
        <v>46245</v>
      </c>
      <c r="B591">
        <v>1001851670</v>
      </c>
      <c r="C591" t="s">
        <v>14</v>
      </c>
      <c r="D591" t="s">
        <v>15</v>
      </c>
      <c r="E591" t="s">
        <v>4012</v>
      </c>
      <c r="F591" s="1">
        <v>46241</v>
      </c>
      <c r="G591" s="1">
        <v>46366</v>
      </c>
      <c r="H591" t="s">
        <v>17</v>
      </c>
      <c r="I591" t="s">
        <v>18</v>
      </c>
    </row>
    <row r="592" spans="1:9" hidden="1" x14ac:dyDescent="0.25">
      <c r="A592" s="1">
        <v>46245</v>
      </c>
      <c r="B592">
        <v>1035876080</v>
      </c>
      <c r="C592" t="s">
        <v>120</v>
      </c>
      <c r="D592" t="s">
        <v>121</v>
      </c>
      <c r="E592" t="s">
        <v>4010</v>
      </c>
      <c r="F592" s="1">
        <v>46239</v>
      </c>
      <c r="G592" s="1">
        <v>46245</v>
      </c>
      <c r="H592" t="s">
        <v>122</v>
      </c>
      <c r="I592" t="s">
        <v>123</v>
      </c>
    </row>
    <row r="593" spans="1:9" hidden="1" x14ac:dyDescent="0.25">
      <c r="A593" s="1">
        <v>46245</v>
      </c>
      <c r="B593">
        <v>1005424850</v>
      </c>
      <c r="C593" t="s">
        <v>56</v>
      </c>
      <c r="D593" t="s">
        <v>57</v>
      </c>
      <c r="E593" t="s">
        <v>4010</v>
      </c>
      <c r="F593" s="1">
        <v>46238</v>
      </c>
      <c r="G593" s="1">
        <v>46245</v>
      </c>
      <c r="H593" t="s">
        <v>188</v>
      </c>
      <c r="I593" t="s">
        <v>189</v>
      </c>
    </row>
    <row r="594" spans="1:9" hidden="1" x14ac:dyDescent="0.25">
      <c r="A594" s="1">
        <v>46245</v>
      </c>
      <c r="B594">
        <v>1152221372</v>
      </c>
      <c r="C594" t="s">
        <v>2313</v>
      </c>
      <c r="D594" t="s">
        <v>128</v>
      </c>
      <c r="E594" t="s">
        <v>4005</v>
      </c>
      <c r="F594" s="1">
        <v>46230</v>
      </c>
      <c r="H594" t="s">
        <v>147</v>
      </c>
      <c r="I594" t="s">
        <v>148</v>
      </c>
    </row>
    <row r="595" spans="1:9" hidden="1" x14ac:dyDescent="0.25">
      <c r="A595" s="1">
        <v>46245</v>
      </c>
      <c r="B595">
        <v>1017264032</v>
      </c>
      <c r="C595" t="s">
        <v>63</v>
      </c>
      <c r="D595" t="s">
        <v>64</v>
      </c>
      <c r="E595" t="s">
        <v>4012</v>
      </c>
      <c r="F595" s="1">
        <v>46229</v>
      </c>
      <c r="G595" s="1">
        <v>46258</v>
      </c>
      <c r="H595" t="s">
        <v>154</v>
      </c>
      <c r="I595" t="s">
        <v>155</v>
      </c>
    </row>
    <row r="596" spans="1:9" hidden="1" x14ac:dyDescent="0.25">
      <c r="A596" s="1">
        <v>46245</v>
      </c>
      <c r="B596">
        <v>1036132488</v>
      </c>
      <c r="C596" t="s">
        <v>150</v>
      </c>
      <c r="D596" t="s">
        <v>142</v>
      </c>
      <c r="E596" t="s">
        <v>4012</v>
      </c>
      <c r="F596" s="1">
        <v>46227</v>
      </c>
      <c r="G596" s="1">
        <v>46246</v>
      </c>
      <c r="H596" t="s">
        <v>247</v>
      </c>
      <c r="I596" t="s">
        <v>248</v>
      </c>
    </row>
    <row r="597" spans="1:9" hidden="1" x14ac:dyDescent="0.25">
      <c r="A597" s="1">
        <v>46245</v>
      </c>
      <c r="B597">
        <v>43558465</v>
      </c>
      <c r="C597" t="s">
        <v>103</v>
      </c>
      <c r="D597" t="s">
        <v>64</v>
      </c>
      <c r="E597" t="s">
        <v>4012</v>
      </c>
      <c r="F597" s="1">
        <v>46226</v>
      </c>
      <c r="G597" s="1">
        <v>46246</v>
      </c>
      <c r="I597" t="s">
        <v>261</v>
      </c>
    </row>
    <row r="598" spans="1:9" hidden="1" x14ac:dyDescent="0.25">
      <c r="A598" s="1">
        <v>46245</v>
      </c>
      <c r="B598">
        <v>1037631989</v>
      </c>
      <c r="C598" t="s">
        <v>40</v>
      </c>
      <c r="D598" t="s">
        <v>41</v>
      </c>
      <c r="E598" t="s">
        <v>4011</v>
      </c>
      <c r="F598" s="1">
        <v>46226</v>
      </c>
      <c r="G598" s="1">
        <v>46255</v>
      </c>
      <c r="I598" t="s">
        <v>261</v>
      </c>
    </row>
    <row r="599" spans="1:9" hidden="1" x14ac:dyDescent="0.25">
      <c r="A599" s="1">
        <v>46245</v>
      </c>
      <c r="B599">
        <v>1043006106</v>
      </c>
      <c r="C599" t="s">
        <v>194</v>
      </c>
      <c r="D599" t="s">
        <v>160</v>
      </c>
      <c r="E599" t="s">
        <v>4011</v>
      </c>
      <c r="F599" s="1">
        <v>46219</v>
      </c>
      <c r="G599" s="1">
        <v>46248</v>
      </c>
      <c r="H599" t="s">
        <v>191</v>
      </c>
      <c r="I599" t="s">
        <v>192</v>
      </c>
    </row>
    <row r="600" spans="1:9" hidden="1" x14ac:dyDescent="0.25">
      <c r="A600" s="1">
        <v>46245</v>
      </c>
      <c r="B600">
        <v>1037638426</v>
      </c>
      <c r="C600" t="s">
        <v>44</v>
      </c>
      <c r="D600" t="s">
        <v>41</v>
      </c>
      <c r="E600" t="s">
        <v>4011</v>
      </c>
      <c r="F600" s="1">
        <v>46230</v>
      </c>
      <c r="G600" s="1">
        <v>46262</v>
      </c>
      <c r="H600" t="s">
        <v>35</v>
      </c>
      <c r="I600" t="s">
        <v>36</v>
      </c>
    </row>
    <row r="601" spans="1:9" hidden="1" x14ac:dyDescent="0.25">
      <c r="A601" s="1">
        <v>46245</v>
      </c>
      <c r="B601">
        <v>1018466443</v>
      </c>
      <c r="C601" t="s">
        <v>1715</v>
      </c>
      <c r="D601" t="s">
        <v>410</v>
      </c>
      <c r="E601" t="s">
        <v>4005</v>
      </c>
      <c r="F601" s="1">
        <v>46239</v>
      </c>
      <c r="G601" s="1">
        <v>46244</v>
      </c>
      <c r="I601" t="s">
        <v>4006</v>
      </c>
    </row>
    <row r="602" spans="1:9" hidden="1" x14ac:dyDescent="0.25">
      <c r="A602" s="1">
        <v>46245</v>
      </c>
      <c r="B602">
        <v>1121506548</v>
      </c>
      <c r="C602" t="s">
        <v>50</v>
      </c>
      <c r="D602" t="s">
        <v>51</v>
      </c>
      <c r="E602" t="s">
        <v>4011</v>
      </c>
      <c r="F602" s="1">
        <v>46217</v>
      </c>
      <c r="G602" s="1">
        <v>46342</v>
      </c>
      <c r="I602" t="s">
        <v>261</v>
      </c>
    </row>
    <row r="603" spans="1:9" hidden="1" x14ac:dyDescent="0.25">
      <c r="A603" s="1">
        <v>46245</v>
      </c>
      <c r="B603">
        <v>1143460426</v>
      </c>
      <c r="C603" t="s">
        <v>4034</v>
      </c>
      <c r="D603" t="s">
        <v>160</v>
      </c>
      <c r="E603" t="s">
        <v>4011</v>
      </c>
      <c r="F603" s="1">
        <v>46195</v>
      </c>
      <c r="G603" s="1">
        <v>46198</v>
      </c>
      <c r="H603" t="s">
        <v>162</v>
      </c>
      <c r="I603" t="s">
        <v>163</v>
      </c>
    </row>
    <row r="604" spans="1:9" hidden="1" x14ac:dyDescent="0.25">
      <c r="A604" s="1">
        <v>46245</v>
      </c>
      <c r="B604">
        <v>1048266834</v>
      </c>
      <c r="C604" t="s">
        <v>1162</v>
      </c>
      <c r="D604" t="s">
        <v>29</v>
      </c>
      <c r="E604" t="s">
        <v>4005</v>
      </c>
      <c r="F604" s="1">
        <v>46244</v>
      </c>
      <c r="G604" s="1">
        <v>46244</v>
      </c>
      <c r="I604" t="s">
        <v>4006</v>
      </c>
    </row>
    <row r="605" spans="1:9" hidden="1" x14ac:dyDescent="0.25">
      <c r="A605" s="1">
        <v>46245</v>
      </c>
      <c r="B605">
        <v>1001995044</v>
      </c>
      <c r="C605" t="s">
        <v>3787</v>
      </c>
      <c r="D605" t="s">
        <v>128</v>
      </c>
      <c r="E605" t="s">
        <v>4005</v>
      </c>
      <c r="F605" s="1">
        <v>46244</v>
      </c>
      <c r="G605" s="1">
        <v>46244</v>
      </c>
      <c r="I605" t="s">
        <v>4006</v>
      </c>
    </row>
    <row r="606" spans="1:9" hidden="1" x14ac:dyDescent="0.25">
      <c r="A606" s="1">
        <v>46245</v>
      </c>
      <c r="B606">
        <v>1098777544</v>
      </c>
      <c r="C606" t="s">
        <v>81</v>
      </c>
      <c r="D606" t="s">
        <v>82</v>
      </c>
      <c r="E606" t="s">
        <v>4005</v>
      </c>
      <c r="F606" s="1">
        <v>46217</v>
      </c>
      <c r="G606" s="1">
        <v>46246</v>
      </c>
      <c r="I606" t="s">
        <v>261</v>
      </c>
    </row>
    <row r="607" spans="1:9" hidden="1" x14ac:dyDescent="0.25">
      <c r="A607" s="1">
        <v>46245</v>
      </c>
      <c r="B607">
        <v>1082896324</v>
      </c>
      <c r="C607" t="s">
        <v>77</v>
      </c>
      <c r="D607" t="s">
        <v>78</v>
      </c>
      <c r="E607" t="s">
        <v>4010</v>
      </c>
      <c r="F607" s="1">
        <v>46242</v>
      </c>
      <c r="G607" s="1">
        <v>46272</v>
      </c>
      <c r="H607" t="s">
        <v>73</v>
      </c>
      <c r="I607" t="s">
        <v>74</v>
      </c>
    </row>
    <row r="608" spans="1:9" hidden="1" x14ac:dyDescent="0.25">
      <c r="A608" s="1">
        <v>46245</v>
      </c>
      <c r="B608">
        <v>1039468657</v>
      </c>
      <c r="C608" t="s">
        <v>2339</v>
      </c>
      <c r="D608" t="s">
        <v>2019</v>
      </c>
      <c r="E608" t="s">
        <v>4011</v>
      </c>
      <c r="F608" s="1">
        <v>46244</v>
      </c>
      <c r="G608" s="1">
        <v>46245</v>
      </c>
      <c r="H608" t="s">
        <v>178</v>
      </c>
      <c r="I608" t="s">
        <v>179</v>
      </c>
    </row>
    <row r="609" spans="1:9" hidden="1" x14ac:dyDescent="0.25">
      <c r="A609" s="1">
        <v>46245</v>
      </c>
      <c r="B609">
        <v>1102808787</v>
      </c>
      <c r="C609" t="s">
        <v>265</v>
      </c>
      <c r="D609" t="s">
        <v>51</v>
      </c>
      <c r="E609" t="s">
        <v>4011</v>
      </c>
      <c r="F609" s="1">
        <v>46237</v>
      </c>
      <c r="G609" s="1">
        <v>46256</v>
      </c>
      <c r="I609" t="s">
        <v>261</v>
      </c>
    </row>
    <row r="610" spans="1:9" hidden="1" x14ac:dyDescent="0.25">
      <c r="A610" s="1">
        <v>46245</v>
      </c>
      <c r="B610">
        <v>1071169507</v>
      </c>
      <c r="C610" t="s">
        <v>88</v>
      </c>
      <c r="D610" t="s">
        <v>89</v>
      </c>
      <c r="E610" t="s">
        <v>4017</v>
      </c>
      <c r="F610" s="1">
        <v>46242</v>
      </c>
      <c r="G610" s="1">
        <v>46247</v>
      </c>
      <c r="H610" t="s">
        <v>134</v>
      </c>
      <c r="I610" t="s">
        <v>135</v>
      </c>
    </row>
    <row r="611" spans="1:9" hidden="1" x14ac:dyDescent="0.25">
      <c r="A611" s="1">
        <v>46245</v>
      </c>
      <c r="B611">
        <v>1036965348</v>
      </c>
      <c r="C611" t="s">
        <v>186</v>
      </c>
      <c r="D611" t="s">
        <v>4045</v>
      </c>
      <c r="E611" t="s">
        <v>4011</v>
      </c>
      <c r="F611" s="1">
        <v>46245</v>
      </c>
      <c r="G611" s="1">
        <v>46245</v>
      </c>
      <c r="I611" t="s">
        <v>4099</v>
      </c>
    </row>
    <row r="612" spans="1:9" hidden="1" x14ac:dyDescent="0.25">
      <c r="A612" s="1">
        <v>46245</v>
      </c>
      <c r="B612">
        <v>1002155665</v>
      </c>
      <c r="C612" t="s">
        <v>3756</v>
      </c>
      <c r="D612" t="s">
        <v>160</v>
      </c>
      <c r="E612" t="s">
        <v>4011</v>
      </c>
      <c r="F612" s="1">
        <v>46244</v>
      </c>
      <c r="G612" s="1">
        <v>46245</v>
      </c>
      <c r="I612" t="s">
        <v>4022</v>
      </c>
    </row>
    <row r="613" spans="1:9" hidden="1" x14ac:dyDescent="0.25">
      <c r="A613" s="1">
        <v>46245</v>
      </c>
      <c r="B613">
        <v>1014237413</v>
      </c>
      <c r="C613" t="s">
        <v>756</v>
      </c>
      <c r="D613" t="s">
        <v>420</v>
      </c>
      <c r="E613" t="s">
        <v>4010</v>
      </c>
      <c r="F613" s="1">
        <v>46244</v>
      </c>
      <c r="G613" s="1">
        <v>46246</v>
      </c>
      <c r="I613" t="s">
        <v>261</v>
      </c>
    </row>
    <row r="614" spans="1:9" hidden="1" x14ac:dyDescent="0.25">
      <c r="A614" s="1">
        <v>46245</v>
      </c>
      <c r="B614">
        <v>43616929</v>
      </c>
      <c r="C614" t="s">
        <v>347</v>
      </c>
      <c r="D614" t="s">
        <v>78</v>
      </c>
      <c r="E614" t="s">
        <v>4010</v>
      </c>
      <c r="F614" s="1">
        <v>46244</v>
      </c>
      <c r="G614" s="1">
        <v>46244</v>
      </c>
      <c r="I614" t="s">
        <v>4006</v>
      </c>
    </row>
    <row r="615" spans="1:9" hidden="1" x14ac:dyDescent="0.25">
      <c r="A615" s="1">
        <v>46245</v>
      </c>
      <c r="B615">
        <v>1037671907</v>
      </c>
      <c r="C615" t="s">
        <v>4136</v>
      </c>
      <c r="D615" t="s">
        <v>57</v>
      </c>
      <c r="E615" t="s">
        <v>4010</v>
      </c>
      <c r="F615" s="1">
        <v>46245</v>
      </c>
      <c r="G615" s="1">
        <v>46247</v>
      </c>
      <c r="I615" t="s">
        <v>261</v>
      </c>
    </row>
    <row r="616" spans="1:9" hidden="1" x14ac:dyDescent="0.25">
      <c r="A616" s="1">
        <v>46245</v>
      </c>
      <c r="B616">
        <v>1124014714</v>
      </c>
      <c r="C616" t="s">
        <v>2153</v>
      </c>
      <c r="D616" t="s">
        <v>343</v>
      </c>
      <c r="E616" t="s">
        <v>4012</v>
      </c>
      <c r="F616" s="1">
        <v>46244</v>
      </c>
      <c r="G616" s="1">
        <v>46245</v>
      </c>
      <c r="I616" t="s">
        <v>4022</v>
      </c>
    </row>
    <row r="617" spans="1:9" hidden="1" x14ac:dyDescent="0.25">
      <c r="A617" s="1">
        <v>46245</v>
      </c>
      <c r="B617">
        <v>1007959114</v>
      </c>
      <c r="C617" t="s">
        <v>2581</v>
      </c>
      <c r="D617" t="s">
        <v>51</v>
      </c>
      <c r="E617" t="s">
        <v>4011</v>
      </c>
      <c r="F617" s="1">
        <v>46244</v>
      </c>
      <c r="G617" s="1">
        <v>46244</v>
      </c>
      <c r="I617" t="s">
        <v>261</v>
      </c>
    </row>
    <row r="618" spans="1:9" hidden="1" x14ac:dyDescent="0.25">
      <c r="A618" s="1">
        <v>46245</v>
      </c>
      <c r="B618">
        <v>1193568408</v>
      </c>
      <c r="C618" t="s">
        <v>373</v>
      </c>
      <c r="D618" t="s">
        <v>322</v>
      </c>
      <c r="E618" t="s">
        <v>4017</v>
      </c>
      <c r="F618" s="1">
        <v>46244</v>
      </c>
      <c r="G618" s="1">
        <v>46245</v>
      </c>
      <c r="H618" t="s">
        <v>3621</v>
      </c>
      <c r="I618" t="s">
        <v>3622</v>
      </c>
    </row>
    <row r="619" spans="1:9" hidden="1" x14ac:dyDescent="0.25">
      <c r="A619" s="1">
        <v>46245</v>
      </c>
      <c r="B619">
        <v>1000662062</v>
      </c>
      <c r="C619" t="s">
        <v>260</v>
      </c>
      <c r="D619" t="s">
        <v>64</v>
      </c>
      <c r="E619" t="s">
        <v>4012</v>
      </c>
      <c r="F619" s="1">
        <v>46245</v>
      </c>
      <c r="G619" s="1">
        <v>46249</v>
      </c>
      <c r="I619" t="s">
        <v>261</v>
      </c>
    </row>
    <row r="620" spans="1:9" hidden="1" x14ac:dyDescent="0.25">
      <c r="A620" s="1">
        <v>46245</v>
      </c>
      <c r="B620">
        <v>1000408752</v>
      </c>
      <c r="C620" t="s">
        <v>3598</v>
      </c>
      <c r="D620" t="s">
        <v>64</v>
      </c>
      <c r="E620" t="s">
        <v>4012</v>
      </c>
      <c r="F620" s="1">
        <v>46244</v>
      </c>
      <c r="G620" s="1">
        <v>46246</v>
      </c>
      <c r="I620" t="s">
        <v>261</v>
      </c>
    </row>
    <row r="621" spans="1:9" hidden="1" x14ac:dyDescent="0.25">
      <c r="A621" s="1">
        <v>46245</v>
      </c>
      <c r="B621">
        <v>1077462479</v>
      </c>
      <c r="C621" t="s">
        <v>3992</v>
      </c>
      <c r="D621" t="s">
        <v>142</v>
      </c>
      <c r="E621" t="s">
        <v>4012</v>
      </c>
      <c r="F621" s="1">
        <v>46245</v>
      </c>
      <c r="G621" s="1">
        <v>46247</v>
      </c>
      <c r="I621" t="s">
        <v>261</v>
      </c>
    </row>
    <row r="622" spans="1:9" hidden="1" x14ac:dyDescent="0.25">
      <c r="A622" s="1">
        <v>46245</v>
      </c>
      <c r="B622">
        <v>1017209928</v>
      </c>
      <c r="C622" t="s">
        <v>1135</v>
      </c>
      <c r="D622" t="s">
        <v>326</v>
      </c>
      <c r="E622" t="s">
        <v>4005</v>
      </c>
      <c r="F622" s="1">
        <v>46245</v>
      </c>
      <c r="G622" s="1">
        <v>46246</v>
      </c>
      <c r="I622" t="s">
        <v>4022</v>
      </c>
    </row>
    <row r="623" spans="1:9" hidden="1" x14ac:dyDescent="0.25">
      <c r="A623" s="1">
        <v>46245</v>
      </c>
      <c r="B623">
        <v>1007508679</v>
      </c>
      <c r="C623" t="s">
        <v>1298</v>
      </c>
      <c r="D623" t="s">
        <v>15</v>
      </c>
      <c r="E623" t="s">
        <v>4012</v>
      </c>
      <c r="F623" s="1">
        <v>46245</v>
      </c>
      <c r="G623" s="1">
        <v>46245</v>
      </c>
      <c r="I623" t="s">
        <v>261</v>
      </c>
    </row>
    <row r="624" spans="1:9" hidden="1" x14ac:dyDescent="0.25">
      <c r="A624" s="1">
        <v>46245</v>
      </c>
      <c r="B624">
        <v>1143360194</v>
      </c>
      <c r="C624" t="s">
        <v>3473</v>
      </c>
      <c r="D624" t="s">
        <v>160</v>
      </c>
      <c r="E624" t="s">
        <v>4011</v>
      </c>
      <c r="F624" s="1">
        <v>46245</v>
      </c>
      <c r="G624" s="1">
        <v>46246</v>
      </c>
      <c r="I624" t="s">
        <v>4022</v>
      </c>
    </row>
    <row r="625" spans="1:9" hidden="1" x14ac:dyDescent="0.25">
      <c r="A625" s="1">
        <v>46245</v>
      </c>
      <c r="B625">
        <v>1001944593</v>
      </c>
      <c r="C625" t="s">
        <v>2578</v>
      </c>
      <c r="D625" t="s">
        <v>78</v>
      </c>
      <c r="E625" t="s">
        <v>4010</v>
      </c>
      <c r="F625" s="1">
        <v>46245</v>
      </c>
      <c r="G625" s="1">
        <v>46245</v>
      </c>
      <c r="I625" t="s">
        <v>4022</v>
      </c>
    </row>
    <row r="626" spans="1:9" hidden="1" x14ac:dyDescent="0.25">
      <c r="A626" s="1">
        <v>46245</v>
      </c>
      <c r="B626">
        <v>1140876076</v>
      </c>
      <c r="C626" t="s">
        <v>1263</v>
      </c>
      <c r="D626" t="s">
        <v>34</v>
      </c>
      <c r="E626" t="s">
        <v>4011</v>
      </c>
      <c r="F626" s="1">
        <v>46245</v>
      </c>
      <c r="G626" s="1">
        <v>46246</v>
      </c>
      <c r="I626" t="s">
        <v>261</v>
      </c>
    </row>
    <row r="627" spans="1:9" hidden="1" x14ac:dyDescent="0.25">
      <c r="A627" s="1">
        <v>46245</v>
      </c>
      <c r="B627">
        <v>1001897056</v>
      </c>
      <c r="C627" t="s">
        <v>3660</v>
      </c>
      <c r="D627" t="s">
        <v>128</v>
      </c>
      <c r="E627" t="s">
        <v>4005</v>
      </c>
      <c r="F627" s="1">
        <v>46245</v>
      </c>
      <c r="G627" s="1">
        <v>46249</v>
      </c>
      <c r="I627" t="s">
        <v>4022</v>
      </c>
    </row>
    <row r="628" spans="1:9" hidden="1" x14ac:dyDescent="0.25">
      <c r="A628" s="1">
        <v>46245</v>
      </c>
      <c r="B628">
        <v>1193584838</v>
      </c>
      <c r="C628" t="s">
        <v>2955</v>
      </c>
      <c r="D628" t="s">
        <v>142</v>
      </c>
      <c r="E628" t="s">
        <v>4012</v>
      </c>
      <c r="F628" s="1">
        <v>46245</v>
      </c>
      <c r="G628" s="1">
        <v>46247</v>
      </c>
      <c r="I628" t="s">
        <v>4022</v>
      </c>
    </row>
    <row r="629" spans="1:9" hidden="1" x14ac:dyDescent="0.25">
      <c r="A629" s="1">
        <v>46245</v>
      </c>
      <c r="B629">
        <v>1052974971</v>
      </c>
      <c r="C629" t="s">
        <v>765</v>
      </c>
      <c r="D629" t="s">
        <v>97</v>
      </c>
      <c r="E629" t="s">
        <v>4005</v>
      </c>
      <c r="F629" s="1">
        <v>46245</v>
      </c>
      <c r="G629" s="1">
        <v>46245</v>
      </c>
      <c r="I629" t="s">
        <v>4022</v>
      </c>
    </row>
    <row r="630" spans="1:9" hidden="1" x14ac:dyDescent="0.25">
      <c r="A630" s="1">
        <v>46245</v>
      </c>
      <c r="B630">
        <v>43271257</v>
      </c>
      <c r="C630" t="s">
        <v>1236</v>
      </c>
      <c r="D630" t="s">
        <v>34</v>
      </c>
      <c r="E630" t="s">
        <v>4011</v>
      </c>
      <c r="F630" s="1">
        <v>46245</v>
      </c>
      <c r="G630" s="1">
        <v>46246</v>
      </c>
      <c r="I630" t="s">
        <v>4022</v>
      </c>
    </row>
    <row r="631" spans="1:9" hidden="1" x14ac:dyDescent="0.25">
      <c r="A631" s="1">
        <v>46245</v>
      </c>
      <c r="B631">
        <v>1000416307</v>
      </c>
      <c r="C631" t="s">
        <v>3014</v>
      </c>
      <c r="D631" t="s">
        <v>82</v>
      </c>
      <c r="E631" t="s">
        <v>4005</v>
      </c>
      <c r="F631" s="1">
        <v>46245</v>
      </c>
      <c r="G631" s="1">
        <v>46246</v>
      </c>
      <c r="I631" t="s">
        <v>261</v>
      </c>
    </row>
    <row r="632" spans="1:9" hidden="1" x14ac:dyDescent="0.25">
      <c r="A632" s="1">
        <v>46245</v>
      </c>
      <c r="B632">
        <v>1057608489</v>
      </c>
      <c r="C632" t="s">
        <v>3032</v>
      </c>
      <c r="D632" t="s">
        <v>82</v>
      </c>
      <c r="E632" t="s">
        <v>4005</v>
      </c>
      <c r="F632" s="1">
        <v>46245</v>
      </c>
      <c r="G632" s="1">
        <v>46246</v>
      </c>
      <c r="I632" t="s">
        <v>261</v>
      </c>
    </row>
    <row r="633" spans="1:9" hidden="1" x14ac:dyDescent="0.25">
      <c r="A633" s="1">
        <v>46245</v>
      </c>
      <c r="B633">
        <v>1007223463</v>
      </c>
      <c r="C633" t="s">
        <v>487</v>
      </c>
      <c r="D633" t="s">
        <v>4045</v>
      </c>
      <c r="E633" t="s">
        <v>4017</v>
      </c>
      <c r="F633" s="1">
        <v>46245</v>
      </c>
      <c r="G633" s="1">
        <v>46245</v>
      </c>
      <c r="H633" t="s">
        <v>486</v>
      </c>
      <c r="I633" t="s">
        <v>487</v>
      </c>
    </row>
    <row r="634" spans="1:9" hidden="1" x14ac:dyDescent="0.25">
      <c r="A634" s="1">
        <v>46245</v>
      </c>
      <c r="B634">
        <v>1020470720</v>
      </c>
      <c r="C634" t="s">
        <v>544</v>
      </c>
      <c r="D634" t="s">
        <v>543</v>
      </c>
      <c r="E634" t="s">
        <v>4010</v>
      </c>
      <c r="F634" s="1">
        <v>46245</v>
      </c>
      <c r="G634" s="1">
        <v>46246</v>
      </c>
      <c r="I634" t="s">
        <v>261</v>
      </c>
    </row>
    <row r="635" spans="1:9" hidden="1" x14ac:dyDescent="0.25">
      <c r="A635" s="1">
        <v>46245</v>
      </c>
      <c r="B635">
        <v>1047503032</v>
      </c>
      <c r="C635" t="s">
        <v>2974</v>
      </c>
      <c r="D635" t="s">
        <v>89</v>
      </c>
      <c r="E635" t="s">
        <v>4017</v>
      </c>
      <c r="F635" s="1">
        <v>46245</v>
      </c>
      <c r="G635" s="1">
        <v>46246</v>
      </c>
      <c r="I635" t="s">
        <v>4022</v>
      </c>
    </row>
    <row r="636" spans="1:9" hidden="1" x14ac:dyDescent="0.25">
      <c r="A636" s="1">
        <v>46245</v>
      </c>
      <c r="B636">
        <v>1143373273</v>
      </c>
      <c r="C636" t="s">
        <v>1984</v>
      </c>
      <c r="D636" t="s">
        <v>211</v>
      </c>
      <c r="E636" t="s">
        <v>4017</v>
      </c>
      <c r="F636" s="1">
        <v>46245</v>
      </c>
      <c r="G636" s="1">
        <v>46247</v>
      </c>
      <c r="I636" t="s">
        <v>4022</v>
      </c>
    </row>
    <row r="637" spans="1:9" hidden="1" x14ac:dyDescent="0.25">
      <c r="A637" s="1">
        <v>46245</v>
      </c>
      <c r="B637">
        <v>1085265026</v>
      </c>
      <c r="C637" t="s">
        <v>3413</v>
      </c>
      <c r="D637" t="s">
        <v>64</v>
      </c>
      <c r="E637" t="s">
        <v>4012</v>
      </c>
      <c r="F637" s="1">
        <v>46245</v>
      </c>
      <c r="G637" s="1">
        <v>46249</v>
      </c>
      <c r="I637" t="s">
        <v>261</v>
      </c>
    </row>
    <row r="638" spans="1:9" hidden="1" x14ac:dyDescent="0.25">
      <c r="A638" s="1">
        <v>46245</v>
      </c>
      <c r="B638">
        <v>1044393706</v>
      </c>
      <c r="C638" t="s">
        <v>822</v>
      </c>
      <c r="D638" t="s">
        <v>78</v>
      </c>
      <c r="E638" t="s">
        <v>4010</v>
      </c>
      <c r="F638" s="1">
        <v>46245</v>
      </c>
      <c r="G638" s="1">
        <v>46246</v>
      </c>
      <c r="I638" t="s">
        <v>4022</v>
      </c>
    </row>
    <row r="639" spans="1:9" hidden="1" x14ac:dyDescent="0.25">
      <c r="A639" s="1">
        <v>46245</v>
      </c>
      <c r="B639">
        <v>1037570349</v>
      </c>
      <c r="C639" t="s">
        <v>2770</v>
      </c>
      <c r="D639" t="s">
        <v>78</v>
      </c>
      <c r="E639" t="s">
        <v>4010</v>
      </c>
      <c r="F639" s="1">
        <v>46245</v>
      </c>
      <c r="G639" s="1">
        <v>46246</v>
      </c>
      <c r="I639" t="s">
        <v>4022</v>
      </c>
    </row>
    <row r="640" spans="1:9" hidden="1" x14ac:dyDescent="0.25">
      <c r="A640" s="1">
        <v>46246</v>
      </c>
      <c r="B640">
        <v>1057608489</v>
      </c>
      <c r="C640" t="s">
        <v>3032</v>
      </c>
      <c r="D640" t="s">
        <v>82</v>
      </c>
      <c r="E640" t="s">
        <v>4005</v>
      </c>
      <c r="F640" s="1">
        <v>46245</v>
      </c>
      <c r="G640" s="1">
        <v>46246</v>
      </c>
      <c r="I640" t="s">
        <v>261</v>
      </c>
    </row>
    <row r="641" spans="1:9" hidden="1" x14ac:dyDescent="0.25">
      <c r="A641" s="1">
        <v>46246</v>
      </c>
      <c r="B641">
        <v>43271257</v>
      </c>
      <c r="C641" t="s">
        <v>1236</v>
      </c>
      <c r="D641" t="s">
        <v>34</v>
      </c>
      <c r="E641" t="s">
        <v>4011</v>
      </c>
      <c r="F641" s="1">
        <v>46245</v>
      </c>
      <c r="G641" s="1">
        <v>46246</v>
      </c>
      <c r="I641" t="s">
        <v>261</v>
      </c>
    </row>
    <row r="642" spans="1:9" hidden="1" x14ac:dyDescent="0.25">
      <c r="A642" s="1">
        <v>46246</v>
      </c>
      <c r="B642">
        <v>1140876076</v>
      </c>
      <c r="C642" t="s">
        <v>1263</v>
      </c>
      <c r="D642" t="s">
        <v>34</v>
      </c>
      <c r="E642" t="s">
        <v>4011</v>
      </c>
      <c r="F642" s="1">
        <v>46245</v>
      </c>
      <c r="G642" s="1">
        <v>46246</v>
      </c>
      <c r="I642" t="s">
        <v>261</v>
      </c>
    </row>
    <row r="643" spans="1:9" hidden="1" x14ac:dyDescent="0.25">
      <c r="A643" s="1">
        <v>46246</v>
      </c>
      <c r="B643">
        <v>1001944593</v>
      </c>
      <c r="C643" t="s">
        <v>2578</v>
      </c>
      <c r="D643" t="s">
        <v>78</v>
      </c>
      <c r="E643" t="s">
        <v>4010</v>
      </c>
      <c r="F643" s="1">
        <v>46245</v>
      </c>
      <c r="G643" s="1">
        <v>46245</v>
      </c>
      <c r="I643" t="s">
        <v>4006</v>
      </c>
    </row>
    <row r="644" spans="1:9" hidden="1" x14ac:dyDescent="0.25">
      <c r="A644" s="1">
        <v>46246</v>
      </c>
      <c r="B644">
        <v>1143360194</v>
      </c>
      <c r="C644" t="s">
        <v>3473</v>
      </c>
      <c r="D644" t="s">
        <v>160</v>
      </c>
      <c r="E644" t="s">
        <v>4011</v>
      </c>
      <c r="F644" s="1">
        <v>46245</v>
      </c>
      <c r="G644" s="1">
        <v>46246</v>
      </c>
      <c r="I644" t="s">
        <v>4022</v>
      </c>
    </row>
    <row r="645" spans="1:9" hidden="1" x14ac:dyDescent="0.25">
      <c r="A645" s="1">
        <v>46246</v>
      </c>
      <c r="B645">
        <v>1000662062</v>
      </c>
      <c r="C645" t="s">
        <v>260</v>
      </c>
      <c r="D645" t="s">
        <v>64</v>
      </c>
      <c r="E645" t="s">
        <v>4012</v>
      </c>
      <c r="F645" s="1">
        <v>46245</v>
      </c>
      <c r="G645" s="1">
        <v>46249</v>
      </c>
      <c r="I645" t="s">
        <v>261</v>
      </c>
    </row>
    <row r="646" spans="1:9" hidden="1" x14ac:dyDescent="0.25">
      <c r="A646" s="1">
        <v>46246</v>
      </c>
      <c r="B646">
        <v>1007508679</v>
      </c>
      <c r="C646" t="s">
        <v>1298</v>
      </c>
      <c r="D646" t="s">
        <v>15</v>
      </c>
      <c r="E646" t="s">
        <v>4012</v>
      </c>
      <c r="F646" s="1">
        <v>46245</v>
      </c>
      <c r="G646" s="1">
        <v>46245</v>
      </c>
      <c r="I646" t="s">
        <v>4006</v>
      </c>
    </row>
    <row r="647" spans="1:9" hidden="1" x14ac:dyDescent="0.25">
      <c r="A647" s="1">
        <v>46246</v>
      </c>
      <c r="B647">
        <v>1017209928</v>
      </c>
      <c r="C647" t="s">
        <v>1135</v>
      </c>
      <c r="D647" t="s">
        <v>326</v>
      </c>
      <c r="E647" t="s">
        <v>4005</v>
      </c>
      <c r="F647" s="1">
        <v>46245</v>
      </c>
      <c r="G647" s="1">
        <v>46246</v>
      </c>
      <c r="I647" t="s">
        <v>261</v>
      </c>
    </row>
    <row r="648" spans="1:9" hidden="1" x14ac:dyDescent="0.25">
      <c r="A648" s="1">
        <v>46246</v>
      </c>
      <c r="B648">
        <v>1002155665</v>
      </c>
      <c r="C648" t="s">
        <v>3756</v>
      </c>
      <c r="D648" t="s">
        <v>160</v>
      </c>
      <c r="E648" t="s">
        <v>4011</v>
      </c>
      <c r="F648" s="1">
        <v>46244</v>
      </c>
      <c r="G648" s="1">
        <v>46245</v>
      </c>
      <c r="I648" t="s">
        <v>4006</v>
      </c>
    </row>
    <row r="649" spans="1:9" hidden="1" x14ac:dyDescent="0.25">
      <c r="A649" s="1">
        <v>46246</v>
      </c>
      <c r="B649">
        <v>1077462479</v>
      </c>
      <c r="C649" t="s">
        <v>3992</v>
      </c>
      <c r="D649" t="s">
        <v>142</v>
      </c>
      <c r="E649" t="s">
        <v>4012</v>
      </c>
      <c r="F649" s="1">
        <v>46245</v>
      </c>
      <c r="G649" s="1">
        <v>46247</v>
      </c>
      <c r="I649" t="s">
        <v>261</v>
      </c>
    </row>
    <row r="650" spans="1:9" hidden="1" x14ac:dyDescent="0.25">
      <c r="A650" s="1">
        <v>46246</v>
      </c>
      <c r="B650">
        <v>1000408752</v>
      </c>
      <c r="C650" t="s">
        <v>3598</v>
      </c>
      <c r="D650" t="s">
        <v>64</v>
      </c>
      <c r="E650" t="s">
        <v>4012</v>
      </c>
      <c r="F650" s="1">
        <v>46244</v>
      </c>
      <c r="G650" s="1">
        <v>46246</v>
      </c>
      <c r="I650" t="s">
        <v>261</v>
      </c>
    </row>
    <row r="651" spans="1:9" hidden="1" x14ac:dyDescent="0.25">
      <c r="A651" s="1">
        <v>46246</v>
      </c>
      <c r="B651">
        <v>1193568408</v>
      </c>
      <c r="C651" t="s">
        <v>373</v>
      </c>
      <c r="D651" t="s">
        <v>322</v>
      </c>
      <c r="E651" t="s">
        <v>4017</v>
      </c>
      <c r="F651" s="1">
        <v>46244</v>
      </c>
      <c r="G651" s="1">
        <v>46245</v>
      </c>
      <c r="I651" t="s">
        <v>4006</v>
      </c>
    </row>
    <row r="652" spans="1:9" hidden="1" x14ac:dyDescent="0.25">
      <c r="A652" s="1">
        <v>46246</v>
      </c>
      <c r="B652">
        <v>1037646627</v>
      </c>
      <c r="C652" t="s">
        <v>3260</v>
      </c>
      <c r="D652" t="s">
        <v>121</v>
      </c>
      <c r="E652" t="s">
        <v>4010</v>
      </c>
      <c r="F652" s="1">
        <v>46244</v>
      </c>
      <c r="G652" s="1">
        <v>46245</v>
      </c>
      <c r="I652" t="s">
        <v>4006</v>
      </c>
    </row>
    <row r="653" spans="1:9" hidden="1" x14ac:dyDescent="0.25">
      <c r="A653" s="1">
        <v>46246</v>
      </c>
      <c r="B653">
        <v>1007959114</v>
      </c>
      <c r="C653" t="s">
        <v>2581</v>
      </c>
      <c r="D653" t="s">
        <v>51</v>
      </c>
      <c r="E653" t="s">
        <v>4011</v>
      </c>
      <c r="F653" s="1">
        <v>46244</v>
      </c>
      <c r="G653" s="1">
        <v>46244</v>
      </c>
      <c r="I653" t="s">
        <v>4006</v>
      </c>
    </row>
    <row r="654" spans="1:9" hidden="1" x14ac:dyDescent="0.25">
      <c r="A654" s="1">
        <v>46246</v>
      </c>
      <c r="B654">
        <v>1014237413</v>
      </c>
      <c r="C654" t="s">
        <v>756</v>
      </c>
      <c r="D654" t="s">
        <v>420</v>
      </c>
      <c r="E654" t="s">
        <v>4010</v>
      </c>
      <c r="F654" s="1">
        <v>46244</v>
      </c>
      <c r="G654" s="1">
        <v>46246</v>
      </c>
      <c r="I654" t="s">
        <v>261</v>
      </c>
    </row>
    <row r="655" spans="1:9" hidden="1" x14ac:dyDescent="0.25">
      <c r="A655" s="1">
        <v>46246</v>
      </c>
      <c r="B655">
        <v>1003361835</v>
      </c>
      <c r="C655" t="s">
        <v>792</v>
      </c>
      <c r="D655" t="s">
        <v>420</v>
      </c>
      <c r="E655" t="s">
        <v>4010</v>
      </c>
      <c r="F655" s="1">
        <v>46244</v>
      </c>
      <c r="G655" s="1">
        <v>46245</v>
      </c>
      <c r="I655" t="s">
        <v>4006</v>
      </c>
    </row>
    <row r="656" spans="1:9" hidden="1" x14ac:dyDescent="0.25">
      <c r="A656" s="1">
        <v>46246</v>
      </c>
      <c r="B656">
        <v>1143345388</v>
      </c>
      <c r="C656" t="s">
        <v>3079</v>
      </c>
      <c r="D656" t="s">
        <v>64</v>
      </c>
      <c r="E656" t="s">
        <v>4012</v>
      </c>
      <c r="F656" s="1">
        <v>46244</v>
      </c>
      <c r="G656" s="1">
        <v>46245</v>
      </c>
      <c r="I656" t="s">
        <v>4006</v>
      </c>
    </row>
    <row r="657" spans="1:9" hidden="1" x14ac:dyDescent="0.25">
      <c r="A657" s="1">
        <v>46246</v>
      </c>
      <c r="B657">
        <v>1193370054</v>
      </c>
      <c r="C657" t="s">
        <v>918</v>
      </c>
      <c r="D657" t="s">
        <v>142</v>
      </c>
      <c r="E657" t="s">
        <v>4012</v>
      </c>
      <c r="F657" s="1">
        <v>46244</v>
      </c>
      <c r="G657" s="1">
        <v>46244</v>
      </c>
      <c r="I657" t="s">
        <v>4006</v>
      </c>
    </row>
    <row r="658" spans="1:9" hidden="1" x14ac:dyDescent="0.25">
      <c r="A658" s="1">
        <v>46246</v>
      </c>
      <c r="B658">
        <v>1003033764</v>
      </c>
      <c r="C658" t="s">
        <v>1209</v>
      </c>
      <c r="D658" t="s">
        <v>121</v>
      </c>
      <c r="E658" t="s">
        <v>4010</v>
      </c>
      <c r="F658" s="1">
        <v>46244</v>
      </c>
      <c r="G658" s="1">
        <v>46245</v>
      </c>
      <c r="I658" t="s">
        <v>4006</v>
      </c>
    </row>
    <row r="659" spans="1:9" hidden="1" x14ac:dyDescent="0.25">
      <c r="A659" s="1">
        <v>46246</v>
      </c>
      <c r="B659">
        <v>1000921455</v>
      </c>
      <c r="C659" t="s">
        <v>33</v>
      </c>
      <c r="D659" t="s">
        <v>34</v>
      </c>
      <c r="E659" t="s">
        <v>4011</v>
      </c>
      <c r="F659" s="1">
        <v>46242</v>
      </c>
      <c r="G659" s="1">
        <v>46246</v>
      </c>
      <c r="I659" t="s">
        <v>261</v>
      </c>
    </row>
    <row r="660" spans="1:9" hidden="1" x14ac:dyDescent="0.25">
      <c r="A660" s="1">
        <v>46246</v>
      </c>
      <c r="B660">
        <v>1007842898</v>
      </c>
      <c r="C660" t="s">
        <v>4132</v>
      </c>
      <c r="D660" t="s">
        <v>343</v>
      </c>
      <c r="E660" t="s">
        <v>4012</v>
      </c>
      <c r="F660" s="1">
        <v>46244</v>
      </c>
      <c r="G660" s="1">
        <v>46246</v>
      </c>
      <c r="I660" t="s">
        <v>4006</v>
      </c>
    </row>
    <row r="661" spans="1:9" hidden="1" x14ac:dyDescent="0.25">
      <c r="A661" s="1">
        <v>46246</v>
      </c>
      <c r="B661">
        <v>1082896324</v>
      </c>
      <c r="C661" t="s">
        <v>77</v>
      </c>
      <c r="D661" t="s">
        <v>78</v>
      </c>
      <c r="E661" t="s">
        <v>4010</v>
      </c>
      <c r="F661" s="1">
        <v>46242</v>
      </c>
      <c r="G661" s="1">
        <v>46272</v>
      </c>
      <c r="H661" t="s">
        <v>188</v>
      </c>
      <c r="I661" t="s">
        <v>189</v>
      </c>
    </row>
    <row r="662" spans="1:9" hidden="1" x14ac:dyDescent="0.25">
      <c r="A662" s="1">
        <v>46246</v>
      </c>
      <c r="B662">
        <v>1045718883</v>
      </c>
      <c r="C662" t="s">
        <v>47</v>
      </c>
      <c r="D662" t="s">
        <v>34</v>
      </c>
      <c r="E662" t="s">
        <v>4011</v>
      </c>
      <c r="F662" s="1">
        <v>46240</v>
      </c>
      <c r="G662" s="1">
        <v>46249</v>
      </c>
      <c r="I662" t="s">
        <v>4006</v>
      </c>
    </row>
    <row r="663" spans="1:9" hidden="1" x14ac:dyDescent="0.25">
      <c r="A663" s="1">
        <v>46246</v>
      </c>
      <c r="B663">
        <v>1042422897</v>
      </c>
      <c r="C663" t="s">
        <v>4069</v>
      </c>
      <c r="D663" t="s">
        <v>326</v>
      </c>
      <c r="E663" t="s">
        <v>4005</v>
      </c>
      <c r="F663" s="1">
        <v>46242</v>
      </c>
      <c r="G663" s="1">
        <v>46245</v>
      </c>
      <c r="I663" t="s">
        <v>4006</v>
      </c>
    </row>
    <row r="664" spans="1:9" hidden="1" x14ac:dyDescent="0.25">
      <c r="A664" s="1">
        <v>46246</v>
      </c>
      <c r="B664">
        <v>1143374438</v>
      </c>
      <c r="C664" t="s">
        <v>85</v>
      </c>
      <c r="D664" t="s">
        <v>41</v>
      </c>
      <c r="E664" t="s">
        <v>4011</v>
      </c>
      <c r="F664" s="1">
        <v>46239</v>
      </c>
      <c r="G664" s="1">
        <v>46268</v>
      </c>
      <c r="I664" t="s">
        <v>261</v>
      </c>
    </row>
    <row r="665" spans="1:9" hidden="1" x14ac:dyDescent="0.25">
      <c r="A665" s="1">
        <v>46246</v>
      </c>
      <c r="B665">
        <v>1015483595</v>
      </c>
      <c r="C665" t="s">
        <v>243</v>
      </c>
      <c r="D665" t="s">
        <v>34</v>
      </c>
      <c r="E665" t="s">
        <v>4011</v>
      </c>
      <c r="F665" s="1">
        <v>46244</v>
      </c>
      <c r="G665" s="1">
        <v>46265</v>
      </c>
      <c r="H665" t="s">
        <v>240</v>
      </c>
      <c r="I665" t="s">
        <v>241</v>
      </c>
    </row>
    <row r="666" spans="1:9" hidden="1" x14ac:dyDescent="0.25">
      <c r="A666" s="1">
        <v>46246</v>
      </c>
      <c r="B666">
        <v>1001851670</v>
      </c>
      <c r="C666" t="s">
        <v>14</v>
      </c>
      <c r="D666" t="s">
        <v>15</v>
      </c>
      <c r="E666" t="s">
        <v>4012</v>
      </c>
      <c r="F666" s="1">
        <v>46241</v>
      </c>
      <c r="G666" s="1">
        <v>46366</v>
      </c>
      <c r="H666" t="s">
        <v>247</v>
      </c>
      <c r="I666" t="s">
        <v>248</v>
      </c>
    </row>
    <row r="667" spans="1:9" hidden="1" x14ac:dyDescent="0.25">
      <c r="A667" s="1">
        <v>46246</v>
      </c>
      <c r="B667">
        <v>1067963513</v>
      </c>
      <c r="C667" t="s">
        <v>112</v>
      </c>
      <c r="D667" t="s">
        <v>29</v>
      </c>
      <c r="E667" t="s">
        <v>4005</v>
      </c>
      <c r="F667" s="1">
        <v>46240</v>
      </c>
      <c r="G667" s="1">
        <v>46265</v>
      </c>
      <c r="H667" t="s">
        <v>154</v>
      </c>
      <c r="I667" t="s">
        <v>155</v>
      </c>
    </row>
    <row r="668" spans="1:9" hidden="1" x14ac:dyDescent="0.25">
      <c r="A668" s="1">
        <v>46246</v>
      </c>
      <c r="B668">
        <v>42141273</v>
      </c>
      <c r="C668" t="s">
        <v>210</v>
      </c>
      <c r="D668" t="s">
        <v>211</v>
      </c>
      <c r="E668" t="s">
        <v>4017</v>
      </c>
      <c r="F668" s="1">
        <v>46232</v>
      </c>
      <c r="G668" s="1">
        <v>46261</v>
      </c>
      <c r="H668" t="s">
        <v>230</v>
      </c>
      <c r="I668" t="s">
        <v>231</v>
      </c>
    </row>
    <row r="669" spans="1:9" hidden="1" x14ac:dyDescent="0.25">
      <c r="A669" s="1">
        <v>46246</v>
      </c>
      <c r="B669">
        <v>1035876080</v>
      </c>
      <c r="C669" t="s">
        <v>120</v>
      </c>
      <c r="D669" t="s">
        <v>121</v>
      </c>
      <c r="E669" t="s">
        <v>4010</v>
      </c>
      <c r="F669" s="1">
        <v>46239</v>
      </c>
      <c r="G669" s="1">
        <v>46245</v>
      </c>
      <c r="I669" t="s">
        <v>4006</v>
      </c>
    </row>
    <row r="670" spans="1:9" hidden="1" x14ac:dyDescent="0.25">
      <c r="A670" s="1">
        <v>46246</v>
      </c>
      <c r="B670">
        <v>1005424850</v>
      </c>
      <c r="C670" t="s">
        <v>56</v>
      </c>
      <c r="D670" t="s">
        <v>57</v>
      </c>
      <c r="E670" t="s">
        <v>4010</v>
      </c>
      <c r="F670" s="1">
        <v>46238</v>
      </c>
      <c r="G670" s="1">
        <v>46245</v>
      </c>
      <c r="I670" t="s">
        <v>4006</v>
      </c>
    </row>
    <row r="671" spans="1:9" hidden="1" x14ac:dyDescent="0.25">
      <c r="A671" s="1">
        <v>46246</v>
      </c>
      <c r="B671">
        <v>1001137222</v>
      </c>
      <c r="C671" t="s">
        <v>2860</v>
      </c>
      <c r="D671" t="s">
        <v>4027</v>
      </c>
      <c r="E671" t="s">
        <v>4011</v>
      </c>
      <c r="F671" s="1">
        <v>46246</v>
      </c>
      <c r="G671" s="1">
        <v>46246</v>
      </c>
      <c r="H671" t="s">
        <v>35</v>
      </c>
      <c r="I671" t="s">
        <v>36</v>
      </c>
    </row>
    <row r="672" spans="1:9" hidden="1" x14ac:dyDescent="0.25">
      <c r="A672" s="1">
        <v>46246</v>
      </c>
      <c r="B672">
        <v>1152221372</v>
      </c>
      <c r="C672" t="s">
        <v>2313</v>
      </c>
      <c r="D672" t="s">
        <v>128</v>
      </c>
      <c r="E672" t="s">
        <v>4005</v>
      </c>
      <c r="F672" s="1">
        <v>46230</v>
      </c>
      <c r="H672" t="s">
        <v>122</v>
      </c>
      <c r="I672" t="s">
        <v>123</v>
      </c>
    </row>
    <row r="673" spans="1:9" hidden="1" x14ac:dyDescent="0.25">
      <c r="A673" s="1">
        <v>46246</v>
      </c>
      <c r="B673">
        <v>1094275204</v>
      </c>
      <c r="C673" t="s">
        <v>1823</v>
      </c>
      <c r="D673" t="s">
        <v>211</v>
      </c>
      <c r="E673" t="s">
        <v>4017</v>
      </c>
      <c r="F673" s="1">
        <v>46246</v>
      </c>
      <c r="G673" s="1">
        <v>46246</v>
      </c>
      <c r="H673" t="s">
        <v>3621</v>
      </c>
      <c r="I673" t="s">
        <v>3622</v>
      </c>
    </row>
    <row r="674" spans="1:9" hidden="1" x14ac:dyDescent="0.25">
      <c r="A674" s="1">
        <v>46246</v>
      </c>
      <c r="B674">
        <v>1001479648</v>
      </c>
      <c r="C674" t="s">
        <v>2925</v>
      </c>
      <c r="D674" t="s">
        <v>322</v>
      </c>
      <c r="E674" t="s">
        <v>4017</v>
      </c>
      <c r="F674" s="1">
        <v>46245</v>
      </c>
      <c r="G674" s="1">
        <v>46245</v>
      </c>
      <c r="I674" t="s">
        <v>4006</v>
      </c>
    </row>
    <row r="675" spans="1:9" hidden="1" x14ac:dyDescent="0.25">
      <c r="A675" s="1">
        <v>46246</v>
      </c>
      <c r="B675">
        <v>1004960056</v>
      </c>
      <c r="C675" t="s">
        <v>563</v>
      </c>
      <c r="D675" t="s">
        <v>553</v>
      </c>
      <c r="E675" t="s">
        <v>4010</v>
      </c>
      <c r="F675" s="1">
        <v>46246</v>
      </c>
      <c r="G675" s="1">
        <v>46247</v>
      </c>
      <c r="H675" t="s">
        <v>171</v>
      </c>
      <c r="I675" t="s">
        <v>172</v>
      </c>
    </row>
    <row r="676" spans="1:9" hidden="1" x14ac:dyDescent="0.25">
      <c r="A676" s="1">
        <v>46246</v>
      </c>
      <c r="B676">
        <v>1017264032</v>
      </c>
      <c r="C676" t="s">
        <v>63</v>
      </c>
      <c r="D676" t="s">
        <v>64</v>
      </c>
      <c r="E676" t="s">
        <v>4012</v>
      </c>
      <c r="F676" s="1">
        <v>46229</v>
      </c>
      <c r="G676" s="1">
        <v>46258</v>
      </c>
      <c r="I676" t="s">
        <v>261</v>
      </c>
    </row>
    <row r="677" spans="1:9" hidden="1" x14ac:dyDescent="0.25">
      <c r="A677" s="1">
        <v>46246</v>
      </c>
      <c r="B677">
        <v>1071169507</v>
      </c>
      <c r="C677" t="s">
        <v>88</v>
      </c>
      <c r="D677" t="s">
        <v>89</v>
      </c>
      <c r="E677" t="s">
        <v>4017</v>
      </c>
      <c r="F677" s="1">
        <v>46242</v>
      </c>
      <c r="G677" s="1">
        <v>46247</v>
      </c>
      <c r="H677" t="s">
        <v>91</v>
      </c>
      <c r="I677" t="s">
        <v>92</v>
      </c>
    </row>
    <row r="678" spans="1:9" hidden="1" x14ac:dyDescent="0.25">
      <c r="A678" s="1">
        <v>46246</v>
      </c>
      <c r="B678">
        <v>1036132488</v>
      </c>
      <c r="C678" t="s">
        <v>150</v>
      </c>
      <c r="D678" t="s">
        <v>142</v>
      </c>
      <c r="E678" t="s">
        <v>4012</v>
      </c>
      <c r="F678" s="1">
        <v>46227</v>
      </c>
      <c r="G678" s="1">
        <v>46246</v>
      </c>
      <c r="H678" t="s">
        <v>147</v>
      </c>
      <c r="I678" t="s">
        <v>148</v>
      </c>
    </row>
    <row r="679" spans="1:9" hidden="1" x14ac:dyDescent="0.25">
      <c r="A679" s="1">
        <v>46246</v>
      </c>
      <c r="B679">
        <v>43558465</v>
      </c>
      <c r="C679" t="s">
        <v>103</v>
      </c>
      <c r="D679" t="s">
        <v>64</v>
      </c>
      <c r="E679" t="s">
        <v>4012</v>
      </c>
      <c r="F679" s="1">
        <v>46226</v>
      </c>
      <c r="G679" s="1">
        <v>46246</v>
      </c>
      <c r="I679" t="s">
        <v>261</v>
      </c>
    </row>
    <row r="680" spans="1:9" hidden="1" x14ac:dyDescent="0.25">
      <c r="A680" s="1">
        <v>46246</v>
      </c>
      <c r="B680">
        <v>1037631989</v>
      </c>
      <c r="C680" t="s">
        <v>40</v>
      </c>
      <c r="D680" t="s">
        <v>41</v>
      </c>
      <c r="E680" t="s">
        <v>4011</v>
      </c>
      <c r="F680" s="1">
        <v>46226</v>
      </c>
      <c r="G680" s="1">
        <v>46255</v>
      </c>
      <c r="I680" t="s">
        <v>261</v>
      </c>
    </row>
    <row r="681" spans="1:9" hidden="1" x14ac:dyDescent="0.25">
      <c r="A681" s="1">
        <v>46246</v>
      </c>
      <c r="B681">
        <v>1043006106</v>
      </c>
      <c r="C681" t="s">
        <v>194</v>
      </c>
      <c r="D681" t="s">
        <v>160</v>
      </c>
      <c r="E681" t="s">
        <v>4011</v>
      </c>
      <c r="F681" s="1">
        <v>46219</v>
      </c>
      <c r="G681" s="1">
        <v>46248</v>
      </c>
      <c r="I681" t="s">
        <v>261</v>
      </c>
    </row>
    <row r="682" spans="1:9" hidden="1" x14ac:dyDescent="0.25">
      <c r="A682" s="1">
        <v>46246</v>
      </c>
      <c r="B682">
        <v>1037638426</v>
      </c>
      <c r="C682" t="s">
        <v>44</v>
      </c>
      <c r="D682" t="s">
        <v>41</v>
      </c>
      <c r="E682" t="s">
        <v>4011</v>
      </c>
      <c r="F682" s="1">
        <v>46230</v>
      </c>
      <c r="G682" s="1">
        <v>46262</v>
      </c>
      <c r="H682" t="s">
        <v>178</v>
      </c>
      <c r="I682" t="s">
        <v>179</v>
      </c>
    </row>
    <row r="683" spans="1:9" hidden="1" x14ac:dyDescent="0.25">
      <c r="A683" s="1">
        <v>46246</v>
      </c>
      <c r="B683">
        <v>1121506548</v>
      </c>
      <c r="C683" t="s">
        <v>50</v>
      </c>
      <c r="D683" t="s">
        <v>51</v>
      </c>
      <c r="E683" t="s">
        <v>4011</v>
      </c>
      <c r="F683" s="1">
        <v>46217</v>
      </c>
      <c r="G683" s="1">
        <v>46342</v>
      </c>
      <c r="H683" t="s">
        <v>244</v>
      </c>
      <c r="I683" t="s">
        <v>245</v>
      </c>
    </row>
    <row r="684" spans="1:9" hidden="1" x14ac:dyDescent="0.25">
      <c r="A684" s="1">
        <v>46246</v>
      </c>
      <c r="B684">
        <v>1143460426</v>
      </c>
      <c r="C684" t="s">
        <v>4034</v>
      </c>
      <c r="D684" t="s">
        <v>160</v>
      </c>
      <c r="E684" t="s">
        <v>4011</v>
      </c>
      <c r="F684" s="1">
        <v>46195</v>
      </c>
      <c r="G684" s="1">
        <v>46198</v>
      </c>
      <c r="H684" t="s">
        <v>191</v>
      </c>
      <c r="I684" t="s">
        <v>192</v>
      </c>
    </row>
    <row r="685" spans="1:9" hidden="1" x14ac:dyDescent="0.25">
      <c r="A685" s="1">
        <v>46246</v>
      </c>
      <c r="B685">
        <v>1001897056</v>
      </c>
      <c r="C685" t="s">
        <v>3660</v>
      </c>
      <c r="D685" t="s">
        <v>128</v>
      </c>
      <c r="E685" t="s">
        <v>4005</v>
      </c>
      <c r="F685" s="1">
        <v>46245</v>
      </c>
      <c r="G685" s="1">
        <v>46249</v>
      </c>
      <c r="I685" t="s">
        <v>261</v>
      </c>
    </row>
    <row r="686" spans="1:9" hidden="1" x14ac:dyDescent="0.25">
      <c r="A686" s="1">
        <v>46246</v>
      </c>
      <c r="B686">
        <v>1098777544</v>
      </c>
      <c r="C686" t="s">
        <v>81</v>
      </c>
      <c r="D686" t="s">
        <v>82</v>
      </c>
      <c r="E686" t="s">
        <v>4005</v>
      </c>
      <c r="F686" s="1">
        <v>46217</v>
      </c>
      <c r="G686" s="1">
        <v>46246</v>
      </c>
      <c r="I686" t="s">
        <v>261</v>
      </c>
    </row>
    <row r="687" spans="1:9" hidden="1" x14ac:dyDescent="0.25">
      <c r="A687" s="1">
        <v>46246</v>
      </c>
      <c r="B687">
        <v>1000416307</v>
      </c>
      <c r="C687" t="s">
        <v>3014</v>
      </c>
      <c r="D687" t="s">
        <v>82</v>
      </c>
      <c r="E687" t="s">
        <v>4005</v>
      </c>
      <c r="F687" s="1">
        <v>46245</v>
      </c>
      <c r="G687" s="1">
        <v>46246</v>
      </c>
      <c r="H687" t="s">
        <v>106</v>
      </c>
      <c r="I687" t="s">
        <v>107</v>
      </c>
    </row>
    <row r="688" spans="1:9" hidden="1" x14ac:dyDescent="0.25">
      <c r="A688" s="1">
        <v>46246</v>
      </c>
      <c r="B688">
        <v>1052974971</v>
      </c>
      <c r="C688" t="s">
        <v>765</v>
      </c>
      <c r="D688" t="s">
        <v>97</v>
      </c>
      <c r="E688" t="s">
        <v>4005</v>
      </c>
      <c r="F688" s="1">
        <v>46245</v>
      </c>
      <c r="G688" s="1">
        <v>46245</v>
      </c>
      <c r="I688" t="s">
        <v>4006</v>
      </c>
    </row>
    <row r="689" spans="1:9" hidden="1" x14ac:dyDescent="0.25">
      <c r="A689" s="1">
        <v>46246</v>
      </c>
      <c r="B689">
        <v>1124014714</v>
      </c>
      <c r="C689" t="s">
        <v>2153</v>
      </c>
      <c r="D689" t="s">
        <v>343</v>
      </c>
      <c r="E689" t="s">
        <v>4012</v>
      </c>
      <c r="F689" s="1">
        <v>46244</v>
      </c>
      <c r="G689" s="1">
        <v>46245</v>
      </c>
      <c r="I689" t="s">
        <v>4006</v>
      </c>
    </row>
    <row r="690" spans="1:9" hidden="1" x14ac:dyDescent="0.25">
      <c r="A690" s="1">
        <v>46246</v>
      </c>
      <c r="B690">
        <v>1193584838</v>
      </c>
      <c r="C690" t="s">
        <v>2955</v>
      </c>
      <c r="D690" t="s">
        <v>142</v>
      </c>
      <c r="E690" t="s">
        <v>4012</v>
      </c>
      <c r="F690" s="1">
        <v>46245</v>
      </c>
      <c r="G690" s="1">
        <v>46247</v>
      </c>
      <c r="I690" t="s">
        <v>4022</v>
      </c>
    </row>
    <row r="691" spans="1:9" hidden="1" x14ac:dyDescent="0.25">
      <c r="A691" s="1">
        <v>46246</v>
      </c>
      <c r="B691">
        <v>1020470720</v>
      </c>
      <c r="C691" t="s">
        <v>544</v>
      </c>
      <c r="D691" t="s">
        <v>543</v>
      </c>
      <c r="E691" t="s">
        <v>4010</v>
      </c>
      <c r="F691" s="1">
        <v>46245</v>
      </c>
      <c r="G691" s="1">
        <v>46246</v>
      </c>
      <c r="I691" t="s">
        <v>261</v>
      </c>
    </row>
    <row r="692" spans="1:9" hidden="1" x14ac:dyDescent="0.25">
      <c r="A692" s="1">
        <v>46246</v>
      </c>
      <c r="B692">
        <v>1037671907</v>
      </c>
      <c r="C692" t="s">
        <v>4136</v>
      </c>
      <c r="D692" t="s">
        <v>57</v>
      </c>
      <c r="E692" t="s">
        <v>4010</v>
      </c>
      <c r="F692" s="1">
        <v>46245</v>
      </c>
      <c r="G692" s="1">
        <v>46247</v>
      </c>
      <c r="I692" t="s">
        <v>261</v>
      </c>
    </row>
    <row r="693" spans="1:9" hidden="1" x14ac:dyDescent="0.25">
      <c r="A693" s="1">
        <v>46246</v>
      </c>
      <c r="B693">
        <v>1039468657</v>
      </c>
      <c r="C693" t="s">
        <v>2339</v>
      </c>
      <c r="D693" t="s">
        <v>2019</v>
      </c>
      <c r="E693" t="s">
        <v>4011</v>
      </c>
      <c r="F693" s="1">
        <v>46244</v>
      </c>
      <c r="G693" s="1">
        <v>46245</v>
      </c>
      <c r="I693" t="s">
        <v>4006</v>
      </c>
    </row>
    <row r="694" spans="1:9" hidden="1" x14ac:dyDescent="0.25">
      <c r="A694" s="1">
        <v>46246</v>
      </c>
      <c r="B694">
        <v>1102808787</v>
      </c>
      <c r="C694" t="s">
        <v>265</v>
      </c>
      <c r="D694" t="s">
        <v>51</v>
      </c>
      <c r="E694" t="s">
        <v>4011</v>
      </c>
      <c r="F694" s="1">
        <v>46237</v>
      </c>
      <c r="G694" s="1">
        <v>46256</v>
      </c>
      <c r="I694" t="s">
        <v>261</v>
      </c>
    </row>
    <row r="695" spans="1:9" hidden="1" x14ac:dyDescent="0.25">
      <c r="A695" s="1">
        <v>46246</v>
      </c>
      <c r="B695">
        <v>1047503032</v>
      </c>
      <c r="C695" t="s">
        <v>2974</v>
      </c>
      <c r="D695" t="s">
        <v>89</v>
      </c>
      <c r="E695" t="s">
        <v>4017</v>
      </c>
      <c r="F695" s="1">
        <v>46245</v>
      </c>
      <c r="G695" s="1">
        <v>46246</v>
      </c>
      <c r="I695" t="s">
        <v>4139</v>
      </c>
    </row>
    <row r="696" spans="1:9" hidden="1" x14ac:dyDescent="0.25">
      <c r="A696" s="1">
        <v>46246</v>
      </c>
      <c r="B696">
        <v>1143373273</v>
      </c>
      <c r="C696" t="s">
        <v>1984</v>
      </c>
      <c r="D696" t="s">
        <v>211</v>
      </c>
      <c r="E696" t="s">
        <v>4017</v>
      </c>
      <c r="F696" s="1">
        <v>46245</v>
      </c>
      <c r="G696" s="1">
        <v>46247</v>
      </c>
      <c r="H696" t="s">
        <v>134</v>
      </c>
      <c r="I696" t="s">
        <v>135</v>
      </c>
    </row>
    <row r="697" spans="1:9" hidden="1" x14ac:dyDescent="0.25">
      <c r="A697" s="1">
        <v>46246</v>
      </c>
      <c r="B697">
        <v>1085265026</v>
      </c>
      <c r="C697" t="s">
        <v>3413</v>
      </c>
      <c r="D697" t="s">
        <v>64</v>
      </c>
      <c r="E697" t="s">
        <v>4012</v>
      </c>
      <c r="F697" s="1">
        <v>46245</v>
      </c>
      <c r="G697" s="1">
        <v>46249</v>
      </c>
      <c r="H697" t="s">
        <v>162</v>
      </c>
      <c r="I697" t="s">
        <v>163</v>
      </c>
    </row>
    <row r="698" spans="1:9" hidden="1" x14ac:dyDescent="0.25">
      <c r="A698" s="1">
        <v>46246</v>
      </c>
      <c r="B698">
        <v>1044393706</v>
      </c>
      <c r="C698" t="s">
        <v>822</v>
      </c>
      <c r="D698" t="s">
        <v>78</v>
      </c>
      <c r="E698" t="s">
        <v>4010</v>
      </c>
      <c r="F698" s="1">
        <v>46245</v>
      </c>
      <c r="G698" s="1">
        <v>46246</v>
      </c>
      <c r="I698" t="s">
        <v>261</v>
      </c>
    </row>
    <row r="699" spans="1:9" hidden="1" x14ac:dyDescent="0.25">
      <c r="A699" s="1">
        <v>46246</v>
      </c>
      <c r="B699">
        <v>1037570349</v>
      </c>
      <c r="C699" t="s">
        <v>2770</v>
      </c>
      <c r="D699" t="s">
        <v>78</v>
      </c>
      <c r="E699" t="s">
        <v>4010</v>
      </c>
      <c r="F699" s="1">
        <v>46245</v>
      </c>
      <c r="G699" s="1">
        <v>46246</v>
      </c>
      <c r="I699" t="s">
        <v>4022</v>
      </c>
    </row>
    <row r="700" spans="1:9" hidden="1" x14ac:dyDescent="0.25">
      <c r="A700" s="1">
        <v>46246</v>
      </c>
      <c r="B700">
        <v>1045718883</v>
      </c>
      <c r="C700" t="s">
        <v>47</v>
      </c>
      <c r="D700" t="s">
        <v>34</v>
      </c>
      <c r="E700" t="s">
        <v>4011</v>
      </c>
      <c r="F700" s="1">
        <v>46245</v>
      </c>
      <c r="G700" s="1">
        <v>46340</v>
      </c>
      <c r="H700" t="s">
        <v>73</v>
      </c>
      <c r="I700" t="s">
        <v>74</v>
      </c>
    </row>
    <row r="701" spans="1:9" hidden="1" x14ac:dyDescent="0.25">
      <c r="A701" s="1">
        <v>46246</v>
      </c>
      <c r="B701">
        <v>1035876080</v>
      </c>
      <c r="C701" t="s">
        <v>120</v>
      </c>
      <c r="D701" t="s">
        <v>121</v>
      </c>
      <c r="E701" t="s">
        <v>4010</v>
      </c>
      <c r="F701" s="1">
        <v>46246</v>
      </c>
      <c r="G701" s="1">
        <v>46254</v>
      </c>
      <c r="I701" t="s">
        <v>261</v>
      </c>
    </row>
    <row r="702" spans="1:9" hidden="1" x14ac:dyDescent="0.25">
      <c r="A702" s="1">
        <v>46246</v>
      </c>
      <c r="B702">
        <v>1094971283</v>
      </c>
      <c r="C702" t="s">
        <v>3338</v>
      </c>
      <c r="D702" t="s">
        <v>326</v>
      </c>
      <c r="E702" t="s">
        <v>4005</v>
      </c>
      <c r="F702" s="1">
        <v>46245</v>
      </c>
      <c r="G702" s="1">
        <v>46247</v>
      </c>
      <c r="H702" t="s">
        <v>2886</v>
      </c>
      <c r="I702" t="s">
        <v>2887</v>
      </c>
    </row>
    <row r="703" spans="1:9" hidden="1" x14ac:dyDescent="0.25">
      <c r="A703" s="1">
        <v>46246</v>
      </c>
      <c r="B703">
        <v>1037644923</v>
      </c>
      <c r="C703" t="s">
        <v>2629</v>
      </c>
      <c r="D703" t="s">
        <v>420</v>
      </c>
      <c r="E703" t="s">
        <v>4010</v>
      </c>
      <c r="F703" s="1">
        <v>46246</v>
      </c>
      <c r="I703" t="s">
        <v>4022</v>
      </c>
    </row>
    <row r="704" spans="1:9" hidden="1" x14ac:dyDescent="0.25">
      <c r="A704" s="1">
        <v>46246</v>
      </c>
      <c r="B704">
        <v>1098686151</v>
      </c>
      <c r="C704" t="s">
        <v>1826</v>
      </c>
      <c r="D704" t="s">
        <v>15</v>
      </c>
      <c r="E704" t="s">
        <v>4012</v>
      </c>
      <c r="F704" s="1">
        <v>46246</v>
      </c>
      <c r="G704" s="1">
        <v>46248</v>
      </c>
      <c r="I704" t="s">
        <v>4022</v>
      </c>
    </row>
    <row r="705" spans="1:9" hidden="1" x14ac:dyDescent="0.25">
      <c r="A705" s="1">
        <v>46246</v>
      </c>
      <c r="B705">
        <v>1143267842</v>
      </c>
      <c r="C705" t="s">
        <v>1444</v>
      </c>
      <c r="D705" t="s">
        <v>78</v>
      </c>
      <c r="E705" t="s">
        <v>4010</v>
      </c>
      <c r="F705" s="1">
        <v>46246</v>
      </c>
      <c r="G705" s="1">
        <v>46248</v>
      </c>
      <c r="I705" t="s">
        <v>4022</v>
      </c>
    </row>
    <row r="706" spans="1:9" hidden="1" x14ac:dyDescent="0.25">
      <c r="A706" s="1">
        <v>46246</v>
      </c>
      <c r="B706">
        <v>1152462704</v>
      </c>
      <c r="C706" t="s">
        <v>663</v>
      </c>
      <c r="D706" t="s">
        <v>82</v>
      </c>
      <c r="E706" t="s">
        <v>4005</v>
      </c>
      <c r="F706" s="1">
        <v>46246</v>
      </c>
      <c r="I706" t="s">
        <v>4022</v>
      </c>
    </row>
    <row r="707" spans="1:9" hidden="1" x14ac:dyDescent="0.25">
      <c r="A707" s="1">
        <v>46246</v>
      </c>
      <c r="B707">
        <v>1082926383</v>
      </c>
      <c r="C707" t="s">
        <v>582</v>
      </c>
      <c r="D707" t="s">
        <v>82</v>
      </c>
      <c r="E707" t="s">
        <v>4005</v>
      </c>
      <c r="F707" s="1">
        <v>46246</v>
      </c>
      <c r="G707" s="1">
        <v>46248</v>
      </c>
      <c r="I707" t="s">
        <v>261</v>
      </c>
    </row>
    <row r="708" spans="1:9" hidden="1" x14ac:dyDescent="0.25">
      <c r="A708" s="1">
        <v>46246</v>
      </c>
      <c r="B708">
        <v>59310511</v>
      </c>
      <c r="C708" t="s">
        <v>1260</v>
      </c>
      <c r="D708" t="s">
        <v>160</v>
      </c>
      <c r="E708" t="s">
        <v>4011</v>
      </c>
      <c r="F708" s="1">
        <v>46246</v>
      </c>
      <c r="G708" s="1">
        <v>46246</v>
      </c>
      <c r="I708" t="s">
        <v>4022</v>
      </c>
    </row>
    <row r="709" spans="1:9" hidden="1" x14ac:dyDescent="0.25">
      <c r="A709" s="1">
        <v>46246</v>
      </c>
      <c r="B709">
        <v>1000532653</v>
      </c>
      <c r="C709" t="s">
        <v>1117</v>
      </c>
      <c r="D709" t="s">
        <v>82</v>
      </c>
      <c r="E709" t="s">
        <v>4005</v>
      </c>
      <c r="F709" s="1">
        <v>46246</v>
      </c>
      <c r="G709" s="1">
        <v>46246</v>
      </c>
      <c r="H709" t="s">
        <v>17</v>
      </c>
      <c r="I709" t="s">
        <v>18</v>
      </c>
    </row>
    <row r="710" spans="1:9" hidden="1" x14ac:dyDescent="0.25">
      <c r="A710" s="1">
        <v>46246</v>
      </c>
      <c r="B710">
        <v>43986125</v>
      </c>
      <c r="C710" t="s">
        <v>1233</v>
      </c>
      <c r="D710" t="s">
        <v>64</v>
      </c>
      <c r="E710" t="s">
        <v>4012</v>
      </c>
      <c r="F710" s="1">
        <v>46246</v>
      </c>
      <c r="G710" s="1">
        <v>46248</v>
      </c>
      <c r="I710" t="s">
        <v>4022</v>
      </c>
    </row>
    <row r="711" spans="1:9" hidden="1" x14ac:dyDescent="0.25">
      <c r="A711" s="1">
        <v>46246</v>
      </c>
      <c r="B711">
        <v>1040755197</v>
      </c>
      <c r="C711" t="s">
        <v>3094</v>
      </c>
      <c r="D711" t="s">
        <v>4027</v>
      </c>
      <c r="E711" t="s">
        <v>4011</v>
      </c>
      <c r="F711" s="1">
        <v>46246</v>
      </c>
      <c r="G711" s="1">
        <v>46246</v>
      </c>
      <c r="I711" t="s">
        <v>4022</v>
      </c>
    </row>
    <row r="712" spans="1:9" hidden="1" x14ac:dyDescent="0.25">
      <c r="A712" s="1">
        <v>46246</v>
      </c>
      <c r="B712">
        <v>1001140238</v>
      </c>
      <c r="C712" t="s">
        <v>18</v>
      </c>
      <c r="D712" t="s">
        <v>82</v>
      </c>
      <c r="E712" t="s">
        <v>4005</v>
      </c>
      <c r="F712" s="1">
        <v>46246</v>
      </c>
      <c r="G712" s="1">
        <v>46246</v>
      </c>
      <c r="I712" t="s">
        <v>4099</v>
      </c>
    </row>
    <row r="713" spans="1:9" hidden="1" x14ac:dyDescent="0.25">
      <c r="A713" s="1">
        <v>46247</v>
      </c>
      <c r="B713">
        <v>1098686151</v>
      </c>
      <c r="C713" t="s">
        <v>1826</v>
      </c>
      <c r="D713" t="s">
        <v>15</v>
      </c>
      <c r="E713" t="s">
        <v>4012</v>
      </c>
      <c r="F713" s="1">
        <v>46246</v>
      </c>
      <c r="G713" s="1">
        <v>46248</v>
      </c>
      <c r="I713" t="s">
        <v>4022</v>
      </c>
    </row>
    <row r="714" spans="1:9" hidden="1" x14ac:dyDescent="0.25">
      <c r="A714" s="1">
        <v>46247</v>
      </c>
      <c r="B714">
        <v>1094971283</v>
      </c>
      <c r="C714" t="s">
        <v>3338</v>
      </c>
      <c r="D714" t="s">
        <v>326</v>
      </c>
      <c r="E714" t="s">
        <v>4005</v>
      </c>
      <c r="F714" s="1">
        <v>46245</v>
      </c>
      <c r="G714" s="1">
        <v>46247</v>
      </c>
      <c r="I714" t="s">
        <v>261</v>
      </c>
    </row>
    <row r="715" spans="1:9" hidden="1" x14ac:dyDescent="0.25">
      <c r="A715" s="1">
        <v>46247</v>
      </c>
      <c r="B715">
        <v>1037644923</v>
      </c>
      <c r="C715" t="s">
        <v>2629</v>
      </c>
      <c r="D715" t="s">
        <v>420</v>
      </c>
      <c r="E715" t="s">
        <v>4010</v>
      </c>
      <c r="F715" s="1">
        <v>46247</v>
      </c>
      <c r="I715" t="s">
        <v>4022</v>
      </c>
    </row>
    <row r="716" spans="1:9" hidden="1" x14ac:dyDescent="0.25">
      <c r="A716" s="1">
        <v>46247</v>
      </c>
      <c r="B716">
        <v>1044393706</v>
      </c>
      <c r="C716" t="s">
        <v>822</v>
      </c>
      <c r="D716" t="s">
        <v>78</v>
      </c>
      <c r="E716" t="s">
        <v>4010</v>
      </c>
      <c r="F716" s="1">
        <v>46245</v>
      </c>
      <c r="G716" s="1">
        <v>46246</v>
      </c>
      <c r="I716" t="s">
        <v>4006</v>
      </c>
    </row>
    <row r="717" spans="1:9" hidden="1" x14ac:dyDescent="0.25">
      <c r="A717" s="1">
        <v>46247</v>
      </c>
      <c r="B717">
        <v>1037570349</v>
      </c>
      <c r="C717" t="s">
        <v>2770</v>
      </c>
      <c r="D717" t="s">
        <v>78</v>
      </c>
      <c r="E717" t="s">
        <v>4010</v>
      </c>
      <c r="F717" s="1">
        <v>46245</v>
      </c>
      <c r="G717" s="1">
        <v>46246</v>
      </c>
      <c r="I717" t="s">
        <v>4006</v>
      </c>
    </row>
    <row r="718" spans="1:9" hidden="1" x14ac:dyDescent="0.25">
      <c r="A718" s="1">
        <v>46247</v>
      </c>
      <c r="B718">
        <v>1035876080</v>
      </c>
      <c r="C718" t="s">
        <v>120</v>
      </c>
      <c r="D718" t="s">
        <v>121</v>
      </c>
      <c r="E718" t="s">
        <v>4010</v>
      </c>
      <c r="F718" s="1">
        <v>46246</v>
      </c>
      <c r="G718" s="1">
        <v>46254</v>
      </c>
      <c r="H718" t="s">
        <v>73</v>
      </c>
      <c r="I718" t="s">
        <v>74</v>
      </c>
    </row>
    <row r="719" spans="1:9" hidden="1" x14ac:dyDescent="0.25">
      <c r="A719" s="1">
        <v>46247</v>
      </c>
      <c r="B719">
        <v>1085265026</v>
      </c>
      <c r="C719" t="s">
        <v>3413</v>
      </c>
      <c r="D719" t="s">
        <v>64</v>
      </c>
      <c r="E719" t="s">
        <v>4012</v>
      </c>
      <c r="F719" s="1">
        <v>46245</v>
      </c>
      <c r="G719" s="1">
        <v>46249</v>
      </c>
      <c r="I719" t="s">
        <v>261</v>
      </c>
    </row>
    <row r="720" spans="1:9" hidden="1" x14ac:dyDescent="0.25">
      <c r="A720" s="1">
        <v>46247</v>
      </c>
      <c r="B720">
        <v>1000416307</v>
      </c>
      <c r="C720" t="s">
        <v>3014</v>
      </c>
      <c r="D720" t="s">
        <v>82</v>
      </c>
      <c r="E720" t="s">
        <v>4005</v>
      </c>
      <c r="F720" s="1">
        <v>46245</v>
      </c>
      <c r="G720" s="1">
        <v>46246</v>
      </c>
      <c r="I720" t="s">
        <v>4006</v>
      </c>
    </row>
    <row r="721" spans="1:9" hidden="1" x14ac:dyDescent="0.25">
      <c r="A721" s="1">
        <v>46247</v>
      </c>
      <c r="B721">
        <v>1047503032</v>
      </c>
      <c r="C721" t="s">
        <v>2974</v>
      </c>
      <c r="D721" t="s">
        <v>89</v>
      </c>
      <c r="E721" t="s">
        <v>4017</v>
      </c>
      <c r="F721" s="1">
        <v>46245</v>
      </c>
      <c r="G721" s="1">
        <v>46246</v>
      </c>
      <c r="I721" t="s">
        <v>4006</v>
      </c>
    </row>
    <row r="722" spans="1:9" hidden="1" x14ac:dyDescent="0.25">
      <c r="A722" s="1">
        <v>46247</v>
      </c>
      <c r="B722">
        <v>1007111078</v>
      </c>
      <c r="C722" t="s">
        <v>3631</v>
      </c>
      <c r="D722" t="s">
        <v>4142</v>
      </c>
      <c r="E722" t="s">
        <v>4017</v>
      </c>
      <c r="F722" s="1">
        <v>46247</v>
      </c>
      <c r="G722" s="1">
        <v>46247</v>
      </c>
      <c r="H722" t="s">
        <v>230</v>
      </c>
      <c r="I722" t="s">
        <v>231</v>
      </c>
    </row>
    <row r="723" spans="1:9" hidden="1" x14ac:dyDescent="0.25">
      <c r="A723" s="1">
        <v>46247</v>
      </c>
      <c r="B723">
        <v>1020470720</v>
      </c>
      <c r="C723" t="s">
        <v>544</v>
      </c>
      <c r="D723" t="s">
        <v>543</v>
      </c>
      <c r="E723" t="s">
        <v>4010</v>
      </c>
      <c r="F723" s="1">
        <v>46245</v>
      </c>
      <c r="G723" s="1">
        <v>46246</v>
      </c>
      <c r="I723" t="s">
        <v>4006</v>
      </c>
    </row>
    <row r="724" spans="1:9" hidden="1" x14ac:dyDescent="0.25">
      <c r="A724" s="1">
        <v>46247</v>
      </c>
      <c r="B724">
        <v>1057608489</v>
      </c>
      <c r="C724" t="s">
        <v>3032</v>
      </c>
      <c r="D724" t="s">
        <v>82</v>
      </c>
      <c r="E724" t="s">
        <v>4005</v>
      </c>
      <c r="F724" s="1">
        <v>46245</v>
      </c>
      <c r="G724" s="1">
        <v>46246</v>
      </c>
      <c r="I724" t="s">
        <v>4006</v>
      </c>
    </row>
    <row r="725" spans="1:9" hidden="1" x14ac:dyDescent="0.25">
      <c r="A725" s="1">
        <v>46247</v>
      </c>
      <c r="B725">
        <v>43271257</v>
      </c>
      <c r="C725" t="s">
        <v>1236</v>
      </c>
      <c r="D725" t="s">
        <v>34</v>
      </c>
      <c r="E725" t="s">
        <v>4011</v>
      </c>
      <c r="F725" s="1">
        <v>46245</v>
      </c>
      <c r="G725" s="1">
        <v>46246</v>
      </c>
      <c r="I725" t="s">
        <v>4006</v>
      </c>
    </row>
    <row r="726" spans="1:9" hidden="1" x14ac:dyDescent="0.25">
      <c r="A726" s="1">
        <v>46247</v>
      </c>
      <c r="B726">
        <v>1193584838</v>
      </c>
      <c r="C726" t="s">
        <v>2955</v>
      </c>
      <c r="D726" t="s">
        <v>142</v>
      </c>
      <c r="E726" t="s">
        <v>4012</v>
      </c>
      <c r="F726" s="1">
        <v>46245</v>
      </c>
      <c r="G726" s="1">
        <v>46247</v>
      </c>
      <c r="I726" t="s">
        <v>261</v>
      </c>
    </row>
    <row r="727" spans="1:9" hidden="1" x14ac:dyDescent="0.25">
      <c r="A727" s="1">
        <v>46247</v>
      </c>
      <c r="B727">
        <v>1140876076</v>
      </c>
      <c r="C727" t="s">
        <v>1263</v>
      </c>
      <c r="D727" t="s">
        <v>34</v>
      </c>
      <c r="E727" t="s">
        <v>4011</v>
      </c>
      <c r="F727" s="1">
        <v>46245</v>
      </c>
      <c r="G727" s="1">
        <v>46246</v>
      </c>
      <c r="I727" t="s">
        <v>4006</v>
      </c>
    </row>
    <row r="728" spans="1:9" hidden="1" x14ac:dyDescent="0.25">
      <c r="A728" s="1">
        <v>46247</v>
      </c>
      <c r="B728">
        <v>1143360194</v>
      </c>
      <c r="C728" t="s">
        <v>3473</v>
      </c>
      <c r="D728" t="s">
        <v>160</v>
      </c>
      <c r="E728" t="s">
        <v>4011</v>
      </c>
      <c r="F728" s="1">
        <v>46245</v>
      </c>
      <c r="G728" s="1">
        <v>46246</v>
      </c>
      <c r="I728" t="s">
        <v>4006</v>
      </c>
    </row>
    <row r="729" spans="1:9" hidden="1" x14ac:dyDescent="0.25">
      <c r="A729" s="1">
        <v>46247</v>
      </c>
      <c r="B729">
        <v>1017209928</v>
      </c>
      <c r="C729" t="s">
        <v>1135</v>
      </c>
      <c r="D729" t="s">
        <v>326</v>
      </c>
      <c r="E729" t="s">
        <v>4005</v>
      </c>
      <c r="F729" s="1">
        <v>46245</v>
      </c>
      <c r="G729" s="1">
        <v>46246</v>
      </c>
      <c r="I729" t="s">
        <v>4006</v>
      </c>
    </row>
    <row r="730" spans="1:9" hidden="1" x14ac:dyDescent="0.25">
      <c r="A730" s="1">
        <v>46247</v>
      </c>
      <c r="B730">
        <v>1077462479</v>
      </c>
      <c r="C730" t="s">
        <v>3992</v>
      </c>
      <c r="D730" t="s">
        <v>142</v>
      </c>
      <c r="E730" t="s">
        <v>4012</v>
      </c>
      <c r="F730" s="1">
        <v>46245</v>
      </c>
      <c r="G730" s="1">
        <v>46247</v>
      </c>
      <c r="H730" t="s">
        <v>154</v>
      </c>
      <c r="I730" t="s">
        <v>155</v>
      </c>
    </row>
    <row r="731" spans="1:9" hidden="1" x14ac:dyDescent="0.25">
      <c r="A731" s="1">
        <v>46247</v>
      </c>
      <c r="B731">
        <v>1000408752</v>
      </c>
      <c r="C731" t="s">
        <v>3598</v>
      </c>
      <c r="D731" t="s">
        <v>64</v>
      </c>
      <c r="E731" t="s">
        <v>4012</v>
      </c>
      <c r="F731" s="1">
        <v>46244</v>
      </c>
      <c r="G731" s="1">
        <v>46246</v>
      </c>
      <c r="I731" t="s">
        <v>4006</v>
      </c>
    </row>
    <row r="732" spans="1:9" hidden="1" x14ac:dyDescent="0.25">
      <c r="A732" s="1">
        <v>46247</v>
      </c>
      <c r="B732">
        <v>1014237413</v>
      </c>
      <c r="C732" t="s">
        <v>756</v>
      </c>
      <c r="D732" t="s">
        <v>420</v>
      </c>
      <c r="E732" t="s">
        <v>4010</v>
      </c>
      <c r="F732" s="1">
        <v>46244</v>
      </c>
      <c r="G732" s="1">
        <v>46246</v>
      </c>
      <c r="I732" t="s">
        <v>4006</v>
      </c>
    </row>
    <row r="733" spans="1:9" hidden="1" x14ac:dyDescent="0.25">
      <c r="A733" s="1">
        <v>46247</v>
      </c>
      <c r="B733">
        <v>1000921455</v>
      </c>
      <c r="C733" t="s">
        <v>33</v>
      </c>
      <c r="D733" t="s">
        <v>34</v>
      </c>
      <c r="E733" t="s">
        <v>4011</v>
      </c>
      <c r="F733" s="1">
        <v>46242</v>
      </c>
      <c r="G733" s="1">
        <v>46246</v>
      </c>
      <c r="I733" t="s">
        <v>4006</v>
      </c>
    </row>
    <row r="734" spans="1:9" hidden="1" x14ac:dyDescent="0.25">
      <c r="A734" s="1">
        <v>46247</v>
      </c>
      <c r="B734">
        <v>1143374438</v>
      </c>
      <c r="C734" t="s">
        <v>85</v>
      </c>
      <c r="D734" t="s">
        <v>41</v>
      </c>
      <c r="E734" t="s">
        <v>4011</v>
      </c>
      <c r="F734" s="1">
        <v>46239</v>
      </c>
      <c r="G734" s="1">
        <v>46268</v>
      </c>
      <c r="I734" t="s">
        <v>261</v>
      </c>
    </row>
    <row r="735" spans="1:9" hidden="1" x14ac:dyDescent="0.25">
      <c r="A735" s="1">
        <v>46247</v>
      </c>
      <c r="B735">
        <v>1015483595</v>
      </c>
      <c r="C735" t="s">
        <v>243</v>
      </c>
      <c r="D735" t="s">
        <v>34</v>
      </c>
      <c r="E735" t="s">
        <v>4011</v>
      </c>
      <c r="F735" s="1">
        <v>46244</v>
      </c>
      <c r="G735" s="1">
        <v>46265</v>
      </c>
      <c r="H735" t="s">
        <v>178</v>
      </c>
      <c r="I735" t="s">
        <v>179</v>
      </c>
    </row>
    <row r="736" spans="1:9" hidden="1" x14ac:dyDescent="0.25">
      <c r="A736" s="1">
        <v>46247</v>
      </c>
      <c r="B736">
        <v>1001851670</v>
      </c>
      <c r="C736" t="s">
        <v>14</v>
      </c>
      <c r="D736" t="s">
        <v>15</v>
      </c>
      <c r="E736" t="s">
        <v>4012</v>
      </c>
      <c r="F736" s="1">
        <v>46241</v>
      </c>
      <c r="G736" s="1">
        <v>46366</v>
      </c>
      <c r="H736" t="s">
        <v>247</v>
      </c>
      <c r="I736" t="s">
        <v>248</v>
      </c>
    </row>
    <row r="737" spans="1:9" hidden="1" x14ac:dyDescent="0.25">
      <c r="A737" s="1">
        <v>46247</v>
      </c>
      <c r="B737">
        <v>42141273</v>
      </c>
      <c r="C737" t="s">
        <v>210</v>
      </c>
      <c r="D737" t="s">
        <v>211</v>
      </c>
      <c r="E737" t="s">
        <v>4017</v>
      </c>
      <c r="F737" s="1">
        <v>46232</v>
      </c>
      <c r="G737" s="1">
        <v>46261</v>
      </c>
      <c r="H737" t="s">
        <v>134</v>
      </c>
      <c r="I737" t="s">
        <v>135</v>
      </c>
    </row>
    <row r="738" spans="1:9" hidden="1" x14ac:dyDescent="0.25">
      <c r="A738" s="1">
        <v>46247</v>
      </c>
      <c r="B738">
        <v>1010246557</v>
      </c>
      <c r="C738" t="s">
        <v>3428</v>
      </c>
      <c r="D738" t="s">
        <v>326</v>
      </c>
      <c r="E738" t="s">
        <v>4005</v>
      </c>
      <c r="F738" s="1">
        <v>46247</v>
      </c>
      <c r="G738" s="1">
        <v>46247</v>
      </c>
      <c r="H738" t="s">
        <v>106</v>
      </c>
      <c r="I738" t="s">
        <v>107</v>
      </c>
    </row>
    <row r="739" spans="1:9" hidden="1" x14ac:dyDescent="0.25">
      <c r="A739" s="1">
        <v>46247</v>
      </c>
      <c r="B739">
        <v>1001137222</v>
      </c>
      <c r="C739" t="s">
        <v>2860</v>
      </c>
      <c r="D739" t="s">
        <v>4027</v>
      </c>
      <c r="E739" t="s">
        <v>4011</v>
      </c>
      <c r="F739" s="1">
        <v>46246</v>
      </c>
      <c r="G739" s="1">
        <v>46246</v>
      </c>
      <c r="I739" t="s">
        <v>4006</v>
      </c>
    </row>
    <row r="740" spans="1:9" hidden="1" x14ac:dyDescent="0.25">
      <c r="A740" s="1">
        <v>46247</v>
      </c>
      <c r="B740">
        <v>1152221372</v>
      </c>
      <c r="C740" t="s">
        <v>2313</v>
      </c>
      <c r="D740" t="s">
        <v>128</v>
      </c>
      <c r="E740" t="s">
        <v>4005</v>
      </c>
      <c r="F740" s="1">
        <v>46230</v>
      </c>
      <c r="I740" t="s">
        <v>261</v>
      </c>
    </row>
    <row r="741" spans="1:9" hidden="1" x14ac:dyDescent="0.25">
      <c r="A741" s="1">
        <v>46247</v>
      </c>
      <c r="B741">
        <v>1094275204</v>
      </c>
      <c r="C741" t="s">
        <v>1823</v>
      </c>
      <c r="D741" t="s">
        <v>211</v>
      </c>
      <c r="E741" t="s">
        <v>4017</v>
      </c>
      <c r="F741" s="1">
        <v>46246</v>
      </c>
      <c r="G741" s="1">
        <v>46246</v>
      </c>
      <c r="I741" t="s">
        <v>4006</v>
      </c>
    </row>
    <row r="742" spans="1:9" hidden="1" x14ac:dyDescent="0.25">
      <c r="A742" s="1">
        <v>46247</v>
      </c>
      <c r="B742">
        <v>1004960056</v>
      </c>
      <c r="C742" t="s">
        <v>563</v>
      </c>
      <c r="D742" t="s">
        <v>553</v>
      </c>
      <c r="E742" t="s">
        <v>4010</v>
      </c>
      <c r="F742" s="1">
        <v>46246</v>
      </c>
      <c r="G742" s="1">
        <v>46247</v>
      </c>
      <c r="H742" t="s">
        <v>162</v>
      </c>
      <c r="I742" t="s">
        <v>163</v>
      </c>
    </row>
    <row r="743" spans="1:9" hidden="1" x14ac:dyDescent="0.25">
      <c r="A743" s="1">
        <v>46247</v>
      </c>
      <c r="B743">
        <v>1017264032</v>
      </c>
      <c r="C743" t="s">
        <v>63</v>
      </c>
      <c r="D743" t="s">
        <v>64</v>
      </c>
      <c r="E743" t="s">
        <v>4012</v>
      </c>
      <c r="F743" s="1">
        <v>46229</v>
      </c>
      <c r="G743" s="1">
        <v>46258</v>
      </c>
      <c r="I743" t="s">
        <v>261</v>
      </c>
    </row>
    <row r="744" spans="1:9" hidden="1" x14ac:dyDescent="0.25">
      <c r="A744" s="1">
        <v>46247</v>
      </c>
      <c r="B744">
        <v>1000640883</v>
      </c>
      <c r="C744" t="s">
        <v>3227</v>
      </c>
      <c r="D744" t="s">
        <v>64</v>
      </c>
      <c r="E744" t="s">
        <v>4012</v>
      </c>
      <c r="F744" s="1">
        <v>46247</v>
      </c>
      <c r="I744" t="s">
        <v>4143</v>
      </c>
    </row>
    <row r="745" spans="1:9" hidden="1" x14ac:dyDescent="0.25">
      <c r="A745" s="1">
        <v>46247</v>
      </c>
      <c r="B745">
        <v>1071169507</v>
      </c>
      <c r="C745" t="s">
        <v>88</v>
      </c>
      <c r="D745" t="s">
        <v>89</v>
      </c>
      <c r="E745" t="s">
        <v>4017</v>
      </c>
      <c r="F745" s="1">
        <v>46242</v>
      </c>
      <c r="G745" s="1">
        <v>46247</v>
      </c>
      <c r="H745" t="s">
        <v>212</v>
      </c>
      <c r="I745" t="s">
        <v>213</v>
      </c>
    </row>
    <row r="746" spans="1:9" hidden="1" x14ac:dyDescent="0.25">
      <c r="A746" s="1">
        <v>46247</v>
      </c>
      <c r="B746">
        <v>1036132488</v>
      </c>
      <c r="C746" t="s">
        <v>150</v>
      </c>
      <c r="D746" t="s">
        <v>142</v>
      </c>
      <c r="E746" t="s">
        <v>4012</v>
      </c>
      <c r="F746" s="1">
        <v>46227</v>
      </c>
      <c r="G746" s="1">
        <v>46246</v>
      </c>
      <c r="I746" t="s">
        <v>4006</v>
      </c>
    </row>
    <row r="747" spans="1:9" hidden="1" x14ac:dyDescent="0.25">
      <c r="A747" s="1">
        <v>46247</v>
      </c>
      <c r="B747">
        <v>1037631989</v>
      </c>
      <c r="C747" t="s">
        <v>40</v>
      </c>
      <c r="D747" t="s">
        <v>41</v>
      </c>
      <c r="E747" t="s">
        <v>4011</v>
      </c>
      <c r="F747" s="1">
        <v>46226</v>
      </c>
      <c r="G747" s="1">
        <v>46255</v>
      </c>
      <c r="I747" t="s">
        <v>261</v>
      </c>
    </row>
    <row r="748" spans="1:9" hidden="1" x14ac:dyDescent="0.25">
      <c r="A748" s="1">
        <v>46247</v>
      </c>
      <c r="B748">
        <v>1143414481</v>
      </c>
      <c r="C748" t="s">
        <v>2395</v>
      </c>
      <c r="D748" t="s">
        <v>41</v>
      </c>
      <c r="E748" t="s">
        <v>4011</v>
      </c>
      <c r="F748" s="1">
        <v>46247</v>
      </c>
      <c r="G748" s="1">
        <v>46252</v>
      </c>
      <c r="H748" t="s">
        <v>17</v>
      </c>
      <c r="I748" t="s">
        <v>18</v>
      </c>
    </row>
    <row r="749" spans="1:9" hidden="1" x14ac:dyDescent="0.25">
      <c r="A749" s="1">
        <v>46247</v>
      </c>
      <c r="B749">
        <v>1043006106</v>
      </c>
      <c r="C749" t="s">
        <v>194</v>
      </c>
      <c r="D749" t="s">
        <v>160</v>
      </c>
      <c r="E749" t="s">
        <v>4011</v>
      </c>
      <c r="F749" s="1">
        <v>46219</v>
      </c>
      <c r="G749" s="1">
        <v>46248</v>
      </c>
      <c r="H749" t="s">
        <v>188</v>
      </c>
      <c r="I749" t="s">
        <v>189</v>
      </c>
    </row>
    <row r="750" spans="1:9" hidden="1" x14ac:dyDescent="0.25">
      <c r="A750" s="1">
        <v>46247</v>
      </c>
      <c r="B750">
        <v>1037638426</v>
      </c>
      <c r="C750" t="s">
        <v>44</v>
      </c>
      <c r="D750" t="s">
        <v>41</v>
      </c>
      <c r="E750" t="s">
        <v>4011</v>
      </c>
      <c r="F750" s="1">
        <v>46230</v>
      </c>
      <c r="G750" s="1">
        <v>46262</v>
      </c>
      <c r="H750" t="s">
        <v>240</v>
      </c>
      <c r="I750" t="s">
        <v>241</v>
      </c>
    </row>
    <row r="751" spans="1:9" hidden="1" x14ac:dyDescent="0.25">
      <c r="A751" s="1">
        <v>46247</v>
      </c>
      <c r="B751">
        <v>1121506548</v>
      </c>
      <c r="C751" t="s">
        <v>50</v>
      </c>
      <c r="D751" t="s">
        <v>51</v>
      </c>
      <c r="E751" t="s">
        <v>4011</v>
      </c>
      <c r="F751" s="1">
        <v>46217</v>
      </c>
      <c r="G751" s="1">
        <v>46342</v>
      </c>
      <c r="I751" t="s">
        <v>261</v>
      </c>
    </row>
    <row r="752" spans="1:9" hidden="1" x14ac:dyDescent="0.25">
      <c r="A752" s="1">
        <v>46247</v>
      </c>
      <c r="B752">
        <v>1037630071</v>
      </c>
      <c r="C752" t="s">
        <v>3544</v>
      </c>
      <c r="D752" t="s">
        <v>97</v>
      </c>
      <c r="E752" t="s">
        <v>4005</v>
      </c>
      <c r="F752" s="1">
        <v>46247</v>
      </c>
      <c r="G752" s="1">
        <v>46265</v>
      </c>
      <c r="H752" t="s">
        <v>147</v>
      </c>
      <c r="I752" t="s">
        <v>148</v>
      </c>
    </row>
    <row r="753" spans="1:9" hidden="1" x14ac:dyDescent="0.25">
      <c r="A753" s="1">
        <v>46247</v>
      </c>
      <c r="B753">
        <v>1143460426</v>
      </c>
      <c r="C753" t="s">
        <v>4034</v>
      </c>
      <c r="D753" t="s">
        <v>160</v>
      </c>
      <c r="E753" t="s">
        <v>4011</v>
      </c>
      <c r="F753" s="1">
        <v>46195</v>
      </c>
      <c r="G753" s="1">
        <v>46198</v>
      </c>
      <c r="H753" t="s">
        <v>191</v>
      </c>
      <c r="I753" t="s">
        <v>192</v>
      </c>
    </row>
    <row r="754" spans="1:9" hidden="1" x14ac:dyDescent="0.25">
      <c r="A754" s="1">
        <v>46247</v>
      </c>
      <c r="B754">
        <v>1001897056</v>
      </c>
      <c r="C754" t="s">
        <v>3660</v>
      </c>
      <c r="D754" t="s">
        <v>128</v>
      </c>
      <c r="E754" t="s">
        <v>4005</v>
      </c>
      <c r="F754" s="1">
        <v>46245</v>
      </c>
      <c r="G754" s="1">
        <v>46249</v>
      </c>
      <c r="I754" t="s">
        <v>261</v>
      </c>
    </row>
    <row r="755" spans="1:9" hidden="1" x14ac:dyDescent="0.25">
      <c r="A755" s="1">
        <v>46247</v>
      </c>
      <c r="B755">
        <v>1098777544</v>
      </c>
      <c r="C755" t="s">
        <v>81</v>
      </c>
      <c r="D755" t="s">
        <v>82</v>
      </c>
      <c r="E755" t="s">
        <v>4005</v>
      </c>
      <c r="F755" s="1">
        <v>46217</v>
      </c>
      <c r="G755" s="1">
        <v>46246</v>
      </c>
      <c r="I755" t="s">
        <v>4006</v>
      </c>
    </row>
    <row r="756" spans="1:9" hidden="1" x14ac:dyDescent="0.25">
      <c r="A756" s="1">
        <v>46247</v>
      </c>
      <c r="B756">
        <v>1152462704</v>
      </c>
      <c r="C756" t="s">
        <v>663</v>
      </c>
      <c r="D756" t="s">
        <v>82</v>
      </c>
      <c r="E756" t="s">
        <v>4005</v>
      </c>
      <c r="F756" s="1">
        <v>46246</v>
      </c>
      <c r="I756" t="s">
        <v>4022</v>
      </c>
    </row>
    <row r="757" spans="1:9" hidden="1" x14ac:dyDescent="0.25">
      <c r="A757" s="1">
        <v>46247</v>
      </c>
      <c r="B757">
        <v>1082926383</v>
      </c>
      <c r="C757" t="s">
        <v>582</v>
      </c>
      <c r="D757" t="s">
        <v>82</v>
      </c>
      <c r="E757" t="s">
        <v>4005</v>
      </c>
      <c r="F757" s="1">
        <v>46246</v>
      </c>
      <c r="G757" s="1">
        <v>46248</v>
      </c>
      <c r="I757" t="s">
        <v>261</v>
      </c>
    </row>
    <row r="758" spans="1:9" hidden="1" x14ac:dyDescent="0.25">
      <c r="A758" s="1">
        <v>46247</v>
      </c>
      <c r="B758">
        <v>1000662062</v>
      </c>
      <c r="C758" t="s">
        <v>260</v>
      </c>
      <c r="D758" t="s">
        <v>64</v>
      </c>
      <c r="E758" t="s">
        <v>4012</v>
      </c>
      <c r="F758" s="1">
        <v>46245</v>
      </c>
      <c r="G758" s="1">
        <v>46249</v>
      </c>
      <c r="I758" t="s">
        <v>261</v>
      </c>
    </row>
    <row r="759" spans="1:9" hidden="1" x14ac:dyDescent="0.25">
      <c r="A759" s="1">
        <v>46247</v>
      </c>
      <c r="B759">
        <v>43558465</v>
      </c>
      <c r="C759" t="s">
        <v>103</v>
      </c>
      <c r="D759" t="s">
        <v>64</v>
      </c>
      <c r="E759" t="s">
        <v>4012</v>
      </c>
      <c r="F759" s="1">
        <v>46226</v>
      </c>
      <c r="G759" s="1">
        <v>46246</v>
      </c>
      <c r="I759" t="s">
        <v>4006</v>
      </c>
    </row>
    <row r="760" spans="1:9" hidden="1" x14ac:dyDescent="0.25">
      <c r="A760" s="1">
        <v>46247</v>
      </c>
      <c r="B760">
        <v>1082896324</v>
      </c>
      <c r="C760" t="s">
        <v>77</v>
      </c>
      <c r="D760" t="s">
        <v>78</v>
      </c>
      <c r="E760" t="s">
        <v>4010</v>
      </c>
      <c r="F760" s="1">
        <v>46242</v>
      </c>
      <c r="G760" s="1">
        <v>46272</v>
      </c>
      <c r="H760" t="s">
        <v>171</v>
      </c>
      <c r="I760" t="s">
        <v>172</v>
      </c>
    </row>
    <row r="761" spans="1:9" hidden="1" x14ac:dyDescent="0.25">
      <c r="A761" s="1">
        <v>46247</v>
      </c>
      <c r="B761">
        <v>1143267842</v>
      </c>
      <c r="C761" t="s">
        <v>1444</v>
      </c>
      <c r="D761" t="s">
        <v>78</v>
      </c>
      <c r="E761" t="s">
        <v>4010</v>
      </c>
      <c r="F761" s="1">
        <v>46246</v>
      </c>
      <c r="G761" s="1">
        <v>46248</v>
      </c>
      <c r="I761" t="s">
        <v>4022</v>
      </c>
    </row>
    <row r="762" spans="1:9" hidden="1" x14ac:dyDescent="0.25">
      <c r="A762" s="1">
        <v>46247</v>
      </c>
      <c r="B762">
        <v>1037671907</v>
      </c>
      <c r="C762" t="s">
        <v>4136</v>
      </c>
      <c r="D762" t="s">
        <v>57</v>
      </c>
      <c r="E762" t="s">
        <v>4010</v>
      </c>
      <c r="F762" s="1">
        <v>46245</v>
      </c>
      <c r="G762" s="1">
        <v>46247</v>
      </c>
      <c r="I762" t="s">
        <v>261</v>
      </c>
    </row>
    <row r="763" spans="1:9" hidden="1" x14ac:dyDescent="0.25">
      <c r="A763" s="1">
        <v>46247</v>
      </c>
      <c r="B763">
        <v>1045718883</v>
      </c>
      <c r="C763" t="s">
        <v>47</v>
      </c>
      <c r="D763" t="s">
        <v>34</v>
      </c>
      <c r="E763" t="s">
        <v>4011</v>
      </c>
      <c r="F763" s="1">
        <v>46245</v>
      </c>
      <c r="G763" s="1">
        <v>46340</v>
      </c>
      <c r="H763" t="s">
        <v>35</v>
      </c>
      <c r="I763" t="s">
        <v>36</v>
      </c>
    </row>
    <row r="764" spans="1:9" hidden="1" x14ac:dyDescent="0.25">
      <c r="A764" s="1">
        <v>46247</v>
      </c>
      <c r="B764">
        <v>1102808787</v>
      </c>
      <c r="C764" t="s">
        <v>265</v>
      </c>
      <c r="D764" t="s">
        <v>51</v>
      </c>
      <c r="E764" t="s">
        <v>4011</v>
      </c>
      <c r="F764" s="1">
        <v>46237</v>
      </c>
      <c r="G764" s="1">
        <v>46256</v>
      </c>
      <c r="I764" t="s">
        <v>261</v>
      </c>
    </row>
    <row r="765" spans="1:9" hidden="1" x14ac:dyDescent="0.25">
      <c r="A765" s="1">
        <v>46247</v>
      </c>
      <c r="B765">
        <v>59310511</v>
      </c>
      <c r="C765" t="s">
        <v>1260</v>
      </c>
      <c r="D765" t="s">
        <v>160</v>
      </c>
      <c r="E765" t="s">
        <v>4011</v>
      </c>
      <c r="F765" s="1">
        <v>46246</v>
      </c>
      <c r="G765" s="1">
        <v>46246</v>
      </c>
      <c r="I765" t="s">
        <v>4006</v>
      </c>
    </row>
    <row r="766" spans="1:9" hidden="1" x14ac:dyDescent="0.25">
      <c r="A766" s="1">
        <v>46247</v>
      </c>
      <c r="B766">
        <v>1005424850</v>
      </c>
      <c r="C766" t="s">
        <v>56</v>
      </c>
      <c r="D766" t="s">
        <v>57</v>
      </c>
      <c r="E766" t="s">
        <v>4010</v>
      </c>
      <c r="F766" s="1">
        <v>46247</v>
      </c>
      <c r="G766" s="1">
        <v>46262</v>
      </c>
      <c r="H766" t="s">
        <v>244</v>
      </c>
      <c r="I766" t="s">
        <v>245</v>
      </c>
    </row>
    <row r="767" spans="1:9" hidden="1" x14ac:dyDescent="0.25">
      <c r="A767" s="1">
        <v>46247</v>
      </c>
      <c r="B767">
        <v>1036132488</v>
      </c>
      <c r="C767" t="s">
        <v>150</v>
      </c>
      <c r="D767" t="s">
        <v>142</v>
      </c>
      <c r="E767" t="s">
        <v>4012</v>
      </c>
      <c r="F767" s="1">
        <v>46247</v>
      </c>
      <c r="G767" s="1">
        <v>46248</v>
      </c>
      <c r="I767" t="s">
        <v>4022</v>
      </c>
    </row>
    <row r="768" spans="1:9" hidden="1" x14ac:dyDescent="0.25">
      <c r="A768" s="1">
        <v>46247</v>
      </c>
      <c r="B768">
        <v>1143373273</v>
      </c>
      <c r="C768" t="s">
        <v>1984</v>
      </c>
      <c r="D768" t="s">
        <v>211</v>
      </c>
      <c r="E768" t="s">
        <v>4017</v>
      </c>
      <c r="F768" s="1">
        <v>46245</v>
      </c>
      <c r="G768" s="1">
        <v>46247</v>
      </c>
      <c r="H768" t="s">
        <v>3621</v>
      </c>
      <c r="I768" t="s">
        <v>3622</v>
      </c>
    </row>
    <row r="769" spans="1:9" hidden="1" x14ac:dyDescent="0.25">
      <c r="A769" s="1">
        <v>46247</v>
      </c>
      <c r="B769">
        <v>1000532653</v>
      </c>
      <c r="C769" t="s">
        <v>1117</v>
      </c>
      <c r="D769" t="s">
        <v>82</v>
      </c>
      <c r="E769" t="s">
        <v>4005</v>
      </c>
      <c r="F769" s="1">
        <v>46246</v>
      </c>
      <c r="G769" s="1">
        <v>46246</v>
      </c>
      <c r="I769" t="s">
        <v>4006</v>
      </c>
    </row>
    <row r="770" spans="1:9" hidden="1" x14ac:dyDescent="0.25">
      <c r="A770" s="1">
        <v>46247</v>
      </c>
      <c r="B770">
        <v>43986125</v>
      </c>
      <c r="C770" t="s">
        <v>1233</v>
      </c>
      <c r="D770" t="s">
        <v>64</v>
      </c>
      <c r="E770" t="s">
        <v>4012</v>
      </c>
      <c r="F770" s="1">
        <v>46246</v>
      </c>
      <c r="G770" s="1">
        <v>46248</v>
      </c>
      <c r="I770" t="s">
        <v>261</v>
      </c>
    </row>
    <row r="771" spans="1:9" hidden="1" x14ac:dyDescent="0.25">
      <c r="A771" s="1">
        <v>46247</v>
      </c>
      <c r="B771">
        <v>1040755197</v>
      </c>
      <c r="C771" t="s">
        <v>3094</v>
      </c>
      <c r="D771" t="s">
        <v>4027</v>
      </c>
      <c r="E771" t="s">
        <v>4011</v>
      </c>
      <c r="F771" s="1">
        <v>46246</v>
      </c>
      <c r="G771" s="1">
        <v>46246</v>
      </c>
      <c r="I771" t="s">
        <v>261</v>
      </c>
    </row>
    <row r="772" spans="1:9" hidden="1" x14ac:dyDescent="0.25">
      <c r="A772" s="1">
        <v>46247</v>
      </c>
      <c r="B772">
        <v>1152462501</v>
      </c>
      <c r="C772" t="s">
        <v>3008</v>
      </c>
      <c r="D772" t="s">
        <v>41</v>
      </c>
      <c r="E772" t="s">
        <v>4011</v>
      </c>
      <c r="F772" s="1">
        <v>46247</v>
      </c>
      <c r="H772" t="s">
        <v>122</v>
      </c>
      <c r="I772" t="s">
        <v>123</v>
      </c>
    </row>
    <row r="773" spans="1:9" hidden="1" x14ac:dyDescent="0.25">
      <c r="A773" s="1">
        <v>46247</v>
      </c>
      <c r="B773">
        <v>1053860403</v>
      </c>
      <c r="C773" t="s">
        <v>2271</v>
      </c>
      <c r="D773" t="s">
        <v>211</v>
      </c>
      <c r="E773" t="s">
        <v>4017</v>
      </c>
      <c r="F773" s="1">
        <v>46247</v>
      </c>
      <c r="I773" t="s">
        <v>4144</v>
      </c>
    </row>
    <row r="774" spans="1:9" hidden="1" x14ac:dyDescent="0.25">
      <c r="A774" s="1">
        <v>46247</v>
      </c>
      <c r="B774">
        <v>1003459576</v>
      </c>
      <c r="C774" t="s">
        <v>956</v>
      </c>
      <c r="D774" t="s">
        <v>142</v>
      </c>
      <c r="E774" t="s">
        <v>4012</v>
      </c>
      <c r="F774" s="1">
        <v>46247</v>
      </c>
      <c r="I774" t="s">
        <v>4022</v>
      </c>
    </row>
    <row r="775" spans="1:9" hidden="1" x14ac:dyDescent="0.25">
      <c r="A775" s="1">
        <v>46247</v>
      </c>
      <c r="B775">
        <v>1000100875</v>
      </c>
      <c r="C775" t="s">
        <v>3610</v>
      </c>
      <c r="D775" t="s">
        <v>64</v>
      </c>
      <c r="E775" t="s">
        <v>4012</v>
      </c>
      <c r="F775" s="1">
        <v>46247</v>
      </c>
      <c r="G775" s="1">
        <v>46248</v>
      </c>
      <c r="I775" t="s">
        <v>4022</v>
      </c>
    </row>
    <row r="776" spans="1:9" hidden="1" x14ac:dyDescent="0.25">
      <c r="A776" s="1">
        <v>46247</v>
      </c>
      <c r="B776">
        <v>1152434926</v>
      </c>
      <c r="C776" t="s">
        <v>3248</v>
      </c>
      <c r="D776" t="s">
        <v>142</v>
      </c>
      <c r="E776" t="s">
        <v>4012</v>
      </c>
      <c r="F776" s="1">
        <v>46247</v>
      </c>
      <c r="G776" s="1">
        <v>46249</v>
      </c>
      <c r="I776" t="s">
        <v>261</v>
      </c>
    </row>
    <row r="777" spans="1:9" hidden="1" x14ac:dyDescent="0.25">
      <c r="A777" s="1">
        <v>46247</v>
      </c>
      <c r="B777">
        <v>1052409952</v>
      </c>
      <c r="C777" t="s">
        <v>2356</v>
      </c>
      <c r="D777" t="s">
        <v>153</v>
      </c>
      <c r="E777" t="s">
        <v>4010</v>
      </c>
      <c r="F777" s="1">
        <v>46247</v>
      </c>
      <c r="I777" t="s">
        <v>4022</v>
      </c>
    </row>
    <row r="778" spans="1:9" hidden="1" x14ac:dyDescent="0.25">
      <c r="A778" s="1">
        <v>46247</v>
      </c>
      <c r="B778">
        <v>1036665065</v>
      </c>
      <c r="C778" t="s">
        <v>3654</v>
      </c>
      <c r="D778" t="s">
        <v>51</v>
      </c>
      <c r="E778" t="s">
        <v>4011</v>
      </c>
      <c r="F778" s="1">
        <v>46247</v>
      </c>
      <c r="I778" t="s">
        <v>4022</v>
      </c>
    </row>
    <row r="779" spans="1:9" hidden="1" x14ac:dyDescent="0.25">
      <c r="A779" s="1">
        <v>46247</v>
      </c>
      <c r="B779">
        <v>1001013936</v>
      </c>
      <c r="C779" t="s">
        <v>3820</v>
      </c>
      <c r="D779" t="s">
        <v>41</v>
      </c>
      <c r="E779" t="s">
        <v>4011</v>
      </c>
      <c r="F779" s="1">
        <v>46247</v>
      </c>
      <c r="G779" s="1">
        <v>46248</v>
      </c>
      <c r="I779" t="s">
        <v>261</v>
      </c>
    </row>
    <row r="780" spans="1:9" hidden="1" x14ac:dyDescent="0.25">
      <c r="A780" s="1">
        <v>46247</v>
      </c>
      <c r="B780">
        <v>1152436231</v>
      </c>
      <c r="C780" t="s">
        <v>131</v>
      </c>
      <c r="D780" t="s">
        <v>132</v>
      </c>
      <c r="E780" t="s">
        <v>4010</v>
      </c>
      <c r="F780" s="1">
        <v>46247</v>
      </c>
      <c r="I780" t="s">
        <v>4022</v>
      </c>
    </row>
    <row r="781" spans="1:9" hidden="1" x14ac:dyDescent="0.25">
      <c r="A781" s="1">
        <v>46247</v>
      </c>
      <c r="B781">
        <v>1234090551</v>
      </c>
      <c r="C781" t="s">
        <v>2193</v>
      </c>
      <c r="D781" t="s">
        <v>89</v>
      </c>
      <c r="E781" t="s">
        <v>4017</v>
      </c>
      <c r="F781" s="1">
        <v>46247</v>
      </c>
      <c r="G781" s="1">
        <v>46248</v>
      </c>
      <c r="I781" t="s">
        <v>4022</v>
      </c>
    </row>
    <row r="782" spans="1:9" hidden="1" x14ac:dyDescent="0.25">
      <c r="A782" s="1">
        <v>46247</v>
      </c>
      <c r="B782">
        <v>43453341</v>
      </c>
      <c r="C782" t="s">
        <v>1251</v>
      </c>
      <c r="D782" t="s">
        <v>121</v>
      </c>
      <c r="E782" t="s">
        <v>4010</v>
      </c>
      <c r="F782" s="1">
        <v>46247</v>
      </c>
      <c r="I782" t="s">
        <v>4022</v>
      </c>
    </row>
    <row r="783" spans="1:9" hidden="1" x14ac:dyDescent="0.25">
      <c r="A783" s="1">
        <v>46247</v>
      </c>
      <c r="B783" t="s">
        <v>4210</v>
      </c>
      <c r="C783" t="s">
        <v>4211</v>
      </c>
      <c r="D783" t="s">
        <v>326</v>
      </c>
      <c r="E783" t="s">
        <v>4005</v>
      </c>
      <c r="F783" s="1">
        <v>46247</v>
      </c>
      <c r="G783" s="1">
        <v>46248</v>
      </c>
      <c r="I783" t="s">
        <v>261</v>
      </c>
    </row>
    <row r="784" spans="1:9" hidden="1" x14ac:dyDescent="0.25">
      <c r="A784" s="1">
        <v>46247</v>
      </c>
      <c r="B784">
        <v>1067959066</v>
      </c>
      <c r="C784" t="s">
        <v>3446</v>
      </c>
      <c r="D784" t="s">
        <v>322</v>
      </c>
      <c r="E784" t="s">
        <v>4017</v>
      </c>
      <c r="F784" s="1">
        <v>46247</v>
      </c>
      <c r="I784" t="s">
        <v>4022</v>
      </c>
    </row>
    <row r="785" spans="1:9" hidden="1" x14ac:dyDescent="0.25">
      <c r="A785" s="1">
        <v>46248</v>
      </c>
      <c r="B785">
        <v>1001013936</v>
      </c>
      <c r="C785" t="s">
        <v>3820</v>
      </c>
      <c r="D785" t="s">
        <v>41</v>
      </c>
      <c r="E785" t="s">
        <v>4011</v>
      </c>
      <c r="F785" s="1">
        <v>46247</v>
      </c>
      <c r="G785" s="1">
        <v>46248</v>
      </c>
      <c r="I785" t="s">
        <v>261</v>
      </c>
    </row>
    <row r="786" spans="1:9" hidden="1" x14ac:dyDescent="0.25">
      <c r="A786" s="1">
        <v>46248</v>
      </c>
      <c r="B786">
        <v>1234090551</v>
      </c>
      <c r="C786" t="s">
        <v>2193</v>
      </c>
      <c r="D786" t="s">
        <v>89</v>
      </c>
      <c r="E786" t="s">
        <v>4017</v>
      </c>
      <c r="F786" s="1">
        <v>46247</v>
      </c>
      <c r="G786" s="1">
        <v>46248</v>
      </c>
      <c r="H786" t="s">
        <v>230</v>
      </c>
      <c r="I786" t="s">
        <v>231</v>
      </c>
    </row>
    <row r="787" spans="1:9" hidden="1" x14ac:dyDescent="0.25">
      <c r="A787" s="1">
        <v>46248</v>
      </c>
      <c r="B787">
        <v>1152436231</v>
      </c>
      <c r="C787" t="s">
        <v>131</v>
      </c>
      <c r="D787" t="s">
        <v>132</v>
      </c>
      <c r="E787" t="s">
        <v>4010</v>
      </c>
      <c r="F787" s="1">
        <v>46247</v>
      </c>
      <c r="I787" t="s">
        <v>4022</v>
      </c>
    </row>
    <row r="788" spans="1:9" hidden="1" x14ac:dyDescent="0.25">
      <c r="A788" s="1">
        <v>46248</v>
      </c>
      <c r="B788">
        <v>1036665065</v>
      </c>
      <c r="C788" t="s">
        <v>3654</v>
      </c>
      <c r="D788" t="s">
        <v>51</v>
      </c>
      <c r="E788" t="s">
        <v>4011</v>
      </c>
      <c r="F788" s="1">
        <v>46247</v>
      </c>
      <c r="I788" t="s">
        <v>4022</v>
      </c>
    </row>
    <row r="789" spans="1:9" hidden="1" x14ac:dyDescent="0.25">
      <c r="A789" s="1">
        <v>46248</v>
      </c>
      <c r="B789">
        <v>1052409952</v>
      </c>
      <c r="C789" t="s">
        <v>2356</v>
      </c>
      <c r="D789" t="s">
        <v>153</v>
      </c>
      <c r="E789" t="s">
        <v>4010</v>
      </c>
      <c r="F789" s="1">
        <v>46247</v>
      </c>
      <c r="I789" t="s">
        <v>4022</v>
      </c>
    </row>
    <row r="790" spans="1:9" hidden="1" x14ac:dyDescent="0.25">
      <c r="A790" s="1">
        <v>46248</v>
      </c>
      <c r="B790">
        <v>1152434926</v>
      </c>
      <c r="C790" t="s">
        <v>3248</v>
      </c>
      <c r="D790" t="s">
        <v>142</v>
      </c>
      <c r="E790" t="s">
        <v>4012</v>
      </c>
      <c r="F790" s="1">
        <v>46247</v>
      </c>
      <c r="G790" s="1">
        <v>46249</v>
      </c>
      <c r="I790" t="s">
        <v>261</v>
      </c>
    </row>
    <row r="791" spans="1:9" hidden="1" x14ac:dyDescent="0.25">
      <c r="A791" s="1">
        <v>46248</v>
      </c>
      <c r="B791">
        <v>1000100875</v>
      </c>
      <c r="C791" t="s">
        <v>3610</v>
      </c>
      <c r="D791" t="s">
        <v>64</v>
      </c>
      <c r="E791" t="s">
        <v>4012</v>
      </c>
      <c r="F791" s="1">
        <v>46247</v>
      </c>
      <c r="G791" s="1">
        <v>46248</v>
      </c>
      <c r="I791" t="s">
        <v>261</v>
      </c>
    </row>
    <row r="792" spans="1:9" hidden="1" x14ac:dyDescent="0.25">
      <c r="A792" s="1">
        <v>46248</v>
      </c>
      <c r="B792">
        <v>1003459576</v>
      </c>
      <c r="C792" t="s">
        <v>956</v>
      </c>
      <c r="D792" t="s">
        <v>142</v>
      </c>
      <c r="E792" t="s">
        <v>4012</v>
      </c>
      <c r="F792" s="1">
        <v>46246</v>
      </c>
      <c r="I792" t="s">
        <v>4022</v>
      </c>
    </row>
    <row r="793" spans="1:9" hidden="1" x14ac:dyDescent="0.25">
      <c r="A793" s="1">
        <v>46248</v>
      </c>
      <c r="B793">
        <v>1036132488</v>
      </c>
      <c r="C793" t="s">
        <v>150</v>
      </c>
      <c r="D793" t="s">
        <v>142</v>
      </c>
      <c r="E793" t="s">
        <v>4012</v>
      </c>
      <c r="F793" s="1">
        <v>46247</v>
      </c>
      <c r="G793" s="1">
        <v>46248</v>
      </c>
      <c r="H793" t="s">
        <v>122</v>
      </c>
      <c r="I793" t="s">
        <v>123</v>
      </c>
    </row>
    <row r="794" spans="1:9" hidden="1" x14ac:dyDescent="0.25">
      <c r="A794" s="1">
        <v>46248</v>
      </c>
      <c r="B794">
        <v>1152462501</v>
      </c>
      <c r="C794" t="s">
        <v>3008</v>
      </c>
      <c r="D794" t="s">
        <v>41</v>
      </c>
      <c r="E794" t="s">
        <v>4011</v>
      </c>
      <c r="F794" s="1">
        <v>46247</v>
      </c>
      <c r="I794" t="s">
        <v>4213</v>
      </c>
    </row>
    <row r="795" spans="1:9" hidden="1" x14ac:dyDescent="0.25">
      <c r="A795" s="1">
        <v>46248</v>
      </c>
      <c r="B795">
        <v>1040755197</v>
      </c>
      <c r="C795" t="s">
        <v>3094</v>
      </c>
      <c r="D795" t="s">
        <v>4027</v>
      </c>
      <c r="E795" t="s">
        <v>4011</v>
      </c>
      <c r="F795" s="1">
        <v>46246</v>
      </c>
      <c r="G795" s="1">
        <v>46246</v>
      </c>
      <c r="I795" t="s">
        <v>4006</v>
      </c>
    </row>
    <row r="796" spans="1:9" hidden="1" x14ac:dyDescent="0.25">
      <c r="A796" s="1">
        <v>46248</v>
      </c>
      <c r="B796">
        <v>43986125</v>
      </c>
      <c r="C796" t="s">
        <v>1233</v>
      </c>
      <c r="D796" t="s">
        <v>64</v>
      </c>
      <c r="E796" t="s">
        <v>4012</v>
      </c>
      <c r="F796" s="1">
        <v>46246</v>
      </c>
      <c r="G796" s="1">
        <v>46248</v>
      </c>
      <c r="H796" t="s">
        <v>2886</v>
      </c>
      <c r="I796" t="s">
        <v>2887</v>
      </c>
    </row>
    <row r="797" spans="1:9" hidden="1" x14ac:dyDescent="0.25">
      <c r="A797" s="1">
        <v>46248</v>
      </c>
      <c r="B797">
        <v>1143373273</v>
      </c>
      <c r="C797" t="s">
        <v>1984</v>
      </c>
      <c r="D797" t="s">
        <v>211</v>
      </c>
      <c r="E797" t="s">
        <v>4017</v>
      </c>
      <c r="F797" s="1">
        <v>46245</v>
      </c>
      <c r="G797" s="1">
        <v>46247</v>
      </c>
      <c r="I797" t="s">
        <v>4006</v>
      </c>
    </row>
    <row r="798" spans="1:9" hidden="1" x14ac:dyDescent="0.25">
      <c r="A798" s="1">
        <v>46248</v>
      </c>
      <c r="B798">
        <v>1143267842</v>
      </c>
      <c r="C798" t="s">
        <v>1444</v>
      </c>
      <c r="D798" t="s">
        <v>78</v>
      </c>
      <c r="E798" t="s">
        <v>4010</v>
      </c>
      <c r="F798" s="1">
        <v>46246</v>
      </c>
      <c r="G798" s="1">
        <v>46248</v>
      </c>
      <c r="H798" t="s">
        <v>162</v>
      </c>
      <c r="I798" t="s">
        <v>163</v>
      </c>
    </row>
    <row r="799" spans="1:9" hidden="1" x14ac:dyDescent="0.25">
      <c r="A799" s="1">
        <v>46248</v>
      </c>
      <c r="B799">
        <v>1082926383</v>
      </c>
      <c r="C799" t="s">
        <v>582</v>
      </c>
      <c r="D799" t="s">
        <v>82</v>
      </c>
      <c r="E799" t="s">
        <v>4005</v>
      </c>
      <c r="F799" s="1">
        <v>46246</v>
      </c>
      <c r="G799" s="1">
        <v>46248</v>
      </c>
      <c r="H799" t="s">
        <v>247</v>
      </c>
      <c r="I799" t="s">
        <v>248</v>
      </c>
    </row>
    <row r="800" spans="1:9" hidden="1" x14ac:dyDescent="0.25">
      <c r="A800" s="1">
        <v>46248</v>
      </c>
      <c r="B800">
        <v>1098686151</v>
      </c>
      <c r="C800" t="s">
        <v>1826</v>
      </c>
      <c r="D800" t="s">
        <v>15</v>
      </c>
      <c r="E800" t="s">
        <v>4012</v>
      </c>
      <c r="F800" s="1">
        <v>46246</v>
      </c>
      <c r="G800" s="1">
        <v>46248</v>
      </c>
      <c r="I800" t="s">
        <v>261</v>
      </c>
    </row>
    <row r="801" spans="1:9" hidden="1" x14ac:dyDescent="0.25">
      <c r="A801" s="1">
        <v>46248</v>
      </c>
      <c r="B801">
        <v>1094971283</v>
      </c>
      <c r="C801" t="s">
        <v>3338</v>
      </c>
      <c r="D801" t="s">
        <v>326</v>
      </c>
      <c r="E801" t="s">
        <v>4005</v>
      </c>
      <c r="F801" s="1">
        <v>46245</v>
      </c>
      <c r="G801" s="1">
        <v>46247</v>
      </c>
      <c r="I801" t="s">
        <v>4006</v>
      </c>
    </row>
    <row r="802" spans="1:9" hidden="1" x14ac:dyDescent="0.25">
      <c r="A802" s="1">
        <v>46248</v>
      </c>
      <c r="B802">
        <v>1037644923</v>
      </c>
      <c r="C802" t="s">
        <v>2629</v>
      </c>
      <c r="D802" t="s">
        <v>420</v>
      </c>
      <c r="E802" t="s">
        <v>4010</v>
      </c>
      <c r="F802" s="1">
        <v>46247</v>
      </c>
      <c r="I802" t="s">
        <v>4022</v>
      </c>
    </row>
    <row r="803" spans="1:9" hidden="1" x14ac:dyDescent="0.25">
      <c r="A803" s="1">
        <v>46248</v>
      </c>
      <c r="B803">
        <v>1035876080</v>
      </c>
      <c r="C803" t="s">
        <v>120</v>
      </c>
      <c r="D803" t="s">
        <v>121</v>
      </c>
      <c r="E803" t="s">
        <v>4010</v>
      </c>
      <c r="F803" s="1">
        <v>46246</v>
      </c>
      <c r="G803" s="1">
        <v>46254</v>
      </c>
      <c r="H803" t="s">
        <v>171</v>
      </c>
      <c r="I803" t="s">
        <v>172</v>
      </c>
    </row>
    <row r="804" spans="1:9" hidden="1" x14ac:dyDescent="0.25">
      <c r="A804" s="1">
        <v>46248</v>
      </c>
      <c r="B804">
        <v>1085265026</v>
      </c>
      <c r="C804" t="s">
        <v>3413</v>
      </c>
      <c r="D804" t="s">
        <v>64</v>
      </c>
      <c r="E804" t="s">
        <v>4012</v>
      </c>
      <c r="F804" s="1">
        <v>46245</v>
      </c>
      <c r="G804" s="1">
        <v>46249</v>
      </c>
      <c r="H804" t="s">
        <v>147</v>
      </c>
      <c r="I804" t="s">
        <v>148</v>
      </c>
    </row>
    <row r="805" spans="1:9" hidden="1" x14ac:dyDescent="0.25">
      <c r="A805" s="1">
        <v>46248</v>
      </c>
      <c r="B805">
        <v>1193584838</v>
      </c>
      <c r="C805" t="s">
        <v>2955</v>
      </c>
      <c r="D805" t="s">
        <v>142</v>
      </c>
      <c r="E805" t="s">
        <v>4012</v>
      </c>
      <c r="F805" s="1">
        <v>46245</v>
      </c>
      <c r="G805" s="1">
        <v>46247</v>
      </c>
      <c r="I805" t="s">
        <v>4006</v>
      </c>
    </row>
    <row r="806" spans="1:9" hidden="1" x14ac:dyDescent="0.25">
      <c r="A806" s="1">
        <v>46248</v>
      </c>
      <c r="B806">
        <v>1000662062</v>
      </c>
      <c r="C806" t="s">
        <v>260</v>
      </c>
      <c r="D806" t="s">
        <v>64</v>
      </c>
      <c r="E806" t="s">
        <v>4012</v>
      </c>
      <c r="F806" s="1">
        <v>46245</v>
      </c>
      <c r="G806" s="1">
        <v>46249</v>
      </c>
      <c r="I806" t="s">
        <v>261</v>
      </c>
    </row>
    <row r="807" spans="1:9" hidden="1" x14ac:dyDescent="0.25">
      <c r="A807" s="1">
        <v>46248</v>
      </c>
      <c r="B807">
        <v>1077462479</v>
      </c>
      <c r="C807" t="s">
        <v>3992</v>
      </c>
      <c r="D807" t="s">
        <v>142</v>
      </c>
      <c r="E807" t="s">
        <v>4012</v>
      </c>
      <c r="F807" s="1">
        <v>46245</v>
      </c>
      <c r="G807" s="1">
        <v>46247</v>
      </c>
      <c r="I807" t="s">
        <v>4006</v>
      </c>
    </row>
    <row r="808" spans="1:9" hidden="1" x14ac:dyDescent="0.25">
      <c r="A808" s="1">
        <v>46248</v>
      </c>
      <c r="B808">
        <v>1037638426</v>
      </c>
      <c r="C808" t="s">
        <v>44</v>
      </c>
      <c r="D808" t="s">
        <v>41</v>
      </c>
      <c r="E808" t="s">
        <v>4011</v>
      </c>
      <c r="F808" s="1">
        <v>46230</v>
      </c>
      <c r="G808" s="1">
        <v>46262</v>
      </c>
      <c r="H808" t="s">
        <v>178</v>
      </c>
      <c r="I808" t="s">
        <v>179</v>
      </c>
    </row>
    <row r="809" spans="1:9" hidden="1" x14ac:dyDescent="0.25">
      <c r="A809" s="1">
        <v>46248</v>
      </c>
      <c r="B809">
        <v>1082896324</v>
      </c>
      <c r="C809" t="s">
        <v>77</v>
      </c>
      <c r="D809" t="s">
        <v>78</v>
      </c>
      <c r="E809" t="s">
        <v>4010</v>
      </c>
      <c r="F809" s="1">
        <v>46242</v>
      </c>
      <c r="G809" s="1">
        <v>46272</v>
      </c>
      <c r="I809" t="s">
        <v>261</v>
      </c>
    </row>
    <row r="810" spans="1:9" hidden="1" x14ac:dyDescent="0.25">
      <c r="A810" s="1">
        <v>46248</v>
      </c>
      <c r="B810">
        <v>1143374438</v>
      </c>
      <c r="C810" t="s">
        <v>85</v>
      </c>
      <c r="D810" t="s">
        <v>41</v>
      </c>
      <c r="E810" t="s">
        <v>4011</v>
      </c>
      <c r="F810" s="1">
        <v>46239</v>
      </c>
      <c r="G810" s="1">
        <v>46268</v>
      </c>
      <c r="I810" t="s">
        <v>261</v>
      </c>
    </row>
    <row r="811" spans="1:9" hidden="1" x14ac:dyDescent="0.25">
      <c r="A811" s="1">
        <v>46248</v>
      </c>
      <c r="B811">
        <v>1015483595</v>
      </c>
      <c r="C811" t="s">
        <v>243</v>
      </c>
      <c r="D811" t="s">
        <v>34</v>
      </c>
      <c r="E811" t="s">
        <v>4011</v>
      </c>
      <c r="F811" s="1">
        <v>46244</v>
      </c>
      <c r="G811" s="1">
        <v>46265</v>
      </c>
      <c r="H811" t="s">
        <v>35</v>
      </c>
      <c r="I811" t="s">
        <v>36</v>
      </c>
    </row>
    <row r="812" spans="1:9" hidden="1" x14ac:dyDescent="0.25">
      <c r="A812" s="1">
        <v>46248</v>
      </c>
      <c r="B812">
        <v>1001851670</v>
      </c>
      <c r="C812" t="s">
        <v>14</v>
      </c>
      <c r="D812" t="s">
        <v>15</v>
      </c>
      <c r="E812" t="s">
        <v>4012</v>
      </c>
      <c r="F812" s="1">
        <v>46241</v>
      </c>
      <c r="G812" s="1">
        <v>46366</v>
      </c>
      <c r="H812" t="s">
        <v>17</v>
      </c>
      <c r="I812" t="s">
        <v>18</v>
      </c>
    </row>
    <row r="813" spans="1:9" hidden="1" x14ac:dyDescent="0.25">
      <c r="A813" s="1">
        <v>46248</v>
      </c>
      <c r="B813">
        <v>1005424850</v>
      </c>
      <c r="C813" t="s">
        <v>56</v>
      </c>
      <c r="D813" t="s">
        <v>57</v>
      </c>
      <c r="E813" t="s">
        <v>4010</v>
      </c>
      <c r="F813" s="1">
        <v>46247</v>
      </c>
      <c r="G813" s="1">
        <v>46262</v>
      </c>
      <c r="H813" t="s">
        <v>244</v>
      </c>
      <c r="I813" t="s">
        <v>245</v>
      </c>
    </row>
    <row r="814" spans="1:9" hidden="1" x14ac:dyDescent="0.25">
      <c r="A814" s="1">
        <v>46248</v>
      </c>
      <c r="B814">
        <v>42141273</v>
      </c>
      <c r="C814" t="s">
        <v>210</v>
      </c>
      <c r="D814" t="s">
        <v>211</v>
      </c>
      <c r="E814" t="s">
        <v>4017</v>
      </c>
      <c r="F814" s="1">
        <v>46232</v>
      </c>
      <c r="G814" s="1">
        <v>46261</v>
      </c>
      <c r="H814" t="s">
        <v>134</v>
      </c>
      <c r="I814" t="s">
        <v>135</v>
      </c>
    </row>
    <row r="815" spans="1:9" hidden="1" x14ac:dyDescent="0.25">
      <c r="A815" s="1">
        <v>46248</v>
      </c>
      <c r="B815">
        <v>1037671907</v>
      </c>
      <c r="C815" t="s">
        <v>4136</v>
      </c>
      <c r="D815" t="s">
        <v>57</v>
      </c>
      <c r="E815" t="s">
        <v>4010</v>
      </c>
      <c r="F815" s="1">
        <v>46245</v>
      </c>
      <c r="G815" s="1">
        <v>46247</v>
      </c>
      <c r="I815" t="s">
        <v>4006</v>
      </c>
    </row>
    <row r="816" spans="1:9" hidden="1" x14ac:dyDescent="0.25">
      <c r="A816" s="1">
        <v>46248</v>
      </c>
      <c r="B816">
        <v>1010246557</v>
      </c>
      <c r="C816" t="s">
        <v>3428</v>
      </c>
      <c r="D816" t="s">
        <v>326</v>
      </c>
      <c r="E816" t="s">
        <v>4005</v>
      </c>
      <c r="F816" s="1">
        <v>46247</v>
      </c>
      <c r="G816" s="1">
        <v>46247</v>
      </c>
      <c r="I816" t="s">
        <v>4006</v>
      </c>
    </row>
    <row r="817" spans="1:9" hidden="1" x14ac:dyDescent="0.25">
      <c r="A817" s="1">
        <v>46248</v>
      </c>
      <c r="B817">
        <v>1152221372</v>
      </c>
      <c r="C817" t="s">
        <v>2313</v>
      </c>
      <c r="D817" t="s">
        <v>128</v>
      </c>
      <c r="E817" t="s">
        <v>4005</v>
      </c>
      <c r="F817" s="1">
        <v>46230</v>
      </c>
      <c r="H817" t="s">
        <v>106</v>
      </c>
      <c r="I817" t="s">
        <v>107</v>
      </c>
    </row>
    <row r="818" spans="1:9" hidden="1" x14ac:dyDescent="0.25">
      <c r="A818" s="1">
        <v>46248</v>
      </c>
      <c r="B818">
        <v>1004960056</v>
      </c>
      <c r="C818" t="s">
        <v>563</v>
      </c>
      <c r="D818" t="s">
        <v>553</v>
      </c>
      <c r="E818" t="s">
        <v>4010</v>
      </c>
      <c r="F818" s="1">
        <v>46246</v>
      </c>
      <c r="G818" s="1">
        <v>46247</v>
      </c>
      <c r="I818" t="s">
        <v>4006</v>
      </c>
    </row>
    <row r="819" spans="1:9" hidden="1" x14ac:dyDescent="0.25">
      <c r="A819" s="1">
        <v>46248</v>
      </c>
      <c r="B819">
        <v>1017264032</v>
      </c>
      <c r="C819" t="s">
        <v>63</v>
      </c>
      <c r="D819" t="s">
        <v>64</v>
      </c>
      <c r="E819" t="s">
        <v>4012</v>
      </c>
      <c r="F819" s="1">
        <v>46229</v>
      </c>
      <c r="G819" s="1">
        <v>46258</v>
      </c>
      <c r="I819" t="s">
        <v>261</v>
      </c>
    </row>
    <row r="820" spans="1:9" hidden="1" x14ac:dyDescent="0.25">
      <c r="A820" s="1">
        <v>46248</v>
      </c>
      <c r="B820">
        <v>1000640883</v>
      </c>
      <c r="C820" t="s">
        <v>3227</v>
      </c>
      <c r="D820" t="s">
        <v>64</v>
      </c>
      <c r="E820" t="s">
        <v>4012</v>
      </c>
      <c r="F820" s="1">
        <v>46247</v>
      </c>
      <c r="I820" t="s">
        <v>4022</v>
      </c>
    </row>
    <row r="821" spans="1:9" hidden="1" x14ac:dyDescent="0.25">
      <c r="A821" s="1">
        <v>46248</v>
      </c>
      <c r="B821">
        <v>1037631989</v>
      </c>
      <c r="C821" t="s">
        <v>40</v>
      </c>
      <c r="D821" t="s">
        <v>41</v>
      </c>
      <c r="E821" t="s">
        <v>4011</v>
      </c>
      <c r="F821" s="1">
        <v>46226</v>
      </c>
      <c r="G821" s="1">
        <v>46255</v>
      </c>
      <c r="I821" t="s">
        <v>261</v>
      </c>
    </row>
    <row r="822" spans="1:9" hidden="1" x14ac:dyDescent="0.25">
      <c r="A822" s="1">
        <v>46248</v>
      </c>
      <c r="B822">
        <v>1143414481</v>
      </c>
      <c r="C822" t="s">
        <v>2395</v>
      </c>
      <c r="D822" t="s">
        <v>41</v>
      </c>
      <c r="E822" t="s">
        <v>4011</v>
      </c>
      <c r="F822" s="1">
        <v>46247</v>
      </c>
      <c r="G822" s="1">
        <v>46252</v>
      </c>
      <c r="I822" t="s">
        <v>261</v>
      </c>
    </row>
    <row r="823" spans="1:9" hidden="1" x14ac:dyDescent="0.25">
      <c r="A823" s="1">
        <v>46248</v>
      </c>
      <c r="B823">
        <v>1043006106</v>
      </c>
      <c r="C823" t="s">
        <v>194</v>
      </c>
      <c r="D823" t="s">
        <v>160</v>
      </c>
      <c r="E823" t="s">
        <v>4011</v>
      </c>
      <c r="F823" s="1">
        <v>46219</v>
      </c>
      <c r="G823" s="1">
        <v>46248</v>
      </c>
      <c r="I823" t="s">
        <v>261</v>
      </c>
    </row>
    <row r="824" spans="1:9" hidden="1" x14ac:dyDescent="0.25">
      <c r="A824" s="1">
        <v>46248</v>
      </c>
      <c r="B824">
        <v>1121506548</v>
      </c>
      <c r="C824" t="s">
        <v>50</v>
      </c>
      <c r="D824" t="s">
        <v>51</v>
      </c>
      <c r="E824" t="s">
        <v>4011</v>
      </c>
      <c r="F824" s="1">
        <v>46217</v>
      </c>
      <c r="G824" s="1">
        <v>46342</v>
      </c>
      <c r="H824" t="s">
        <v>240</v>
      </c>
      <c r="I824" t="s">
        <v>241</v>
      </c>
    </row>
    <row r="825" spans="1:9" hidden="1" x14ac:dyDescent="0.25">
      <c r="A825" s="1">
        <v>46248</v>
      </c>
      <c r="B825">
        <v>1037630071</v>
      </c>
      <c r="C825" t="s">
        <v>3544</v>
      </c>
      <c r="D825" t="s">
        <v>97</v>
      </c>
      <c r="E825" t="s">
        <v>4005</v>
      </c>
      <c r="F825" s="1">
        <v>46247</v>
      </c>
      <c r="G825" s="1">
        <v>46265</v>
      </c>
      <c r="H825" t="s">
        <v>154</v>
      </c>
      <c r="I825" t="s">
        <v>155</v>
      </c>
    </row>
    <row r="826" spans="1:9" hidden="1" x14ac:dyDescent="0.25">
      <c r="A826" s="1">
        <v>46248</v>
      </c>
      <c r="B826">
        <v>1143460426</v>
      </c>
      <c r="C826" t="s">
        <v>4034</v>
      </c>
      <c r="D826" t="s">
        <v>160</v>
      </c>
      <c r="E826" t="s">
        <v>4011</v>
      </c>
      <c r="F826" s="1">
        <v>46195</v>
      </c>
      <c r="G826" s="1">
        <v>46198</v>
      </c>
      <c r="H826" t="s">
        <v>191</v>
      </c>
      <c r="I826" t="s">
        <v>192</v>
      </c>
    </row>
    <row r="827" spans="1:9" hidden="1" x14ac:dyDescent="0.25">
      <c r="A827" s="1">
        <v>46248</v>
      </c>
      <c r="B827">
        <v>1001897056</v>
      </c>
      <c r="C827" t="s">
        <v>3660</v>
      </c>
      <c r="D827" t="s">
        <v>128</v>
      </c>
      <c r="E827" t="s">
        <v>4005</v>
      </c>
      <c r="F827" s="1">
        <v>46245</v>
      </c>
      <c r="G827" s="1">
        <v>46249</v>
      </c>
      <c r="I827" t="s">
        <v>261</v>
      </c>
    </row>
    <row r="828" spans="1:9" hidden="1" x14ac:dyDescent="0.25">
      <c r="A828" s="1">
        <v>46248</v>
      </c>
      <c r="B828">
        <v>1152462704</v>
      </c>
      <c r="C828" t="s">
        <v>663</v>
      </c>
      <c r="D828" t="s">
        <v>82</v>
      </c>
      <c r="E828" t="s">
        <v>4005</v>
      </c>
      <c r="F828" s="1">
        <v>46246</v>
      </c>
      <c r="I828" t="s">
        <v>4022</v>
      </c>
    </row>
    <row r="829" spans="1:9" hidden="1" x14ac:dyDescent="0.25">
      <c r="A829" s="1">
        <v>46248</v>
      </c>
      <c r="B829">
        <v>1045718883</v>
      </c>
      <c r="C829" t="s">
        <v>47</v>
      </c>
      <c r="D829" t="s">
        <v>34</v>
      </c>
      <c r="E829" t="s">
        <v>4011</v>
      </c>
      <c r="F829" s="1">
        <v>46245</v>
      </c>
      <c r="G829" s="1">
        <v>46340</v>
      </c>
      <c r="H829" t="s">
        <v>73</v>
      </c>
      <c r="I829" t="s">
        <v>74</v>
      </c>
    </row>
    <row r="830" spans="1:9" hidden="1" x14ac:dyDescent="0.25">
      <c r="A830" s="1">
        <v>46248</v>
      </c>
      <c r="B830">
        <v>1102808787</v>
      </c>
      <c r="C830" t="s">
        <v>265</v>
      </c>
      <c r="D830" t="s">
        <v>51</v>
      </c>
      <c r="E830" t="s">
        <v>4011</v>
      </c>
      <c r="F830" s="1">
        <v>46237</v>
      </c>
      <c r="G830" s="1">
        <v>46256</v>
      </c>
      <c r="I830" t="s">
        <v>261</v>
      </c>
    </row>
    <row r="831" spans="1:9" hidden="1" x14ac:dyDescent="0.25">
      <c r="A831" s="1">
        <v>46248</v>
      </c>
      <c r="B831">
        <v>1071169507</v>
      </c>
      <c r="C831" t="s">
        <v>88</v>
      </c>
      <c r="D831" t="s">
        <v>89</v>
      </c>
      <c r="E831" t="s">
        <v>4017</v>
      </c>
      <c r="F831" s="1">
        <v>46242</v>
      </c>
      <c r="G831" s="1">
        <v>46247</v>
      </c>
      <c r="I831" t="s">
        <v>4006</v>
      </c>
    </row>
    <row r="832" spans="1:9" hidden="1" x14ac:dyDescent="0.25">
      <c r="A832" s="1">
        <v>46248</v>
      </c>
      <c r="B832">
        <v>1007111078</v>
      </c>
      <c r="C832" t="s">
        <v>3631</v>
      </c>
      <c r="D832" t="s">
        <v>4142</v>
      </c>
      <c r="E832" t="s">
        <v>4017</v>
      </c>
      <c r="F832" s="1">
        <v>46247</v>
      </c>
      <c r="G832" s="1">
        <v>46247</v>
      </c>
      <c r="I832" t="s">
        <v>4006</v>
      </c>
    </row>
    <row r="833" spans="1:9" hidden="1" x14ac:dyDescent="0.25">
      <c r="A833" s="1">
        <v>46248</v>
      </c>
      <c r="B833">
        <v>1053860403</v>
      </c>
      <c r="C833" t="s">
        <v>2271</v>
      </c>
      <c r="D833" t="s">
        <v>211</v>
      </c>
      <c r="E833" t="s">
        <v>4017</v>
      </c>
      <c r="F833" s="1">
        <v>46247</v>
      </c>
      <c r="I833" t="s">
        <v>4146</v>
      </c>
    </row>
    <row r="834" spans="1:9" hidden="1" x14ac:dyDescent="0.25">
      <c r="A834" s="1">
        <v>46248</v>
      </c>
      <c r="B834">
        <v>1007223463</v>
      </c>
      <c r="C834" t="s">
        <v>487</v>
      </c>
      <c r="D834" t="s">
        <v>4045</v>
      </c>
      <c r="E834" t="s">
        <v>4017</v>
      </c>
      <c r="F834" s="1">
        <v>46248</v>
      </c>
      <c r="G834" s="1">
        <v>46248</v>
      </c>
      <c r="I834" t="s">
        <v>4099</v>
      </c>
    </row>
    <row r="835" spans="1:9" hidden="1" x14ac:dyDescent="0.25">
      <c r="A835" s="1">
        <v>46248</v>
      </c>
      <c r="B835">
        <v>1036965348</v>
      </c>
      <c r="C835" t="s">
        <v>186</v>
      </c>
      <c r="D835" t="s">
        <v>4045</v>
      </c>
      <c r="E835" t="s">
        <v>4011</v>
      </c>
      <c r="F835" s="1">
        <v>46248</v>
      </c>
      <c r="G835" s="1">
        <v>46248</v>
      </c>
      <c r="I835" t="s">
        <v>4099</v>
      </c>
    </row>
    <row r="836" spans="1:9" hidden="1" x14ac:dyDescent="0.25">
      <c r="A836" s="1">
        <v>46248</v>
      </c>
      <c r="B836">
        <v>43453341</v>
      </c>
      <c r="C836" t="s">
        <v>1251</v>
      </c>
      <c r="D836" t="s">
        <v>121</v>
      </c>
      <c r="E836" t="s">
        <v>4010</v>
      </c>
      <c r="F836" s="1">
        <v>46247</v>
      </c>
      <c r="I836" t="s">
        <v>4022</v>
      </c>
    </row>
    <row r="837" spans="1:9" hidden="1" x14ac:dyDescent="0.25">
      <c r="A837" s="1">
        <v>46248</v>
      </c>
      <c r="B837" t="s">
        <v>4210</v>
      </c>
      <c r="C837" t="s">
        <v>4211</v>
      </c>
      <c r="D837" t="s">
        <v>326</v>
      </c>
      <c r="E837" t="s">
        <v>4005</v>
      </c>
      <c r="F837" s="1">
        <v>46247</v>
      </c>
      <c r="G837" s="1">
        <v>46248</v>
      </c>
      <c r="I837" t="s">
        <v>261</v>
      </c>
    </row>
    <row r="838" spans="1:9" hidden="1" x14ac:dyDescent="0.25">
      <c r="A838" s="1">
        <v>46248</v>
      </c>
      <c r="B838">
        <v>1001446162</v>
      </c>
      <c r="C838" t="s">
        <v>3622</v>
      </c>
      <c r="D838" t="s">
        <v>4093</v>
      </c>
      <c r="E838" t="s">
        <v>4017</v>
      </c>
      <c r="F838" s="1">
        <v>46248</v>
      </c>
      <c r="G838" s="1">
        <v>46248</v>
      </c>
      <c r="I838" t="s">
        <v>4099</v>
      </c>
    </row>
    <row r="839" spans="1:9" hidden="1" x14ac:dyDescent="0.25">
      <c r="A839" s="1">
        <v>46248</v>
      </c>
      <c r="B839">
        <v>1067959066</v>
      </c>
      <c r="C839" t="s">
        <v>3446</v>
      </c>
      <c r="D839" t="s">
        <v>322</v>
      </c>
      <c r="E839" t="s">
        <v>4017</v>
      </c>
      <c r="F839" s="1">
        <v>46247</v>
      </c>
      <c r="I839" t="s">
        <v>4212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527D9-9BF0-4F13-9591-B3D009694D5A}">
  <dimension ref="A1:O308"/>
  <sheetViews>
    <sheetView topLeftCell="K426" workbookViewId="0">
      <selection activeCell="G973" sqref="G972:G973"/>
    </sheetView>
  </sheetViews>
  <sheetFormatPr baseColWidth="10" defaultColWidth="11.42578125" defaultRowHeight="15" x14ac:dyDescent="0.25"/>
  <cols>
    <col min="1" max="1" width="39" bestFit="1" customWidth="1"/>
    <col min="2" max="2" width="15.28515625" bestFit="1" customWidth="1"/>
    <col min="3" max="3" width="38.42578125" bestFit="1" customWidth="1"/>
    <col min="4" max="4" width="24.28515625" bestFit="1" customWidth="1"/>
    <col min="5" max="5" width="14.7109375" bestFit="1" customWidth="1"/>
    <col min="6" max="6" width="24.28515625" bestFit="1" customWidth="1"/>
    <col min="7" max="7" width="16.28515625" bestFit="1" customWidth="1"/>
    <col min="8" max="8" width="15.85546875" bestFit="1" customWidth="1"/>
    <col min="9" max="10" width="13" bestFit="1" customWidth="1"/>
    <col min="11" max="11" width="53.7109375" bestFit="1" customWidth="1"/>
    <col min="12" max="12" width="23.85546875" bestFit="1" customWidth="1"/>
    <col min="13" max="13" width="44.5703125" bestFit="1" customWidth="1"/>
    <col min="14" max="14" width="42.28515625" bestFit="1" customWidth="1"/>
    <col min="15" max="15" width="16.140625" bestFit="1" customWidth="1"/>
  </cols>
  <sheetData>
    <row r="1" spans="1:15" x14ac:dyDescent="0.25">
      <c r="A1" t="s">
        <v>4145</v>
      </c>
      <c r="B1" t="s">
        <v>1</v>
      </c>
      <c r="C1" t="s">
        <v>2</v>
      </c>
      <c r="D1" t="s">
        <v>3</v>
      </c>
      <c r="E1" t="s">
        <v>3994</v>
      </c>
      <c r="F1" t="s">
        <v>4</v>
      </c>
      <c r="G1" t="s">
        <v>5</v>
      </c>
      <c r="H1" t="s">
        <v>6</v>
      </c>
      <c r="I1" t="s">
        <v>3995</v>
      </c>
      <c r="J1" t="s">
        <v>3996</v>
      </c>
      <c r="K1" t="s">
        <v>9</v>
      </c>
      <c r="L1" t="s">
        <v>3997</v>
      </c>
      <c r="M1" t="s">
        <v>4000</v>
      </c>
      <c r="N1" t="s">
        <v>4001</v>
      </c>
      <c r="O1" t="s">
        <v>4002</v>
      </c>
    </row>
    <row r="2" spans="1:15" hidden="1" x14ac:dyDescent="0.25">
      <c r="A2" s="1">
        <v>46235</v>
      </c>
      <c r="B2">
        <v>1037634709</v>
      </c>
      <c r="C2" s="9" t="s">
        <v>4009</v>
      </c>
      <c r="D2" s="9" t="s">
        <v>420</v>
      </c>
      <c r="E2" s="9" t="s">
        <v>4010</v>
      </c>
      <c r="F2" s="9" t="s">
        <v>25</v>
      </c>
      <c r="G2" s="1">
        <v>46234</v>
      </c>
      <c r="H2" s="1">
        <v>46235</v>
      </c>
      <c r="I2" s="2">
        <v>0.25</v>
      </c>
      <c r="J2" s="2">
        <v>0.66666666666666663</v>
      </c>
      <c r="K2" s="9" t="s">
        <v>59</v>
      </c>
      <c r="L2" s="1"/>
      <c r="M2" s="1"/>
      <c r="N2" s="1"/>
      <c r="O2" s="9"/>
    </row>
    <row r="3" spans="1:15" hidden="1" x14ac:dyDescent="0.25">
      <c r="A3" s="1">
        <v>46235</v>
      </c>
      <c r="B3">
        <v>57303015</v>
      </c>
      <c r="C3" s="9" t="s">
        <v>114</v>
      </c>
      <c r="D3" s="9" t="s">
        <v>64</v>
      </c>
      <c r="E3" s="9" t="s">
        <v>4012</v>
      </c>
      <c r="F3" s="9" t="s">
        <v>25</v>
      </c>
      <c r="G3" s="1">
        <v>46232</v>
      </c>
      <c r="H3" s="1">
        <v>46235</v>
      </c>
      <c r="I3" s="2">
        <v>0.25</v>
      </c>
      <c r="J3" s="2">
        <v>0.66666666666666663</v>
      </c>
      <c r="K3" s="9" t="s">
        <v>116</v>
      </c>
      <c r="L3" s="1"/>
      <c r="M3" s="1"/>
      <c r="N3" s="1"/>
      <c r="O3" s="9"/>
    </row>
    <row r="4" spans="1:15" hidden="1" x14ac:dyDescent="0.25">
      <c r="A4" s="1">
        <v>46235</v>
      </c>
      <c r="B4">
        <v>1152436231</v>
      </c>
      <c r="C4" s="9" t="s">
        <v>131</v>
      </c>
      <c r="D4" s="9" t="s">
        <v>132</v>
      </c>
      <c r="E4" s="9" t="s">
        <v>4010</v>
      </c>
      <c r="F4" s="9" t="s">
        <v>25</v>
      </c>
      <c r="G4" s="1">
        <v>46234</v>
      </c>
      <c r="H4" s="1">
        <v>46235</v>
      </c>
      <c r="I4" s="2">
        <v>0.25</v>
      </c>
      <c r="J4" s="2">
        <v>0.66666666666666663</v>
      </c>
      <c r="K4" s="9" t="s">
        <v>1436</v>
      </c>
      <c r="L4" s="1"/>
      <c r="M4" s="1"/>
      <c r="N4" s="1"/>
      <c r="O4" s="9"/>
    </row>
    <row r="5" spans="1:15" hidden="1" x14ac:dyDescent="0.25">
      <c r="A5" s="1">
        <v>46239</v>
      </c>
      <c r="B5">
        <v>1143375080</v>
      </c>
      <c r="C5" s="9" t="s">
        <v>4025</v>
      </c>
      <c r="D5" s="9" t="s">
        <v>153</v>
      </c>
      <c r="E5" s="9" t="s">
        <v>4010</v>
      </c>
      <c r="F5" s="9" t="s">
        <v>4024</v>
      </c>
      <c r="G5" s="1">
        <v>46232</v>
      </c>
      <c r="H5" s="1">
        <v>46239</v>
      </c>
      <c r="I5" s="2">
        <v>0.58333333333333337</v>
      </c>
      <c r="J5" s="2">
        <v>0.875</v>
      </c>
      <c r="K5" s="9" t="s">
        <v>226</v>
      </c>
      <c r="L5" s="1"/>
      <c r="M5" s="1"/>
      <c r="N5" s="1"/>
      <c r="O5" s="9"/>
    </row>
    <row r="6" spans="1:15" hidden="1" x14ac:dyDescent="0.25">
      <c r="A6" s="1">
        <v>46235</v>
      </c>
      <c r="B6">
        <v>42158742</v>
      </c>
      <c r="C6" s="9" t="s">
        <v>3150</v>
      </c>
      <c r="D6" s="9" t="s">
        <v>24</v>
      </c>
      <c r="E6" s="9" t="s">
        <v>4011</v>
      </c>
      <c r="F6" s="9" t="s">
        <v>25</v>
      </c>
      <c r="G6" s="1">
        <v>46234</v>
      </c>
      <c r="H6" s="1">
        <v>46235</v>
      </c>
      <c r="I6" s="2">
        <v>0.25</v>
      </c>
      <c r="J6" s="2">
        <v>0.66666666666666663</v>
      </c>
      <c r="K6" s="9" t="s">
        <v>241</v>
      </c>
      <c r="L6" s="1"/>
      <c r="M6" s="1"/>
      <c r="N6" s="1"/>
      <c r="O6" s="9"/>
    </row>
    <row r="7" spans="1:15" hidden="1" x14ac:dyDescent="0.25">
      <c r="A7" s="1">
        <v>46235</v>
      </c>
      <c r="B7">
        <v>1016090631</v>
      </c>
      <c r="C7" s="9" t="s">
        <v>2818</v>
      </c>
      <c r="D7" s="9" t="s">
        <v>64</v>
      </c>
      <c r="E7" s="9" t="s">
        <v>4012</v>
      </c>
      <c r="F7" s="9" t="s">
        <v>25</v>
      </c>
      <c r="G7" s="1">
        <v>46233</v>
      </c>
      <c r="H7" s="1">
        <v>46235</v>
      </c>
      <c r="I7" s="2">
        <v>0.25</v>
      </c>
      <c r="J7" s="2">
        <v>0.66666666666666663</v>
      </c>
      <c r="K7" s="9" t="s">
        <v>261</v>
      </c>
      <c r="L7" s="1"/>
      <c r="M7" s="1"/>
      <c r="N7" s="1"/>
      <c r="O7" s="9"/>
    </row>
    <row r="8" spans="1:15" hidden="1" x14ac:dyDescent="0.25">
      <c r="A8" s="1">
        <v>46237</v>
      </c>
      <c r="B8">
        <v>1152226738</v>
      </c>
      <c r="C8" s="9" t="s">
        <v>127</v>
      </c>
      <c r="D8" s="9" t="s">
        <v>128</v>
      </c>
      <c r="E8" s="9" t="s">
        <v>4005</v>
      </c>
      <c r="F8" s="9" t="s">
        <v>25</v>
      </c>
      <c r="G8" s="1">
        <v>46234</v>
      </c>
      <c r="H8" s="1">
        <v>46237</v>
      </c>
      <c r="I8" s="2">
        <v>0.25</v>
      </c>
      <c r="J8" s="2">
        <v>0.54166666666666663</v>
      </c>
      <c r="K8" s="9" t="s">
        <v>123</v>
      </c>
      <c r="L8" s="1"/>
      <c r="M8" s="1"/>
      <c r="N8" s="1"/>
      <c r="O8" s="9"/>
    </row>
    <row r="9" spans="1:15" hidden="1" x14ac:dyDescent="0.25">
      <c r="A9" s="1">
        <v>46237</v>
      </c>
      <c r="B9">
        <v>21852680</v>
      </c>
      <c r="C9" s="9" t="s">
        <v>4019</v>
      </c>
      <c r="D9" s="9" t="s">
        <v>410</v>
      </c>
      <c r="E9" s="9" t="s">
        <v>4005</v>
      </c>
      <c r="F9" s="9" t="s">
        <v>4015</v>
      </c>
      <c r="G9" s="1">
        <v>46235</v>
      </c>
      <c r="H9" s="1">
        <v>46238</v>
      </c>
      <c r="I9" s="2">
        <v>0.25</v>
      </c>
      <c r="J9" s="2">
        <v>0.58333333333333337</v>
      </c>
      <c r="K9" s="9" t="s">
        <v>145</v>
      </c>
      <c r="L9" s="1"/>
      <c r="M9" s="1"/>
      <c r="N9" s="1"/>
      <c r="O9" s="9"/>
    </row>
    <row r="10" spans="1:15" hidden="1" x14ac:dyDescent="0.25">
      <c r="A10" s="1">
        <v>46239</v>
      </c>
      <c r="B10">
        <v>72011169</v>
      </c>
      <c r="C10" s="9" t="s">
        <v>175</v>
      </c>
      <c r="D10" s="9" t="s">
        <v>64</v>
      </c>
      <c r="E10" s="9" t="s">
        <v>4012</v>
      </c>
      <c r="F10" s="9" t="s">
        <v>25</v>
      </c>
      <c r="G10" s="1">
        <v>46225</v>
      </c>
      <c r="H10" s="1">
        <v>46239</v>
      </c>
      <c r="I10" s="2">
        <v>0.58333333333333337</v>
      </c>
      <c r="J10" s="2">
        <v>0.875</v>
      </c>
      <c r="K10" s="9" t="s">
        <v>261</v>
      </c>
      <c r="L10" s="1"/>
      <c r="M10" s="1"/>
      <c r="N10" s="1"/>
      <c r="O10" s="9"/>
    </row>
    <row r="11" spans="1:15" hidden="1" x14ac:dyDescent="0.25">
      <c r="A11" s="1">
        <v>46235</v>
      </c>
      <c r="B11">
        <v>1128467297</v>
      </c>
      <c r="C11" s="9" t="s">
        <v>3356</v>
      </c>
      <c r="D11" s="9" t="s">
        <v>543</v>
      </c>
      <c r="E11" s="9" t="s">
        <v>4010</v>
      </c>
      <c r="F11" s="9" t="s">
        <v>25</v>
      </c>
      <c r="G11" s="1">
        <v>46234</v>
      </c>
      <c r="H11" s="1">
        <v>46235</v>
      </c>
      <c r="I11" s="2">
        <v>0.25</v>
      </c>
      <c r="J11" s="2">
        <v>0.66666666666666663</v>
      </c>
      <c r="K11" s="9" t="s">
        <v>253</v>
      </c>
      <c r="L11" s="1"/>
      <c r="M11" s="1"/>
      <c r="N11" s="1"/>
      <c r="O11" s="9"/>
    </row>
    <row r="12" spans="1:15" hidden="1" x14ac:dyDescent="0.25">
      <c r="A12" s="1">
        <v>46242</v>
      </c>
      <c r="B12">
        <v>1047505786</v>
      </c>
      <c r="C12" s="9" t="s">
        <v>110</v>
      </c>
      <c r="D12" s="9" t="s">
        <v>15</v>
      </c>
      <c r="E12" s="9" t="s">
        <v>4012</v>
      </c>
      <c r="F12" s="9" t="s">
        <v>25</v>
      </c>
      <c r="G12" s="1">
        <v>46229</v>
      </c>
      <c r="H12" s="1">
        <v>46243</v>
      </c>
      <c r="I12" s="2">
        <v>0.25</v>
      </c>
      <c r="J12" s="2">
        <v>0.66666666666666663</v>
      </c>
      <c r="K12" s="9" t="s">
        <v>138</v>
      </c>
      <c r="L12" s="1"/>
      <c r="M12" s="1"/>
      <c r="N12" s="1"/>
      <c r="O12" s="9"/>
    </row>
    <row r="13" spans="1:15" hidden="1" x14ac:dyDescent="0.25">
      <c r="A13" s="1">
        <v>46248</v>
      </c>
      <c r="B13">
        <v>1017264032</v>
      </c>
      <c r="C13" s="9" t="s">
        <v>63</v>
      </c>
      <c r="D13" s="9" t="s">
        <v>64</v>
      </c>
      <c r="E13" s="9" t="s">
        <v>4012</v>
      </c>
      <c r="F13" s="9" t="s">
        <v>25</v>
      </c>
      <c r="G13" s="1">
        <v>46229</v>
      </c>
      <c r="H13" s="1">
        <v>46258</v>
      </c>
      <c r="I13" s="2">
        <v>0.58333333333333337</v>
      </c>
      <c r="J13" s="2">
        <v>0.875</v>
      </c>
      <c r="K13" s="9" t="s">
        <v>261</v>
      </c>
      <c r="L13" s="1"/>
      <c r="M13" s="1"/>
      <c r="N13" s="1"/>
      <c r="O13" s="9"/>
    </row>
    <row r="14" spans="1:15" hidden="1" x14ac:dyDescent="0.25">
      <c r="A14" s="1">
        <v>46239</v>
      </c>
      <c r="B14">
        <v>1001940238</v>
      </c>
      <c r="C14" s="9" t="s">
        <v>4021</v>
      </c>
      <c r="D14" s="9" t="s">
        <v>57</v>
      </c>
      <c r="E14" s="9" t="s">
        <v>4010</v>
      </c>
      <c r="F14" s="9" t="s">
        <v>4015</v>
      </c>
      <c r="G14" s="1">
        <v>46237</v>
      </c>
      <c r="H14" s="1">
        <v>46239</v>
      </c>
      <c r="I14" s="2">
        <v>0.54166666666666663</v>
      </c>
      <c r="J14" s="2">
        <v>0.83333333333333337</v>
      </c>
      <c r="K14" s="9" t="s">
        <v>207</v>
      </c>
      <c r="L14" s="1"/>
      <c r="M14" s="1"/>
      <c r="N14" s="1"/>
      <c r="O14" s="9"/>
    </row>
    <row r="15" spans="1:15" hidden="1" x14ac:dyDescent="0.25">
      <c r="A15" s="1">
        <v>46235</v>
      </c>
      <c r="B15">
        <v>1043022975</v>
      </c>
      <c r="C15" s="9" t="s">
        <v>1733</v>
      </c>
      <c r="D15" s="9" t="s">
        <v>34</v>
      </c>
      <c r="E15" s="9" t="s">
        <v>4011</v>
      </c>
      <c r="F15" s="9" t="s">
        <v>25</v>
      </c>
      <c r="G15" s="1">
        <v>46234</v>
      </c>
      <c r="H15" s="1">
        <v>46235</v>
      </c>
      <c r="I15" s="2"/>
      <c r="J15" s="2"/>
      <c r="K15" s="9" t="s">
        <v>269</v>
      </c>
      <c r="L15" s="1"/>
      <c r="M15" s="1"/>
      <c r="N15" s="1"/>
      <c r="O15" s="9"/>
    </row>
    <row r="16" spans="1:15" hidden="1" x14ac:dyDescent="0.25">
      <c r="A16" s="1">
        <v>46238</v>
      </c>
      <c r="B16" t="s">
        <v>46</v>
      </c>
      <c r="C16" s="9" t="s">
        <v>47</v>
      </c>
      <c r="D16" s="9" t="s">
        <v>34</v>
      </c>
      <c r="E16" s="9" t="s">
        <v>4011</v>
      </c>
      <c r="F16" s="9" t="s">
        <v>25</v>
      </c>
      <c r="G16" s="1">
        <v>46224</v>
      </c>
      <c r="H16" s="1">
        <v>46239</v>
      </c>
      <c r="I16" s="2">
        <v>0.54166666666666663</v>
      </c>
      <c r="J16" s="2">
        <v>0.875</v>
      </c>
      <c r="K16" s="9" t="s">
        <v>179</v>
      </c>
      <c r="L16" s="1"/>
      <c r="M16" s="1"/>
      <c r="N16" s="1"/>
      <c r="O16" s="9"/>
    </row>
    <row r="17" spans="1:15" hidden="1" x14ac:dyDescent="0.25">
      <c r="A17" s="1">
        <v>46246</v>
      </c>
      <c r="B17">
        <v>1036132488</v>
      </c>
      <c r="C17" s="9" t="s">
        <v>150</v>
      </c>
      <c r="D17" s="9" t="s">
        <v>142</v>
      </c>
      <c r="E17" s="9" t="s">
        <v>4012</v>
      </c>
      <c r="F17" s="9" t="s">
        <v>25</v>
      </c>
      <c r="G17" s="1">
        <v>46227</v>
      </c>
      <c r="H17" s="1">
        <v>46246</v>
      </c>
      <c r="I17" s="2">
        <v>0.25</v>
      </c>
      <c r="J17" s="2">
        <v>0.58333333333333337</v>
      </c>
      <c r="K17" s="9" t="s">
        <v>148</v>
      </c>
      <c r="L17" s="1"/>
      <c r="M17" s="1"/>
      <c r="N17" s="1"/>
      <c r="O17" s="9"/>
    </row>
    <row r="18" spans="1:15" hidden="1" x14ac:dyDescent="0.25">
      <c r="A18" s="1">
        <v>46235</v>
      </c>
      <c r="B18">
        <v>1143374438</v>
      </c>
      <c r="C18" s="9" t="s">
        <v>85</v>
      </c>
      <c r="D18" s="9" t="s">
        <v>41</v>
      </c>
      <c r="E18" s="9" t="s">
        <v>4011</v>
      </c>
      <c r="F18" s="9" t="s">
        <v>25</v>
      </c>
      <c r="G18" s="1">
        <v>46209</v>
      </c>
      <c r="H18" s="1">
        <v>46238</v>
      </c>
      <c r="I18" s="2">
        <v>0.25</v>
      </c>
      <c r="J18" s="2">
        <v>0.66666666666666663</v>
      </c>
      <c r="K18" s="9" t="s">
        <v>172</v>
      </c>
      <c r="L18" s="1"/>
      <c r="M18" s="1"/>
      <c r="N18" s="1"/>
      <c r="O18" s="9"/>
    </row>
    <row r="19" spans="1:15" hidden="1" x14ac:dyDescent="0.25">
      <c r="A19" s="1">
        <v>46235</v>
      </c>
      <c r="B19">
        <v>1061819313</v>
      </c>
      <c r="C19" s="9" t="s">
        <v>223</v>
      </c>
      <c r="D19" s="9" t="s">
        <v>142</v>
      </c>
      <c r="E19" s="9" t="s">
        <v>4012</v>
      </c>
      <c r="F19" s="9" t="s">
        <v>25</v>
      </c>
      <c r="G19" s="1">
        <v>46231</v>
      </c>
      <c r="H19" s="1">
        <v>46235</v>
      </c>
      <c r="I19" s="2">
        <v>0.25</v>
      </c>
      <c r="J19" s="2">
        <v>0.66666666666666663</v>
      </c>
      <c r="K19" s="9" t="s">
        <v>220</v>
      </c>
      <c r="L19" s="1"/>
      <c r="M19" s="1"/>
      <c r="N19" s="1"/>
      <c r="O19" s="9"/>
    </row>
    <row r="20" spans="1:15" hidden="1" x14ac:dyDescent="0.25">
      <c r="A20" s="1">
        <v>46235</v>
      </c>
      <c r="B20">
        <v>1017270154</v>
      </c>
      <c r="C20" s="9" t="s">
        <v>928</v>
      </c>
      <c r="D20" s="9" t="s">
        <v>343</v>
      </c>
      <c r="E20" s="9" t="s">
        <v>4012</v>
      </c>
      <c r="F20" s="9" t="s">
        <v>25</v>
      </c>
      <c r="G20" s="1">
        <v>46234</v>
      </c>
      <c r="H20" s="1">
        <v>46235</v>
      </c>
      <c r="I20" s="2">
        <v>0.25</v>
      </c>
      <c r="J20" s="2">
        <v>0.66666666666666663</v>
      </c>
      <c r="K20" s="9" t="s">
        <v>148</v>
      </c>
      <c r="L20" s="1"/>
      <c r="M20" s="1"/>
      <c r="N20" s="1"/>
      <c r="O20" s="9"/>
    </row>
    <row r="21" spans="1:15" hidden="1" x14ac:dyDescent="0.25">
      <c r="A21" s="1">
        <v>46237</v>
      </c>
      <c r="B21">
        <v>1140905046</v>
      </c>
      <c r="C21" s="9" t="s">
        <v>4020</v>
      </c>
      <c r="D21" s="9" t="s">
        <v>410</v>
      </c>
      <c r="E21" s="9" t="s">
        <v>4005</v>
      </c>
      <c r="F21" s="9" t="s">
        <v>4015</v>
      </c>
      <c r="G21" s="1">
        <v>46235</v>
      </c>
      <c r="H21" s="1">
        <v>46238</v>
      </c>
      <c r="I21" s="2">
        <v>0.25</v>
      </c>
      <c r="J21" s="2">
        <v>0.54166666666666663</v>
      </c>
      <c r="K21" s="9" t="s">
        <v>248</v>
      </c>
      <c r="L21" s="1"/>
      <c r="M21" s="1"/>
      <c r="N21" s="1"/>
      <c r="O21" s="9"/>
    </row>
    <row r="22" spans="1:15" hidden="1" x14ac:dyDescent="0.25">
      <c r="A22" s="1">
        <v>46237</v>
      </c>
      <c r="B22" t="s">
        <v>228</v>
      </c>
      <c r="C22" s="9" t="s">
        <v>229</v>
      </c>
      <c r="D22" s="9" t="s">
        <v>211</v>
      </c>
      <c r="E22" s="9" t="s">
        <v>4017</v>
      </c>
      <c r="F22" s="9" t="s">
        <v>16</v>
      </c>
      <c r="G22" s="1">
        <v>46230</v>
      </c>
      <c r="H22" s="1">
        <v>46355</v>
      </c>
      <c r="I22" s="2">
        <v>0.25</v>
      </c>
      <c r="J22" s="2">
        <v>0.58333333333333337</v>
      </c>
      <c r="K22" s="9" t="s">
        <v>257</v>
      </c>
      <c r="L22" s="1"/>
      <c r="M22" s="1"/>
      <c r="N22" s="1"/>
      <c r="O22" s="9"/>
    </row>
    <row r="23" spans="1:15" hidden="1" x14ac:dyDescent="0.25">
      <c r="A23" s="1">
        <v>46235</v>
      </c>
      <c r="B23">
        <v>1085318652</v>
      </c>
      <c r="C23" s="9" t="s">
        <v>235</v>
      </c>
      <c r="D23" s="9" t="s">
        <v>211</v>
      </c>
      <c r="E23" s="9" t="s">
        <v>4017</v>
      </c>
      <c r="F23" s="9" t="s">
        <v>90</v>
      </c>
      <c r="G23" s="1">
        <v>46233</v>
      </c>
      <c r="H23" s="1">
        <v>46238</v>
      </c>
      <c r="I23" s="2">
        <v>0.25</v>
      </c>
      <c r="J23" s="2">
        <v>0.58333333333333337</v>
      </c>
      <c r="K23" s="9" t="s">
        <v>257</v>
      </c>
      <c r="L23" s="1"/>
      <c r="M23" s="1"/>
      <c r="N23" s="1"/>
      <c r="O23" s="9"/>
    </row>
    <row r="24" spans="1:15" hidden="1" x14ac:dyDescent="0.25">
      <c r="A24" s="1">
        <v>46235</v>
      </c>
      <c r="B24">
        <v>1118569642</v>
      </c>
      <c r="C24" s="9" t="s">
        <v>96</v>
      </c>
      <c r="D24" s="9" t="s">
        <v>97</v>
      </c>
      <c r="E24" s="9" t="s">
        <v>4005</v>
      </c>
      <c r="F24" s="9" t="s">
        <v>25</v>
      </c>
      <c r="G24" s="1">
        <v>46230</v>
      </c>
      <c r="H24" s="1">
        <v>46235</v>
      </c>
      <c r="I24" s="2">
        <v>0.25</v>
      </c>
      <c r="J24" s="2">
        <v>0.66666666666666663</v>
      </c>
      <c r="K24" s="9" t="s">
        <v>99</v>
      </c>
      <c r="L24" s="1"/>
      <c r="M24" s="1"/>
      <c r="N24" s="1"/>
      <c r="O24" s="9"/>
    </row>
    <row r="25" spans="1:15" hidden="1" x14ac:dyDescent="0.25">
      <c r="A25" s="1">
        <v>46237</v>
      </c>
      <c r="B25">
        <v>50995706</v>
      </c>
      <c r="C25" s="9" t="s">
        <v>2458</v>
      </c>
      <c r="D25" s="9" t="s">
        <v>64</v>
      </c>
      <c r="E25" s="9" t="s">
        <v>4012</v>
      </c>
      <c r="F25" s="9" t="s">
        <v>25</v>
      </c>
      <c r="G25" s="1">
        <v>46234</v>
      </c>
      <c r="H25" s="1">
        <v>46234</v>
      </c>
      <c r="I25" s="2">
        <v>0.25</v>
      </c>
      <c r="J25" s="2">
        <v>0.58333333333333337</v>
      </c>
      <c r="K25" s="9" t="s">
        <v>4022</v>
      </c>
      <c r="L25" s="1"/>
      <c r="M25" s="1"/>
      <c r="N25" s="1"/>
      <c r="O25" s="9"/>
    </row>
    <row r="26" spans="1:15" hidden="1" x14ac:dyDescent="0.25">
      <c r="A26" s="1">
        <v>46235</v>
      </c>
      <c r="B26">
        <v>1002159016</v>
      </c>
      <c r="C26" s="9" t="s">
        <v>196</v>
      </c>
      <c r="D26" s="9" t="s">
        <v>197</v>
      </c>
      <c r="E26" s="9" t="s">
        <v>4005</v>
      </c>
      <c r="F26" s="9" t="s">
        <v>25</v>
      </c>
      <c r="G26" s="1">
        <v>46230</v>
      </c>
      <c r="H26" s="1">
        <v>46235</v>
      </c>
      <c r="I26" s="2">
        <v>0.25</v>
      </c>
      <c r="J26" s="2">
        <v>0.66666666666666663</v>
      </c>
      <c r="K26" s="9" t="s">
        <v>199</v>
      </c>
      <c r="L26" s="1"/>
      <c r="M26" s="1"/>
      <c r="N26" s="1"/>
      <c r="O26" s="9"/>
    </row>
    <row r="27" spans="1:15" hidden="1" x14ac:dyDescent="0.25">
      <c r="A27" s="1">
        <v>46246</v>
      </c>
      <c r="B27">
        <v>43558465</v>
      </c>
      <c r="C27" s="9" t="s">
        <v>103</v>
      </c>
      <c r="D27" s="9" t="s">
        <v>64</v>
      </c>
      <c r="E27" s="9" t="s">
        <v>4012</v>
      </c>
      <c r="F27" s="9" t="s">
        <v>25</v>
      </c>
      <c r="G27" s="1">
        <v>46226</v>
      </c>
      <c r="H27" s="1">
        <v>46246</v>
      </c>
      <c r="I27" s="2">
        <v>0.58333333333333337</v>
      </c>
      <c r="J27" s="2">
        <v>0.875</v>
      </c>
      <c r="K27" s="9" t="s">
        <v>261</v>
      </c>
      <c r="L27" s="1"/>
      <c r="M27" s="1"/>
      <c r="N27" s="1"/>
      <c r="O27" s="9"/>
    </row>
    <row r="28" spans="1:15" hidden="1" x14ac:dyDescent="0.25">
      <c r="A28" s="1">
        <v>46248</v>
      </c>
      <c r="B28">
        <v>1037631989</v>
      </c>
      <c r="C28" s="9" t="s">
        <v>40</v>
      </c>
      <c r="D28" s="9" t="s">
        <v>41</v>
      </c>
      <c r="E28" s="9" t="s">
        <v>4011</v>
      </c>
      <c r="F28" s="9" t="s">
        <v>25</v>
      </c>
      <c r="G28" s="1">
        <v>46226</v>
      </c>
      <c r="H28" s="1">
        <v>46255</v>
      </c>
      <c r="I28" s="2">
        <v>0.54166666666666663</v>
      </c>
      <c r="J28" s="2">
        <v>0.875</v>
      </c>
      <c r="K28" s="9" t="s">
        <v>261</v>
      </c>
      <c r="L28" s="1"/>
      <c r="M28" s="1"/>
      <c r="N28" s="1"/>
      <c r="O28" s="9"/>
    </row>
    <row r="29" spans="1:15" hidden="1" x14ac:dyDescent="0.25">
      <c r="A29" s="1">
        <v>46237</v>
      </c>
      <c r="B29">
        <v>42141273</v>
      </c>
      <c r="C29" s="9" t="s">
        <v>210</v>
      </c>
      <c r="D29" s="9" t="s">
        <v>211</v>
      </c>
      <c r="E29" s="9" t="s">
        <v>4017</v>
      </c>
      <c r="F29" s="9" t="s">
        <v>25</v>
      </c>
      <c r="G29" s="1">
        <v>46224</v>
      </c>
      <c r="H29" s="1">
        <v>46238</v>
      </c>
      <c r="I29" s="2">
        <v>0.25</v>
      </c>
      <c r="J29" s="2">
        <v>0.5</v>
      </c>
      <c r="K29" s="9" t="s">
        <v>213</v>
      </c>
      <c r="L29" s="1"/>
      <c r="M29" s="1"/>
      <c r="N29" s="1"/>
      <c r="O29" s="9"/>
    </row>
    <row r="30" spans="1:15" hidden="1" x14ac:dyDescent="0.25">
      <c r="A30" s="1">
        <v>46248</v>
      </c>
      <c r="B30">
        <v>1043006106</v>
      </c>
      <c r="C30" s="9" t="s">
        <v>194</v>
      </c>
      <c r="D30" s="9" t="s">
        <v>160</v>
      </c>
      <c r="E30" s="9" t="s">
        <v>4011</v>
      </c>
      <c r="F30" s="9" t="s">
        <v>25</v>
      </c>
      <c r="G30" s="1">
        <v>46219</v>
      </c>
      <c r="H30" s="1">
        <v>46248</v>
      </c>
      <c r="I30" s="2">
        <v>0.58333333333333337</v>
      </c>
      <c r="J30" s="2">
        <v>0.875</v>
      </c>
      <c r="K30" s="9" t="s">
        <v>261</v>
      </c>
      <c r="L30" s="1"/>
      <c r="M30" s="1"/>
      <c r="N30" s="1"/>
      <c r="O30" s="9"/>
    </row>
    <row r="31" spans="1:15" hidden="1" x14ac:dyDescent="0.25">
      <c r="A31" s="1">
        <v>46237</v>
      </c>
      <c r="B31">
        <v>1035876080</v>
      </c>
      <c r="C31" s="9" t="s">
        <v>120</v>
      </c>
      <c r="D31" s="9" t="s">
        <v>121</v>
      </c>
      <c r="E31" s="9" t="s">
        <v>4010</v>
      </c>
      <c r="F31" s="9" t="s">
        <v>25</v>
      </c>
      <c r="G31" s="1">
        <v>46224</v>
      </c>
      <c r="H31" s="1">
        <v>46238</v>
      </c>
      <c r="I31" s="2">
        <v>0.25</v>
      </c>
      <c r="J31" s="2">
        <v>0.58333333333333337</v>
      </c>
      <c r="K31" s="9" t="s">
        <v>220</v>
      </c>
      <c r="L31" s="1"/>
      <c r="M31" s="1"/>
      <c r="N31" s="1"/>
      <c r="O31" s="9"/>
    </row>
    <row r="32" spans="1:15" hidden="1" x14ac:dyDescent="0.25">
      <c r="A32" s="1">
        <v>46248</v>
      </c>
      <c r="B32">
        <v>1121506548</v>
      </c>
      <c r="C32" s="9" t="s">
        <v>50</v>
      </c>
      <c r="D32" s="9" t="s">
        <v>51</v>
      </c>
      <c r="E32" s="9" t="s">
        <v>4011</v>
      </c>
      <c r="F32" s="9" t="s">
        <v>16</v>
      </c>
      <c r="G32" s="1">
        <v>46217</v>
      </c>
      <c r="H32" s="1">
        <v>46342</v>
      </c>
      <c r="I32" s="2">
        <v>0.58333333333333337</v>
      </c>
      <c r="J32" s="2">
        <v>0.875</v>
      </c>
      <c r="K32" s="9" t="s">
        <v>241</v>
      </c>
      <c r="L32" s="1"/>
      <c r="M32" s="1"/>
      <c r="N32" s="1"/>
      <c r="O32" s="9"/>
    </row>
    <row r="33" spans="1:15" hidden="1" x14ac:dyDescent="0.25">
      <c r="A33" s="1">
        <v>46248</v>
      </c>
      <c r="B33">
        <v>1143460426</v>
      </c>
      <c r="C33" s="9" t="s">
        <v>4034</v>
      </c>
      <c r="D33" s="9" t="s">
        <v>160</v>
      </c>
      <c r="E33" s="9" t="s">
        <v>4011</v>
      </c>
      <c r="F33" s="9" t="s">
        <v>4015</v>
      </c>
      <c r="G33" s="1">
        <v>46195</v>
      </c>
      <c r="H33" s="1">
        <v>46198</v>
      </c>
      <c r="I33" s="2">
        <v>0.58333333333333337</v>
      </c>
      <c r="J33" s="2">
        <v>0.875</v>
      </c>
      <c r="K33" s="9" t="s">
        <v>192</v>
      </c>
      <c r="L33" s="1"/>
      <c r="M33" s="1"/>
      <c r="N33" s="1"/>
      <c r="O33" s="9"/>
    </row>
    <row r="34" spans="1:15" hidden="1" x14ac:dyDescent="0.25">
      <c r="A34" s="1">
        <v>46235</v>
      </c>
      <c r="B34" t="s">
        <v>4035</v>
      </c>
      <c r="C34" s="9" t="s">
        <v>4036</v>
      </c>
      <c r="D34" s="9" t="s">
        <v>326</v>
      </c>
      <c r="E34" s="9" t="s">
        <v>4005</v>
      </c>
      <c r="F34" s="9" t="s">
        <v>4015</v>
      </c>
      <c r="G34" s="1">
        <v>46233</v>
      </c>
      <c r="H34" s="1">
        <v>46235</v>
      </c>
      <c r="I34" s="2">
        <v>0.25</v>
      </c>
      <c r="J34" s="2">
        <v>0.66666666666666663</v>
      </c>
      <c r="K34" s="9" t="s">
        <v>261</v>
      </c>
      <c r="L34" s="1"/>
      <c r="M34" s="1"/>
      <c r="N34" s="1"/>
      <c r="O34" s="9"/>
    </row>
    <row r="35" spans="1:15" hidden="1" x14ac:dyDescent="0.25">
      <c r="A35" s="1">
        <v>46248</v>
      </c>
      <c r="B35">
        <v>1152221372</v>
      </c>
      <c r="C35" s="9" t="s">
        <v>2313</v>
      </c>
      <c r="D35" s="9" t="s">
        <v>128</v>
      </c>
      <c r="E35" s="9" t="s">
        <v>4005</v>
      </c>
      <c r="F35" s="9" t="s">
        <v>4037</v>
      </c>
      <c r="G35" s="1">
        <v>46230</v>
      </c>
      <c r="H35" s="1"/>
      <c r="I35" s="2">
        <v>0.58333333333333337</v>
      </c>
      <c r="J35" s="2">
        <v>0.875</v>
      </c>
      <c r="K35" s="9" t="s">
        <v>107</v>
      </c>
      <c r="L35" s="1"/>
      <c r="M35" s="1"/>
      <c r="N35" s="1"/>
      <c r="O35" s="9"/>
    </row>
    <row r="36" spans="1:15" hidden="1" x14ac:dyDescent="0.25">
      <c r="A36" s="1">
        <v>46246</v>
      </c>
      <c r="B36">
        <v>1098777544</v>
      </c>
      <c r="C36" s="9" t="s">
        <v>81</v>
      </c>
      <c r="D36" s="9" t="s">
        <v>82</v>
      </c>
      <c r="E36" s="9" t="s">
        <v>4005</v>
      </c>
      <c r="F36" s="9" t="s">
        <v>25</v>
      </c>
      <c r="G36" s="1">
        <v>46217</v>
      </c>
      <c r="H36" s="1">
        <v>46246</v>
      </c>
      <c r="I36" s="2">
        <v>0.25</v>
      </c>
      <c r="J36" s="2">
        <v>0.54166666666666663</v>
      </c>
      <c r="K36" s="9" t="s">
        <v>261</v>
      </c>
      <c r="L36" s="1"/>
      <c r="M36" s="1"/>
      <c r="N36" s="1"/>
      <c r="O36" s="9"/>
    </row>
    <row r="37" spans="1:15" hidden="1" x14ac:dyDescent="0.25">
      <c r="A37" s="1">
        <v>46235</v>
      </c>
      <c r="B37">
        <v>1047476960</v>
      </c>
      <c r="C37" s="9" t="s">
        <v>3180</v>
      </c>
      <c r="D37" s="9" t="s">
        <v>420</v>
      </c>
      <c r="E37" s="9" t="s">
        <v>4010</v>
      </c>
      <c r="F37" s="9" t="s">
        <v>4040</v>
      </c>
      <c r="G37" s="1">
        <v>46234</v>
      </c>
      <c r="H37" s="1">
        <v>46237</v>
      </c>
      <c r="I37" s="2">
        <v>0.25</v>
      </c>
      <c r="J37" s="2">
        <v>0.66666666666666663</v>
      </c>
      <c r="K37" s="9" t="s">
        <v>4022</v>
      </c>
      <c r="L37" s="1"/>
      <c r="M37" s="1"/>
      <c r="N37" s="1">
        <v>46240</v>
      </c>
      <c r="O37" s="9" t="s">
        <v>4041</v>
      </c>
    </row>
    <row r="38" spans="1:15" hidden="1" x14ac:dyDescent="0.25">
      <c r="A38" s="1">
        <v>46237</v>
      </c>
      <c r="B38">
        <v>1047476960</v>
      </c>
      <c r="C38" s="9" t="s">
        <v>3180</v>
      </c>
      <c r="D38" s="9" t="s">
        <v>420</v>
      </c>
      <c r="E38" s="9" t="s">
        <v>4010</v>
      </c>
      <c r="F38" s="9" t="s">
        <v>25</v>
      </c>
      <c r="G38" s="1">
        <v>46234</v>
      </c>
      <c r="H38" s="1">
        <v>46237</v>
      </c>
      <c r="I38" s="2">
        <v>0.58333333333333337</v>
      </c>
      <c r="J38" s="2">
        <v>0.875</v>
      </c>
      <c r="K38" s="9" t="s">
        <v>4042</v>
      </c>
      <c r="L38" s="1"/>
      <c r="M38" s="1"/>
      <c r="N38" s="1"/>
      <c r="O38" s="9"/>
    </row>
    <row r="39" spans="1:15" hidden="1" x14ac:dyDescent="0.25">
      <c r="A39" s="1">
        <v>46240</v>
      </c>
      <c r="B39">
        <v>1001005240</v>
      </c>
      <c r="C39" s="9" t="s">
        <v>152</v>
      </c>
      <c r="D39" s="9" t="s">
        <v>153</v>
      </c>
      <c r="E39" s="9" t="s">
        <v>4010</v>
      </c>
      <c r="F39" s="9" t="s">
        <v>25</v>
      </c>
      <c r="G39" s="1">
        <v>46234</v>
      </c>
      <c r="H39" s="1">
        <v>46240</v>
      </c>
      <c r="I39" s="2">
        <v>0.25</v>
      </c>
      <c r="J39" s="2">
        <v>0.54166666666666663</v>
      </c>
      <c r="K39" s="9" t="s">
        <v>172</v>
      </c>
      <c r="L39" s="1"/>
      <c r="M39" s="1"/>
      <c r="N39" s="1"/>
      <c r="O39" s="9"/>
    </row>
    <row r="40" spans="1:15" hidden="1" x14ac:dyDescent="0.25">
      <c r="A40" s="1">
        <v>46235</v>
      </c>
      <c r="B40">
        <v>1020488082</v>
      </c>
      <c r="C40" s="9" t="s">
        <v>3793</v>
      </c>
      <c r="D40" s="9" t="s">
        <v>326</v>
      </c>
      <c r="E40" s="9" t="s">
        <v>4005</v>
      </c>
      <c r="F40" s="9" t="s">
        <v>25</v>
      </c>
      <c r="G40" s="1">
        <v>46234</v>
      </c>
      <c r="H40" s="1">
        <v>46235</v>
      </c>
      <c r="I40" s="2">
        <v>0.25</v>
      </c>
      <c r="J40" s="2">
        <v>0.66666666666666663</v>
      </c>
      <c r="K40" s="9" t="s">
        <v>4022</v>
      </c>
      <c r="L40" s="1"/>
      <c r="M40" s="1"/>
      <c r="N40" s="1"/>
      <c r="O40" s="9"/>
    </row>
    <row r="41" spans="1:15" hidden="1" x14ac:dyDescent="0.25">
      <c r="A41" s="1">
        <v>46235</v>
      </c>
      <c r="B41">
        <v>1144057947</v>
      </c>
      <c r="C41" s="9" t="s">
        <v>1556</v>
      </c>
      <c r="D41" s="9" t="s">
        <v>89</v>
      </c>
      <c r="E41" s="9" t="s">
        <v>4017</v>
      </c>
      <c r="F41" s="9" t="s">
        <v>4044</v>
      </c>
      <c r="G41" s="1">
        <v>46220</v>
      </c>
      <c r="H41" s="1">
        <v>46235</v>
      </c>
      <c r="I41" s="2"/>
      <c r="J41" s="2"/>
      <c r="K41" s="9" t="s">
        <v>269</v>
      </c>
      <c r="L41" s="1"/>
      <c r="M41" s="1"/>
      <c r="N41" s="1"/>
      <c r="O41" s="9"/>
    </row>
    <row r="42" spans="1:15" hidden="1" x14ac:dyDescent="0.25">
      <c r="A42" s="1">
        <v>46235</v>
      </c>
      <c r="B42">
        <v>1192769686</v>
      </c>
      <c r="C42" s="9" t="s">
        <v>1882</v>
      </c>
      <c r="D42" s="9" t="s">
        <v>326</v>
      </c>
      <c r="E42" s="9" t="s">
        <v>4005</v>
      </c>
      <c r="F42" s="9" t="s">
        <v>25</v>
      </c>
      <c r="G42" s="1">
        <v>46234</v>
      </c>
      <c r="H42" s="1">
        <v>46235</v>
      </c>
      <c r="I42" s="2">
        <v>0.25</v>
      </c>
      <c r="J42" s="2">
        <v>0.66666666666666663</v>
      </c>
      <c r="K42" s="9" t="s">
        <v>245</v>
      </c>
      <c r="L42" s="1"/>
      <c r="M42" s="1"/>
      <c r="N42" s="1"/>
      <c r="O42" s="9"/>
    </row>
    <row r="43" spans="1:15" hidden="1" x14ac:dyDescent="0.25">
      <c r="A43" s="1">
        <v>46235</v>
      </c>
      <c r="B43">
        <v>1037651431</v>
      </c>
      <c r="C43" s="9" t="s">
        <v>464</v>
      </c>
      <c r="D43" s="9" t="s">
        <v>15</v>
      </c>
      <c r="E43" s="9" t="s">
        <v>4012</v>
      </c>
      <c r="F43" s="9" t="s">
        <v>25</v>
      </c>
      <c r="G43" s="1">
        <v>46235</v>
      </c>
      <c r="H43" s="1">
        <v>46235</v>
      </c>
      <c r="I43" s="2">
        <v>0.25</v>
      </c>
      <c r="J43" s="2">
        <v>0.66666666666666663</v>
      </c>
      <c r="K43" s="9" t="s">
        <v>261</v>
      </c>
      <c r="L43" s="1"/>
      <c r="M43" s="1"/>
      <c r="N43" s="1"/>
      <c r="O43" s="9"/>
    </row>
    <row r="44" spans="1:15" hidden="1" x14ac:dyDescent="0.25">
      <c r="A44" s="1">
        <v>46238</v>
      </c>
      <c r="B44">
        <v>1143470207</v>
      </c>
      <c r="C44" s="9" t="s">
        <v>4043</v>
      </c>
      <c r="D44" s="9" t="s">
        <v>153</v>
      </c>
      <c r="E44" s="9" t="s">
        <v>4010</v>
      </c>
      <c r="F44" s="9" t="s">
        <v>4015</v>
      </c>
      <c r="G44" s="1">
        <v>46235</v>
      </c>
      <c r="H44" s="1">
        <v>46238</v>
      </c>
      <c r="I44" s="2">
        <v>0.25</v>
      </c>
      <c r="J44" s="2">
        <v>0.58333333333333337</v>
      </c>
      <c r="K44" s="9" t="s">
        <v>261</v>
      </c>
      <c r="L44" s="1"/>
      <c r="M44" s="1"/>
      <c r="N44" s="1"/>
      <c r="O44" s="9"/>
    </row>
    <row r="45" spans="1:15" hidden="1" x14ac:dyDescent="0.25">
      <c r="A45" s="1">
        <v>46235</v>
      </c>
      <c r="B45">
        <v>1037661959</v>
      </c>
      <c r="C45" s="9" t="s">
        <v>3171</v>
      </c>
      <c r="D45" s="9" t="s">
        <v>410</v>
      </c>
      <c r="E45" s="9" t="s">
        <v>4005</v>
      </c>
      <c r="F45" s="9" t="s">
        <v>25</v>
      </c>
      <c r="G45" s="1">
        <v>46235</v>
      </c>
      <c r="H45" s="1">
        <v>46235</v>
      </c>
      <c r="I45" s="2">
        <v>0.25</v>
      </c>
      <c r="J45" s="2">
        <v>0.66666666666666663</v>
      </c>
      <c r="K45" s="9" t="s">
        <v>261</v>
      </c>
      <c r="L45" s="1"/>
      <c r="M45" s="1"/>
      <c r="N45" s="1"/>
      <c r="O45" s="9"/>
    </row>
    <row r="46" spans="1:15" hidden="1" x14ac:dyDescent="0.25">
      <c r="A46" s="1">
        <v>46235</v>
      </c>
      <c r="B46">
        <v>1000416383</v>
      </c>
      <c r="C46" s="9" t="s">
        <v>1176</v>
      </c>
      <c r="D46" s="9" t="s">
        <v>4027</v>
      </c>
      <c r="E46" s="9" t="s">
        <v>4011</v>
      </c>
      <c r="F46" s="9" t="s">
        <v>4040</v>
      </c>
      <c r="G46" s="1">
        <v>46234</v>
      </c>
      <c r="H46" s="1">
        <v>46235</v>
      </c>
      <c r="I46" s="2">
        <v>0.25</v>
      </c>
      <c r="J46" s="2">
        <v>0.66666666666666663</v>
      </c>
      <c r="K46" s="9" t="s">
        <v>4022</v>
      </c>
      <c r="L46" s="1">
        <v>46235</v>
      </c>
      <c r="M46" s="1">
        <v>46234</v>
      </c>
      <c r="N46" s="1"/>
      <c r="O46" s="9" t="s">
        <v>4048</v>
      </c>
    </row>
    <row r="47" spans="1:15" hidden="1" x14ac:dyDescent="0.25">
      <c r="A47" s="1">
        <v>46235</v>
      </c>
      <c r="B47">
        <v>1193459665</v>
      </c>
      <c r="C47" s="9" t="s">
        <v>4026</v>
      </c>
      <c r="D47" s="9" t="s">
        <v>326</v>
      </c>
      <c r="E47" s="9" t="s">
        <v>4005</v>
      </c>
      <c r="F47" s="9" t="s">
        <v>4015</v>
      </c>
      <c r="G47" s="1">
        <v>46235</v>
      </c>
      <c r="H47" s="1">
        <v>46238</v>
      </c>
      <c r="I47" s="2">
        <v>0.25</v>
      </c>
      <c r="J47" s="2">
        <v>0.66666666666666663</v>
      </c>
      <c r="K47" s="9" t="s">
        <v>261</v>
      </c>
      <c r="L47" s="1"/>
      <c r="M47" s="1"/>
      <c r="N47" s="1"/>
      <c r="O47" s="9"/>
    </row>
    <row r="48" spans="1:15" hidden="1" x14ac:dyDescent="0.25">
      <c r="A48" s="1">
        <v>46235</v>
      </c>
      <c r="B48">
        <v>1152446353</v>
      </c>
      <c r="C48" s="9" t="s">
        <v>3885</v>
      </c>
      <c r="D48" s="9" t="s">
        <v>15</v>
      </c>
      <c r="E48" s="9" t="s">
        <v>4012</v>
      </c>
      <c r="F48" s="9" t="s">
        <v>25</v>
      </c>
      <c r="G48" s="1">
        <v>46235</v>
      </c>
      <c r="H48" s="1">
        <v>46235</v>
      </c>
      <c r="I48" s="2">
        <v>0.25</v>
      </c>
      <c r="J48" s="2">
        <v>0.66666666666666663</v>
      </c>
      <c r="K48" s="9" t="s">
        <v>261</v>
      </c>
      <c r="L48" s="1"/>
      <c r="M48" s="1"/>
      <c r="N48" s="1"/>
      <c r="O48" s="9"/>
    </row>
    <row r="49" spans="1:15" hidden="1" x14ac:dyDescent="0.25">
      <c r="A49" s="1">
        <v>46235</v>
      </c>
      <c r="B49">
        <v>1067959066</v>
      </c>
      <c r="C49" s="9" t="s">
        <v>3446</v>
      </c>
      <c r="D49" s="9" t="s">
        <v>322</v>
      </c>
      <c r="E49" s="9" t="s">
        <v>4017</v>
      </c>
      <c r="F49" s="9" t="s">
        <v>4040</v>
      </c>
      <c r="G49" s="1">
        <v>46235</v>
      </c>
      <c r="H49" s="1">
        <v>46235</v>
      </c>
      <c r="I49" s="2">
        <v>0.25</v>
      </c>
      <c r="J49" s="2">
        <v>0.58333333333333337</v>
      </c>
      <c r="K49" s="9" t="s">
        <v>4049</v>
      </c>
      <c r="L49" s="1">
        <v>46237</v>
      </c>
      <c r="M49" s="1">
        <v>46237</v>
      </c>
      <c r="N49" s="1"/>
      <c r="O49" s="9" t="s">
        <v>4048</v>
      </c>
    </row>
    <row r="50" spans="1:15" hidden="1" x14ac:dyDescent="0.25">
      <c r="A50" s="1">
        <v>46235</v>
      </c>
      <c r="B50">
        <v>1007868236</v>
      </c>
      <c r="C50" s="9" t="s">
        <v>1453</v>
      </c>
      <c r="D50" s="9" t="s">
        <v>82</v>
      </c>
      <c r="E50" s="9" t="s">
        <v>4005</v>
      </c>
      <c r="F50" s="9" t="s">
        <v>25</v>
      </c>
      <c r="G50" s="1">
        <v>46235</v>
      </c>
      <c r="H50" s="1">
        <v>46235</v>
      </c>
      <c r="I50" s="2">
        <v>0.25</v>
      </c>
      <c r="J50" s="2">
        <v>0.66666666666666663</v>
      </c>
      <c r="K50" s="9" t="s">
        <v>261</v>
      </c>
      <c r="L50" s="1"/>
      <c r="M50" s="1"/>
      <c r="N50" s="1"/>
      <c r="O50" s="9"/>
    </row>
    <row r="51" spans="1:15" hidden="1" x14ac:dyDescent="0.25">
      <c r="A51" s="1">
        <v>46237</v>
      </c>
      <c r="B51">
        <v>1037668071</v>
      </c>
      <c r="C51" s="9" t="s">
        <v>1708</v>
      </c>
      <c r="D51" s="9" t="s">
        <v>64</v>
      </c>
      <c r="E51" s="9" t="s">
        <v>4012</v>
      </c>
      <c r="F51" s="9" t="s">
        <v>4040</v>
      </c>
      <c r="G51" s="1">
        <v>46235</v>
      </c>
      <c r="H51" s="1">
        <v>46235</v>
      </c>
      <c r="I51" s="2">
        <v>0.58333333333333337</v>
      </c>
      <c r="J51" s="2">
        <v>0.875</v>
      </c>
      <c r="K51" s="9" t="s">
        <v>4022</v>
      </c>
      <c r="L51" s="1">
        <v>46235</v>
      </c>
      <c r="M51" s="1">
        <v>46234</v>
      </c>
      <c r="N51" s="1"/>
      <c r="O51" s="9" t="s">
        <v>4048</v>
      </c>
    </row>
    <row r="52" spans="1:15" hidden="1" x14ac:dyDescent="0.25">
      <c r="A52" s="1">
        <v>46235</v>
      </c>
      <c r="B52">
        <v>43271257</v>
      </c>
      <c r="C52" s="9" t="s">
        <v>1236</v>
      </c>
      <c r="D52" s="9" t="s">
        <v>34</v>
      </c>
      <c r="E52" s="9" t="s">
        <v>4011</v>
      </c>
      <c r="F52" s="9" t="s">
        <v>4040</v>
      </c>
      <c r="G52" s="1">
        <v>46235</v>
      </c>
      <c r="H52" s="1">
        <v>46235</v>
      </c>
      <c r="I52" s="2">
        <v>0.25</v>
      </c>
      <c r="J52" s="2">
        <v>0.66666666666666663</v>
      </c>
      <c r="K52" s="9" t="s">
        <v>4022</v>
      </c>
      <c r="L52" s="1">
        <v>46235</v>
      </c>
      <c r="M52" s="1">
        <v>46245</v>
      </c>
      <c r="N52" s="1"/>
      <c r="O52" s="9" t="s">
        <v>4048</v>
      </c>
    </row>
    <row r="53" spans="1:15" hidden="1" x14ac:dyDescent="0.25">
      <c r="A53" s="1">
        <v>46235</v>
      </c>
      <c r="B53">
        <v>1046668203</v>
      </c>
      <c r="C53" s="9" t="s">
        <v>2645</v>
      </c>
      <c r="D53" s="9" t="s">
        <v>78</v>
      </c>
      <c r="E53" s="9" t="s">
        <v>4010</v>
      </c>
      <c r="F53" s="9" t="s">
        <v>25</v>
      </c>
      <c r="G53" s="1">
        <v>46235</v>
      </c>
      <c r="H53" s="1">
        <v>46235</v>
      </c>
      <c r="I53" s="2">
        <v>0.25</v>
      </c>
      <c r="J53" s="2">
        <v>0.66666666666666663</v>
      </c>
      <c r="K53" s="9" t="s">
        <v>4022</v>
      </c>
      <c r="L53" s="1"/>
      <c r="M53" s="1"/>
      <c r="N53" s="1"/>
      <c r="O53" s="9"/>
    </row>
    <row r="54" spans="1:15" hidden="1" x14ac:dyDescent="0.25">
      <c r="A54" s="1">
        <v>46235</v>
      </c>
      <c r="B54">
        <v>42827780</v>
      </c>
      <c r="C54" s="9" t="s">
        <v>2447</v>
      </c>
      <c r="D54" s="9" t="s">
        <v>197</v>
      </c>
      <c r="E54" s="9" t="s">
        <v>4005</v>
      </c>
      <c r="F54" s="9" t="s">
        <v>4040</v>
      </c>
      <c r="G54" s="1">
        <v>46235</v>
      </c>
      <c r="H54" s="1">
        <v>46235</v>
      </c>
      <c r="I54" s="2">
        <v>0.29166666666666669</v>
      </c>
      <c r="J54" s="2">
        <v>0.66666666666666663</v>
      </c>
      <c r="K54" s="9" t="s">
        <v>4022</v>
      </c>
      <c r="L54" s="1">
        <v>46235</v>
      </c>
      <c r="M54" s="1">
        <v>46235</v>
      </c>
      <c r="N54" s="1"/>
      <c r="O54" s="9" t="s">
        <v>4048</v>
      </c>
    </row>
    <row r="55" spans="1:15" hidden="1" x14ac:dyDescent="0.25">
      <c r="A55" s="1">
        <v>46235</v>
      </c>
      <c r="B55">
        <v>1045017347</v>
      </c>
      <c r="C55" s="9" t="s">
        <v>1218</v>
      </c>
      <c r="D55" s="9" t="s">
        <v>326</v>
      </c>
      <c r="E55" s="9" t="s">
        <v>4012</v>
      </c>
      <c r="F55" s="9" t="s">
        <v>4040</v>
      </c>
      <c r="G55" s="1">
        <v>46235</v>
      </c>
      <c r="H55" s="1">
        <v>46235</v>
      </c>
      <c r="I55" s="2">
        <v>0.25</v>
      </c>
      <c r="J55" s="2">
        <v>0.66666666666666663</v>
      </c>
      <c r="K55" s="9" t="s">
        <v>4022</v>
      </c>
      <c r="L55" s="1">
        <v>46235</v>
      </c>
      <c r="M55" s="1">
        <v>46235</v>
      </c>
      <c r="N55" s="1"/>
      <c r="O55" s="9" t="s">
        <v>4048</v>
      </c>
    </row>
    <row r="56" spans="1:15" hidden="1" x14ac:dyDescent="0.25">
      <c r="A56" s="1">
        <v>46237</v>
      </c>
      <c r="B56">
        <v>1037642818</v>
      </c>
      <c r="C56" s="9" t="s">
        <v>3657</v>
      </c>
      <c r="D56" s="9" t="s">
        <v>41</v>
      </c>
      <c r="E56" s="9" t="s">
        <v>4011</v>
      </c>
      <c r="F56" s="9" t="s">
        <v>4040</v>
      </c>
      <c r="G56" s="1">
        <v>46235</v>
      </c>
      <c r="H56" s="1"/>
      <c r="I56" s="2">
        <v>0.25</v>
      </c>
      <c r="J56" s="2">
        <v>0.58333333333333337</v>
      </c>
      <c r="K56" s="9" t="s">
        <v>4022</v>
      </c>
      <c r="L56" s="1"/>
      <c r="M56" s="1"/>
      <c r="N56" s="1">
        <v>46245</v>
      </c>
      <c r="O56" s="9" t="s">
        <v>4041</v>
      </c>
    </row>
    <row r="57" spans="1:15" hidden="1" x14ac:dyDescent="0.25">
      <c r="A57" s="1">
        <v>46237</v>
      </c>
      <c r="B57">
        <v>1035442917</v>
      </c>
      <c r="C57" s="9" t="s">
        <v>2736</v>
      </c>
      <c r="D57" s="9" t="s">
        <v>197</v>
      </c>
      <c r="E57" s="9" t="s">
        <v>4005</v>
      </c>
      <c r="F57" s="9" t="s">
        <v>4040</v>
      </c>
      <c r="G57" s="1">
        <v>46235</v>
      </c>
      <c r="H57" s="1"/>
      <c r="I57" s="2">
        <v>0.25</v>
      </c>
      <c r="J57" s="2">
        <v>0.54166666666666663</v>
      </c>
      <c r="K57" s="9" t="s">
        <v>4052</v>
      </c>
      <c r="L57" s="1"/>
      <c r="M57" s="1"/>
      <c r="N57" s="1">
        <v>46245</v>
      </c>
      <c r="O57" s="9" t="s">
        <v>4041</v>
      </c>
    </row>
    <row r="58" spans="1:15" hidden="1" x14ac:dyDescent="0.25">
      <c r="A58" s="1">
        <v>46235</v>
      </c>
      <c r="B58">
        <v>1000640650</v>
      </c>
      <c r="C58" s="9" t="s">
        <v>3726</v>
      </c>
      <c r="D58" s="9" t="s">
        <v>160</v>
      </c>
      <c r="E58" s="9" t="s">
        <v>4011</v>
      </c>
      <c r="F58" s="9" t="s">
        <v>4040</v>
      </c>
      <c r="G58" s="1">
        <v>46235</v>
      </c>
      <c r="H58" s="1">
        <v>46235</v>
      </c>
      <c r="I58" s="2">
        <v>0.25</v>
      </c>
      <c r="J58" s="2">
        <v>0.66666666666666663</v>
      </c>
      <c r="K58" s="9" t="s">
        <v>4022</v>
      </c>
      <c r="L58" s="1">
        <v>46235</v>
      </c>
      <c r="M58" s="1">
        <v>46235</v>
      </c>
      <c r="N58" s="1"/>
      <c r="O58" s="9" t="s">
        <v>4048</v>
      </c>
    </row>
    <row r="59" spans="1:15" hidden="1" x14ac:dyDescent="0.25">
      <c r="A59" s="1">
        <v>46235</v>
      </c>
      <c r="B59">
        <v>1233189573</v>
      </c>
      <c r="C59" s="9" t="s">
        <v>2806</v>
      </c>
      <c r="D59" s="9" t="s">
        <v>142</v>
      </c>
      <c r="E59" s="9" t="s">
        <v>4012</v>
      </c>
      <c r="F59" s="9" t="s">
        <v>4040</v>
      </c>
      <c r="G59" s="1">
        <v>46235</v>
      </c>
      <c r="H59" s="1">
        <v>46235</v>
      </c>
      <c r="I59" s="2">
        <v>0.25</v>
      </c>
      <c r="J59" s="2">
        <v>0.66666666666666663</v>
      </c>
      <c r="K59" s="9" t="s">
        <v>4022</v>
      </c>
      <c r="L59" s="1">
        <v>46235</v>
      </c>
      <c r="M59" s="1">
        <v>46235</v>
      </c>
      <c r="N59" s="1"/>
      <c r="O59" s="9" t="s">
        <v>4048</v>
      </c>
    </row>
    <row r="60" spans="1:15" hidden="1" x14ac:dyDescent="0.25">
      <c r="A60" s="1">
        <v>46237</v>
      </c>
      <c r="B60">
        <v>1088348251</v>
      </c>
      <c r="C60" s="9" t="s">
        <v>2111</v>
      </c>
      <c r="D60" s="9" t="s">
        <v>142</v>
      </c>
      <c r="E60" s="9" t="s">
        <v>4012</v>
      </c>
      <c r="F60" s="9" t="s">
        <v>4040</v>
      </c>
      <c r="G60" s="1">
        <v>46235</v>
      </c>
      <c r="H60" s="1">
        <v>46235</v>
      </c>
      <c r="I60" s="2">
        <v>0.54166666666666663</v>
      </c>
      <c r="J60" s="2">
        <v>0.83333333333333337</v>
      </c>
      <c r="K60" s="9" t="s">
        <v>4022</v>
      </c>
      <c r="L60" s="1">
        <v>46235</v>
      </c>
      <c r="M60" s="1">
        <v>46235</v>
      </c>
      <c r="N60" s="1"/>
      <c r="O60" s="9" t="s">
        <v>4048</v>
      </c>
    </row>
    <row r="61" spans="1:15" hidden="1" x14ac:dyDescent="0.25">
      <c r="A61" s="1">
        <v>46235</v>
      </c>
      <c r="B61">
        <v>1193584838</v>
      </c>
      <c r="C61" s="9" t="s">
        <v>2955</v>
      </c>
      <c r="D61" s="9" t="s">
        <v>142</v>
      </c>
      <c r="E61" s="9" t="s">
        <v>4012</v>
      </c>
      <c r="F61" s="9" t="s">
        <v>4040</v>
      </c>
      <c r="G61" s="1">
        <v>46235</v>
      </c>
      <c r="H61" s="1">
        <v>46235</v>
      </c>
      <c r="I61" s="2">
        <v>0.25</v>
      </c>
      <c r="J61" s="2">
        <v>0.66666666666666663</v>
      </c>
      <c r="K61" s="9" t="s">
        <v>4022</v>
      </c>
      <c r="L61" s="1">
        <v>46235</v>
      </c>
      <c r="M61" s="1">
        <v>46245</v>
      </c>
      <c r="N61" s="1"/>
      <c r="O61" s="9" t="s">
        <v>4048</v>
      </c>
    </row>
    <row r="62" spans="1:15" hidden="1" x14ac:dyDescent="0.25">
      <c r="A62" s="1">
        <v>46235</v>
      </c>
      <c r="B62">
        <v>1017241980</v>
      </c>
      <c r="C62" s="9" t="s">
        <v>1389</v>
      </c>
      <c r="D62" s="9" t="s">
        <v>64</v>
      </c>
      <c r="E62" s="9" t="s">
        <v>4012</v>
      </c>
      <c r="F62" s="9" t="s">
        <v>4053</v>
      </c>
      <c r="G62" s="1">
        <v>46235</v>
      </c>
      <c r="H62" s="1">
        <v>46235</v>
      </c>
      <c r="I62" s="2">
        <v>0.25</v>
      </c>
      <c r="J62" s="2">
        <v>0.66666666666666663</v>
      </c>
      <c r="K62" s="9" t="s">
        <v>261</v>
      </c>
      <c r="L62" s="1"/>
      <c r="M62" s="1"/>
      <c r="N62" s="1"/>
      <c r="O62" s="9"/>
    </row>
    <row r="63" spans="1:15" hidden="1" x14ac:dyDescent="0.25">
      <c r="A63" s="1">
        <v>46235</v>
      </c>
      <c r="B63">
        <v>1036962119</v>
      </c>
      <c r="C63" s="9" t="s">
        <v>1951</v>
      </c>
      <c r="D63" s="9" t="s">
        <v>78</v>
      </c>
      <c r="E63" s="9" t="s">
        <v>4010</v>
      </c>
      <c r="F63" s="9" t="s">
        <v>4040</v>
      </c>
      <c r="G63" s="1">
        <v>46235</v>
      </c>
      <c r="H63" s="1">
        <v>46235</v>
      </c>
      <c r="I63" s="2">
        <v>0.25</v>
      </c>
      <c r="J63" s="2">
        <v>0.66666666666666663</v>
      </c>
      <c r="K63" s="9" t="s">
        <v>4022</v>
      </c>
      <c r="L63" s="1">
        <v>46238</v>
      </c>
      <c r="M63" s="1">
        <v>46238</v>
      </c>
      <c r="N63" s="1"/>
      <c r="O63" s="9" t="s">
        <v>4048</v>
      </c>
    </row>
    <row r="64" spans="1:15" hidden="1" x14ac:dyDescent="0.25">
      <c r="A64" s="1">
        <v>46237</v>
      </c>
      <c r="B64">
        <v>1032491944</v>
      </c>
      <c r="C64" s="9" t="s">
        <v>607</v>
      </c>
      <c r="D64" s="9" t="s">
        <v>24</v>
      </c>
      <c r="E64" s="9" t="s">
        <v>4011</v>
      </c>
      <c r="F64" s="9" t="s">
        <v>4040</v>
      </c>
      <c r="G64" s="1">
        <v>46237</v>
      </c>
      <c r="H64" s="1">
        <v>46241</v>
      </c>
      <c r="I64" s="2">
        <v>0.25</v>
      </c>
      <c r="J64" s="2">
        <v>0.58333333333333337</v>
      </c>
      <c r="K64" s="9" t="s">
        <v>4054</v>
      </c>
      <c r="L64" s="1">
        <v>46237</v>
      </c>
      <c r="M64" s="1">
        <v>46237</v>
      </c>
      <c r="N64" s="1"/>
      <c r="O64" s="9" t="s">
        <v>4048</v>
      </c>
    </row>
    <row r="65" spans="1:15" hidden="1" x14ac:dyDescent="0.25">
      <c r="A65" s="1">
        <v>46240</v>
      </c>
      <c r="B65">
        <v>1032491944</v>
      </c>
      <c r="C65" s="9" t="s">
        <v>23</v>
      </c>
      <c r="D65" s="9" t="s">
        <v>24</v>
      </c>
      <c r="E65" s="9" t="s">
        <v>4011</v>
      </c>
      <c r="F65" s="9" t="s">
        <v>25</v>
      </c>
      <c r="G65" s="1">
        <v>46237</v>
      </c>
      <c r="H65" s="1">
        <v>46241</v>
      </c>
      <c r="I65" s="2">
        <v>0.58333333333333337</v>
      </c>
      <c r="J65" s="2">
        <v>0.875</v>
      </c>
      <c r="K65" s="9" t="s">
        <v>70</v>
      </c>
      <c r="L65" s="1"/>
      <c r="M65" s="1"/>
      <c r="N65" s="1"/>
      <c r="O65" s="9"/>
    </row>
    <row r="66" spans="1:15" hidden="1" x14ac:dyDescent="0.25">
      <c r="A66" s="1">
        <v>46237</v>
      </c>
      <c r="B66">
        <v>1037659560</v>
      </c>
      <c r="C66" s="9" t="s">
        <v>166</v>
      </c>
      <c r="D66" s="9" t="s">
        <v>41</v>
      </c>
      <c r="E66" s="9" t="s">
        <v>4011</v>
      </c>
      <c r="F66" s="9" t="s">
        <v>4040</v>
      </c>
      <c r="G66" s="1">
        <v>46235</v>
      </c>
      <c r="H66" s="1">
        <v>46240</v>
      </c>
      <c r="I66" s="2">
        <v>0.58333333333333337</v>
      </c>
      <c r="J66" s="2">
        <v>0.875</v>
      </c>
      <c r="K66" s="9" t="s">
        <v>4055</v>
      </c>
      <c r="L66" s="1">
        <v>46237</v>
      </c>
      <c r="M66" s="1"/>
      <c r="N66" s="1"/>
      <c r="O66" s="9" t="s">
        <v>4048</v>
      </c>
    </row>
    <row r="67" spans="1:15" hidden="1" x14ac:dyDescent="0.25">
      <c r="A67" s="1">
        <v>46240</v>
      </c>
      <c r="B67">
        <v>1037659560</v>
      </c>
      <c r="C67" s="9" t="s">
        <v>166</v>
      </c>
      <c r="D67" s="9" t="s">
        <v>41</v>
      </c>
      <c r="E67" s="9" t="s">
        <v>4011</v>
      </c>
      <c r="F67" s="9" t="s">
        <v>25</v>
      </c>
      <c r="G67" s="1">
        <v>46235</v>
      </c>
      <c r="H67" s="1">
        <v>46240</v>
      </c>
      <c r="I67" s="2">
        <v>0.25</v>
      </c>
      <c r="J67" s="2">
        <v>0.54166666666666663</v>
      </c>
      <c r="K67" s="9" t="s">
        <v>168</v>
      </c>
      <c r="L67" s="1"/>
      <c r="M67" s="1"/>
      <c r="N67" s="1"/>
      <c r="O67" s="9"/>
    </row>
    <row r="68" spans="1:15" hidden="1" x14ac:dyDescent="0.25">
      <c r="A68" s="1">
        <v>46244</v>
      </c>
      <c r="B68">
        <v>1001851670</v>
      </c>
      <c r="C68" s="9" t="s">
        <v>14</v>
      </c>
      <c r="D68" s="9" t="s">
        <v>15</v>
      </c>
      <c r="E68" s="9" t="s">
        <v>4012</v>
      </c>
      <c r="F68" s="9" t="s">
        <v>16</v>
      </c>
      <c r="G68" s="1">
        <v>46237</v>
      </c>
      <c r="H68" s="1">
        <v>46366</v>
      </c>
      <c r="I68" s="2">
        <v>0.25</v>
      </c>
      <c r="J68" s="2">
        <v>0.54166666666666663</v>
      </c>
      <c r="K68" s="9" t="s">
        <v>261</v>
      </c>
      <c r="L68" s="1"/>
      <c r="M68" s="1"/>
      <c r="N68" s="1"/>
      <c r="O68" s="9"/>
    </row>
    <row r="69" spans="1:15" hidden="1" x14ac:dyDescent="0.25">
      <c r="A69" s="1">
        <v>46237</v>
      </c>
      <c r="B69">
        <v>1140851921</v>
      </c>
      <c r="C69" s="9" t="s">
        <v>4023</v>
      </c>
      <c r="D69" s="9" t="s">
        <v>326</v>
      </c>
      <c r="E69" s="9" t="s">
        <v>4005</v>
      </c>
      <c r="F69" s="9" t="s">
        <v>4056</v>
      </c>
      <c r="G69" s="1">
        <v>46237</v>
      </c>
      <c r="H69" s="1">
        <v>46239</v>
      </c>
      <c r="I69" s="2">
        <v>0.58333333333333337</v>
      </c>
      <c r="J69" s="2">
        <v>0.875</v>
      </c>
      <c r="K69" s="9" t="s">
        <v>4057</v>
      </c>
      <c r="L69" s="1"/>
      <c r="M69" s="1"/>
      <c r="N69" s="1"/>
      <c r="O69" s="9"/>
    </row>
    <row r="70" spans="1:15" hidden="1" x14ac:dyDescent="0.25">
      <c r="A70" s="1">
        <v>46239</v>
      </c>
      <c r="B70">
        <v>1140851921</v>
      </c>
      <c r="C70" s="9" t="s">
        <v>4023</v>
      </c>
      <c r="D70" s="9" t="s">
        <v>326</v>
      </c>
      <c r="E70" s="9" t="s">
        <v>4005</v>
      </c>
      <c r="F70" s="9" t="s">
        <v>4058</v>
      </c>
      <c r="G70" s="1">
        <v>46237</v>
      </c>
      <c r="H70" s="1">
        <v>46239</v>
      </c>
      <c r="I70" s="2">
        <v>0.25</v>
      </c>
      <c r="J70" s="2">
        <v>0.58333333333333337</v>
      </c>
      <c r="K70" s="9" t="s">
        <v>1347</v>
      </c>
      <c r="L70" s="1"/>
      <c r="M70" s="1"/>
      <c r="N70" s="1"/>
      <c r="O70" s="9"/>
    </row>
    <row r="71" spans="1:15" hidden="1" x14ac:dyDescent="0.25">
      <c r="A71" s="1">
        <v>46237</v>
      </c>
      <c r="B71">
        <v>1102808787</v>
      </c>
      <c r="C71" s="9" t="s">
        <v>265</v>
      </c>
      <c r="D71" s="9" t="s">
        <v>51</v>
      </c>
      <c r="E71" s="9" t="s">
        <v>4011</v>
      </c>
      <c r="F71" s="9" t="s">
        <v>4040</v>
      </c>
      <c r="G71" s="1">
        <v>46237</v>
      </c>
      <c r="H71" s="1">
        <v>46256</v>
      </c>
      <c r="I71" s="2">
        <v>0.25</v>
      </c>
      <c r="J71" s="2">
        <v>0.54166666666666663</v>
      </c>
      <c r="K71" s="9" t="s">
        <v>4022</v>
      </c>
      <c r="L71" s="1">
        <v>46237</v>
      </c>
      <c r="M71" s="1">
        <v>46235</v>
      </c>
      <c r="N71" s="1"/>
      <c r="O71" s="9" t="s">
        <v>4048</v>
      </c>
    </row>
    <row r="72" spans="1:15" hidden="1" x14ac:dyDescent="0.25">
      <c r="A72" s="1">
        <v>46248</v>
      </c>
      <c r="B72">
        <v>1102808787</v>
      </c>
      <c r="C72" s="9" t="s">
        <v>265</v>
      </c>
      <c r="D72" s="9" t="s">
        <v>51</v>
      </c>
      <c r="E72" s="9" t="s">
        <v>4011</v>
      </c>
      <c r="F72" s="9" t="s">
        <v>25</v>
      </c>
      <c r="G72" s="1">
        <v>46237</v>
      </c>
      <c r="H72" s="1">
        <v>46256</v>
      </c>
      <c r="I72" s="2">
        <v>0.25</v>
      </c>
      <c r="J72" s="2">
        <v>0.58333333333333337</v>
      </c>
      <c r="K72" s="9" t="s">
        <v>261</v>
      </c>
      <c r="L72" s="1"/>
      <c r="M72" s="1"/>
      <c r="N72" s="1"/>
      <c r="O72" s="9"/>
    </row>
    <row r="73" spans="1:15" hidden="1" x14ac:dyDescent="0.25">
      <c r="A73" s="1">
        <v>46238</v>
      </c>
      <c r="B73">
        <v>1152208665</v>
      </c>
      <c r="C73" s="9" t="s">
        <v>1084</v>
      </c>
      <c r="D73" s="9" t="s">
        <v>322</v>
      </c>
      <c r="E73" s="9" t="s">
        <v>4017</v>
      </c>
      <c r="F73" s="9" t="s">
        <v>25</v>
      </c>
      <c r="G73" s="1">
        <v>46237</v>
      </c>
      <c r="H73" s="1">
        <v>46238</v>
      </c>
      <c r="I73" s="2">
        <v>0.25</v>
      </c>
      <c r="J73" s="2">
        <v>0.58333333333333337</v>
      </c>
      <c r="K73" s="9" t="s">
        <v>135</v>
      </c>
      <c r="L73" s="1"/>
      <c r="M73" s="1"/>
      <c r="N73" s="1"/>
      <c r="O73" s="9"/>
    </row>
    <row r="74" spans="1:15" hidden="1" x14ac:dyDescent="0.25">
      <c r="A74" s="1">
        <v>46237</v>
      </c>
      <c r="B74">
        <v>1004841623</v>
      </c>
      <c r="C74" s="9" t="s">
        <v>4060</v>
      </c>
      <c r="D74" s="9" t="s">
        <v>420</v>
      </c>
      <c r="E74" s="9" t="s">
        <v>4010</v>
      </c>
      <c r="F74" s="9" t="s">
        <v>4040</v>
      </c>
      <c r="G74" s="1">
        <v>46237</v>
      </c>
      <c r="H74" s="1">
        <v>46241</v>
      </c>
      <c r="I74" s="2">
        <v>0.25</v>
      </c>
      <c r="J74" s="2">
        <v>0.58333333333333337</v>
      </c>
      <c r="K74" s="9" t="s">
        <v>4022</v>
      </c>
      <c r="L74" s="1">
        <v>46240</v>
      </c>
      <c r="M74" s="1">
        <v>46237</v>
      </c>
      <c r="N74" s="1"/>
      <c r="O74" s="9" t="s">
        <v>4061</v>
      </c>
    </row>
    <row r="75" spans="1:15" hidden="1" x14ac:dyDescent="0.25">
      <c r="A75" s="1">
        <v>46239</v>
      </c>
      <c r="B75">
        <v>1004841623</v>
      </c>
      <c r="C75" s="9" t="s">
        <v>4062</v>
      </c>
      <c r="D75" s="9" t="s">
        <v>420</v>
      </c>
      <c r="E75" s="9" t="s">
        <v>4010</v>
      </c>
      <c r="F75" s="9" t="s">
        <v>4015</v>
      </c>
      <c r="G75" s="1">
        <v>46237</v>
      </c>
      <c r="H75" s="1">
        <v>46241</v>
      </c>
      <c r="I75" s="2">
        <v>0.54166666666666663</v>
      </c>
      <c r="J75" s="2">
        <v>0.875</v>
      </c>
      <c r="K75" s="9" t="s">
        <v>172</v>
      </c>
      <c r="L75" s="1"/>
      <c r="M75" s="1"/>
      <c r="N75" s="1"/>
      <c r="O75" s="9"/>
    </row>
    <row r="76" spans="1:15" hidden="1" x14ac:dyDescent="0.25">
      <c r="A76" s="1">
        <v>46238</v>
      </c>
      <c r="B76">
        <v>1036962119</v>
      </c>
      <c r="C76" s="9" t="s">
        <v>1951</v>
      </c>
      <c r="D76" s="9" t="s">
        <v>78</v>
      </c>
      <c r="E76" s="9" t="s">
        <v>4010</v>
      </c>
      <c r="F76" s="9" t="s">
        <v>4040</v>
      </c>
      <c r="G76" s="1">
        <v>46237</v>
      </c>
      <c r="H76" s="1">
        <v>46235</v>
      </c>
      <c r="I76" s="2">
        <v>0.54166666666666663</v>
      </c>
      <c r="J76" s="2">
        <v>0.875</v>
      </c>
      <c r="K76" s="9" t="s">
        <v>4022</v>
      </c>
      <c r="L76" s="1">
        <v>46238</v>
      </c>
      <c r="M76" s="1">
        <v>46238</v>
      </c>
      <c r="N76" s="1"/>
      <c r="O76" s="9" t="s">
        <v>4048</v>
      </c>
    </row>
    <row r="77" spans="1:15" hidden="1" x14ac:dyDescent="0.25">
      <c r="A77" s="1">
        <v>46239</v>
      </c>
      <c r="B77">
        <v>1143413583</v>
      </c>
      <c r="C77" s="9" t="s">
        <v>54</v>
      </c>
      <c r="D77" s="9" t="s">
        <v>41</v>
      </c>
      <c r="E77" s="9" t="s">
        <v>4011</v>
      </c>
      <c r="F77" s="9" t="s">
        <v>25</v>
      </c>
      <c r="G77" s="1">
        <v>46236</v>
      </c>
      <c r="H77" s="1">
        <v>46239</v>
      </c>
      <c r="I77" s="2">
        <v>0.25</v>
      </c>
      <c r="J77" s="2">
        <v>0.54166666666666663</v>
      </c>
      <c r="K77" s="9" t="s">
        <v>36</v>
      </c>
      <c r="L77" s="1"/>
      <c r="M77" s="1"/>
      <c r="N77" s="1"/>
      <c r="O77" s="9"/>
    </row>
    <row r="78" spans="1:15" hidden="1" x14ac:dyDescent="0.25">
      <c r="A78" s="1">
        <v>46238</v>
      </c>
      <c r="B78">
        <v>1129516553</v>
      </c>
      <c r="C78" s="9" t="s">
        <v>1344</v>
      </c>
      <c r="D78" s="9" t="s">
        <v>142</v>
      </c>
      <c r="E78" s="9" t="s">
        <v>4012</v>
      </c>
      <c r="F78" s="9" t="s">
        <v>4040</v>
      </c>
      <c r="G78" s="1">
        <v>46237</v>
      </c>
      <c r="H78" s="1">
        <v>46238</v>
      </c>
      <c r="I78" s="2">
        <v>0.54166666666666663</v>
      </c>
      <c r="J78" s="2">
        <v>0.83333333333333337</v>
      </c>
      <c r="K78" s="9" t="s">
        <v>4022</v>
      </c>
      <c r="L78" s="1">
        <v>46237</v>
      </c>
      <c r="M78" s="1">
        <v>46236</v>
      </c>
      <c r="N78" s="1"/>
      <c r="O78" s="9" t="s">
        <v>4048</v>
      </c>
    </row>
    <row r="79" spans="1:15" hidden="1" x14ac:dyDescent="0.25">
      <c r="A79" s="1">
        <v>46237</v>
      </c>
      <c r="B79">
        <v>1005624879</v>
      </c>
      <c r="C79" s="9" t="s">
        <v>263</v>
      </c>
      <c r="D79" s="9" t="s">
        <v>132</v>
      </c>
      <c r="E79" s="9" t="s">
        <v>4010</v>
      </c>
      <c r="F79" s="9" t="s">
        <v>4040</v>
      </c>
      <c r="G79" s="1">
        <v>46237</v>
      </c>
      <c r="H79" s="1">
        <v>46240</v>
      </c>
      <c r="I79" s="2">
        <v>0.58333333333333337</v>
      </c>
      <c r="J79" s="2">
        <v>0.875</v>
      </c>
      <c r="K79" s="9" t="s">
        <v>4064</v>
      </c>
      <c r="L79" s="1">
        <v>46237</v>
      </c>
      <c r="M79" s="1">
        <v>46237</v>
      </c>
      <c r="N79" s="1"/>
      <c r="O79" s="9" t="s">
        <v>4048</v>
      </c>
    </row>
    <row r="80" spans="1:15" hidden="1" x14ac:dyDescent="0.25">
      <c r="A80" s="1">
        <v>46240</v>
      </c>
      <c r="B80">
        <v>1005624879</v>
      </c>
      <c r="C80" s="9" t="s">
        <v>251</v>
      </c>
      <c r="D80" s="9" t="s">
        <v>132</v>
      </c>
      <c r="E80" s="9" t="s">
        <v>4010</v>
      </c>
      <c r="F80" s="9" t="s">
        <v>25</v>
      </c>
      <c r="G80" s="1">
        <v>46237</v>
      </c>
      <c r="H80" s="1">
        <v>46240</v>
      </c>
      <c r="I80" s="2">
        <v>0.25</v>
      </c>
      <c r="J80" s="2">
        <v>0.58333333333333337</v>
      </c>
      <c r="K80" s="9" t="s">
        <v>253</v>
      </c>
      <c r="L80" s="1"/>
      <c r="M80" s="1"/>
      <c r="N80" s="1"/>
      <c r="O80" s="9"/>
    </row>
    <row r="81" spans="1:15" hidden="1" x14ac:dyDescent="0.25">
      <c r="A81" s="1">
        <v>46238</v>
      </c>
      <c r="B81" t="s">
        <v>4065</v>
      </c>
      <c r="C81" s="9" t="s">
        <v>2003</v>
      </c>
      <c r="D81" s="9" t="s">
        <v>2002</v>
      </c>
      <c r="E81" s="9" t="s">
        <v>4017</v>
      </c>
      <c r="F81" s="9" t="s">
        <v>25</v>
      </c>
      <c r="G81" s="1">
        <v>46237</v>
      </c>
      <c r="H81" s="1">
        <v>46238</v>
      </c>
      <c r="I81" s="2">
        <v>0.29166666666666669</v>
      </c>
      <c r="J81" s="2">
        <v>0.66666666666666663</v>
      </c>
      <c r="K81" s="9" t="s">
        <v>261</v>
      </c>
      <c r="L81" s="1"/>
      <c r="M81" s="1"/>
      <c r="N81" s="1"/>
      <c r="O81" s="9"/>
    </row>
    <row r="82" spans="1:15" hidden="1" x14ac:dyDescent="0.25">
      <c r="A82" s="1">
        <v>46237</v>
      </c>
      <c r="B82">
        <v>1152436231</v>
      </c>
      <c r="C82" s="9" t="s">
        <v>131</v>
      </c>
      <c r="D82" s="9" t="s">
        <v>132</v>
      </c>
      <c r="E82" s="9" t="s">
        <v>4010</v>
      </c>
      <c r="F82" s="9" t="s">
        <v>4040</v>
      </c>
      <c r="G82" s="1">
        <v>46237</v>
      </c>
      <c r="H82" s="1">
        <v>46240</v>
      </c>
      <c r="I82" s="2">
        <v>0.25</v>
      </c>
      <c r="J82" s="2">
        <v>0.54166666666666663</v>
      </c>
      <c r="K82" s="9" t="s">
        <v>4022</v>
      </c>
      <c r="L82" s="1">
        <v>46237</v>
      </c>
      <c r="M82" s="1">
        <v>46237</v>
      </c>
      <c r="N82" s="1"/>
      <c r="O82" s="9" t="s">
        <v>4048</v>
      </c>
    </row>
    <row r="83" spans="1:15" hidden="1" x14ac:dyDescent="0.25">
      <c r="A83" s="1">
        <v>46242</v>
      </c>
      <c r="B83">
        <v>1152436231</v>
      </c>
      <c r="C83" s="9" t="s">
        <v>131</v>
      </c>
      <c r="D83" s="9" t="s">
        <v>132</v>
      </c>
      <c r="E83" s="9" t="s">
        <v>4010</v>
      </c>
      <c r="F83" s="9" t="s">
        <v>25</v>
      </c>
      <c r="G83" s="1">
        <v>46237</v>
      </c>
      <c r="H83" s="1">
        <v>46240</v>
      </c>
      <c r="I83" s="2"/>
      <c r="J83" s="2"/>
      <c r="K83" s="9" t="s">
        <v>269</v>
      </c>
      <c r="L83" s="1"/>
      <c r="M83" s="1"/>
      <c r="N83" s="1"/>
      <c r="O83" s="9"/>
    </row>
    <row r="84" spans="1:15" hidden="1" x14ac:dyDescent="0.25">
      <c r="A84" s="1">
        <v>46239</v>
      </c>
      <c r="B84">
        <v>1000099010</v>
      </c>
      <c r="C84" s="9" t="s">
        <v>579</v>
      </c>
      <c r="D84" s="9" t="s">
        <v>128</v>
      </c>
      <c r="E84" s="9" t="s">
        <v>4005</v>
      </c>
      <c r="F84" s="9" t="s">
        <v>4040</v>
      </c>
      <c r="G84" s="1">
        <v>46237</v>
      </c>
      <c r="H84" s="1">
        <v>46239</v>
      </c>
      <c r="I84" s="2">
        <v>0.54166666666666663</v>
      </c>
      <c r="J84" s="2">
        <v>0.875</v>
      </c>
      <c r="K84" s="9" t="s">
        <v>4022</v>
      </c>
      <c r="L84" s="1">
        <v>46240</v>
      </c>
      <c r="M84" s="1">
        <v>46240</v>
      </c>
      <c r="N84" s="1"/>
      <c r="O84" s="9" t="s">
        <v>4048</v>
      </c>
    </row>
    <row r="85" spans="1:15" hidden="1" x14ac:dyDescent="0.25">
      <c r="A85" s="1">
        <v>46239</v>
      </c>
      <c r="B85">
        <v>1193459665</v>
      </c>
      <c r="C85" s="9" t="s">
        <v>4066</v>
      </c>
      <c r="D85" s="9" t="s">
        <v>326</v>
      </c>
      <c r="E85" s="9" t="s">
        <v>4005</v>
      </c>
      <c r="F85" s="9" t="s">
        <v>4015</v>
      </c>
      <c r="G85" s="1">
        <v>46237</v>
      </c>
      <c r="H85" s="1">
        <v>46239</v>
      </c>
      <c r="I85" s="2">
        <v>0.58333333333333337</v>
      </c>
      <c r="J85" s="2">
        <v>0.875</v>
      </c>
      <c r="K85" s="9" t="s">
        <v>145</v>
      </c>
      <c r="L85" s="1"/>
      <c r="M85" s="1"/>
      <c r="N85" s="1"/>
      <c r="O85" s="9"/>
    </row>
    <row r="86" spans="1:15" hidden="1" x14ac:dyDescent="0.25">
      <c r="A86" s="1">
        <v>46239</v>
      </c>
      <c r="B86">
        <v>1072648283</v>
      </c>
      <c r="C86" s="9" t="s">
        <v>739</v>
      </c>
      <c r="D86" s="9" t="s">
        <v>211</v>
      </c>
      <c r="E86" s="9" t="s">
        <v>4017</v>
      </c>
      <c r="F86" s="9" t="s">
        <v>25</v>
      </c>
      <c r="G86" s="1">
        <v>46237</v>
      </c>
      <c r="H86" s="1">
        <v>46239</v>
      </c>
      <c r="I86" s="2">
        <v>0.58333333333333337</v>
      </c>
      <c r="J86" s="2">
        <v>0.875</v>
      </c>
      <c r="K86" s="9" t="s">
        <v>487</v>
      </c>
      <c r="L86" s="1"/>
      <c r="M86" s="1"/>
      <c r="N86" s="1"/>
      <c r="O86" s="9"/>
    </row>
    <row r="87" spans="1:15" hidden="1" x14ac:dyDescent="0.25">
      <c r="A87" s="1">
        <v>46238</v>
      </c>
      <c r="B87">
        <v>1124076705</v>
      </c>
      <c r="C87" s="9" t="s">
        <v>730</v>
      </c>
      <c r="D87" s="9" t="s">
        <v>64</v>
      </c>
      <c r="E87" s="9" t="s">
        <v>4012</v>
      </c>
      <c r="F87" s="9" t="s">
        <v>4040</v>
      </c>
      <c r="G87" s="1">
        <v>46237</v>
      </c>
      <c r="H87" s="1">
        <v>46239</v>
      </c>
      <c r="I87" s="2">
        <v>0.58333333333333337</v>
      </c>
      <c r="J87" s="2">
        <v>0.875</v>
      </c>
      <c r="K87" s="9" t="s">
        <v>4022</v>
      </c>
      <c r="L87" s="1">
        <v>46237</v>
      </c>
      <c r="M87" s="1">
        <v>46237</v>
      </c>
      <c r="N87" s="1"/>
      <c r="O87" s="9" t="s">
        <v>4048</v>
      </c>
    </row>
    <row r="88" spans="1:15" hidden="1" x14ac:dyDescent="0.25">
      <c r="A88" s="1">
        <v>46239</v>
      </c>
      <c r="B88">
        <v>1124076705</v>
      </c>
      <c r="C88" s="9" t="s">
        <v>730</v>
      </c>
      <c r="D88" s="9" t="s">
        <v>64</v>
      </c>
      <c r="E88" s="9" t="s">
        <v>4012</v>
      </c>
      <c r="F88" s="9" t="s">
        <v>25</v>
      </c>
      <c r="G88" s="1">
        <v>46237</v>
      </c>
      <c r="H88" s="1">
        <v>46239</v>
      </c>
      <c r="I88" s="2">
        <v>0.58333333333333337</v>
      </c>
      <c r="J88" s="2">
        <v>0.875</v>
      </c>
      <c r="K88" s="9" t="s">
        <v>261</v>
      </c>
      <c r="L88" s="1"/>
      <c r="M88" s="1"/>
      <c r="N88" s="1"/>
      <c r="O88" s="9"/>
    </row>
    <row r="89" spans="1:15" hidden="1" x14ac:dyDescent="0.25">
      <c r="A89" s="1">
        <v>46238</v>
      </c>
      <c r="B89">
        <v>1001996913</v>
      </c>
      <c r="C89" s="9" t="s">
        <v>3132</v>
      </c>
      <c r="D89" s="9" t="s">
        <v>41</v>
      </c>
      <c r="E89" s="9" t="s">
        <v>4011</v>
      </c>
      <c r="F89" s="9" t="s">
        <v>4040</v>
      </c>
      <c r="G89" s="1">
        <v>46237</v>
      </c>
      <c r="H89" s="1">
        <v>46238</v>
      </c>
      <c r="I89" s="2">
        <v>0.25</v>
      </c>
      <c r="J89" s="2">
        <v>0.54166666666666663</v>
      </c>
      <c r="K89" s="9" t="s">
        <v>4022</v>
      </c>
      <c r="L89" s="1">
        <v>46237</v>
      </c>
      <c r="M89" s="1">
        <v>46237</v>
      </c>
      <c r="N89" s="1"/>
      <c r="O89" s="9" t="s">
        <v>4048</v>
      </c>
    </row>
    <row r="90" spans="1:15" hidden="1" x14ac:dyDescent="0.25">
      <c r="A90" s="1">
        <v>46237</v>
      </c>
      <c r="B90">
        <v>1004373476</v>
      </c>
      <c r="C90" s="9" t="s">
        <v>3744</v>
      </c>
      <c r="D90" s="9" t="s">
        <v>34</v>
      </c>
      <c r="E90" s="9" t="s">
        <v>4011</v>
      </c>
      <c r="F90" s="9" t="s">
        <v>4040</v>
      </c>
      <c r="G90" s="1">
        <v>46237</v>
      </c>
      <c r="H90" s="1">
        <v>46238</v>
      </c>
      <c r="I90" s="2">
        <v>0.25</v>
      </c>
      <c r="J90" s="2">
        <v>0.54166666666666663</v>
      </c>
      <c r="K90" s="9" t="s">
        <v>4022</v>
      </c>
      <c r="L90" s="1">
        <v>46237</v>
      </c>
      <c r="M90" s="1">
        <v>46237</v>
      </c>
      <c r="N90" s="1"/>
      <c r="O90" s="9" t="s">
        <v>4048</v>
      </c>
    </row>
    <row r="91" spans="1:15" hidden="1" x14ac:dyDescent="0.25">
      <c r="A91" s="1">
        <v>46238</v>
      </c>
      <c r="B91">
        <v>1004373476</v>
      </c>
      <c r="C91" s="9" t="s">
        <v>3744</v>
      </c>
      <c r="D91" s="9" t="s">
        <v>34</v>
      </c>
      <c r="E91" s="9" t="s">
        <v>4011</v>
      </c>
      <c r="F91" s="9" t="s">
        <v>25</v>
      </c>
      <c r="G91" s="1">
        <v>46237</v>
      </c>
      <c r="H91" s="1">
        <v>46238</v>
      </c>
      <c r="I91" s="2">
        <v>0.58333333333333337</v>
      </c>
      <c r="J91" s="2">
        <v>0.875</v>
      </c>
      <c r="K91" s="9" t="s">
        <v>241</v>
      </c>
      <c r="L91" s="1"/>
      <c r="M91" s="1"/>
      <c r="N91" s="1"/>
      <c r="O91" s="9"/>
    </row>
    <row r="92" spans="1:15" hidden="1" x14ac:dyDescent="0.25">
      <c r="A92" s="1">
        <v>46237</v>
      </c>
      <c r="B92">
        <v>1082984414</v>
      </c>
      <c r="C92" s="9" t="s">
        <v>2908</v>
      </c>
      <c r="D92" s="9" t="s">
        <v>153</v>
      </c>
      <c r="E92" s="9" t="s">
        <v>4010</v>
      </c>
      <c r="F92" s="9" t="s">
        <v>4040</v>
      </c>
      <c r="G92" s="1">
        <v>46237</v>
      </c>
      <c r="H92" s="1">
        <v>46238</v>
      </c>
      <c r="I92" s="2">
        <v>0.54166666666666663</v>
      </c>
      <c r="J92" s="2">
        <v>0.875</v>
      </c>
      <c r="K92" s="9" t="s">
        <v>4067</v>
      </c>
      <c r="L92" s="1">
        <v>46237</v>
      </c>
      <c r="M92" s="1">
        <v>46237</v>
      </c>
      <c r="N92" s="1"/>
      <c r="O92" s="9" t="s">
        <v>4048</v>
      </c>
    </row>
    <row r="93" spans="1:15" hidden="1" x14ac:dyDescent="0.25">
      <c r="A93" s="1">
        <v>46238</v>
      </c>
      <c r="B93">
        <v>1082984414</v>
      </c>
      <c r="C93" s="9" t="s">
        <v>2908</v>
      </c>
      <c r="D93" s="9" t="s">
        <v>153</v>
      </c>
      <c r="E93" s="9" t="s">
        <v>4010</v>
      </c>
      <c r="F93" s="9" t="s">
        <v>25</v>
      </c>
      <c r="G93" s="1">
        <v>46237</v>
      </c>
      <c r="H93" s="1">
        <v>46238</v>
      </c>
      <c r="I93" s="2">
        <v>0.25</v>
      </c>
      <c r="J93" s="2">
        <v>0.54166666666666663</v>
      </c>
      <c r="K93" s="9" t="s">
        <v>261</v>
      </c>
      <c r="L93" s="1"/>
      <c r="M93" s="1"/>
      <c r="N93" s="1"/>
      <c r="O93" s="9"/>
    </row>
    <row r="94" spans="1:15" hidden="1" x14ac:dyDescent="0.25">
      <c r="A94" s="1">
        <v>46237</v>
      </c>
      <c r="B94">
        <v>1085687504</v>
      </c>
      <c r="C94" s="9" t="s">
        <v>204</v>
      </c>
      <c r="D94" s="9" t="s">
        <v>128</v>
      </c>
      <c r="E94" s="9" t="s">
        <v>4005</v>
      </c>
      <c r="F94" s="9" t="s">
        <v>4068</v>
      </c>
      <c r="G94" s="1">
        <v>46237</v>
      </c>
      <c r="H94" s="1">
        <v>46237</v>
      </c>
      <c r="I94" s="2">
        <v>0.54166666666666663</v>
      </c>
      <c r="J94" s="2">
        <v>0.58333333333333337</v>
      </c>
      <c r="K94" s="9" t="s">
        <v>204</v>
      </c>
      <c r="L94" s="1"/>
      <c r="M94" s="1"/>
      <c r="N94" s="1"/>
      <c r="O94" s="9"/>
    </row>
    <row r="95" spans="1:15" hidden="1" x14ac:dyDescent="0.25">
      <c r="A95" s="1">
        <v>46237</v>
      </c>
      <c r="B95">
        <v>1042422897</v>
      </c>
      <c r="C95" s="9" t="s">
        <v>4069</v>
      </c>
      <c r="D95" s="9" t="s">
        <v>326</v>
      </c>
      <c r="E95" s="9" t="s">
        <v>4005</v>
      </c>
      <c r="F95" s="9" t="s">
        <v>4040</v>
      </c>
      <c r="G95" s="1">
        <v>46237</v>
      </c>
      <c r="H95" s="1">
        <v>46238</v>
      </c>
      <c r="I95" s="2">
        <v>0.54166666666666663</v>
      </c>
      <c r="J95" s="2">
        <v>0.875</v>
      </c>
      <c r="K95" s="9" t="s">
        <v>4070</v>
      </c>
      <c r="L95" s="1">
        <v>46240</v>
      </c>
      <c r="M95" s="1">
        <v>46237</v>
      </c>
      <c r="N95" s="1"/>
      <c r="O95" s="9" t="s">
        <v>4048</v>
      </c>
    </row>
    <row r="96" spans="1:15" hidden="1" x14ac:dyDescent="0.25">
      <c r="A96" s="1">
        <v>46238</v>
      </c>
      <c r="B96">
        <v>1042422897</v>
      </c>
      <c r="C96" s="9" t="s">
        <v>4069</v>
      </c>
      <c r="D96" s="9" t="s">
        <v>326</v>
      </c>
      <c r="E96" s="9" t="s">
        <v>4005</v>
      </c>
      <c r="F96" s="9" t="s">
        <v>25</v>
      </c>
      <c r="G96" s="1">
        <v>46237</v>
      </c>
      <c r="H96" s="1">
        <v>46238</v>
      </c>
      <c r="I96" s="2">
        <v>0.25</v>
      </c>
      <c r="J96" s="2">
        <v>0.54166666666666663</v>
      </c>
      <c r="K96" s="9" t="s">
        <v>261</v>
      </c>
      <c r="L96" s="1"/>
      <c r="M96" s="1"/>
      <c r="N96" s="1"/>
      <c r="O96" s="9"/>
    </row>
    <row r="97" spans="1:15" hidden="1" x14ac:dyDescent="0.25">
      <c r="A97" s="1">
        <v>46239</v>
      </c>
      <c r="B97">
        <v>1017267628</v>
      </c>
      <c r="C97" s="9" t="s">
        <v>3242</v>
      </c>
      <c r="D97" s="9" t="s">
        <v>326</v>
      </c>
      <c r="E97" s="9" t="s">
        <v>4005</v>
      </c>
      <c r="F97" s="9" t="s">
        <v>4040</v>
      </c>
      <c r="G97" s="1">
        <v>46237</v>
      </c>
      <c r="H97" s="1">
        <v>46243</v>
      </c>
      <c r="I97" s="2">
        <v>0.25</v>
      </c>
      <c r="J97" s="2">
        <v>0.54166666666666663</v>
      </c>
      <c r="K97" s="9" t="s">
        <v>4022</v>
      </c>
      <c r="L97" s="1">
        <v>46242</v>
      </c>
      <c r="M97" s="1">
        <v>46237</v>
      </c>
      <c r="N97" s="1"/>
      <c r="O97" s="9" t="s">
        <v>4048</v>
      </c>
    </row>
    <row r="98" spans="1:15" hidden="1" x14ac:dyDescent="0.25">
      <c r="A98" s="1">
        <v>46238</v>
      </c>
      <c r="B98">
        <v>1000083810</v>
      </c>
      <c r="C98" s="9" t="s">
        <v>1123</v>
      </c>
      <c r="D98" s="9" t="s">
        <v>142</v>
      </c>
      <c r="E98" s="9" t="s">
        <v>4012</v>
      </c>
      <c r="F98" s="9" t="s">
        <v>4040</v>
      </c>
      <c r="G98" s="1">
        <v>46237</v>
      </c>
      <c r="H98" s="1">
        <v>46239</v>
      </c>
      <c r="I98" s="2">
        <v>0.5</v>
      </c>
      <c r="J98" s="2">
        <v>0.83333333333333337</v>
      </c>
      <c r="K98" s="9" t="s">
        <v>4022</v>
      </c>
      <c r="L98" s="1"/>
      <c r="M98" s="1"/>
      <c r="N98" s="1"/>
      <c r="O98" s="9"/>
    </row>
    <row r="99" spans="1:15" hidden="1" x14ac:dyDescent="0.25">
      <c r="A99" s="1">
        <v>46239</v>
      </c>
      <c r="B99">
        <v>1000083810</v>
      </c>
      <c r="C99" s="9" t="s">
        <v>1123</v>
      </c>
      <c r="D99" s="9" t="s">
        <v>142</v>
      </c>
      <c r="E99" s="9" t="s">
        <v>4012</v>
      </c>
      <c r="F99" s="9" t="s">
        <v>25</v>
      </c>
      <c r="G99" s="1">
        <v>46237</v>
      </c>
      <c r="H99" s="1">
        <v>46239</v>
      </c>
      <c r="I99" s="2">
        <v>0.54166666666666663</v>
      </c>
      <c r="J99" s="2">
        <v>0.83333333333333337</v>
      </c>
      <c r="K99" s="9" t="s">
        <v>261</v>
      </c>
      <c r="L99" s="1"/>
      <c r="M99" s="1"/>
      <c r="N99" s="1"/>
      <c r="O99" s="9"/>
    </row>
    <row r="100" spans="1:15" hidden="1" x14ac:dyDescent="0.25">
      <c r="A100" s="1">
        <v>46237</v>
      </c>
      <c r="B100">
        <v>1020486493</v>
      </c>
      <c r="C100" s="9" t="s">
        <v>4073</v>
      </c>
      <c r="D100" s="9" t="s">
        <v>326</v>
      </c>
      <c r="E100" s="9" t="s">
        <v>4005</v>
      </c>
      <c r="F100" s="9" t="s">
        <v>4056</v>
      </c>
      <c r="G100" s="1">
        <v>46237</v>
      </c>
      <c r="H100" s="1">
        <v>46239</v>
      </c>
      <c r="I100" s="2">
        <v>0.58333333333333337</v>
      </c>
      <c r="J100" s="2">
        <v>0.875</v>
      </c>
      <c r="K100" s="9" t="s">
        <v>66</v>
      </c>
      <c r="L100" s="1"/>
      <c r="M100" s="1"/>
      <c r="N100" s="1"/>
      <c r="O100" s="9"/>
    </row>
    <row r="101" spans="1:15" hidden="1" x14ac:dyDescent="0.25">
      <c r="A101" s="1">
        <v>46239</v>
      </c>
      <c r="B101">
        <v>1020486493</v>
      </c>
      <c r="C101" s="9" t="s">
        <v>4074</v>
      </c>
      <c r="D101" s="9" t="s">
        <v>326</v>
      </c>
      <c r="E101" s="9" t="s">
        <v>4005</v>
      </c>
      <c r="F101" s="9" t="s">
        <v>4058</v>
      </c>
      <c r="G101" s="1">
        <v>46237</v>
      </c>
      <c r="H101" s="1">
        <v>46239</v>
      </c>
      <c r="I101" s="2">
        <v>0.25</v>
      </c>
      <c r="J101" s="2">
        <v>0.54166666666666663</v>
      </c>
      <c r="K101" s="9" t="s">
        <v>199</v>
      </c>
      <c r="L101" s="1"/>
      <c r="M101" s="1"/>
      <c r="N101" s="1"/>
      <c r="O101" s="9"/>
    </row>
    <row r="102" spans="1:15" hidden="1" x14ac:dyDescent="0.25">
      <c r="A102" s="1">
        <v>46238</v>
      </c>
      <c r="B102" t="s">
        <v>264</v>
      </c>
      <c r="C102" s="9" t="s">
        <v>265</v>
      </c>
      <c r="D102" s="9" t="s">
        <v>51</v>
      </c>
      <c r="E102" s="9" t="s">
        <v>4011</v>
      </c>
      <c r="F102" s="9" t="s">
        <v>25</v>
      </c>
      <c r="G102" s="1">
        <v>46237</v>
      </c>
      <c r="H102" s="1">
        <v>46256</v>
      </c>
      <c r="I102" s="2">
        <v>0.25</v>
      </c>
      <c r="J102" s="2">
        <v>0.54166666666666663</v>
      </c>
      <c r="K102" s="9" t="s">
        <v>261</v>
      </c>
      <c r="L102" s="1"/>
      <c r="M102" s="1"/>
      <c r="N102" s="1"/>
      <c r="O102" s="9"/>
    </row>
    <row r="103" spans="1:15" hidden="1" x14ac:dyDescent="0.25">
      <c r="A103" s="1">
        <v>46238</v>
      </c>
      <c r="B103" t="s">
        <v>4075</v>
      </c>
      <c r="C103" s="9" t="s">
        <v>4023</v>
      </c>
      <c r="D103" s="9" t="s">
        <v>326</v>
      </c>
      <c r="E103" s="9" t="s">
        <v>4005</v>
      </c>
      <c r="F103" s="9" t="s">
        <v>4058</v>
      </c>
      <c r="G103" s="1">
        <v>46237</v>
      </c>
      <c r="H103" s="1">
        <v>46239</v>
      </c>
      <c r="I103" s="2">
        <v>0.25</v>
      </c>
      <c r="J103" s="2">
        <v>0.58333333333333337</v>
      </c>
      <c r="K103" s="9" t="s">
        <v>107</v>
      </c>
      <c r="L103" s="1"/>
      <c r="M103" s="1"/>
      <c r="N103" s="1"/>
      <c r="O103" s="9"/>
    </row>
    <row r="104" spans="1:15" hidden="1" x14ac:dyDescent="0.25">
      <c r="A104" s="1">
        <v>46238</v>
      </c>
      <c r="B104" t="s">
        <v>22</v>
      </c>
      <c r="C104" s="9" t="s">
        <v>23</v>
      </c>
      <c r="D104" s="9" t="s">
        <v>24</v>
      </c>
      <c r="E104" s="9" t="s">
        <v>4011</v>
      </c>
      <c r="F104" s="9" t="s">
        <v>25</v>
      </c>
      <c r="G104" s="1">
        <v>46237</v>
      </c>
      <c r="H104" s="1">
        <v>46241</v>
      </c>
      <c r="I104" s="2">
        <v>0.25</v>
      </c>
      <c r="J104" s="2">
        <v>0.54166666666666663</v>
      </c>
      <c r="K104" s="9" t="s">
        <v>18</v>
      </c>
      <c r="L104" s="1"/>
      <c r="M104" s="1"/>
      <c r="N104" s="1"/>
      <c r="O104" s="9"/>
    </row>
    <row r="105" spans="1:15" hidden="1" x14ac:dyDescent="0.25">
      <c r="A105" s="1">
        <v>46238</v>
      </c>
      <c r="B105" t="s">
        <v>4086</v>
      </c>
      <c r="C105" s="9" t="s">
        <v>4021</v>
      </c>
      <c r="D105" s="9" t="s">
        <v>57</v>
      </c>
      <c r="E105" s="9" t="s">
        <v>4010</v>
      </c>
      <c r="F105" s="9" t="s">
        <v>4015</v>
      </c>
      <c r="G105" s="1">
        <v>46237</v>
      </c>
      <c r="H105" s="1">
        <v>46239</v>
      </c>
      <c r="I105" s="2">
        <v>0.54166666666666663</v>
      </c>
      <c r="J105" s="2">
        <v>0.83333333333333337</v>
      </c>
      <c r="K105" s="9" t="s">
        <v>207</v>
      </c>
      <c r="L105" s="1"/>
      <c r="M105" s="1"/>
      <c r="N105" s="1"/>
      <c r="O105" s="9"/>
    </row>
    <row r="106" spans="1:15" hidden="1" x14ac:dyDescent="0.25">
      <c r="A106" s="1">
        <v>46238</v>
      </c>
      <c r="B106" t="s">
        <v>109</v>
      </c>
      <c r="C106" s="9" t="s">
        <v>110</v>
      </c>
      <c r="D106" s="9" t="s">
        <v>15</v>
      </c>
      <c r="E106" s="9" t="s">
        <v>4012</v>
      </c>
      <c r="F106" s="9" t="s">
        <v>25</v>
      </c>
      <c r="G106" s="1">
        <v>46229</v>
      </c>
      <c r="H106" s="1">
        <v>46243</v>
      </c>
      <c r="I106" s="2">
        <v>0.25</v>
      </c>
      <c r="J106" s="2">
        <v>0.58333333333333337</v>
      </c>
      <c r="K106" s="9" t="s">
        <v>220</v>
      </c>
      <c r="L106" s="1"/>
      <c r="M106" s="1"/>
      <c r="N106" s="1"/>
      <c r="O106" s="9"/>
    </row>
    <row r="107" spans="1:15" hidden="1" x14ac:dyDescent="0.25">
      <c r="A107" s="1">
        <v>46238</v>
      </c>
      <c r="B107" t="s">
        <v>4087</v>
      </c>
      <c r="C107" s="9" t="s">
        <v>4014</v>
      </c>
      <c r="D107" s="9" t="s">
        <v>410</v>
      </c>
      <c r="E107" s="9" t="s">
        <v>4005</v>
      </c>
      <c r="F107" s="9" t="s">
        <v>4015</v>
      </c>
      <c r="G107" s="1">
        <v>46235</v>
      </c>
      <c r="H107" s="1">
        <v>46238</v>
      </c>
      <c r="I107" s="2">
        <v>0.25</v>
      </c>
      <c r="J107" s="2">
        <v>0.54166666666666663</v>
      </c>
      <c r="K107" s="9" t="s">
        <v>226</v>
      </c>
      <c r="L107" s="1"/>
      <c r="M107" s="1"/>
      <c r="N107" s="1"/>
      <c r="O107" s="9"/>
    </row>
    <row r="108" spans="1:15" hidden="1" x14ac:dyDescent="0.25">
      <c r="A108" s="1">
        <v>46238</v>
      </c>
      <c r="B108" t="s">
        <v>234</v>
      </c>
      <c r="C108" s="9" t="s">
        <v>235</v>
      </c>
      <c r="D108" s="9" t="s">
        <v>211</v>
      </c>
      <c r="E108" s="9" t="s">
        <v>4017</v>
      </c>
      <c r="F108" s="9" t="s">
        <v>90</v>
      </c>
      <c r="G108" s="1">
        <v>46233</v>
      </c>
      <c r="H108" s="1">
        <v>46238</v>
      </c>
      <c r="I108" s="2">
        <v>0.5</v>
      </c>
      <c r="J108" s="2">
        <v>0.83333333333333337</v>
      </c>
      <c r="K108" s="9" t="s">
        <v>231</v>
      </c>
      <c r="L108" s="1"/>
      <c r="M108" s="1"/>
      <c r="N108" s="1"/>
      <c r="O108" s="9"/>
    </row>
    <row r="109" spans="1:15" hidden="1" x14ac:dyDescent="0.25">
      <c r="A109" s="1">
        <v>46238</v>
      </c>
      <c r="B109" t="s">
        <v>4088</v>
      </c>
      <c r="C109" s="9" t="s">
        <v>4018</v>
      </c>
      <c r="D109" s="9" t="s">
        <v>410</v>
      </c>
      <c r="E109" s="9" t="s">
        <v>4005</v>
      </c>
      <c r="F109" s="9" t="s">
        <v>4015</v>
      </c>
      <c r="G109" s="1">
        <v>46235</v>
      </c>
      <c r="H109" s="1">
        <v>46238</v>
      </c>
      <c r="I109" s="2">
        <v>0.25</v>
      </c>
      <c r="J109" s="2">
        <v>0.58333333333333337</v>
      </c>
      <c r="K109" s="9" t="s">
        <v>199</v>
      </c>
      <c r="L109" s="1"/>
      <c r="M109" s="1"/>
      <c r="N109" s="1"/>
      <c r="O109" s="9"/>
    </row>
    <row r="110" spans="1:15" hidden="1" x14ac:dyDescent="0.25">
      <c r="A110" s="1">
        <v>46238</v>
      </c>
      <c r="B110" t="s">
        <v>2312</v>
      </c>
      <c r="C110" s="9" t="s">
        <v>4038</v>
      </c>
      <c r="D110" s="9" t="s">
        <v>128</v>
      </c>
      <c r="E110" s="9" t="s">
        <v>4005</v>
      </c>
      <c r="F110" s="9" t="s">
        <v>4037</v>
      </c>
      <c r="G110" s="1">
        <v>46230</v>
      </c>
      <c r="H110" s="1"/>
      <c r="I110" s="2">
        <v>0.25</v>
      </c>
      <c r="J110" s="2">
        <v>0.54166666666666663</v>
      </c>
      <c r="K110" s="9" t="s">
        <v>204</v>
      </c>
      <c r="L110" s="1"/>
      <c r="M110" s="1"/>
      <c r="N110" s="1"/>
      <c r="O110" s="9"/>
    </row>
    <row r="111" spans="1:15" hidden="1" x14ac:dyDescent="0.25">
      <c r="A111" s="1">
        <v>46238</v>
      </c>
      <c r="B111" t="s">
        <v>3900</v>
      </c>
      <c r="C111" s="9" t="s">
        <v>3901</v>
      </c>
      <c r="D111" s="9" t="s">
        <v>29</v>
      </c>
      <c r="E111" s="9" t="s">
        <v>4005</v>
      </c>
      <c r="F111" s="9" t="s">
        <v>4091</v>
      </c>
      <c r="G111" s="1">
        <v>46238</v>
      </c>
      <c r="H111" s="1">
        <v>46240</v>
      </c>
      <c r="I111" s="2">
        <v>0.54166666666666663</v>
      </c>
      <c r="J111" s="2">
        <v>0.875</v>
      </c>
      <c r="K111" s="9" t="s">
        <v>1347</v>
      </c>
      <c r="L111" s="1"/>
      <c r="M111" s="1"/>
      <c r="N111" s="1"/>
      <c r="O111" s="9"/>
    </row>
    <row r="112" spans="1:15" hidden="1" x14ac:dyDescent="0.25">
      <c r="A112" s="1">
        <v>46238</v>
      </c>
      <c r="B112" t="s">
        <v>165</v>
      </c>
      <c r="C112" s="9" t="s">
        <v>166</v>
      </c>
      <c r="D112" s="9" t="s">
        <v>41</v>
      </c>
      <c r="E112" s="9" t="s">
        <v>4011</v>
      </c>
      <c r="F112" s="9" t="s">
        <v>25</v>
      </c>
      <c r="G112" s="1">
        <v>46235</v>
      </c>
      <c r="H112" s="1">
        <v>46240</v>
      </c>
      <c r="I112" s="2">
        <v>0.58333333333333337</v>
      </c>
      <c r="J112" s="2">
        <v>0.875</v>
      </c>
      <c r="K112" s="9" t="s">
        <v>245</v>
      </c>
      <c r="L112" s="1"/>
      <c r="M112" s="1"/>
      <c r="N112" s="1"/>
      <c r="O112" s="9"/>
    </row>
    <row r="113" spans="1:15" hidden="1" x14ac:dyDescent="0.25">
      <c r="A113" s="1">
        <v>46238</v>
      </c>
      <c r="B113" t="s">
        <v>1089</v>
      </c>
      <c r="C113" s="9" t="s">
        <v>4025</v>
      </c>
      <c r="D113" s="9" t="s">
        <v>153</v>
      </c>
      <c r="E113" s="9" t="s">
        <v>4010</v>
      </c>
      <c r="F113" s="9" t="s">
        <v>4024</v>
      </c>
      <c r="G113" s="1">
        <v>46232</v>
      </c>
      <c r="H113" s="1">
        <v>46239</v>
      </c>
      <c r="I113" s="2">
        <v>0.58333333333333337</v>
      </c>
      <c r="J113" s="2">
        <v>0.875</v>
      </c>
      <c r="K113" s="9" t="s">
        <v>59</v>
      </c>
      <c r="L113" s="1"/>
      <c r="M113" s="1"/>
      <c r="N113" s="1"/>
      <c r="O113" s="9"/>
    </row>
    <row r="114" spans="1:15" hidden="1" x14ac:dyDescent="0.25">
      <c r="A114" s="1">
        <v>46238</v>
      </c>
      <c r="B114" t="s">
        <v>62</v>
      </c>
      <c r="C114" s="9" t="s">
        <v>105</v>
      </c>
      <c r="D114" s="9" t="s">
        <v>64</v>
      </c>
      <c r="E114" s="9" t="s">
        <v>4012</v>
      </c>
      <c r="F114" s="9" t="s">
        <v>25</v>
      </c>
      <c r="G114" s="1">
        <v>46229</v>
      </c>
      <c r="H114" s="1">
        <v>46258</v>
      </c>
      <c r="I114" s="2">
        <v>0.25</v>
      </c>
      <c r="J114" s="2">
        <v>0.58333333333333337</v>
      </c>
      <c r="K114" s="9" t="s">
        <v>148</v>
      </c>
      <c r="L114" s="1"/>
      <c r="M114" s="1"/>
      <c r="N114" s="1"/>
      <c r="O114" s="9"/>
    </row>
    <row r="115" spans="1:15" hidden="1" x14ac:dyDescent="0.25">
      <c r="A115" s="1">
        <v>46238</v>
      </c>
      <c r="B115" t="s">
        <v>140</v>
      </c>
      <c r="C115" s="9" t="s">
        <v>141</v>
      </c>
      <c r="D115" s="9" t="s">
        <v>142</v>
      </c>
      <c r="E115" s="9" t="s">
        <v>4012</v>
      </c>
      <c r="F115" s="9" t="s">
        <v>25</v>
      </c>
      <c r="G115" s="1">
        <v>46227</v>
      </c>
      <c r="H115" s="1">
        <v>46246</v>
      </c>
      <c r="I115" s="2">
        <v>0.25</v>
      </c>
      <c r="J115" s="2">
        <v>0.58333333333333337</v>
      </c>
      <c r="K115" s="9" t="s">
        <v>138</v>
      </c>
      <c r="L115" s="1"/>
      <c r="M115" s="1"/>
      <c r="N115" s="1"/>
      <c r="O115" s="9"/>
    </row>
    <row r="116" spans="1:15" hidden="1" x14ac:dyDescent="0.25">
      <c r="A116" s="1">
        <v>46238</v>
      </c>
      <c r="B116" t="s">
        <v>174</v>
      </c>
      <c r="C116" s="9" t="s">
        <v>175</v>
      </c>
      <c r="D116" s="9" t="s">
        <v>64</v>
      </c>
      <c r="E116" s="9" t="s">
        <v>4012</v>
      </c>
      <c r="F116" s="9" t="s">
        <v>25</v>
      </c>
      <c r="G116" s="1">
        <v>46225</v>
      </c>
      <c r="H116" s="1">
        <v>46239</v>
      </c>
      <c r="I116" s="2">
        <v>0.54166666666666663</v>
      </c>
      <c r="J116" s="2">
        <v>0.875</v>
      </c>
      <c r="K116" s="9" t="s">
        <v>172</v>
      </c>
      <c r="L116" s="1"/>
      <c r="M116" s="1"/>
      <c r="N116" s="1"/>
      <c r="O116" s="9"/>
    </row>
    <row r="117" spans="1:15" hidden="1" x14ac:dyDescent="0.25">
      <c r="A117" s="1">
        <v>46238</v>
      </c>
      <c r="B117" t="s">
        <v>102</v>
      </c>
      <c r="C117" s="9" t="s">
        <v>103</v>
      </c>
      <c r="D117" s="9" t="s">
        <v>64</v>
      </c>
      <c r="E117" s="9" t="s">
        <v>4012</v>
      </c>
      <c r="F117" s="9" t="s">
        <v>25</v>
      </c>
      <c r="G117" s="1">
        <v>46226</v>
      </c>
      <c r="H117" s="1">
        <v>46246</v>
      </c>
      <c r="I117" s="2">
        <v>0.58333333333333337</v>
      </c>
      <c r="J117" s="2">
        <v>0.875</v>
      </c>
      <c r="K117" s="9" t="s">
        <v>99</v>
      </c>
      <c r="L117" s="1"/>
      <c r="M117" s="1"/>
      <c r="N117" s="1"/>
      <c r="O117" s="9"/>
    </row>
    <row r="118" spans="1:15" hidden="1" x14ac:dyDescent="0.25">
      <c r="A118" s="1">
        <v>46238</v>
      </c>
      <c r="B118" t="s">
        <v>39</v>
      </c>
      <c r="C118" s="9" t="s">
        <v>40</v>
      </c>
      <c r="D118" s="9" t="s">
        <v>41</v>
      </c>
      <c r="E118" s="9" t="s">
        <v>4011</v>
      </c>
      <c r="F118" s="9" t="s">
        <v>25</v>
      </c>
      <c r="G118" s="1">
        <v>46226</v>
      </c>
      <c r="H118" s="1">
        <v>46255</v>
      </c>
      <c r="I118" s="2">
        <v>0.25</v>
      </c>
      <c r="J118" s="2">
        <v>0.54166666666666663</v>
      </c>
      <c r="K118" s="9" t="s">
        <v>36</v>
      </c>
      <c r="L118" s="1"/>
      <c r="M118" s="1"/>
      <c r="N118" s="1"/>
      <c r="O118" s="9"/>
    </row>
    <row r="119" spans="1:15" hidden="1" x14ac:dyDescent="0.25">
      <c r="A119" s="1">
        <v>46238</v>
      </c>
      <c r="B119" t="s">
        <v>209</v>
      </c>
      <c r="C119" s="9" t="s">
        <v>210</v>
      </c>
      <c r="D119" s="9" t="s">
        <v>211</v>
      </c>
      <c r="E119" s="9" t="s">
        <v>4017</v>
      </c>
      <c r="F119" s="9" t="s">
        <v>25</v>
      </c>
      <c r="G119" s="1">
        <v>46224</v>
      </c>
      <c r="H119" s="1">
        <v>46238</v>
      </c>
      <c r="I119" s="2">
        <v>0.25</v>
      </c>
      <c r="J119" s="2">
        <v>0.5</v>
      </c>
      <c r="K119" s="9" t="s">
        <v>261</v>
      </c>
      <c r="L119" s="1"/>
      <c r="M119" s="1"/>
      <c r="N119" s="1"/>
      <c r="O119" s="9"/>
    </row>
    <row r="120" spans="1:15" hidden="1" x14ac:dyDescent="0.25">
      <c r="A120" s="1">
        <v>46238</v>
      </c>
      <c r="B120" t="s">
        <v>158</v>
      </c>
      <c r="C120" s="9" t="s">
        <v>159</v>
      </c>
      <c r="D120" s="9" t="s">
        <v>160</v>
      </c>
      <c r="E120" s="9" t="s">
        <v>4011</v>
      </c>
      <c r="F120" s="9" t="s">
        <v>25</v>
      </c>
      <c r="G120" s="1">
        <v>46219</v>
      </c>
      <c r="H120" s="1">
        <v>46248</v>
      </c>
      <c r="I120" s="2">
        <v>0.25</v>
      </c>
      <c r="J120" s="2">
        <v>0.58333333333333337</v>
      </c>
      <c r="K120" s="9" t="s">
        <v>192</v>
      </c>
      <c r="L120" s="1"/>
      <c r="M120" s="1"/>
      <c r="N120" s="1"/>
      <c r="O120" s="9"/>
    </row>
    <row r="121" spans="1:15" hidden="1" x14ac:dyDescent="0.25">
      <c r="A121" s="1">
        <v>46238</v>
      </c>
      <c r="B121" t="s">
        <v>119</v>
      </c>
      <c r="C121" s="9" t="s">
        <v>120</v>
      </c>
      <c r="D121" s="9" t="s">
        <v>121</v>
      </c>
      <c r="E121" s="9" t="s">
        <v>4010</v>
      </c>
      <c r="F121" s="9" t="s">
        <v>25</v>
      </c>
      <c r="G121" s="1">
        <v>46224</v>
      </c>
      <c r="H121" s="1">
        <v>46238</v>
      </c>
      <c r="I121" s="2">
        <v>0.25</v>
      </c>
      <c r="J121" s="2">
        <v>0.54166666666666663</v>
      </c>
      <c r="K121" s="9" t="s">
        <v>217</v>
      </c>
      <c r="L121" s="1"/>
      <c r="M121" s="1"/>
      <c r="N121" s="1"/>
      <c r="O121" s="9"/>
    </row>
    <row r="122" spans="1:15" hidden="1" x14ac:dyDescent="0.25">
      <c r="A122" s="1">
        <v>46238</v>
      </c>
      <c r="B122" t="s">
        <v>49</v>
      </c>
      <c r="C122" s="9" t="s">
        <v>50</v>
      </c>
      <c r="D122" s="9" t="s">
        <v>51</v>
      </c>
      <c r="E122" s="9" t="s">
        <v>4011</v>
      </c>
      <c r="F122" s="9" t="s">
        <v>16</v>
      </c>
      <c r="G122" s="1">
        <v>46217</v>
      </c>
      <c r="H122" s="1">
        <v>46342</v>
      </c>
      <c r="I122" s="2">
        <v>0.25</v>
      </c>
      <c r="J122" s="2">
        <v>0.58333333333333337</v>
      </c>
      <c r="K122" s="9" t="s">
        <v>70</v>
      </c>
      <c r="L122" s="1"/>
      <c r="M122" s="1"/>
      <c r="N122" s="1"/>
      <c r="O122" s="9"/>
    </row>
    <row r="123" spans="1:15" hidden="1" x14ac:dyDescent="0.25">
      <c r="A123" s="1">
        <v>46238</v>
      </c>
      <c r="B123" t="s">
        <v>4092</v>
      </c>
      <c r="C123" s="9" t="s">
        <v>4034</v>
      </c>
      <c r="D123" s="9" t="s">
        <v>160</v>
      </c>
      <c r="E123" s="9" t="s">
        <v>4011</v>
      </c>
      <c r="F123" s="9" t="s">
        <v>4015</v>
      </c>
      <c r="G123" s="1">
        <v>46195</v>
      </c>
      <c r="H123" s="1"/>
      <c r="I123" s="2">
        <v>0.25</v>
      </c>
      <c r="J123" s="2">
        <v>0.58333333333333337</v>
      </c>
      <c r="K123" s="9" t="s">
        <v>261</v>
      </c>
      <c r="L123" s="1"/>
      <c r="M123" s="1"/>
      <c r="N123" s="1"/>
      <c r="O123" s="9"/>
    </row>
    <row r="124" spans="1:15" hidden="1" x14ac:dyDescent="0.25">
      <c r="A124" s="1">
        <v>46240</v>
      </c>
      <c r="B124">
        <v>1152699151</v>
      </c>
      <c r="C124" s="9" t="s">
        <v>944</v>
      </c>
      <c r="D124" s="9" t="s">
        <v>4093</v>
      </c>
      <c r="E124" s="9" t="s">
        <v>4011</v>
      </c>
      <c r="F124" s="9" t="s">
        <v>4091</v>
      </c>
      <c r="G124" s="1">
        <v>46238</v>
      </c>
      <c r="H124" s="1">
        <v>46240</v>
      </c>
      <c r="I124" s="2">
        <v>0.33333333333333331</v>
      </c>
      <c r="J124" s="2">
        <v>0.625</v>
      </c>
      <c r="K124" s="9" t="s">
        <v>3622</v>
      </c>
      <c r="L124" s="1"/>
      <c r="M124" s="1"/>
      <c r="N124" s="1"/>
      <c r="O124" s="9"/>
    </row>
    <row r="125" spans="1:15" hidden="1" x14ac:dyDescent="0.25">
      <c r="A125" s="1">
        <v>46239</v>
      </c>
      <c r="B125">
        <v>1152687492</v>
      </c>
      <c r="C125" s="9" t="s">
        <v>4095</v>
      </c>
      <c r="D125" s="9" t="s">
        <v>336</v>
      </c>
      <c r="E125" s="9" t="s">
        <v>4017</v>
      </c>
      <c r="F125" s="9" t="s">
        <v>4015</v>
      </c>
      <c r="G125" s="1">
        <v>46238</v>
      </c>
      <c r="H125" s="1">
        <v>46240</v>
      </c>
      <c r="I125" s="2">
        <v>0.45833333333333331</v>
      </c>
      <c r="J125" s="2">
        <v>0.79166666666666663</v>
      </c>
      <c r="K125" s="9" t="s">
        <v>231</v>
      </c>
      <c r="L125" s="1"/>
      <c r="M125" s="1"/>
      <c r="N125" s="1"/>
      <c r="O125" s="9"/>
    </row>
    <row r="126" spans="1:15" hidden="1" x14ac:dyDescent="0.25">
      <c r="A126" s="1">
        <v>46239</v>
      </c>
      <c r="B126">
        <v>1117545007</v>
      </c>
      <c r="C126" s="9" t="s">
        <v>2325</v>
      </c>
      <c r="D126" s="9" t="s">
        <v>128</v>
      </c>
      <c r="E126" s="9" t="s">
        <v>4005</v>
      </c>
      <c r="F126" s="9" t="s">
        <v>25</v>
      </c>
      <c r="G126" s="1">
        <v>46237</v>
      </c>
      <c r="H126" s="1">
        <v>46239</v>
      </c>
      <c r="I126" s="2">
        <v>0.54166666666666663</v>
      </c>
      <c r="J126" s="2">
        <v>0.875</v>
      </c>
      <c r="K126" s="9" t="s">
        <v>18</v>
      </c>
      <c r="L126" s="1"/>
      <c r="M126" s="1"/>
      <c r="N126" s="1"/>
      <c r="O126" s="9"/>
    </row>
    <row r="127" spans="1:15" hidden="1" x14ac:dyDescent="0.25">
      <c r="A127" s="1">
        <v>46238</v>
      </c>
      <c r="B127">
        <v>1214743121</v>
      </c>
      <c r="C127" s="9" t="s">
        <v>4096</v>
      </c>
      <c r="D127" s="9" t="s">
        <v>343</v>
      </c>
      <c r="E127" s="9" t="s">
        <v>4012</v>
      </c>
      <c r="F127" s="9" t="s">
        <v>4040</v>
      </c>
      <c r="G127" s="1">
        <v>46238</v>
      </c>
      <c r="H127" s="1"/>
      <c r="I127" s="2">
        <v>0.25</v>
      </c>
      <c r="J127" s="2">
        <v>0.54166666666666663</v>
      </c>
      <c r="K127" s="9" t="s">
        <v>4022</v>
      </c>
      <c r="L127" s="1"/>
      <c r="M127" s="1"/>
      <c r="N127" s="1"/>
      <c r="O127" s="9"/>
    </row>
    <row r="128" spans="1:15" hidden="1" x14ac:dyDescent="0.25">
      <c r="A128" s="1">
        <v>46238</v>
      </c>
      <c r="B128">
        <v>1005660092</v>
      </c>
      <c r="C128" s="9" t="s">
        <v>2262</v>
      </c>
      <c r="D128" s="9" t="s">
        <v>4027</v>
      </c>
      <c r="E128" s="9" t="s">
        <v>4011</v>
      </c>
      <c r="F128" s="9" t="s">
        <v>25</v>
      </c>
      <c r="G128" s="1">
        <v>46238</v>
      </c>
      <c r="H128" s="1">
        <v>46238</v>
      </c>
      <c r="I128" s="2">
        <v>0.5</v>
      </c>
      <c r="J128" s="2">
        <v>0.79166666666666663</v>
      </c>
      <c r="K128" s="9" t="s">
        <v>4022</v>
      </c>
      <c r="L128" s="1"/>
      <c r="M128" s="1"/>
      <c r="N128" s="1"/>
      <c r="O128" s="9"/>
    </row>
    <row r="129" spans="1:15" hidden="1" x14ac:dyDescent="0.25">
      <c r="A129" s="1">
        <v>46239</v>
      </c>
      <c r="B129">
        <v>88030132</v>
      </c>
      <c r="C129" s="9" t="s">
        <v>1903</v>
      </c>
      <c r="D129" s="9" t="s">
        <v>142</v>
      </c>
      <c r="E129" s="9" t="s">
        <v>4012</v>
      </c>
      <c r="F129" s="9" t="s">
        <v>4040</v>
      </c>
      <c r="G129" s="1">
        <v>46238</v>
      </c>
      <c r="H129" s="1"/>
      <c r="I129" s="2">
        <v>0.25</v>
      </c>
      <c r="J129" s="2">
        <v>0.54166666666666663</v>
      </c>
      <c r="K129" s="9" t="s">
        <v>4022</v>
      </c>
      <c r="L129" s="1"/>
      <c r="M129" s="1"/>
      <c r="N129" s="1"/>
      <c r="O129" s="9"/>
    </row>
    <row r="130" spans="1:15" hidden="1" x14ac:dyDescent="0.25">
      <c r="A130" s="1">
        <v>46239</v>
      </c>
      <c r="B130">
        <v>1067963513</v>
      </c>
      <c r="C130" s="9" t="s">
        <v>28</v>
      </c>
      <c r="D130" s="9" t="s">
        <v>29</v>
      </c>
      <c r="E130" s="9" t="s">
        <v>4005</v>
      </c>
      <c r="F130" s="9" t="s">
        <v>4040</v>
      </c>
      <c r="G130" s="1">
        <v>46238</v>
      </c>
      <c r="H130" s="1">
        <v>46238</v>
      </c>
      <c r="I130" s="2">
        <v>0.54166666666666663</v>
      </c>
      <c r="J130" s="2">
        <v>0.875</v>
      </c>
      <c r="K130" s="9" t="s">
        <v>4022</v>
      </c>
      <c r="L130" s="1"/>
      <c r="M130" s="1"/>
      <c r="N130" s="1"/>
      <c r="O130" s="9"/>
    </row>
    <row r="131" spans="1:15" hidden="1" x14ac:dyDescent="0.25">
      <c r="A131" s="1">
        <v>46239</v>
      </c>
      <c r="B131">
        <v>1000412686</v>
      </c>
      <c r="C131" s="9" t="s">
        <v>2827</v>
      </c>
      <c r="D131" s="9" t="s">
        <v>57</v>
      </c>
      <c r="E131" s="9" t="s">
        <v>4010</v>
      </c>
      <c r="F131" s="9" t="s">
        <v>4040</v>
      </c>
      <c r="G131" s="1">
        <v>46238</v>
      </c>
      <c r="H131" s="1">
        <v>46238</v>
      </c>
      <c r="I131" s="2">
        <v>0.25</v>
      </c>
      <c r="J131" s="2">
        <v>0.54166666666666663</v>
      </c>
      <c r="K131" s="9" t="s">
        <v>4022</v>
      </c>
      <c r="L131" s="1"/>
      <c r="M131" s="1"/>
      <c r="N131" s="1"/>
      <c r="O131" s="9"/>
    </row>
    <row r="132" spans="1:15" hidden="1" x14ac:dyDescent="0.25">
      <c r="A132" s="1">
        <v>46240</v>
      </c>
      <c r="B132">
        <v>1193104616</v>
      </c>
      <c r="C132" s="9" t="s">
        <v>1954</v>
      </c>
      <c r="D132" s="9" t="s">
        <v>64</v>
      </c>
      <c r="E132" s="9" t="s">
        <v>4012</v>
      </c>
      <c r="F132" s="9" t="s">
        <v>25</v>
      </c>
      <c r="G132" s="1">
        <v>46238</v>
      </c>
      <c r="H132" s="1">
        <v>46240</v>
      </c>
      <c r="I132" s="2">
        <v>0.58333333333333337</v>
      </c>
      <c r="J132" s="2">
        <v>0.875</v>
      </c>
      <c r="K132" s="9" t="s">
        <v>261</v>
      </c>
      <c r="L132" s="1"/>
      <c r="M132" s="1"/>
      <c r="N132" s="1"/>
      <c r="O132" s="9"/>
    </row>
    <row r="133" spans="1:15" hidden="1" x14ac:dyDescent="0.25">
      <c r="A133" s="1">
        <v>46239</v>
      </c>
      <c r="B133">
        <v>1001369228</v>
      </c>
      <c r="C133" s="9" t="s">
        <v>92</v>
      </c>
      <c r="D133" s="9" t="s">
        <v>4045</v>
      </c>
      <c r="E133" s="9" t="s">
        <v>4017</v>
      </c>
      <c r="F133" s="9" t="s">
        <v>25</v>
      </c>
      <c r="G133" s="1">
        <v>46238</v>
      </c>
      <c r="H133" s="1">
        <v>46239</v>
      </c>
      <c r="I133" s="2">
        <v>0.25</v>
      </c>
      <c r="J133" s="2">
        <v>0.58333333333333337</v>
      </c>
      <c r="K133" s="9" t="s">
        <v>4099</v>
      </c>
      <c r="L133" s="1"/>
      <c r="M133" s="1"/>
      <c r="N133" s="1"/>
      <c r="O133" s="9"/>
    </row>
    <row r="134" spans="1:15" hidden="1" x14ac:dyDescent="0.25">
      <c r="A134" s="1">
        <v>46245</v>
      </c>
      <c r="B134">
        <v>1005424850</v>
      </c>
      <c r="C134" s="9" t="s">
        <v>56</v>
      </c>
      <c r="D134" s="9" t="s">
        <v>57</v>
      </c>
      <c r="E134" s="9" t="s">
        <v>4010</v>
      </c>
      <c r="F134" s="9" t="s">
        <v>25</v>
      </c>
      <c r="G134" s="1">
        <v>46238</v>
      </c>
      <c r="H134" s="1">
        <v>46245</v>
      </c>
      <c r="I134" s="2">
        <v>0.25</v>
      </c>
      <c r="J134" s="2">
        <v>0.54166666666666663</v>
      </c>
      <c r="K134" s="9" t="s">
        <v>189</v>
      </c>
      <c r="L134" s="1"/>
      <c r="M134" s="1"/>
      <c r="N134" s="1"/>
      <c r="O134" s="9"/>
    </row>
    <row r="135" spans="1:15" hidden="1" x14ac:dyDescent="0.25">
      <c r="A135" s="1">
        <v>46238</v>
      </c>
      <c r="B135">
        <v>1140899272</v>
      </c>
      <c r="C135" s="9" t="s">
        <v>511</v>
      </c>
      <c r="D135" s="9" t="s">
        <v>41</v>
      </c>
      <c r="E135" s="9" t="s">
        <v>4011</v>
      </c>
      <c r="F135" s="9" t="s">
        <v>4040</v>
      </c>
      <c r="G135" s="1">
        <v>46238</v>
      </c>
      <c r="H135" s="1">
        <v>46240</v>
      </c>
      <c r="I135" s="2"/>
      <c r="J135" s="2"/>
      <c r="K135" s="9" t="s">
        <v>4050</v>
      </c>
      <c r="L135" s="1"/>
      <c r="M135" s="1"/>
      <c r="N135" s="1"/>
      <c r="O135" s="9"/>
    </row>
    <row r="136" spans="1:15" hidden="1" x14ac:dyDescent="0.25">
      <c r="A136" s="1">
        <v>46240</v>
      </c>
      <c r="B136">
        <v>1140899272</v>
      </c>
      <c r="C136" s="9" t="s">
        <v>4100</v>
      </c>
      <c r="D136" s="9" t="s">
        <v>41</v>
      </c>
      <c r="E136" s="9" t="s">
        <v>4011</v>
      </c>
      <c r="F136" s="9" t="s">
        <v>25</v>
      </c>
      <c r="G136" s="1">
        <v>46238</v>
      </c>
      <c r="H136" s="1">
        <v>46240</v>
      </c>
      <c r="I136" s="2">
        <v>0.25</v>
      </c>
      <c r="J136" s="2">
        <v>0.5</v>
      </c>
      <c r="K136" s="9" t="s">
        <v>261</v>
      </c>
      <c r="L136" s="1"/>
      <c r="M136" s="1"/>
      <c r="N136" s="1"/>
      <c r="O136" s="9"/>
    </row>
    <row r="137" spans="1:15" hidden="1" x14ac:dyDescent="0.25">
      <c r="A137" s="1">
        <v>46238</v>
      </c>
      <c r="B137">
        <v>1037626926</v>
      </c>
      <c r="C137" s="9" t="s">
        <v>4102</v>
      </c>
      <c r="D137" s="9" t="s">
        <v>15</v>
      </c>
      <c r="E137" s="9" t="s">
        <v>4012</v>
      </c>
      <c r="F137" s="9" t="s">
        <v>25</v>
      </c>
      <c r="G137" s="1">
        <v>46237</v>
      </c>
      <c r="H137" s="1">
        <v>46238</v>
      </c>
      <c r="I137" s="2">
        <v>0.25</v>
      </c>
      <c r="J137" s="2">
        <v>0.54166666666666663</v>
      </c>
      <c r="K137" s="9" t="s">
        <v>261</v>
      </c>
      <c r="L137" s="1"/>
      <c r="M137" s="1"/>
      <c r="N137" s="1"/>
      <c r="O137" s="9"/>
    </row>
    <row r="138" spans="1:15" hidden="1" x14ac:dyDescent="0.25">
      <c r="A138" s="1">
        <v>46238</v>
      </c>
      <c r="B138">
        <v>1036656151</v>
      </c>
      <c r="C138" s="9" t="s">
        <v>4104</v>
      </c>
      <c r="D138" s="9" t="s">
        <v>34</v>
      </c>
      <c r="E138" s="9" t="s">
        <v>4011</v>
      </c>
      <c r="F138" s="9" t="s">
        <v>4040</v>
      </c>
      <c r="G138" s="1">
        <v>46238</v>
      </c>
      <c r="H138" s="1">
        <v>46239</v>
      </c>
      <c r="I138" s="2">
        <v>0.54166666666666663</v>
      </c>
      <c r="J138" s="2">
        <v>0.875</v>
      </c>
      <c r="K138" s="9" t="s">
        <v>4022</v>
      </c>
      <c r="L138" s="1"/>
      <c r="M138" s="1"/>
      <c r="N138" s="1"/>
      <c r="O138" s="9"/>
    </row>
    <row r="139" spans="1:15" hidden="1" x14ac:dyDescent="0.25">
      <c r="A139" s="1">
        <v>46239</v>
      </c>
      <c r="B139">
        <v>1036656151</v>
      </c>
      <c r="C139" s="9" t="s">
        <v>1643</v>
      </c>
      <c r="D139" s="9" t="s">
        <v>34</v>
      </c>
      <c r="E139" s="9" t="s">
        <v>4011</v>
      </c>
      <c r="F139" s="9" t="s">
        <v>25</v>
      </c>
      <c r="G139" s="1">
        <v>46238</v>
      </c>
      <c r="H139" s="1">
        <v>46239</v>
      </c>
      <c r="I139" s="2">
        <v>0.25</v>
      </c>
      <c r="J139" s="2">
        <v>0.54166666666666663</v>
      </c>
      <c r="K139" s="9" t="s">
        <v>99</v>
      </c>
      <c r="L139" s="1"/>
      <c r="M139" s="1"/>
      <c r="N139" s="1"/>
      <c r="O139" s="9"/>
    </row>
    <row r="140" spans="1:15" hidden="1" x14ac:dyDescent="0.25">
      <c r="A140" s="1">
        <v>46238</v>
      </c>
      <c r="B140">
        <v>1001901817</v>
      </c>
      <c r="C140" s="9" t="s">
        <v>4105</v>
      </c>
      <c r="D140" s="9" t="s">
        <v>553</v>
      </c>
      <c r="E140" s="9" t="s">
        <v>4010</v>
      </c>
      <c r="F140" s="9" t="s">
        <v>4040</v>
      </c>
      <c r="G140" s="1">
        <v>46238</v>
      </c>
      <c r="H140" s="1">
        <v>46239</v>
      </c>
      <c r="I140" s="2">
        <v>0.25</v>
      </c>
      <c r="J140" s="2">
        <v>0.54166666666666663</v>
      </c>
      <c r="K140" s="9" t="s">
        <v>4022</v>
      </c>
      <c r="L140" s="1"/>
      <c r="M140" s="1"/>
      <c r="N140" s="1"/>
      <c r="O140" s="9"/>
    </row>
    <row r="141" spans="1:15" hidden="1" x14ac:dyDescent="0.25">
      <c r="A141" s="1">
        <v>46239</v>
      </c>
      <c r="B141">
        <v>1001901817</v>
      </c>
      <c r="C141" s="9" t="s">
        <v>4105</v>
      </c>
      <c r="D141" s="9" t="s">
        <v>553</v>
      </c>
      <c r="E141" s="9" t="s">
        <v>4010</v>
      </c>
      <c r="F141" s="9" t="s">
        <v>25</v>
      </c>
      <c r="G141" s="1">
        <v>46238</v>
      </c>
      <c r="H141" s="1">
        <v>46239</v>
      </c>
      <c r="I141" s="2">
        <v>0.54166666666666663</v>
      </c>
      <c r="J141" s="2">
        <v>0.875</v>
      </c>
      <c r="K141" s="9" t="s">
        <v>217</v>
      </c>
      <c r="L141" s="1"/>
      <c r="M141" s="1"/>
      <c r="N141" s="1"/>
      <c r="O141" s="9"/>
    </row>
    <row r="142" spans="1:15" hidden="1" x14ac:dyDescent="0.25">
      <c r="A142" s="1">
        <v>46240</v>
      </c>
      <c r="B142">
        <v>1037634709</v>
      </c>
      <c r="C142" s="9" t="s">
        <v>4009</v>
      </c>
      <c r="D142" s="9" t="s">
        <v>420</v>
      </c>
      <c r="E142" s="9" t="s">
        <v>4010</v>
      </c>
      <c r="F142" s="9" t="s">
        <v>4015</v>
      </c>
      <c r="G142" s="1">
        <v>46238</v>
      </c>
      <c r="H142" s="1">
        <v>46240</v>
      </c>
      <c r="I142" s="2">
        <v>0.54166666666666663</v>
      </c>
      <c r="J142" s="2">
        <v>0.875</v>
      </c>
      <c r="K142" s="9" t="s">
        <v>74</v>
      </c>
      <c r="L142" s="1"/>
      <c r="M142" s="1"/>
      <c r="N142" s="1"/>
      <c r="O142" s="9"/>
    </row>
    <row r="143" spans="1:15" hidden="1" x14ac:dyDescent="0.25">
      <c r="A143" s="1">
        <v>46238</v>
      </c>
      <c r="B143">
        <v>1000439437</v>
      </c>
      <c r="C143" s="9" t="s">
        <v>376</v>
      </c>
      <c r="D143" s="9" t="s">
        <v>128</v>
      </c>
      <c r="E143" s="9" t="s">
        <v>4005</v>
      </c>
      <c r="F143" s="9" t="s">
        <v>4040</v>
      </c>
      <c r="G143" s="1">
        <v>46238</v>
      </c>
      <c r="H143" s="1">
        <v>46240</v>
      </c>
      <c r="I143" s="2">
        <v>0.25</v>
      </c>
      <c r="J143" s="2">
        <v>0.54166666666666663</v>
      </c>
      <c r="K143" s="9" t="s">
        <v>4022</v>
      </c>
      <c r="L143" s="1"/>
      <c r="M143" s="1"/>
      <c r="N143" s="1"/>
      <c r="O143" s="9"/>
    </row>
    <row r="144" spans="1:15" hidden="1" x14ac:dyDescent="0.25">
      <c r="A144" s="1">
        <v>46240</v>
      </c>
      <c r="B144">
        <v>1000439437</v>
      </c>
      <c r="C144" s="9" t="s">
        <v>376</v>
      </c>
      <c r="D144" s="9" t="s">
        <v>128</v>
      </c>
      <c r="E144" s="9" t="s">
        <v>4005</v>
      </c>
      <c r="F144" s="9" t="s">
        <v>25</v>
      </c>
      <c r="G144" s="1">
        <v>46238</v>
      </c>
      <c r="H144" s="1">
        <v>46240</v>
      </c>
      <c r="I144" s="2">
        <v>0.54166666666666663</v>
      </c>
      <c r="J144" s="2">
        <v>0.875</v>
      </c>
      <c r="K144" s="9" t="s">
        <v>18</v>
      </c>
      <c r="L144" s="1"/>
      <c r="M144" s="1"/>
      <c r="N144" s="1"/>
      <c r="O144" s="9"/>
    </row>
    <row r="145" spans="1:15" hidden="1" x14ac:dyDescent="0.25">
      <c r="A145" s="1">
        <v>46238</v>
      </c>
      <c r="B145">
        <v>1017259589</v>
      </c>
      <c r="C145" s="9" t="s">
        <v>2044</v>
      </c>
      <c r="D145" s="9" t="s">
        <v>57</v>
      </c>
      <c r="E145" s="9" t="s">
        <v>4010</v>
      </c>
      <c r="F145" s="9" t="s">
        <v>4040</v>
      </c>
      <c r="G145" s="1">
        <v>46238</v>
      </c>
      <c r="H145" s="1">
        <v>46238</v>
      </c>
      <c r="I145" s="2">
        <v>0.25</v>
      </c>
      <c r="J145" s="2">
        <v>0.54166666666666663</v>
      </c>
      <c r="K145" s="9" t="s">
        <v>4022</v>
      </c>
      <c r="L145" s="1"/>
      <c r="M145" s="1"/>
      <c r="N145" s="1"/>
      <c r="O145" s="9"/>
    </row>
    <row r="146" spans="1:15" hidden="1" x14ac:dyDescent="0.25">
      <c r="A146" s="1">
        <v>46239</v>
      </c>
      <c r="B146">
        <v>1143166909</v>
      </c>
      <c r="C146" s="9" t="s">
        <v>2672</v>
      </c>
      <c r="D146" s="9" t="s">
        <v>322</v>
      </c>
      <c r="E146" s="9" t="s">
        <v>4017</v>
      </c>
      <c r="F146" s="9" t="s">
        <v>4040</v>
      </c>
      <c r="G146" s="1">
        <v>46239</v>
      </c>
      <c r="H146" s="1"/>
      <c r="I146" s="2">
        <v>0.54166666666666663</v>
      </c>
      <c r="J146" s="2">
        <v>0.875</v>
      </c>
      <c r="K146" s="9" t="s">
        <v>4107</v>
      </c>
      <c r="L146" s="1"/>
      <c r="M146" s="1"/>
      <c r="N146" s="1"/>
      <c r="O146" s="9"/>
    </row>
    <row r="147" spans="1:15" hidden="1" x14ac:dyDescent="0.25">
      <c r="A147" s="1">
        <v>46240</v>
      </c>
      <c r="B147">
        <v>1020475954</v>
      </c>
      <c r="C147" s="9" t="s">
        <v>3901</v>
      </c>
      <c r="D147" s="9" t="s">
        <v>29</v>
      </c>
      <c r="E147" s="9" t="s">
        <v>4005</v>
      </c>
      <c r="F147" s="9" t="s">
        <v>4091</v>
      </c>
      <c r="G147" s="1">
        <v>46238</v>
      </c>
      <c r="H147" s="1">
        <v>46240</v>
      </c>
      <c r="I147" s="2">
        <v>0.25</v>
      </c>
      <c r="J147" s="2">
        <v>0.54166666666666663</v>
      </c>
      <c r="K147" s="9" t="s">
        <v>245</v>
      </c>
      <c r="L147" s="1"/>
      <c r="M147" s="1"/>
      <c r="N147" s="1"/>
      <c r="O147" s="9"/>
    </row>
    <row r="148" spans="1:15" hidden="1" x14ac:dyDescent="0.25">
      <c r="A148" s="1">
        <v>46239</v>
      </c>
      <c r="B148">
        <v>1045718883</v>
      </c>
      <c r="C148" s="9" t="s">
        <v>47</v>
      </c>
      <c r="D148" s="9" t="s">
        <v>34</v>
      </c>
      <c r="E148" s="9" t="s">
        <v>4011</v>
      </c>
      <c r="F148" s="9" t="s">
        <v>25</v>
      </c>
      <c r="G148" s="1">
        <v>46224</v>
      </c>
      <c r="H148" s="1">
        <v>46239</v>
      </c>
      <c r="I148" s="2">
        <v>0.25</v>
      </c>
      <c r="J148" s="2">
        <v>0.54166666666666663</v>
      </c>
      <c r="K148" s="9" t="s">
        <v>241</v>
      </c>
      <c r="L148" s="1"/>
      <c r="M148" s="1"/>
      <c r="N148" s="1"/>
      <c r="O148" s="9"/>
    </row>
    <row r="149" spans="1:15" hidden="1" x14ac:dyDescent="0.25">
      <c r="A149" s="1">
        <v>46244</v>
      </c>
      <c r="B149">
        <v>1018466443</v>
      </c>
      <c r="C149" s="9" t="s">
        <v>4109</v>
      </c>
      <c r="D149" s="9" t="s">
        <v>410</v>
      </c>
      <c r="E149" s="9" t="s">
        <v>4005</v>
      </c>
      <c r="F149" s="9" t="s">
        <v>4091</v>
      </c>
      <c r="G149" s="1">
        <v>46239</v>
      </c>
      <c r="H149" s="1">
        <v>46244</v>
      </c>
      <c r="I149" s="2">
        <v>0.25</v>
      </c>
      <c r="J149" s="2">
        <v>0.58333333333333337</v>
      </c>
      <c r="K149" s="9" t="s">
        <v>189</v>
      </c>
      <c r="L149" s="1"/>
      <c r="M149" s="1"/>
      <c r="N149" s="1"/>
      <c r="O149" s="9"/>
    </row>
    <row r="150" spans="1:15" hidden="1" x14ac:dyDescent="0.25">
      <c r="A150" s="1">
        <v>46239</v>
      </c>
      <c r="B150">
        <v>1143374438</v>
      </c>
      <c r="C150" s="9" t="s">
        <v>85</v>
      </c>
      <c r="D150" s="9" t="s">
        <v>41</v>
      </c>
      <c r="E150" s="9" t="s">
        <v>4011</v>
      </c>
      <c r="F150" s="9" t="s">
        <v>4040</v>
      </c>
      <c r="G150" s="1">
        <v>46239</v>
      </c>
      <c r="H150" s="1">
        <v>46268</v>
      </c>
      <c r="I150" s="2">
        <v>0.25</v>
      </c>
      <c r="J150" s="2">
        <v>0.58333333333333337</v>
      </c>
      <c r="K150" s="9" t="s">
        <v>4022</v>
      </c>
      <c r="L150" s="1"/>
      <c r="M150" s="1"/>
      <c r="N150" s="1"/>
      <c r="O150" s="9"/>
    </row>
    <row r="151" spans="1:15" hidden="1" x14ac:dyDescent="0.25">
      <c r="A151" s="1">
        <v>46239</v>
      </c>
      <c r="B151">
        <v>42141273</v>
      </c>
      <c r="C151" s="9" t="s">
        <v>210</v>
      </c>
      <c r="D151" s="9" t="s">
        <v>211</v>
      </c>
      <c r="E151" s="9" t="s">
        <v>4017</v>
      </c>
      <c r="F151" s="9" t="s">
        <v>25</v>
      </c>
      <c r="G151" s="1">
        <v>46238</v>
      </c>
      <c r="H151" s="1">
        <v>46295</v>
      </c>
      <c r="I151" s="2">
        <v>0.25</v>
      </c>
      <c r="J151" s="2">
        <v>0.5</v>
      </c>
      <c r="K151" s="9" t="s">
        <v>213</v>
      </c>
      <c r="L151" s="1"/>
      <c r="M151" s="1"/>
      <c r="N151" s="1"/>
      <c r="O151" s="9"/>
    </row>
    <row r="152" spans="1:15" hidden="1" x14ac:dyDescent="0.25">
      <c r="A152" s="1">
        <v>46240</v>
      </c>
      <c r="B152">
        <v>1017270154</v>
      </c>
      <c r="C152" s="9" t="s">
        <v>4112</v>
      </c>
      <c r="D152" s="9" t="s">
        <v>343</v>
      </c>
      <c r="E152" s="9" t="s">
        <v>4012</v>
      </c>
      <c r="F152" s="9" t="s">
        <v>4040</v>
      </c>
      <c r="G152" s="1">
        <v>46238</v>
      </c>
      <c r="H152" s="1"/>
      <c r="I152" s="2">
        <v>0.25</v>
      </c>
      <c r="J152" s="2">
        <v>0.54166666666666663</v>
      </c>
      <c r="K152" s="9" t="s">
        <v>4022</v>
      </c>
      <c r="L152" s="1"/>
      <c r="M152" s="1"/>
      <c r="N152" s="1"/>
      <c r="O152" s="9"/>
    </row>
    <row r="153" spans="1:15" hidden="1" x14ac:dyDescent="0.25">
      <c r="A153" s="1">
        <v>46239</v>
      </c>
      <c r="B153">
        <v>1035876080</v>
      </c>
      <c r="C153" s="9" t="s">
        <v>120</v>
      </c>
      <c r="D153" s="9" t="s">
        <v>121</v>
      </c>
      <c r="E153" s="9" t="s">
        <v>4010</v>
      </c>
      <c r="F153" s="9" t="s">
        <v>4040</v>
      </c>
      <c r="G153" s="1">
        <v>46238</v>
      </c>
      <c r="H153" s="1"/>
      <c r="I153" s="2">
        <v>0.25</v>
      </c>
      <c r="J153" s="2">
        <v>0.54166666666666663</v>
      </c>
      <c r="K153" s="9" t="s">
        <v>4022</v>
      </c>
      <c r="L153" s="1"/>
      <c r="M153" s="1"/>
      <c r="N153" s="1"/>
      <c r="O153" s="9"/>
    </row>
    <row r="154" spans="1:15" hidden="1" x14ac:dyDescent="0.25">
      <c r="A154" s="1">
        <v>46239</v>
      </c>
      <c r="B154">
        <v>1003377961</v>
      </c>
      <c r="C154" s="9" t="s">
        <v>2527</v>
      </c>
      <c r="D154" s="9" t="s">
        <v>64</v>
      </c>
      <c r="E154" s="9" t="s">
        <v>4012</v>
      </c>
      <c r="F154" s="9" t="s">
        <v>25</v>
      </c>
      <c r="G154" s="1">
        <v>46239</v>
      </c>
      <c r="H154" s="1">
        <v>46239</v>
      </c>
      <c r="I154" s="2">
        <v>0.58333333333333337</v>
      </c>
      <c r="J154" s="2">
        <v>0.875</v>
      </c>
      <c r="K154" s="9" t="s">
        <v>261</v>
      </c>
      <c r="L154" s="1"/>
      <c r="M154" s="1"/>
      <c r="N154" s="1"/>
      <c r="O154" s="9"/>
    </row>
    <row r="155" spans="1:15" hidden="1" x14ac:dyDescent="0.25">
      <c r="A155" s="1">
        <v>46239</v>
      </c>
      <c r="B155">
        <v>1065664047</v>
      </c>
      <c r="C155" s="9" t="s">
        <v>1114</v>
      </c>
      <c r="D155" s="9" t="s">
        <v>89</v>
      </c>
      <c r="E155" s="9" t="s">
        <v>4017</v>
      </c>
      <c r="F155" s="9" t="s">
        <v>4040</v>
      </c>
      <c r="G155" s="1">
        <v>46238</v>
      </c>
      <c r="H155" s="1"/>
      <c r="I155" s="2">
        <v>0.25</v>
      </c>
      <c r="J155" s="2">
        <v>0.58333333333333337</v>
      </c>
      <c r="K155" s="9" t="s">
        <v>4022</v>
      </c>
      <c r="L155" s="1"/>
      <c r="M155" s="1"/>
      <c r="N155" s="1"/>
      <c r="O155" s="9"/>
    </row>
    <row r="156" spans="1:15" hidden="1" x14ac:dyDescent="0.25">
      <c r="A156" s="1">
        <v>46239</v>
      </c>
      <c r="B156">
        <v>1143394119</v>
      </c>
      <c r="C156" s="9" t="s">
        <v>4110</v>
      </c>
      <c r="D156" s="9" t="s">
        <v>142</v>
      </c>
      <c r="E156" s="9" t="s">
        <v>4012</v>
      </c>
      <c r="F156" s="9" t="s">
        <v>4040</v>
      </c>
      <c r="G156" s="1">
        <v>46238</v>
      </c>
      <c r="H156" s="1"/>
      <c r="I156" s="2">
        <v>0.54166666666666663</v>
      </c>
      <c r="J156" s="2">
        <v>0.83333333333333337</v>
      </c>
      <c r="K156" s="9" t="s">
        <v>4022</v>
      </c>
      <c r="L156" s="1"/>
      <c r="M156" s="1"/>
      <c r="N156" s="1"/>
      <c r="O156" s="9"/>
    </row>
    <row r="157" spans="1:15" hidden="1" x14ac:dyDescent="0.25">
      <c r="A157" s="1">
        <v>46239</v>
      </c>
      <c r="B157">
        <v>1082896324</v>
      </c>
      <c r="C157" s="9" t="s">
        <v>77</v>
      </c>
      <c r="D157" s="9" t="s">
        <v>78</v>
      </c>
      <c r="E157" s="9" t="s">
        <v>4010</v>
      </c>
      <c r="F157" s="9" t="s">
        <v>4040</v>
      </c>
      <c r="G157" s="1">
        <v>46238</v>
      </c>
      <c r="H157" s="1"/>
      <c r="I157" s="2">
        <v>0.25</v>
      </c>
      <c r="J157" s="2">
        <v>0.58333333333333337</v>
      </c>
      <c r="K157" s="9" t="s">
        <v>4022</v>
      </c>
      <c r="L157" s="1"/>
      <c r="M157" s="1"/>
      <c r="N157" s="1"/>
      <c r="O157" s="9"/>
    </row>
    <row r="158" spans="1:15" hidden="1" x14ac:dyDescent="0.25">
      <c r="A158" s="1">
        <v>46240</v>
      </c>
      <c r="B158">
        <v>1235045754</v>
      </c>
      <c r="C158" s="9" t="s">
        <v>2371</v>
      </c>
      <c r="D158" s="9" t="s">
        <v>343</v>
      </c>
      <c r="E158" s="9" t="s">
        <v>4012</v>
      </c>
      <c r="F158" s="9" t="s">
        <v>25</v>
      </c>
      <c r="G158" s="1">
        <v>46238</v>
      </c>
      <c r="H158" s="1">
        <v>46240</v>
      </c>
      <c r="I158" s="2">
        <v>0.54166666666666663</v>
      </c>
      <c r="J158" s="2">
        <v>0.875</v>
      </c>
      <c r="K158" s="9" t="s">
        <v>138</v>
      </c>
      <c r="L158" s="1"/>
      <c r="M158" s="1"/>
      <c r="N158" s="1"/>
      <c r="O158" s="9"/>
    </row>
    <row r="159" spans="1:15" hidden="1" x14ac:dyDescent="0.25">
      <c r="A159" s="1">
        <v>46240</v>
      </c>
      <c r="B159">
        <v>1005569691</v>
      </c>
      <c r="C159" s="9" t="s">
        <v>3613</v>
      </c>
      <c r="D159" s="9" t="s">
        <v>326</v>
      </c>
      <c r="E159" s="9" t="s">
        <v>4005</v>
      </c>
      <c r="F159" s="9" t="s">
        <v>25</v>
      </c>
      <c r="G159" s="1">
        <v>46239</v>
      </c>
      <c r="H159" s="1">
        <v>46240</v>
      </c>
      <c r="I159" s="2">
        <v>0.58333333333333337</v>
      </c>
      <c r="J159" s="2">
        <v>0.875</v>
      </c>
      <c r="K159" s="9" t="s">
        <v>238</v>
      </c>
      <c r="L159" s="1"/>
      <c r="M159" s="1"/>
      <c r="N159" s="1"/>
      <c r="O159" s="9"/>
    </row>
    <row r="160" spans="1:15" hidden="1" x14ac:dyDescent="0.25">
      <c r="A160" s="1">
        <v>46240</v>
      </c>
      <c r="B160">
        <v>1001014608</v>
      </c>
      <c r="C160" s="9" t="s">
        <v>268</v>
      </c>
      <c r="D160" s="9" t="s">
        <v>64</v>
      </c>
      <c r="E160" s="9" t="s">
        <v>4012</v>
      </c>
      <c r="F160" s="9" t="s">
        <v>4040</v>
      </c>
      <c r="G160" s="1">
        <v>46239</v>
      </c>
      <c r="H160" s="1">
        <v>46268</v>
      </c>
      <c r="I160" s="2">
        <v>0.58333333333333337</v>
      </c>
      <c r="J160" s="2">
        <v>0.875</v>
      </c>
      <c r="K160" s="9" t="s">
        <v>4022</v>
      </c>
      <c r="L160" s="1"/>
      <c r="M160" s="1"/>
      <c r="N160" s="1"/>
      <c r="O160" s="9"/>
    </row>
    <row r="161" spans="1:15" hidden="1" x14ac:dyDescent="0.25">
      <c r="A161" s="1">
        <v>46239</v>
      </c>
      <c r="B161">
        <v>1041901478</v>
      </c>
      <c r="C161" s="9" t="s">
        <v>327</v>
      </c>
      <c r="D161" s="9" t="s">
        <v>326</v>
      </c>
      <c r="E161" s="9" t="s">
        <v>4005</v>
      </c>
      <c r="F161" s="9" t="s">
        <v>4040</v>
      </c>
      <c r="G161" s="1">
        <v>46239</v>
      </c>
      <c r="H161" s="1">
        <v>46240</v>
      </c>
      <c r="I161" s="2">
        <v>0.25</v>
      </c>
      <c r="J161" s="2">
        <v>0.58333333333333337</v>
      </c>
      <c r="K161" s="9" t="s">
        <v>4022</v>
      </c>
      <c r="L161" s="1"/>
      <c r="M161" s="1"/>
      <c r="N161" s="1"/>
      <c r="O161" s="9"/>
    </row>
    <row r="162" spans="1:15" hidden="1" x14ac:dyDescent="0.25">
      <c r="A162" s="1">
        <v>46240</v>
      </c>
      <c r="B162">
        <v>1041901478</v>
      </c>
      <c r="C162" s="9" t="s">
        <v>327</v>
      </c>
      <c r="D162" s="9" t="s">
        <v>326</v>
      </c>
      <c r="E162" s="9" t="s">
        <v>4005</v>
      </c>
      <c r="F162" s="9" t="s">
        <v>25</v>
      </c>
      <c r="G162" s="1">
        <v>46239</v>
      </c>
      <c r="H162" s="1">
        <v>46240</v>
      </c>
      <c r="I162" s="2">
        <v>0.54166666666666663</v>
      </c>
      <c r="J162" s="2">
        <v>0.875</v>
      </c>
      <c r="K162" s="9" t="s">
        <v>1347</v>
      </c>
      <c r="L162" s="1"/>
      <c r="M162" s="1"/>
      <c r="N162" s="1"/>
      <c r="O162" s="9"/>
    </row>
    <row r="163" spans="1:15" hidden="1" x14ac:dyDescent="0.25">
      <c r="A163" s="1">
        <v>46240</v>
      </c>
      <c r="B163">
        <v>1192923605</v>
      </c>
      <c r="C163" s="9" t="s">
        <v>315</v>
      </c>
      <c r="D163" s="9" t="s">
        <v>211</v>
      </c>
      <c r="E163" s="9" t="s">
        <v>4017</v>
      </c>
      <c r="F163" s="9" t="s">
        <v>25</v>
      </c>
      <c r="G163" s="1">
        <v>46239</v>
      </c>
      <c r="H163" s="1">
        <v>46240</v>
      </c>
      <c r="I163" s="2">
        <v>0.54166666666666663</v>
      </c>
      <c r="J163" s="2">
        <v>0.875</v>
      </c>
      <c r="K163" s="9" t="s">
        <v>213</v>
      </c>
      <c r="L163" s="1"/>
      <c r="M163" s="1"/>
      <c r="N163" s="1"/>
      <c r="O163" s="9"/>
    </row>
    <row r="164" spans="1:15" hidden="1" x14ac:dyDescent="0.25">
      <c r="A164" s="1">
        <v>46239</v>
      </c>
      <c r="B164">
        <v>1036670630</v>
      </c>
      <c r="C164" s="9" t="s">
        <v>1093</v>
      </c>
      <c r="D164" s="9" t="s">
        <v>15</v>
      </c>
      <c r="E164" s="9" t="s">
        <v>4012</v>
      </c>
      <c r="F164" s="9" t="s">
        <v>4040</v>
      </c>
      <c r="G164" s="1">
        <v>46239</v>
      </c>
      <c r="H164" s="1"/>
      <c r="I164" s="2"/>
      <c r="J164" s="2"/>
      <c r="K164" s="9" t="s">
        <v>4022</v>
      </c>
      <c r="L164" s="1"/>
      <c r="M164" s="1"/>
      <c r="N164" s="1"/>
      <c r="O164" s="9"/>
    </row>
    <row r="165" spans="1:15" hidden="1" x14ac:dyDescent="0.25">
      <c r="A165" s="1">
        <v>46239</v>
      </c>
      <c r="B165">
        <v>1026156098</v>
      </c>
      <c r="C165" s="9" t="s">
        <v>3518</v>
      </c>
      <c r="D165" s="9" t="s">
        <v>34</v>
      </c>
      <c r="E165" s="9" t="s">
        <v>4011</v>
      </c>
      <c r="F165" s="9" t="s">
        <v>4040</v>
      </c>
      <c r="G165" s="1">
        <v>46239</v>
      </c>
      <c r="H165" s="1">
        <v>46240</v>
      </c>
      <c r="I165" s="2">
        <v>0.58333333333333337</v>
      </c>
      <c r="J165" s="2">
        <v>0.875</v>
      </c>
      <c r="K165" s="9" t="s">
        <v>4022</v>
      </c>
      <c r="L165" s="1"/>
      <c r="M165" s="1"/>
      <c r="N165" s="1"/>
      <c r="O165" s="9"/>
    </row>
    <row r="166" spans="1:15" hidden="1" x14ac:dyDescent="0.25">
      <c r="A166" s="1">
        <v>46239</v>
      </c>
      <c r="B166">
        <v>1128458157</v>
      </c>
      <c r="C166" s="9" t="s">
        <v>2739</v>
      </c>
      <c r="D166" s="9" t="s">
        <v>326</v>
      </c>
      <c r="E166" s="9" t="s">
        <v>4005</v>
      </c>
      <c r="F166" s="9" t="s">
        <v>4040</v>
      </c>
      <c r="G166" s="1">
        <v>46239</v>
      </c>
      <c r="H166" s="1">
        <v>46240</v>
      </c>
      <c r="I166" s="2">
        <v>0.25</v>
      </c>
      <c r="J166" s="2">
        <v>0.54166666666666663</v>
      </c>
      <c r="K166" s="9" t="s">
        <v>4022</v>
      </c>
      <c r="L166" s="1"/>
      <c r="M166" s="1"/>
      <c r="N166" s="1"/>
      <c r="O166" s="9"/>
    </row>
    <row r="167" spans="1:15" hidden="1" x14ac:dyDescent="0.25">
      <c r="A167" s="1">
        <v>46240</v>
      </c>
      <c r="B167">
        <v>1065850707</v>
      </c>
      <c r="C167" s="9" t="s">
        <v>2698</v>
      </c>
      <c r="D167" s="9" t="s">
        <v>121</v>
      </c>
      <c r="E167" s="9" t="s">
        <v>4010</v>
      </c>
      <c r="F167" s="9" t="s">
        <v>4040</v>
      </c>
      <c r="G167" s="1">
        <v>46239</v>
      </c>
      <c r="H167" s="1">
        <v>46240</v>
      </c>
      <c r="I167" s="2">
        <v>0.54166666666666663</v>
      </c>
      <c r="J167" s="2">
        <v>0.875</v>
      </c>
      <c r="K167" s="9" t="s">
        <v>4022</v>
      </c>
      <c r="L167" s="1"/>
      <c r="M167" s="1"/>
      <c r="N167" s="1"/>
      <c r="O167" s="9"/>
    </row>
    <row r="168" spans="1:15" hidden="1" x14ac:dyDescent="0.25">
      <c r="A168" s="1">
        <v>46239</v>
      </c>
      <c r="B168">
        <v>1007223463</v>
      </c>
      <c r="C168" s="9" t="s">
        <v>487</v>
      </c>
      <c r="D168" s="9" t="s">
        <v>4045</v>
      </c>
      <c r="E168" s="9" t="s">
        <v>4017</v>
      </c>
      <c r="F168" s="9" t="s">
        <v>4068</v>
      </c>
      <c r="G168" s="1">
        <v>46239</v>
      </c>
      <c r="H168" s="1">
        <v>46239</v>
      </c>
      <c r="I168" s="2">
        <v>0.45833333333333331</v>
      </c>
      <c r="J168" s="2">
        <v>0.5</v>
      </c>
      <c r="K168" s="9" t="s">
        <v>4099</v>
      </c>
      <c r="L168" s="1"/>
      <c r="M168" s="1"/>
      <c r="N168" s="1"/>
      <c r="O168" s="9"/>
    </row>
    <row r="169" spans="1:15" hidden="1" x14ac:dyDescent="0.25">
      <c r="A169" s="1">
        <v>46240</v>
      </c>
      <c r="B169">
        <v>1082896324</v>
      </c>
      <c r="C169" s="9" t="s">
        <v>77</v>
      </c>
      <c r="D169" s="9" t="s">
        <v>78</v>
      </c>
      <c r="E169" s="9" t="s">
        <v>4010</v>
      </c>
      <c r="F169" s="9" t="s">
        <v>25</v>
      </c>
      <c r="G169" s="1">
        <v>46239</v>
      </c>
      <c r="H169" s="1">
        <v>46240</v>
      </c>
      <c r="I169" s="2">
        <v>0.54166666666666663</v>
      </c>
      <c r="J169" s="2">
        <v>0.70833333333333337</v>
      </c>
      <c r="K169" s="9" t="s">
        <v>1319</v>
      </c>
      <c r="L169" s="1"/>
      <c r="M169" s="1"/>
      <c r="N169" s="1"/>
      <c r="O169" s="9"/>
    </row>
    <row r="170" spans="1:15" hidden="1" x14ac:dyDescent="0.25">
      <c r="A170" s="1">
        <v>46240</v>
      </c>
      <c r="B170">
        <v>1143394119</v>
      </c>
      <c r="C170" s="9" t="s">
        <v>832</v>
      </c>
      <c r="D170" s="9" t="s">
        <v>142</v>
      </c>
      <c r="E170" s="9" t="s">
        <v>4012</v>
      </c>
      <c r="F170" s="9" t="s">
        <v>4040</v>
      </c>
      <c r="G170" s="1">
        <v>46239</v>
      </c>
      <c r="H170" s="1">
        <v>46239</v>
      </c>
      <c r="I170" s="2">
        <v>0.25</v>
      </c>
      <c r="J170" s="2">
        <v>0.79166666666666663</v>
      </c>
      <c r="K170" s="9" t="s">
        <v>4113</v>
      </c>
      <c r="L170" s="1"/>
      <c r="M170" s="1"/>
      <c r="N170" s="1"/>
      <c r="O170" s="9"/>
    </row>
    <row r="171" spans="1:15" hidden="1" x14ac:dyDescent="0.25">
      <c r="A171" s="1">
        <v>46240</v>
      </c>
      <c r="B171">
        <v>1065664047</v>
      </c>
      <c r="C171" s="9" t="s">
        <v>1114</v>
      </c>
      <c r="D171" s="9" t="s">
        <v>89</v>
      </c>
      <c r="E171" s="9" t="s">
        <v>4017</v>
      </c>
      <c r="F171" s="9" t="s">
        <v>25</v>
      </c>
      <c r="G171" s="1">
        <v>46239</v>
      </c>
      <c r="H171" s="1">
        <v>46240</v>
      </c>
      <c r="I171" s="2">
        <v>0.58333333333333337</v>
      </c>
      <c r="J171" s="2">
        <v>0.875</v>
      </c>
      <c r="K171" s="9" t="s">
        <v>257</v>
      </c>
      <c r="L171" s="1"/>
      <c r="M171" s="1"/>
      <c r="N171" s="1"/>
      <c r="O171" s="9"/>
    </row>
    <row r="172" spans="1:15" hidden="1" x14ac:dyDescent="0.25">
      <c r="A172" s="1">
        <v>46245</v>
      </c>
      <c r="B172">
        <v>1035876080</v>
      </c>
      <c r="C172" s="9" t="s">
        <v>120</v>
      </c>
      <c r="D172" s="9" t="s">
        <v>121</v>
      </c>
      <c r="E172" s="9" t="s">
        <v>4010</v>
      </c>
      <c r="F172" s="9" t="s">
        <v>25</v>
      </c>
      <c r="G172" s="1">
        <v>46239</v>
      </c>
      <c r="H172" s="1">
        <v>46245</v>
      </c>
      <c r="I172" s="2">
        <v>0.25</v>
      </c>
      <c r="J172" s="2">
        <v>0.54166666666666663</v>
      </c>
      <c r="K172" s="9" t="s">
        <v>123</v>
      </c>
      <c r="L172" s="1"/>
      <c r="M172" s="1"/>
      <c r="N172" s="1"/>
      <c r="O172" s="9"/>
    </row>
    <row r="173" spans="1:15" hidden="1" x14ac:dyDescent="0.25">
      <c r="A173" s="1">
        <v>46242</v>
      </c>
      <c r="B173">
        <v>1017267628</v>
      </c>
      <c r="C173" s="9" t="s">
        <v>4125</v>
      </c>
      <c r="D173" s="9" t="s">
        <v>326</v>
      </c>
      <c r="E173" s="9" t="s">
        <v>4005</v>
      </c>
      <c r="F173" s="9" t="s">
        <v>4037</v>
      </c>
      <c r="G173" s="1">
        <v>46237</v>
      </c>
      <c r="H173" s="1">
        <v>46243</v>
      </c>
      <c r="I173" s="2"/>
      <c r="J173" s="2"/>
      <c r="K173" s="9" t="s">
        <v>269</v>
      </c>
      <c r="L173" s="1"/>
      <c r="M173" s="1"/>
      <c r="N173" s="1"/>
      <c r="O173" s="9"/>
    </row>
    <row r="174" spans="1:15" hidden="1" x14ac:dyDescent="0.25">
      <c r="A174" s="1">
        <v>46248</v>
      </c>
      <c r="B174">
        <v>1143374438</v>
      </c>
      <c r="C174" s="9" t="s">
        <v>85</v>
      </c>
      <c r="D174" s="9" t="s">
        <v>41</v>
      </c>
      <c r="E174" s="9" t="s">
        <v>4011</v>
      </c>
      <c r="F174" s="9" t="s">
        <v>25</v>
      </c>
      <c r="G174" s="1">
        <v>46239</v>
      </c>
      <c r="H174" s="1">
        <v>46268</v>
      </c>
      <c r="I174" s="2">
        <v>0.58333333333333337</v>
      </c>
      <c r="J174" s="2">
        <v>0.875</v>
      </c>
      <c r="K174" s="9" t="s">
        <v>261</v>
      </c>
      <c r="L174" s="1"/>
      <c r="M174" s="1"/>
      <c r="N174" s="1"/>
      <c r="O174" s="9"/>
    </row>
    <row r="175" spans="1:15" hidden="1" x14ac:dyDescent="0.25">
      <c r="A175" s="1">
        <v>46240</v>
      </c>
      <c r="B175">
        <v>1026156098</v>
      </c>
      <c r="C175" s="9" t="s">
        <v>3518</v>
      </c>
      <c r="D175" s="9" t="s">
        <v>34</v>
      </c>
      <c r="E175" s="9" t="s">
        <v>4011</v>
      </c>
      <c r="F175" s="9" t="s">
        <v>25</v>
      </c>
      <c r="G175" s="1">
        <v>46239</v>
      </c>
      <c r="H175" s="1">
        <v>46240</v>
      </c>
      <c r="I175" s="2">
        <v>0.25</v>
      </c>
      <c r="J175" s="2">
        <v>0.58333333333333337</v>
      </c>
      <c r="K175" s="9" t="s">
        <v>99</v>
      </c>
      <c r="L175" s="1"/>
      <c r="M175" s="1"/>
      <c r="N175" s="1"/>
      <c r="O175" s="9"/>
    </row>
    <row r="176" spans="1:15" hidden="1" x14ac:dyDescent="0.25">
      <c r="A176" s="1">
        <v>46240</v>
      </c>
      <c r="B176" t="s">
        <v>4116</v>
      </c>
      <c r="C176" s="9" t="s">
        <v>4105</v>
      </c>
      <c r="D176" s="9" t="s">
        <v>553</v>
      </c>
      <c r="E176" s="9" t="s">
        <v>4010</v>
      </c>
      <c r="F176" s="9" t="s">
        <v>4040</v>
      </c>
      <c r="G176" s="1">
        <v>46240</v>
      </c>
      <c r="H176" s="1"/>
      <c r="I176" s="2">
        <v>0.58333333333333337</v>
      </c>
      <c r="J176" s="2">
        <v>0.875</v>
      </c>
      <c r="K176" s="9" t="s">
        <v>4117</v>
      </c>
      <c r="L176" s="1"/>
      <c r="M176" s="1"/>
      <c r="N176" s="1"/>
      <c r="O176" s="9"/>
    </row>
    <row r="177" spans="1:15" hidden="1" x14ac:dyDescent="0.25">
      <c r="A177" s="1">
        <v>46240</v>
      </c>
      <c r="B177">
        <v>1128458157</v>
      </c>
      <c r="C177" s="9" t="s">
        <v>2739</v>
      </c>
      <c r="D177" s="9" t="s">
        <v>326</v>
      </c>
      <c r="E177" s="9" t="s">
        <v>4005</v>
      </c>
      <c r="F177" s="9" t="s">
        <v>25</v>
      </c>
      <c r="G177" s="1">
        <v>46239</v>
      </c>
      <c r="H177" s="1">
        <v>46240</v>
      </c>
      <c r="I177" s="2">
        <v>0.58333333333333337</v>
      </c>
      <c r="J177" s="2">
        <v>0.875</v>
      </c>
      <c r="K177" s="9" t="s">
        <v>261</v>
      </c>
      <c r="L177" s="1"/>
      <c r="M177" s="1"/>
      <c r="N177" s="1"/>
      <c r="O177" s="9"/>
    </row>
    <row r="178" spans="1:15" hidden="1" x14ac:dyDescent="0.25">
      <c r="A178" s="1">
        <v>46240</v>
      </c>
      <c r="B178">
        <v>1045718883</v>
      </c>
      <c r="C178" s="9" t="s">
        <v>47</v>
      </c>
      <c r="D178" s="9" t="s">
        <v>34</v>
      </c>
      <c r="E178" s="9" t="s">
        <v>4011</v>
      </c>
      <c r="F178" s="9" t="s">
        <v>4040</v>
      </c>
      <c r="G178" s="1">
        <v>46239</v>
      </c>
      <c r="H178" s="1">
        <v>46249</v>
      </c>
      <c r="I178" s="2">
        <v>0.25</v>
      </c>
      <c r="J178" s="2">
        <v>0.54166666666666663</v>
      </c>
      <c r="K178" s="9" t="s">
        <v>4022</v>
      </c>
      <c r="L178" s="1"/>
      <c r="M178" s="1"/>
      <c r="N178" s="1"/>
      <c r="O178" s="9"/>
    </row>
    <row r="179" spans="1:15" hidden="1" x14ac:dyDescent="0.25">
      <c r="A179" s="1">
        <v>46240</v>
      </c>
      <c r="B179">
        <v>1010135017</v>
      </c>
      <c r="C179" s="9" t="s">
        <v>1245</v>
      </c>
      <c r="D179" s="9" t="s">
        <v>326</v>
      </c>
      <c r="E179" s="9" t="s">
        <v>4005</v>
      </c>
      <c r="F179" s="9" t="s">
        <v>4040</v>
      </c>
      <c r="G179" s="1">
        <v>46239</v>
      </c>
      <c r="H179" s="1"/>
      <c r="I179" s="2">
        <v>0.54166666666666663</v>
      </c>
      <c r="J179" s="2">
        <v>0.875</v>
      </c>
      <c r="K179" s="9" t="s">
        <v>4022</v>
      </c>
      <c r="L179" s="1"/>
      <c r="M179" s="1"/>
      <c r="N179" s="1"/>
      <c r="O179" s="9"/>
    </row>
    <row r="180" spans="1:15" hidden="1" x14ac:dyDescent="0.25">
      <c r="A180" s="1">
        <v>46240</v>
      </c>
      <c r="B180">
        <v>1072648283</v>
      </c>
      <c r="C180" s="9" t="s">
        <v>739</v>
      </c>
      <c r="D180" s="9" t="s">
        <v>211</v>
      </c>
      <c r="E180" s="9" t="s">
        <v>4017</v>
      </c>
      <c r="F180" s="9" t="s">
        <v>4040</v>
      </c>
      <c r="G180" s="1">
        <v>46240</v>
      </c>
      <c r="H180" s="1">
        <v>46240</v>
      </c>
      <c r="I180" s="2">
        <v>0.54166666666666663</v>
      </c>
      <c r="J180" s="2">
        <v>0.875</v>
      </c>
      <c r="K180" s="9" t="s">
        <v>4059</v>
      </c>
      <c r="L180" s="1"/>
      <c r="M180" s="1"/>
      <c r="N180" s="1"/>
      <c r="O180" s="9"/>
    </row>
    <row r="181" spans="1:15" hidden="1" x14ac:dyDescent="0.25">
      <c r="A181" s="1">
        <v>46242</v>
      </c>
      <c r="B181">
        <v>1001853191</v>
      </c>
      <c r="C181" s="9" t="s">
        <v>3198</v>
      </c>
      <c r="D181" s="9" t="s">
        <v>34</v>
      </c>
      <c r="E181" s="9" t="s">
        <v>4011</v>
      </c>
      <c r="F181" s="9" t="s">
        <v>25</v>
      </c>
      <c r="G181" s="1">
        <v>46240</v>
      </c>
      <c r="H181" s="1">
        <v>46242</v>
      </c>
      <c r="I181" s="2">
        <v>0.45833333333333331</v>
      </c>
      <c r="J181" s="2">
        <v>0.875</v>
      </c>
      <c r="K181" s="9" t="s">
        <v>18</v>
      </c>
      <c r="L181" s="1"/>
      <c r="M181" s="1"/>
      <c r="N181" s="1"/>
      <c r="O181" s="9"/>
    </row>
    <row r="182" spans="1:15" hidden="1" x14ac:dyDescent="0.25">
      <c r="A182" s="1">
        <v>46240</v>
      </c>
      <c r="B182">
        <v>1006490561</v>
      </c>
      <c r="C182" s="9" t="s">
        <v>4118</v>
      </c>
      <c r="D182" s="9" t="s">
        <v>410</v>
      </c>
      <c r="E182" s="9" t="s">
        <v>4005</v>
      </c>
      <c r="F182" s="9" t="s">
        <v>4040</v>
      </c>
      <c r="G182" s="1">
        <v>46240</v>
      </c>
      <c r="H182" s="1">
        <v>46242</v>
      </c>
      <c r="I182" s="2">
        <v>0.25</v>
      </c>
      <c r="J182" s="2">
        <v>0.58333333333333337</v>
      </c>
      <c r="K182" s="9" t="s">
        <v>4022</v>
      </c>
      <c r="L182" s="1"/>
      <c r="M182" s="1"/>
      <c r="N182" s="1"/>
      <c r="O182" s="9"/>
    </row>
    <row r="183" spans="1:15" hidden="1" x14ac:dyDescent="0.25">
      <c r="A183" s="1">
        <v>46240</v>
      </c>
      <c r="B183">
        <v>1193537336</v>
      </c>
      <c r="C183" s="9" t="s">
        <v>2087</v>
      </c>
      <c r="D183" s="9" t="s">
        <v>420</v>
      </c>
      <c r="E183" s="9" t="s">
        <v>4010</v>
      </c>
      <c r="F183" s="9" t="s">
        <v>4040</v>
      </c>
      <c r="G183" s="1">
        <v>46240</v>
      </c>
      <c r="H183" s="1">
        <v>46240</v>
      </c>
      <c r="I183" s="2"/>
      <c r="J183" s="2"/>
      <c r="K183" s="9" t="s">
        <v>4050</v>
      </c>
      <c r="L183" s="1"/>
      <c r="M183" s="1"/>
      <c r="N183" s="1"/>
      <c r="O183" s="9"/>
    </row>
    <row r="184" spans="1:15" hidden="1" x14ac:dyDescent="0.25">
      <c r="A184" s="1">
        <v>46240</v>
      </c>
      <c r="B184">
        <v>1083048455</v>
      </c>
      <c r="C184" s="9" t="s">
        <v>2742</v>
      </c>
      <c r="D184" s="9" t="s">
        <v>326</v>
      </c>
      <c r="E184" s="9" t="s">
        <v>4005</v>
      </c>
      <c r="F184" s="9" t="s">
        <v>4040</v>
      </c>
      <c r="G184" s="1">
        <v>46240</v>
      </c>
      <c r="H184" s="1">
        <v>46240</v>
      </c>
      <c r="I184" s="2">
        <v>0.25</v>
      </c>
      <c r="J184" s="2">
        <v>0.54166666666666663</v>
      </c>
      <c r="K184" s="9" t="s">
        <v>4022</v>
      </c>
      <c r="L184" s="1"/>
      <c r="M184" s="1"/>
      <c r="N184" s="1"/>
      <c r="O184" s="9"/>
    </row>
    <row r="185" spans="1:15" hidden="1" x14ac:dyDescent="0.25">
      <c r="A185" s="1">
        <v>46240</v>
      </c>
      <c r="B185">
        <v>1042422897</v>
      </c>
      <c r="C185" s="9" t="s">
        <v>4069</v>
      </c>
      <c r="D185" s="9" t="s">
        <v>326</v>
      </c>
      <c r="E185" s="9" t="s">
        <v>4005</v>
      </c>
      <c r="F185" s="9" t="s">
        <v>4040</v>
      </c>
      <c r="G185" s="1">
        <v>46240</v>
      </c>
      <c r="H185" s="1"/>
      <c r="I185" s="2">
        <v>0.58333333333333337</v>
      </c>
      <c r="J185" s="2">
        <v>0.875</v>
      </c>
      <c r="K185" s="9" t="s">
        <v>4022</v>
      </c>
      <c r="L185" s="1"/>
      <c r="M185" s="1"/>
      <c r="N185" s="1"/>
      <c r="O185" s="9"/>
    </row>
    <row r="186" spans="1:15" hidden="1" x14ac:dyDescent="0.25">
      <c r="A186" s="1">
        <v>46240</v>
      </c>
      <c r="B186">
        <v>1007959114</v>
      </c>
      <c r="C186" s="9" t="s">
        <v>4119</v>
      </c>
      <c r="D186" s="9" t="s">
        <v>51</v>
      </c>
      <c r="E186" s="9" t="s">
        <v>4011</v>
      </c>
      <c r="F186" s="9" t="s">
        <v>4040</v>
      </c>
      <c r="G186" s="1">
        <v>46240</v>
      </c>
      <c r="H186" s="1">
        <v>46240</v>
      </c>
      <c r="I186" s="2">
        <v>0.25</v>
      </c>
      <c r="J186" s="2">
        <v>0.54166666666666663</v>
      </c>
      <c r="K186" s="9" t="s">
        <v>4022</v>
      </c>
      <c r="L186" s="1"/>
      <c r="M186" s="1"/>
      <c r="N186" s="1"/>
      <c r="O186" s="9"/>
    </row>
    <row r="187" spans="1:15" hidden="1" x14ac:dyDescent="0.25">
      <c r="A187" s="1">
        <v>46242</v>
      </c>
      <c r="B187">
        <v>1084253148</v>
      </c>
      <c r="C187" s="9" t="s">
        <v>1049</v>
      </c>
      <c r="D187" s="9" t="s">
        <v>211</v>
      </c>
      <c r="E187" s="9" t="s">
        <v>4017</v>
      </c>
      <c r="F187" s="9" t="s">
        <v>4040</v>
      </c>
      <c r="G187" s="1">
        <v>46240</v>
      </c>
      <c r="H187" s="1">
        <v>46240</v>
      </c>
      <c r="I187" s="2"/>
      <c r="J187" s="2"/>
      <c r="K187" s="9" t="s">
        <v>4050</v>
      </c>
      <c r="L187" s="1"/>
      <c r="M187" s="1"/>
      <c r="N187" s="1"/>
      <c r="O187" s="9"/>
    </row>
    <row r="188" spans="1:15" hidden="1" x14ac:dyDescent="0.25">
      <c r="A188" s="1">
        <v>46240</v>
      </c>
      <c r="B188">
        <v>45529043</v>
      </c>
      <c r="C188" s="9" t="s">
        <v>712</v>
      </c>
      <c r="D188" s="9" t="s">
        <v>322</v>
      </c>
      <c r="E188" s="9" t="s">
        <v>4017</v>
      </c>
      <c r="F188" s="9" t="s">
        <v>25</v>
      </c>
      <c r="G188" s="1">
        <v>46240</v>
      </c>
      <c r="H188" s="1">
        <v>46240</v>
      </c>
      <c r="I188" s="2">
        <v>0.25</v>
      </c>
      <c r="J188" s="2">
        <v>0.58333333333333337</v>
      </c>
      <c r="K188" s="9" t="s">
        <v>4120</v>
      </c>
      <c r="L188" s="1"/>
      <c r="M188" s="1"/>
      <c r="N188" s="1"/>
      <c r="O188" s="9"/>
    </row>
    <row r="189" spans="1:15" hidden="1" x14ac:dyDescent="0.25">
      <c r="A189" s="1">
        <v>46240</v>
      </c>
      <c r="B189">
        <v>1214717629</v>
      </c>
      <c r="C189" s="9" t="s">
        <v>3038</v>
      </c>
      <c r="D189" s="9" t="s">
        <v>410</v>
      </c>
      <c r="E189" s="9" t="s">
        <v>4005</v>
      </c>
      <c r="F189" s="9" t="s">
        <v>4040</v>
      </c>
      <c r="G189" s="1">
        <v>46240</v>
      </c>
      <c r="H189" s="1">
        <v>46240</v>
      </c>
      <c r="I189" s="2">
        <v>0.54166666666666663</v>
      </c>
      <c r="J189" s="2">
        <v>0.875</v>
      </c>
      <c r="K189" s="9" t="s">
        <v>4022</v>
      </c>
      <c r="L189" s="1"/>
      <c r="M189" s="1"/>
      <c r="N189" s="1"/>
      <c r="O189" s="9"/>
    </row>
    <row r="190" spans="1:15" hidden="1" x14ac:dyDescent="0.25">
      <c r="A190" s="1">
        <v>46240</v>
      </c>
      <c r="B190">
        <v>1010039979</v>
      </c>
      <c r="C190" s="9" t="s">
        <v>3873</v>
      </c>
      <c r="D190" s="9" t="s">
        <v>78</v>
      </c>
      <c r="E190" s="9" t="s">
        <v>4010</v>
      </c>
      <c r="F190" s="9" t="s">
        <v>25</v>
      </c>
      <c r="G190" s="1">
        <v>46240</v>
      </c>
      <c r="H190" s="1">
        <v>46240</v>
      </c>
      <c r="I190" s="2">
        <v>0.58333333333333337</v>
      </c>
      <c r="J190" s="2">
        <v>0.875</v>
      </c>
      <c r="K190" s="9" t="s">
        <v>4022</v>
      </c>
      <c r="L190" s="1"/>
      <c r="M190" s="1"/>
      <c r="N190" s="1"/>
      <c r="O190" s="9"/>
    </row>
    <row r="191" spans="1:15" hidden="1" x14ac:dyDescent="0.25">
      <c r="A191" s="1">
        <v>46240</v>
      </c>
      <c r="B191">
        <v>1214743963</v>
      </c>
      <c r="C191" s="9" t="s">
        <v>1511</v>
      </c>
      <c r="D191" s="9" t="s">
        <v>326</v>
      </c>
      <c r="E191" s="9" t="s">
        <v>4005</v>
      </c>
      <c r="F191" s="9" t="s">
        <v>25</v>
      </c>
      <c r="G191" s="1">
        <v>46240</v>
      </c>
      <c r="H191" s="1">
        <v>46240</v>
      </c>
      <c r="I191" s="2">
        <v>0.58333333333333337</v>
      </c>
      <c r="J191" s="2">
        <v>0.875</v>
      </c>
      <c r="K191" s="9" t="s">
        <v>4022</v>
      </c>
      <c r="L191" s="1"/>
      <c r="M191" s="1"/>
      <c r="N191" s="1"/>
      <c r="O191" s="9"/>
    </row>
    <row r="192" spans="1:15" hidden="1" x14ac:dyDescent="0.25">
      <c r="A192" s="1">
        <v>46240</v>
      </c>
      <c r="B192">
        <v>1039462842</v>
      </c>
      <c r="C192" s="9" t="s">
        <v>431</v>
      </c>
      <c r="D192" s="9" t="s">
        <v>78</v>
      </c>
      <c r="E192" s="9" t="s">
        <v>4010</v>
      </c>
      <c r="F192" s="9" t="s">
        <v>25</v>
      </c>
      <c r="G192" s="1">
        <v>46240</v>
      </c>
      <c r="H192" s="1">
        <v>46240</v>
      </c>
      <c r="I192" s="2">
        <v>0.54166666666666663</v>
      </c>
      <c r="J192" s="2">
        <v>0.875</v>
      </c>
      <c r="K192" s="9" t="s">
        <v>4022</v>
      </c>
      <c r="L192" s="1"/>
      <c r="M192" s="1"/>
      <c r="N192" s="1"/>
      <c r="O192" s="9"/>
    </row>
    <row r="193" spans="1:15" hidden="1" x14ac:dyDescent="0.25">
      <c r="A193" s="1">
        <v>46242</v>
      </c>
      <c r="B193">
        <v>1006490561</v>
      </c>
      <c r="C193" s="9" t="s">
        <v>4118</v>
      </c>
      <c r="D193" s="9" t="s">
        <v>410</v>
      </c>
      <c r="E193" s="9" t="s">
        <v>4005</v>
      </c>
      <c r="F193" s="9" t="s">
        <v>25</v>
      </c>
      <c r="G193" s="1">
        <v>46240</v>
      </c>
      <c r="H193" s="1">
        <v>46242</v>
      </c>
      <c r="I193" s="2">
        <v>0.25</v>
      </c>
      <c r="J193" s="2">
        <v>0.66666666666666663</v>
      </c>
      <c r="K193" s="9" t="s">
        <v>248</v>
      </c>
      <c r="L193" s="1"/>
      <c r="M193" s="1"/>
      <c r="N193" s="1"/>
      <c r="O193" s="9"/>
    </row>
    <row r="194" spans="1:15" hidden="1" x14ac:dyDescent="0.25">
      <c r="A194" s="1">
        <v>46242</v>
      </c>
      <c r="B194">
        <v>1127074377</v>
      </c>
      <c r="C194" s="9" t="s">
        <v>344</v>
      </c>
      <c r="D194" s="9" t="s">
        <v>343</v>
      </c>
      <c r="E194" s="9" t="s">
        <v>4012</v>
      </c>
      <c r="F194" s="9" t="s">
        <v>4053</v>
      </c>
      <c r="G194" s="1">
        <v>46242</v>
      </c>
      <c r="H194" s="1">
        <v>46242</v>
      </c>
      <c r="I194" s="2">
        <v>0.25</v>
      </c>
      <c r="J194" s="2">
        <v>0.66666666666666663</v>
      </c>
      <c r="K194" s="9" t="s">
        <v>1319</v>
      </c>
      <c r="L194" s="1"/>
      <c r="M194" s="1"/>
      <c r="N194" s="1"/>
      <c r="O194" s="9"/>
    </row>
    <row r="195" spans="1:15" hidden="1" x14ac:dyDescent="0.25">
      <c r="A195" s="1">
        <v>46242</v>
      </c>
      <c r="B195">
        <v>1001014608</v>
      </c>
      <c r="C195" s="9" t="s">
        <v>268</v>
      </c>
      <c r="D195" s="9" t="s">
        <v>64</v>
      </c>
      <c r="E195" s="9" t="s">
        <v>4012</v>
      </c>
      <c r="F195" s="9" t="s">
        <v>25</v>
      </c>
      <c r="G195" s="1">
        <v>46239</v>
      </c>
      <c r="H195" s="1">
        <v>46268</v>
      </c>
      <c r="I195" s="2"/>
      <c r="J195" s="2"/>
      <c r="K195" s="9" t="s">
        <v>269</v>
      </c>
      <c r="L195" s="1"/>
      <c r="M195" s="1"/>
      <c r="N195" s="1"/>
      <c r="O195" s="9"/>
    </row>
    <row r="196" spans="1:15" hidden="1" x14ac:dyDescent="0.25">
      <c r="A196" s="1">
        <v>46245</v>
      </c>
      <c r="B196">
        <v>1042422897</v>
      </c>
      <c r="C196" s="9" t="s">
        <v>4069</v>
      </c>
      <c r="D196" s="9" t="s">
        <v>326</v>
      </c>
      <c r="E196" s="9" t="s">
        <v>4005</v>
      </c>
      <c r="F196" s="9" t="s">
        <v>4015</v>
      </c>
      <c r="G196" s="1">
        <v>46242</v>
      </c>
      <c r="H196" s="1">
        <v>46245</v>
      </c>
      <c r="I196" s="2">
        <v>0.25</v>
      </c>
      <c r="J196" s="2">
        <v>0.58333333333333337</v>
      </c>
      <c r="K196" s="9" t="s">
        <v>261</v>
      </c>
      <c r="L196" s="1"/>
      <c r="M196" s="1"/>
      <c r="N196" s="1"/>
      <c r="O196" s="9"/>
    </row>
    <row r="197" spans="1:15" hidden="1" x14ac:dyDescent="0.25">
      <c r="A197" s="1">
        <v>46242</v>
      </c>
      <c r="B197">
        <v>1045718883</v>
      </c>
      <c r="C197" s="9" t="s">
        <v>47</v>
      </c>
      <c r="D197" s="9" t="s">
        <v>34</v>
      </c>
      <c r="E197" s="9" t="s">
        <v>4011</v>
      </c>
      <c r="F197" s="9" t="s">
        <v>4040</v>
      </c>
      <c r="G197" s="1">
        <v>46240</v>
      </c>
      <c r="H197" s="1">
        <v>46249</v>
      </c>
      <c r="I197" s="2">
        <v>0.25</v>
      </c>
      <c r="J197" s="2">
        <v>0.66666666666666663</v>
      </c>
      <c r="K197" s="9" t="s">
        <v>179</v>
      </c>
      <c r="L197" s="1"/>
      <c r="M197" s="1"/>
      <c r="N197" s="1"/>
      <c r="O197" s="9"/>
    </row>
    <row r="198" spans="1:15" hidden="1" x14ac:dyDescent="0.25">
      <c r="A198" s="1">
        <v>46242</v>
      </c>
      <c r="B198">
        <v>1072648283</v>
      </c>
      <c r="C198" s="9" t="s">
        <v>739</v>
      </c>
      <c r="D198" s="9" t="s">
        <v>211</v>
      </c>
      <c r="E198" s="9" t="s">
        <v>4017</v>
      </c>
      <c r="F198" s="9" t="s">
        <v>25</v>
      </c>
      <c r="G198" s="1">
        <v>46240</v>
      </c>
      <c r="H198" s="1">
        <v>46240</v>
      </c>
      <c r="I198" s="2"/>
      <c r="J198" s="2"/>
      <c r="K198" s="9" t="s">
        <v>4050</v>
      </c>
      <c r="L198" s="1"/>
      <c r="M198" s="1"/>
      <c r="N198" s="1"/>
      <c r="O198" s="9"/>
    </row>
    <row r="199" spans="1:15" hidden="1" x14ac:dyDescent="0.25">
      <c r="A199" s="1">
        <v>46244</v>
      </c>
      <c r="B199">
        <v>1000921455</v>
      </c>
      <c r="C199" s="9" t="s">
        <v>33</v>
      </c>
      <c r="D199" s="9" t="s">
        <v>34</v>
      </c>
      <c r="E199" s="9" t="s">
        <v>4011</v>
      </c>
      <c r="F199" s="9" t="s">
        <v>25</v>
      </c>
      <c r="G199" s="1">
        <v>46239</v>
      </c>
      <c r="H199" s="1">
        <v>46246</v>
      </c>
      <c r="I199" s="2">
        <v>0.58333333333333337</v>
      </c>
      <c r="J199" s="2">
        <v>0.875</v>
      </c>
      <c r="K199" s="9" t="s">
        <v>261</v>
      </c>
      <c r="L199" s="1"/>
      <c r="M199" s="1"/>
      <c r="N199" s="1"/>
      <c r="O199" s="9"/>
    </row>
    <row r="200" spans="1:15" hidden="1" x14ac:dyDescent="0.25">
      <c r="A200" s="1">
        <v>46244</v>
      </c>
      <c r="B200">
        <v>1143413583</v>
      </c>
      <c r="C200" s="9" t="s">
        <v>54</v>
      </c>
      <c r="D200" s="9" t="s">
        <v>41</v>
      </c>
      <c r="E200" s="9" t="s">
        <v>4011</v>
      </c>
      <c r="F200" s="9" t="s">
        <v>4015</v>
      </c>
      <c r="G200" s="1">
        <v>46240</v>
      </c>
      <c r="H200" s="1">
        <v>46244</v>
      </c>
      <c r="I200" s="2">
        <v>0.25</v>
      </c>
      <c r="J200" s="2">
        <v>0.54166666666666663</v>
      </c>
      <c r="K200" s="9" t="s">
        <v>261</v>
      </c>
      <c r="L200" s="1"/>
      <c r="M200" s="1"/>
      <c r="N200" s="1"/>
      <c r="O200" s="9"/>
    </row>
    <row r="201" spans="1:15" hidden="1" x14ac:dyDescent="0.25">
      <c r="A201" s="1">
        <v>46242</v>
      </c>
      <c r="B201">
        <v>1037668455</v>
      </c>
      <c r="C201" s="9" t="s">
        <v>2968</v>
      </c>
      <c r="D201" s="9" t="s">
        <v>24</v>
      </c>
      <c r="E201" s="9" t="s">
        <v>4011</v>
      </c>
      <c r="F201" s="9" t="s">
        <v>25</v>
      </c>
      <c r="G201" s="1">
        <v>46241</v>
      </c>
      <c r="H201" s="1">
        <v>46242</v>
      </c>
      <c r="I201" s="2">
        <v>0.25</v>
      </c>
      <c r="J201" s="2">
        <v>0.66666666666666663</v>
      </c>
      <c r="K201" s="9" t="s">
        <v>168</v>
      </c>
      <c r="L201" s="1"/>
      <c r="M201" s="1"/>
      <c r="N201" s="1"/>
      <c r="O201" s="9"/>
    </row>
    <row r="202" spans="1:15" hidden="1" x14ac:dyDescent="0.25">
      <c r="A202" s="1">
        <v>46242</v>
      </c>
      <c r="B202">
        <v>1026134762</v>
      </c>
      <c r="C202" s="9" t="s">
        <v>1295</v>
      </c>
      <c r="D202" s="9" t="s">
        <v>34</v>
      </c>
      <c r="E202" s="9" t="s">
        <v>4011</v>
      </c>
      <c r="F202" s="9" t="s">
        <v>25</v>
      </c>
      <c r="G202" s="1">
        <v>46242</v>
      </c>
      <c r="H202" s="1">
        <v>46242</v>
      </c>
      <c r="I202" s="2">
        <v>0.25</v>
      </c>
      <c r="J202" s="2">
        <v>0.66666666666666663</v>
      </c>
      <c r="K202" s="9" t="s">
        <v>123</v>
      </c>
      <c r="L202" s="1"/>
      <c r="M202" s="1"/>
      <c r="N202" s="1"/>
      <c r="O202" s="9"/>
    </row>
    <row r="203" spans="1:15" hidden="1" x14ac:dyDescent="0.25">
      <c r="A203" s="1">
        <v>46242</v>
      </c>
      <c r="B203">
        <v>1001817894</v>
      </c>
      <c r="C203" s="9" t="s">
        <v>1487</v>
      </c>
      <c r="D203" s="9" t="s">
        <v>34</v>
      </c>
      <c r="E203" s="9" t="s">
        <v>4011</v>
      </c>
      <c r="F203" s="9" t="s">
        <v>25</v>
      </c>
      <c r="G203" s="1">
        <v>46242</v>
      </c>
      <c r="H203" s="1">
        <v>46242</v>
      </c>
      <c r="I203" s="2">
        <v>0.25</v>
      </c>
      <c r="J203" s="2">
        <v>0.66666666666666663</v>
      </c>
      <c r="K203" s="9" t="s">
        <v>4022</v>
      </c>
      <c r="L203" s="1"/>
      <c r="M203" s="1"/>
      <c r="N203" s="1"/>
      <c r="O203" s="9"/>
    </row>
    <row r="204" spans="1:15" hidden="1" x14ac:dyDescent="0.25">
      <c r="A204" s="1">
        <v>46244</v>
      </c>
      <c r="B204">
        <v>1152446353</v>
      </c>
      <c r="C204" s="9" t="s">
        <v>3885</v>
      </c>
      <c r="D204" s="9" t="s">
        <v>15</v>
      </c>
      <c r="E204" s="9" t="s">
        <v>4012</v>
      </c>
      <c r="F204" s="9" t="s">
        <v>90</v>
      </c>
      <c r="G204" s="1"/>
      <c r="H204" s="1"/>
      <c r="I204" s="2"/>
      <c r="J204" s="2"/>
      <c r="K204" s="9" t="s">
        <v>4127</v>
      </c>
      <c r="L204" s="1"/>
      <c r="M204" s="1"/>
      <c r="N204" s="1"/>
      <c r="O204" s="9"/>
    </row>
    <row r="205" spans="1:15" hidden="1" x14ac:dyDescent="0.25">
      <c r="A205" s="1">
        <v>46242</v>
      </c>
      <c r="B205">
        <v>1083567466</v>
      </c>
      <c r="C205" s="9" t="s">
        <v>1395</v>
      </c>
      <c r="D205" s="9" t="s">
        <v>343</v>
      </c>
      <c r="E205" s="9" t="s">
        <v>4012</v>
      </c>
      <c r="F205" s="9" t="s">
        <v>25</v>
      </c>
      <c r="G205" s="1">
        <v>46242</v>
      </c>
      <c r="H205" s="1">
        <v>46242</v>
      </c>
      <c r="I205" s="2">
        <v>0.25</v>
      </c>
      <c r="J205" s="2">
        <v>0.66666666666666663</v>
      </c>
      <c r="K205" s="9" t="s">
        <v>4022</v>
      </c>
      <c r="L205" s="1"/>
      <c r="M205" s="1"/>
      <c r="N205" s="1"/>
      <c r="O205" s="9"/>
    </row>
    <row r="206" spans="1:15" hidden="1" x14ac:dyDescent="0.25">
      <c r="A206" s="1">
        <v>46242</v>
      </c>
      <c r="B206">
        <v>1003083272</v>
      </c>
      <c r="C206" s="9" t="s">
        <v>1203</v>
      </c>
      <c r="D206" s="9" t="s">
        <v>64</v>
      </c>
      <c r="E206" s="9" t="s">
        <v>4012</v>
      </c>
      <c r="F206" s="9" t="s">
        <v>25</v>
      </c>
      <c r="G206" s="1">
        <v>46241</v>
      </c>
      <c r="H206" s="1">
        <v>46242</v>
      </c>
      <c r="I206" s="2">
        <v>0.25</v>
      </c>
      <c r="J206" s="2">
        <v>0.66666666666666663</v>
      </c>
      <c r="K206" s="9" t="s">
        <v>261</v>
      </c>
      <c r="L206" s="1"/>
      <c r="M206" s="1"/>
      <c r="N206" s="1"/>
      <c r="O206" s="9"/>
    </row>
    <row r="207" spans="1:15" hidden="1" x14ac:dyDescent="0.25">
      <c r="A207" s="1">
        <v>46242</v>
      </c>
      <c r="B207">
        <v>1083037131</v>
      </c>
      <c r="C207" s="9" t="s">
        <v>458</v>
      </c>
      <c r="D207" s="9" t="s">
        <v>160</v>
      </c>
      <c r="E207" s="9" t="s">
        <v>4011</v>
      </c>
      <c r="F207" s="9" t="s">
        <v>25</v>
      </c>
      <c r="G207" s="1">
        <v>46242</v>
      </c>
      <c r="H207" s="1">
        <v>46242</v>
      </c>
      <c r="I207" s="2">
        <v>0.25</v>
      </c>
      <c r="J207" s="2">
        <v>0.66666666666666663</v>
      </c>
      <c r="K207" s="9" t="s">
        <v>261</v>
      </c>
      <c r="L207" s="1"/>
      <c r="M207" s="1"/>
      <c r="N207" s="1"/>
      <c r="O207" s="9"/>
    </row>
    <row r="208" spans="1:15" hidden="1" x14ac:dyDescent="0.25">
      <c r="A208" s="1">
        <v>46242</v>
      </c>
      <c r="B208">
        <v>1037637914</v>
      </c>
      <c r="C208" s="9" t="s">
        <v>2704</v>
      </c>
      <c r="D208" s="9" t="s">
        <v>34</v>
      </c>
      <c r="E208" s="9" t="s">
        <v>4011</v>
      </c>
      <c r="F208" s="9" t="s">
        <v>25</v>
      </c>
      <c r="G208" s="1">
        <v>46242</v>
      </c>
      <c r="H208" s="1">
        <v>46242</v>
      </c>
      <c r="I208" s="2">
        <v>0.25</v>
      </c>
      <c r="J208" s="2">
        <v>0.66666666666666663</v>
      </c>
      <c r="K208" s="9" t="s">
        <v>261</v>
      </c>
      <c r="L208" s="1"/>
      <c r="M208" s="1"/>
      <c r="N208" s="1"/>
      <c r="O208" s="9"/>
    </row>
    <row r="209" spans="1:15" hidden="1" x14ac:dyDescent="0.25">
      <c r="A209" s="1">
        <v>46242</v>
      </c>
      <c r="B209">
        <v>1235045754</v>
      </c>
      <c r="C209" s="9" t="s">
        <v>2371</v>
      </c>
      <c r="D209" s="9" t="s">
        <v>343</v>
      </c>
      <c r="E209" s="9" t="s">
        <v>4012</v>
      </c>
      <c r="F209" s="9" t="s">
        <v>25</v>
      </c>
      <c r="G209" s="1">
        <v>46242</v>
      </c>
      <c r="H209" s="1">
        <v>46242</v>
      </c>
      <c r="I209" s="2"/>
      <c r="J209" s="2"/>
      <c r="K209" s="9" t="s">
        <v>4022</v>
      </c>
      <c r="L209" s="1"/>
      <c r="M209" s="1"/>
      <c r="N209" s="1"/>
      <c r="O209" s="9"/>
    </row>
    <row r="210" spans="1:15" hidden="1" x14ac:dyDescent="0.25">
      <c r="A210" s="1">
        <v>46242</v>
      </c>
      <c r="B210">
        <v>1214714989</v>
      </c>
      <c r="C210" s="9" t="s">
        <v>2135</v>
      </c>
      <c r="D210" s="9" t="s">
        <v>326</v>
      </c>
      <c r="E210" s="9" t="s">
        <v>4005</v>
      </c>
      <c r="F210" s="9" t="s">
        <v>25</v>
      </c>
      <c r="G210" s="1">
        <v>46242</v>
      </c>
      <c r="H210" s="1">
        <v>46242</v>
      </c>
      <c r="I210" s="2">
        <v>0.25</v>
      </c>
      <c r="J210" s="2">
        <v>0.66666666666666663</v>
      </c>
      <c r="K210" s="9" t="s">
        <v>4022</v>
      </c>
      <c r="L210" s="1"/>
      <c r="M210" s="1"/>
      <c r="N210" s="1"/>
      <c r="O210" s="9"/>
    </row>
    <row r="211" spans="1:15" hidden="1" x14ac:dyDescent="0.25">
      <c r="A211" s="1">
        <v>46242</v>
      </c>
      <c r="B211">
        <v>1010149319</v>
      </c>
      <c r="C211" s="9" t="s">
        <v>3135</v>
      </c>
      <c r="D211" s="9" t="s">
        <v>142</v>
      </c>
      <c r="E211" s="9" t="s">
        <v>4012</v>
      </c>
      <c r="F211" s="9" t="s">
        <v>25</v>
      </c>
      <c r="G211" s="1">
        <v>46242</v>
      </c>
      <c r="H211" s="1">
        <v>46242</v>
      </c>
      <c r="I211" s="2">
        <v>0.25</v>
      </c>
      <c r="J211" s="2">
        <v>0.54166666666666663</v>
      </c>
      <c r="K211" s="9" t="s">
        <v>4022</v>
      </c>
      <c r="L211" s="1"/>
      <c r="M211" s="1"/>
      <c r="N211" s="1"/>
      <c r="O211" s="9"/>
    </row>
    <row r="212" spans="1:15" hidden="1" x14ac:dyDescent="0.25">
      <c r="A212" s="1">
        <v>46242</v>
      </c>
      <c r="B212">
        <v>1010246557</v>
      </c>
      <c r="C212" s="9" t="s">
        <v>3428</v>
      </c>
      <c r="D212" s="9" t="s">
        <v>326</v>
      </c>
      <c r="E212" s="9" t="s">
        <v>4005</v>
      </c>
      <c r="F212" s="9" t="s">
        <v>25</v>
      </c>
      <c r="G212" s="1">
        <v>46242</v>
      </c>
      <c r="H212" s="1">
        <v>46242</v>
      </c>
      <c r="I212" s="2">
        <v>0.25</v>
      </c>
      <c r="J212" s="2">
        <v>0.66666666666666663</v>
      </c>
      <c r="K212" s="9" t="s">
        <v>4129</v>
      </c>
      <c r="L212" s="1"/>
      <c r="M212" s="1"/>
      <c r="N212" s="1"/>
      <c r="O212" s="9"/>
    </row>
    <row r="213" spans="1:15" hidden="1" x14ac:dyDescent="0.25">
      <c r="A213" s="1">
        <v>46242</v>
      </c>
      <c r="B213">
        <v>88030132</v>
      </c>
      <c r="C213" s="9" t="s">
        <v>1903</v>
      </c>
      <c r="D213" s="9" t="s">
        <v>142</v>
      </c>
      <c r="E213" s="9" t="s">
        <v>4012</v>
      </c>
      <c r="F213" s="9" t="s">
        <v>4040</v>
      </c>
      <c r="G213" s="1">
        <v>46242</v>
      </c>
      <c r="H213" s="1">
        <v>46243</v>
      </c>
      <c r="I213" s="2">
        <v>0.25</v>
      </c>
      <c r="J213" s="2">
        <v>0.66666666666666663</v>
      </c>
      <c r="K213" s="9" t="s">
        <v>4022</v>
      </c>
      <c r="L213" s="1"/>
      <c r="M213" s="1"/>
      <c r="N213" s="1"/>
      <c r="O213" s="9"/>
    </row>
    <row r="214" spans="1:15" hidden="1" x14ac:dyDescent="0.25">
      <c r="A214" s="1">
        <v>46242</v>
      </c>
      <c r="B214">
        <v>1038412205</v>
      </c>
      <c r="C214" s="9" t="s">
        <v>2800</v>
      </c>
      <c r="D214" s="9" t="s">
        <v>410</v>
      </c>
      <c r="E214" s="9" t="s">
        <v>4005</v>
      </c>
      <c r="F214" s="9" t="s">
        <v>4040</v>
      </c>
      <c r="G214" s="1">
        <v>46242</v>
      </c>
      <c r="H214" s="1">
        <v>46242</v>
      </c>
      <c r="I214" s="2">
        <v>0.25</v>
      </c>
      <c r="J214" s="2">
        <v>0.66666666666666663</v>
      </c>
      <c r="K214" s="9" t="s">
        <v>4022</v>
      </c>
      <c r="L214" s="1"/>
      <c r="M214" s="1"/>
      <c r="N214" s="1"/>
      <c r="O214" s="9"/>
    </row>
    <row r="215" spans="1:15" hidden="1" x14ac:dyDescent="0.25">
      <c r="A215" s="1">
        <v>46247</v>
      </c>
      <c r="B215">
        <v>1071169507</v>
      </c>
      <c r="C215" s="9" t="s">
        <v>88</v>
      </c>
      <c r="D215" s="9" t="s">
        <v>89</v>
      </c>
      <c r="E215" s="9" t="s">
        <v>4017</v>
      </c>
      <c r="F215" s="9" t="s">
        <v>90</v>
      </c>
      <c r="G215" s="1">
        <v>46242</v>
      </c>
      <c r="H215" s="1">
        <v>46247</v>
      </c>
      <c r="I215" s="2">
        <v>0.58333333333333337</v>
      </c>
      <c r="J215" s="2">
        <v>0.875</v>
      </c>
      <c r="K215" s="9" t="s">
        <v>213</v>
      </c>
      <c r="L215" s="1"/>
      <c r="M215" s="1"/>
      <c r="N215" s="1"/>
      <c r="O215" s="9"/>
    </row>
    <row r="216" spans="1:15" hidden="1" x14ac:dyDescent="0.25">
      <c r="A216" s="1">
        <v>46242</v>
      </c>
      <c r="B216">
        <v>1001445343</v>
      </c>
      <c r="C216" s="9" t="s">
        <v>1374</v>
      </c>
      <c r="D216" s="9" t="s">
        <v>322</v>
      </c>
      <c r="E216" s="9" t="s">
        <v>4017</v>
      </c>
      <c r="F216" s="9" t="s">
        <v>25</v>
      </c>
      <c r="G216" s="1">
        <v>46242</v>
      </c>
      <c r="H216" s="1">
        <v>46242</v>
      </c>
      <c r="I216" s="2">
        <v>0.25</v>
      </c>
      <c r="J216" s="2">
        <v>0.58333333333333337</v>
      </c>
      <c r="K216" s="9" t="s">
        <v>135</v>
      </c>
      <c r="L216" s="1"/>
      <c r="M216" s="1"/>
      <c r="N216" s="1"/>
      <c r="O216" s="9"/>
    </row>
    <row r="217" spans="1:15" hidden="1" x14ac:dyDescent="0.25">
      <c r="A217" s="1">
        <v>46244</v>
      </c>
      <c r="B217">
        <v>1045718883</v>
      </c>
      <c r="C217" s="9" t="s">
        <v>47</v>
      </c>
      <c r="D217" s="9" t="s">
        <v>34</v>
      </c>
      <c r="E217" s="9" t="s">
        <v>4011</v>
      </c>
      <c r="F217" s="9" t="s">
        <v>25</v>
      </c>
      <c r="G217" s="1">
        <v>46239</v>
      </c>
      <c r="H217" s="1">
        <v>46249</v>
      </c>
      <c r="I217" s="2">
        <v>0.54166666666666663</v>
      </c>
      <c r="J217" s="2">
        <v>0.875</v>
      </c>
      <c r="K217" s="9" t="s">
        <v>261</v>
      </c>
      <c r="L217" s="1"/>
      <c r="M217" s="1"/>
      <c r="N217" s="1"/>
      <c r="O217" s="9"/>
    </row>
    <row r="218" spans="1:15" hidden="1" x14ac:dyDescent="0.25">
      <c r="A218" s="1">
        <v>46244</v>
      </c>
      <c r="B218">
        <v>1007842898</v>
      </c>
      <c r="C218" s="9" t="s">
        <v>4132</v>
      </c>
      <c r="D218" s="9" t="s">
        <v>343</v>
      </c>
      <c r="E218" s="9" t="s">
        <v>4012</v>
      </c>
      <c r="F218" s="9" t="s">
        <v>4015</v>
      </c>
      <c r="G218" s="1">
        <v>46242</v>
      </c>
      <c r="H218" s="1"/>
      <c r="I218" s="2">
        <v>0.54166666666666663</v>
      </c>
      <c r="J218" s="2">
        <v>0.875</v>
      </c>
      <c r="K218" s="9" t="s">
        <v>172</v>
      </c>
      <c r="L218" s="1"/>
      <c r="M218" s="1"/>
      <c r="N218" s="1"/>
      <c r="O218" s="9"/>
    </row>
    <row r="219" spans="1:15" hidden="1" x14ac:dyDescent="0.25">
      <c r="A219" s="1">
        <v>46244</v>
      </c>
      <c r="B219">
        <v>1001446162</v>
      </c>
      <c r="C219" s="9" t="s">
        <v>3622</v>
      </c>
      <c r="D219" s="9" t="s">
        <v>4045</v>
      </c>
      <c r="E219" s="9" t="s">
        <v>4017</v>
      </c>
      <c r="F219" s="9" t="s">
        <v>4133</v>
      </c>
      <c r="G219" s="1">
        <v>46244</v>
      </c>
      <c r="H219" s="1">
        <v>46244</v>
      </c>
      <c r="I219" s="2">
        <v>0.33333333333333331</v>
      </c>
      <c r="J219" s="2">
        <v>0.625</v>
      </c>
      <c r="K219" s="9" t="s">
        <v>3622</v>
      </c>
      <c r="L219" s="1"/>
      <c r="M219" s="1"/>
      <c r="N219" s="1"/>
      <c r="O219" s="9"/>
    </row>
    <row r="220" spans="1:15" hidden="1" x14ac:dyDescent="0.25">
      <c r="A220" s="1">
        <v>46248</v>
      </c>
      <c r="B220">
        <v>1082896324</v>
      </c>
      <c r="C220" s="9" t="s">
        <v>77</v>
      </c>
      <c r="D220" s="9" t="s">
        <v>78</v>
      </c>
      <c r="E220" s="9" t="s">
        <v>4010</v>
      </c>
      <c r="F220" s="9" t="s">
        <v>25</v>
      </c>
      <c r="G220" s="1">
        <v>46242</v>
      </c>
      <c r="H220" s="1">
        <v>46272</v>
      </c>
      <c r="I220" s="2">
        <v>0.58333333333333337</v>
      </c>
      <c r="J220" s="2">
        <v>0.875</v>
      </c>
      <c r="K220" s="9" t="s">
        <v>261</v>
      </c>
      <c r="L220" s="1"/>
      <c r="M220" s="1"/>
      <c r="N220" s="1"/>
      <c r="O220" s="9"/>
    </row>
    <row r="221" spans="1:15" hidden="1" x14ac:dyDescent="0.25">
      <c r="A221" s="1">
        <v>46244</v>
      </c>
      <c r="B221">
        <v>1036670970</v>
      </c>
      <c r="C221" s="9" t="s">
        <v>2642</v>
      </c>
      <c r="D221" s="9" t="s">
        <v>34</v>
      </c>
      <c r="E221" s="9" t="s">
        <v>4011</v>
      </c>
      <c r="F221" s="9" t="s">
        <v>25</v>
      </c>
      <c r="G221" s="1">
        <v>46244</v>
      </c>
      <c r="H221" s="1">
        <v>46244</v>
      </c>
      <c r="I221" s="2">
        <v>0.25</v>
      </c>
      <c r="J221" s="2">
        <v>0.58333333333333337</v>
      </c>
      <c r="K221" s="9" t="s">
        <v>4022</v>
      </c>
      <c r="L221" s="1"/>
      <c r="M221" s="1"/>
      <c r="N221" s="1"/>
      <c r="O221" s="9"/>
    </row>
    <row r="222" spans="1:15" hidden="1" x14ac:dyDescent="0.25">
      <c r="A222" s="1">
        <v>46245</v>
      </c>
      <c r="B222">
        <v>1003033764</v>
      </c>
      <c r="C222" s="9" t="s">
        <v>1209</v>
      </c>
      <c r="D222" s="9" t="s">
        <v>121</v>
      </c>
      <c r="E222" s="9" t="s">
        <v>4010</v>
      </c>
      <c r="F222" s="9" t="s">
        <v>25</v>
      </c>
      <c r="G222" s="1">
        <v>46244</v>
      </c>
      <c r="H222" s="1">
        <v>46245</v>
      </c>
      <c r="I222" s="2">
        <v>0.25</v>
      </c>
      <c r="J222" s="2">
        <v>0.54166666666666663</v>
      </c>
      <c r="K222" s="9" t="s">
        <v>261</v>
      </c>
      <c r="L222" s="1"/>
      <c r="M222" s="1"/>
      <c r="N222" s="1"/>
      <c r="O222" s="9"/>
    </row>
    <row r="223" spans="1:15" hidden="1" x14ac:dyDescent="0.25">
      <c r="A223" s="1">
        <v>46245</v>
      </c>
      <c r="B223">
        <v>1143345388</v>
      </c>
      <c r="C223" s="9" t="s">
        <v>3079</v>
      </c>
      <c r="D223" s="9" t="s">
        <v>64</v>
      </c>
      <c r="E223" s="9" t="s">
        <v>4012</v>
      </c>
      <c r="F223" s="9" t="s">
        <v>25</v>
      </c>
      <c r="G223" s="1">
        <v>46244</v>
      </c>
      <c r="H223" s="1">
        <v>46245</v>
      </c>
      <c r="I223" s="2">
        <v>0.58333333333333337</v>
      </c>
      <c r="J223" s="2">
        <v>0.875</v>
      </c>
      <c r="K223" s="9" t="s">
        <v>261</v>
      </c>
      <c r="L223" s="1"/>
      <c r="M223" s="1"/>
      <c r="N223" s="1"/>
      <c r="O223" s="9"/>
    </row>
    <row r="224" spans="1:15" hidden="1" x14ac:dyDescent="0.25">
      <c r="A224" s="1">
        <v>46245</v>
      </c>
      <c r="B224">
        <v>1193370054</v>
      </c>
      <c r="C224" s="9" t="s">
        <v>918</v>
      </c>
      <c r="D224" s="9" t="s">
        <v>142</v>
      </c>
      <c r="E224" s="9" t="s">
        <v>4012</v>
      </c>
      <c r="F224" s="9" t="s">
        <v>25</v>
      </c>
      <c r="G224" s="1">
        <v>46244</v>
      </c>
      <c r="H224" s="1">
        <v>46244</v>
      </c>
      <c r="I224" s="2">
        <v>0.25</v>
      </c>
      <c r="J224" s="2">
        <v>0.58333333333333337</v>
      </c>
      <c r="K224" s="9" t="s">
        <v>261</v>
      </c>
      <c r="L224" s="1"/>
      <c r="M224" s="1"/>
      <c r="N224" s="1"/>
      <c r="O224" s="9"/>
    </row>
    <row r="225" spans="1:15" hidden="1" x14ac:dyDescent="0.25">
      <c r="A225" s="1">
        <v>46245</v>
      </c>
      <c r="B225">
        <v>1037646627</v>
      </c>
      <c r="C225" s="9" t="s">
        <v>3260</v>
      </c>
      <c r="D225" s="9" t="s">
        <v>121</v>
      </c>
      <c r="E225" s="9" t="s">
        <v>4010</v>
      </c>
      <c r="F225" s="9" t="s">
        <v>25</v>
      </c>
      <c r="G225" s="1">
        <v>46244</v>
      </c>
      <c r="H225" s="1">
        <v>46245</v>
      </c>
      <c r="I225" s="2">
        <v>0.58333333333333337</v>
      </c>
      <c r="J225" s="2">
        <v>0.875</v>
      </c>
      <c r="K225" s="9" t="s">
        <v>245</v>
      </c>
      <c r="L225" s="1"/>
      <c r="M225" s="1"/>
      <c r="N225" s="1"/>
      <c r="O225" s="9"/>
    </row>
    <row r="226" spans="1:15" hidden="1" x14ac:dyDescent="0.25">
      <c r="A226" s="1">
        <v>46244</v>
      </c>
      <c r="B226">
        <v>1048266834</v>
      </c>
      <c r="C226" s="9" t="s">
        <v>1162</v>
      </c>
      <c r="D226" s="9" t="s">
        <v>29</v>
      </c>
      <c r="E226" s="9" t="s">
        <v>4005</v>
      </c>
      <c r="F226" s="9" t="s">
        <v>25</v>
      </c>
      <c r="G226" s="1">
        <v>46244</v>
      </c>
      <c r="H226" s="1">
        <v>46244</v>
      </c>
      <c r="I226" s="2">
        <v>0.25</v>
      </c>
      <c r="J226" s="2">
        <v>0.58333333333333337</v>
      </c>
      <c r="K226" s="9" t="s">
        <v>261</v>
      </c>
      <c r="L226" s="1"/>
      <c r="M226" s="1"/>
      <c r="N226" s="1"/>
      <c r="O226" s="9"/>
    </row>
    <row r="227" spans="1:15" hidden="1" x14ac:dyDescent="0.25">
      <c r="A227" s="1">
        <v>46244</v>
      </c>
      <c r="B227">
        <v>1069505986</v>
      </c>
      <c r="C227" s="9" t="s">
        <v>850</v>
      </c>
      <c r="D227" s="9" t="s">
        <v>142</v>
      </c>
      <c r="E227" s="9" t="s">
        <v>4012</v>
      </c>
      <c r="F227" s="9" t="s">
        <v>25</v>
      </c>
      <c r="G227" s="1">
        <v>46244</v>
      </c>
      <c r="H227" s="1">
        <v>46244</v>
      </c>
      <c r="I227" s="2">
        <v>0.25</v>
      </c>
      <c r="J227" s="2">
        <v>0.58333333333333337</v>
      </c>
      <c r="K227" s="9" t="s">
        <v>261</v>
      </c>
      <c r="L227" s="1"/>
      <c r="M227" s="1"/>
      <c r="N227" s="1"/>
      <c r="O227" s="9"/>
    </row>
    <row r="228" spans="1:15" hidden="1" x14ac:dyDescent="0.25">
      <c r="A228" s="1">
        <v>46245</v>
      </c>
      <c r="B228">
        <v>1039468657</v>
      </c>
      <c r="C228" s="9" t="s">
        <v>2339</v>
      </c>
      <c r="D228" s="9" t="s">
        <v>2019</v>
      </c>
      <c r="E228" s="9" t="s">
        <v>4011</v>
      </c>
      <c r="F228" s="9" t="s">
        <v>25</v>
      </c>
      <c r="G228" s="1">
        <v>46244</v>
      </c>
      <c r="H228" s="1">
        <v>46245</v>
      </c>
      <c r="I228" s="2">
        <v>0.29166666666666669</v>
      </c>
      <c r="J228" s="2">
        <v>0.58333333333333337</v>
      </c>
      <c r="K228" s="9" t="s">
        <v>179</v>
      </c>
      <c r="L228" s="1"/>
      <c r="M228" s="1"/>
      <c r="N228" s="1"/>
      <c r="O228" s="9"/>
    </row>
    <row r="229" spans="1:15" hidden="1" x14ac:dyDescent="0.25">
      <c r="A229" s="1">
        <v>46244</v>
      </c>
      <c r="B229">
        <v>1001995044</v>
      </c>
      <c r="C229" s="9" t="s">
        <v>3787</v>
      </c>
      <c r="D229" s="9" t="s">
        <v>128</v>
      </c>
      <c r="E229" s="9" t="s">
        <v>4005</v>
      </c>
      <c r="F229" s="9" t="s">
        <v>25</v>
      </c>
      <c r="G229" s="1">
        <v>46244</v>
      </c>
      <c r="H229" s="1">
        <v>46244</v>
      </c>
      <c r="I229" s="2"/>
      <c r="J229" s="2"/>
      <c r="K229" s="9" t="s">
        <v>4022</v>
      </c>
      <c r="L229" s="1"/>
      <c r="M229" s="1"/>
      <c r="N229" s="1"/>
      <c r="O229" s="9"/>
    </row>
    <row r="230" spans="1:15" hidden="1" x14ac:dyDescent="0.25">
      <c r="A230" s="1">
        <v>46245</v>
      </c>
      <c r="B230">
        <v>1003361835</v>
      </c>
      <c r="C230" s="9" t="s">
        <v>792</v>
      </c>
      <c r="D230" s="9" t="s">
        <v>420</v>
      </c>
      <c r="E230" s="9" t="s">
        <v>4010</v>
      </c>
      <c r="F230" s="9" t="s">
        <v>25</v>
      </c>
      <c r="G230" s="1">
        <v>46244</v>
      </c>
      <c r="H230" s="1">
        <v>46245</v>
      </c>
      <c r="I230" s="2">
        <v>0.58333333333333337</v>
      </c>
      <c r="J230" s="2">
        <v>0.875</v>
      </c>
      <c r="K230" s="9" t="s">
        <v>261</v>
      </c>
      <c r="L230" s="1"/>
      <c r="M230" s="1"/>
      <c r="N230" s="1"/>
      <c r="O230" s="9"/>
    </row>
    <row r="231" spans="1:15" hidden="1" x14ac:dyDescent="0.25">
      <c r="A231" s="1">
        <v>46244</v>
      </c>
      <c r="B231">
        <v>1007743475</v>
      </c>
      <c r="C231" s="9" t="s">
        <v>3251</v>
      </c>
      <c r="D231" s="9" t="s">
        <v>64</v>
      </c>
      <c r="E231" s="9" t="s">
        <v>4012</v>
      </c>
      <c r="F231" s="9" t="s">
        <v>25</v>
      </c>
      <c r="G231" s="1">
        <v>46244</v>
      </c>
      <c r="H231" s="1">
        <v>46244</v>
      </c>
      <c r="I231" s="2">
        <v>0.58333333333333337</v>
      </c>
      <c r="J231" s="2">
        <v>0.875</v>
      </c>
      <c r="K231" s="9" t="s">
        <v>4022</v>
      </c>
      <c r="L231" s="1"/>
      <c r="M231" s="1"/>
      <c r="N231" s="1"/>
      <c r="O231" s="9"/>
    </row>
    <row r="232" spans="1:15" hidden="1" x14ac:dyDescent="0.25">
      <c r="A232" s="1">
        <v>46245</v>
      </c>
      <c r="B232">
        <v>1002155665</v>
      </c>
      <c r="C232" s="9" t="s">
        <v>3756</v>
      </c>
      <c r="D232" s="9" t="s">
        <v>160</v>
      </c>
      <c r="E232" s="9" t="s">
        <v>4011</v>
      </c>
      <c r="F232" s="9" t="s">
        <v>25</v>
      </c>
      <c r="G232" s="1">
        <v>46244</v>
      </c>
      <c r="H232" s="1">
        <v>46245</v>
      </c>
      <c r="I232" s="2">
        <v>0.54166666666666663</v>
      </c>
      <c r="J232" s="2">
        <v>0.875</v>
      </c>
      <c r="K232" s="9" t="s">
        <v>4022</v>
      </c>
      <c r="L232" s="1"/>
      <c r="M232" s="1"/>
      <c r="N232" s="1"/>
      <c r="O232" s="9"/>
    </row>
    <row r="233" spans="1:15" hidden="1" x14ac:dyDescent="0.25">
      <c r="A233" s="1">
        <v>46244</v>
      </c>
      <c r="B233">
        <v>43616929</v>
      </c>
      <c r="C233" s="9" t="s">
        <v>347</v>
      </c>
      <c r="D233" s="9" t="s">
        <v>78</v>
      </c>
      <c r="E233" s="9" t="s">
        <v>4010</v>
      </c>
      <c r="F233" s="9" t="s">
        <v>25</v>
      </c>
      <c r="G233" s="1">
        <v>46244</v>
      </c>
      <c r="H233" s="1">
        <v>46244</v>
      </c>
      <c r="I233" s="2">
        <v>0.58333333333333337</v>
      </c>
      <c r="J233" s="2">
        <v>0.875</v>
      </c>
      <c r="K233" s="9" t="s">
        <v>4022</v>
      </c>
      <c r="L233" s="1"/>
      <c r="M233" s="1"/>
      <c r="N233" s="1"/>
      <c r="O233" s="9"/>
    </row>
    <row r="234" spans="1:15" hidden="1" x14ac:dyDescent="0.25">
      <c r="A234" s="1">
        <v>46246</v>
      </c>
      <c r="B234">
        <v>1014237413</v>
      </c>
      <c r="C234" s="9" t="s">
        <v>756</v>
      </c>
      <c r="D234" s="9" t="s">
        <v>420</v>
      </c>
      <c r="E234" s="9" t="s">
        <v>4010</v>
      </c>
      <c r="F234" s="9" t="s">
        <v>25</v>
      </c>
      <c r="G234" s="1">
        <v>46244</v>
      </c>
      <c r="H234" s="1">
        <v>46246</v>
      </c>
      <c r="I234" s="2">
        <v>0.25</v>
      </c>
      <c r="J234" s="2">
        <v>0.54166666666666663</v>
      </c>
      <c r="K234" s="9" t="s">
        <v>261</v>
      </c>
      <c r="L234" s="1"/>
      <c r="M234" s="1"/>
      <c r="N234" s="1"/>
      <c r="O234" s="9"/>
    </row>
    <row r="235" spans="1:15" hidden="1" x14ac:dyDescent="0.25">
      <c r="A235" s="1">
        <v>46244</v>
      </c>
      <c r="B235">
        <v>1124014714</v>
      </c>
      <c r="C235" s="9" t="s">
        <v>2153</v>
      </c>
      <c r="D235" s="9" t="s">
        <v>343</v>
      </c>
      <c r="E235" s="9" t="s">
        <v>4012</v>
      </c>
      <c r="F235" s="9" t="s">
        <v>25</v>
      </c>
      <c r="G235" s="1">
        <v>46244</v>
      </c>
      <c r="H235" s="1">
        <v>46245</v>
      </c>
      <c r="I235" s="2">
        <v>0.54166666666666663</v>
      </c>
      <c r="J235" s="2">
        <v>0.875</v>
      </c>
      <c r="K235" s="9" t="s">
        <v>4022</v>
      </c>
      <c r="L235" s="1"/>
      <c r="M235" s="1"/>
      <c r="N235" s="1"/>
      <c r="O235" s="9"/>
    </row>
    <row r="236" spans="1:15" hidden="1" x14ac:dyDescent="0.25">
      <c r="A236" s="1">
        <v>46245</v>
      </c>
      <c r="B236">
        <v>1193568408</v>
      </c>
      <c r="C236" s="9" t="s">
        <v>373</v>
      </c>
      <c r="D236" s="9" t="s">
        <v>322</v>
      </c>
      <c r="E236" s="9" t="s">
        <v>4017</v>
      </c>
      <c r="F236" s="9" t="s">
        <v>25</v>
      </c>
      <c r="G236" s="1">
        <v>46244</v>
      </c>
      <c r="H236" s="1">
        <v>46245</v>
      </c>
      <c r="I236" s="2">
        <v>0.25</v>
      </c>
      <c r="J236" s="2">
        <v>0.58333333333333337</v>
      </c>
      <c r="K236" s="9" t="s">
        <v>3622</v>
      </c>
      <c r="L236" s="1"/>
      <c r="M236" s="1"/>
      <c r="N236" s="1"/>
      <c r="O236" s="9"/>
    </row>
    <row r="237" spans="1:15" hidden="1" x14ac:dyDescent="0.25">
      <c r="A237" s="1">
        <v>46245</v>
      </c>
      <c r="B237">
        <v>1007959114</v>
      </c>
      <c r="C237" s="9" t="s">
        <v>2581</v>
      </c>
      <c r="D237" s="9" t="s">
        <v>51</v>
      </c>
      <c r="E237" s="9" t="s">
        <v>4011</v>
      </c>
      <c r="F237" s="9" t="s">
        <v>25</v>
      </c>
      <c r="G237" s="1">
        <v>46244</v>
      </c>
      <c r="H237" s="1">
        <v>46244</v>
      </c>
      <c r="I237" s="2">
        <v>0.58333333333333337</v>
      </c>
      <c r="J237" s="2">
        <v>0.875</v>
      </c>
      <c r="K237" s="9" t="s">
        <v>261</v>
      </c>
      <c r="L237" s="1"/>
      <c r="M237" s="1"/>
      <c r="N237" s="1"/>
      <c r="O237" s="9"/>
    </row>
    <row r="238" spans="1:15" hidden="1" x14ac:dyDescent="0.25">
      <c r="A238" s="1">
        <v>46244</v>
      </c>
      <c r="B238">
        <v>1053853703</v>
      </c>
      <c r="C238" s="9" t="s">
        <v>2150</v>
      </c>
      <c r="D238" s="9" t="s">
        <v>543</v>
      </c>
      <c r="E238" s="9" t="s">
        <v>4010</v>
      </c>
      <c r="F238" s="9" t="s">
        <v>4053</v>
      </c>
      <c r="G238" s="1">
        <v>46244</v>
      </c>
      <c r="H238" s="1">
        <v>46244</v>
      </c>
      <c r="I238" s="2">
        <v>0.5</v>
      </c>
      <c r="J238" s="2">
        <v>0.83333333333333337</v>
      </c>
      <c r="K238" s="9" t="s">
        <v>261</v>
      </c>
      <c r="L238" s="1"/>
      <c r="M238" s="1"/>
      <c r="N238" s="1"/>
      <c r="O238" s="9"/>
    </row>
    <row r="239" spans="1:15" hidden="1" x14ac:dyDescent="0.25">
      <c r="A239" s="1">
        <v>46244</v>
      </c>
      <c r="B239">
        <v>1216726482</v>
      </c>
      <c r="C239" s="9" t="s">
        <v>2940</v>
      </c>
      <c r="D239" s="9" t="s">
        <v>553</v>
      </c>
      <c r="E239" s="9" t="s">
        <v>4010</v>
      </c>
      <c r="F239" s="9" t="s">
        <v>4053</v>
      </c>
      <c r="G239" s="1">
        <v>46244</v>
      </c>
      <c r="H239" s="1">
        <v>46244</v>
      </c>
      <c r="I239" s="2">
        <v>0.58333333333333337</v>
      </c>
      <c r="J239" s="2">
        <v>0.875</v>
      </c>
      <c r="K239" s="9" t="s">
        <v>261</v>
      </c>
      <c r="L239" s="1"/>
      <c r="M239" s="1"/>
      <c r="N239" s="1"/>
      <c r="O239" s="9"/>
    </row>
    <row r="240" spans="1:15" hidden="1" x14ac:dyDescent="0.25">
      <c r="A240" s="1">
        <v>46246</v>
      </c>
      <c r="B240">
        <v>1000921455</v>
      </c>
      <c r="C240" s="9" t="s">
        <v>33</v>
      </c>
      <c r="D240" s="9" t="s">
        <v>34</v>
      </c>
      <c r="E240" s="9" t="s">
        <v>4011</v>
      </c>
      <c r="F240" s="9" t="s">
        <v>25</v>
      </c>
      <c r="G240" s="1">
        <v>46242</v>
      </c>
      <c r="H240" s="1">
        <v>46246</v>
      </c>
      <c r="I240" s="2">
        <v>0.58333333333333337</v>
      </c>
      <c r="J240" s="2">
        <v>0.875</v>
      </c>
      <c r="K240" s="9" t="s">
        <v>261</v>
      </c>
      <c r="L240" s="1"/>
      <c r="M240" s="1"/>
      <c r="N240" s="1"/>
      <c r="O240" s="9"/>
    </row>
    <row r="241" spans="1:15" hidden="1" x14ac:dyDescent="0.25">
      <c r="A241" s="1">
        <v>46245</v>
      </c>
      <c r="B241">
        <v>1007842898</v>
      </c>
      <c r="C241" s="9" t="s">
        <v>4132</v>
      </c>
      <c r="D241" s="9" t="s">
        <v>343</v>
      </c>
      <c r="E241" s="9" t="s">
        <v>4012</v>
      </c>
      <c r="F241" s="9" t="s">
        <v>4015</v>
      </c>
      <c r="G241" s="1">
        <v>46244</v>
      </c>
      <c r="H241" s="1">
        <v>46246</v>
      </c>
      <c r="I241" s="2">
        <v>0.58333333333333337</v>
      </c>
      <c r="J241" s="2">
        <v>0.875</v>
      </c>
      <c r="K241" s="9" t="s">
        <v>261</v>
      </c>
      <c r="L241" s="1"/>
      <c r="M241" s="1"/>
      <c r="N241" s="1"/>
      <c r="O241" s="9"/>
    </row>
    <row r="242" spans="1:15" hidden="1" x14ac:dyDescent="0.25">
      <c r="A242" s="1">
        <v>46245</v>
      </c>
      <c r="B242">
        <v>1045718883</v>
      </c>
      <c r="C242" s="9" t="s">
        <v>47</v>
      </c>
      <c r="D242" s="9" t="s">
        <v>34</v>
      </c>
      <c r="E242" s="9" t="s">
        <v>4011</v>
      </c>
      <c r="F242" s="9" t="s">
        <v>25</v>
      </c>
      <c r="G242" s="1">
        <v>46240</v>
      </c>
      <c r="H242" s="1">
        <v>46249</v>
      </c>
      <c r="I242" s="2">
        <v>0.54166666666666663</v>
      </c>
      <c r="J242" s="2">
        <v>0.875</v>
      </c>
      <c r="K242" s="9" t="s">
        <v>241</v>
      </c>
      <c r="L242" s="1"/>
      <c r="M242" s="1"/>
      <c r="N242" s="1"/>
      <c r="O242" s="9"/>
    </row>
    <row r="243" spans="1:15" hidden="1" x14ac:dyDescent="0.25">
      <c r="A243" s="1">
        <v>46248</v>
      </c>
      <c r="B243">
        <v>1001851670</v>
      </c>
      <c r="C243" s="9" t="s">
        <v>14</v>
      </c>
      <c r="D243" s="9" t="s">
        <v>15</v>
      </c>
      <c r="E243" s="9" t="s">
        <v>4012</v>
      </c>
      <c r="F243" s="9" t="s">
        <v>16</v>
      </c>
      <c r="G243" s="1">
        <v>46241</v>
      </c>
      <c r="H243" s="1">
        <v>46366</v>
      </c>
      <c r="I243" s="2">
        <v>0.25</v>
      </c>
      <c r="J243" s="2">
        <v>0.54166666666666663</v>
      </c>
      <c r="K243" s="9" t="s">
        <v>18</v>
      </c>
      <c r="L243" s="1"/>
      <c r="M243" s="1"/>
      <c r="N243" s="1"/>
      <c r="O243" s="9"/>
    </row>
    <row r="244" spans="1:15" hidden="1" x14ac:dyDescent="0.25">
      <c r="A244" s="1">
        <v>46247</v>
      </c>
      <c r="B244">
        <v>1037671907</v>
      </c>
      <c r="C244" s="9" t="s">
        <v>4136</v>
      </c>
      <c r="D244" s="9" t="s">
        <v>57</v>
      </c>
      <c r="E244" s="9" t="s">
        <v>4010</v>
      </c>
      <c r="F244" s="9" t="s">
        <v>4015</v>
      </c>
      <c r="G244" s="1">
        <v>46245</v>
      </c>
      <c r="H244" s="1">
        <v>46247</v>
      </c>
      <c r="I244" s="2">
        <v>0.25</v>
      </c>
      <c r="J244" s="2">
        <v>0.54166666666666663</v>
      </c>
      <c r="K244" s="9" t="s">
        <v>261</v>
      </c>
      <c r="L244" s="1"/>
      <c r="M244" s="1"/>
      <c r="N244" s="1"/>
      <c r="O244" s="9"/>
    </row>
    <row r="245" spans="1:15" hidden="1" x14ac:dyDescent="0.25">
      <c r="A245" s="1">
        <v>46245</v>
      </c>
      <c r="B245">
        <v>1124014714</v>
      </c>
      <c r="C245" s="9" t="s">
        <v>2153</v>
      </c>
      <c r="D245" s="9" t="s">
        <v>343</v>
      </c>
      <c r="E245" s="9" t="s">
        <v>4012</v>
      </c>
      <c r="F245" s="9" t="s">
        <v>4040</v>
      </c>
      <c r="G245" s="1">
        <v>46244</v>
      </c>
      <c r="H245" s="1">
        <v>46245</v>
      </c>
      <c r="I245" s="2">
        <v>0.54166666666666663</v>
      </c>
      <c r="J245" s="2">
        <v>0.875</v>
      </c>
      <c r="K245" s="9" t="s">
        <v>4022</v>
      </c>
      <c r="L245" s="1"/>
      <c r="M245" s="1"/>
      <c r="N245" s="1"/>
      <c r="O245" s="9"/>
    </row>
    <row r="246" spans="1:15" hidden="1" x14ac:dyDescent="0.25">
      <c r="A246" s="1">
        <v>46248</v>
      </c>
      <c r="B246">
        <v>1000662062</v>
      </c>
      <c r="C246" s="9" t="s">
        <v>260</v>
      </c>
      <c r="D246" s="9" t="s">
        <v>64</v>
      </c>
      <c r="E246" s="9" t="s">
        <v>4012</v>
      </c>
      <c r="F246" s="9" t="s">
        <v>25</v>
      </c>
      <c r="G246" s="1">
        <v>46245</v>
      </c>
      <c r="H246" s="1">
        <v>46249</v>
      </c>
      <c r="I246" s="2">
        <v>0.58333333333333337</v>
      </c>
      <c r="J246" s="2">
        <v>0.875</v>
      </c>
      <c r="K246" s="9" t="s">
        <v>261</v>
      </c>
      <c r="L246" s="1"/>
      <c r="M246" s="1"/>
      <c r="N246" s="1"/>
      <c r="O246" s="9"/>
    </row>
    <row r="247" spans="1:15" hidden="1" x14ac:dyDescent="0.25">
      <c r="A247" s="1">
        <v>46246</v>
      </c>
      <c r="B247">
        <v>1000408752</v>
      </c>
      <c r="C247" s="9" t="s">
        <v>3598</v>
      </c>
      <c r="D247" s="9" t="s">
        <v>64</v>
      </c>
      <c r="E247" s="9" t="s">
        <v>4012</v>
      </c>
      <c r="F247" s="9" t="s">
        <v>25</v>
      </c>
      <c r="G247" s="1">
        <v>46244</v>
      </c>
      <c r="H247" s="1">
        <v>46246</v>
      </c>
      <c r="I247" s="2">
        <v>0.25</v>
      </c>
      <c r="J247" s="2">
        <v>0.58333333333333337</v>
      </c>
      <c r="K247" s="9" t="s">
        <v>261</v>
      </c>
      <c r="L247" s="1"/>
      <c r="M247" s="1"/>
      <c r="N247" s="1"/>
      <c r="O247" s="9"/>
    </row>
    <row r="248" spans="1:15" hidden="1" x14ac:dyDescent="0.25">
      <c r="A248" s="1">
        <v>46247</v>
      </c>
      <c r="B248">
        <v>1077462479</v>
      </c>
      <c r="C248" s="9" t="s">
        <v>3992</v>
      </c>
      <c r="D248" s="9" t="s">
        <v>142</v>
      </c>
      <c r="E248" s="9" t="s">
        <v>4012</v>
      </c>
      <c r="F248" s="9" t="s">
        <v>4053</v>
      </c>
      <c r="G248" s="1">
        <v>46245</v>
      </c>
      <c r="H248" s="1">
        <v>46247</v>
      </c>
      <c r="I248" s="2">
        <v>0.5</v>
      </c>
      <c r="J248" s="2">
        <v>0.83333333333333337</v>
      </c>
      <c r="K248" s="9" t="s">
        <v>155</v>
      </c>
      <c r="L248" s="1"/>
      <c r="M248" s="1"/>
      <c r="N248" s="1"/>
      <c r="O248" s="9"/>
    </row>
    <row r="249" spans="1:15" hidden="1" x14ac:dyDescent="0.25">
      <c r="A249" s="1">
        <v>46246</v>
      </c>
      <c r="B249">
        <v>1017209928</v>
      </c>
      <c r="C249" s="9" t="s">
        <v>1135</v>
      </c>
      <c r="D249" s="9" t="s">
        <v>326</v>
      </c>
      <c r="E249" s="9" t="s">
        <v>4005</v>
      </c>
      <c r="F249" s="9" t="s">
        <v>25</v>
      </c>
      <c r="G249" s="1">
        <v>46245</v>
      </c>
      <c r="H249" s="1">
        <v>46246</v>
      </c>
      <c r="I249" s="2">
        <v>0.25</v>
      </c>
      <c r="J249" s="2">
        <v>0.54166666666666663</v>
      </c>
      <c r="K249" s="9" t="s">
        <v>261</v>
      </c>
      <c r="L249" s="1"/>
      <c r="M249" s="1"/>
      <c r="N249" s="1"/>
      <c r="O249" s="9"/>
    </row>
    <row r="250" spans="1:15" hidden="1" x14ac:dyDescent="0.25">
      <c r="A250" s="1">
        <v>46245</v>
      </c>
      <c r="B250">
        <v>1007508679</v>
      </c>
      <c r="C250" s="9" t="s">
        <v>1298</v>
      </c>
      <c r="D250" s="9" t="s">
        <v>15</v>
      </c>
      <c r="E250" s="9" t="s">
        <v>4012</v>
      </c>
      <c r="F250" s="9" t="s">
        <v>25</v>
      </c>
      <c r="G250" s="1">
        <v>46245</v>
      </c>
      <c r="H250" s="1">
        <v>46245</v>
      </c>
      <c r="I250" s="2">
        <v>0.58333333333333337</v>
      </c>
      <c r="J250" s="2">
        <v>0.875</v>
      </c>
      <c r="K250" s="9" t="s">
        <v>261</v>
      </c>
      <c r="L250" s="1"/>
      <c r="M250" s="1"/>
      <c r="N250" s="1"/>
      <c r="O250" s="9"/>
    </row>
    <row r="251" spans="1:15" hidden="1" x14ac:dyDescent="0.25">
      <c r="A251" s="1">
        <v>46246</v>
      </c>
      <c r="B251">
        <v>1143360194</v>
      </c>
      <c r="C251" s="9" t="s">
        <v>3473</v>
      </c>
      <c r="D251" s="9" t="s">
        <v>160</v>
      </c>
      <c r="E251" s="9" t="s">
        <v>4011</v>
      </c>
      <c r="F251" s="9" t="s">
        <v>25</v>
      </c>
      <c r="G251" s="1">
        <v>46245</v>
      </c>
      <c r="H251" s="1">
        <v>46246</v>
      </c>
      <c r="I251" s="2">
        <v>0.58333333333333337</v>
      </c>
      <c r="J251" s="2">
        <v>0.875</v>
      </c>
      <c r="K251" s="9" t="s">
        <v>4022</v>
      </c>
      <c r="L251" s="1"/>
      <c r="M251" s="1"/>
      <c r="N251" s="1"/>
      <c r="O251" s="9"/>
    </row>
    <row r="252" spans="1:15" hidden="1" x14ac:dyDescent="0.25">
      <c r="A252" s="1">
        <v>46245</v>
      </c>
      <c r="B252">
        <v>1001944593</v>
      </c>
      <c r="C252" s="9" t="s">
        <v>2578</v>
      </c>
      <c r="D252" s="9" t="s">
        <v>78</v>
      </c>
      <c r="E252" s="9" t="s">
        <v>4010</v>
      </c>
      <c r="F252" s="9" t="s">
        <v>25</v>
      </c>
      <c r="G252" s="1">
        <v>46245</v>
      </c>
      <c r="H252" s="1">
        <v>46245</v>
      </c>
      <c r="I252" s="2">
        <v>0.25</v>
      </c>
      <c r="J252" s="2">
        <v>0.54166666666666663</v>
      </c>
      <c r="K252" s="9" t="s">
        <v>4022</v>
      </c>
      <c r="L252" s="1"/>
      <c r="M252" s="1"/>
      <c r="N252" s="1"/>
      <c r="O252" s="9"/>
    </row>
    <row r="253" spans="1:15" hidden="1" x14ac:dyDescent="0.25">
      <c r="A253" s="1">
        <v>46246</v>
      </c>
      <c r="B253">
        <v>1140876076</v>
      </c>
      <c r="C253" s="9" t="s">
        <v>1263</v>
      </c>
      <c r="D253" s="9" t="s">
        <v>34</v>
      </c>
      <c r="E253" s="9" t="s">
        <v>4011</v>
      </c>
      <c r="F253" s="9" t="s">
        <v>25</v>
      </c>
      <c r="G253" s="1">
        <v>46245</v>
      </c>
      <c r="H253" s="1">
        <v>46246</v>
      </c>
      <c r="I253" s="2">
        <v>0.25</v>
      </c>
      <c r="J253" s="2">
        <v>0.58333333333333337</v>
      </c>
      <c r="K253" s="9" t="s">
        <v>261</v>
      </c>
      <c r="L253" s="1"/>
      <c r="M253" s="1"/>
      <c r="N253" s="1"/>
      <c r="O253" s="9"/>
    </row>
    <row r="254" spans="1:15" hidden="1" x14ac:dyDescent="0.25">
      <c r="A254" s="1">
        <v>46248</v>
      </c>
      <c r="B254">
        <v>1001897056</v>
      </c>
      <c r="C254" s="9" t="s">
        <v>3660</v>
      </c>
      <c r="D254" s="9" t="s">
        <v>128</v>
      </c>
      <c r="E254" s="9" t="s">
        <v>4005</v>
      </c>
      <c r="F254" s="9" t="s">
        <v>25</v>
      </c>
      <c r="G254" s="1">
        <v>46245</v>
      </c>
      <c r="H254" s="1">
        <v>46249</v>
      </c>
      <c r="I254" s="2">
        <v>0.54166666666666663</v>
      </c>
      <c r="J254" s="2">
        <v>0.875</v>
      </c>
      <c r="K254" s="9" t="s">
        <v>261</v>
      </c>
      <c r="L254" s="1"/>
      <c r="M254" s="1"/>
      <c r="N254" s="1"/>
      <c r="O254" s="9"/>
    </row>
    <row r="255" spans="1:15" hidden="1" x14ac:dyDescent="0.25">
      <c r="A255" s="1">
        <v>46247</v>
      </c>
      <c r="B255">
        <v>1193584838</v>
      </c>
      <c r="C255" s="9" t="s">
        <v>2955</v>
      </c>
      <c r="D255" s="9" t="s">
        <v>142</v>
      </c>
      <c r="E255" s="9" t="s">
        <v>4012</v>
      </c>
      <c r="F255" s="9" t="s">
        <v>25</v>
      </c>
      <c r="G255" s="1">
        <v>46245</v>
      </c>
      <c r="H255" s="1">
        <v>46247</v>
      </c>
      <c r="I255" s="2">
        <v>0.25</v>
      </c>
      <c r="J255" s="2">
        <v>0.58333333333333337</v>
      </c>
      <c r="K255" s="9" t="s">
        <v>261</v>
      </c>
      <c r="L255" s="1"/>
      <c r="M255" s="1"/>
      <c r="N255" s="1"/>
      <c r="O255" s="9"/>
    </row>
    <row r="256" spans="1:15" hidden="1" x14ac:dyDescent="0.25">
      <c r="A256" s="1">
        <v>46245</v>
      </c>
      <c r="B256">
        <v>1052974971</v>
      </c>
      <c r="C256" s="9" t="s">
        <v>765</v>
      </c>
      <c r="D256" s="9" t="s">
        <v>97</v>
      </c>
      <c r="E256" s="9" t="s">
        <v>4005</v>
      </c>
      <c r="F256" s="9" t="s">
        <v>25</v>
      </c>
      <c r="G256" s="1">
        <v>46245</v>
      </c>
      <c r="H256" s="1">
        <v>46245</v>
      </c>
      <c r="I256" s="2">
        <v>0.41666666666666669</v>
      </c>
      <c r="J256" s="2">
        <v>0.79166666666666663</v>
      </c>
      <c r="K256" s="9" t="s">
        <v>4022</v>
      </c>
      <c r="L256" s="1"/>
      <c r="M256" s="1"/>
      <c r="N256" s="1"/>
      <c r="O256" s="9"/>
    </row>
    <row r="257" spans="1:15" hidden="1" x14ac:dyDescent="0.25">
      <c r="A257" s="1">
        <v>46246</v>
      </c>
      <c r="B257">
        <v>43271257</v>
      </c>
      <c r="C257" s="9" t="s">
        <v>1236</v>
      </c>
      <c r="D257" s="9" t="s">
        <v>34</v>
      </c>
      <c r="E257" s="9" t="s">
        <v>4011</v>
      </c>
      <c r="F257" s="9" t="s">
        <v>25</v>
      </c>
      <c r="G257" s="1">
        <v>46245</v>
      </c>
      <c r="H257" s="1">
        <v>46246</v>
      </c>
      <c r="I257" s="2">
        <v>0.25</v>
      </c>
      <c r="J257" s="2">
        <v>0.54166666666666663</v>
      </c>
      <c r="K257" s="9" t="s">
        <v>261</v>
      </c>
      <c r="L257" s="1"/>
      <c r="M257" s="1"/>
      <c r="N257" s="1"/>
      <c r="O257" s="9"/>
    </row>
    <row r="258" spans="1:15" hidden="1" x14ac:dyDescent="0.25">
      <c r="A258" s="1">
        <v>46246</v>
      </c>
      <c r="B258">
        <v>1000416307</v>
      </c>
      <c r="C258" s="9" t="s">
        <v>3014</v>
      </c>
      <c r="D258" s="9" t="s">
        <v>82</v>
      </c>
      <c r="E258" s="9" t="s">
        <v>4005</v>
      </c>
      <c r="F258" s="9" t="s">
        <v>25</v>
      </c>
      <c r="G258" s="1">
        <v>46245</v>
      </c>
      <c r="H258" s="1">
        <v>46246</v>
      </c>
      <c r="I258" s="2">
        <v>0.25</v>
      </c>
      <c r="J258" s="2">
        <v>0.54166666666666663</v>
      </c>
      <c r="K258" s="9" t="s">
        <v>107</v>
      </c>
      <c r="L258" s="1"/>
      <c r="M258" s="1"/>
      <c r="N258" s="1"/>
      <c r="O258" s="9"/>
    </row>
    <row r="259" spans="1:15" hidden="1" x14ac:dyDescent="0.25">
      <c r="A259" s="1">
        <v>46246</v>
      </c>
      <c r="B259">
        <v>1057608489</v>
      </c>
      <c r="C259" s="9" t="s">
        <v>3032</v>
      </c>
      <c r="D259" s="9" t="s">
        <v>82</v>
      </c>
      <c r="E259" s="9" t="s">
        <v>4005</v>
      </c>
      <c r="F259" s="9" t="s">
        <v>25</v>
      </c>
      <c r="G259" s="1">
        <v>46245</v>
      </c>
      <c r="H259" s="1">
        <v>46246</v>
      </c>
      <c r="I259" s="2">
        <v>0.58333333333333337</v>
      </c>
      <c r="J259" s="2">
        <v>0.875</v>
      </c>
      <c r="K259" s="9" t="s">
        <v>261</v>
      </c>
      <c r="L259" s="1"/>
      <c r="M259" s="1"/>
      <c r="N259" s="1"/>
      <c r="O259" s="9"/>
    </row>
    <row r="260" spans="1:15" hidden="1" x14ac:dyDescent="0.25">
      <c r="A260" s="1">
        <v>46246</v>
      </c>
      <c r="B260">
        <v>1020470720</v>
      </c>
      <c r="C260" s="9" t="s">
        <v>544</v>
      </c>
      <c r="D260" s="9" t="s">
        <v>543</v>
      </c>
      <c r="E260" s="9" t="s">
        <v>4010</v>
      </c>
      <c r="F260" s="9" t="s">
        <v>25</v>
      </c>
      <c r="G260" s="1">
        <v>46245</v>
      </c>
      <c r="H260" s="1">
        <v>46246</v>
      </c>
      <c r="I260" s="2">
        <v>0.25</v>
      </c>
      <c r="J260" s="2">
        <v>0.58333333333333337</v>
      </c>
      <c r="K260" s="9" t="s">
        <v>261</v>
      </c>
      <c r="L260" s="1"/>
      <c r="M260" s="1"/>
      <c r="N260" s="1"/>
      <c r="O260" s="9"/>
    </row>
    <row r="261" spans="1:15" hidden="1" x14ac:dyDescent="0.25">
      <c r="A261" s="1">
        <v>46246</v>
      </c>
      <c r="B261">
        <v>1047503032</v>
      </c>
      <c r="C261" s="9" t="s">
        <v>2974</v>
      </c>
      <c r="D261" s="9" t="s">
        <v>89</v>
      </c>
      <c r="E261" s="9" t="s">
        <v>4017</v>
      </c>
      <c r="F261" s="9" t="s">
        <v>25</v>
      </c>
      <c r="G261" s="1">
        <v>46245</v>
      </c>
      <c r="H261" s="1">
        <v>46246</v>
      </c>
      <c r="I261" s="2">
        <v>0.25</v>
      </c>
      <c r="J261" s="2">
        <v>0.58333333333333337</v>
      </c>
      <c r="K261" s="9" t="s">
        <v>4139</v>
      </c>
      <c r="L261" s="1"/>
      <c r="M261" s="1"/>
      <c r="N261" s="1"/>
      <c r="O261" s="9"/>
    </row>
    <row r="262" spans="1:15" hidden="1" x14ac:dyDescent="0.25">
      <c r="A262" s="1">
        <v>46247</v>
      </c>
      <c r="B262">
        <v>1143373273</v>
      </c>
      <c r="C262" s="9" t="s">
        <v>1984</v>
      </c>
      <c r="D262" s="9" t="s">
        <v>211</v>
      </c>
      <c r="E262" s="9" t="s">
        <v>4017</v>
      </c>
      <c r="F262" s="9" t="s">
        <v>25</v>
      </c>
      <c r="G262" s="1">
        <v>46245</v>
      </c>
      <c r="H262" s="1">
        <v>46247</v>
      </c>
      <c r="I262" s="2">
        <v>0.25</v>
      </c>
      <c r="J262" s="2">
        <v>0.58333333333333337</v>
      </c>
      <c r="K262" s="9" t="s">
        <v>3622</v>
      </c>
      <c r="L262" s="1"/>
      <c r="M262" s="1"/>
      <c r="N262" s="1"/>
      <c r="O262" s="9"/>
    </row>
    <row r="263" spans="1:15" hidden="1" x14ac:dyDescent="0.25">
      <c r="A263" s="1">
        <v>46246</v>
      </c>
      <c r="B263">
        <v>1085265026</v>
      </c>
      <c r="C263" s="9" t="s">
        <v>3413</v>
      </c>
      <c r="D263" s="9" t="s">
        <v>64</v>
      </c>
      <c r="E263" s="9" t="s">
        <v>4012</v>
      </c>
      <c r="F263" s="9" t="s">
        <v>4137</v>
      </c>
      <c r="G263" s="1">
        <v>46245</v>
      </c>
      <c r="H263" s="1">
        <v>46249</v>
      </c>
      <c r="I263" s="2">
        <v>0.58333333333333337</v>
      </c>
      <c r="J263" s="2">
        <v>0.875</v>
      </c>
      <c r="K263" s="9" t="s">
        <v>163</v>
      </c>
      <c r="L263" s="1"/>
      <c r="M263" s="1"/>
      <c r="N263" s="1"/>
      <c r="O263" s="9"/>
    </row>
    <row r="264" spans="1:15" hidden="1" x14ac:dyDescent="0.25">
      <c r="A264" s="1">
        <v>46246</v>
      </c>
      <c r="B264">
        <v>1044393706</v>
      </c>
      <c r="C264" s="9" t="s">
        <v>822</v>
      </c>
      <c r="D264" s="9" t="s">
        <v>78</v>
      </c>
      <c r="E264" s="9" t="s">
        <v>4010</v>
      </c>
      <c r="F264" s="9" t="s">
        <v>25</v>
      </c>
      <c r="G264" s="1">
        <v>46245</v>
      </c>
      <c r="H264" s="1">
        <v>46246</v>
      </c>
      <c r="I264" s="2">
        <v>0.54166666666666663</v>
      </c>
      <c r="J264" s="2">
        <v>0.875</v>
      </c>
      <c r="K264" s="9" t="s">
        <v>261</v>
      </c>
      <c r="L264" s="1"/>
      <c r="M264" s="1"/>
      <c r="N264" s="1"/>
      <c r="O264" s="9"/>
    </row>
    <row r="265" spans="1:15" hidden="1" x14ac:dyDescent="0.25">
      <c r="A265" s="1">
        <v>46246</v>
      </c>
      <c r="B265">
        <v>1037570349</v>
      </c>
      <c r="C265" s="9" t="s">
        <v>2770</v>
      </c>
      <c r="D265" s="9" t="s">
        <v>78</v>
      </c>
      <c r="E265" s="9" t="s">
        <v>4010</v>
      </c>
      <c r="F265" s="9" t="s">
        <v>25</v>
      </c>
      <c r="G265" s="1">
        <v>46245</v>
      </c>
      <c r="H265" s="1">
        <v>46246</v>
      </c>
      <c r="I265" s="2">
        <v>0.25</v>
      </c>
      <c r="J265" s="2">
        <v>0.54166666666666663</v>
      </c>
      <c r="K265" s="9" t="s">
        <v>4022</v>
      </c>
      <c r="L265" s="1"/>
      <c r="M265" s="1"/>
      <c r="N265" s="1"/>
      <c r="O265" s="9"/>
    </row>
    <row r="266" spans="1:15" hidden="1" x14ac:dyDescent="0.25">
      <c r="A266" s="1">
        <v>46247</v>
      </c>
      <c r="B266">
        <v>1004960056</v>
      </c>
      <c r="C266" s="9" t="s">
        <v>563</v>
      </c>
      <c r="D266" s="9" t="s">
        <v>553</v>
      </c>
      <c r="E266" s="9" t="s">
        <v>4010</v>
      </c>
      <c r="F266" s="9" t="s">
        <v>4058</v>
      </c>
      <c r="G266" s="1">
        <v>46246</v>
      </c>
      <c r="H266" s="1">
        <v>46247</v>
      </c>
      <c r="I266" s="2">
        <v>0.25</v>
      </c>
      <c r="J266" s="2">
        <v>0.54166666666666663</v>
      </c>
      <c r="K266" s="9" t="s">
        <v>163</v>
      </c>
      <c r="L266" s="1"/>
      <c r="M266" s="1"/>
      <c r="N266" s="1"/>
      <c r="O266" s="9"/>
    </row>
    <row r="267" spans="1:15" hidden="1" x14ac:dyDescent="0.25">
      <c r="A267" s="1">
        <v>46248</v>
      </c>
      <c r="B267">
        <v>1045718883</v>
      </c>
      <c r="C267" s="9" t="s">
        <v>47</v>
      </c>
      <c r="D267" s="9" t="s">
        <v>34</v>
      </c>
      <c r="E267" s="9" t="s">
        <v>4011</v>
      </c>
      <c r="F267" s="9" t="s">
        <v>16</v>
      </c>
      <c r="G267" s="1">
        <v>46245</v>
      </c>
      <c r="H267" s="1">
        <v>46340</v>
      </c>
      <c r="I267" s="2">
        <v>0.25</v>
      </c>
      <c r="J267" s="2">
        <v>0.54166666666666663</v>
      </c>
      <c r="K267" s="9" t="s">
        <v>74</v>
      </c>
      <c r="L267" s="1"/>
      <c r="M267" s="1"/>
      <c r="N267" s="1"/>
      <c r="O267" s="9"/>
    </row>
    <row r="268" spans="1:15" hidden="1" x14ac:dyDescent="0.25">
      <c r="A268" s="1">
        <v>46248</v>
      </c>
      <c r="B268">
        <v>1035876080</v>
      </c>
      <c r="C268" s="9" t="s">
        <v>120</v>
      </c>
      <c r="D268" s="9" t="s">
        <v>121</v>
      </c>
      <c r="E268" s="9" t="s">
        <v>4010</v>
      </c>
      <c r="F268" s="9" t="s">
        <v>25</v>
      </c>
      <c r="G268" s="1">
        <v>46246</v>
      </c>
      <c r="H268" s="1">
        <v>46254</v>
      </c>
      <c r="I268" s="2">
        <v>0.25</v>
      </c>
      <c r="J268" s="2">
        <v>0.58333333333333337</v>
      </c>
      <c r="K268" s="9" t="s">
        <v>172</v>
      </c>
      <c r="L268" s="1"/>
      <c r="M268" s="1"/>
      <c r="N268" s="1"/>
      <c r="O268" s="9"/>
    </row>
    <row r="269" spans="1:15" hidden="1" x14ac:dyDescent="0.25">
      <c r="A269" s="1">
        <v>46246</v>
      </c>
      <c r="B269">
        <v>1094971283</v>
      </c>
      <c r="C269" s="9" t="s">
        <v>3338</v>
      </c>
      <c r="D269" s="9" t="s">
        <v>326</v>
      </c>
      <c r="E269" s="9" t="s">
        <v>4005</v>
      </c>
      <c r="F269" s="9" t="s">
        <v>4140</v>
      </c>
      <c r="G269" s="1">
        <v>46245</v>
      </c>
      <c r="H269" s="1">
        <v>46247</v>
      </c>
      <c r="I269" s="2">
        <v>0.25</v>
      </c>
      <c r="J269" s="2">
        <v>0.58333333333333337</v>
      </c>
      <c r="K269" s="9" t="s">
        <v>2887</v>
      </c>
      <c r="L269" s="1"/>
      <c r="M269" s="1"/>
      <c r="N269" s="1"/>
      <c r="O269" s="9"/>
    </row>
    <row r="270" spans="1:15" hidden="1" x14ac:dyDescent="0.25">
      <c r="A270" s="1">
        <v>46246</v>
      </c>
      <c r="B270">
        <v>1037644923</v>
      </c>
      <c r="C270" s="9" t="s">
        <v>2629</v>
      </c>
      <c r="D270" s="9" t="s">
        <v>420</v>
      </c>
      <c r="E270" s="9" t="s">
        <v>4010</v>
      </c>
      <c r="F270" s="9" t="s">
        <v>4040</v>
      </c>
      <c r="G270" s="1">
        <v>46246</v>
      </c>
      <c r="H270" s="1"/>
      <c r="I270" s="2">
        <v>0.54166666666666663</v>
      </c>
      <c r="J270" s="2">
        <v>0.875</v>
      </c>
      <c r="K270" s="9" t="s">
        <v>4022</v>
      </c>
      <c r="L270" s="1"/>
      <c r="M270" s="1"/>
      <c r="N270" s="1"/>
      <c r="O270" s="9"/>
    </row>
    <row r="271" spans="1:15" hidden="1" x14ac:dyDescent="0.25">
      <c r="A271" s="1">
        <v>46248</v>
      </c>
      <c r="B271">
        <v>1098686151</v>
      </c>
      <c r="C271" s="9" t="s">
        <v>1826</v>
      </c>
      <c r="D271" s="9" t="s">
        <v>15</v>
      </c>
      <c r="E271" s="9" t="s">
        <v>4012</v>
      </c>
      <c r="F271" s="9" t="s">
        <v>25</v>
      </c>
      <c r="G271" s="1">
        <v>46246</v>
      </c>
      <c r="H271" s="1">
        <v>46248</v>
      </c>
      <c r="I271" s="2">
        <v>0.25</v>
      </c>
      <c r="J271" s="2">
        <v>0.54166666666666663</v>
      </c>
      <c r="K271" s="9" t="s">
        <v>261</v>
      </c>
      <c r="L271" s="1"/>
      <c r="M271" s="1"/>
      <c r="N271" s="1"/>
      <c r="O271" s="9"/>
    </row>
    <row r="272" spans="1:15" hidden="1" x14ac:dyDescent="0.25">
      <c r="A272" s="1">
        <v>46248</v>
      </c>
      <c r="B272">
        <v>1143267842</v>
      </c>
      <c r="C272" s="9" t="s">
        <v>1444</v>
      </c>
      <c r="D272" s="9" t="s">
        <v>78</v>
      </c>
      <c r="E272" s="9" t="s">
        <v>4010</v>
      </c>
      <c r="F272" s="9" t="s">
        <v>25</v>
      </c>
      <c r="G272" s="1">
        <v>46246</v>
      </c>
      <c r="H272" s="1">
        <v>46248</v>
      </c>
      <c r="I272" s="2">
        <v>0.58333333333333337</v>
      </c>
      <c r="J272" s="2">
        <v>0.875</v>
      </c>
      <c r="K272" s="9" t="s">
        <v>163</v>
      </c>
      <c r="L272" s="1"/>
      <c r="M272" s="1"/>
      <c r="N272" s="1"/>
      <c r="O272" s="9"/>
    </row>
    <row r="273" spans="1:15" hidden="1" x14ac:dyDescent="0.25">
      <c r="A273" s="1">
        <v>46248</v>
      </c>
      <c r="B273">
        <v>1152462704</v>
      </c>
      <c r="C273" s="9" t="s">
        <v>663</v>
      </c>
      <c r="D273" s="9" t="s">
        <v>82</v>
      </c>
      <c r="E273" s="9" t="s">
        <v>4005</v>
      </c>
      <c r="F273" s="9" t="s">
        <v>4040</v>
      </c>
      <c r="G273" s="1">
        <v>46246</v>
      </c>
      <c r="H273" s="1"/>
      <c r="I273" s="2">
        <v>0.58333333333333337</v>
      </c>
      <c r="J273" s="2">
        <v>0.875</v>
      </c>
      <c r="K273" s="9" t="s">
        <v>4022</v>
      </c>
      <c r="L273" s="1"/>
      <c r="M273" s="1"/>
      <c r="N273" s="1"/>
      <c r="O273" s="9"/>
    </row>
    <row r="274" spans="1:15" hidden="1" x14ac:dyDescent="0.25">
      <c r="A274" s="1">
        <v>46248</v>
      </c>
      <c r="B274">
        <v>1082926383</v>
      </c>
      <c r="C274" s="9" t="s">
        <v>582</v>
      </c>
      <c r="D274" s="9" t="s">
        <v>82</v>
      </c>
      <c r="E274" s="9" t="s">
        <v>4005</v>
      </c>
      <c r="F274" s="9" t="s">
        <v>25</v>
      </c>
      <c r="G274" s="1">
        <v>46246</v>
      </c>
      <c r="H274" s="1">
        <v>46248</v>
      </c>
      <c r="I274" s="2">
        <v>0.25</v>
      </c>
      <c r="J274" s="2">
        <v>0.54166666666666663</v>
      </c>
      <c r="K274" s="9" t="s">
        <v>248</v>
      </c>
      <c r="L274" s="1"/>
      <c r="M274" s="1"/>
      <c r="N274" s="1"/>
      <c r="O274" s="9"/>
    </row>
    <row r="275" spans="1:15" hidden="1" x14ac:dyDescent="0.25">
      <c r="A275" s="1">
        <v>46246</v>
      </c>
      <c r="B275">
        <v>59310511</v>
      </c>
      <c r="C275" s="9" t="s">
        <v>1260</v>
      </c>
      <c r="D275" s="9" t="s">
        <v>160</v>
      </c>
      <c r="E275" s="9" t="s">
        <v>4011</v>
      </c>
      <c r="F275" s="9" t="s">
        <v>25</v>
      </c>
      <c r="G275" s="1">
        <v>46246</v>
      </c>
      <c r="H275" s="1">
        <v>46246</v>
      </c>
      <c r="I275" s="2">
        <v>0.58333333333333337</v>
      </c>
      <c r="J275" s="2">
        <v>0.875</v>
      </c>
      <c r="K275" s="9" t="s">
        <v>4022</v>
      </c>
      <c r="L275" s="1"/>
      <c r="M275" s="1"/>
      <c r="N275" s="1"/>
      <c r="O275" s="9"/>
    </row>
    <row r="276" spans="1:15" hidden="1" x14ac:dyDescent="0.25">
      <c r="A276" s="1">
        <v>46246</v>
      </c>
      <c r="B276">
        <v>1000532653</v>
      </c>
      <c r="C276" s="9" t="s">
        <v>1117</v>
      </c>
      <c r="D276" s="9" t="s">
        <v>82</v>
      </c>
      <c r="E276" s="9" t="s">
        <v>4005</v>
      </c>
      <c r="F276" s="9" t="s">
        <v>25</v>
      </c>
      <c r="G276" s="1">
        <v>46246</v>
      </c>
      <c r="H276" s="1">
        <v>46246</v>
      </c>
      <c r="I276" s="2">
        <v>0.58333333333333337</v>
      </c>
      <c r="J276" s="2">
        <v>0.875</v>
      </c>
      <c r="K276" s="9" t="s">
        <v>18</v>
      </c>
      <c r="L276" s="1"/>
      <c r="M276" s="1"/>
      <c r="N276" s="1"/>
      <c r="O276" s="9"/>
    </row>
    <row r="277" spans="1:15" hidden="1" x14ac:dyDescent="0.25">
      <c r="A277" s="1">
        <v>46246</v>
      </c>
      <c r="B277">
        <v>43986125</v>
      </c>
      <c r="C277" s="9" t="s">
        <v>1233</v>
      </c>
      <c r="D277" s="9" t="s">
        <v>64</v>
      </c>
      <c r="E277" s="9" t="s">
        <v>4012</v>
      </c>
      <c r="F277" s="9" t="s">
        <v>4040</v>
      </c>
      <c r="G277" s="1">
        <v>46246</v>
      </c>
      <c r="H277" s="1">
        <v>46248</v>
      </c>
      <c r="I277" s="2">
        <v>0.58333333333333337</v>
      </c>
      <c r="J277" s="2">
        <v>0.875</v>
      </c>
      <c r="K277" s="9" t="s">
        <v>4022</v>
      </c>
      <c r="L277" s="1"/>
      <c r="M277" s="1"/>
      <c r="N277" s="1"/>
      <c r="O277" s="9"/>
    </row>
    <row r="278" spans="1:15" hidden="1" x14ac:dyDescent="0.25">
      <c r="A278" s="1">
        <v>46246</v>
      </c>
      <c r="B278">
        <v>1040755197</v>
      </c>
      <c r="C278" s="9" t="s">
        <v>3094</v>
      </c>
      <c r="D278" s="9" t="s">
        <v>4027</v>
      </c>
      <c r="E278" s="9" t="s">
        <v>4011</v>
      </c>
      <c r="F278" s="9" t="s">
        <v>4040</v>
      </c>
      <c r="G278" s="1">
        <v>46246</v>
      </c>
      <c r="H278" s="1">
        <v>46246</v>
      </c>
      <c r="I278" s="2">
        <v>0.58333333333333337</v>
      </c>
      <c r="J278" s="2">
        <v>0.875</v>
      </c>
      <c r="K278" s="9" t="s">
        <v>4022</v>
      </c>
      <c r="L278" s="1"/>
      <c r="M278" s="1"/>
      <c r="N278" s="1"/>
      <c r="O278" s="9"/>
    </row>
    <row r="279" spans="1:15" hidden="1" x14ac:dyDescent="0.25">
      <c r="A279" s="1">
        <v>46246</v>
      </c>
      <c r="B279">
        <v>1001140238</v>
      </c>
      <c r="C279" s="9" t="s">
        <v>18</v>
      </c>
      <c r="D279" s="9" t="s">
        <v>82</v>
      </c>
      <c r="E279" s="9" t="s">
        <v>4005</v>
      </c>
      <c r="F279" s="9" t="s">
        <v>4068</v>
      </c>
      <c r="G279" s="1">
        <v>46246</v>
      </c>
      <c r="H279" s="1">
        <v>46246</v>
      </c>
      <c r="I279" s="2">
        <v>0.58333333333333337</v>
      </c>
      <c r="J279" s="2">
        <v>0.625</v>
      </c>
      <c r="K279" s="9" t="s">
        <v>4099</v>
      </c>
      <c r="L279" s="1"/>
      <c r="M279" s="1"/>
      <c r="N279" s="1"/>
      <c r="O279" s="9"/>
    </row>
    <row r="280" spans="1:15" hidden="1" x14ac:dyDescent="0.25">
      <c r="A280" s="1">
        <v>46247</v>
      </c>
      <c r="B280">
        <v>1094971283</v>
      </c>
      <c r="C280" s="9" t="s">
        <v>3338</v>
      </c>
      <c r="D280" s="9" t="s">
        <v>326</v>
      </c>
      <c r="E280" s="9" t="s">
        <v>4005</v>
      </c>
      <c r="F280" s="9" t="s">
        <v>25</v>
      </c>
      <c r="G280" s="1">
        <v>46245</v>
      </c>
      <c r="H280" s="1">
        <v>46247</v>
      </c>
      <c r="I280" s="2">
        <v>0.25</v>
      </c>
      <c r="J280" s="2">
        <v>0.54166666666666663</v>
      </c>
      <c r="K280" s="9" t="s">
        <v>261</v>
      </c>
      <c r="L280" s="1"/>
      <c r="M280" s="1"/>
      <c r="N280" s="1"/>
      <c r="O280" s="9"/>
    </row>
    <row r="281" spans="1:15" hidden="1" x14ac:dyDescent="0.25">
      <c r="A281" s="1">
        <v>46248</v>
      </c>
      <c r="B281">
        <v>1037644923</v>
      </c>
      <c r="C281" s="9" t="s">
        <v>2629</v>
      </c>
      <c r="D281" s="9" t="s">
        <v>420</v>
      </c>
      <c r="E281" s="9" t="s">
        <v>4010</v>
      </c>
      <c r="F281" s="9" t="s">
        <v>4040</v>
      </c>
      <c r="G281" s="1">
        <v>46247</v>
      </c>
      <c r="H281" s="1"/>
      <c r="I281" s="2">
        <v>0.25</v>
      </c>
      <c r="J281" s="2">
        <v>0.54166666666666663</v>
      </c>
      <c r="K281" s="9" t="s">
        <v>4022</v>
      </c>
      <c r="L281" s="1"/>
      <c r="M281" s="1"/>
      <c r="N281" s="1"/>
      <c r="O281" s="9"/>
    </row>
    <row r="282" spans="1:15" hidden="1" x14ac:dyDescent="0.25">
      <c r="A282" s="1">
        <v>46248</v>
      </c>
      <c r="B282">
        <v>1085265026</v>
      </c>
      <c r="C282" s="9" t="s">
        <v>3413</v>
      </c>
      <c r="D282" s="9" t="s">
        <v>64</v>
      </c>
      <c r="E282" s="9" t="s">
        <v>4012</v>
      </c>
      <c r="F282" s="9" t="s">
        <v>90</v>
      </c>
      <c r="G282" s="1">
        <v>46245</v>
      </c>
      <c r="H282" s="1">
        <v>46249</v>
      </c>
      <c r="I282" s="2">
        <v>0.25</v>
      </c>
      <c r="J282" s="2">
        <v>0.54166666666666663</v>
      </c>
      <c r="K282" s="9" t="s">
        <v>148</v>
      </c>
      <c r="L282" s="1"/>
      <c r="M282" s="1"/>
      <c r="N282" s="1"/>
      <c r="O282" s="9"/>
    </row>
    <row r="283" spans="1:15" hidden="1" x14ac:dyDescent="0.25">
      <c r="A283" s="1">
        <v>46247</v>
      </c>
      <c r="B283">
        <v>1007111078</v>
      </c>
      <c r="C283" s="9" t="s">
        <v>3631</v>
      </c>
      <c r="D283" s="9" t="s">
        <v>4142</v>
      </c>
      <c r="E283" s="9" t="s">
        <v>4017</v>
      </c>
      <c r="F283" s="9" t="s">
        <v>4053</v>
      </c>
      <c r="G283" s="1">
        <v>46247</v>
      </c>
      <c r="H283" s="1">
        <v>46247</v>
      </c>
      <c r="I283" s="2">
        <v>0.29166666666666669</v>
      </c>
      <c r="J283" s="2">
        <v>0.66666666666666663</v>
      </c>
      <c r="K283" s="9" t="s">
        <v>231</v>
      </c>
      <c r="L283" s="1"/>
      <c r="M283" s="1"/>
      <c r="N283" s="1"/>
      <c r="O283" s="9"/>
    </row>
    <row r="284" spans="1:15" hidden="1" x14ac:dyDescent="0.25">
      <c r="A284" s="1">
        <v>46248</v>
      </c>
      <c r="B284">
        <v>1000640883</v>
      </c>
      <c r="C284" s="9" t="s">
        <v>3227</v>
      </c>
      <c r="D284" s="9" t="s">
        <v>64</v>
      </c>
      <c r="E284" s="9" t="s">
        <v>4012</v>
      </c>
      <c r="F284" s="9" t="s">
        <v>4040</v>
      </c>
      <c r="G284" s="1">
        <v>46247</v>
      </c>
      <c r="H284" s="1"/>
      <c r="I284" s="2">
        <v>0.58333333333333337</v>
      </c>
      <c r="J284" s="2">
        <v>0.875</v>
      </c>
      <c r="K284" s="9" t="s">
        <v>4022</v>
      </c>
      <c r="L284" s="1"/>
      <c r="M284" s="1"/>
      <c r="N284" s="1"/>
      <c r="O284" s="9"/>
    </row>
    <row r="285" spans="1:15" hidden="1" x14ac:dyDescent="0.25">
      <c r="A285" s="1">
        <v>46248</v>
      </c>
      <c r="B285">
        <v>1143414481</v>
      </c>
      <c r="C285" s="9" t="s">
        <v>2395</v>
      </c>
      <c r="D285" s="9" t="s">
        <v>41</v>
      </c>
      <c r="E285" s="9" t="s">
        <v>4011</v>
      </c>
      <c r="F285" s="9" t="s">
        <v>4091</v>
      </c>
      <c r="G285" s="1">
        <v>46247</v>
      </c>
      <c r="H285" s="1">
        <v>46252</v>
      </c>
      <c r="I285" s="2">
        <v>0.58333333333333337</v>
      </c>
      <c r="J285" s="2">
        <v>0.875</v>
      </c>
      <c r="K285" s="9" t="s">
        <v>261</v>
      </c>
      <c r="L285" s="1"/>
      <c r="M285" s="1"/>
      <c r="N285" s="1"/>
      <c r="O285" s="9"/>
    </row>
    <row r="286" spans="1:15" hidden="1" x14ac:dyDescent="0.25">
      <c r="A286" s="1">
        <v>46248</v>
      </c>
      <c r="B286">
        <v>1037630071</v>
      </c>
      <c r="C286" s="9" t="s">
        <v>3544</v>
      </c>
      <c r="D286" s="9" t="s">
        <v>97</v>
      </c>
      <c r="E286" s="9" t="s">
        <v>4005</v>
      </c>
      <c r="F286" s="9" t="s">
        <v>4024</v>
      </c>
      <c r="G286" s="1">
        <v>46247</v>
      </c>
      <c r="H286" s="1">
        <v>46265</v>
      </c>
      <c r="I286" s="2">
        <v>0.25</v>
      </c>
      <c r="J286" s="2">
        <v>0.58333333333333337</v>
      </c>
      <c r="K286" s="9" t="s">
        <v>155</v>
      </c>
      <c r="L286" s="1"/>
      <c r="M286" s="1"/>
      <c r="N286" s="1"/>
      <c r="O286" s="9"/>
    </row>
    <row r="287" spans="1:15" hidden="1" x14ac:dyDescent="0.25">
      <c r="A287" s="1">
        <v>46248</v>
      </c>
      <c r="B287">
        <v>1005424850</v>
      </c>
      <c r="C287" s="9" t="s">
        <v>56</v>
      </c>
      <c r="D287" s="9" t="s">
        <v>57</v>
      </c>
      <c r="E287" s="9" t="s">
        <v>4010</v>
      </c>
      <c r="F287" s="9" t="s">
        <v>4024</v>
      </c>
      <c r="G287" s="1">
        <v>46247</v>
      </c>
      <c r="H287" s="1">
        <v>46262</v>
      </c>
      <c r="I287" s="2">
        <v>0.5</v>
      </c>
      <c r="J287" s="2">
        <v>0.83333333333333337</v>
      </c>
      <c r="K287" s="9" t="s">
        <v>245</v>
      </c>
      <c r="L287" s="1"/>
      <c r="M287" s="1"/>
      <c r="N287" s="1"/>
      <c r="O287" s="9"/>
    </row>
    <row r="288" spans="1:15" hidden="1" x14ac:dyDescent="0.25">
      <c r="A288" s="1">
        <v>46247</v>
      </c>
      <c r="B288">
        <v>1036132488</v>
      </c>
      <c r="C288" s="9" t="s">
        <v>150</v>
      </c>
      <c r="D288" s="9" t="s">
        <v>142</v>
      </c>
      <c r="E288" s="9" t="s">
        <v>4012</v>
      </c>
      <c r="F288" s="9" t="s">
        <v>4040</v>
      </c>
      <c r="G288" s="1">
        <v>46247</v>
      </c>
      <c r="H288" s="1">
        <v>46248</v>
      </c>
      <c r="I288" s="2">
        <v>0.25</v>
      </c>
      <c r="J288" s="2">
        <v>0.58333333333333337</v>
      </c>
      <c r="K288" s="9" t="s">
        <v>4022</v>
      </c>
      <c r="L288" s="1"/>
      <c r="M288" s="1"/>
      <c r="N288" s="1"/>
      <c r="O288" s="9"/>
    </row>
    <row r="289" spans="1:15" hidden="1" x14ac:dyDescent="0.25">
      <c r="A289" s="1">
        <v>46248</v>
      </c>
      <c r="B289">
        <v>43986125</v>
      </c>
      <c r="C289" s="9" t="s">
        <v>1233</v>
      </c>
      <c r="D289" s="9" t="s">
        <v>64</v>
      </c>
      <c r="E289" s="9" t="s">
        <v>4012</v>
      </c>
      <c r="F289" s="9" t="s">
        <v>25</v>
      </c>
      <c r="G289" s="1">
        <v>46246</v>
      </c>
      <c r="H289" s="1">
        <v>46248</v>
      </c>
      <c r="I289" s="2">
        <v>0.25</v>
      </c>
      <c r="J289" s="2">
        <v>0.58333333333333337</v>
      </c>
      <c r="K289" s="9" t="s">
        <v>2887</v>
      </c>
      <c r="L289" s="1"/>
      <c r="M289" s="1"/>
      <c r="N289" s="1"/>
      <c r="O289" s="9"/>
    </row>
    <row r="290" spans="1:15" hidden="1" x14ac:dyDescent="0.25">
      <c r="A290" s="1">
        <v>46247</v>
      </c>
      <c r="B290">
        <v>1040755197</v>
      </c>
      <c r="C290" s="9" t="s">
        <v>3094</v>
      </c>
      <c r="D290" s="9" t="s">
        <v>4027</v>
      </c>
      <c r="E290" s="9" t="s">
        <v>4011</v>
      </c>
      <c r="F290" s="9" t="s">
        <v>25</v>
      </c>
      <c r="G290" s="1">
        <v>46246</v>
      </c>
      <c r="H290" s="1">
        <v>46246</v>
      </c>
      <c r="I290" s="2">
        <v>0.25</v>
      </c>
      <c r="J290" s="2">
        <v>0.5</v>
      </c>
      <c r="K290" s="9" t="s">
        <v>261</v>
      </c>
      <c r="L290" s="1"/>
      <c r="M290" s="1"/>
      <c r="N290" s="1"/>
      <c r="O290" s="9"/>
    </row>
    <row r="291" spans="1:15" hidden="1" x14ac:dyDescent="0.25">
      <c r="A291" s="1">
        <v>46248</v>
      </c>
      <c r="B291">
        <v>1152462501</v>
      </c>
      <c r="C291" s="9" t="s">
        <v>3008</v>
      </c>
      <c r="D291" s="9" t="s">
        <v>41</v>
      </c>
      <c r="E291" s="9" t="s">
        <v>4011</v>
      </c>
      <c r="F291" s="9" t="s">
        <v>4040</v>
      </c>
      <c r="G291" s="1">
        <v>46247</v>
      </c>
      <c r="H291" s="1"/>
      <c r="I291" s="2">
        <v>0.29166666666666669</v>
      </c>
      <c r="J291" s="2">
        <v>0.66666666666666663</v>
      </c>
      <c r="K291" s="9" t="s">
        <v>4213</v>
      </c>
      <c r="L291" s="1"/>
      <c r="M291" s="1"/>
      <c r="N291" s="1"/>
      <c r="O291" s="9"/>
    </row>
    <row r="292" spans="1:15" hidden="1" x14ac:dyDescent="0.25">
      <c r="A292" s="1">
        <v>46248</v>
      </c>
      <c r="B292">
        <v>1053860403</v>
      </c>
      <c r="C292" s="9" t="s">
        <v>2271</v>
      </c>
      <c r="D292" s="9" t="s">
        <v>211</v>
      </c>
      <c r="E292" s="9" t="s">
        <v>4017</v>
      </c>
      <c r="F292" s="9" t="s">
        <v>4040</v>
      </c>
      <c r="G292" s="1">
        <v>46247</v>
      </c>
      <c r="H292" s="1"/>
      <c r="I292" s="2">
        <v>0.25</v>
      </c>
      <c r="J292" s="2">
        <v>0.54166666666666663</v>
      </c>
      <c r="K292" s="9" t="s">
        <v>4146</v>
      </c>
      <c r="L292" s="1"/>
      <c r="M292" s="1"/>
      <c r="N292" s="1"/>
      <c r="O292" s="9"/>
    </row>
    <row r="293" spans="1:15" hidden="1" x14ac:dyDescent="0.25">
      <c r="A293" s="1">
        <v>46247</v>
      </c>
      <c r="B293">
        <v>1003459576</v>
      </c>
      <c r="C293" s="9" t="s">
        <v>956</v>
      </c>
      <c r="D293" s="9" t="s">
        <v>142</v>
      </c>
      <c r="E293" s="9" t="s">
        <v>4012</v>
      </c>
      <c r="F293" s="9" t="s">
        <v>4040</v>
      </c>
      <c r="G293" s="1">
        <v>46247</v>
      </c>
      <c r="H293" s="1"/>
      <c r="I293" s="2">
        <v>0.45833333333333331</v>
      </c>
      <c r="J293" s="2">
        <v>0.75</v>
      </c>
      <c r="K293" s="9" t="s">
        <v>4022</v>
      </c>
      <c r="L293" s="1"/>
      <c r="M293" s="1"/>
      <c r="N293" s="1"/>
      <c r="O293" s="9"/>
    </row>
    <row r="294" spans="1:15" hidden="1" x14ac:dyDescent="0.25">
      <c r="A294" s="1">
        <v>46247</v>
      </c>
      <c r="B294">
        <v>1000100875</v>
      </c>
      <c r="C294" s="9" t="s">
        <v>3610</v>
      </c>
      <c r="D294" s="9" t="s">
        <v>64</v>
      </c>
      <c r="E294" s="9" t="s">
        <v>4012</v>
      </c>
      <c r="F294" s="9" t="s">
        <v>4040</v>
      </c>
      <c r="G294" s="1">
        <v>46247</v>
      </c>
      <c r="H294" s="1">
        <v>46248</v>
      </c>
      <c r="I294" s="2">
        <v>0.58333333333333337</v>
      </c>
      <c r="J294" s="2">
        <v>0.875</v>
      </c>
      <c r="K294" s="9" t="s">
        <v>4022</v>
      </c>
      <c r="L294" s="1"/>
      <c r="M294" s="1"/>
      <c r="N294" s="1"/>
      <c r="O294" s="9"/>
    </row>
    <row r="295" spans="1:15" hidden="1" x14ac:dyDescent="0.25">
      <c r="A295" s="1">
        <v>46248</v>
      </c>
      <c r="B295">
        <v>1152434926</v>
      </c>
      <c r="C295" s="9" t="s">
        <v>3248</v>
      </c>
      <c r="D295" s="9" t="s">
        <v>142</v>
      </c>
      <c r="E295" s="9" t="s">
        <v>4012</v>
      </c>
      <c r="F295" s="9" t="s">
        <v>25</v>
      </c>
      <c r="G295" s="1">
        <v>46247</v>
      </c>
      <c r="H295" s="1">
        <v>46249</v>
      </c>
      <c r="I295" s="2">
        <v>0.25</v>
      </c>
      <c r="J295" s="2">
        <v>0.54166666666666663</v>
      </c>
      <c r="K295" s="9" t="s">
        <v>261</v>
      </c>
      <c r="L295" s="1"/>
      <c r="M295" s="1"/>
      <c r="N295" s="1"/>
      <c r="O295" s="9"/>
    </row>
    <row r="296" spans="1:15" hidden="1" x14ac:dyDescent="0.25">
      <c r="A296" s="1">
        <v>46248</v>
      </c>
      <c r="B296">
        <v>1052409952</v>
      </c>
      <c r="C296" s="9" t="s">
        <v>2356</v>
      </c>
      <c r="D296" s="9" t="s">
        <v>153</v>
      </c>
      <c r="E296" s="9" t="s">
        <v>4010</v>
      </c>
      <c r="F296" s="9" t="s">
        <v>4040</v>
      </c>
      <c r="G296" s="1">
        <v>46247</v>
      </c>
      <c r="H296" s="1"/>
      <c r="I296" s="2">
        <v>0.25</v>
      </c>
      <c r="J296" s="2">
        <v>0.58333333333333337</v>
      </c>
      <c r="K296" s="9" t="s">
        <v>4022</v>
      </c>
      <c r="L296" s="1"/>
      <c r="M296" s="1"/>
      <c r="N296" s="1"/>
      <c r="O296" s="9"/>
    </row>
    <row r="297" spans="1:15" hidden="1" x14ac:dyDescent="0.25">
      <c r="A297" s="1">
        <v>46248</v>
      </c>
      <c r="B297">
        <v>1036665065</v>
      </c>
      <c r="C297" s="9" t="s">
        <v>3654</v>
      </c>
      <c r="D297" s="9" t="s">
        <v>51</v>
      </c>
      <c r="E297" s="9" t="s">
        <v>4011</v>
      </c>
      <c r="F297" s="9" t="s">
        <v>4040</v>
      </c>
      <c r="G297" s="1">
        <v>46247</v>
      </c>
      <c r="H297" s="1"/>
      <c r="I297" s="2">
        <v>0.25</v>
      </c>
      <c r="J297" s="2">
        <v>0.58333333333333337</v>
      </c>
      <c r="K297" s="9" t="s">
        <v>4022</v>
      </c>
      <c r="L297" s="1"/>
      <c r="M297" s="1"/>
      <c r="N297" s="1"/>
      <c r="O297" s="9"/>
    </row>
    <row r="298" spans="1:15" hidden="1" x14ac:dyDescent="0.25">
      <c r="A298" s="1">
        <v>46248</v>
      </c>
      <c r="B298">
        <v>1001013936</v>
      </c>
      <c r="C298" s="9" t="s">
        <v>3820</v>
      </c>
      <c r="D298" s="9" t="s">
        <v>41</v>
      </c>
      <c r="E298" s="9" t="s">
        <v>4011</v>
      </c>
      <c r="F298" s="9" t="s">
        <v>25</v>
      </c>
      <c r="G298" s="1">
        <v>46247</v>
      </c>
      <c r="H298" s="1">
        <v>46248</v>
      </c>
      <c r="I298" s="2">
        <v>0.25</v>
      </c>
      <c r="J298" s="2">
        <v>0.58333333333333337</v>
      </c>
      <c r="K298" s="9" t="s">
        <v>261</v>
      </c>
      <c r="L298" s="1"/>
      <c r="M298" s="1"/>
      <c r="N298" s="1"/>
      <c r="O298" s="9"/>
    </row>
    <row r="299" spans="1:15" hidden="1" x14ac:dyDescent="0.25">
      <c r="A299" s="1">
        <v>46248</v>
      </c>
      <c r="B299">
        <v>1152436231</v>
      </c>
      <c r="C299" s="9" t="s">
        <v>131</v>
      </c>
      <c r="D299" s="9" t="s">
        <v>132</v>
      </c>
      <c r="E299" s="9" t="s">
        <v>4010</v>
      </c>
      <c r="F299" s="9" t="s">
        <v>4040</v>
      </c>
      <c r="G299" s="1">
        <v>46247</v>
      </c>
      <c r="H299" s="1"/>
      <c r="I299" s="2">
        <v>0.25</v>
      </c>
      <c r="J299" s="2">
        <v>0.54166666666666663</v>
      </c>
      <c r="K299" s="9" t="s">
        <v>4022</v>
      </c>
      <c r="L299" s="1"/>
      <c r="M299" s="1"/>
      <c r="N299" s="1"/>
      <c r="O299" s="9"/>
    </row>
    <row r="300" spans="1:15" hidden="1" x14ac:dyDescent="0.25">
      <c r="A300" s="1">
        <v>46247</v>
      </c>
      <c r="B300">
        <v>1234090551</v>
      </c>
      <c r="C300" s="9" t="s">
        <v>2193</v>
      </c>
      <c r="D300" s="9" t="s">
        <v>89</v>
      </c>
      <c r="E300" s="9" t="s">
        <v>4017</v>
      </c>
      <c r="F300" s="9" t="s">
        <v>4040</v>
      </c>
      <c r="G300" s="1">
        <v>46247</v>
      </c>
      <c r="H300" s="1">
        <v>46248</v>
      </c>
      <c r="I300" s="2">
        <v>0.25</v>
      </c>
      <c r="J300" s="2">
        <v>0.58333333333333337</v>
      </c>
      <c r="K300" s="9" t="s">
        <v>4022</v>
      </c>
      <c r="L300" s="1"/>
      <c r="M300" s="1"/>
      <c r="N300" s="1"/>
      <c r="O300" s="9"/>
    </row>
    <row r="301" spans="1:15" hidden="1" x14ac:dyDescent="0.25">
      <c r="A301" s="1">
        <v>46248</v>
      </c>
      <c r="B301">
        <v>43453341</v>
      </c>
      <c r="C301" s="9" t="s">
        <v>1251</v>
      </c>
      <c r="D301" s="9" t="s">
        <v>121</v>
      </c>
      <c r="E301" s="9" t="s">
        <v>4010</v>
      </c>
      <c r="F301" s="9" t="s">
        <v>4040</v>
      </c>
      <c r="G301" s="1">
        <v>46247</v>
      </c>
      <c r="H301" s="1"/>
      <c r="I301" s="2">
        <v>0.54166666666666663</v>
      </c>
      <c r="J301" s="2">
        <v>0.875</v>
      </c>
      <c r="K301" s="9" t="s">
        <v>4022</v>
      </c>
      <c r="L301" s="1"/>
      <c r="M301" s="1"/>
      <c r="N301" s="1"/>
      <c r="O301" s="9"/>
    </row>
    <row r="302" spans="1:15" hidden="1" x14ac:dyDescent="0.25">
      <c r="A302" s="1">
        <v>46248</v>
      </c>
      <c r="B302" t="s">
        <v>4210</v>
      </c>
      <c r="C302" s="9" t="s">
        <v>4211</v>
      </c>
      <c r="D302" s="9" t="s">
        <v>326</v>
      </c>
      <c r="E302" s="9" t="s">
        <v>4005</v>
      </c>
      <c r="F302" s="9" t="s">
        <v>25</v>
      </c>
      <c r="G302" s="1">
        <v>46247</v>
      </c>
      <c r="H302" s="1">
        <v>46248</v>
      </c>
      <c r="I302" s="2">
        <v>0.25</v>
      </c>
      <c r="J302" s="2">
        <v>0.58333333333333337</v>
      </c>
      <c r="K302" s="9" t="s">
        <v>261</v>
      </c>
      <c r="L302" s="1"/>
      <c r="M302" s="1"/>
      <c r="N302" s="1"/>
      <c r="O302" s="9"/>
    </row>
    <row r="303" spans="1:15" hidden="1" x14ac:dyDescent="0.25">
      <c r="A303" s="1">
        <v>46248</v>
      </c>
      <c r="B303">
        <v>1067959066</v>
      </c>
      <c r="C303" s="9" t="s">
        <v>3446</v>
      </c>
      <c r="D303" s="9" t="s">
        <v>322</v>
      </c>
      <c r="E303" s="9" t="s">
        <v>4017</v>
      </c>
      <c r="F303" s="9" t="s">
        <v>4040</v>
      </c>
      <c r="G303" s="1">
        <v>46247</v>
      </c>
      <c r="H303" s="1"/>
      <c r="I303" s="2">
        <v>0.58333333333333337</v>
      </c>
      <c r="J303" s="2">
        <v>0.875</v>
      </c>
      <c r="K303" s="9" t="s">
        <v>4212</v>
      </c>
      <c r="L303" s="1"/>
      <c r="M303" s="1"/>
      <c r="N303" s="1"/>
      <c r="O303" s="9"/>
    </row>
    <row r="304" spans="1:15" hidden="1" x14ac:dyDescent="0.25">
      <c r="A304" s="1">
        <v>46248</v>
      </c>
      <c r="B304">
        <v>1234090551</v>
      </c>
      <c r="C304" s="9" t="s">
        <v>2193</v>
      </c>
      <c r="D304" s="9" t="s">
        <v>89</v>
      </c>
      <c r="E304" s="9" t="s">
        <v>4017</v>
      </c>
      <c r="F304" s="9" t="s">
        <v>25</v>
      </c>
      <c r="G304" s="1">
        <v>46247</v>
      </c>
      <c r="H304" s="1">
        <v>46248</v>
      </c>
      <c r="I304" s="2">
        <v>0.58333333333333337</v>
      </c>
      <c r="J304" s="2">
        <v>0.875</v>
      </c>
      <c r="K304" s="9" t="s">
        <v>231</v>
      </c>
      <c r="L304" s="1"/>
      <c r="M304" s="1"/>
      <c r="N304" s="1"/>
      <c r="O304" s="9"/>
    </row>
    <row r="305" spans="1:15" hidden="1" x14ac:dyDescent="0.25">
      <c r="A305" s="1">
        <v>46248</v>
      </c>
      <c r="B305">
        <v>1000100875</v>
      </c>
      <c r="C305" s="9" t="s">
        <v>3610</v>
      </c>
      <c r="D305" s="9" t="s">
        <v>64</v>
      </c>
      <c r="E305" s="9" t="s">
        <v>4012</v>
      </c>
      <c r="F305" s="9" t="s">
        <v>25</v>
      </c>
      <c r="G305" s="1">
        <v>46247</v>
      </c>
      <c r="H305" s="1">
        <v>46248</v>
      </c>
      <c r="I305" s="2">
        <v>0.58333333333333337</v>
      </c>
      <c r="J305" s="2">
        <v>0.875</v>
      </c>
      <c r="K305" s="9" t="s">
        <v>261</v>
      </c>
      <c r="L305" s="1"/>
      <c r="M305" s="1"/>
      <c r="N305" s="1"/>
      <c r="O305" s="9"/>
    </row>
    <row r="306" spans="1:15" hidden="1" x14ac:dyDescent="0.25">
      <c r="A306" s="1">
        <v>46248</v>
      </c>
      <c r="B306">
        <v>1003459576</v>
      </c>
      <c r="C306" s="9" t="s">
        <v>956</v>
      </c>
      <c r="D306" s="9" t="s">
        <v>142</v>
      </c>
      <c r="E306" s="9" t="s">
        <v>4012</v>
      </c>
      <c r="F306" s="9" t="s">
        <v>4040</v>
      </c>
      <c r="G306" s="1">
        <v>46246</v>
      </c>
      <c r="H306" s="1"/>
      <c r="I306" s="2"/>
      <c r="J306" s="2"/>
      <c r="K306" s="9" t="s">
        <v>4022</v>
      </c>
      <c r="L306" s="1"/>
      <c r="M306" s="1"/>
      <c r="N306" s="1"/>
      <c r="O306" s="9"/>
    </row>
    <row r="307" spans="1:15" hidden="1" x14ac:dyDescent="0.25">
      <c r="A307" s="1">
        <v>46248</v>
      </c>
      <c r="B307">
        <v>1036132488</v>
      </c>
      <c r="C307" s="9" t="s">
        <v>150</v>
      </c>
      <c r="D307" s="9" t="s">
        <v>142</v>
      </c>
      <c r="E307" s="9" t="s">
        <v>4012</v>
      </c>
      <c r="F307" s="9" t="s">
        <v>25</v>
      </c>
      <c r="G307" s="1">
        <v>46247</v>
      </c>
      <c r="H307" s="1">
        <v>46248</v>
      </c>
      <c r="I307" s="2">
        <v>0.25</v>
      </c>
      <c r="J307" s="2">
        <v>0.54166666666666663</v>
      </c>
      <c r="K307" s="9" t="s">
        <v>123</v>
      </c>
      <c r="L307" s="1"/>
      <c r="M307" s="1"/>
      <c r="N307" s="1"/>
      <c r="O307" s="9"/>
    </row>
    <row r="308" spans="1:15" hidden="1" x14ac:dyDescent="0.25">
      <c r="A308" s="1">
        <v>46248</v>
      </c>
      <c r="B308">
        <v>1001446162</v>
      </c>
      <c r="C308" s="9" t="s">
        <v>3622</v>
      </c>
      <c r="D308" s="9" t="s">
        <v>4093</v>
      </c>
      <c r="E308" s="9" t="s">
        <v>4017</v>
      </c>
      <c r="F308" s="9" t="s">
        <v>4093</v>
      </c>
      <c r="G308" s="1">
        <v>46248</v>
      </c>
      <c r="H308" s="1">
        <v>46248</v>
      </c>
      <c r="I308" s="2">
        <v>0.25</v>
      </c>
      <c r="J308" s="2">
        <v>0.58333333333333337</v>
      </c>
      <c r="K308" s="9" t="s">
        <v>4099</v>
      </c>
      <c r="L308" s="1"/>
      <c r="M308" s="1"/>
      <c r="N308" s="1"/>
      <c r="O308" s="9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5840-306D-457C-BA21-38B74636E9F7}">
  <dimension ref="A1:R392"/>
  <sheetViews>
    <sheetView zoomScaleNormal="100" workbookViewId="0">
      <selection activeCell="K44" sqref="A44:K44"/>
    </sheetView>
  </sheetViews>
  <sheetFormatPr baseColWidth="10" defaultColWidth="9.140625" defaultRowHeight="15" x14ac:dyDescent="0.25"/>
  <cols>
    <col min="1" max="1" width="39" bestFit="1" customWidth="1"/>
    <col min="2" max="2" width="13.140625" style="3" bestFit="1" customWidth="1"/>
    <col min="3" max="3" width="40.28515625" bestFit="1" customWidth="1"/>
    <col min="4" max="4" width="24.42578125" bestFit="1" customWidth="1"/>
    <col min="5" max="5" width="14.85546875" bestFit="1" customWidth="1"/>
    <col min="6" max="6" width="23.5703125" bestFit="1" customWidth="1"/>
    <col min="7" max="7" width="16.28515625" bestFit="1" customWidth="1"/>
    <col min="8" max="8" width="15.85546875" bestFit="1" customWidth="1"/>
    <col min="9" max="10" width="13.140625" bestFit="1" customWidth="1"/>
    <col min="11" max="11" width="51" bestFit="1" customWidth="1"/>
    <col min="12" max="12" width="34" bestFit="1" customWidth="1"/>
    <col min="13" max="13" width="26.140625" bestFit="1" customWidth="1"/>
    <col min="14" max="14" width="28" bestFit="1" customWidth="1"/>
    <col min="15" max="15" width="40" bestFit="1" customWidth="1"/>
    <col min="16" max="16" width="12" bestFit="1" customWidth="1"/>
    <col min="17" max="17" width="26.140625" bestFit="1" customWidth="1"/>
    <col min="18" max="18" width="23.42578125" bestFit="1" customWidth="1"/>
    <col min="19" max="19" width="14.140625" customWidth="1"/>
    <col min="20" max="20" width="81.140625" bestFit="1" customWidth="1"/>
    <col min="21" max="21" width="24.42578125" bestFit="1" customWidth="1"/>
    <col min="22" max="22" width="26.140625" bestFit="1" customWidth="1"/>
    <col min="23" max="23" width="45.85546875" bestFit="1" customWidth="1"/>
    <col min="24" max="24" width="43.5703125" bestFit="1" customWidth="1"/>
    <col min="25" max="25" width="42.5703125" bestFit="1" customWidth="1"/>
    <col min="26" max="26" width="26.5703125" bestFit="1" customWidth="1"/>
    <col min="27" max="27" width="14.140625" customWidth="1"/>
    <col min="28" max="28" width="81.140625" customWidth="1"/>
    <col min="29" max="29" width="34.85546875" customWidth="1"/>
    <col min="30" max="30" width="26.5703125" customWidth="1"/>
    <col min="31" max="31" width="39" customWidth="1"/>
    <col min="32" max="32" width="12.28515625" customWidth="1"/>
    <col min="33" max="33" width="26.85546875" bestFit="1" customWidth="1"/>
    <col min="34" max="34" width="31.7109375" bestFit="1" customWidth="1"/>
    <col min="35" max="35" width="11.42578125" customWidth="1"/>
    <col min="36" max="36" width="50.28515625" customWidth="1"/>
    <col min="37" max="37" width="10.42578125" bestFit="1" customWidth="1"/>
  </cols>
  <sheetData>
    <row r="1" spans="1:18" x14ac:dyDescent="0.25">
      <c r="A1" t="s">
        <v>4145</v>
      </c>
      <c r="B1" s="3" t="s">
        <v>1</v>
      </c>
      <c r="C1" t="s">
        <v>4147</v>
      </c>
      <c r="D1" t="s">
        <v>3</v>
      </c>
      <c r="E1" t="s">
        <v>3994</v>
      </c>
      <c r="F1" t="s">
        <v>4</v>
      </c>
      <c r="G1" t="s">
        <v>5</v>
      </c>
      <c r="H1" t="s">
        <v>6</v>
      </c>
      <c r="I1" t="s">
        <v>3995</v>
      </c>
      <c r="J1" t="s">
        <v>3996</v>
      </c>
      <c r="K1" t="s">
        <v>9</v>
      </c>
      <c r="L1" t="s">
        <v>4148</v>
      </c>
      <c r="M1" t="s">
        <v>4149</v>
      </c>
      <c r="N1" t="s">
        <v>8</v>
      </c>
      <c r="O1" t="s">
        <v>4150</v>
      </c>
      <c r="P1" t="s">
        <v>4151</v>
      </c>
      <c r="Q1" t="s">
        <v>4152</v>
      </c>
      <c r="R1" t="s">
        <v>4153</v>
      </c>
    </row>
    <row r="2" spans="1:18" hidden="1" x14ac:dyDescent="0.25">
      <c r="A2" s="1">
        <v>46235</v>
      </c>
      <c r="B2">
        <v>1037634709</v>
      </c>
      <c r="C2" t="s">
        <v>4009</v>
      </c>
      <c r="D2" t="s">
        <v>420</v>
      </c>
      <c r="E2" t="s">
        <v>4010</v>
      </c>
      <c r="F2" t="s">
        <v>25</v>
      </c>
      <c r="G2" s="1">
        <v>46234</v>
      </c>
      <c r="H2" s="1">
        <v>46235</v>
      </c>
      <c r="I2" s="2">
        <v>0.25</v>
      </c>
      <c r="J2" s="2">
        <v>0.66666666666666663</v>
      </c>
      <c r="K2" t="s">
        <v>59</v>
      </c>
      <c r="L2">
        <v>0</v>
      </c>
      <c r="M2" t="s">
        <v>4154</v>
      </c>
      <c r="N2" t="s">
        <v>58</v>
      </c>
      <c r="O2" t="s">
        <v>59</v>
      </c>
      <c r="P2" t="s">
        <v>4007</v>
      </c>
      <c r="Q2">
        <v>10</v>
      </c>
    </row>
    <row r="3" spans="1:18" hidden="1" x14ac:dyDescent="0.25">
      <c r="A3" s="1">
        <v>46235</v>
      </c>
      <c r="B3">
        <v>1152436231</v>
      </c>
      <c r="C3" t="s">
        <v>131</v>
      </c>
      <c r="D3" t="s">
        <v>132</v>
      </c>
      <c r="E3" t="s">
        <v>4010</v>
      </c>
      <c r="F3" t="s">
        <v>25</v>
      </c>
      <c r="G3" s="1">
        <v>46234</v>
      </c>
      <c r="H3" s="1">
        <v>46235</v>
      </c>
      <c r="I3" s="2">
        <v>0.25</v>
      </c>
      <c r="J3" s="2">
        <v>0.66666666666666663</v>
      </c>
      <c r="K3" t="s">
        <v>1436</v>
      </c>
      <c r="L3">
        <v>0</v>
      </c>
      <c r="M3" t="s">
        <v>4154</v>
      </c>
      <c r="N3" t="s">
        <v>1435</v>
      </c>
      <c r="O3" t="s">
        <v>1436</v>
      </c>
      <c r="P3" t="s">
        <v>4007</v>
      </c>
      <c r="Q3">
        <v>10</v>
      </c>
    </row>
    <row r="4" spans="1:18" hidden="1" x14ac:dyDescent="0.25">
      <c r="A4" s="1">
        <v>46235</v>
      </c>
      <c r="B4">
        <v>1128467297</v>
      </c>
      <c r="C4" t="s">
        <v>3356</v>
      </c>
      <c r="D4" t="s">
        <v>543</v>
      </c>
      <c r="E4" t="s">
        <v>4010</v>
      </c>
      <c r="F4" t="s">
        <v>25</v>
      </c>
      <c r="G4" s="1">
        <v>46234</v>
      </c>
      <c r="H4" s="1">
        <v>46235</v>
      </c>
      <c r="I4" s="2">
        <v>0.25</v>
      </c>
      <c r="J4" s="2">
        <v>0.66666666666666663</v>
      </c>
      <c r="K4" t="s">
        <v>253</v>
      </c>
      <c r="L4">
        <v>0</v>
      </c>
      <c r="M4" t="s">
        <v>4154</v>
      </c>
      <c r="N4" t="s">
        <v>252</v>
      </c>
      <c r="O4" t="s">
        <v>253</v>
      </c>
      <c r="P4" t="s">
        <v>4007</v>
      </c>
      <c r="Q4">
        <v>10</v>
      </c>
    </row>
    <row r="5" spans="1:18" hidden="1" x14ac:dyDescent="0.25">
      <c r="A5" s="1">
        <v>46235</v>
      </c>
      <c r="B5">
        <v>42158742</v>
      </c>
      <c r="C5" t="s">
        <v>3150</v>
      </c>
      <c r="D5" t="s">
        <v>24</v>
      </c>
      <c r="E5" t="s">
        <v>4011</v>
      </c>
      <c r="F5" t="s">
        <v>25</v>
      </c>
      <c r="G5" s="1">
        <v>46234</v>
      </c>
      <c r="H5" s="1">
        <v>46235</v>
      </c>
      <c r="I5" s="2">
        <v>0.25</v>
      </c>
      <c r="J5" s="2">
        <v>0.66666666666666663</v>
      </c>
      <c r="K5" t="s">
        <v>241</v>
      </c>
      <c r="L5">
        <v>0</v>
      </c>
      <c r="M5" t="s">
        <v>4155</v>
      </c>
      <c r="N5" t="s">
        <v>240</v>
      </c>
      <c r="O5" t="s">
        <v>241</v>
      </c>
      <c r="P5" t="s">
        <v>4007</v>
      </c>
      <c r="Q5">
        <v>10</v>
      </c>
    </row>
    <row r="6" spans="1:18" hidden="1" x14ac:dyDescent="0.25">
      <c r="A6" s="1">
        <v>46235</v>
      </c>
      <c r="B6">
        <v>1140905046</v>
      </c>
      <c r="C6" t="s">
        <v>4020</v>
      </c>
      <c r="D6" t="s">
        <v>410</v>
      </c>
      <c r="E6" t="s">
        <v>4005</v>
      </c>
      <c r="F6" t="s">
        <v>4015</v>
      </c>
      <c r="G6" s="1">
        <v>46235</v>
      </c>
      <c r="H6" s="1">
        <v>46238</v>
      </c>
      <c r="I6" s="2">
        <v>0.25</v>
      </c>
      <c r="J6" s="2">
        <v>0.66666666666666663</v>
      </c>
      <c r="K6" t="s">
        <v>226</v>
      </c>
      <c r="L6">
        <v>0</v>
      </c>
      <c r="M6" t="s">
        <v>4157</v>
      </c>
      <c r="N6" t="s">
        <v>225</v>
      </c>
      <c r="O6" t="s">
        <v>226</v>
      </c>
      <c r="P6" t="s">
        <v>4007</v>
      </c>
      <c r="Q6">
        <v>10</v>
      </c>
      <c r="R6" t="s">
        <v>4158</v>
      </c>
    </row>
    <row r="7" spans="1:18" hidden="1" x14ac:dyDescent="0.25">
      <c r="A7" s="1">
        <v>46235</v>
      </c>
      <c r="B7" t="s">
        <v>228</v>
      </c>
      <c r="C7" t="s">
        <v>229</v>
      </c>
      <c r="D7" t="s">
        <v>211</v>
      </c>
      <c r="E7" t="s">
        <v>4017</v>
      </c>
      <c r="F7" t="s">
        <v>16</v>
      </c>
      <c r="G7" s="1">
        <v>46230</v>
      </c>
      <c r="H7" s="1">
        <v>46355</v>
      </c>
      <c r="I7" s="2">
        <v>0.25</v>
      </c>
      <c r="J7" s="2">
        <v>0.58333333333333337</v>
      </c>
      <c r="K7" t="s">
        <v>231</v>
      </c>
      <c r="L7">
        <v>0</v>
      </c>
      <c r="M7" t="s">
        <v>4159</v>
      </c>
      <c r="N7" t="s">
        <v>230</v>
      </c>
      <c r="O7" t="s">
        <v>231</v>
      </c>
      <c r="P7" t="s">
        <v>4007</v>
      </c>
      <c r="Q7">
        <v>8</v>
      </c>
      <c r="R7" t="s">
        <v>4160</v>
      </c>
    </row>
    <row r="8" spans="1:18" hidden="1" x14ac:dyDescent="0.25">
      <c r="A8" s="1">
        <v>46235</v>
      </c>
      <c r="B8">
        <v>1001940238</v>
      </c>
      <c r="C8" t="s">
        <v>4021</v>
      </c>
      <c r="D8" t="s">
        <v>57</v>
      </c>
      <c r="E8" t="s">
        <v>4010</v>
      </c>
      <c r="F8" t="s">
        <v>4015</v>
      </c>
      <c r="G8" s="1">
        <v>46237</v>
      </c>
      <c r="H8" s="1">
        <v>46239</v>
      </c>
      <c r="I8" s="2"/>
      <c r="J8" s="2"/>
      <c r="K8" t="s">
        <v>269</v>
      </c>
      <c r="L8">
        <v>0</v>
      </c>
      <c r="P8" t="s">
        <v>4007</v>
      </c>
      <c r="Q8">
        <v>0</v>
      </c>
    </row>
    <row r="9" spans="1:18" hidden="1" x14ac:dyDescent="0.25">
      <c r="A9" s="1">
        <v>46235</v>
      </c>
      <c r="B9">
        <v>1047505786</v>
      </c>
      <c r="C9" t="s">
        <v>110</v>
      </c>
      <c r="D9" t="s">
        <v>15</v>
      </c>
      <c r="E9" t="s">
        <v>4012</v>
      </c>
      <c r="F9" t="s">
        <v>25</v>
      </c>
      <c r="G9" s="1">
        <v>46229</v>
      </c>
      <c r="H9" s="1">
        <v>46243</v>
      </c>
      <c r="I9" s="2"/>
      <c r="J9" s="2"/>
      <c r="K9" t="s">
        <v>269</v>
      </c>
      <c r="L9">
        <v>0</v>
      </c>
      <c r="P9" t="s">
        <v>4007</v>
      </c>
      <c r="Q9">
        <v>0</v>
      </c>
    </row>
    <row r="10" spans="1:18" hidden="1" x14ac:dyDescent="0.25">
      <c r="A10" s="1">
        <v>46235</v>
      </c>
      <c r="B10">
        <v>1043022975</v>
      </c>
      <c r="C10" t="s">
        <v>1733</v>
      </c>
      <c r="D10" t="s">
        <v>34</v>
      </c>
      <c r="E10" t="s">
        <v>4011</v>
      </c>
      <c r="F10" t="s">
        <v>25</v>
      </c>
      <c r="G10" s="1">
        <v>46234</v>
      </c>
      <c r="H10" s="1">
        <v>46235</v>
      </c>
      <c r="I10" s="2"/>
      <c r="J10" s="2"/>
      <c r="K10" t="s">
        <v>269</v>
      </c>
      <c r="L10">
        <v>0</v>
      </c>
      <c r="P10" t="s">
        <v>4007</v>
      </c>
      <c r="Q10">
        <v>0</v>
      </c>
    </row>
    <row r="11" spans="1:18" hidden="1" x14ac:dyDescent="0.25">
      <c r="A11" s="1">
        <v>46235</v>
      </c>
      <c r="B11" t="s">
        <v>46</v>
      </c>
      <c r="C11" t="s">
        <v>47</v>
      </c>
      <c r="D11" t="s">
        <v>34</v>
      </c>
      <c r="E11" t="s">
        <v>4011</v>
      </c>
      <c r="F11" t="s">
        <v>25</v>
      </c>
      <c r="G11" s="1">
        <v>46224</v>
      </c>
      <c r="H11" s="1">
        <v>46239</v>
      </c>
      <c r="I11" s="2"/>
      <c r="J11" s="2"/>
      <c r="K11" t="s">
        <v>269</v>
      </c>
      <c r="L11">
        <v>0</v>
      </c>
      <c r="P11" t="s">
        <v>4007</v>
      </c>
      <c r="Q11">
        <v>0</v>
      </c>
    </row>
    <row r="12" spans="1:18" hidden="1" x14ac:dyDescent="0.25">
      <c r="A12" s="1">
        <v>46235</v>
      </c>
      <c r="B12">
        <v>1017270154</v>
      </c>
      <c r="C12" t="s">
        <v>928</v>
      </c>
      <c r="D12" t="s">
        <v>343</v>
      </c>
      <c r="E12" t="s">
        <v>4012</v>
      </c>
      <c r="F12" t="s">
        <v>25</v>
      </c>
      <c r="G12" s="1">
        <v>46234</v>
      </c>
      <c r="H12" s="1">
        <v>46235</v>
      </c>
      <c r="I12" s="2">
        <v>0.25</v>
      </c>
      <c r="J12" s="2">
        <v>0.66666666666666663</v>
      </c>
      <c r="K12" t="s">
        <v>148</v>
      </c>
      <c r="L12">
        <v>0</v>
      </c>
      <c r="M12" t="s">
        <v>4156</v>
      </c>
      <c r="N12" t="s">
        <v>147</v>
      </c>
      <c r="O12" t="s">
        <v>148</v>
      </c>
      <c r="P12" t="s">
        <v>4007</v>
      </c>
      <c r="Q12">
        <v>10</v>
      </c>
    </row>
    <row r="13" spans="1:18" hidden="1" x14ac:dyDescent="0.25">
      <c r="A13" s="1">
        <v>46235</v>
      </c>
      <c r="B13">
        <v>1085318652</v>
      </c>
      <c r="C13" t="s">
        <v>235</v>
      </c>
      <c r="D13" t="s">
        <v>211</v>
      </c>
      <c r="E13" t="s">
        <v>4017</v>
      </c>
      <c r="F13" t="s">
        <v>90</v>
      </c>
      <c r="G13" s="1">
        <v>46233</v>
      </c>
      <c r="H13" s="1">
        <v>46238</v>
      </c>
      <c r="I13" s="2">
        <v>0.25</v>
      </c>
      <c r="J13" s="2">
        <v>0.58333333333333337</v>
      </c>
      <c r="K13" t="s">
        <v>257</v>
      </c>
      <c r="L13">
        <v>0</v>
      </c>
      <c r="M13" t="s">
        <v>4159</v>
      </c>
      <c r="N13" t="s">
        <v>256</v>
      </c>
      <c r="O13" t="s">
        <v>257</v>
      </c>
      <c r="P13" t="s">
        <v>4007</v>
      </c>
      <c r="Q13">
        <v>8</v>
      </c>
      <c r="R13" t="s">
        <v>4160</v>
      </c>
    </row>
    <row r="14" spans="1:18" hidden="1" x14ac:dyDescent="0.25">
      <c r="A14" s="1">
        <v>46235</v>
      </c>
      <c r="B14">
        <v>1143374438</v>
      </c>
      <c r="C14" t="s">
        <v>85</v>
      </c>
      <c r="D14" t="s">
        <v>41</v>
      </c>
      <c r="E14" t="s">
        <v>4011</v>
      </c>
      <c r="F14" t="s">
        <v>25</v>
      </c>
      <c r="G14" s="1">
        <v>46209</v>
      </c>
      <c r="H14" s="1">
        <v>46238</v>
      </c>
      <c r="I14" s="2">
        <v>0.25</v>
      </c>
      <c r="J14" s="2">
        <v>0.66666666666666663</v>
      </c>
      <c r="K14" s="4" t="s">
        <v>172</v>
      </c>
      <c r="L14">
        <v>0</v>
      </c>
      <c r="M14" t="s">
        <v>4154</v>
      </c>
      <c r="N14" t="s">
        <v>171</v>
      </c>
      <c r="O14" t="s">
        <v>172</v>
      </c>
      <c r="P14" t="s">
        <v>4007</v>
      </c>
      <c r="Q14">
        <v>10</v>
      </c>
    </row>
    <row r="15" spans="1:18" hidden="1" x14ac:dyDescent="0.25">
      <c r="A15" s="1">
        <v>46235</v>
      </c>
      <c r="B15">
        <v>1061819313</v>
      </c>
      <c r="C15" t="s">
        <v>223</v>
      </c>
      <c r="D15" t="s">
        <v>142</v>
      </c>
      <c r="E15" t="s">
        <v>4012</v>
      </c>
      <c r="F15" t="s">
        <v>25</v>
      </c>
      <c r="G15" s="1">
        <v>46231</v>
      </c>
      <c r="H15" s="1">
        <v>46235</v>
      </c>
      <c r="I15" s="2">
        <v>0.25</v>
      </c>
      <c r="J15" s="2">
        <v>0.66666666666666663</v>
      </c>
      <c r="K15" t="s">
        <v>220</v>
      </c>
      <c r="L15">
        <v>0</v>
      </c>
      <c r="M15" t="s">
        <v>4156</v>
      </c>
      <c r="N15" t="s">
        <v>219</v>
      </c>
      <c r="O15" t="s">
        <v>220</v>
      </c>
      <c r="P15" t="s">
        <v>4007</v>
      </c>
      <c r="Q15">
        <v>10</v>
      </c>
    </row>
    <row r="16" spans="1:18" hidden="1" x14ac:dyDescent="0.25">
      <c r="A16" s="1">
        <v>46235</v>
      </c>
      <c r="B16">
        <v>57303015</v>
      </c>
      <c r="C16" t="s">
        <v>114</v>
      </c>
      <c r="D16" t="s">
        <v>64</v>
      </c>
      <c r="E16" t="s">
        <v>4012</v>
      </c>
      <c r="F16" t="s">
        <v>25</v>
      </c>
      <c r="G16" s="1">
        <v>46232</v>
      </c>
      <c r="H16" s="1">
        <v>46235</v>
      </c>
      <c r="I16" s="2">
        <v>0.25</v>
      </c>
      <c r="J16" s="2">
        <v>0.66666666666666663</v>
      </c>
      <c r="K16" t="s">
        <v>116</v>
      </c>
      <c r="L16">
        <v>0</v>
      </c>
      <c r="M16" t="s">
        <v>4159</v>
      </c>
      <c r="N16" t="s">
        <v>115</v>
      </c>
      <c r="O16" t="s">
        <v>116</v>
      </c>
      <c r="P16" t="s">
        <v>4007</v>
      </c>
      <c r="Q16">
        <v>10</v>
      </c>
      <c r="R16" t="s">
        <v>4161</v>
      </c>
    </row>
    <row r="17" spans="1:18" hidden="1" x14ac:dyDescent="0.25">
      <c r="A17" s="1">
        <v>46235</v>
      </c>
      <c r="B17">
        <v>1143375080</v>
      </c>
      <c r="C17" t="s">
        <v>1090</v>
      </c>
      <c r="D17" t="s">
        <v>153</v>
      </c>
      <c r="E17" t="s">
        <v>4010</v>
      </c>
      <c r="F17" t="s">
        <v>4024</v>
      </c>
      <c r="G17" s="1">
        <v>46232</v>
      </c>
      <c r="H17" s="1">
        <v>46239</v>
      </c>
      <c r="I17" s="2">
        <v>0.25</v>
      </c>
      <c r="J17" s="2">
        <v>0.66666666666666663</v>
      </c>
      <c r="K17" t="s">
        <v>207</v>
      </c>
      <c r="L17">
        <v>0</v>
      </c>
      <c r="M17" t="s">
        <v>4154</v>
      </c>
      <c r="N17" t="s">
        <v>206</v>
      </c>
      <c r="O17" t="s">
        <v>207</v>
      </c>
      <c r="P17" t="s">
        <v>4007</v>
      </c>
      <c r="Q17">
        <v>10</v>
      </c>
    </row>
    <row r="18" spans="1:18" hidden="1" x14ac:dyDescent="0.25">
      <c r="A18" s="1">
        <v>46235</v>
      </c>
      <c r="B18">
        <v>1017264032</v>
      </c>
      <c r="C18" t="s">
        <v>63</v>
      </c>
      <c r="D18" t="s">
        <v>64</v>
      </c>
      <c r="E18" t="s">
        <v>4012</v>
      </c>
      <c r="F18" t="s">
        <v>25</v>
      </c>
      <c r="G18" s="1">
        <v>46229</v>
      </c>
      <c r="H18" s="1">
        <v>46258</v>
      </c>
      <c r="I18" s="2">
        <v>0.25</v>
      </c>
      <c r="J18" s="2">
        <v>0.66666666666666663</v>
      </c>
      <c r="K18" t="s">
        <v>66</v>
      </c>
      <c r="L18">
        <v>0</v>
      </c>
      <c r="M18" t="s">
        <v>4157</v>
      </c>
      <c r="N18" t="s">
        <v>65</v>
      </c>
      <c r="O18" t="s">
        <v>66</v>
      </c>
      <c r="P18" t="s">
        <v>4007</v>
      </c>
      <c r="Q18">
        <v>10</v>
      </c>
    </row>
    <row r="19" spans="1:18" hidden="1" x14ac:dyDescent="0.25">
      <c r="A19" s="1">
        <v>46235</v>
      </c>
      <c r="B19">
        <v>1002159016</v>
      </c>
      <c r="C19" t="s">
        <v>196</v>
      </c>
      <c r="D19" t="s">
        <v>197</v>
      </c>
      <c r="E19" t="s">
        <v>4005</v>
      </c>
      <c r="F19" t="s">
        <v>25</v>
      </c>
      <c r="G19" s="1">
        <v>46230</v>
      </c>
      <c r="H19" s="1">
        <v>46235</v>
      </c>
      <c r="I19" s="2">
        <v>0.25</v>
      </c>
      <c r="J19" s="2">
        <v>0.66666666666666663</v>
      </c>
      <c r="K19" t="s">
        <v>199</v>
      </c>
      <c r="L19">
        <v>0</v>
      </c>
      <c r="M19" t="s">
        <v>4157</v>
      </c>
      <c r="N19" t="s">
        <v>198</v>
      </c>
      <c r="O19" t="s">
        <v>199</v>
      </c>
      <c r="P19" t="s">
        <v>4007</v>
      </c>
      <c r="Q19">
        <v>10</v>
      </c>
    </row>
    <row r="20" spans="1:18" hidden="1" x14ac:dyDescent="0.25">
      <c r="A20" s="1">
        <v>46235</v>
      </c>
      <c r="B20">
        <v>1118569642</v>
      </c>
      <c r="C20" t="s">
        <v>96</v>
      </c>
      <c r="D20" t="s">
        <v>97</v>
      </c>
      <c r="E20" t="s">
        <v>4005</v>
      </c>
      <c r="F20" t="s">
        <v>25</v>
      </c>
      <c r="G20" s="1">
        <v>46230</v>
      </c>
      <c r="H20" s="1">
        <v>46235</v>
      </c>
      <c r="I20" s="2">
        <v>0.25</v>
      </c>
      <c r="J20" s="2">
        <v>0.66666666666666663</v>
      </c>
      <c r="K20" t="s">
        <v>99</v>
      </c>
      <c r="L20">
        <v>0</v>
      </c>
      <c r="M20" t="s">
        <v>4154</v>
      </c>
      <c r="N20" t="s">
        <v>98</v>
      </c>
      <c r="O20" t="s">
        <v>99</v>
      </c>
      <c r="P20" t="s">
        <v>4007</v>
      </c>
      <c r="Q20">
        <v>10</v>
      </c>
    </row>
    <row r="21" spans="1:18" hidden="1" x14ac:dyDescent="0.25">
      <c r="A21" s="1">
        <v>46235</v>
      </c>
      <c r="B21">
        <v>1036132488</v>
      </c>
      <c r="C21" t="s">
        <v>150</v>
      </c>
      <c r="D21" t="s">
        <v>142</v>
      </c>
      <c r="E21" t="s">
        <v>4012</v>
      </c>
      <c r="F21" t="s">
        <v>25</v>
      </c>
      <c r="G21" s="1">
        <v>46227</v>
      </c>
      <c r="H21" s="1">
        <v>46246</v>
      </c>
      <c r="I21" s="2"/>
      <c r="J21" s="2"/>
      <c r="K21" t="s">
        <v>269</v>
      </c>
      <c r="L21">
        <v>0</v>
      </c>
      <c r="P21" t="s">
        <v>4007</v>
      </c>
      <c r="Q21">
        <v>0</v>
      </c>
    </row>
    <row r="22" spans="1:18" hidden="1" x14ac:dyDescent="0.25">
      <c r="A22" s="1">
        <v>46235</v>
      </c>
      <c r="B22">
        <v>1143412273</v>
      </c>
      <c r="C22" t="s">
        <v>183</v>
      </c>
      <c r="D22" t="s">
        <v>57</v>
      </c>
      <c r="E22" t="s">
        <v>4010</v>
      </c>
      <c r="F22" t="s">
        <v>30</v>
      </c>
      <c r="G22" s="1">
        <v>46227</v>
      </c>
      <c r="H22" s="1">
        <v>46237</v>
      </c>
      <c r="I22" s="2"/>
      <c r="J22" s="2"/>
      <c r="K22" t="s">
        <v>269</v>
      </c>
      <c r="L22">
        <v>0</v>
      </c>
      <c r="P22" t="s">
        <v>4007</v>
      </c>
      <c r="Q22">
        <v>0</v>
      </c>
    </row>
    <row r="23" spans="1:18" hidden="1" x14ac:dyDescent="0.25">
      <c r="A23" s="1">
        <v>46235</v>
      </c>
      <c r="B23">
        <v>42141273</v>
      </c>
      <c r="C23" t="s">
        <v>210</v>
      </c>
      <c r="D23" t="s">
        <v>211</v>
      </c>
      <c r="E23" t="s">
        <v>4017</v>
      </c>
      <c r="F23" t="s">
        <v>25</v>
      </c>
      <c r="G23" s="1">
        <v>46224</v>
      </c>
      <c r="H23" s="1">
        <v>46238</v>
      </c>
      <c r="I23" s="2"/>
      <c r="J23" s="2"/>
      <c r="K23" t="s">
        <v>269</v>
      </c>
      <c r="L23">
        <v>0</v>
      </c>
      <c r="P23" t="s">
        <v>4007</v>
      </c>
      <c r="Q23">
        <v>0</v>
      </c>
    </row>
    <row r="24" spans="1:18" hidden="1" x14ac:dyDescent="0.25">
      <c r="A24" s="1">
        <v>46235</v>
      </c>
      <c r="B24">
        <v>1043006106</v>
      </c>
      <c r="C24" t="s">
        <v>194</v>
      </c>
      <c r="D24" t="s">
        <v>160</v>
      </c>
      <c r="E24" t="s">
        <v>4011</v>
      </c>
      <c r="F24" t="s">
        <v>25</v>
      </c>
      <c r="G24" s="1">
        <v>46219</v>
      </c>
      <c r="H24" s="1">
        <v>46248</v>
      </c>
      <c r="I24" s="2">
        <v>0.25</v>
      </c>
      <c r="J24" s="2">
        <v>0.66666666666666663</v>
      </c>
      <c r="K24" t="s">
        <v>192</v>
      </c>
      <c r="L24">
        <v>0</v>
      </c>
      <c r="M24" t="s">
        <v>4159</v>
      </c>
      <c r="N24" t="s">
        <v>191</v>
      </c>
      <c r="O24" t="s">
        <v>192</v>
      </c>
      <c r="P24" t="s">
        <v>4007</v>
      </c>
      <c r="Q24">
        <v>10</v>
      </c>
      <c r="R24" t="s">
        <v>4161</v>
      </c>
    </row>
    <row r="25" spans="1:18" hidden="1" x14ac:dyDescent="0.25">
      <c r="A25" s="1">
        <v>46235</v>
      </c>
      <c r="B25">
        <v>1037638426</v>
      </c>
      <c r="C25" t="s">
        <v>44</v>
      </c>
      <c r="D25" t="s">
        <v>41</v>
      </c>
      <c r="E25" t="s">
        <v>4011</v>
      </c>
      <c r="F25" t="s">
        <v>30</v>
      </c>
      <c r="G25" s="1">
        <v>46230</v>
      </c>
      <c r="H25" s="1">
        <v>46262</v>
      </c>
      <c r="I25" s="2">
        <v>0.25</v>
      </c>
      <c r="J25" s="2">
        <v>0.66666666666666663</v>
      </c>
      <c r="K25" t="s">
        <v>74</v>
      </c>
      <c r="L25">
        <v>0</v>
      </c>
      <c r="M25" t="s">
        <v>4154</v>
      </c>
      <c r="N25" t="s">
        <v>73</v>
      </c>
      <c r="O25" t="s">
        <v>74</v>
      </c>
      <c r="P25" t="s">
        <v>4007</v>
      </c>
      <c r="Q25">
        <v>10</v>
      </c>
    </row>
    <row r="26" spans="1:18" hidden="1" x14ac:dyDescent="0.25">
      <c r="A26" s="1">
        <v>46235</v>
      </c>
      <c r="B26">
        <v>1121506548</v>
      </c>
      <c r="C26" t="s">
        <v>50</v>
      </c>
      <c r="D26" t="s">
        <v>51</v>
      </c>
      <c r="E26" t="s">
        <v>4011</v>
      </c>
      <c r="F26" t="s">
        <v>16</v>
      </c>
      <c r="G26" s="1">
        <v>46217</v>
      </c>
      <c r="H26" s="1">
        <v>46342</v>
      </c>
      <c r="I26" s="2">
        <v>0.25</v>
      </c>
      <c r="J26" s="2">
        <v>0.66666666666666663</v>
      </c>
      <c r="K26" t="s">
        <v>70</v>
      </c>
      <c r="L26">
        <v>0</v>
      </c>
      <c r="M26" t="s">
        <v>4155</v>
      </c>
      <c r="N26" t="s">
        <v>69</v>
      </c>
      <c r="O26" t="s">
        <v>70</v>
      </c>
      <c r="P26" t="s">
        <v>4007</v>
      </c>
      <c r="Q26">
        <v>10</v>
      </c>
    </row>
    <row r="27" spans="1:18" hidden="1" x14ac:dyDescent="0.25">
      <c r="A27" s="1">
        <v>46235</v>
      </c>
      <c r="B27" t="s">
        <v>182</v>
      </c>
      <c r="C27" t="s">
        <v>183</v>
      </c>
      <c r="D27" t="s">
        <v>51</v>
      </c>
      <c r="E27" t="s">
        <v>4011</v>
      </c>
      <c r="F27" t="s">
        <v>30</v>
      </c>
      <c r="G27" s="1">
        <v>46227</v>
      </c>
      <c r="H27" s="1">
        <v>46237</v>
      </c>
      <c r="I27" s="2"/>
      <c r="J27" s="2"/>
      <c r="K27" t="s">
        <v>269</v>
      </c>
      <c r="L27">
        <v>0</v>
      </c>
      <c r="P27" t="s">
        <v>4007</v>
      </c>
      <c r="Q27">
        <v>0</v>
      </c>
    </row>
    <row r="28" spans="1:18" hidden="1" x14ac:dyDescent="0.25">
      <c r="A28" s="1">
        <v>46235</v>
      </c>
      <c r="B28">
        <v>1143460426</v>
      </c>
      <c r="C28" t="s">
        <v>4034</v>
      </c>
      <c r="D28" t="s">
        <v>160</v>
      </c>
      <c r="E28" t="s">
        <v>4011</v>
      </c>
      <c r="F28" t="s">
        <v>4015</v>
      </c>
      <c r="G28" s="1">
        <v>46195</v>
      </c>
      <c r="H28" s="1">
        <v>46198</v>
      </c>
      <c r="I28" s="2"/>
      <c r="J28" s="2"/>
      <c r="K28" t="s">
        <v>269</v>
      </c>
      <c r="L28">
        <v>0</v>
      </c>
      <c r="P28" t="s">
        <v>4007</v>
      </c>
      <c r="Q28">
        <v>0</v>
      </c>
    </row>
    <row r="29" spans="1:18" hidden="1" x14ac:dyDescent="0.25">
      <c r="A29" s="1">
        <v>46235</v>
      </c>
      <c r="B29">
        <v>1000291050</v>
      </c>
      <c r="C29" t="s">
        <v>1347</v>
      </c>
      <c r="D29" t="s">
        <v>128</v>
      </c>
      <c r="E29" t="s">
        <v>4005</v>
      </c>
      <c r="F29" t="s">
        <v>4039</v>
      </c>
      <c r="G29" s="1">
        <v>46235</v>
      </c>
      <c r="H29" s="1">
        <v>46235</v>
      </c>
      <c r="I29" s="2">
        <v>0.25</v>
      </c>
      <c r="J29" s="2">
        <v>0.66666666666666663</v>
      </c>
      <c r="K29" t="s">
        <v>1347</v>
      </c>
      <c r="L29">
        <v>0</v>
      </c>
      <c r="M29" t="s">
        <v>4157</v>
      </c>
      <c r="N29" t="s">
        <v>1346</v>
      </c>
      <c r="O29" t="s">
        <v>1347</v>
      </c>
      <c r="P29" t="s">
        <v>4007</v>
      </c>
      <c r="Q29">
        <v>10</v>
      </c>
    </row>
    <row r="30" spans="1:18" hidden="1" x14ac:dyDescent="0.25">
      <c r="A30" s="1">
        <v>46235</v>
      </c>
      <c r="B30">
        <v>1001005240</v>
      </c>
      <c r="C30" t="s">
        <v>152</v>
      </c>
      <c r="D30" t="s">
        <v>153</v>
      </c>
      <c r="E30" t="s">
        <v>4010</v>
      </c>
      <c r="F30" t="s">
        <v>25</v>
      </c>
      <c r="G30" s="1">
        <v>46234</v>
      </c>
      <c r="H30" s="1">
        <v>46240</v>
      </c>
      <c r="I30" s="2">
        <v>0.25</v>
      </c>
      <c r="J30" s="2">
        <v>0.66666666666666663</v>
      </c>
      <c r="K30" t="s">
        <v>163</v>
      </c>
      <c r="L30">
        <v>0</v>
      </c>
      <c r="M30" t="s">
        <v>4154</v>
      </c>
      <c r="N30" t="s">
        <v>162</v>
      </c>
      <c r="O30" t="s">
        <v>163</v>
      </c>
      <c r="P30" t="s">
        <v>4007</v>
      </c>
      <c r="Q30">
        <v>10</v>
      </c>
    </row>
    <row r="31" spans="1:18" hidden="1" x14ac:dyDescent="0.25">
      <c r="A31" s="1">
        <v>46235</v>
      </c>
      <c r="B31">
        <v>1144057947</v>
      </c>
      <c r="C31" t="s">
        <v>1556</v>
      </c>
      <c r="D31" t="s">
        <v>89</v>
      </c>
      <c r="E31" t="s">
        <v>4017</v>
      </c>
      <c r="F31" t="s">
        <v>4044</v>
      </c>
      <c r="G31" s="1">
        <v>46220</v>
      </c>
      <c r="H31" s="1">
        <v>46235</v>
      </c>
      <c r="I31" s="2"/>
      <c r="J31" s="2"/>
      <c r="K31" t="s">
        <v>269</v>
      </c>
      <c r="L31">
        <v>0</v>
      </c>
      <c r="P31" t="s">
        <v>4007</v>
      </c>
      <c r="Q31">
        <v>0</v>
      </c>
    </row>
    <row r="32" spans="1:18" hidden="1" x14ac:dyDescent="0.25">
      <c r="A32" s="1">
        <v>46235</v>
      </c>
      <c r="B32" t="s">
        <v>185</v>
      </c>
      <c r="C32" t="s">
        <v>186</v>
      </c>
      <c r="D32" t="s">
        <v>4045</v>
      </c>
      <c r="E32" t="s">
        <v>4011</v>
      </c>
      <c r="F32" t="s">
        <v>4046</v>
      </c>
      <c r="G32" s="1">
        <v>46235</v>
      </c>
      <c r="H32" s="1">
        <v>46235</v>
      </c>
      <c r="I32" s="2">
        <v>0.25</v>
      </c>
      <c r="J32" s="2">
        <v>0.625</v>
      </c>
      <c r="K32" t="s">
        <v>4099</v>
      </c>
      <c r="L32">
        <v>0</v>
      </c>
      <c r="M32" t="s">
        <v>4155</v>
      </c>
      <c r="N32" t="s">
        <v>185</v>
      </c>
      <c r="O32" t="s">
        <v>186</v>
      </c>
      <c r="P32" t="s">
        <v>4007</v>
      </c>
      <c r="Q32">
        <v>9</v>
      </c>
    </row>
    <row r="33" spans="1:18" hidden="1" x14ac:dyDescent="0.25">
      <c r="A33" s="1">
        <v>46235</v>
      </c>
      <c r="B33">
        <v>1192769686</v>
      </c>
      <c r="C33" t="s">
        <v>1882</v>
      </c>
      <c r="D33" t="s">
        <v>326</v>
      </c>
      <c r="E33" t="s">
        <v>4005</v>
      </c>
      <c r="F33" t="s">
        <v>25</v>
      </c>
      <c r="G33" s="1">
        <v>46234</v>
      </c>
      <c r="H33" s="1">
        <v>46235</v>
      </c>
      <c r="I33" s="2">
        <v>0.25</v>
      </c>
      <c r="J33" s="2">
        <v>0.66666666666666663</v>
      </c>
      <c r="K33" t="s">
        <v>245</v>
      </c>
      <c r="L33">
        <v>0</v>
      </c>
      <c r="M33" t="s">
        <v>4154</v>
      </c>
      <c r="N33" t="s">
        <v>244</v>
      </c>
      <c r="O33" t="s">
        <v>245</v>
      </c>
      <c r="P33" t="s">
        <v>4007</v>
      </c>
      <c r="Q33">
        <v>10</v>
      </c>
    </row>
    <row r="34" spans="1:18" hidden="1" x14ac:dyDescent="0.25">
      <c r="A34" s="1">
        <v>46235</v>
      </c>
      <c r="B34">
        <v>1067959066</v>
      </c>
      <c r="C34" t="s">
        <v>3446</v>
      </c>
      <c r="D34" t="s">
        <v>322</v>
      </c>
      <c r="E34" t="s">
        <v>4017</v>
      </c>
      <c r="F34" t="s">
        <v>4040</v>
      </c>
      <c r="G34" s="1">
        <v>46235</v>
      </c>
      <c r="H34" s="1">
        <v>46235</v>
      </c>
      <c r="I34" s="2">
        <v>0.25</v>
      </c>
      <c r="J34" s="2">
        <v>0.58333333333333337</v>
      </c>
      <c r="K34" t="s">
        <v>4049</v>
      </c>
      <c r="L34">
        <v>0</v>
      </c>
      <c r="M34" t="s">
        <v>4159</v>
      </c>
      <c r="N34" t="s">
        <v>486</v>
      </c>
      <c r="O34" t="s">
        <v>487</v>
      </c>
      <c r="P34" t="s">
        <v>4007</v>
      </c>
      <c r="Q34">
        <v>8</v>
      </c>
    </row>
    <row r="35" spans="1:18" hidden="1" x14ac:dyDescent="0.25">
      <c r="A35" s="1">
        <v>46235</v>
      </c>
      <c r="B35">
        <v>1037668071</v>
      </c>
      <c r="C35" t="s">
        <v>1708</v>
      </c>
      <c r="D35" t="s">
        <v>64</v>
      </c>
      <c r="E35" t="s">
        <v>4012</v>
      </c>
      <c r="F35" t="s">
        <v>4040</v>
      </c>
      <c r="G35" s="1">
        <v>46235</v>
      </c>
      <c r="H35" s="1">
        <v>46235</v>
      </c>
      <c r="I35" s="2"/>
      <c r="J35" s="2"/>
      <c r="K35" t="s">
        <v>4050</v>
      </c>
      <c r="L35">
        <v>0</v>
      </c>
      <c r="P35" t="s">
        <v>4007</v>
      </c>
      <c r="Q35">
        <v>0</v>
      </c>
    </row>
    <row r="36" spans="1:18" hidden="1" x14ac:dyDescent="0.25">
      <c r="A36" s="1">
        <v>46235</v>
      </c>
      <c r="B36">
        <v>1037642818</v>
      </c>
      <c r="C36" t="s">
        <v>3657</v>
      </c>
      <c r="D36" t="s">
        <v>41</v>
      </c>
      <c r="E36" t="s">
        <v>4011</v>
      </c>
      <c r="F36" t="s">
        <v>4040</v>
      </c>
      <c r="G36" s="1">
        <v>46235</v>
      </c>
      <c r="H36" s="1"/>
      <c r="I36" s="2"/>
      <c r="J36" s="2"/>
      <c r="K36" t="s">
        <v>4050</v>
      </c>
      <c r="L36">
        <v>0</v>
      </c>
      <c r="P36" t="s">
        <v>4007</v>
      </c>
      <c r="Q36">
        <v>0</v>
      </c>
    </row>
    <row r="37" spans="1:18" x14ac:dyDescent="0.25">
      <c r="A37" s="1">
        <v>46237</v>
      </c>
      <c r="B37">
        <v>1047505786</v>
      </c>
      <c r="C37" t="s">
        <v>110</v>
      </c>
      <c r="D37" t="s">
        <v>15</v>
      </c>
      <c r="E37" t="s">
        <v>4012</v>
      </c>
      <c r="F37" t="s">
        <v>25</v>
      </c>
      <c r="G37" s="1">
        <v>46229</v>
      </c>
      <c r="H37" s="1">
        <v>46243</v>
      </c>
      <c r="I37" s="2">
        <v>0.58333333333333337</v>
      </c>
      <c r="J37" s="2">
        <v>0.875</v>
      </c>
      <c r="K37" s="4" t="s">
        <v>107</v>
      </c>
      <c r="L37">
        <v>2</v>
      </c>
      <c r="M37" t="s">
        <v>4157</v>
      </c>
      <c r="N37" t="s">
        <v>106</v>
      </c>
      <c r="O37" t="s">
        <v>107</v>
      </c>
      <c r="P37" t="s">
        <v>21</v>
      </c>
      <c r="Q37">
        <v>7</v>
      </c>
    </row>
    <row r="38" spans="1:18" hidden="1" x14ac:dyDescent="0.25">
      <c r="A38" s="1">
        <v>46237</v>
      </c>
      <c r="B38">
        <v>1085318652</v>
      </c>
      <c r="C38" t="s">
        <v>235</v>
      </c>
      <c r="D38" t="s">
        <v>211</v>
      </c>
      <c r="E38" t="s">
        <v>4017</v>
      </c>
      <c r="F38" t="s">
        <v>90</v>
      </c>
      <c r="G38" s="1">
        <v>46233</v>
      </c>
      <c r="H38" s="1">
        <v>46238</v>
      </c>
      <c r="I38" s="2">
        <v>0.25</v>
      </c>
      <c r="J38" s="2">
        <v>0.54166666666666663</v>
      </c>
      <c r="K38" t="s">
        <v>231</v>
      </c>
      <c r="L38">
        <v>0</v>
      </c>
      <c r="M38" t="s">
        <v>4159</v>
      </c>
      <c r="N38" t="s">
        <v>230</v>
      </c>
      <c r="O38" t="s">
        <v>231</v>
      </c>
      <c r="P38" t="s">
        <v>4007</v>
      </c>
      <c r="Q38">
        <v>7</v>
      </c>
      <c r="R38" t="s">
        <v>4160</v>
      </c>
    </row>
    <row r="39" spans="1:18" hidden="1" x14ac:dyDescent="0.25">
      <c r="A39" s="1">
        <v>46237</v>
      </c>
      <c r="B39">
        <v>1152226738</v>
      </c>
      <c r="C39" t="s">
        <v>127</v>
      </c>
      <c r="D39" t="s">
        <v>128</v>
      </c>
      <c r="E39" t="s">
        <v>4005</v>
      </c>
      <c r="F39" t="s">
        <v>25</v>
      </c>
      <c r="G39" s="1">
        <v>46234</v>
      </c>
      <c r="H39" s="1">
        <v>46237</v>
      </c>
      <c r="I39" s="2">
        <v>0.25</v>
      </c>
      <c r="J39" s="2">
        <v>0.54166666666666663</v>
      </c>
      <c r="K39" t="s">
        <v>123</v>
      </c>
      <c r="L39">
        <v>0</v>
      </c>
      <c r="M39" t="s">
        <v>4157</v>
      </c>
      <c r="N39" t="s">
        <v>122</v>
      </c>
      <c r="O39" t="s">
        <v>123</v>
      </c>
      <c r="P39" t="s">
        <v>4007</v>
      </c>
      <c r="Q39">
        <v>7</v>
      </c>
    </row>
    <row r="40" spans="1:18" x14ac:dyDescent="0.25">
      <c r="A40" s="1">
        <v>46237</v>
      </c>
      <c r="B40">
        <v>1001940238</v>
      </c>
      <c r="C40" t="s">
        <v>4021</v>
      </c>
      <c r="D40" t="s">
        <v>57</v>
      </c>
      <c r="E40" t="s">
        <v>4010</v>
      </c>
      <c r="F40" t="s">
        <v>4015</v>
      </c>
      <c r="G40" s="1">
        <v>46237</v>
      </c>
      <c r="H40" s="1">
        <v>46239</v>
      </c>
      <c r="I40" s="2">
        <v>0.5</v>
      </c>
      <c r="J40" s="2">
        <v>0.83333333333333337</v>
      </c>
      <c r="K40" s="4" t="s">
        <v>189</v>
      </c>
      <c r="L40">
        <v>1</v>
      </c>
      <c r="M40" t="s">
        <v>4154</v>
      </c>
      <c r="N40" t="s">
        <v>188</v>
      </c>
      <c r="O40" t="s">
        <v>189</v>
      </c>
      <c r="P40" t="s">
        <v>21</v>
      </c>
      <c r="Q40">
        <v>8</v>
      </c>
    </row>
    <row r="41" spans="1:18" hidden="1" x14ac:dyDescent="0.25">
      <c r="A41" s="1">
        <v>46237</v>
      </c>
      <c r="B41">
        <v>1140905046</v>
      </c>
      <c r="C41" t="s">
        <v>4020</v>
      </c>
      <c r="D41" t="s">
        <v>410</v>
      </c>
      <c r="E41" t="s">
        <v>4005</v>
      </c>
      <c r="F41" t="s">
        <v>4015</v>
      </c>
      <c r="G41" s="1">
        <v>46235</v>
      </c>
      <c r="H41" s="1">
        <v>46238</v>
      </c>
      <c r="I41" s="2">
        <v>0.25</v>
      </c>
      <c r="J41" s="2">
        <v>0.54166666666666663</v>
      </c>
      <c r="K41" t="s">
        <v>248</v>
      </c>
      <c r="L41">
        <v>0</v>
      </c>
      <c r="M41" t="s">
        <v>4157</v>
      </c>
      <c r="N41" t="s">
        <v>247</v>
      </c>
      <c r="O41" t="s">
        <v>248</v>
      </c>
      <c r="P41" t="s">
        <v>4007</v>
      </c>
      <c r="Q41">
        <v>7</v>
      </c>
      <c r="R41" t="s">
        <v>4158</v>
      </c>
    </row>
    <row r="42" spans="1:18" hidden="1" x14ac:dyDescent="0.25">
      <c r="A42" s="1">
        <v>46237</v>
      </c>
      <c r="B42">
        <v>21852680</v>
      </c>
      <c r="C42" t="s">
        <v>4019</v>
      </c>
      <c r="D42" t="s">
        <v>410</v>
      </c>
      <c r="E42" t="s">
        <v>4005</v>
      </c>
      <c r="F42" t="s">
        <v>4015</v>
      </c>
      <c r="G42" s="1">
        <v>46235</v>
      </c>
      <c r="H42" s="1">
        <v>46238</v>
      </c>
      <c r="I42" s="2">
        <v>0.25</v>
      </c>
      <c r="J42" s="2">
        <v>0.58333333333333337</v>
      </c>
      <c r="K42" t="s">
        <v>145</v>
      </c>
      <c r="L42">
        <v>0</v>
      </c>
      <c r="M42" t="s">
        <v>4157</v>
      </c>
      <c r="N42" t="s">
        <v>144</v>
      </c>
      <c r="O42" t="s">
        <v>145</v>
      </c>
      <c r="P42" t="s">
        <v>4007</v>
      </c>
      <c r="Q42">
        <v>8</v>
      </c>
      <c r="R42" t="s">
        <v>4158</v>
      </c>
    </row>
    <row r="43" spans="1:18" hidden="1" x14ac:dyDescent="0.25">
      <c r="A43" s="1">
        <v>46237</v>
      </c>
      <c r="B43">
        <v>1143374438</v>
      </c>
      <c r="C43" t="s">
        <v>85</v>
      </c>
      <c r="D43" t="s">
        <v>41</v>
      </c>
      <c r="E43" t="s">
        <v>4011</v>
      </c>
      <c r="F43" t="s">
        <v>25</v>
      </c>
      <c r="G43" s="1">
        <v>46209</v>
      </c>
      <c r="H43" s="1">
        <v>46238</v>
      </c>
      <c r="I43" s="2">
        <v>0.25</v>
      </c>
      <c r="J43" s="2">
        <v>0.58333333333333337</v>
      </c>
      <c r="K43" t="s">
        <v>217</v>
      </c>
      <c r="L43">
        <v>0</v>
      </c>
      <c r="M43" t="s">
        <v>4154</v>
      </c>
      <c r="N43" t="s">
        <v>216</v>
      </c>
      <c r="O43" t="s">
        <v>217</v>
      </c>
      <c r="P43" t="s">
        <v>4007</v>
      </c>
      <c r="Q43">
        <v>8</v>
      </c>
    </row>
    <row r="44" spans="1:18" x14ac:dyDescent="0.25">
      <c r="A44" s="1">
        <v>46237</v>
      </c>
      <c r="B44" t="s">
        <v>46</v>
      </c>
      <c r="C44" t="s">
        <v>47</v>
      </c>
      <c r="D44" t="s">
        <v>34</v>
      </c>
      <c r="E44" t="s">
        <v>4011</v>
      </c>
      <c r="F44" t="s">
        <v>25</v>
      </c>
      <c r="G44" s="1">
        <v>46224</v>
      </c>
      <c r="H44" s="1">
        <v>46239</v>
      </c>
      <c r="I44" s="2">
        <v>0.54166666666666663</v>
      </c>
      <c r="J44" s="2">
        <v>0.875</v>
      </c>
      <c r="K44" t="s">
        <v>36</v>
      </c>
      <c r="L44">
        <v>2</v>
      </c>
      <c r="M44" t="s">
        <v>4155</v>
      </c>
      <c r="N44" t="s">
        <v>35</v>
      </c>
      <c r="O44" s="8" t="s">
        <v>36</v>
      </c>
      <c r="P44" t="s">
        <v>21</v>
      </c>
      <c r="Q44">
        <v>8</v>
      </c>
    </row>
    <row r="45" spans="1:18" hidden="1" x14ac:dyDescent="0.25">
      <c r="A45" s="1">
        <v>46237</v>
      </c>
      <c r="B45" t="s">
        <v>228</v>
      </c>
      <c r="C45" t="s">
        <v>229</v>
      </c>
      <c r="D45" t="s">
        <v>211</v>
      </c>
      <c r="E45" t="s">
        <v>4017</v>
      </c>
      <c r="F45" t="s">
        <v>16</v>
      </c>
      <c r="G45" s="1">
        <v>46230</v>
      </c>
      <c r="H45" s="1">
        <v>46355</v>
      </c>
      <c r="I45" s="2">
        <v>0.25</v>
      </c>
      <c r="J45" s="2">
        <v>0.58333333333333337</v>
      </c>
      <c r="K45" t="s">
        <v>257</v>
      </c>
      <c r="L45">
        <v>0</v>
      </c>
      <c r="M45" t="s">
        <v>4159</v>
      </c>
      <c r="N45" t="s">
        <v>256</v>
      </c>
      <c r="O45" t="s">
        <v>257</v>
      </c>
      <c r="P45" t="s">
        <v>4007</v>
      </c>
      <c r="Q45">
        <v>8</v>
      </c>
      <c r="R45" t="s">
        <v>4160</v>
      </c>
    </row>
    <row r="46" spans="1:18" hidden="1" x14ac:dyDescent="0.25">
      <c r="A46" s="1">
        <v>46237</v>
      </c>
      <c r="B46">
        <v>1143375080</v>
      </c>
      <c r="C46" t="s">
        <v>1090</v>
      </c>
      <c r="D46" t="s">
        <v>153</v>
      </c>
      <c r="E46" t="s">
        <v>4010</v>
      </c>
      <c r="F46" t="s">
        <v>4024</v>
      </c>
      <c r="G46" s="1">
        <v>46232</v>
      </c>
      <c r="H46" s="1">
        <v>46239</v>
      </c>
      <c r="I46" s="2">
        <v>0.25</v>
      </c>
      <c r="J46" s="2">
        <v>0.54166666666666663</v>
      </c>
      <c r="K46" t="s">
        <v>1436</v>
      </c>
      <c r="L46">
        <v>0</v>
      </c>
      <c r="M46" t="s">
        <v>4154</v>
      </c>
      <c r="N46" t="s">
        <v>1435</v>
      </c>
      <c r="O46" t="s">
        <v>1436</v>
      </c>
      <c r="P46" t="s">
        <v>4007</v>
      </c>
      <c r="Q46">
        <v>7</v>
      </c>
    </row>
    <row r="47" spans="1:18" x14ac:dyDescent="0.25">
      <c r="A47" s="1">
        <v>46237</v>
      </c>
      <c r="B47">
        <v>1017264032</v>
      </c>
      <c r="C47" t="s">
        <v>63</v>
      </c>
      <c r="D47" t="s">
        <v>64</v>
      </c>
      <c r="E47" t="s">
        <v>4012</v>
      </c>
      <c r="F47" t="s">
        <v>25</v>
      </c>
      <c r="G47" s="1">
        <v>46229</v>
      </c>
      <c r="H47" s="1">
        <v>46258</v>
      </c>
      <c r="I47" s="2">
        <v>0.58333333333333337</v>
      </c>
      <c r="J47" s="2">
        <v>0.875</v>
      </c>
      <c r="K47" t="s">
        <v>138</v>
      </c>
      <c r="L47">
        <v>2</v>
      </c>
      <c r="M47" t="s">
        <v>4156</v>
      </c>
      <c r="N47" t="s">
        <v>137</v>
      </c>
      <c r="O47" t="s">
        <v>138</v>
      </c>
      <c r="P47" t="s">
        <v>21</v>
      </c>
      <c r="Q47">
        <v>7</v>
      </c>
    </row>
    <row r="48" spans="1:18" hidden="1" x14ac:dyDescent="0.25">
      <c r="A48" s="1">
        <v>46237</v>
      </c>
      <c r="B48">
        <v>1036132488</v>
      </c>
      <c r="C48" t="s">
        <v>150</v>
      </c>
      <c r="D48" t="s">
        <v>142</v>
      </c>
      <c r="E48" t="s">
        <v>4012</v>
      </c>
      <c r="F48" t="s">
        <v>25</v>
      </c>
      <c r="G48" s="1">
        <v>46227</v>
      </c>
      <c r="H48" s="1">
        <v>46246</v>
      </c>
      <c r="I48" s="2">
        <v>0.25</v>
      </c>
      <c r="J48" s="2">
        <v>0.5</v>
      </c>
      <c r="K48" t="s">
        <v>238</v>
      </c>
      <c r="L48">
        <v>0</v>
      </c>
      <c r="M48" t="s">
        <v>4157</v>
      </c>
      <c r="N48" t="s">
        <v>237</v>
      </c>
      <c r="O48" t="s">
        <v>238</v>
      </c>
      <c r="P48" t="s">
        <v>4007</v>
      </c>
      <c r="Q48">
        <v>6</v>
      </c>
    </row>
    <row r="49" spans="1:18" hidden="1" x14ac:dyDescent="0.25">
      <c r="A49" s="1">
        <v>46237</v>
      </c>
      <c r="B49">
        <v>72011169</v>
      </c>
      <c r="C49" t="s">
        <v>202</v>
      </c>
      <c r="D49" t="s">
        <v>64</v>
      </c>
      <c r="E49" t="s">
        <v>4012</v>
      </c>
      <c r="F49" t="s">
        <v>25</v>
      </c>
      <c r="G49" s="1">
        <v>46225</v>
      </c>
      <c r="H49" s="1">
        <v>46239</v>
      </c>
      <c r="I49" s="2">
        <v>0.25</v>
      </c>
      <c r="J49" s="2">
        <v>0.58333333333333337</v>
      </c>
      <c r="K49" t="s">
        <v>199</v>
      </c>
      <c r="L49">
        <v>0</v>
      </c>
      <c r="M49" t="s">
        <v>4157</v>
      </c>
      <c r="N49" t="s">
        <v>198</v>
      </c>
      <c r="O49" t="s">
        <v>199</v>
      </c>
      <c r="P49" t="s">
        <v>4007</v>
      </c>
      <c r="Q49">
        <v>8</v>
      </c>
    </row>
    <row r="50" spans="1:18" hidden="1" x14ac:dyDescent="0.25">
      <c r="A50" s="1">
        <v>46237</v>
      </c>
      <c r="B50">
        <v>43558465</v>
      </c>
      <c r="C50" t="s">
        <v>103</v>
      </c>
      <c r="D50" t="s">
        <v>64</v>
      </c>
      <c r="E50" t="s">
        <v>4012</v>
      </c>
      <c r="F50" t="s">
        <v>25</v>
      </c>
      <c r="G50" s="1">
        <v>46226</v>
      </c>
      <c r="H50" s="1">
        <v>46246</v>
      </c>
      <c r="I50" s="2">
        <v>0.25</v>
      </c>
      <c r="J50" s="2">
        <v>0.58333333333333337</v>
      </c>
      <c r="K50" t="s">
        <v>155</v>
      </c>
      <c r="L50">
        <v>0</v>
      </c>
      <c r="M50" t="s">
        <v>4157</v>
      </c>
      <c r="N50" t="s">
        <v>154</v>
      </c>
      <c r="O50" t="s">
        <v>155</v>
      </c>
      <c r="P50" t="s">
        <v>4007</v>
      </c>
      <c r="Q50">
        <v>8</v>
      </c>
    </row>
    <row r="51" spans="1:18" hidden="1" x14ac:dyDescent="0.25">
      <c r="A51" s="1">
        <v>46237</v>
      </c>
      <c r="B51">
        <v>1037631989</v>
      </c>
      <c r="C51" t="s">
        <v>40</v>
      </c>
      <c r="D51" t="s">
        <v>41</v>
      </c>
      <c r="E51" t="s">
        <v>4011</v>
      </c>
      <c r="F51" t="s">
        <v>25</v>
      </c>
      <c r="G51" s="1">
        <v>46226</v>
      </c>
      <c r="H51" s="1">
        <v>46255</v>
      </c>
      <c r="I51" s="2">
        <v>0.25</v>
      </c>
      <c r="J51" s="2">
        <v>0.54166666666666663</v>
      </c>
      <c r="K51" t="s">
        <v>172</v>
      </c>
      <c r="L51">
        <v>0</v>
      </c>
      <c r="M51" t="s">
        <v>4154</v>
      </c>
      <c r="N51" t="s">
        <v>171</v>
      </c>
      <c r="O51" t="s">
        <v>172</v>
      </c>
      <c r="P51" t="s">
        <v>4007</v>
      </c>
      <c r="Q51">
        <v>7</v>
      </c>
    </row>
    <row r="52" spans="1:18" hidden="1" x14ac:dyDescent="0.25">
      <c r="A52" s="1">
        <v>46237</v>
      </c>
      <c r="B52">
        <v>42141273</v>
      </c>
      <c r="C52" t="s">
        <v>210</v>
      </c>
      <c r="D52" t="s">
        <v>211</v>
      </c>
      <c r="E52" t="s">
        <v>4017</v>
      </c>
      <c r="F52" t="s">
        <v>25</v>
      </c>
      <c r="G52" s="1">
        <v>46224</v>
      </c>
      <c r="H52" s="1">
        <v>46238</v>
      </c>
      <c r="I52" s="2">
        <v>0.25</v>
      </c>
      <c r="J52" s="2">
        <v>0.5</v>
      </c>
      <c r="K52" t="s">
        <v>213</v>
      </c>
      <c r="L52">
        <v>0</v>
      </c>
      <c r="M52" t="s">
        <v>4159</v>
      </c>
      <c r="N52" t="s">
        <v>212</v>
      </c>
      <c r="O52" t="s">
        <v>213</v>
      </c>
      <c r="P52" t="s">
        <v>4007</v>
      </c>
      <c r="Q52">
        <v>6</v>
      </c>
      <c r="R52" t="s">
        <v>4160</v>
      </c>
    </row>
    <row r="53" spans="1:18" hidden="1" x14ac:dyDescent="0.25">
      <c r="A53" s="1">
        <v>46237</v>
      </c>
      <c r="B53">
        <v>1043006106</v>
      </c>
      <c r="C53" t="s">
        <v>194</v>
      </c>
      <c r="D53" t="s">
        <v>160</v>
      </c>
      <c r="E53" t="s">
        <v>4011</v>
      </c>
      <c r="F53" t="s">
        <v>25</v>
      </c>
      <c r="G53" s="1">
        <v>46219</v>
      </c>
      <c r="H53" s="1">
        <v>46248</v>
      </c>
      <c r="I53" s="2">
        <v>0.25</v>
      </c>
      <c r="J53" s="2">
        <v>0.54166666666666663</v>
      </c>
      <c r="K53" t="s">
        <v>192</v>
      </c>
      <c r="L53">
        <v>0</v>
      </c>
      <c r="M53" t="s">
        <v>4159</v>
      </c>
      <c r="N53" t="s">
        <v>191</v>
      </c>
      <c r="O53" t="s">
        <v>192</v>
      </c>
      <c r="P53" t="s">
        <v>4007</v>
      </c>
      <c r="Q53">
        <v>7</v>
      </c>
      <c r="R53" t="s">
        <v>4161</v>
      </c>
    </row>
    <row r="54" spans="1:18" x14ac:dyDescent="0.25">
      <c r="A54" s="1">
        <v>46237</v>
      </c>
      <c r="B54">
        <v>1037638426</v>
      </c>
      <c r="C54" t="s">
        <v>44</v>
      </c>
      <c r="D54" t="s">
        <v>41</v>
      </c>
      <c r="E54" t="s">
        <v>4011</v>
      </c>
      <c r="F54" t="s">
        <v>30</v>
      </c>
      <c r="G54" s="1">
        <v>46230</v>
      </c>
      <c r="H54" s="1">
        <v>46262</v>
      </c>
      <c r="I54" s="2">
        <v>0.58333333333333337</v>
      </c>
      <c r="J54" s="2">
        <v>0.875</v>
      </c>
      <c r="K54" t="s">
        <v>70</v>
      </c>
      <c r="L54">
        <v>2</v>
      </c>
      <c r="M54" t="s">
        <v>4155</v>
      </c>
      <c r="N54" t="s">
        <v>69</v>
      </c>
      <c r="O54" t="s">
        <v>70</v>
      </c>
      <c r="P54" t="s">
        <v>21</v>
      </c>
      <c r="Q54">
        <v>7</v>
      </c>
    </row>
    <row r="55" spans="1:18" hidden="1" x14ac:dyDescent="0.25">
      <c r="A55" s="1">
        <v>46237</v>
      </c>
      <c r="B55">
        <v>1035876080</v>
      </c>
      <c r="C55" t="s">
        <v>120</v>
      </c>
      <c r="D55" t="s">
        <v>121</v>
      </c>
      <c r="E55" t="s">
        <v>4010</v>
      </c>
      <c r="F55" t="s">
        <v>25</v>
      </c>
      <c r="G55" s="1">
        <v>46224</v>
      </c>
      <c r="H55" s="1">
        <v>46238</v>
      </c>
      <c r="I55" s="2">
        <v>0.25</v>
      </c>
      <c r="J55" s="2">
        <v>0.58333333333333337</v>
      </c>
      <c r="K55" t="s">
        <v>220</v>
      </c>
      <c r="L55">
        <v>0</v>
      </c>
      <c r="M55" t="s">
        <v>4156</v>
      </c>
      <c r="N55" t="s">
        <v>219</v>
      </c>
      <c r="O55" t="s">
        <v>220</v>
      </c>
      <c r="P55" t="s">
        <v>4007</v>
      </c>
      <c r="Q55">
        <v>8</v>
      </c>
    </row>
    <row r="56" spans="1:18" hidden="1" x14ac:dyDescent="0.25">
      <c r="A56" s="1">
        <v>46237</v>
      </c>
      <c r="B56">
        <v>1121506548</v>
      </c>
      <c r="C56" t="s">
        <v>50</v>
      </c>
      <c r="D56" t="s">
        <v>51</v>
      </c>
      <c r="E56" t="s">
        <v>4011</v>
      </c>
      <c r="F56" t="s">
        <v>16</v>
      </c>
      <c r="G56" s="1">
        <v>46217</v>
      </c>
      <c r="H56" s="1">
        <v>46342</v>
      </c>
      <c r="I56" s="2">
        <v>0.25</v>
      </c>
      <c r="J56" s="2">
        <v>0.54166666666666663</v>
      </c>
      <c r="K56" t="s">
        <v>99</v>
      </c>
      <c r="L56">
        <v>0</v>
      </c>
      <c r="M56" t="s">
        <v>4154</v>
      </c>
      <c r="N56" t="s">
        <v>98</v>
      </c>
      <c r="O56" t="s">
        <v>99</v>
      </c>
      <c r="P56" t="s">
        <v>4007</v>
      </c>
      <c r="Q56">
        <v>7</v>
      </c>
    </row>
    <row r="57" spans="1:18" x14ac:dyDescent="0.25">
      <c r="A57" s="1">
        <v>46237</v>
      </c>
      <c r="B57" t="s">
        <v>182</v>
      </c>
      <c r="C57" t="s">
        <v>183</v>
      </c>
      <c r="D57" t="s">
        <v>51</v>
      </c>
      <c r="E57" t="s">
        <v>4011</v>
      </c>
      <c r="F57" t="s">
        <v>30</v>
      </c>
      <c r="G57" s="1">
        <v>46227</v>
      </c>
      <c r="H57" s="1">
        <v>46237</v>
      </c>
      <c r="I57" s="2">
        <v>0.54166666666666663</v>
      </c>
      <c r="J57" s="2">
        <v>0.875</v>
      </c>
      <c r="K57" t="s">
        <v>179</v>
      </c>
      <c r="L57">
        <v>2</v>
      </c>
      <c r="M57" t="s">
        <v>4155</v>
      </c>
      <c r="N57" t="s">
        <v>178</v>
      </c>
      <c r="O57" t="s">
        <v>179</v>
      </c>
      <c r="P57" t="s">
        <v>21</v>
      </c>
      <c r="Q57">
        <v>8</v>
      </c>
    </row>
    <row r="58" spans="1:18" hidden="1" x14ac:dyDescent="0.25">
      <c r="A58" s="1">
        <v>46237</v>
      </c>
      <c r="B58">
        <v>1143460426</v>
      </c>
      <c r="C58" t="s">
        <v>4034</v>
      </c>
      <c r="D58" t="s">
        <v>160</v>
      </c>
      <c r="E58" t="s">
        <v>4011</v>
      </c>
      <c r="F58" t="s">
        <v>4015</v>
      </c>
      <c r="G58" s="1">
        <v>46195</v>
      </c>
      <c r="H58" s="1">
        <v>46198</v>
      </c>
      <c r="I58" s="2">
        <v>0.25</v>
      </c>
      <c r="J58" s="2">
        <v>0.58333333333333337</v>
      </c>
      <c r="K58" t="s">
        <v>207</v>
      </c>
      <c r="L58">
        <v>0</v>
      </c>
      <c r="M58" t="s">
        <v>4154</v>
      </c>
      <c r="N58" t="s">
        <v>206</v>
      </c>
      <c r="O58" t="s">
        <v>207</v>
      </c>
      <c r="P58" t="s">
        <v>4007</v>
      </c>
      <c r="Q58">
        <v>8</v>
      </c>
    </row>
    <row r="59" spans="1:18" hidden="1" x14ac:dyDescent="0.25">
      <c r="A59" s="1">
        <v>46237</v>
      </c>
      <c r="B59">
        <v>1152221372</v>
      </c>
      <c r="C59" t="s">
        <v>2313</v>
      </c>
      <c r="D59" t="s">
        <v>128</v>
      </c>
      <c r="E59" t="s">
        <v>4005</v>
      </c>
      <c r="F59" t="s">
        <v>4037</v>
      </c>
      <c r="G59" s="1">
        <v>46230</v>
      </c>
      <c r="H59" s="1"/>
      <c r="I59" s="2">
        <v>0.25</v>
      </c>
      <c r="J59" s="2">
        <v>0.58333333333333337</v>
      </c>
      <c r="K59" t="s">
        <v>204</v>
      </c>
      <c r="L59">
        <v>0</v>
      </c>
      <c r="M59" t="s">
        <v>4157</v>
      </c>
      <c r="N59" t="s">
        <v>203</v>
      </c>
      <c r="O59" t="s">
        <v>204</v>
      </c>
      <c r="P59" t="s">
        <v>4007</v>
      </c>
      <c r="Q59">
        <v>8</v>
      </c>
    </row>
    <row r="60" spans="1:18" x14ac:dyDescent="0.25">
      <c r="A60" s="1">
        <v>46237</v>
      </c>
      <c r="B60">
        <v>1098777544</v>
      </c>
      <c r="C60" t="s">
        <v>81</v>
      </c>
      <c r="D60" t="s">
        <v>82</v>
      </c>
      <c r="E60" t="s">
        <v>4005</v>
      </c>
      <c r="F60" t="s">
        <v>25</v>
      </c>
      <c r="G60" s="1">
        <v>46217</v>
      </c>
      <c r="H60" s="1">
        <v>46246</v>
      </c>
      <c r="I60" s="2">
        <v>0.58333333333333337</v>
      </c>
      <c r="J60" s="2">
        <v>0.875</v>
      </c>
      <c r="K60" t="s">
        <v>226</v>
      </c>
      <c r="L60">
        <v>2</v>
      </c>
      <c r="M60" t="s">
        <v>4157</v>
      </c>
      <c r="N60" t="s">
        <v>225</v>
      </c>
      <c r="O60" t="s">
        <v>226</v>
      </c>
      <c r="P60" t="s">
        <v>21</v>
      </c>
      <c r="Q60">
        <v>7</v>
      </c>
    </row>
    <row r="61" spans="1:18" x14ac:dyDescent="0.25">
      <c r="A61" s="1">
        <v>46237</v>
      </c>
      <c r="B61">
        <v>1047476960</v>
      </c>
      <c r="C61" t="s">
        <v>3180</v>
      </c>
      <c r="D61" t="s">
        <v>420</v>
      </c>
      <c r="E61" t="s">
        <v>4010</v>
      </c>
      <c r="F61" t="s">
        <v>25</v>
      </c>
      <c r="G61" s="1">
        <v>46234</v>
      </c>
      <c r="H61" s="1">
        <v>46237</v>
      </c>
      <c r="I61" s="2">
        <v>0.58333333333333337</v>
      </c>
      <c r="J61" s="2">
        <v>0.875</v>
      </c>
      <c r="K61" t="s">
        <v>4042</v>
      </c>
      <c r="L61">
        <v>2</v>
      </c>
      <c r="M61" t="s">
        <v>4154</v>
      </c>
      <c r="N61" t="s">
        <v>58</v>
      </c>
      <c r="O61" t="s">
        <v>59</v>
      </c>
      <c r="P61" t="s">
        <v>21</v>
      </c>
      <c r="Q61">
        <v>7</v>
      </c>
    </row>
    <row r="62" spans="1:18" x14ac:dyDescent="0.25">
      <c r="A62" s="1">
        <v>46237</v>
      </c>
      <c r="B62">
        <v>1001005240</v>
      </c>
      <c r="C62" t="s">
        <v>152</v>
      </c>
      <c r="D62" t="s">
        <v>153</v>
      </c>
      <c r="E62" t="s">
        <v>4010</v>
      </c>
      <c r="F62" t="s">
        <v>25</v>
      </c>
      <c r="G62" s="1">
        <v>46234</v>
      </c>
      <c r="H62" s="1">
        <v>46240</v>
      </c>
      <c r="I62" s="2">
        <v>0.58333333333333337</v>
      </c>
      <c r="J62" s="2">
        <v>0.875</v>
      </c>
      <c r="K62" t="s">
        <v>241</v>
      </c>
      <c r="L62">
        <v>2</v>
      </c>
      <c r="M62" t="s">
        <v>4155</v>
      </c>
      <c r="N62" t="s">
        <v>240</v>
      </c>
      <c r="O62" t="s">
        <v>241</v>
      </c>
      <c r="P62" t="s">
        <v>21</v>
      </c>
      <c r="Q62">
        <v>7</v>
      </c>
    </row>
    <row r="63" spans="1:18" hidden="1" x14ac:dyDescent="0.25">
      <c r="A63" s="1">
        <v>46237</v>
      </c>
      <c r="B63" t="s">
        <v>185</v>
      </c>
      <c r="C63" t="s">
        <v>186</v>
      </c>
      <c r="D63" t="s">
        <v>4045</v>
      </c>
      <c r="E63" t="s">
        <v>4011</v>
      </c>
      <c r="F63" t="s">
        <v>4046</v>
      </c>
      <c r="G63" s="1">
        <v>46235</v>
      </c>
      <c r="H63" s="1">
        <v>46235</v>
      </c>
      <c r="I63" s="2">
        <v>0.25</v>
      </c>
      <c r="J63" s="2">
        <v>0.58333333333333337</v>
      </c>
      <c r="K63" t="s">
        <v>186</v>
      </c>
      <c r="L63">
        <v>0</v>
      </c>
      <c r="M63" t="s">
        <v>4155</v>
      </c>
      <c r="N63" t="s">
        <v>185</v>
      </c>
      <c r="O63" t="s">
        <v>186</v>
      </c>
      <c r="P63" t="s">
        <v>4007</v>
      </c>
      <c r="Q63">
        <v>8</v>
      </c>
    </row>
    <row r="64" spans="1:18" x14ac:dyDescent="0.25">
      <c r="A64" s="1">
        <v>46237</v>
      </c>
      <c r="B64">
        <v>1143470207</v>
      </c>
      <c r="C64" t="s">
        <v>4043</v>
      </c>
      <c r="D64" t="s">
        <v>153</v>
      </c>
      <c r="E64" t="s">
        <v>4010</v>
      </c>
      <c r="F64" t="s">
        <v>4015</v>
      </c>
      <c r="G64" s="1">
        <v>46235</v>
      </c>
      <c r="H64" s="1">
        <v>46238</v>
      </c>
      <c r="I64" s="2">
        <v>0.58333333333333337</v>
      </c>
      <c r="J64" s="2">
        <v>0.875</v>
      </c>
      <c r="K64" t="s">
        <v>245</v>
      </c>
      <c r="L64">
        <v>2</v>
      </c>
      <c r="M64" t="s">
        <v>4154</v>
      </c>
      <c r="N64" t="s">
        <v>244</v>
      </c>
      <c r="O64" t="s">
        <v>245</v>
      </c>
      <c r="P64" t="s">
        <v>21</v>
      </c>
      <c r="Q64">
        <v>7</v>
      </c>
    </row>
    <row r="65" spans="1:18" hidden="1" x14ac:dyDescent="0.25">
      <c r="A65" s="1">
        <v>46237</v>
      </c>
      <c r="B65">
        <v>1035442917</v>
      </c>
      <c r="C65" t="s">
        <v>2736</v>
      </c>
      <c r="D65" t="s">
        <v>197</v>
      </c>
      <c r="E65" t="s">
        <v>4005</v>
      </c>
      <c r="F65" t="s">
        <v>4040</v>
      </c>
      <c r="G65" s="1">
        <v>46235</v>
      </c>
      <c r="H65" s="1"/>
      <c r="I65" s="2">
        <v>0.25</v>
      </c>
      <c r="J65" s="2">
        <v>0.54166666666666663</v>
      </c>
      <c r="K65" t="s">
        <v>4052</v>
      </c>
      <c r="L65">
        <v>0</v>
      </c>
      <c r="M65" t="s">
        <v>4156</v>
      </c>
      <c r="N65" t="s">
        <v>147</v>
      </c>
      <c r="O65" t="s">
        <v>148</v>
      </c>
      <c r="P65" t="s">
        <v>4007</v>
      </c>
      <c r="Q65">
        <v>7</v>
      </c>
    </row>
    <row r="66" spans="1:18" hidden="1" x14ac:dyDescent="0.25">
      <c r="A66" s="1">
        <v>46237</v>
      </c>
      <c r="B66">
        <v>1032491944</v>
      </c>
      <c r="C66" t="s">
        <v>607</v>
      </c>
      <c r="D66" t="s">
        <v>24</v>
      </c>
      <c r="E66" t="s">
        <v>4011</v>
      </c>
      <c r="F66" t="s">
        <v>4040</v>
      </c>
      <c r="G66" s="1">
        <v>46237</v>
      </c>
      <c r="H66" s="1">
        <v>46241</v>
      </c>
      <c r="I66" s="2">
        <v>0.25</v>
      </c>
      <c r="J66" s="2">
        <v>0.58333333333333337</v>
      </c>
      <c r="K66" t="s">
        <v>4054</v>
      </c>
      <c r="L66">
        <v>0</v>
      </c>
      <c r="M66" t="s">
        <v>4154</v>
      </c>
      <c r="N66" t="s">
        <v>252</v>
      </c>
      <c r="O66" t="s">
        <v>253</v>
      </c>
      <c r="P66" t="s">
        <v>4007</v>
      </c>
      <c r="Q66">
        <v>8</v>
      </c>
    </row>
    <row r="67" spans="1:18" hidden="1" x14ac:dyDescent="0.25">
      <c r="A67" s="1">
        <v>46237</v>
      </c>
      <c r="B67">
        <v>1007223463</v>
      </c>
      <c r="C67" t="s">
        <v>487</v>
      </c>
      <c r="D67" t="s">
        <v>211</v>
      </c>
      <c r="E67" t="s">
        <v>4017</v>
      </c>
      <c r="F67" t="s">
        <v>4039</v>
      </c>
      <c r="G67" s="1">
        <v>46237</v>
      </c>
      <c r="H67" s="1">
        <v>46237</v>
      </c>
      <c r="I67" s="2">
        <v>0.25</v>
      </c>
      <c r="J67" s="2">
        <v>0.58333333333333337</v>
      </c>
      <c r="K67" t="s">
        <v>487</v>
      </c>
      <c r="L67">
        <v>0</v>
      </c>
      <c r="M67" t="s">
        <v>4159</v>
      </c>
      <c r="N67" t="s">
        <v>486</v>
      </c>
      <c r="O67" t="s">
        <v>487</v>
      </c>
      <c r="P67" t="s">
        <v>4007</v>
      </c>
      <c r="Q67">
        <v>8</v>
      </c>
      <c r="R67" t="s">
        <v>4160</v>
      </c>
    </row>
    <row r="68" spans="1:18" x14ac:dyDescent="0.25">
      <c r="A68" s="1">
        <v>46237</v>
      </c>
      <c r="B68">
        <v>1037659560</v>
      </c>
      <c r="C68" t="s">
        <v>166</v>
      </c>
      <c r="D68" t="s">
        <v>41</v>
      </c>
      <c r="E68" t="s">
        <v>4011</v>
      </c>
      <c r="F68" t="s">
        <v>4040</v>
      </c>
      <c r="G68" s="1">
        <v>46235</v>
      </c>
      <c r="H68" s="1">
        <v>46240</v>
      </c>
      <c r="I68" s="2">
        <v>0.58333333333333337</v>
      </c>
      <c r="J68" s="2">
        <v>0.875</v>
      </c>
      <c r="K68" t="s">
        <v>4055</v>
      </c>
      <c r="L68">
        <v>2</v>
      </c>
      <c r="M68" t="s">
        <v>4154</v>
      </c>
      <c r="N68" t="s">
        <v>162</v>
      </c>
      <c r="O68" t="s">
        <v>163</v>
      </c>
      <c r="P68" t="s">
        <v>21</v>
      </c>
      <c r="Q68">
        <v>7</v>
      </c>
    </row>
    <row r="69" spans="1:18" x14ac:dyDescent="0.25">
      <c r="A69" s="1">
        <v>46237</v>
      </c>
      <c r="B69">
        <v>1140851921</v>
      </c>
      <c r="C69" t="s">
        <v>4023</v>
      </c>
      <c r="D69" t="s">
        <v>326</v>
      </c>
      <c r="E69" t="s">
        <v>4005</v>
      </c>
      <c r="F69" t="s">
        <v>4056</v>
      </c>
      <c r="G69" s="1">
        <v>46237</v>
      </c>
      <c r="H69" s="1">
        <v>46239</v>
      </c>
      <c r="I69" s="2">
        <v>0.58333333333333337</v>
      </c>
      <c r="J69" s="2">
        <v>0.875</v>
      </c>
      <c r="K69" t="s">
        <v>1347</v>
      </c>
      <c r="L69">
        <v>2</v>
      </c>
      <c r="M69" t="s">
        <v>4157</v>
      </c>
      <c r="N69" t="s">
        <v>1346</v>
      </c>
      <c r="O69" t="s">
        <v>1347</v>
      </c>
      <c r="P69" t="s">
        <v>21</v>
      </c>
      <c r="Q69">
        <v>7</v>
      </c>
    </row>
    <row r="70" spans="1:18" hidden="1" x14ac:dyDescent="0.25">
      <c r="A70" s="1">
        <v>46237</v>
      </c>
      <c r="B70">
        <v>1152208665</v>
      </c>
      <c r="C70" t="s">
        <v>1084</v>
      </c>
      <c r="D70" t="s">
        <v>322</v>
      </c>
      <c r="E70" t="s">
        <v>4017</v>
      </c>
      <c r="F70" t="s">
        <v>25</v>
      </c>
      <c r="G70" s="1">
        <v>46237</v>
      </c>
      <c r="H70" s="1">
        <v>46238</v>
      </c>
      <c r="I70" s="2">
        <v>0.25</v>
      </c>
      <c r="J70" s="2">
        <v>0.58333333333333337</v>
      </c>
      <c r="K70" t="s">
        <v>4059</v>
      </c>
      <c r="L70">
        <v>0</v>
      </c>
      <c r="M70" t="s">
        <v>4159</v>
      </c>
      <c r="N70" t="s">
        <v>134</v>
      </c>
      <c r="O70" t="s">
        <v>135</v>
      </c>
      <c r="P70" t="s">
        <v>4007</v>
      </c>
      <c r="Q70">
        <v>8</v>
      </c>
    </row>
    <row r="71" spans="1:18" x14ac:dyDescent="0.25">
      <c r="A71" s="1">
        <v>46237</v>
      </c>
      <c r="B71">
        <v>1036962119</v>
      </c>
      <c r="C71" t="s">
        <v>1951</v>
      </c>
      <c r="D71" t="s">
        <v>78</v>
      </c>
      <c r="E71" t="s">
        <v>4010</v>
      </c>
      <c r="F71" t="s">
        <v>4040</v>
      </c>
      <c r="G71" s="1">
        <v>46237</v>
      </c>
      <c r="H71" s="1">
        <v>46235</v>
      </c>
      <c r="I71" s="2">
        <v>0.58333333333333337</v>
      </c>
      <c r="J71" s="2">
        <v>0.875</v>
      </c>
      <c r="K71" t="s">
        <v>4063</v>
      </c>
      <c r="L71">
        <v>2</v>
      </c>
      <c r="M71" t="s">
        <v>4157</v>
      </c>
      <c r="N71" t="s">
        <v>1318</v>
      </c>
      <c r="O71" t="s">
        <v>1319</v>
      </c>
      <c r="P71" t="s">
        <v>21</v>
      </c>
      <c r="Q71">
        <v>7</v>
      </c>
    </row>
    <row r="72" spans="1:18" x14ac:dyDescent="0.25">
      <c r="A72" s="1">
        <v>46237</v>
      </c>
      <c r="B72">
        <v>1005624879</v>
      </c>
      <c r="C72" t="s">
        <v>263</v>
      </c>
      <c r="D72" t="s">
        <v>132</v>
      </c>
      <c r="E72" t="s">
        <v>4010</v>
      </c>
      <c r="F72" t="s">
        <v>4040</v>
      </c>
      <c r="G72" s="1">
        <v>46237</v>
      </c>
      <c r="H72" s="1">
        <v>46240</v>
      </c>
      <c r="I72" s="2">
        <v>0.58333333333333337</v>
      </c>
      <c r="J72" s="2">
        <v>0.875</v>
      </c>
      <c r="K72" t="s">
        <v>4064</v>
      </c>
      <c r="L72">
        <v>2</v>
      </c>
      <c r="M72" t="s">
        <v>4154</v>
      </c>
      <c r="N72" t="s">
        <v>167</v>
      </c>
      <c r="O72" t="s">
        <v>168</v>
      </c>
      <c r="P72" t="s">
        <v>21</v>
      </c>
      <c r="Q72">
        <v>7</v>
      </c>
    </row>
    <row r="73" spans="1:18" hidden="1" x14ac:dyDescent="0.25">
      <c r="A73" s="1">
        <v>46237</v>
      </c>
      <c r="B73" t="s">
        <v>4065</v>
      </c>
      <c r="C73" t="s">
        <v>2003</v>
      </c>
      <c r="D73" t="s">
        <v>2002</v>
      </c>
      <c r="E73" t="s">
        <v>4017</v>
      </c>
      <c r="F73" t="s">
        <v>25</v>
      </c>
      <c r="G73" s="1">
        <v>46237</v>
      </c>
      <c r="H73" s="1">
        <v>46238</v>
      </c>
      <c r="I73" s="2">
        <v>0.5</v>
      </c>
      <c r="J73" s="2">
        <v>0.79166666666666663</v>
      </c>
      <c r="K73" t="s">
        <v>3622</v>
      </c>
      <c r="L73">
        <v>0</v>
      </c>
      <c r="M73" t="s">
        <v>4159</v>
      </c>
      <c r="N73" t="s">
        <v>3621</v>
      </c>
      <c r="O73" t="s">
        <v>3622</v>
      </c>
      <c r="P73" t="s">
        <v>4007</v>
      </c>
      <c r="Q73">
        <v>7</v>
      </c>
      <c r="R73" t="s">
        <v>4162</v>
      </c>
    </row>
    <row r="74" spans="1:18" hidden="1" x14ac:dyDescent="0.25">
      <c r="A74" s="1">
        <v>46237</v>
      </c>
      <c r="B74">
        <v>1072648283</v>
      </c>
      <c r="C74" t="s">
        <v>739</v>
      </c>
      <c r="D74" t="s">
        <v>211</v>
      </c>
      <c r="E74" t="s">
        <v>4017</v>
      </c>
      <c r="F74" t="s">
        <v>25</v>
      </c>
      <c r="G74" s="1">
        <v>46237</v>
      </c>
      <c r="H74" s="1">
        <v>46239</v>
      </c>
      <c r="I74" s="2">
        <v>0.25</v>
      </c>
      <c r="J74" s="2">
        <v>0.58333333333333337</v>
      </c>
      <c r="K74" t="s">
        <v>92</v>
      </c>
      <c r="L74">
        <v>0</v>
      </c>
      <c r="M74" t="s">
        <v>4159</v>
      </c>
      <c r="N74" t="s">
        <v>91</v>
      </c>
      <c r="O74" t="s">
        <v>92</v>
      </c>
      <c r="P74" t="s">
        <v>4007</v>
      </c>
      <c r="Q74">
        <v>8</v>
      </c>
      <c r="R74" t="s">
        <v>4160</v>
      </c>
    </row>
    <row r="75" spans="1:18" x14ac:dyDescent="0.25">
      <c r="A75" s="1">
        <v>46237</v>
      </c>
      <c r="B75">
        <v>1082984414</v>
      </c>
      <c r="C75" t="s">
        <v>2908</v>
      </c>
      <c r="D75" t="s">
        <v>153</v>
      </c>
      <c r="E75" t="s">
        <v>4010</v>
      </c>
      <c r="F75" t="s">
        <v>4040</v>
      </c>
      <c r="G75" s="1">
        <v>46237</v>
      </c>
      <c r="H75" s="1">
        <v>46238</v>
      </c>
      <c r="I75" s="2">
        <v>0.54166666666666663</v>
      </c>
      <c r="J75" s="2">
        <v>0.875</v>
      </c>
      <c r="K75" t="s">
        <v>4067</v>
      </c>
      <c r="L75">
        <v>2</v>
      </c>
      <c r="M75" t="s">
        <v>4154</v>
      </c>
      <c r="N75" t="s">
        <v>17</v>
      </c>
      <c r="O75" t="s">
        <v>18</v>
      </c>
      <c r="P75" t="s">
        <v>21</v>
      </c>
      <c r="Q75">
        <v>8</v>
      </c>
    </row>
    <row r="76" spans="1:18" hidden="1" x14ac:dyDescent="0.25">
      <c r="A76" s="1">
        <v>46237</v>
      </c>
      <c r="B76">
        <v>1085687504</v>
      </c>
      <c r="C76" t="s">
        <v>204</v>
      </c>
      <c r="D76" t="s">
        <v>128</v>
      </c>
      <c r="E76" t="s">
        <v>4005</v>
      </c>
      <c r="F76" t="s">
        <v>4068</v>
      </c>
      <c r="G76" s="1">
        <v>46237</v>
      </c>
      <c r="H76" s="1">
        <v>46237</v>
      </c>
      <c r="I76" s="2">
        <v>0.54166666666666663</v>
      </c>
      <c r="J76" s="2">
        <v>0.58333333333333337</v>
      </c>
      <c r="K76" t="s">
        <v>204</v>
      </c>
      <c r="L76">
        <v>0</v>
      </c>
      <c r="M76" t="s">
        <v>4157</v>
      </c>
      <c r="N76" t="s">
        <v>203</v>
      </c>
      <c r="O76" t="s">
        <v>204</v>
      </c>
      <c r="P76" t="s">
        <v>4007</v>
      </c>
      <c r="Q76">
        <v>1</v>
      </c>
    </row>
    <row r="77" spans="1:18" hidden="1" x14ac:dyDescent="0.25">
      <c r="A77" s="1">
        <v>46237</v>
      </c>
      <c r="B77">
        <v>1042422897</v>
      </c>
      <c r="C77" t="s">
        <v>4069</v>
      </c>
      <c r="D77" t="s">
        <v>326</v>
      </c>
      <c r="E77" t="s">
        <v>4005</v>
      </c>
      <c r="F77" t="s">
        <v>4040</v>
      </c>
      <c r="G77" s="1">
        <v>46237</v>
      </c>
      <c r="H77" s="1">
        <v>46238</v>
      </c>
      <c r="I77" s="2">
        <v>0.54166666666666663</v>
      </c>
      <c r="J77" s="2">
        <v>0.875</v>
      </c>
      <c r="K77" t="s">
        <v>4070</v>
      </c>
      <c r="L77">
        <v>2</v>
      </c>
      <c r="P77" t="s">
        <v>4007</v>
      </c>
      <c r="Q77">
        <v>8</v>
      </c>
    </row>
    <row r="78" spans="1:18" hidden="1" x14ac:dyDescent="0.25">
      <c r="A78" s="1">
        <v>46237</v>
      </c>
      <c r="B78">
        <v>1003000892</v>
      </c>
      <c r="C78" t="s">
        <v>2887</v>
      </c>
      <c r="D78" t="s">
        <v>197</v>
      </c>
      <c r="E78" t="s">
        <v>4005</v>
      </c>
      <c r="F78" t="s">
        <v>4072</v>
      </c>
      <c r="G78" s="1">
        <v>46237</v>
      </c>
      <c r="H78" s="1">
        <v>46237</v>
      </c>
      <c r="I78" s="2">
        <v>0.54166666666666663</v>
      </c>
      <c r="J78" s="2">
        <v>0.79166666666666663</v>
      </c>
      <c r="K78" t="s">
        <v>2887</v>
      </c>
      <c r="L78">
        <v>0</v>
      </c>
      <c r="M78" t="s">
        <v>4157</v>
      </c>
      <c r="N78" t="s">
        <v>2886</v>
      </c>
      <c r="O78" t="s">
        <v>2887</v>
      </c>
      <c r="P78" t="s">
        <v>4007</v>
      </c>
      <c r="Q78">
        <v>6</v>
      </c>
    </row>
    <row r="79" spans="1:18" x14ac:dyDescent="0.25">
      <c r="A79" s="1">
        <v>46237</v>
      </c>
      <c r="B79">
        <v>1020486493</v>
      </c>
      <c r="C79" t="s">
        <v>4073</v>
      </c>
      <c r="D79" t="s">
        <v>326</v>
      </c>
      <c r="E79" t="s">
        <v>4005</v>
      </c>
      <c r="F79" t="s">
        <v>4056</v>
      </c>
      <c r="G79" s="1">
        <v>46237</v>
      </c>
      <c r="H79" s="1">
        <v>46239</v>
      </c>
      <c r="I79" s="2">
        <v>0.58333333333333337</v>
      </c>
      <c r="J79" s="2">
        <v>0.875</v>
      </c>
      <c r="K79" t="s">
        <v>66</v>
      </c>
      <c r="L79">
        <v>2</v>
      </c>
      <c r="M79" t="s">
        <v>4157</v>
      </c>
      <c r="N79" t="s">
        <v>65</v>
      </c>
      <c r="O79" t="s">
        <v>66</v>
      </c>
      <c r="P79" t="s">
        <v>21</v>
      </c>
      <c r="Q79">
        <v>7</v>
      </c>
    </row>
    <row r="80" spans="1:18" hidden="1" x14ac:dyDescent="0.25">
      <c r="A80" s="1">
        <v>46238</v>
      </c>
      <c r="B80">
        <v>1143374438</v>
      </c>
      <c r="C80" t="s">
        <v>85</v>
      </c>
      <c r="D80" t="s">
        <v>41</v>
      </c>
      <c r="E80" t="s">
        <v>4011</v>
      </c>
      <c r="F80" t="s">
        <v>25</v>
      </c>
      <c r="G80" s="1">
        <v>46209</v>
      </c>
      <c r="H80" s="1">
        <v>46238</v>
      </c>
      <c r="I80" s="2">
        <v>0.25</v>
      </c>
      <c r="J80" s="2">
        <v>0.54166666666666663</v>
      </c>
      <c r="K80" t="s">
        <v>74</v>
      </c>
      <c r="L80">
        <v>0</v>
      </c>
      <c r="M80" t="s">
        <v>4154</v>
      </c>
      <c r="N80" t="s">
        <v>73</v>
      </c>
      <c r="O80" t="s">
        <v>74</v>
      </c>
      <c r="P80" t="s">
        <v>4007</v>
      </c>
      <c r="Q80">
        <v>7</v>
      </c>
    </row>
    <row r="81" spans="1:18" hidden="1" x14ac:dyDescent="0.25">
      <c r="A81" s="1">
        <v>46238</v>
      </c>
      <c r="B81" t="s">
        <v>46</v>
      </c>
      <c r="C81" t="s">
        <v>47</v>
      </c>
      <c r="D81" t="s">
        <v>34</v>
      </c>
      <c r="E81" t="s">
        <v>4011</v>
      </c>
      <c r="F81" t="s">
        <v>25</v>
      </c>
      <c r="G81" s="1">
        <v>46224</v>
      </c>
      <c r="H81" s="1">
        <v>46239</v>
      </c>
      <c r="I81" s="2">
        <v>0.54166666666666663</v>
      </c>
      <c r="J81" s="2">
        <v>0.875</v>
      </c>
      <c r="K81" t="s">
        <v>179</v>
      </c>
      <c r="L81">
        <v>2</v>
      </c>
      <c r="M81" t="s">
        <v>4155</v>
      </c>
      <c r="N81" t="s">
        <v>178</v>
      </c>
      <c r="O81" t="s">
        <v>179</v>
      </c>
      <c r="P81" t="s">
        <v>21</v>
      </c>
      <c r="Q81">
        <v>8</v>
      </c>
    </row>
    <row r="82" spans="1:18" hidden="1" x14ac:dyDescent="0.25">
      <c r="A82" s="1">
        <v>46238</v>
      </c>
      <c r="B82">
        <v>1098777544</v>
      </c>
      <c r="C82" t="s">
        <v>81</v>
      </c>
      <c r="D82" t="s">
        <v>82</v>
      </c>
      <c r="E82" t="s">
        <v>4005</v>
      </c>
      <c r="F82" t="s">
        <v>25</v>
      </c>
      <c r="G82" s="1">
        <v>46217</v>
      </c>
      <c r="H82" s="1">
        <v>46246</v>
      </c>
      <c r="I82" s="2">
        <v>0.25</v>
      </c>
      <c r="J82" s="2">
        <v>0.54166666666666663</v>
      </c>
      <c r="K82" t="s">
        <v>145</v>
      </c>
      <c r="L82">
        <v>0</v>
      </c>
      <c r="M82" t="s">
        <v>4157</v>
      </c>
      <c r="N82" t="s">
        <v>144</v>
      </c>
      <c r="O82" t="s">
        <v>145</v>
      </c>
      <c r="P82" t="s">
        <v>4007</v>
      </c>
      <c r="Q82">
        <v>7</v>
      </c>
    </row>
    <row r="83" spans="1:18" hidden="1" x14ac:dyDescent="0.25">
      <c r="A83" s="1">
        <v>46238</v>
      </c>
      <c r="B83">
        <v>1001005240</v>
      </c>
      <c r="C83" t="s">
        <v>152</v>
      </c>
      <c r="D83" t="s">
        <v>153</v>
      </c>
      <c r="E83" t="s">
        <v>4010</v>
      </c>
      <c r="F83" t="s">
        <v>25</v>
      </c>
      <c r="G83" s="1">
        <v>46234</v>
      </c>
      <c r="H83" s="1">
        <v>46240</v>
      </c>
      <c r="I83" s="2">
        <v>0.25</v>
      </c>
      <c r="J83" s="2">
        <v>0.54166666666666663</v>
      </c>
      <c r="K83" t="s">
        <v>189</v>
      </c>
      <c r="L83">
        <v>0</v>
      </c>
      <c r="M83" t="s">
        <v>4154</v>
      </c>
      <c r="N83" t="s">
        <v>188</v>
      </c>
      <c r="O83" t="s">
        <v>189</v>
      </c>
      <c r="P83" t="s">
        <v>4007</v>
      </c>
      <c r="Q83">
        <v>7</v>
      </c>
    </row>
    <row r="84" spans="1:18" hidden="1" x14ac:dyDescent="0.25">
      <c r="A84" s="1">
        <v>46238</v>
      </c>
      <c r="B84">
        <v>1001851670</v>
      </c>
      <c r="C84" t="s">
        <v>14</v>
      </c>
      <c r="D84" t="s">
        <v>15</v>
      </c>
      <c r="E84" t="s">
        <v>4012</v>
      </c>
      <c r="F84" t="s">
        <v>16</v>
      </c>
      <c r="G84" s="1">
        <v>46237</v>
      </c>
      <c r="H84" s="1">
        <v>46366</v>
      </c>
      <c r="I84" s="2">
        <v>0.54166666666666663</v>
      </c>
      <c r="J84" s="2">
        <v>0.875</v>
      </c>
      <c r="K84" t="s">
        <v>238</v>
      </c>
      <c r="L84">
        <v>2</v>
      </c>
      <c r="M84" t="s">
        <v>4157</v>
      </c>
      <c r="N84" t="s">
        <v>237</v>
      </c>
      <c r="O84" t="s">
        <v>238</v>
      </c>
      <c r="P84" t="s">
        <v>21</v>
      </c>
      <c r="Q84">
        <v>8</v>
      </c>
    </row>
    <row r="85" spans="1:18" hidden="1" x14ac:dyDescent="0.25">
      <c r="A85" s="1">
        <v>46238</v>
      </c>
      <c r="B85">
        <v>1152208665</v>
      </c>
      <c r="C85" t="s">
        <v>1084</v>
      </c>
      <c r="D85" t="s">
        <v>322</v>
      </c>
      <c r="E85" t="s">
        <v>4017</v>
      </c>
      <c r="F85" t="s">
        <v>25</v>
      </c>
      <c r="G85" s="1">
        <v>46237</v>
      </c>
      <c r="H85" s="1">
        <v>46238</v>
      </c>
      <c r="I85" s="2">
        <v>0.25</v>
      </c>
      <c r="J85" s="2">
        <v>0.58333333333333337</v>
      </c>
      <c r="K85" t="s">
        <v>135</v>
      </c>
      <c r="L85">
        <v>0</v>
      </c>
      <c r="M85" t="s">
        <v>4159</v>
      </c>
      <c r="N85" t="s">
        <v>134</v>
      </c>
      <c r="O85" t="s">
        <v>135</v>
      </c>
      <c r="P85" t="s">
        <v>4007</v>
      </c>
      <c r="Q85">
        <v>8</v>
      </c>
    </row>
    <row r="86" spans="1:18" hidden="1" x14ac:dyDescent="0.25">
      <c r="A86" s="1">
        <v>46238</v>
      </c>
      <c r="B86">
        <v>1004841623</v>
      </c>
      <c r="C86" t="s">
        <v>4060</v>
      </c>
      <c r="D86" t="s">
        <v>420</v>
      </c>
      <c r="E86" t="s">
        <v>4010</v>
      </c>
      <c r="F86" t="s">
        <v>4015</v>
      </c>
      <c r="G86" s="1">
        <v>46237</v>
      </c>
      <c r="H86" s="1">
        <v>46241</v>
      </c>
      <c r="I86" s="2">
        <v>0.25</v>
      </c>
      <c r="J86" s="2">
        <v>0.54166666666666663</v>
      </c>
      <c r="K86" t="s">
        <v>168</v>
      </c>
      <c r="L86">
        <v>0</v>
      </c>
      <c r="M86" t="s">
        <v>4154</v>
      </c>
      <c r="N86" t="s">
        <v>167</v>
      </c>
      <c r="O86" t="s">
        <v>168</v>
      </c>
      <c r="P86" t="s">
        <v>4007</v>
      </c>
      <c r="Q86">
        <v>7</v>
      </c>
    </row>
    <row r="87" spans="1:18" hidden="1" x14ac:dyDescent="0.25">
      <c r="A87" s="1">
        <v>46238</v>
      </c>
      <c r="B87">
        <v>1143413583</v>
      </c>
      <c r="C87" t="s">
        <v>54</v>
      </c>
      <c r="D87" t="s">
        <v>41</v>
      </c>
      <c r="E87" t="s">
        <v>4011</v>
      </c>
      <c r="F87" t="s">
        <v>25</v>
      </c>
      <c r="G87" s="1">
        <v>46236</v>
      </c>
      <c r="H87" s="1">
        <v>46239</v>
      </c>
      <c r="I87" s="2">
        <v>0.25</v>
      </c>
      <c r="J87" s="2">
        <v>0.58333333333333337</v>
      </c>
      <c r="K87" t="s">
        <v>163</v>
      </c>
      <c r="L87">
        <v>0</v>
      </c>
      <c r="M87" t="s">
        <v>4154</v>
      </c>
      <c r="N87" t="s">
        <v>162</v>
      </c>
      <c r="O87" t="s">
        <v>163</v>
      </c>
      <c r="P87" t="s">
        <v>4007</v>
      </c>
      <c r="Q87">
        <v>8</v>
      </c>
    </row>
    <row r="88" spans="1:18" hidden="1" x14ac:dyDescent="0.25">
      <c r="A88" s="1">
        <v>46238</v>
      </c>
      <c r="B88">
        <v>1152436231</v>
      </c>
      <c r="C88" t="s">
        <v>131</v>
      </c>
      <c r="D88" t="s">
        <v>132</v>
      </c>
      <c r="E88" t="s">
        <v>4010</v>
      </c>
      <c r="F88" t="s">
        <v>25</v>
      </c>
      <c r="G88" s="1">
        <v>46237</v>
      </c>
      <c r="H88" s="1">
        <v>46240</v>
      </c>
      <c r="I88" s="2">
        <v>0.25</v>
      </c>
      <c r="J88" s="2">
        <v>0.54166666666666663</v>
      </c>
      <c r="K88" t="s">
        <v>123</v>
      </c>
      <c r="L88">
        <v>0</v>
      </c>
      <c r="M88" t="s">
        <v>4157</v>
      </c>
      <c r="N88" t="s">
        <v>122</v>
      </c>
      <c r="O88" t="s">
        <v>123</v>
      </c>
      <c r="P88" t="s">
        <v>4007</v>
      </c>
      <c r="Q88">
        <v>7</v>
      </c>
    </row>
    <row r="89" spans="1:18" hidden="1" x14ac:dyDescent="0.25">
      <c r="A89" s="1">
        <v>46238</v>
      </c>
      <c r="B89">
        <v>1193459665</v>
      </c>
      <c r="C89" t="s">
        <v>4026</v>
      </c>
      <c r="D89" t="s">
        <v>326</v>
      </c>
      <c r="E89" t="s">
        <v>4005</v>
      </c>
      <c r="F89" t="s">
        <v>4015</v>
      </c>
      <c r="G89" s="1">
        <v>46237</v>
      </c>
      <c r="H89" s="1">
        <v>46239</v>
      </c>
      <c r="I89" s="2">
        <v>0.54166666666666663</v>
      </c>
      <c r="J89" s="2">
        <v>0.875</v>
      </c>
      <c r="K89" t="s">
        <v>248</v>
      </c>
      <c r="L89">
        <v>2</v>
      </c>
      <c r="M89" t="s">
        <v>4157</v>
      </c>
      <c r="N89" t="s">
        <v>247</v>
      </c>
      <c r="O89" t="s">
        <v>248</v>
      </c>
      <c r="P89" t="s">
        <v>21</v>
      </c>
      <c r="Q89">
        <v>8</v>
      </c>
    </row>
    <row r="90" spans="1:18" hidden="1" x14ac:dyDescent="0.25">
      <c r="A90" s="1">
        <v>46238</v>
      </c>
      <c r="B90">
        <v>1072648283</v>
      </c>
      <c r="C90" t="s">
        <v>739</v>
      </c>
      <c r="D90" t="s">
        <v>211</v>
      </c>
      <c r="E90" t="s">
        <v>4017</v>
      </c>
      <c r="F90" t="s">
        <v>25</v>
      </c>
      <c r="G90" s="1">
        <v>46237</v>
      </c>
      <c r="H90" s="1">
        <v>46239</v>
      </c>
      <c r="I90" s="2">
        <v>0.25</v>
      </c>
      <c r="J90" s="2">
        <v>0.58333333333333337</v>
      </c>
      <c r="K90" t="s">
        <v>487</v>
      </c>
      <c r="L90">
        <v>0</v>
      </c>
      <c r="M90" t="s">
        <v>4159</v>
      </c>
      <c r="N90" t="s">
        <v>486</v>
      </c>
      <c r="O90" t="s">
        <v>487</v>
      </c>
      <c r="P90" t="s">
        <v>4007</v>
      </c>
      <c r="Q90">
        <v>8</v>
      </c>
      <c r="R90" t="s">
        <v>4160</v>
      </c>
    </row>
    <row r="91" spans="1:18" hidden="1" x14ac:dyDescent="0.25">
      <c r="A91" s="1">
        <v>46238</v>
      </c>
      <c r="B91">
        <v>1004373476</v>
      </c>
      <c r="C91" t="s">
        <v>3744</v>
      </c>
      <c r="D91" t="s">
        <v>34</v>
      </c>
      <c r="E91" t="s">
        <v>4011</v>
      </c>
      <c r="F91" t="s">
        <v>25</v>
      </c>
      <c r="G91" s="1">
        <v>46237</v>
      </c>
      <c r="H91" s="1">
        <v>46238</v>
      </c>
      <c r="I91" s="2">
        <v>0.58333333333333337</v>
      </c>
      <c r="J91" s="2">
        <v>0.875</v>
      </c>
      <c r="K91" t="s">
        <v>241</v>
      </c>
      <c r="L91">
        <v>2</v>
      </c>
      <c r="M91" t="s">
        <v>4155</v>
      </c>
      <c r="N91" t="s">
        <v>240</v>
      </c>
      <c r="O91" t="s">
        <v>241</v>
      </c>
      <c r="P91" t="s">
        <v>21</v>
      </c>
      <c r="Q91">
        <v>7</v>
      </c>
    </row>
    <row r="92" spans="1:18" hidden="1" x14ac:dyDescent="0.25">
      <c r="A92" s="1">
        <v>46238</v>
      </c>
      <c r="B92">
        <v>1020486493</v>
      </c>
      <c r="C92" t="s">
        <v>4073</v>
      </c>
      <c r="D92" t="s">
        <v>326</v>
      </c>
      <c r="E92" t="s">
        <v>4005</v>
      </c>
      <c r="F92" t="s">
        <v>4058</v>
      </c>
      <c r="G92" s="1">
        <v>46237</v>
      </c>
      <c r="H92" s="1">
        <v>46239</v>
      </c>
      <c r="I92" s="2">
        <v>0.54166666666666663</v>
      </c>
      <c r="J92" s="2">
        <v>0.875</v>
      </c>
      <c r="K92" t="s">
        <v>1319</v>
      </c>
      <c r="L92">
        <v>2</v>
      </c>
      <c r="M92" t="s">
        <v>4157</v>
      </c>
      <c r="N92" t="s">
        <v>1318</v>
      </c>
      <c r="O92" t="s">
        <v>1319</v>
      </c>
      <c r="P92" t="s">
        <v>21</v>
      </c>
      <c r="Q92">
        <v>8</v>
      </c>
    </row>
    <row r="93" spans="1:18" hidden="1" x14ac:dyDescent="0.25">
      <c r="A93" s="1">
        <v>46238</v>
      </c>
      <c r="B93" t="s">
        <v>4075</v>
      </c>
      <c r="C93" t="s">
        <v>4023</v>
      </c>
      <c r="D93" t="s">
        <v>326</v>
      </c>
      <c r="E93" t="s">
        <v>4005</v>
      </c>
      <c r="F93" t="s">
        <v>4058</v>
      </c>
      <c r="G93" s="1">
        <v>46237</v>
      </c>
      <c r="H93" s="1">
        <v>46239</v>
      </c>
      <c r="I93" s="2">
        <v>0.25</v>
      </c>
      <c r="J93" s="2">
        <v>0.58333333333333337</v>
      </c>
      <c r="K93" t="s">
        <v>107</v>
      </c>
      <c r="L93">
        <v>0</v>
      </c>
      <c r="M93" t="s">
        <v>4157</v>
      </c>
      <c r="N93" t="s">
        <v>106</v>
      </c>
      <c r="O93" t="s">
        <v>107</v>
      </c>
      <c r="P93" t="s">
        <v>4007</v>
      </c>
      <c r="Q93">
        <v>8</v>
      </c>
    </row>
    <row r="94" spans="1:18" hidden="1" x14ac:dyDescent="0.25">
      <c r="A94" s="1">
        <v>46238</v>
      </c>
      <c r="B94" t="s">
        <v>22</v>
      </c>
      <c r="C94" t="s">
        <v>23</v>
      </c>
      <c r="D94" t="s">
        <v>24</v>
      </c>
      <c r="E94" t="s">
        <v>4011</v>
      </c>
      <c r="F94" t="s">
        <v>25</v>
      </c>
      <c r="G94" s="1">
        <v>46237</v>
      </c>
      <c r="H94" s="1">
        <v>46241</v>
      </c>
      <c r="I94" s="2">
        <v>0.25</v>
      </c>
      <c r="J94" s="2">
        <v>0.54166666666666663</v>
      </c>
      <c r="K94" t="s">
        <v>18</v>
      </c>
      <c r="L94">
        <v>0</v>
      </c>
      <c r="M94" t="s">
        <v>4154</v>
      </c>
      <c r="N94" t="s">
        <v>17</v>
      </c>
      <c r="O94" t="s">
        <v>18</v>
      </c>
      <c r="P94" t="s">
        <v>4007</v>
      </c>
      <c r="Q94">
        <v>7</v>
      </c>
    </row>
    <row r="95" spans="1:18" hidden="1" x14ac:dyDescent="0.25">
      <c r="A95" s="1">
        <v>46238</v>
      </c>
      <c r="B95" t="s">
        <v>4086</v>
      </c>
      <c r="C95" t="s">
        <v>4021</v>
      </c>
      <c r="D95" t="s">
        <v>57</v>
      </c>
      <c r="E95" t="s">
        <v>4010</v>
      </c>
      <c r="F95" t="s">
        <v>4015</v>
      </c>
      <c r="G95" s="1">
        <v>46237</v>
      </c>
      <c r="H95" s="1">
        <v>46239</v>
      </c>
      <c r="I95" s="2">
        <v>0.54166666666666663</v>
      </c>
      <c r="J95" s="2">
        <v>0.83333333333333337</v>
      </c>
      <c r="K95" t="s">
        <v>207</v>
      </c>
      <c r="L95">
        <v>1</v>
      </c>
      <c r="M95" t="s">
        <v>4154</v>
      </c>
      <c r="N95" t="s">
        <v>206</v>
      </c>
      <c r="O95" t="s">
        <v>207</v>
      </c>
      <c r="P95" t="s">
        <v>21</v>
      </c>
      <c r="Q95">
        <v>7</v>
      </c>
    </row>
    <row r="96" spans="1:18" hidden="1" x14ac:dyDescent="0.25">
      <c r="A96" s="1">
        <v>46238</v>
      </c>
      <c r="B96" t="s">
        <v>109</v>
      </c>
      <c r="C96" t="s">
        <v>110</v>
      </c>
      <c r="D96" t="s">
        <v>15</v>
      </c>
      <c r="E96" t="s">
        <v>4012</v>
      </c>
      <c r="F96" t="s">
        <v>25</v>
      </c>
      <c r="G96" s="1">
        <v>46229</v>
      </c>
      <c r="H96" s="1">
        <v>46243</v>
      </c>
      <c r="I96" s="2">
        <v>0.25</v>
      </c>
      <c r="J96" s="2">
        <v>0.58333333333333337</v>
      </c>
      <c r="K96" t="s">
        <v>220</v>
      </c>
      <c r="L96">
        <v>0</v>
      </c>
      <c r="M96" t="s">
        <v>4156</v>
      </c>
      <c r="N96" t="s">
        <v>219</v>
      </c>
      <c r="O96" t="s">
        <v>220</v>
      </c>
      <c r="P96" t="s">
        <v>4007</v>
      </c>
      <c r="Q96">
        <v>8</v>
      </c>
    </row>
    <row r="97" spans="1:18" hidden="1" x14ac:dyDescent="0.25">
      <c r="A97" s="1">
        <v>46238</v>
      </c>
      <c r="B97" t="s">
        <v>4087</v>
      </c>
      <c r="C97" t="s">
        <v>4014</v>
      </c>
      <c r="D97" t="s">
        <v>410</v>
      </c>
      <c r="E97" t="s">
        <v>4005</v>
      </c>
      <c r="F97" t="s">
        <v>4015</v>
      </c>
      <c r="G97" s="1">
        <v>46235</v>
      </c>
      <c r="H97" s="1">
        <v>46238</v>
      </c>
      <c r="I97" s="2">
        <v>0.25</v>
      </c>
      <c r="J97" s="2">
        <v>0.54166666666666663</v>
      </c>
      <c r="K97" t="s">
        <v>226</v>
      </c>
      <c r="L97">
        <v>0</v>
      </c>
      <c r="M97" t="s">
        <v>4157</v>
      </c>
      <c r="N97" t="s">
        <v>225</v>
      </c>
      <c r="O97" t="s">
        <v>226</v>
      </c>
      <c r="P97" t="s">
        <v>4007</v>
      </c>
      <c r="Q97">
        <v>7</v>
      </c>
      <c r="R97" t="s">
        <v>4158</v>
      </c>
    </row>
    <row r="98" spans="1:18" hidden="1" x14ac:dyDescent="0.25">
      <c r="A98" s="1">
        <v>46238</v>
      </c>
      <c r="B98" t="s">
        <v>234</v>
      </c>
      <c r="C98" t="s">
        <v>235</v>
      </c>
      <c r="D98" t="s">
        <v>211</v>
      </c>
      <c r="E98" t="s">
        <v>4017</v>
      </c>
      <c r="F98" t="s">
        <v>90</v>
      </c>
      <c r="G98" s="1">
        <v>46233</v>
      </c>
      <c r="H98" s="1">
        <v>46238</v>
      </c>
      <c r="I98" s="2">
        <v>0.5</v>
      </c>
      <c r="J98" s="2">
        <v>0.83333333333333337</v>
      </c>
      <c r="K98" t="s">
        <v>231</v>
      </c>
      <c r="L98">
        <v>1</v>
      </c>
      <c r="M98" t="s">
        <v>4159</v>
      </c>
      <c r="N98" t="s">
        <v>230</v>
      </c>
      <c r="O98" t="s">
        <v>231</v>
      </c>
      <c r="P98" t="s">
        <v>21</v>
      </c>
      <c r="Q98">
        <v>8</v>
      </c>
      <c r="R98" t="s">
        <v>4160</v>
      </c>
    </row>
    <row r="99" spans="1:18" hidden="1" x14ac:dyDescent="0.25">
      <c r="A99" s="1">
        <v>46238</v>
      </c>
      <c r="B99" t="s">
        <v>4088</v>
      </c>
      <c r="C99" t="s">
        <v>4018</v>
      </c>
      <c r="D99" t="s">
        <v>410</v>
      </c>
      <c r="E99" t="s">
        <v>4005</v>
      </c>
      <c r="F99" t="s">
        <v>4015</v>
      </c>
      <c r="G99" s="1">
        <v>46235</v>
      </c>
      <c r="H99" s="1">
        <v>46238</v>
      </c>
      <c r="I99" s="2">
        <v>0.25</v>
      </c>
      <c r="J99" s="2">
        <v>0.58333333333333337</v>
      </c>
      <c r="K99" t="s">
        <v>199</v>
      </c>
      <c r="L99">
        <v>0</v>
      </c>
      <c r="M99" t="s">
        <v>4157</v>
      </c>
      <c r="N99" t="s">
        <v>198</v>
      </c>
      <c r="O99" t="s">
        <v>199</v>
      </c>
      <c r="P99" t="s">
        <v>4007</v>
      </c>
      <c r="Q99">
        <v>8</v>
      </c>
      <c r="R99" t="s">
        <v>4158</v>
      </c>
    </row>
    <row r="100" spans="1:18" hidden="1" x14ac:dyDescent="0.25">
      <c r="A100" s="1">
        <v>46238</v>
      </c>
      <c r="B100" t="s">
        <v>2312</v>
      </c>
      <c r="C100" t="s">
        <v>4038</v>
      </c>
      <c r="D100" t="s">
        <v>128</v>
      </c>
      <c r="E100" t="s">
        <v>4005</v>
      </c>
      <c r="F100" t="s">
        <v>4037</v>
      </c>
      <c r="G100" s="1">
        <v>46230</v>
      </c>
      <c r="H100" s="1"/>
      <c r="I100" s="2">
        <v>0.25</v>
      </c>
      <c r="J100" s="2">
        <v>0.54166666666666663</v>
      </c>
      <c r="K100" t="s">
        <v>204</v>
      </c>
      <c r="L100">
        <v>0</v>
      </c>
      <c r="M100" t="s">
        <v>4157</v>
      </c>
      <c r="N100" t="s">
        <v>203</v>
      </c>
      <c r="O100" t="s">
        <v>204</v>
      </c>
      <c r="P100" t="s">
        <v>4007</v>
      </c>
      <c r="Q100">
        <v>7</v>
      </c>
    </row>
    <row r="101" spans="1:18" hidden="1" x14ac:dyDescent="0.25">
      <c r="A101" s="1">
        <v>46238</v>
      </c>
      <c r="B101" t="s">
        <v>3900</v>
      </c>
      <c r="C101" t="s">
        <v>3901</v>
      </c>
      <c r="D101" t="s">
        <v>29</v>
      </c>
      <c r="E101" t="s">
        <v>4005</v>
      </c>
      <c r="F101" t="s">
        <v>4091</v>
      </c>
      <c r="G101" s="1">
        <v>46238</v>
      </c>
      <c r="H101" s="1">
        <v>46240</v>
      </c>
      <c r="I101" s="2">
        <v>0.54166666666666663</v>
      </c>
      <c r="J101" s="2">
        <v>0.875</v>
      </c>
      <c r="K101" t="s">
        <v>1347</v>
      </c>
      <c r="L101">
        <v>2</v>
      </c>
      <c r="M101" t="s">
        <v>4157</v>
      </c>
      <c r="N101" t="s">
        <v>1346</v>
      </c>
      <c r="O101" t="s">
        <v>1347</v>
      </c>
      <c r="P101" t="s">
        <v>21</v>
      </c>
      <c r="Q101">
        <v>8</v>
      </c>
      <c r="R101" t="s">
        <v>4163</v>
      </c>
    </row>
    <row r="102" spans="1:18" hidden="1" x14ac:dyDescent="0.25">
      <c r="A102" s="1">
        <v>46238</v>
      </c>
      <c r="B102" t="s">
        <v>165</v>
      </c>
      <c r="C102" t="s">
        <v>166</v>
      </c>
      <c r="D102" t="s">
        <v>41</v>
      </c>
      <c r="E102" t="s">
        <v>4011</v>
      </c>
      <c r="F102" t="s">
        <v>25</v>
      </c>
      <c r="G102" s="1">
        <v>46235</v>
      </c>
      <c r="H102" s="1">
        <v>46240</v>
      </c>
      <c r="I102" s="2">
        <v>0.58333333333333337</v>
      </c>
      <c r="J102" s="2">
        <v>0.875</v>
      </c>
      <c r="K102" t="s">
        <v>245</v>
      </c>
      <c r="L102">
        <v>2</v>
      </c>
      <c r="M102" t="s">
        <v>4154</v>
      </c>
      <c r="N102" t="s">
        <v>244</v>
      </c>
      <c r="O102" t="s">
        <v>245</v>
      </c>
      <c r="P102" t="s">
        <v>21</v>
      </c>
      <c r="Q102">
        <v>7</v>
      </c>
    </row>
    <row r="103" spans="1:18" hidden="1" x14ac:dyDescent="0.25">
      <c r="A103" s="1">
        <v>46238</v>
      </c>
      <c r="B103" t="s">
        <v>1089</v>
      </c>
      <c r="C103" t="s">
        <v>4025</v>
      </c>
      <c r="D103" t="s">
        <v>153</v>
      </c>
      <c r="E103" t="s">
        <v>4010</v>
      </c>
      <c r="F103" t="s">
        <v>4024</v>
      </c>
      <c r="G103" s="1">
        <v>46232</v>
      </c>
      <c r="H103" s="1">
        <v>46239</v>
      </c>
      <c r="I103" s="2">
        <v>0.58333333333333337</v>
      </c>
      <c r="J103" s="2">
        <v>0.875</v>
      </c>
      <c r="K103" t="s">
        <v>59</v>
      </c>
      <c r="L103">
        <v>2</v>
      </c>
      <c r="M103" t="s">
        <v>4154</v>
      </c>
      <c r="N103" t="s">
        <v>58</v>
      </c>
      <c r="O103" t="s">
        <v>59</v>
      </c>
      <c r="P103" t="s">
        <v>21</v>
      </c>
      <c r="Q103">
        <v>7</v>
      </c>
    </row>
    <row r="104" spans="1:18" hidden="1" x14ac:dyDescent="0.25">
      <c r="A104" s="1">
        <v>46238</v>
      </c>
      <c r="B104" t="s">
        <v>62</v>
      </c>
      <c r="C104" t="s">
        <v>105</v>
      </c>
      <c r="D104" t="s">
        <v>64</v>
      </c>
      <c r="E104" t="s">
        <v>4012</v>
      </c>
      <c r="F104" t="s">
        <v>25</v>
      </c>
      <c r="G104" s="1">
        <v>46229</v>
      </c>
      <c r="H104" s="1">
        <v>46258</v>
      </c>
      <c r="I104" s="2">
        <v>0.25</v>
      </c>
      <c r="J104" s="2">
        <v>0.58333333333333337</v>
      </c>
      <c r="K104" t="s">
        <v>148</v>
      </c>
      <c r="L104">
        <v>0</v>
      </c>
      <c r="M104" t="s">
        <v>4156</v>
      </c>
      <c r="N104" t="s">
        <v>147</v>
      </c>
      <c r="O104" t="s">
        <v>148</v>
      </c>
      <c r="P104" t="s">
        <v>4007</v>
      </c>
      <c r="Q104">
        <v>8</v>
      </c>
    </row>
    <row r="105" spans="1:18" hidden="1" x14ac:dyDescent="0.25">
      <c r="A105" s="1">
        <v>46238</v>
      </c>
      <c r="B105" t="s">
        <v>140</v>
      </c>
      <c r="C105" t="s">
        <v>141</v>
      </c>
      <c r="D105" t="s">
        <v>142</v>
      </c>
      <c r="E105" t="s">
        <v>4012</v>
      </c>
      <c r="F105" t="s">
        <v>25</v>
      </c>
      <c r="G105" s="1">
        <v>46227</v>
      </c>
      <c r="H105" s="1">
        <v>46246</v>
      </c>
      <c r="I105" s="2">
        <v>0.25</v>
      </c>
      <c r="J105" s="2">
        <v>0.58333333333333337</v>
      </c>
      <c r="K105" t="s">
        <v>138</v>
      </c>
      <c r="L105">
        <v>0</v>
      </c>
      <c r="M105" t="s">
        <v>4156</v>
      </c>
      <c r="N105" t="s">
        <v>137</v>
      </c>
      <c r="O105" t="s">
        <v>138</v>
      </c>
      <c r="P105" t="s">
        <v>4007</v>
      </c>
      <c r="Q105">
        <v>8</v>
      </c>
    </row>
    <row r="106" spans="1:18" hidden="1" x14ac:dyDescent="0.25">
      <c r="A106" s="1">
        <v>46238</v>
      </c>
      <c r="B106" t="s">
        <v>174</v>
      </c>
      <c r="C106" t="s">
        <v>175</v>
      </c>
      <c r="D106" t="s">
        <v>64</v>
      </c>
      <c r="E106" t="s">
        <v>4012</v>
      </c>
      <c r="F106" t="s">
        <v>25</v>
      </c>
      <c r="G106" s="1">
        <v>46225</v>
      </c>
      <c r="H106" s="1">
        <v>46239</v>
      </c>
      <c r="I106" s="2">
        <v>0.54166666666666663</v>
      </c>
      <c r="J106" s="2">
        <v>0.875</v>
      </c>
      <c r="K106" t="s">
        <v>172</v>
      </c>
      <c r="L106">
        <v>2</v>
      </c>
      <c r="M106" t="s">
        <v>4154</v>
      </c>
      <c r="N106" t="s">
        <v>171</v>
      </c>
      <c r="O106" t="s">
        <v>172</v>
      </c>
      <c r="P106" t="s">
        <v>21</v>
      </c>
      <c r="Q106">
        <v>8</v>
      </c>
    </row>
    <row r="107" spans="1:18" hidden="1" x14ac:dyDescent="0.25">
      <c r="A107" s="1">
        <v>46238</v>
      </c>
      <c r="B107" t="s">
        <v>102</v>
      </c>
      <c r="C107" t="s">
        <v>103</v>
      </c>
      <c r="D107" t="s">
        <v>64</v>
      </c>
      <c r="E107" t="s">
        <v>4012</v>
      </c>
      <c r="F107" t="s">
        <v>25</v>
      </c>
      <c r="G107" s="1">
        <v>46226</v>
      </c>
      <c r="H107" s="1">
        <v>46246</v>
      </c>
      <c r="I107" s="2">
        <v>0.58333333333333337</v>
      </c>
      <c r="J107" s="2">
        <v>0.875</v>
      </c>
      <c r="K107" t="s">
        <v>99</v>
      </c>
      <c r="L107">
        <v>2</v>
      </c>
      <c r="M107" t="s">
        <v>4154</v>
      </c>
      <c r="N107" t="s">
        <v>98</v>
      </c>
      <c r="O107" t="s">
        <v>99</v>
      </c>
      <c r="P107" t="s">
        <v>21</v>
      </c>
      <c r="Q107">
        <v>7</v>
      </c>
    </row>
    <row r="108" spans="1:18" hidden="1" x14ac:dyDescent="0.25">
      <c r="A108" s="1">
        <v>46238</v>
      </c>
      <c r="B108" t="s">
        <v>39</v>
      </c>
      <c r="C108" t="s">
        <v>40</v>
      </c>
      <c r="D108" t="s">
        <v>41</v>
      </c>
      <c r="E108" t="s">
        <v>4011</v>
      </c>
      <c r="F108" t="s">
        <v>25</v>
      </c>
      <c r="G108" s="1">
        <v>46226</v>
      </c>
      <c r="H108" s="1">
        <v>46255</v>
      </c>
      <c r="I108" s="2">
        <v>0.25</v>
      </c>
      <c r="J108" s="2">
        <v>0.54166666666666663</v>
      </c>
      <c r="K108" t="s">
        <v>36</v>
      </c>
      <c r="L108">
        <v>0</v>
      </c>
      <c r="M108" t="s">
        <v>4155</v>
      </c>
      <c r="N108" t="s">
        <v>35</v>
      </c>
      <c r="O108" t="s">
        <v>36</v>
      </c>
      <c r="P108" t="s">
        <v>4007</v>
      </c>
      <c r="Q108">
        <v>7</v>
      </c>
    </row>
    <row r="109" spans="1:18" hidden="1" x14ac:dyDescent="0.25">
      <c r="A109" s="1">
        <v>46238</v>
      </c>
      <c r="B109" t="s">
        <v>158</v>
      </c>
      <c r="C109" t="s">
        <v>159</v>
      </c>
      <c r="D109" t="s">
        <v>160</v>
      </c>
      <c r="E109" t="s">
        <v>4011</v>
      </c>
      <c r="F109" t="s">
        <v>25</v>
      </c>
      <c r="G109" s="1">
        <v>46219</v>
      </c>
      <c r="H109" s="1">
        <v>46248</v>
      </c>
      <c r="I109" s="2">
        <v>0.25</v>
      </c>
      <c r="J109" s="2">
        <v>0.58333333333333337</v>
      </c>
      <c r="K109" t="s">
        <v>192</v>
      </c>
      <c r="L109">
        <v>0</v>
      </c>
      <c r="M109" t="s">
        <v>4159</v>
      </c>
      <c r="N109" t="s">
        <v>191</v>
      </c>
      <c r="O109" t="s">
        <v>192</v>
      </c>
      <c r="P109" t="s">
        <v>4007</v>
      </c>
      <c r="Q109">
        <v>8</v>
      </c>
      <c r="R109" t="s">
        <v>4161</v>
      </c>
    </row>
    <row r="110" spans="1:18" hidden="1" x14ac:dyDescent="0.25">
      <c r="A110" s="1">
        <v>46238</v>
      </c>
      <c r="B110" t="s">
        <v>43</v>
      </c>
      <c r="C110" t="s">
        <v>72</v>
      </c>
      <c r="D110" t="s">
        <v>41</v>
      </c>
      <c r="E110" t="s">
        <v>4011</v>
      </c>
      <c r="F110" t="s">
        <v>30</v>
      </c>
      <c r="G110" s="1">
        <v>46230</v>
      </c>
      <c r="H110" s="1">
        <v>46248</v>
      </c>
      <c r="I110" s="2">
        <v>0.58333333333333337</v>
      </c>
      <c r="J110" s="2">
        <v>0.875</v>
      </c>
      <c r="K110" t="s">
        <v>155</v>
      </c>
      <c r="L110">
        <v>2</v>
      </c>
      <c r="M110" t="s">
        <v>4157</v>
      </c>
      <c r="N110" t="s">
        <v>154</v>
      </c>
      <c r="O110" t="s">
        <v>155</v>
      </c>
      <c r="P110" t="s">
        <v>21</v>
      </c>
      <c r="Q110">
        <v>7</v>
      </c>
    </row>
    <row r="111" spans="1:18" hidden="1" x14ac:dyDescent="0.25">
      <c r="A111" s="1">
        <v>46238</v>
      </c>
      <c r="B111" t="s">
        <v>119</v>
      </c>
      <c r="C111" t="s">
        <v>120</v>
      </c>
      <c r="D111" t="s">
        <v>121</v>
      </c>
      <c r="E111" t="s">
        <v>4010</v>
      </c>
      <c r="F111" t="s">
        <v>25</v>
      </c>
      <c r="G111" s="1">
        <v>46224</v>
      </c>
      <c r="H111" s="1">
        <v>46238</v>
      </c>
      <c r="I111" s="2">
        <v>0.25</v>
      </c>
      <c r="J111" s="2">
        <v>0.54166666666666663</v>
      </c>
      <c r="K111" t="s">
        <v>217</v>
      </c>
      <c r="L111">
        <v>0</v>
      </c>
      <c r="M111" t="s">
        <v>4154</v>
      </c>
      <c r="N111" t="s">
        <v>216</v>
      </c>
      <c r="O111" t="s">
        <v>217</v>
      </c>
      <c r="P111" t="s">
        <v>4007</v>
      </c>
      <c r="Q111">
        <v>7</v>
      </c>
    </row>
    <row r="112" spans="1:18" hidden="1" x14ac:dyDescent="0.25">
      <c r="A112" s="1">
        <v>46238</v>
      </c>
      <c r="B112" t="s">
        <v>49</v>
      </c>
      <c r="C112" t="s">
        <v>50</v>
      </c>
      <c r="D112" t="s">
        <v>51</v>
      </c>
      <c r="E112" t="s">
        <v>4011</v>
      </c>
      <c r="F112" t="s">
        <v>16</v>
      </c>
      <c r="G112" s="1">
        <v>46217</v>
      </c>
      <c r="H112" s="1">
        <v>46342</v>
      </c>
      <c r="I112" s="2">
        <v>0.25</v>
      </c>
      <c r="J112" s="2">
        <v>0.58333333333333337</v>
      </c>
      <c r="K112" t="s">
        <v>70</v>
      </c>
      <c r="L112">
        <v>0</v>
      </c>
      <c r="M112" t="s">
        <v>4155</v>
      </c>
      <c r="N112" t="s">
        <v>69</v>
      </c>
      <c r="O112" t="s">
        <v>70</v>
      </c>
      <c r="P112" t="s">
        <v>4007</v>
      </c>
      <c r="Q112">
        <v>8</v>
      </c>
    </row>
    <row r="113" spans="1:18" hidden="1" x14ac:dyDescent="0.25">
      <c r="A113" s="1">
        <v>46238</v>
      </c>
      <c r="B113">
        <v>1152699151</v>
      </c>
      <c r="C113" t="s">
        <v>944</v>
      </c>
      <c r="D113" t="s">
        <v>4093</v>
      </c>
      <c r="E113" t="s">
        <v>4011</v>
      </c>
      <c r="F113" t="s">
        <v>4091</v>
      </c>
      <c r="G113" s="1">
        <v>46238</v>
      </c>
      <c r="H113" s="1">
        <v>46240</v>
      </c>
      <c r="I113" s="2">
        <v>0.33333333333333331</v>
      </c>
      <c r="J113" s="2">
        <v>0.625</v>
      </c>
      <c r="K113" t="s">
        <v>3622</v>
      </c>
      <c r="L113">
        <v>0</v>
      </c>
      <c r="M113" t="s">
        <v>4159</v>
      </c>
      <c r="N113" t="s">
        <v>3621</v>
      </c>
      <c r="O113" t="s">
        <v>3622</v>
      </c>
      <c r="P113" t="s">
        <v>4007</v>
      </c>
      <c r="Q113">
        <v>7</v>
      </c>
    </row>
    <row r="114" spans="1:18" hidden="1" x14ac:dyDescent="0.25">
      <c r="A114" s="1">
        <v>46238</v>
      </c>
      <c r="B114">
        <v>1152470285</v>
      </c>
      <c r="C114" t="s">
        <v>3559</v>
      </c>
      <c r="D114" t="s">
        <v>57</v>
      </c>
      <c r="E114" t="s">
        <v>4010</v>
      </c>
      <c r="F114" t="s">
        <v>30</v>
      </c>
      <c r="G114" s="1">
        <v>46238</v>
      </c>
      <c r="H114" s="1">
        <v>46238</v>
      </c>
      <c r="I114" s="2">
        <v>0.25</v>
      </c>
      <c r="J114" s="2">
        <v>0.58333333333333337</v>
      </c>
      <c r="K114" t="s">
        <v>1436</v>
      </c>
      <c r="L114">
        <v>0</v>
      </c>
      <c r="M114" t="s">
        <v>4154</v>
      </c>
      <c r="N114" t="s">
        <v>1435</v>
      </c>
      <c r="O114" t="s">
        <v>1436</v>
      </c>
      <c r="P114" t="s">
        <v>4007</v>
      </c>
      <c r="Q114">
        <v>8</v>
      </c>
    </row>
    <row r="115" spans="1:18" hidden="1" x14ac:dyDescent="0.25">
      <c r="A115" s="1">
        <v>46238</v>
      </c>
      <c r="B115" t="s">
        <v>185</v>
      </c>
      <c r="C115" t="s">
        <v>186</v>
      </c>
      <c r="D115" t="s">
        <v>4045</v>
      </c>
      <c r="E115" t="s">
        <v>4011</v>
      </c>
      <c r="F115" t="s">
        <v>4046</v>
      </c>
      <c r="G115" s="1">
        <v>46238</v>
      </c>
      <c r="H115" s="1">
        <v>46238</v>
      </c>
      <c r="I115" s="2">
        <v>0.25</v>
      </c>
      <c r="J115" s="2">
        <v>0.58333333333333337</v>
      </c>
      <c r="K115" t="s">
        <v>186</v>
      </c>
      <c r="L115">
        <v>0</v>
      </c>
      <c r="M115" t="s">
        <v>4155</v>
      </c>
      <c r="N115" t="s">
        <v>185</v>
      </c>
      <c r="O115" t="s">
        <v>186</v>
      </c>
      <c r="P115" t="s">
        <v>4007</v>
      </c>
      <c r="Q115">
        <v>8</v>
      </c>
    </row>
    <row r="116" spans="1:18" hidden="1" x14ac:dyDescent="0.25">
      <c r="A116" s="1">
        <v>46238</v>
      </c>
      <c r="B116">
        <v>1193055266</v>
      </c>
      <c r="C116" t="s">
        <v>257</v>
      </c>
      <c r="D116" t="s">
        <v>4045</v>
      </c>
      <c r="E116" t="s">
        <v>4017</v>
      </c>
      <c r="F116" t="s">
        <v>4046</v>
      </c>
      <c r="G116" s="1">
        <v>46238</v>
      </c>
      <c r="H116" s="1">
        <v>46238</v>
      </c>
      <c r="I116" s="2">
        <v>0.25</v>
      </c>
      <c r="J116" s="2">
        <v>0.58333333333333337</v>
      </c>
      <c r="K116" t="s">
        <v>257</v>
      </c>
      <c r="L116">
        <v>0</v>
      </c>
      <c r="M116" t="s">
        <v>4159</v>
      </c>
      <c r="N116" t="s">
        <v>256</v>
      </c>
      <c r="O116" t="s">
        <v>257</v>
      </c>
      <c r="P116" t="s">
        <v>4007</v>
      </c>
      <c r="Q116">
        <v>8</v>
      </c>
    </row>
    <row r="117" spans="1:18" hidden="1" x14ac:dyDescent="0.25">
      <c r="A117" s="1">
        <v>46238</v>
      </c>
      <c r="B117">
        <v>1152687492</v>
      </c>
      <c r="C117" t="s">
        <v>4095</v>
      </c>
      <c r="D117" t="s">
        <v>336</v>
      </c>
      <c r="E117" t="s">
        <v>4017</v>
      </c>
      <c r="F117" t="s">
        <v>4015</v>
      </c>
      <c r="G117" s="1">
        <v>46238</v>
      </c>
      <c r="H117" s="1">
        <v>46240</v>
      </c>
      <c r="I117" s="2">
        <v>0.5</v>
      </c>
      <c r="J117" s="2">
        <v>0.79166666666666663</v>
      </c>
      <c r="K117" t="s">
        <v>213</v>
      </c>
      <c r="L117">
        <v>0</v>
      </c>
      <c r="M117" t="s">
        <v>4159</v>
      </c>
      <c r="N117" t="s">
        <v>212</v>
      </c>
      <c r="O117" t="s">
        <v>213</v>
      </c>
      <c r="P117" t="s">
        <v>4007</v>
      </c>
      <c r="Q117">
        <v>7</v>
      </c>
      <c r="R117" t="s">
        <v>4164</v>
      </c>
    </row>
    <row r="118" spans="1:18" hidden="1" x14ac:dyDescent="0.25">
      <c r="A118" s="1">
        <v>46238</v>
      </c>
      <c r="B118">
        <v>1117545007</v>
      </c>
      <c r="C118" t="s">
        <v>2325</v>
      </c>
      <c r="D118" t="s">
        <v>128</v>
      </c>
      <c r="E118" t="s">
        <v>4005</v>
      </c>
      <c r="F118" t="s">
        <v>25</v>
      </c>
      <c r="G118" s="1">
        <v>46237</v>
      </c>
      <c r="H118" s="1">
        <v>46239</v>
      </c>
      <c r="I118" s="2">
        <v>0.25</v>
      </c>
      <c r="J118" s="2">
        <v>0.58333333333333337</v>
      </c>
      <c r="K118" t="s">
        <v>253</v>
      </c>
      <c r="L118">
        <v>0</v>
      </c>
      <c r="M118" t="s">
        <v>4154</v>
      </c>
      <c r="N118" t="s">
        <v>252</v>
      </c>
      <c r="O118" t="s">
        <v>253</v>
      </c>
      <c r="P118" t="s">
        <v>4007</v>
      </c>
      <c r="Q118">
        <v>8</v>
      </c>
    </row>
    <row r="119" spans="1:18" hidden="1" x14ac:dyDescent="0.25">
      <c r="A119" s="1">
        <v>46238</v>
      </c>
      <c r="B119">
        <v>1001369228</v>
      </c>
      <c r="C119" t="s">
        <v>92</v>
      </c>
      <c r="D119" t="s">
        <v>4045</v>
      </c>
      <c r="E119" t="s">
        <v>4017</v>
      </c>
      <c r="F119" t="s">
        <v>25</v>
      </c>
      <c r="G119" s="1">
        <v>46238</v>
      </c>
      <c r="H119" s="1">
        <v>46239</v>
      </c>
      <c r="I119" s="2">
        <v>0.25</v>
      </c>
      <c r="J119" s="2">
        <v>0.58333333333333337</v>
      </c>
      <c r="K119" t="s">
        <v>4098</v>
      </c>
      <c r="L119">
        <v>0</v>
      </c>
      <c r="M119" t="s">
        <v>4159</v>
      </c>
      <c r="N119" t="s">
        <v>91</v>
      </c>
      <c r="O119" t="s">
        <v>92</v>
      </c>
      <c r="P119" t="s">
        <v>4007</v>
      </c>
      <c r="Q119">
        <v>8</v>
      </c>
    </row>
    <row r="120" spans="1:18" hidden="1" x14ac:dyDescent="0.25">
      <c r="A120" s="1">
        <v>46238</v>
      </c>
      <c r="B120">
        <v>1140899272</v>
      </c>
      <c r="C120" t="s">
        <v>511</v>
      </c>
      <c r="D120" t="s">
        <v>41</v>
      </c>
      <c r="E120" t="s">
        <v>4011</v>
      </c>
      <c r="F120" t="s">
        <v>4040</v>
      </c>
      <c r="G120" s="1">
        <v>46238</v>
      </c>
      <c r="H120" s="1">
        <v>46240</v>
      </c>
      <c r="I120" s="2"/>
      <c r="J120" s="2"/>
      <c r="K120" t="s">
        <v>4050</v>
      </c>
      <c r="L120">
        <v>0</v>
      </c>
      <c r="P120" t="s">
        <v>4007</v>
      </c>
      <c r="Q120">
        <v>0</v>
      </c>
    </row>
    <row r="121" spans="1:18" hidden="1" x14ac:dyDescent="0.25">
      <c r="A121" s="1">
        <v>46238</v>
      </c>
      <c r="B121" t="s">
        <v>2886</v>
      </c>
      <c r="C121" t="s">
        <v>2887</v>
      </c>
      <c r="D121" t="s">
        <v>197</v>
      </c>
      <c r="E121" t="s">
        <v>4005</v>
      </c>
      <c r="F121" t="s">
        <v>4072</v>
      </c>
      <c r="G121" s="1">
        <v>46238</v>
      </c>
      <c r="H121" s="1">
        <v>46238</v>
      </c>
      <c r="I121" s="2">
        <v>0.54166666666666663</v>
      </c>
      <c r="J121" s="2">
        <v>0.79166666666666663</v>
      </c>
      <c r="K121" t="s">
        <v>9</v>
      </c>
      <c r="L121">
        <v>0</v>
      </c>
      <c r="M121" t="s">
        <v>4157</v>
      </c>
      <c r="N121" t="s">
        <v>2886</v>
      </c>
      <c r="O121" t="s">
        <v>2887</v>
      </c>
      <c r="P121" t="s">
        <v>4007</v>
      </c>
      <c r="Q121">
        <v>6</v>
      </c>
    </row>
    <row r="122" spans="1:18" hidden="1" x14ac:dyDescent="0.25">
      <c r="A122" s="1">
        <v>46239</v>
      </c>
      <c r="B122">
        <v>1047505786</v>
      </c>
      <c r="C122" t="s">
        <v>110</v>
      </c>
      <c r="D122" t="s">
        <v>15</v>
      </c>
      <c r="E122" t="s">
        <v>4012</v>
      </c>
      <c r="F122" t="s">
        <v>25</v>
      </c>
      <c r="G122" s="1">
        <v>46229</v>
      </c>
      <c r="H122" s="1">
        <v>46243</v>
      </c>
      <c r="I122" s="2">
        <v>0.54166666666666663</v>
      </c>
      <c r="J122" s="2">
        <v>0.875</v>
      </c>
      <c r="K122" t="s">
        <v>138</v>
      </c>
      <c r="L122">
        <v>2</v>
      </c>
      <c r="M122" t="s">
        <v>4156</v>
      </c>
      <c r="N122" t="s">
        <v>137</v>
      </c>
      <c r="O122" t="s">
        <v>138</v>
      </c>
      <c r="P122" t="s">
        <v>21</v>
      </c>
      <c r="Q122">
        <v>8</v>
      </c>
    </row>
    <row r="123" spans="1:18" hidden="1" x14ac:dyDescent="0.25">
      <c r="A123" s="1">
        <v>46239</v>
      </c>
      <c r="B123">
        <v>1001940238</v>
      </c>
      <c r="C123" t="s">
        <v>4021</v>
      </c>
      <c r="D123" t="s">
        <v>57</v>
      </c>
      <c r="E123" t="s">
        <v>4010</v>
      </c>
      <c r="F123" t="s">
        <v>4015</v>
      </c>
      <c r="G123" s="1">
        <v>46237</v>
      </c>
      <c r="H123" s="1">
        <v>46239</v>
      </c>
      <c r="I123" s="2">
        <v>0.54166666666666663</v>
      </c>
      <c r="J123" s="2">
        <v>0.83333333333333337</v>
      </c>
      <c r="K123" t="s">
        <v>207</v>
      </c>
      <c r="L123">
        <v>1</v>
      </c>
      <c r="M123" t="s">
        <v>4154</v>
      </c>
      <c r="N123" t="s">
        <v>206</v>
      </c>
      <c r="O123" t="s">
        <v>207</v>
      </c>
      <c r="P123" t="s">
        <v>21</v>
      </c>
      <c r="Q123">
        <v>7</v>
      </c>
    </row>
    <row r="124" spans="1:18" hidden="1" x14ac:dyDescent="0.25">
      <c r="A124" s="1">
        <v>46239</v>
      </c>
      <c r="B124">
        <v>1143375080</v>
      </c>
      <c r="C124" t="s">
        <v>4025</v>
      </c>
      <c r="D124" t="s">
        <v>153</v>
      </c>
      <c r="E124" t="s">
        <v>4010</v>
      </c>
      <c r="F124" t="s">
        <v>4024</v>
      </c>
      <c r="G124" s="1">
        <v>46232</v>
      </c>
      <c r="H124" s="1">
        <v>46239</v>
      </c>
      <c r="I124" s="2">
        <v>0.58333333333333337</v>
      </c>
      <c r="J124" s="2">
        <v>0.875</v>
      </c>
      <c r="K124" t="s">
        <v>226</v>
      </c>
      <c r="L124">
        <v>2</v>
      </c>
      <c r="M124" t="s">
        <v>4157</v>
      </c>
      <c r="N124" t="s">
        <v>225</v>
      </c>
      <c r="O124" t="s">
        <v>226</v>
      </c>
      <c r="P124" t="s">
        <v>21</v>
      </c>
      <c r="Q124">
        <v>7</v>
      </c>
    </row>
    <row r="125" spans="1:18" hidden="1" x14ac:dyDescent="0.25">
      <c r="A125" s="1">
        <v>46239</v>
      </c>
      <c r="B125">
        <v>1017264032</v>
      </c>
      <c r="C125" t="s">
        <v>105</v>
      </c>
      <c r="D125" t="s">
        <v>64</v>
      </c>
      <c r="E125" t="s">
        <v>4012</v>
      </c>
      <c r="F125" t="s">
        <v>25</v>
      </c>
      <c r="G125" s="1">
        <v>46229</v>
      </c>
      <c r="H125" s="1">
        <v>46258</v>
      </c>
      <c r="I125" s="2">
        <v>0.25</v>
      </c>
      <c r="J125" s="2">
        <v>0.58333333333333337</v>
      </c>
      <c r="K125" t="s">
        <v>107</v>
      </c>
      <c r="L125">
        <v>0</v>
      </c>
      <c r="M125" t="s">
        <v>4157</v>
      </c>
      <c r="N125" t="s">
        <v>106</v>
      </c>
      <c r="O125" t="s">
        <v>107</v>
      </c>
      <c r="P125" t="s">
        <v>4007</v>
      </c>
      <c r="Q125">
        <v>8</v>
      </c>
    </row>
    <row r="126" spans="1:18" hidden="1" x14ac:dyDescent="0.25">
      <c r="A126" s="1">
        <v>46239</v>
      </c>
      <c r="B126">
        <v>1036132488</v>
      </c>
      <c r="C126" t="s">
        <v>141</v>
      </c>
      <c r="D126" t="s">
        <v>142</v>
      </c>
      <c r="E126" t="s">
        <v>4012</v>
      </c>
      <c r="F126" t="s">
        <v>25</v>
      </c>
      <c r="G126" s="1">
        <v>46227</v>
      </c>
      <c r="H126" s="1">
        <v>46246</v>
      </c>
      <c r="I126" s="2">
        <v>0.25</v>
      </c>
      <c r="J126" s="2">
        <v>0.58333333333333337</v>
      </c>
      <c r="K126" t="s">
        <v>220</v>
      </c>
      <c r="L126">
        <v>0</v>
      </c>
      <c r="M126" t="s">
        <v>4156</v>
      </c>
      <c r="N126" t="s">
        <v>219</v>
      </c>
      <c r="O126" t="s">
        <v>220</v>
      </c>
      <c r="P126" t="s">
        <v>4007</v>
      </c>
      <c r="Q126">
        <v>8</v>
      </c>
    </row>
    <row r="127" spans="1:18" hidden="1" x14ac:dyDescent="0.25">
      <c r="A127" s="1">
        <v>46239</v>
      </c>
      <c r="B127">
        <v>1037631989</v>
      </c>
      <c r="C127" t="s">
        <v>40</v>
      </c>
      <c r="D127" t="s">
        <v>41</v>
      </c>
      <c r="E127" t="s">
        <v>4011</v>
      </c>
      <c r="F127" t="s">
        <v>25</v>
      </c>
      <c r="G127" s="1">
        <v>46226</v>
      </c>
      <c r="H127" s="1">
        <v>46255</v>
      </c>
      <c r="I127" s="2">
        <v>0.25</v>
      </c>
      <c r="J127" s="2">
        <v>0.54166666666666663</v>
      </c>
      <c r="K127" t="s">
        <v>59</v>
      </c>
      <c r="L127">
        <v>0</v>
      </c>
      <c r="M127" t="s">
        <v>4154</v>
      </c>
      <c r="N127" t="s">
        <v>58</v>
      </c>
      <c r="O127" t="s">
        <v>59</v>
      </c>
      <c r="P127" t="s">
        <v>4007</v>
      </c>
      <c r="Q127">
        <v>7</v>
      </c>
    </row>
    <row r="128" spans="1:18" hidden="1" x14ac:dyDescent="0.25">
      <c r="A128" s="1">
        <v>46239</v>
      </c>
      <c r="B128">
        <v>1037638426</v>
      </c>
      <c r="C128" t="s">
        <v>72</v>
      </c>
      <c r="D128" t="s">
        <v>41</v>
      </c>
      <c r="E128" t="s">
        <v>4011</v>
      </c>
      <c r="F128" t="s">
        <v>30</v>
      </c>
      <c r="G128" s="1">
        <v>46230</v>
      </c>
      <c r="H128" s="1">
        <v>46262</v>
      </c>
      <c r="I128" s="2">
        <v>0.54166666666666663</v>
      </c>
      <c r="J128" s="2">
        <v>0.875</v>
      </c>
      <c r="K128" t="s">
        <v>70</v>
      </c>
      <c r="L128">
        <v>2</v>
      </c>
      <c r="M128" t="s">
        <v>4155</v>
      </c>
      <c r="N128" t="s">
        <v>69</v>
      </c>
      <c r="O128" t="s">
        <v>70</v>
      </c>
      <c r="P128" t="s">
        <v>21</v>
      </c>
      <c r="Q128">
        <v>8</v>
      </c>
    </row>
    <row r="129" spans="1:18" hidden="1" x14ac:dyDescent="0.25">
      <c r="A129" s="1">
        <v>46239</v>
      </c>
      <c r="B129">
        <v>1121506548</v>
      </c>
      <c r="C129" t="s">
        <v>50</v>
      </c>
      <c r="D129" t="s">
        <v>51</v>
      </c>
      <c r="E129" t="s">
        <v>4011</v>
      </c>
      <c r="F129" t="s">
        <v>16</v>
      </c>
      <c r="G129" s="1">
        <v>46217</v>
      </c>
      <c r="H129" s="1">
        <v>46342</v>
      </c>
      <c r="I129" s="2">
        <v>0.25</v>
      </c>
      <c r="J129" s="2">
        <v>0.58333333333333337</v>
      </c>
      <c r="K129" t="s">
        <v>248</v>
      </c>
      <c r="L129">
        <v>0</v>
      </c>
      <c r="M129" t="s">
        <v>4157</v>
      </c>
      <c r="N129" t="s">
        <v>247</v>
      </c>
      <c r="O129" t="s">
        <v>248</v>
      </c>
      <c r="P129" t="s">
        <v>4007</v>
      </c>
      <c r="Q129">
        <v>8</v>
      </c>
    </row>
    <row r="130" spans="1:18" hidden="1" x14ac:dyDescent="0.25">
      <c r="A130" s="1">
        <v>46239</v>
      </c>
      <c r="B130">
        <v>1143460426</v>
      </c>
      <c r="C130" t="s">
        <v>4034</v>
      </c>
      <c r="D130" t="s">
        <v>160</v>
      </c>
      <c r="E130" t="s">
        <v>4011</v>
      </c>
      <c r="F130" t="s">
        <v>4015</v>
      </c>
      <c r="G130" s="1">
        <v>46195</v>
      </c>
      <c r="H130" s="1">
        <v>46198</v>
      </c>
      <c r="I130" s="2">
        <v>0.25</v>
      </c>
      <c r="J130" s="2">
        <v>0.54166666666666663</v>
      </c>
      <c r="K130" t="s">
        <v>192</v>
      </c>
      <c r="L130">
        <v>0</v>
      </c>
      <c r="M130" t="s">
        <v>4159</v>
      </c>
      <c r="N130" t="s">
        <v>191</v>
      </c>
      <c r="O130" t="s">
        <v>192</v>
      </c>
      <c r="P130" t="s">
        <v>4007</v>
      </c>
      <c r="Q130">
        <v>7</v>
      </c>
      <c r="R130" t="s">
        <v>4161</v>
      </c>
    </row>
    <row r="131" spans="1:18" hidden="1" x14ac:dyDescent="0.25">
      <c r="A131" s="1">
        <v>46239</v>
      </c>
      <c r="B131">
        <v>1152221372</v>
      </c>
      <c r="C131" t="s">
        <v>4038</v>
      </c>
      <c r="D131" t="s">
        <v>128</v>
      </c>
      <c r="E131" t="s">
        <v>4005</v>
      </c>
      <c r="F131" t="s">
        <v>4037</v>
      </c>
      <c r="G131" s="1">
        <v>46230</v>
      </c>
      <c r="H131" s="1"/>
      <c r="I131" s="2">
        <v>0.25</v>
      </c>
      <c r="J131" s="2">
        <v>0.54166666666666663</v>
      </c>
      <c r="K131" t="s">
        <v>253</v>
      </c>
      <c r="L131">
        <v>0</v>
      </c>
      <c r="M131" t="s">
        <v>4154</v>
      </c>
      <c r="N131" t="s">
        <v>252</v>
      </c>
      <c r="O131" t="s">
        <v>253</v>
      </c>
      <c r="P131" t="s">
        <v>4007</v>
      </c>
      <c r="Q131">
        <v>7</v>
      </c>
    </row>
    <row r="132" spans="1:18" hidden="1" x14ac:dyDescent="0.25">
      <c r="A132" s="1">
        <v>46239</v>
      </c>
      <c r="B132">
        <v>1098777544</v>
      </c>
      <c r="C132" t="s">
        <v>81</v>
      </c>
      <c r="D132" t="s">
        <v>82</v>
      </c>
      <c r="E132" t="s">
        <v>4005</v>
      </c>
      <c r="F132" t="s">
        <v>25</v>
      </c>
      <c r="G132" s="1">
        <v>46217</v>
      </c>
      <c r="H132" s="1">
        <v>46246</v>
      </c>
      <c r="I132" s="2">
        <v>0.25</v>
      </c>
      <c r="J132" s="2">
        <v>0.54166666666666663</v>
      </c>
      <c r="K132" t="s">
        <v>123</v>
      </c>
      <c r="L132">
        <v>0</v>
      </c>
      <c r="M132" t="s">
        <v>4157</v>
      </c>
      <c r="N132" t="s">
        <v>122</v>
      </c>
      <c r="O132" t="s">
        <v>123</v>
      </c>
      <c r="P132" t="s">
        <v>4007</v>
      </c>
      <c r="Q132">
        <v>7</v>
      </c>
    </row>
    <row r="133" spans="1:18" hidden="1" x14ac:dyDescent="0.25">
      <c r="A133" s="1">
        <v>46239</v>
      </c>
      <c r="B133">
        <v>1001005240</v>
      </c>
      <c r="C133" t="s">
        <v>152</v>
      </c>
      <c r="D133" t="s">
        <v>153</v>
      </c>
      <c r="E133" t="s">
        <v>4010</v>
      </c>
      <c r="F133" t="s">
        <v>25</v>
      </c>
      <c r="G133" s="1">
        <v>46234</v>
      </c>
      <c r="H133" s="1">
        <v>46240</v>
      </c>
      <c r="I133" s="2">
        <v>0.58333333333333337</v>
      </c>
      <c r="J133" s="2">
        <v>0.875</v>
      </c>
      <c r="K133" t="s">
        <v>155</v>
      </c>
      <c r="L133">
        <v>2</v>
      </c>
      <c r="M133" t="s">
        <v>4157</v>
      </c>
      <c r="N133" t="s">
        <v>154</v>
      </c>
      <c r="O133" t="s">
        <v>155</v>
      </c>
      <c r="P133" t="s">
        <v>21</v>
      </c>
      <c r="Q133">
        <v>7</v>
      </c>
    </row>
    <row r="134" spans="1:18" hidden="1" x14ac:dyDescent="0.25">
      <c r="A134" s="1">
        <v>46239</v>
      </c>
      <c r="B134">
        <v>1032491944</v>
      </c>
      <c r="C134" t="s">
        <v>23</v>
      </c>
      <c r="D134" t="s">
        <v>24</v>
      </c>
      <c r="E134" t="s">
        <v>4011</v>
      </c>
      <c r="F134" t="s">
        <v>25</v>
      </c>
      <c r="G134" s="1">
        <v>46237</v>
      </c>
      <c r="H134" s="1">
        <v>46241</v>
      </c>
      <c r="I134" s="2">
        <v>0.25</v>
      </c>
      <c r="J134" s="2">
        <v>0.58333333333333337</v>
      </c>
      <c r="K134" t="s">
        <v>179</v>
      </c>
      <c r="L134">
        <v>0</v>
      </c>
      <c r="M134" t="s">
        <v>4155</v>
      </c>
      <c r="N134" t="s">
        <v>178</v>
      </c>
      <c r="O134" s="8" t="s">
        <v>179</v>
      </c>
      <c r="P134" t="s">
        <v>4007</v>
      </c>
      <c r="Q134">
        <v>8</v>
      </c>
    </row>
    <row r="135" spans="1:18" hidden="1" x14ac:dyDescent="0.25">
      <c r="A135" s="1">
        <v>46239</v>
      </c>
      <c r="B135">
        <v>1001851670</v>
      </c>
      <c r="C135" t="s">
        <v>14</v>
      </c>
      <c r="D135" t="s">
        <v>15</v>
      </c>
      <c r="E135" t="s">
        <v>4012</v>
      </c>
      <c r="F135" t="s">
        <v>16</v>
      </c>
      <c r="G135" s="1">
        <v>46237</v>
      </c>
      <c r="H135" s="1">
        <v>46366</v>
      </c>
      <c r="I135" s="2">
        <v>0.25</v>
      </c>
      <c r="J135" s="2">
        <v>0.54166666666666663</v>
      </c>
      <c r="K135" t="s">
        <v>189</v>
      </c>
      <c r="L135">
        <v>0</v>
      </c>
      <c r="M135" t="s">
        <v>4154</v>
      </c>
      <c r="N135" t="s">
        <v>188</v>
      </c>
      <c r="O135" t="s">
        <v>189</v>
      </c>
      <c r="P135" t="s">
        <v>4007</v>
      </c>
      <c r="Q135">
        <v>7</v>
      </c>
    </row>
    <row r="136" spans="1:18" hidden="1" x14ac:dyDescent="0.25">
      <c r="A136" s="1">
        <v>46239</v>
      </c>
      <c r="B136">
        <v>1140851921</v>
      </c>
      <c r="C136" t="s">
        <v>4023</v>
      </c>
      <c r="D136" t="s">
        <v>326</v>
      </c>
      <c r="E136" t="s">
        <v>4005</v>
      </c>
      <c r="F136" t="s">
        <v>4058</v>
      </c>
      <c r="G136" s="1">
        <v>46237</v>
      </c>
      <c r="H136" s="1">
        <v>46239</v>
      </c>
      <c r="I136" s="2">
        <v>0.25</v>
      </c>
      <c r="J136" s="2">
        <v>0.58333333333333337</v>
      </c>
      <c r="K136" t="s">
        <v>1347</v>
      </c>
      <c r="L136">
        <v>0</v>
      </c>
      <c r="M136" t="s">
        <v>4157</v>
      </c>
      <c r="N136" t="s">
        <v>1346</v>
      </c>
      <c r="O136" t="s">
        <v>1347</v>
      </c>
      <c r="P136" t="s">
        <v>4007</v>
      </c>
      <c r="Q136">
        <v>8</v>
      </c>
    </row>
    <row r="137" spans="1:18" hidden="1" x14ac:dyDescent="0.25">
      <c r="A137" s="1">
        <v>46239</v>
      </c>
      <c r="B137">
        <v>1004841623</v>
      </c>
      <c r="C137" t="s">
        <v>4062</v>
      </c>
      <c r="D137" t="s">
        <v>420</v>
      </c>
      <c r="E137" t="s">
        <v>4010</v>
      </c>
      <c r="F137" t="s">
        <v>4015</v>
      </c>
      <c r="G137" s="1">
        <v>46237</v>
      </c>
      <c r="H137" s="1">
        <v>46241</v>
      </c>
      <c r="I137" s="2">
        <v>0.54166666666666663</v>
      </c>
      <c r="J137" s="2">
        <v>0.875</v>
      </c>
      <c r="K137" t="s">
        <v>172</v>
      </c>
      <c r="L137">
        <v>2</v>
      </c>
      <c r="M137" t="s">
        <v>4154</v>
      </c>
      <c r="N137" t="s">
        <v>171</v>
      </c>
      <c r="O137" t="s">
        <v>172</v>
      </c>
      <c r="P137" t="s">
        <v>21</v>
      </c>
      <c r="Q137">
        <v>8</v>
      </c>
    </row>
    <row r="138" spans="1:18" hidden="1" x14ac:dyDescent="0.25">
      <c r="A138" s="1">
        <v>46239</v>
      </c>
      <c r="B138">
        <v>1143413583</v>
      </c>
      <c r="C138" t="s">
        <v>54</v>
      </c>
      <c r="D138" t="s">
        <v>41</v>
      </c>
      <c r="E138" t="s">
        <v>4011</v>
      </c>
      <c r="F138" t="s">
        <v>25</v>
      </c>
      <c r="G138" s="1">
        <v>46236</v>
      </c>
      <c r="H138" s="1">
        <v>46239</v>
      </c>
      <c r="I138" s="2">
        <v>0.25</v>
      </c>
      <c r="J138" s="2">
        <v>0.54166666666666663</v>
      </c>
      <c r="K138" t="s">
        <v>36</v>
      </c>
      <c r="L138">
        <v>0</v>
      </c>
      <c r="M138" t="s">
        <v>4155</v>
      </c>
      <c r="N138" t="s">
        <v>35</v>
      </c>
      <c r="O138" t="s">
        <v>36</v>
      </c>
      <c r="P138" t="s">
        <v>4007</v>
      </c>
      <c r="Q138">
        <v>7</v>
      </c>
    </row>
    <row r="139" spans="1:18" hidden="1" x14ac:dyDescent="0.25">
      <c r="A139" s="1">
        <v>46239</v>
      </c>
      <c r="B139">
        <v>1152436231</v>
      </c>
      <c r="C139" t="s">
        <v>131</v>
      </c>
      <c r="D139" t="s">
        <v>132</v>
      </c>
      <c r="E139" t="s">
        <v>4010</v>
      </c>
      <c r="F139" t="s">
        <v>25</v>
      </c>
      <c r="G139" s="1">
        <v>46237</v>
      </c>
      <c r="H139" s="1">
        <v>46240</v>
      </c>
      <c r="I139" s="2">
        <v>0.54166666666666663</v>
      </c>
      <c r="J139" s="2">
        <v>0.875</v>
      </c>
      <c r="K139" t="s">
        <v>168</v>
      </c>
      <c r="L139">
        <v>2</v>
      </c>
      <c r="M139" t="s">
        <v>4154</v>
      </c>
      <c r="N139" t="s">
        <v>167</v>
      </c>
      <c r="O139" t="s">
        <v>168</v>
      </c>
      <c r="P139" t="s">
        <v>21</v>
      </c>
      <c r="Q139">
        <v>8</v>
      </c>
    </row>
    <row r="140" spans="1:18" hidden="1" x14ac:dyDescent="0.25">
      <c r="A140" s="1">
        <v>46239</v>
      </c>
      <c r="B140">
        <v>1193459665</v>
      </c>
      <c r="C140" t="s">
        <v>4066</v>
      </c>
      <c r="D140" t="s">
        <v>326</v>
      </c>
      <c r="E140" t="s">
        <v>4005</v>
      </c>
      <c r="F140" t="s">
        <v>4015</v>
      </c>
      <c r="G140" s="1">
        <v>46237</v>
      </c>
      <c r="H140" s="1">
        <v>46239</v>
      </c>
      <c r="I140" s="2">
        <v>0.58333333333333337</v>
      </c>
      <c r="J140" s="2">
        <v>0.875</v>
      </c>
      <c r="K140" t="s">
        <v>145</v>
      </c>
      <c r="L140">
        <v>2</v>
      </c>
      <c r="M140" t="s">
        <v>4157</v>
      </c>
      <c r="N140" t="s">
        <v>144</v>
      </c>
      <c r="O140" t="s">
        <v>145</v>
      </c>
      <c r="P140" t="s">
        <v>21</v>
      </c>
      <c r="Q140">
        <v>7</v>
      </c>
    </row>
    <row r="141" spans="1:18" hidden="1" x14ac:dyDescent="0.25">
      <c r="A141" s="1">
        <v>46239</v>
      </c>
      <c r="B141">
        <v>1072648283</v>
      </c>
      <c r="C141" t="s">
        <v>739</v>
      </c>
      <c r="D141" t="s">
        <v>211</v>
      </c>
      <c r="E141" t="s">
        <v>4017</v>
      </c>
      <c r="F141" t="s">
        <v>25</v>
      </c>
      <c r="G141" s="1">
        <v>46237</v>
      </c>
      <c r="H141" s="1">
        <v>46239</v>
      </c>
      <c r="I141" s="2">
        <v>0.58333333333333337</v>
      </c>
      <c r="J141" s="2">
        <v>0.875</v>
      </c>
      <c r="K141" t="s">
        <v>487</v>
      </c>
      <c r="L141">
        <v>2</v>
      </c>
      <c r="M141" t="s">
        <v>4159</v>
      </c>
      <c r="N141" t="s">
        <v>486</v>
      </c>
      <c r="O141" t="s">
        <v>487</v>
      </c>
      <c r="P141" t="s">
        <v>21</v>
      </c>
      <c r="Q141">
        <v>7</v>
      </c>
      <c r="R141" t="s">
        <v>4160</v>
      </c>
    </row>
    <row r="142" spans="1:18" hidden="1" x14ac:dyDescent="0.25">
      <c r="A142" s="1">
        <v>46239</v>
      </c>
      <c r="B142">
        <v>1020486493</v>
      </c>
      <c r="C142" t="s">
        <v>4073</v>
      </c>
      <c r="D142" t="s">
        <v>326</v>
      </c>
      <c r="E142" t="s">
        <v>4005</v>
      </c>
      <c r="F142" t="s">
        <v>4058</v>
      </c>
      <c r="G142" s="1">
        <v>46237</v>
      </c>
      <c r="H142" s="1">
        <v>46239</v>
      </c>
      <c r="I142" s="2">
        <v>0.25</v>
      </c>
      <c r="J142" s="2">
        <v>0.54166666666666663</v>
      </c>
      <c r="K142" t="s">
        <v>199</v>
      </c>
      <c r="L142">
        <v>0</v>
      </c>
      <c r="M142" t="s">
        <v>4157</v>
      </c>
      <c r="N142" t="s">
        <v>198</v>
      </c>
      <c r="O142" t="s">
        <v>199</v>
      </c>
      <c r="P142" t="s">
        <v>4007</v>
      </c>
      <c r="Q142">
        <v>7</v>
      </c>
    </row>
    <row r="143" spans="1:18" hidden="1" x14ac:dyDescent="0.25">
      <c r="A143" s="1">
        <v>46239</v>
      </c>
      <c r="B143">
        <v>1152699151</v>
      </c>
      <c r="C143" t="s">
        <v>944</v>
      </c>
      <c r="D143" t="s">
        <v>4093</v>
      </c>
      <c r="E143" t="s">
        <v>4011</v>
      </c>
      <c r="F143" t="s">
        <v>4091</v>
      </c>
      <c r="G143" s="1">
        <v>46238</v>
      </c>
      <c r="H143" s="1">
        <v>46240</v>
      </c>
      <c r="I143" s="2">
        <v>0.33333333333333331</v>
      </c>
      <c r="J143" s="2">
        <v>0.625</v>
      </c>
      <c r="K143" t="s">
        <v>3622</v>
      </c>
      <c r="L143">
        <v>0</v>
      </c>
      <c r="M143" t="s">
        <v>4159</v>
      </c>
      <c r="N143" t="s">
        <v>3621</v>
      </c>
      <c r="O143" t="s">
        <v>3622</v>
      </c>
      <c r="P143" t="s">
        <v>4007</v>
      </c>
      <c r="Q143">
        <v>7</v>
      </c>
    </row>
    <row r="144" spans="1:18" hidden="1" x14ac:dyDescent="0.25">
      <c r="A144" s="1">
        <v>46239</v>
      </c>
      <c r="B144">
        <v>1152687492</v>
      </c>
      <c r="C144" t="s">
        <v>4095</v>
      </c>
      <c r="D144" t="s">
        <v>336</v>
      </c>
      <c r="E144" t="s">
        <v>4017</v>
      </c>
      <c r="F144" t="s">
        <v>4015</v>
      </c>
      <c r="G144" s="1">
        <v>46238</v>
      </c>
      <c r="H144" s="1">
        <v>46240</v>
      </c>
      <c r="I144" s="2">
        <v>0.45833333333333331</v>
      </c>
      <c r="J144" s="2">
        <v>0.79166666666666663</v>
      </c>
      <c r="K144" t="s">
        <v>231</v>
      </c>
      <c r="L144">
        <v>0</v>
      </c>
      <c r="M144" t="s">
        <v>4159</v>
      </c>
      <c r="N144" t="s">
        <v>230</v>
      </c>
      <c r="O144" t="s">
        <v>231</v>
      </c>
      <c r="P144" t="s">
        <v>4007</v>
      </c>
      <c r="Q144">
        <v>8</v>
      </c>
      <c r="R144" t="s">
        <v>4164</v>
      </c>
    </row>
    <row r="145" spans="1:18" hidden="1" x14ac:dyDescent="0.25">
      <c r="A145" s="1">
        <v>46239</v>
      </c>
      <c r="B145">
        <v>1117545007</v>
      </c>
      <c r="C145" t="s">
        <v>2325</v>
      </c>
      <c r="D145" t="s">
        <v>128</v>
      </c>
      <c r="E145" t="s">
        <v>4005</v>
      </c>
      <c r="F145" t="s">
        <v>25</v>
      </c>
      <c r="G145" s="1">
        <v>46237</v>
      </c>
      <c r="H145" s="1">
        <v>46239</v>
      </c>
      <c r="I145" s="2">
        <v>0.54166666666666663</v>
      </c>
      <c r="J145" s="2">
        <v>0.875</v>
      </c>
      <c r="K145" t="s">
        <v>18</v>
      </c>
      <c r="L145">
        <v>2</v>
      </c>
      <c r="M145" t="s">
        <v>4154</v>
      </c>
      <c r="N145" t="s">
        <v>17</v>
      </c>
      <c r="O145" t="s">
        <v>18</v>
      </c>
      <c r="P145" t="s">
        <v>21</v>
      </c>
      <c r="Q145">
        <v>8</v>
      </c>
    </row>
    <row r="146" spans="1:18" hidden="1" x14ac:dyDescent="0.25">
      <c r="A146" s="1">
        <v>46239</v>
      </c>
      <c r="B146">
        <v>1193104616</v>
      </c>
      <c r="C146" t="s">
        <v>1954</v>
      </c>
      <c r="D146" t="s">
        <v>64</v>
      </c>
      <c r="E146" t="s">
        <v>4012</v>
      </c>
      <c r="F146" t="s">
        <v>25</v>
      </c>
      <c r="G146" s="1">
        <v>46238</v>
      </c>
      <c r="H146" s="1">
        <v>46240</v>
      </c>
      <c r="I146" s="2">
        <v>0.25</v>
      </c>
      <c r="J146" s="2">
        <v>0.58333333333333337</v>
      </c>
      <c r="K146" t="s">
        <v>148</v>
      </c>
      <c r="L146">
        <v>0</v>
      </c>
      <c r="M146" t="s">
        <v>4156</v>
      </c>
      <c r="N146" t="s">
        <v>147</v>
      </c>
      <c r="O146" t="s">
        <v>148</v>
      </c>
      <c r="P146" t="s">
        <v>4007</v>
      </c>
      <c r="Q146">
        <v>8</v>
      </c>
    </row>
    <row r="147" spans="1:18" hidden="1" x14ac:dyDescent="0.25">
      <c r="A147" s="1">
        <v>46239</v>
      </c>
      <c r="B147">
        <v>1001369228</v>
      </c>
      <c r="C147" t="s">
        <v>92</v>
      </c>
      <c r="D147" t="s">
        <v>4045</v>
      </c>
      <c r="E147" t="s">
        <v>4017</v>
      </c>
      <c r="F147" t="s">
        <v>25</v>
      </c>
      <c r="G147" s="1">
        <v>46238</v>
      </c>
      <c r="H147" s="1">
        <v>46239</v>
      </c>
      <c r="I147" s="2">
        <v>0.25</v>
      </c>
      <c r="J147" s="2">
        <v>0.58333333333333337</v>
      </c>
      <c r="K147" t="s">
        <v>4099</v>
      </c>
      <c r="L147">
        <v>0</v>
      </c>
      <c r="M147" t="s">
        <v>4159</v>
      </c>
      <c r="N147" t="s">
        <v>91</v>
      </c>
      <c r="O147" t="s">
        <v>92</v>
      </c>
      <c r="P147" t="s">
        <v>4007</v>
      </c>
      <c r="Q147">
        <v>8</v>
      </c>
    </row>
    <row r="148" spans="1:18" hidden="1" x14ac:dyDescent="0.25">
      <c r="A148" s="1">
        <v>46239</v>
      </c>
      <c r="B148">
        <v>1140899272</v>
      </c>
      <c r="C148" t="s">
        <v>4100</v>
      </c>
      <c r="D148" t="s">
        <v>41</v>
      </c>
      <c r="E148" t="s">
        <v>4011</v>
      </c>
      <c r="F148" t="s">
        <v>25</v>
      </c>
      <c r="G148" s="1">
        <v>46238</v>
      </c>
      <c r="H148" s="1">
        <v>46240</v>
      </c>
      <c r="I148" s="2">
        <v>0.54166666666666663</v>
      </c>
      <c r="J148" s="2">
        <v>0.875</v>
      </c>
      <c r="K148" t="s">
        <v>4101</v>
      </c>
      <c r="L148">
        <v>2</v>
      </c>
      <c r="M148" t="s">
        <v>4154</v>
      </c>
      <c r="N148" t="s">
        <v>244</v>
      </c>
      <c r="O148" t="s">
        <v>245</v>
      </c>
      <c r="P148" t="s">
        <v>21</v>
      </c>
      <c r="Q148">
        <v>8</v>
      </c>
    </row>
    <row r="149" spans="1:18" hidden="1" x14ac:dyDescent="0.25">
      <c r="A149" s="1">
        <v>46239</v>
      </c>
      <c r="B149">
        <v>1036656151</v>
      </c>
      <c r="C149" t="s">
        <v>1643</v>
      </c>
      <c r="D149" t="s">
        <v>34</v>
      </c>
      <c r="E149" t="s">
        <v>4011</v>
      </c>
      <c r="F149" t="s">
        <v>25</v>
      </c>
      <c r="G149" s="1">
        <v>46238</v>
      </c>
      <c r="H149" s="1">
        <v>46239</v>
      </c>
      <c r="I149" s="2">
        <v>0.25</v>
      </c>
      <c r="J149" s="2">
        <v>0.54166666666666663</v>
      </c>
      <c r="K149" t="s">
        <v>99</v>
      </c>
      <c r="L149">
        <v>0</v>
      </c>
      <c r="M149" t="s">
        <v>4154</v>
      </c>
      <c r="N149" t="s">
        <v>98</v>
      </c>
      <c r="O149" t="s">
        <v>99</v>
      </c>
      <c r="P149" t="s">
        <v>4007</v>
      </c>
      <c r="Q149">
        <v>7</v>
      </c>
    </row>
    <row r="150" spans="1:18" hidden="1" x14ac:dyDescent="0.25">
      <c r="A150" s="1">
        <v>46239</v>
      </c>
      <c r="B150">
        <v>1001901817</v>
      </c>
      <c r="C150" t="s">
        <v>4105</v>
      </c>
      <c r="D150" t="s">
        <v>553</v>
      </c>
      <c r="E150" t="s">
        <v>4010</v>
      </c>
      <c r="F150" t="s">
        <v>25</v>
      </c>
      <c r="G150" s="1">
        <v>46238</v>
      </c>
      <c r="H150" s="1">
        <v>46239</v>
      </c>
      <c r="I150" s="2">
        <v>0.54166666666666663</v>
      </c>
      <c r="J150" s="2">
        <v>0.875</v>
      </c>
      <c r="K150" t="s">
        <v>217</v>
      </c>
      <c r="L150">
        <v>2</v>
      </c>
      <c r="M150" t="s">
        <v>4154</v>
      </c>
      <c r="N150" t="s">
        <v>216</v>
      </c>
      <c r="O150" t="s">
        <v>217</v>
      </c>
      <c r="P150" t="s">
        <v>21</v>
      </c>
      <c r="Q150">
        <v>8</v>
      </c>
    </row>
    <row r="151" spans="1:18" hidden="1" x14ac:dyDescent="0.25">
      <c r="A151" s="1">
        <v>46239</v>
      </c>
      <c r="B151">
        <v>1037634709</v>
      </c>
      <c r="C151" t="s">
        <v>4009</v>
      </c>
      <c r="D151" t="s">
        <v>420</v>
      </c>
      <c r="E151" t="s">
        <v>4010</v>
      </c>
      <c r="F151" t="s">
        <v>4015</v>
      </c>
      <c r="G151" s="1">
        <v>46238</v>
      </c>
      <c r="H151" s="1">
        <v>46240</v>
      </c>
      <c r="I151" s="2">
        <v>0.54166666666666663</v>
      </c>
      <c r="J151" s="2">
        <v>0.875</v>
      </c>
      <c r="K151" t="s">
        <v>163</v>
      </c>
      <c r="L151">
        <v>2</v>
      </c>
      <c r="M151" t="s">
        <v>4154</v>
      </c>
      <c r="N151" t="s">
        <v>162</v>
      </c>
      <c r="O151" t="s">
        <v>163</v>
      </c>
      <c r="P151" t="s">
        <v>21</v>
      </c>
      <c r="Q151">
        <v>8</v>
      </c>
    </row>
    <row r="152" spans="1:18" hidden="1" x14ac:dyDescent="0.25">
      <c r="A152" s="1">
        <v>46239</v>
      </c>
      <c r="B152">
        <v>1143166909</v>
      </c>
      <c r="C152" t="s">
        <v>2672</v>
      </c>
      <c r="D152" t="s">
        <v>322</v>
      </c>
      <c r="E152" t="s">
        <v>4017</v>
      </c>
      <c r="F152" t="s">
        <v>4040</v>
      </c>
      <c r="G152" s="1">
        <v>46239</v>
      </c>
      <c r="H152" s="1"/>
      <c r="I152" s="2">
        <v>0.54166666666666663</v>
      </c>
      <c r="J152" s="2">
        <v>0.875</v>
      </c>
      <c r="K152" t="s">
        <v>4107</v>
      </c>
      <c r="L152">
        <v>2</v>
      </c>
      <c r="M152" t="s">
        <v>4159</v>
      </c>
      <c r="N152" t="s">
        <v>256</v>
      </c>
      <c r="O152" t="s">
        <v>257</v>
      </c>
      <c r="P152" t="s">
        <v>21</v>
      </c>
      <c r="Q152">
        <v>8</v>
      </c>
    </row>
    <row r="153" spans="1:18" hidden="1" x14ac:dyDescent="0.25">
      <c r="A153" s="1">
        <v>46239</v>
      </c>
      <c r="B153">
        <v>1083001678</v>
      </c>
      <c r="C153" t="s">
        <v>522</v>
      </c>
      <c r="D153" t="s">
        <v>128</v>
      </c>
      <c r="E153" t="s">
        <v>4005</v>
      </c>
      <c r="F153" t="s">
        <v>4108</v>
      </c>
      <c r="G153" s="1">
        <v>46239</v>
      </c>
      <c r="H153" s="1">
        <v>46239</v>
      </c>
      <c r="I153" s="2">
        <v>0.54166666666666663</v>
      </c>
      <c r="J153" s="2">
        <v>0.875</v>
      </c>
      <c r="K153" t="s">
        <v>1436</v>
      </c>
      <c r="L153">
        <v>2</v>
      </c>
      <c r="M153" t="s">
        <v>4154</v>
      </c>
      <c r="N153" t="s">
        <v>1435</v>
      </c>
      <c r="O153" t="s">
        <v>1436</v>
      </c>
      <c r="P153" t="s">
        <v>21</v>
      </c>
      <c r="Q153">
        <v>8</v>
      </c>
    </row>
    <row r="154" spans="1:18" hidden="1" x14ac:dyDescent="0.25">
      <c r="A154" s="1">
        <v>46239</v>
      </c>
      <c r="B154">
        <v>1020475954</v>
      </c>
      <c r="C154" t="s">
        <v>3901</v>
      </c>
      <c r="D154" t="s">
        <v>29</v>
      </c>
      <c r="E154" t="s">
        <v>4005</v>
      </c>
      <c r="F154" t="s">
        <v>4091</v>
      </c>
      <c r="G154" s="1">
        <v>46238</v>
      </c>
      <c r="H154" s="1">
        <v>46240</v>
      </c>
      <c r="I154" s="2">
        <v>0.54166666666666663</v>
      </c>
      <c r="J154" s="2">
        <v>0.875</v>
      </c>
      <c r="K154" t="s">
        <v>238</v>
      </c>
      <c r="L154">
        <v>2</v>
      </c>
      <c r="M154" t="s">
        <v>4157</v>
      </c>
      <c r="N154" t="s">
        <v>237</v>
      </c>
      <c r="O154" t="s">
        <v>238</v>
      </c>
      <c r="P154" t="s">
        <v>21</v>
      </c>
      <c r="Q154">
        <v>8</v>
      </c>
      <c r="R154" t="s">
        <v>4163</v>
      </c>
    </row>
    <row r="155" spans="1:18" hidden="1" x14ac:dyDescent="0.25">
      <c r="A155" s="1">
        <v>46239</v>
      </c>
      <c r="B155">
        <v>1045718883</v>
      </c>
      <c r="C155" t="s">
        <v>47</v>
      </c>
      <c r="D155" t="s">
        <v>34</v>
      </c>
      <c r="E155" t="s">
        <v>4011</v>
      </c>
      <c r="F155" t="s">
        <v>25</v>
      </c>
      <c r="G155" s="1">
        <v>46224</v>
      </c>
      <c r="H155" s="1">
        <v>46239</v>
      </c>
      <c r="I155" s="2">
        <v>0.25</v>
      </c>
      <c r="J155" s="2">
        <v>0.54166666666666663</v>
      </c>
      <c r="K155" t="s">
        <v>241</v>
      </c>
      <c r="L155">
        <v>0</v>
      </c>
      <c r="M155" t="s">
        <v>4155</v>
      </c>
      <c r="N155" t="s">
        <v>240</v>
      </c>
      <c r="O155" t="s">
        <v>241</v>
      </c>
      <c r="P155" t="s">
        <v>4007</v>
      </c>
      <c r="Q155">
        <v>7</v>
      </c>
    </row>
    <row r="156" spans="1:18" hidden="1" x14ac:dyDescent="0.25">
      <c r="A156" s="1">
        <v>46239</v>
      </c>
      <c r="B156">
        <v>1018466443</v>
      </c>
      <c r="C156" t="s">
        <v>4109</v>
      </c>
      <c r="D156" t="s">
        <v>410</v>
      </c>
      <c r="E156" t="s">
        <v>4005</v>
      </c>
      <c r="F156" t="s">
        <v>4091</v>
      </c>
      <c r="G156" s="1">
        <v>46239</v>
      </c>
      <c r="H156" s="1">
        <v>46244</v>
      </c>
      <c r="I156" s="2">
        <v>0.25</v>
      </c>
      <c r="J156" s="2">
        <v>0.58333333333333337</v>
      </c>
      <c r="K156" t="s">
        <v>1319</v>
      </c>
      <c r="L156">
        <v>0</v>
      </c>
      <c r="M156" t="s">
        <v>4157</v>
      </c>
      <c r="N156" t="s">
        <v>1318</v>
      </c>
      <c r="O156" t="s">
        <v>1319</v>
      </c>
      <c r="P156" t="s">
        <v>4007</v>
      </c>
      <c r="Q156">
        <v>8</v>
      </c>
      <c r="R156" t="s">
        <v>4158</v>
      </c>
    </row>
    <row r="157" spans="1:18" hidden="1" x14ac:dyDescent="0.25">
      <c r="A157" s="1">
        <v>46239</v>
      </c>
      <c r="B157" t="s">
        <v>185</v>
      </c>
      <c r="C157" t="s">
        <v>186</v>
      </c>
      <c r="D157" t="s">
        <v>4045</v>
      </c>
      <c r="E157" t="s">
        <v>4011</v>
      </c>
      <c r="F157" t="s">
        <v>4046</v>
      </c>
      <c r="G157" s="1">
        <v>46239</v>
      </c>
      <c r="H157" s="1">
        <v>46239</v>
      </c>
      <c r="I157" s="2">
        <v>0.25</v>
      </c>
      <c r="J157" s="2">
        <v>0.58333333333333337</v>
      </c>
      <c r="K157" t="s">
        <v>186</v>
      </c>
      <c r="L157">
        <v>0</v>
      </c>
      <c r="M157" t="s">
        <v>4155</v>
      </c>
      <c r="N157" t="s">
        <v>185</v>
      </c>
      <c r="O157" t="s">
        <v>186</v>
      </c>
      <c r="P157" t="s">
        <v>4007</v>
      </c>
      <c r="Q157">
        <v>8</v>
      </c>
    </row>
    <row r="158" spans="1:18" hidden="1" x14ac:dyDescent="0.25">
      <c r="A158" s="1">
        <v>46239</v>
      </c>
      <c r="B158">
        <v>1037669752</v>
      </c>
      <c r="C158" t="s">
        <v>3550</v>
      </c>
      <c r="D158" t="s">
        <v>132</v>
      </c>
      <c r="E158" t="s">
        <v>4010</v>
      </c>
      <c r="F158" t="s">
        <v>30</v>
      </c>
      <c r="G158" s="1">
        <v>46239</v>
      </c>
      <c r="H158" s="1">
        <v>46239</v>
      </c>
      <c r="I158" s="2">
        <v>0.54166666666666663</v>
      </c>
      <c r="J158" s="2">
        <v>0.875</v>
      </c>
      <c r="K158" t="s">
        <v>204</v>
      </c>
      <c r="L158">
        <v>2</v>
      </c>
      <c r="M158" t="s">
        <v>4157</v>
      </c>
      <c r="N158" t="s">
        <v>203</v>
      </c>
      <c r="O158" t="s">
        <v>204</v>
      </c>
      <c r="P158" t="s">
        <v>21</v>
      </c>
      <c r="Q158">
        <v>8</v>
      </c>
    </row>
    <row r="159" spans="1:18" hidden="1" x14ac:dyDescent="0.25">
      <c r="A159" s="1">
        <v>46239</v>
      </c>
      <c r="B159">
        <v>1005605946</v>
      </c>
      <c r="C159" t="s">
        <v>135</v>
      </c>
      <c r="D159" t="s">
        <v>4045</v>
      </c>
      <c r="E159" t="s">
        <v>4017</v>
      </c>
      <c r="F159" t="s">
        <v>4046</v>
      </c>
      <c r="G159" s="1">
        <v>46239</v>
      </c>
      <c r="H159" s="1">
        <v>46239</v>
      </c>
      <c r="I159" s="2">
        <v>0.25</v>
      </c>
      <c r="J159" s="2">
        <v>0.58333333333333337</v>
      </c>
      <c r="K159" t="s">
        <v>135</v>
      </c>
      <c r="L159">
        <v>0</v>
      </c>
      <c r="M159" t="s">
        <v>4159</v>
      </c>
      <c r="N159" t="s">
        <v>134</v>
      </c>
      <c r="O159" t="s">
        <v>135</v>
      </c>
      <c r="P159" t="s">
        <v>4007</v>
      </c>
      <c r="Q159">
        <v>8</v>
      </c>
    </row>
    <row r="160" spans="1:18" hidden="1" x14ac:dyDescent="0.25">
      <c r="A160" s="1">
        <v>46239</v>
      </c>
      <c r="B160">
        <v>42141273</v>
      </c>
      <c r="C160" t="s">
        <v>210</v>
      </c>
      <c r="D160" t="s">
        <v>211</v>
      </c>
      <c r="E160" t="s">
        <v>4017</v>
      </c>
      <c r="F160" t="s">
        <v>25</v>
      </c>
      <c r="G160" s="1">
        <v>46238</v>
      </c>
      <c r="H160" s="1">
        <v>46295</v>
      </c>
      <c r="I160" s="2">
        <v>0.25</v>
      </c>
      <c r="J160" s="2">
        <v>0.5</v>
      </c>
      <c r="K160" t="s">
        <v>213</v>
      </c>
      <c r="L160">
        <v>0</v>
      </c>
      <c r="M160" t="s">
        <v>4159</v>
      </c>
      <c r="N160" t="s">
        <v>212</v>
      </c>
      <c r="O160" t="s">
        <v>213</v>
      </c>
      <c r="P160" t="s">
        <v>4007</v>
      </c>
      <c r="Q160">
        <v>6</v>
      </c>
      <c r="R160" t="s">
        <v>4160</v>
      </c>
    </row>
    <row r="161" spans="1:18" hidden="1" x14ac:dyDescent="0.25">
      <c r="A161" s="1">
        <v>46239</v>
      </c>
      <c r="B161">
        <v>1001868101</v>
      </c>
      <c r="C161" t="s">
        <v>74</v>
      </c>
      <c r="D161" t="s">
        <v>4045</v>
      </c>
      <c r="E161" t="s">
        <v>4010</v>
      </c>
      <c r="F161" t="s">
        <v>4046</v>
      </c>
      <c r="G161" s="1">
        <v>46239</v>
      </c>
      <c r="H161" s="1">
        <v>46239</v>
      </c>
      <c r="I161" s="2">
        <v>0.5</v>
      </c>
      <c r="J161" s="2">
        <v>0.79166666666666663</v>
      </c>
      <c r="K161" t="s">
        <v>74</v>
      </c>
      <c r="L161">
        <v>0</v>
      </c>
      <c r="M161" t="s">
        <v>4154</v>
      </c>
      <c r="N161" t="s">
        <v>73</v>
      </c>
      <c r="O161" t="s">
        <v>74</v>
      </c>
      <c r="P161" t="s">
        <v>4007</v>
      </c>
      <c r="Q161">
        <v>7</v>
      </c>
    </row>
    <row r="162" spans="1:18" hidden="1" x14ac:dyDescent="0.25">
      <c r="A162" s="1">
        <v>46239</v>
      </c>
      <c r="B162">
        <v>1007223463</v>
      </c>
      <c r="C162" t="s">
        <v>487</v>
      </c>
      <c r="D162" t="s">
        <v>4045</v>
      </c>
      <c r="E162" t="s">
        <v>4017</v>
      </c>
      <c r="F162" t="s">
        <v>4068</v>
      </c>
      <c r="G162" s="1">
        <v>46239</v>
      </c>
      <c r="H162" s="1">
        <v>46239</v>
      </c>
      <c r="I162" s="2">
        <v>0.45833333333333331</v>
      </c>
      <c r="J162" s="2">
        <v>0.5</v>
      </c>
      <c r="K162" t="s">
        <v>4099</v>
      </c>
      <c r="L162">
        <v>0</v>
      </c>
      <c r="M162" t="s">
        <v>4159</v>
      </c>
      <c r="N162" t="s">
        <v>486</v>
      </c>
      <c r="O162" t="s">
        <v>487</v>
      </c>
      <c r="P162" t="s">
        <v>4007</v>
      </c>
      <c r="Q162">
        <v>1</v>
      </c>
    </row>
    <row r="163" spans="1:18" hidden="1" x14ac:dyDescent="0.25">
      <c r="A163" s="1">
        <v>46240</v>
      </c>
      <c r="B163">
        <v>1235045754</v>
      </c>
      <c r="C163" t="s">
        <v>2371</v>
      </c>
      <c r="D163" t="s">
        <v>343</v>
      </c>
      <c r="E163" t="s">
        <v>4012</v>
      </c>
      <c r="F163" t="s">
        <v>25</v>
      </c>
      <c r="G163" s="1">
        <v>46238</v>
      </c>
      <c r="H163" s="1">
        <v>46240</v>
      </c>
      <c r="I163" s="2">
        <v>0.54166666666666663</v>
      </c>
      <c r="J163" s="2">
        <v>0.875</v>
      </c>
      <c r="K163" t="s">
        <v>138</v>
      </c>
      <c r="L163">
        <v>2</v>
      </c>
      <c r="M163" t="s">
        <v>4156</v>
      </c>
      <c r="N163" t="s">
        <v>137</v>
      </c>
      <c r="O163" t="s">
        <v>138</v>
      </c>
      <c r="P163" t="s">
        <v>21</v>
      </c>
      <c r="Q163">
        <v>8</v>
      </c>
    </row>
    <row r="164" spans="1:18" hidden="1" x14ac:dyDescent="0.25">
      <c r="A164" s="1">
        <v>46240</v>
      </c>
      <c r="B164">
        <v>1041901478</v>
      </c>
      <c r="C164" t="s">
        <v>327</v>
      </c>
      <c r="D164" t="s">
        <v>326</v>
      </c>
      <c r="E164" t="s">
        <v>4005</v>
      </c>
      <c r="F164" t="s">
        <v>25</v>
      </c>
      <c r="G164" s="1">
        <v>46239</v>
      </c>
      <c r="H164" s="1">
        <v>46240</v>
      </c>
      <c r="I164" s="2">
        <v>0.54166666666666663</v>
      </c>
      <c r="J164" s="2">
        <v>0.875</v>
      </c>
      <c r="K164" t="s">
        <v>1347</v>
      </c>
      <c r="L164">
        <v>2</v>
      </c>
      <c r="M164" t="s">
        <v>4157</v>
      </c>
      <c r="N164" t="s">
        <v>1346</v>
      </c>
      <c r="O164" t="s">
        <v>1347</v>
      </c>
      <c r="P164" t="s">
        <v>21</v>
      </c>
      <c r="Q164">
        <v>8</v>
      </c>
    </row>
    <row r="165" spans="1:18" hidden="1" x14ac:dyDescent="0.25">
      <c r="A165" s="1">
        <v>46240</v>
      </c>
      <c r="B165">
        <v>1082896324</v>
      </c>
      <c r="C165" t="s">
        <v>77</v>
      </c>
      <c r="D165" t="s">
        <v>78</v>
      </c>
      <c r="E165" t="s">
        <v>4010</v>
      </c>
      <c r="F165" t="s">
        <v>25</v>
      </c>
      <c r="G165" s="1">
        <v>46239</v>
      </c>
      <c r="H165" s="1">
        <v>46240</v>
      </c>
      <c r="I165" s="2">
        <v>0.54166666666666663</v>
      </c>
      <c r="J165" s="2">
        <v>0.70833333333333337</v>
      </c>
      <c r="K165" t="s">
        <v>1319</v>
      </c>
      <c r="L165">
        <v>0</v>
      </c>
      <c r="M165" t="s">
        <v>4157</v>
      </c>
      <c r="N165" t="s">
        <v>1318</v>
      </c>
      <c r="O165" t="s">
        <v>1319</v>
      </c>
      <c r="P165" t="s">
        <v>4007</v>
      </c>
      <c r="Q165">
        <v>4</v>
      </c>
    </row>
    <row r="166" spans="1:18" hidden="1" x14ac:dyDescent="0.25">
      <c r="A166" s="1">
        <v>46240</v>
      </c>
      <c r="B166">
        <v>1143394119</v>
      </c>
      <c r="C166" t="s">
        <v>832</v>
      </c>
      <c r="D166" t="s">
        <v>142</v>
      </c>
      <c r="E166" t="s">
        <v>4012</v>
      </c>
      <c r="F166" t="s">
        <v>4040</v>
      </c>
      <c r="G166" s="1">
        <v>46239</v>
      </c>
      <c r="H166" s="1">
        <v>46239</v>
      </c>
      <c r="I166" s="2">
        <v>0.25</v>
      </c>
      <c r="J166" s="2">
        <v>0.79166666666666663</v>
      </c>
      <c r="K166" t="s">
        <v>4113</v>
      </c>
      <c r="L166">
        <v>0</v>
      </c>
      <c r="P166" t="s">
        <v>4007</v>
      </c>
      <c r="Q166">
        <v>13</v>
      </c>
    </row>
    <row r="167" spans="1:18" hidden="1" x14ac:dyDescent="0.25">
      <c r="A167" s="1">
        <v>46240</v>
      </c>
      <c r="B167">
        <v>1000439437</v>
      </c>
      <c r="C167" t="s">
        <v>376</v>
      </c>
      <c r="D167" t="s">
        <v>128</v>
      </c>
      <c r="E167" t="s">
        <v>4005</v>
      </c>
      <c r="F167" t="s">
        <v>25</v>
      </c>
      <c r="G167" s="1">
        <v>46238</v>
      </c>
      <c r="H167" s="1">
        <v>46240</v>
      </c>
      <c r="I167" s="2">
        <v>0.54166666666666663</v>
      </c>
      <c r="J167" s="2">
        <v>0.875</v>
      </c>
      <c r="K167" t="s">
        <v>18</v>
      </c>
      <c r="L167">
        <v>2</v>
      </c>
      <c r="M167" t="s">
        <v>4154</v>
      </c>
      <c r="N167" t="s">
        <v>17</v>
      </c>
      <c r="O167" t="s">
        <v>18</v>
      </c>
      <c r="P167" t="s">
        <v>21</v>
      </c>
      <c r="Q167">
        <v>8</v>
      </c>
      <c r="R167" s="8"/>
    </row>
    <row r="168" spans="1:18" hidden="1" x14ac:dyDescent="0.25">
      <c r="A168" s="1">
        <v>46240</v>
      </c>
      <c r="B168">
        <v>1065664047</v>
      </c>
      <c r="C168" t="s">
        <v>1114</v>
      </c>
      <c r="D168" t="s">
        <v>89</v>
      </c>
      <c r="E168" t="s">
        <v>4017</v>
      </c>
      <c r="F168" t="s">
        <v>25</v>
      </c>
      <c r="G168" s="1">
        <v>46239</v>
      </c>
      <c r="H168" s="1">
        <v>46240</v>
      </c>
      <c r="I168" s="2">
        <v>0.58333333333333337</v>
      </c>
      <c r="J168" s="2">
        <v>0.875</v>
      </c>
      <c r="K168" t="s">
        <v>257</v>
      </c>
      <c r="L168">
        <v>2</v>
      </c>
      <c r="M168" t="s">
        <v>4159</v>
      </c>
      <c r="N168" t="s">
        <v>256</v>
      </c>
      <c r="O168" t="s">
        <v>257</v>
      </c>
      <c r="P168" t="s">
        <v>21</v>
      </c>
      <c r="Q168">
        <v>7</v>
      </c>
    </row>
    <row r="169" spans="1:18" hidden="1" x14ac:dyDescent="0.25">
      <c r="A169" s="1">
        <v>46240</v>
      </c>
      <c r="B169">
        <v>42141273</v>
      </c>
      <c r="C169" t="s">
        <v>210</v>
      </c>
      <c r="D169" t="s">
        <v>211</v>
      </c>
      <c r="E169" t="s">
        <v>4017</v>
      </c>
      <c r="F169" t="s">
        <v>4029</v>
      </c>
      <c r="G169" s="1">
        <v>46232</v>
      </c>
      <c r="H169" s="1">
        <v>46261</v>
      </c>
      <c r="I169" s="2">
        <v>0.25</v>
      </c>
      <c r="J169" s="2">
        <v>0.5</v>
      </c>
      <c r="K169" t="s">
        <v>487</v>
      </c>
      <c r="L169">
        <v>0</v>
      </c>
      <c r="M169" t="s">
        <v>4159</v>
      </c>
      <c r="N169" t="s">
        <v>486</v>
      </c>
      <c r="O169" t="s">
        <v>487</v>
      </c>
      <c r="P169" t="s">
        <v>4007</v>
      </c>
      <c r="Q169">
        <v>6</v>
      </c>
      <c r="R169" t="s">
        <v>4160</v>
      </c>
    </row>
    <row r="170" spans="1:18" hidden="1" x14ac:dyDescent="0.25">
      <c r="A170" s="1">
        <v>46240</v>
      </c>
      <c r="B170">
        <v>1035876080</v>
      </c>
      <c r="C170" t="s">
        <v>120</v>
      </c>
      <c r="D170" t="s">
        <v>121</v>
      </c>
      <c r="E170" t="s">
        <v>4010</v>
      </c>
      <c r="F170" t="s">
        <v>25</v>
      </c>
      <c r="G170" s="1">
        <v>46239</v>
      </c>
      <c r="H170" s="1">
        <v>46245</v>
      </c>
      <c r="I170" s="2">
        <v>0.25</v>
      </c>
      <c r="J170" s="2">
        <v>0.58333333333333337</v>
      </c>
      <c r="K170" t="s">
        <v>217</v>
      </c>
      <c r="L170">
        <v>0</v>
      </c>
      <c r="M170" t="s">
        <v>4154</v>
      </c>
      <c r="N170" t="s">
        <v>216</v>
      </c>
      <c r="O170" t="s">
        <v>217</v>
      </c>
      <c r="P170" t="s">
        <v>4007</v>
      </c>
      <c r="Q170">
        <v>8</v>
      </c>
    </row>
    <row r="171" spans="1:18" hidden="1" x14ac:dyDescent="0.25">
      <c r="A171" s="1">
        <v>46240</v>
      </c>
      <c r="B171">
        <v>1005424850</v>
      </c>
      <c r="C171" t="s">
        <v>56</v>
      </c>
      <c r="D171" t="s">
        <v>57</v>
      </c>
      <c r="E171" t="s">
        <v>4010</v>
      </c>
      <c r="F171" t="s">
        <v>25</v>
      </c>
      <c r="G171" s="1">
        <v>46238</v>
      </c>
      <c r="H171" s="1">
        <v>46245</v>
      </c>
      <c r="I171" s="2">
        <v>0.5</v>
      </c>
      <c r="J171" s="2">
        <v>0.83333333333333337</v>
      </c>
      <c r="K171" t="s">
        <v>59</v>
      </c>
      <c r="L171">
        <v>1</v>
      </c>
      <c r="M171" t="s">
        <v>4154</v>
      </c>
      <c r="N171" t="s">
        <v>58</v>
      </c>
      <c r="O171" t="s">
        <v>59</v>
      </c>
      <c r="P171" t="s">
        <v>21</v>
      </c>
      <c r="Q171">
        <v>8</v>
      </c>
    </row>
    <row r="172" spans="1:18" hidden="1" x14ac:dyDescent="0.25">
      <c r="A172" s="1">
        <v>46240</v>
      </c>
      <c r="B172">
        <v>1032491944</v>
      </c>
      <c r="C172" t="s">
        <v>23</v>
      </c>
      <c r="D172" t="s">
        <v>24</v>
      </c>
      <c r="E172" t="s">
        <v>4011</v>
      </c>
      <c r="F172" t="s">
        <v>25</v>
      </c>
      <c r="G172" s="1">
        <v>46237</v>
      </c>
      <c r="H172" s="1">
        <v>46241</v>
      </c>
      <c r="I172" s="2">
        <v>0.58333333333333337</v>
      </c>
      <c r="J172" s="2">
        <v>0.875</v>
      </c>
      <c r="K172" t="s">
        <v>70</v>
      </c>
      <c r="L172">
        <v>2</v>
      </c>
      <c r="M172" t="s">
        <v>4155</v>
      </c>
      <c r="N172" t="s">
        <v>69</v>
      </c>
      <c r="O172" t="s">
        <v>70</v>
      </c>
      <c r="P172" t="s">
        <v>21</v>
      </c>
      <c r="Q172">
        <v>7</v>
      </c>
    </row>
    <row r="173" spans="1:18" hidden="1" x14ac:dyDescent="0.25">
      <c r="A173" s="1">
        <v>46240</v>
      </c>
      <c r="B173">
        <v>1005624879</v>
      </c>
      <c r="C173" t="s">
        <v>251</v>
      </c>
      <c r="D173" t="s">
        <v>132</v>
      </c>
      <c r="E173" t="s">
        <v>4010</v>
      </c>
      <c r="F173" t="s">
        <v>25</v>
      </c>
      <c r="G173" s="1">
        <v>46237</v>
      </c>
      <c r="H173" s="1">
        <v>46240</v>
      </c>
      <c r="I173" s="2">
        <v>0.25</v>
      </c>
      <c r="J173" s="2">
        <v>0.58333333333333337</v>
      </c>
      <c r="K173" t="s">
        <v>253</v>
      </c>
      <c r="L173">
        <v>0</v>
      </c>
      <c r="M173" t="s">
        <v>4154</v>
      </c>
      <c r="N173" t="s">
        <v>252</v>
      </c>
      <c r="O173" t="s">
        <v>253</v>
      </c>
      <c r="P173" t="s">
        <v>4007</v>
      </c>
      <c r="Q173">
        <v>8</v>
      </c>
    </row>
    <row r="174" spans="1:18" hidden="1" x14ac:dyDescent="0.25">
      <c r="A174" s="1">
        <v>46240</v>
      </c>
      <c r="B174">
        <v>1152436231</v>
      </c>
      <c r="C174" t="s">
        <v>131</v>
      </c>
      <c r="D174" t="s">
        <v>132</v>
      </c>
      <c r="E174" t="s">
        <v>4010</v>
      </c>
      <c r="F174" t="s">
        <v>25</v>
      </c>
      <c r="G174" s="1">
        <v>46237</v>
      </c>
      <c r="H174" s="1">
        <v>46240</v>
      </c>
      <c r="I174" s="2">
        <v>0.25</v>
      </c>
      <c r="J174" s="2">
        <v>0.54166666666666663</v>
      </c>
      <c r="K174" t="s">
        <v>163</v>
      </c>
      <c r="L174">
        <v>0</v>
      </c>
      <c r="M174" t="s">
        <v>4154</v>
      </c>
      <c r="N174" t="s">
        <v>162</v>
      </c>
      <c r="O174" t="s">
        <v>163</v>
      </c>
      <c r="P174" t="s">
        <v>4007</v>
      </c>
      <c r="Q174">
        <v>7</v>
      </c>
    </row>
    <row r="175" spans="1:18" hidden="1" x14ac:dyDescent="0.25">
      <c r="A175" s="1">
        <v>46240</v>
      </c>
      <c r="B175">
        <v>1001005240</v>
      </c>
      <c r="C175" t="s">
        <v>152</v>
      </c>
      <c r="D175" t="s">
        <v>153</v>
      </c>
      <c r="E175" t="s">
        <v>4010</v>
      </c>
      <c r="F175" t="s">
        <v>25</v>
      </c>
      <c r="G175" s="1">
        <v>46234</v>
      </c>
      <c r="H175" s="1">
        <v>46240</v>
      </c>
      <c r="I175" s="2">
        <v>0.25</v>
      </c>
      <c r="J175" s="2">
        <v>0.54166666666666663</v>
      </c>
      <c r="K175" t="s">
        <v>172</v>
      </c>
      <c r="L175">
        <v>0</v>
      </c>
      <c r="M175" t="s">
        <v>4154</v>
      </c>
      <c r="N175" t="s">
        <v>171</v>
      </c>
      <c r="O175" s="8" t="s">
        <v>172</v>
      </c>
      <c r="P175" t="s">
        <v>4007</v>
      </c>
      <c r="Q175">
        <v>7</v>
      </c>
    </row>
    <row r="176" spans="1:18" hidden="1" x14ac:dyDescent="0.25">
      <c r="A176" s="1">
        <v>46240</v>
      </c>
      <c r="B176">
        <v>1152221372</v>
      </c>
      <c r="C176" t="s">
        <v>4038</v>
      </c>
      <c r="D176" t="s">
        <v>128</v>
      </c>
      <c r="E176" t="s">
        <v>4005</v>
      </c>
      <c r="F176" t="s">
        <v>4037</v>
      </c>
      <c r="G176" s="1">
        <v>46230</v>
      </c>
      <c r="H176" s="1"/>
      <c r="I176" s="2">
        <v>0.54166666666666663</v>
      </c>
      <c r="J176" s="2">
        <v>0.875</v>
      </c>
      <c r="K176" t="s">
        <v>1436</v>
      </c>
      <c r="L176">
        <v>2</v>
      </c>
      <c r="M176" t="s">
        <v>4154</v>
      </c>
      <c r="N176" t="s">
        <v>1435</v>
      </c>
      <c r="O176" t="s">
        <v>1436</v>
      </c>
      <c r="P176" t="s">
        <v>21</v>
      </c>
      <c r="Q176">
        <v>8</v>
      </c>
    </row>
    <row r="177" spans="1:18" hidden="1" x14ac:dyDescent="0.25">
      <c r="A177" s="1">
        <v>46240</v>
      </c>
      <c r="B177">
        <v>1152699151</v>
      </c>
      <c r="C177" t="s">
        <v>944</v>
      </c>
      <c r="D177" t="s">
        <v>4093</v>
      </c>
      <c r="E177" t="s">
        <v>4011</v>
      </c>
      <c r="F177" t="s">
        <v>4091</v>
      </c>
      <c r="G177" s="1">
        <v>46238</v>
      </c>
      <c r="H177" s="1">
        <v>46240</v>
      </c>
      <c r="I177" s="2">
        <v>0.33333333333333331</v>
      </c>
      <c r="J177" s="2">
        <v>0.625</v>
      </c>
      <c r="K177" t="s">
        <v>3622</v>
      </c>
      <c r="L177">
        <v>0</v>
      </c>
      <c r="M177" t="s">
        <v>4159</v>
      </c>
      <c r="N177" t="s">
        <v>3621</v>
      </c>
      <c r="O177" t="s">
        <v>3622</v>
      </c>
      <c r="P177" t="s">
        <v>4007</v>
      </c>
      <c r="Q177">
        <v>7</v>
      </c>
    </row>
    <row r="178" spans="1:18" hidden="1" x14ac:dyDescent="0.25">
      <c r="A178" s="1">
        <v>46240</v>
      </c>
      <c r="B178">
        <v>1020475954</v>
      </c>
      <c r="C178" t="s">
        <v>3901</v>
      </c>
      <c r="D178" t="s">
        <v>29</v>
      </c>
      <c r="E178" t="s">
        <v>4005</v>
      </c>
      <c r="F178" t="s">
        <v>4091</v>
      </c>
      <c r="G178" s="1">
        <v>46238</v>
      </c>
      <c r="H178" s="1">
        <v>46240</v>
      </c>
      <c r="I178" s="2">
        <v>0.25</v>
      </c>
      <c r="J178" s="2">
        <v>0.54166666666666663</v>
      </c>
      <c r="K178" t="s">
        <v>245</v>
      </c>
      <c r="L178">
        <v>0</v>
      </c>
      <c r="M178" t="s">
        <v>4154</v>
      </c>
      <c r="N178" t="s">
        <v>244</v>
      </c>
      <c r="O178" t="s">
        <v>245</v>
      </c>
      <c r="P178" t="s">
        <v>4007</v>
      </c>
      <c r="Q178">
        <v>7</v>
      </c>
      <c r="R178" t="s">
        <v>4163</v>
      </c>
    </row>
    <row r="179" spans="1:18" hidden="1" x14ac:dyDescent="0.25">
      <c r="A179" s="1">
        <v>46240</v>
      </c>
      <c r="B179">
        <v>1037659560</v>
      </c>
      <c r="C179" t="s">
        <v>166</v>
      </c>
      <c r="D179" t="s">
        <v>41</v>
      </c>
      <c r="E179" t="s">
        <v>4011</v>
      </c>
      <c r="F179" t="s">
        <v>25</v>
      </c>
      <c r="G179" s="1">
        <v>46235</v>
      </c>
      <c r="H179" s="1">
        <v>46240</v>
      </c>
      <c r="I179" s="2">
        <v>0.25</v>
      </c>
      <c r="J179" s="2">
        <v>0.54166666666666663</v>
      </c>
      <c r="K179" t="s">
        <v>168</v>
      </c>
      <c r="L179">
        <v>0</v>
      </c>
      <c r="M179" t="s">
        <v>4154</v>
      </c>
      <c r="N179" t="s">
        <v>167</v>
      </c>
      <c r="O179" t="s">
        <v>168</v>
      </c>
      <c r="P179" t="s">
        <v>4007</v>
      </c>
      <c r="Q179">
        <v>7</v>
      </c>
    </row>
    <row r="180" spans="1:18" hidden="1" x14ac:dyDescent="0.25">
      <c r="A180" s="1">
        <v>46240</v>
      </c>
      <c r="B180">
        <v>1017264032</v>
      </c>
      <c r="C180" t="s">
        <v>105</v>
      </c>
      <c r="D180" t="s">
        <v>64</v>
      </c>
      <c r="E180" t="s">
        <v>4012</v>
      </c>
      <c r="F180" t="s">
        <v>25</v>
      </c>
      <c r="G180" s="1">
        <v>46229</v>
      </c>
      <c r="H180" s="1">
        <v>46258</v>
      </c>
      <c r="I180" s="2">
        <v>0.58333333333333337</v>
      </c>
      <c r="J180" s="2">
        <v>0.875</v>
      </c>
      <c r="K180" t="s">
        <v>107</v>
      </c>
      <c r="L180">
        <v>2</v>
      </c>
      <c r="M180" t="s">
        <v>4157</v>
      </c>
      <c r="N180" t="s">
        <v>106</v>
      </c>
      <c r="O180" t="s">
        <v>107</v>
      </c>
      <c r="P180" t="s">
        <v>21</v>
      </c>
      <c r="Q180">
        <v>7</v>
      </c>
    </row>
    <row r="181" spans="1:18" hidden="1" x14ac:dyDescent="0.25">
      <c r="A181" s="1">
        <v>46240</v>
      </c>
      <c r="B181">
        <v>1036132488</v>
      </c>
      <c r="C181" t="s">
        <v>141</v>
      </c>
      <c r="D181" t="s">
        <v>142</v>
      </c>
      <c r="E181" t="s">
        <v>4012</v>
      </c>
      <c r="F181" t="s">
        <v>25</v>
      </c>
      <c r="G181" s="1">
        <v>46227</v>
      </c>
      <c r="H181" s="1">
        <v>46246</v>
      </c>
      <c r="I181" s="2">
        <v>0.25</v>
      </c>
      <c r="J181" s="2">
        <v>0.58333333333333337</v>
      </c>
      <c r="K181" t="s">
        <v>148</v>
      </c>
      <c r="L181">
        <v>0</v>
      </c>
      <c r="M181" t="s">
        <v>4156</v>
      </c>
      <c r="N181" t="s">
        <v>147</v>
      </c>
      <c r="O181" t="s">
        <v>148</v>
      </c>
      <c r="P181" t="s">
        <v>4007</v>
      </c>
      <c r="Q181">
        <v>8</v>
      </c>
    </row>
    <row r="182" spans="1:18" hidden="1" x14ac:dyDescent="0.25">
      <c r="A182" s="1">
        <v>46240</v>
      </c>
      <c r="B182">
        <v>43558465</v>
      </c>
      <c r="C182" t="s">
        <v>103</v>
      </c>
      <c r="D182" t="s">
        <v>64</v>
      </c>
      <c r="E182" t="s">
        <v>4012</v>
      </c>
      <c r="F182" t="s">
        <v>25</v>
      </c>
      <c r="G182" s="1">
        <v>46226</v>
      </c>
      <c r="H182" s="1">
        <v>46246</v>
      </c>
      <c r="I182" s="2">
        <v>0.25</v>
      </c>
      <c r="J182" s="2">
        <v>0.58333333333333337</v>
      </c>
      <c r="K182" t="s">
        <v>199</v>
      </c>
      <c r="L182">
        <v>0</v>
      </c>
      <c r="M182" t="s">
        <v>4157</v>
      </c>
      <c r="N182" t="s">
        <v>198</v>
      </c>
      <c r="O182" t="s">
        <v>199</v>
      </c>
      <c r="P182" t="s">
        <v>4007</v>
      </c>
      <c r="Q182">
        <v>8</v>
      </c>
    </row>
    <row r="183" spans="1:18" hidden="1" x14ac:dyDescent="0.25">
      <c r="A183" s="1">
        <v>46240</v>
      </c>
      <c r="B183">
        <v>1037631989</v>
      </c>
      <c r="C183" t="s">
        <v>40</v>
      </c>
      <c r="D183" t="s">
        <v>41</v>
      </c>
      <c r="E183" t="s">
        <v>4011</v>
      </c>
      <c r="F183" t="s">
        <v>25</v>
      </c>
      <c r="G183" s="1">
        <v>46226</v>
      </c>
      <c r="H183" s="1">
        <v>46255</v>
      </c>
      <c r="I183" s="2">
        <v>0.54166666666666663</v>
      </c>
      <c r="J183" s="2">
        <v>0.875</v>
      </c>
      <c r="K183" t="s">
        <v>36</v>
      </c>
      <c r="L183">
        <v>2</v>
      </c>
      <c r="M183" t="s">
        <v>4155</v>
      </c>
      <c r="N183" t="s">
        <v>35</v>
      </c>
      <c r="O183" t="s">
        <v>36</v>
      </c>
      <c r="P183" t="s">
        <v>21</v>
      </c>
      <c r="Q183">
        <v>8</v>
      </c>
    </row>
    <row r="184" spans="1:18" hidden="1" x14ac:dyDescent="0.25">
      <c r="A184" s="1">
        <v>46240</v>
      </c>
      <c r="B184">
        <v>1043006106</v>
      </c>
      <c r="C184" t="s">
        <v>159</v>
      </c>
      <c r="D184" t="s">
        <v>160</v>
      </c>
      <c r="E184" t="s">
        <v>4011</v>
      </c>
      <c r="F184" t="s">
        <v>25</v>
      </c>
      <c r="G184" s="1">
        <v>46219</v>
      </c>
      <c r="H184" s="1">
        <v>46248</v>
      </c>
      <c r="I184" s="2">
        <v>0.58333333333333337</v>
      </c>
      <c r="J184" s="2">
        <v>0.875</v>
      </c>
      <c r="K184" t="s">
        <v>155</v>
      </c>
      <c r="L184">
        <v>2</v>
      </c>
      <c r="M184" t="s">
        <v>4157</v>
      </c>
      <c r="N184" t="s">
        <v>154</v>
      </c>
      <c r="O184" t="s">
        <v>155</v>
      </c>
      <c r="P184" t="s">
        <v>21</v>
      </c>
      <c r="Q184">
        <v>7</v>
      </c>
    </row>
    <row r="185" spans="1:18" hidden="1" x14ac:dyDescent="0.25">
      <c r="A185" s="1">
        <v>46240</v>
      </c>
      <c r="B185">
        <v>1037638426</v>
      </c>
      <c r="C185" t="s">
        <v>72</v>
      </c>
      <c r="D185" t="s">
        <v>41</v>
      </c>
      <c r="E185" t="s">
        <v>4011</v>
      </c>
      <c r="F185" t="s">
        <v>30</v>
      </c>
      <c r="G185" s="1">
        <v>46230</v>
      </c>
      <c r="H185" s="1">
        <v>46262</v>
      </c>
      <c r="I185" s="2">
        <v>0.25</v>
      </c>
      <c r="J185" s="2">
        <v>0.54166666666666663</v>
      </c>
      <c r="K185" t="s">
        <v>192</v>
      </c>
      <c r="L185">
        <v>0</v>
      </c>
      <c r="M185" t="s">
        <v>4159</v>
      </c>
      <c r="N185" t="s">
        <v>191</v>
      </c>
      <c r="O185" s="8" t="s">
        <v>192</v>
      </c>
      <c r="P185" t="s">
        <v>4007</v>
      </c>
      <c r="Q185">
        <v>7</v>
      </c>
      <c r="R185" t="s">
        <v>4161</v>
      </c>
    </row>
    <row r="186" spans="1:18" hidden="1" x14ac:dyDescent="0.25">
      <c r="A186" s="1">
        <v>46240</v>
      </c>
      <c r="B186">
        <v>1018466443</v>
      </c>
      <c r="C186" t="s">
        <v>4109</v>
      </c>
      <c r="D186" t="s">
        <v>410</v>
      </c>
      <c r="E186" t="s">
        <v>4005</v>
      </c>
      <c r="F186" t="s">
        <v>4091</v>
      </c>
      <c r="G186" s="1">
        <v>46239</v>
      </c>
      <c r="H186" s="1">
        <v>46244</v>
      </c>
      <c r="I186" s="2">
        <v>0.58333333333333337</v>
      </c>
      <c r="J186" s="2">
        <v>0.875</v>
      </c>
      <c r="K186" t="s">
        <v>145</v>
      </c>
      <c r="L186">
        <v>2</v>
      </c>
      <c r="M186" t="s">
        <v>4157</v>
      </c>
      <c r="N186" t="s">
        <v>144</v>
      </c>
      <c r="O186" t="s">
        <v>145</v>
      </c>
      <c r="P186" t="s">
        <v>21</v>
      </c>
      <c r="Q186">
        <v>7</v>
      </c>
      <c r="R186" t="s">
        <v>4158</v>
      </c>
    </row>
    <row r="187" spans="1:18" hidden="1" x14ac:dyDescent="0.25">
      <c r="A187" s="1">
        <v>46240</v>
      </c>
      <c r="B187">
        <v>1121506548</v>
      </c>
      <c r="C187" t="s">
        <v>50</v>
      </c>
      <c r="D187" t="s">
        <v>51</v>
      </c>
      <c r="E187" t="s">
        <v>4011</v>
      </c>
      <c r="F187" t="s">
        <v>16</v>
      </c>
      <c r="G187" s="1">
        <v>46217</v>
      </c>
      <c r="H187" s="1">
        <v>46342</v>
      </c>
      <c r="I187" s="2">
        <v>0.58333333333333337</v>
      </c>
      <c r="J187" s="2">
        <v>0.875</v>
      </c>
      <c r="K187" t="s">
        <v>241</v>
      </c>
      <c r="L187">
        <v>2</v>
      </c>
      <c r="M187" t="s">
        <v>4155</v>
      </c>
      <c r="N187" t="s">
        <v>240</v>
      </c>
      <c r="O187" t="s">
        <v>241</v>
      </c>
      <c r="P187" t="s">
        <v>21</v>
      </c>
      <c r="Q187">
        <v>7</v>
      </c>
    </row>
    <row r="188" spans="1:18" hidden="1" x14ac:dyDescent="0.25">
      <c r="A188" s="1">
        <v>46240</v>
      </c>
      <c r="B188">
        <v>1143460426</v>
      </c>
      <c r="C188" t="s">
        <v>4034</v>
      </c>
      <c r="D188" t="s">
        <v>160</v>
      </c>
      <c r="E188" t="s">
        <v>4011</v>
      </c>
      <c r="F188" t="s">
        <v>4015</v>
      </c>
      <c r="G188" s="1">
        <v>46195</v>
      </c>
      <c r="H188" s="1">
        <v>46198</v>
      </c>
      <c r="I188" s="2">
        <v>0.58333333333333337</v>
      </c>
      <c r="J188" s="2">
        <v>0.875</v>
      </c>
      <c r="K188" t="s">
        <v>226</v>
      </c>
      <c r="L188">
        <v>2</v>
      </c>
      <c r="M188" t="s">
        <v>4157</v>
      </c>
      <c r="N188" t="s">
        <v>225</v>
      </c>
      <c r="O188" t="s">
        <v>226</v>
      </c>
      <c r="P188" t="s">
        <v>21</v>
      </c>
      <c r="Q188">
        <v>7</v>
      </c>
    </row>
    <row r="189" spans="1:18" hidden="1" x14ac:dyDescent="0.25">
      <c r="A189" s="1">
        <v>46240</v>
      </c>
      <c r="B189">
        <v>1017267628</v>
      </c>
      <c r="C189" t="s">
        <v>3242</v>
      </c>
      <c r="D189" t="s">
        <v>326</v>
      </c>
      <c r="E189" t="s">
        <v>4005</v>
      </c>
      <c r="F189" t="s">
        <v>4037</v>
      </c>
      <c r="G189" s="1">
        <v>46237</v>
      </c>
      <c r="H189" s="1">
        <v>46243</v>
      </c>
      <c r="I189" s="2">
        <v>0.58333333333333337</v>
      </c>
      <c r="J189" s="2">
        <v>0.875</v>
      </c>
      <c r="K189" t="s">
        <v>204</v>
      </c>
      <c r="L189">
        <v>2</v>
      </c>
      <c r="M189" t="s">
        <v>4157</v>
      </c>
      <c r="N189" t="s">
        <v>203</v>
      </c>
      <c r="O189" t="s">
        <v>204</v>
      </c>
      <c r="P189" t="s">
        <v>21</v>
      </c>
      <c r="Q189">
        <v>7</v>
      </c>
    </row>
    <row r="190" spans="1:18" hidden="1" x14ac:dyDescent="0.25">
      <c r="A190" s="1">
        <v>46240</v>
      </c>
      <c r="B190">
        <v>1005569691</v>
      </c>
      <c r="C190" t="s">
        <v>3613</v>
      </c>
      <c r="D190" t="s">
        <v>326</v>
      </c>
      <c r="E190" t="s">
        <v>4005</v>
      </c>
      <c r="F190" t="s">
        <v>25</v>
      </c>
      <c r="G190" s="1">
        <v>46239</v>
      </c>
      <c r="H190" s="1">
        <v>46240</v>
      </c>
      <c r="I190" s="2">
        <v>0.58333333333333337</v>
      </c>
      <c r="J190" s="2">
        <v>0.875</v>
      </c>
      <c r="K190" t="s">
        <v>238</v>
      </c>
      <c r="L190">
        <v>2</v>
      </c>
      <c r="M190" t="s">
        <v>4157</v>
      </c>
      <c r="N190" t="s">
        <v>237</v>
      </c>
      <c r="O190" t="s">
        <v>238</v>
      </c>
      <c r="P190" t="s">
        <v>21</v>
      </c>
      <c r="Q190">
        <v>7</v>
      </c>
    </row>
    <row r="191" spans="1:18" hidden="1" x14ac:dyDescent="0.25">
      <c r="A191" s="1">
        <v>46240</v>
      </c>
      <c r="B191">
        <v>1098777544</v>
      </c>
      <c r="C191" t="s">
        <v>81</v>
      </c>
      <c r="D191" t="s">
        <v>82</v>
      </c>
      <c r="E191" t="s">
        <v>4005</v>
      </c>
      <c r="F191" t="s">
        <v>25</v>
      </c>
      <c r="G191" s="1">
        <v>46217</v>
      </c>
      <c r="H191" s="1">
        <v>46246</v>
      </c>
      <c r="I191" s="2">
        <v>0.54166666666666663</v>
      </c>
      <c r="J191" s="2">
        <v>0.875</v>
      </c>
      <c r="K191" t="s">
        <v>207</v>
      </c>
      <c r="L191">
        <v>2</v>
      </c>
      <c r="M191" t="s">
        <v>4154</v>
      </c>
      <c r="N191" t="s">
        <v>206</v>
      </c>
      <c r="O191" t="s">
        <v>207</v>
      </c>
      <c r="P191" t="s">
        <v>21</v>
      </c>
      <c r="Q191">
        <v>8</v>
      </c>
    </row>
    <row r="192" spans="1:18" hidden="1" x14ac:dyDescent="0.25">
      <c r="A192" s="1">
        <v>46240</v>
      </c>
      <c r="B192">
        <v>1037634709</v>
      </c>
      <c r="C192" t="s">
        <v>4009</v>
      </c>
      <c r="D192" t="s">
        <v>420</v>
      </c>
      <c r="E192" t="s">
        <v>4010</v>
      </c>
      <c r="F192" t="s">
        <v>4015</v>
      </c>
      <c r="G192" s="1">
        <v>46238</v>
      </c>
      <c r="H192" s="1">
        <v>46240</v>
      </c>
      <c r="I192" s="2">
        <v>0.54166666666666663</v>
      </c>
      <c r="J192" s="2">
        <v>0.875</v>
      </c>
      <c r="K192" t="s">
        <v>74</v>
      </c>
      <c r="L192">
        <v>2</v>
      </c>
      <c r="M192" t="s">
        <v>4154</v>
      </c>
      <c r="N192" t="s">
        <v>73</v>
      </c>
      <c r="O192" t="s">
        <v>74</v>
      </c>
      <c r="P192" t="s">
        <v>21</v>
      </c>
      <c r="Q192">
        <v>8</v>
      </c>
    </row>
    <row r="193" spans="1:18" hidden="1" x14ac:dyDescent="0.25">
      <c r="A193" s="1">
        <v>46240</v>
      </c>
      <c r="B193">
        <v>1001851670</v>
      </c>
      <c r="C193" t="s">
        <v>14</v>
      </c>
      <c r="D193" t="s">
        <v>15</v>
      </c>
      <c r="E193" t="s">
        <v>4012</v>
      </c>
      <c r="F193" t="s">
        <v>16</v>
      </c>
      <c r="G193" s="1">
        <v>46237</v>
      </c>
      <c r="H193" s="1">
        <v>46366</v>
      </c>
      <c r="I193" s="2">
        <v>0.54166666666666663</v>
      </c>
      <c r="J193" s="2">
        <v>0.875</v>
      </c>
      <c r="K193" t="s">
        <v>220</v>
      </c>
      <c r="L193">
        <v>2</v>
      </c>
      <c r="M193" t="s">
        <v>4156</v>
      </c>
      <c r="N193" t="s">
        <v>219</v>
      </c>
      <c r="O193" t="s">
        <v>220</v>
      </c>
      <c r="P193" t="s">
        <v>21</v>
      </c>
      <c r="Q193">
        <v>8</v>
      </c>
    </row>
    <row r="194" spans="1:18" hidden="1" x14ac:dyDescent="0.25">
      <c r="A194" s="1">
        <v>46240</v>
      </c>
      <c r="B194" t="s">
        <v>185</v>
      </c>
      <c r="C194" t="s">
        <v>186</v>
      </c>
      <c r="D194" t="s">
        <v>4045</v>
      </c>
      <c r="E194" t="s">
        <v>4011</v>
      </c>
      <c r="F194" t="s">
        <v>4046</v>
      </c>
      <c r="G194" s="1">
        <v>46240</v>
      </c>
      <c r="H194" s="1">
        <v>46240</v>
      </c>
      <c r="I194" s="2">
        <v>0.25</v>
      </c>
      <c r="J194" s="2">
        <v>0.58333333333333337</v>
      </c>
      <c r="K194" t="s">
        <v>186</v>
      </c>
      <c r="L194">
        <v>0</v>
      </c>
      <c r="M194" t="s">
        <v>4155</v>
      </c>
      <c r="N194" t="s">
        <v>185</v>
      </c>
      <c r="O194" t="s">
        <v>186</v>
      </c>
      <c r="P194" t="s">
        <v>4007</v>
      </c>
      <c r="Q194">
        <v>8</v>
      </c>
    </row>
    <row r="195" spans="1:18" hidden="1" x14ac:dyDescent="0.25">
      <c r="A195" s="1">
        <v>46240</v>
      </c>
      <c r="B195">
        <v>1192923605</v>
      </c>
      <c r="C195" t="s">
        <v>315</v>
      </c>
      <c r="D195" t="s">
        <v>211</v>
      </c>
      <c r="E195" t="s">
        <v>4017</v>
      </c>
      <c r="F195" t="s">
        <v>25</v>
      </c>
      <c r="G195" s="1">
        <v>46239</v>
      </c>
      <c r="H195" s="1">
        <v>46240</v>
      </c>
      <c r="I195" s="2">
        <v>0.54166666666666663</v>
      </c>
      <c r="J195" s="2">
        <v>0.875</v>
      </c>
      <c r="K195" s="4" t="s">
        <v>213</v>
      </c>
      <c r="L195">
        <v>2</v>
      </c>
      <c r="M195" t="s">
        <v>4159</v>
      </c>
      <c r="N195" t="s">
        <v>212</v>
      </c>
      <c r="O195" t="s">
        <v>213</v>
      </c>
      <c r="P195" t="s">
        <v>21</v>
      </c>
      <c r="Q195">
        <v>8</v>
      </c>
      <c r="R195" t="s">
        <v>4160</v>
      </c>
    </row>
    <row r="196" spans="1:18" hidden="1" x14ac:dyDescent="0.25">
      <c r="A196" s="1">
        <v>46240</v>
      </c>
      <c r="B196">
        <v>1036670630</v>
      </c>
      <c r="C196" t="s">
        <v>1093</v>
      </c>
      <c r="D196" t="s">
        <v>15</v>
      </c>
      <c r="E196" t="s">
        <v>4012</v>
      </c>
      <c r="F196" t="s">
        <v>30</v>
      </c>
      <c r="G196" s="1">
        <v>46240</v>
      </c>
      <c r="H196" s="1">
        <v>46240</v>
      </c>
      <c r="I196" s="2">
        <v>0.54166666666666663</v>
      </c>
      <c r="J196" s="2">
        <v>0.875</v>
      </c>
      <c r="K196" t="s">
        <v>189</v>
      </c>
      <c r="L196">
        <v>2</v>
      </c>
      <c r="M196" t="s">
        <v>4154</v>
      </c>
      <c r="N196" t="s">
        <v>188</v>
      </c>
      <c r="O196" t="s">
        <v>189</v>
      </c>
      <c r="P196" t="s">
        <v>21</v>
      </c>
      <c r="Q196">
        <v>8</v>
      </c>
    </row>
    <row r="197" spans="1:18" hidden="1" x14ac:dyDescent="0.25">
      <c r="A197" s="1">
        <v>46240</v>
      </c>
      <c r="B197">
        <v>1001947708</v>
      </c>
      <c r="C197" t="s">
        <v>1386</v>
      </c>
      <c r="D197" t="s">
        <v>78</v>
      </c>
      <c r="E197" t="s">
        <v>4010</v>
      </c>
      <c r="F197" t="s">
        <v>4115</v>
      </c>
      <c r="G197" s="1">
        <v>46240</v>
      </c>
      <c r="H197" s="1">
        <v>46240</v>
      </c>
      <c r="I197" s="2">
        <v>0.375</v>
      </c>
      <c r="J197" s="2">
        <v>0.54166666666666663</v>
      </c>
      <c r="K197" t="s">
        <v>1319</v>
      </c>
      <c r="L197">
        <v>0</v>
      </c>
      <c r="M197" t="s">
        <v>4157</v>
      </c>
      <c r="N197" t="s">
        <v>1318</v>
      </c>
      <c r="O197" t="s">
        <v>1319</v>
      </c>
      <c r="P197" t="s">
        <v>4007</v>
      </c>
      <c r="Q197">
        <v>4</v>
      </c>
    </row>
    <row r="198" spans="1:18" hidden="1" x14ac:dyDescent="0.25">
      <c r="A198" s="1">
        <v>46240</v>
      </c>
      <c r="B198">
        <v>1026156098</v>
      </c>
      <c r="C198" t="s">
        <v>3518</v>
      </c>
      <c r="D198" t="s">
        <v>34</v>
      </c>
      <c r="E198" t="s">
        <v>4011</v>
      </c>
      <c r="F198" t="s">
        <v>25</v>
      </c>
      <c r="G198" s="1">
        <v>46239</v>
      </c>
      <c r="H198" s="1">
        <v>46240</v>
      </c>
      <c r="I198" s="2">
        <v>0.25</v>
      </c>
      <c r="J198" s="2">
        <v>0.58333333333333337</v>
      </c>
      <c r="K198" t="s">
        <v>99</v>
      </c>
      <c r="L198">
        <v>0</v>
      </c>
      <c r="M198" t="s">
        <v>4154</v>
      </c>
      <c r="N198" t="s">
        <v>98</v>
      </c>
      <c r="O198" t="s">
        <v>99</v>
      </c>
      <c r="P198" t="s">
        <v>4007</v>
      </c>
      <c r="Q198">
        <v>8</v>
      </c>
    </row>
    <row r="199" spans="1:18" hidden="1" x14ac:dyDescent="0.25">
      <c r="A199" s="1">
        <v>46240</v>
      </c>
      <c r="B199" t="s">
        <v>4116</v>
      </c>
      <c r="C199" t="s">
        <v>4105</v>
      </c>
      <c r="D199" t="s">
        <v>553</v>
      </c>
      <c r="E199" t="s">
        <v>4010</v>
      </c>
      <c r="F199" t="s">
        <v>4040</v>
      </c>
      <c r="G199" s="1">
        <v>46240</v>
      </c>
      <c r="H199" s="1"/>
      <c r="I199" s="2">
        <v>0.58333333333333337</v>
      </c>
      <c r="J199" s="2">
        <v>0.875</v>
      </c>
      <c r="K199" t="s">
        <v>4117</v>
      </c>
      <c r="L199">
        <v>2</v>
      </c>
      <c r="M199" t="s">
        <v>4157</v>
      </c>
      <c r="N199" t="s">
        <v>122</v>
      </c>
      <c r="O199" t="s">
        <v>123</v>
      </c>
      <c r="P199" t="s">
        <v>21</v>
      </c>
      <c r="Q199">
        <v>7</v>
      </c>
    </row>
    <row r="200" spans="1:18" hidden="1" x14ac:dyDescent="0.25">
      <c r="A200" s="1">
        <v>46240</v>
      </c>
      <c r="B200">
        <v>1037630337</v>
      </c>
      <c r="C200" t="s">
        <v>1468</v>
      </c>
      <c r="D200" t="s">
        <v>15</v>
      </c>
      <c r="E200" t="s">
        <v>4012</v>
      </c>
      <c r="F200" t="s">
        <v>30</v>
      </c>
      <c r="G200" s="1">
        <v>46240</v>
      </c>
      <c r="H200" s="1">
        <v>46240</v>
      </c>
      <c r="I200" s="2">
        <v>0.25</v>
      </c>
      <c r="J200" s="2">
        <v>0.58333333333333337</v>
      </c>
      <c r="K200" t="s">
        <v>179</v>
      </c>
      <c r="L200">
        <v>0</v>
      </c>
      <c r="M200" t="s">
        <v>4155</v>
      </c>
      <c r="N200" t="s">
        <v>178</v>
      </c>
      <c r="O200" t="s">
        <v>179</v>
      </c>
      <c r="P200" t="s">
        <v>4007</v>
      </c>
      <c r="Q200">
        <v>8</v>
      </c>
    </row>
    <row r="201" spans="1:18" hidden="1" x14ac:dyDescent="0.25">
      <c r="A201" s="1">
        <v>46240</v>
      </c>
      <c r="B201">
        <v>1067963513</v>
      </c>
      <c r="C201" t="s">
        <v>28</v>
      </c>
      <c r="D201" t="s">
        <v>29</v>
      </c>
      <c r="E201" t="s">
        <v>4005</v>
      </c>
      <c r="F201" t="s">
        <v>30</v>
      </c>
      <c r="G201" s="1">
        <v>46240</v>
      </c>
      <c r="H201" s="1">
        <v>46265</v>
      </c>
      <c r="I201" s="2">
        <v>0.25</v>
      </c>
      <c r="J201" s="2">
        <v>0.58333333333333337</v>
      </c>
      <c r="K201" t="s">
        <v>248</v>
      </c>
      <c r="L201">
        <v>0</v>
      </c>
      <c r="M201" t="s">
        <v>4157</v>
      </c>
      <c r="N201" t="s">
        <v>247</v>
      </c>
      <c r="O201" t="s">
        <v>248</v>
      </c>
      <c r="P201" t="s">
        <v>4007</v>
      </c>
      <c r="Q201">
        <v>8</v>
      </c>
      <c r="R201" t="s">
        <v>4163</v>
      </c>
    </row>
    <row r="202" spans="1:18" hidden="1" x14ac:dyDescent="0.25">
      <c r="A202" s="1">
        <v>46240</v>
      </c>
      <c r="B202">
        <v>1072648283</v>
      </c>
      <c r="C202" t="s">
        <v>739</v>
      </c>
      <c r="D202" t="s">
        <v>211</v>
      </c>
      <c r="E202" t="s">
        <v>4017</v>
      </c>
      <c r="F202" t="s">
        <v>4040</v>
      </c>
      <c r="G202" s="1">
        <v>46240</v>
      </c>
      <c r="H202" s="1">
        <v>46240</v>
      </c>
      <c r="I202" s="2">
        <v>0.54166666666666663</v>
      </c>
      <c r="J202" s="2">
        <v>0.875</v>
      </c>
      <c r="K202" t="s">
        <v>4059</v>
      </c>
      <c r="L202">
        <v>2</v>
      </c>
      <c r="M202" t="s">
        <v>4159</v>
      </c>
      <c r="N202" t="s">
        <v>134</v>
      </c>
      <c r="O202" t="s">
        <v>135</v>
      </c>
      <c r="P202" t="s">
        <v>21</v>
      </c>
      <c r="Q202">
        <v>8</v>
      </c>
      <c r="R202" t="s">
        <v>4160</v>
      </c>
    </row>
    <row r="203" spans="1:18" hidden="1" x14ac:dyDescent="0.25">
      <c r="A203" s="1">
        <v>46240</v>
      </c>
      <c r="B203">
        <v>1126251297</v>
      </c>
      <c r="C203" t="s">
        <v>231</v>
      </c>
      <c r="D203" t="s">
        <v>322</v>
      </c>
      <c r="E203" t="s">
        <v>4017</v>
      </c>
      <c r="F203" t="s">
        <v>4039</v>
      </c>
      <c r="G203" s="1">
        <v>46240</v>
      </c>
      <c r="H203" s="1">
        <v>46240</v>
      </c>
      <c r="I203" s="2">
        <v>0.58333333333333337</v>
      </c>
      <c r="J203" s="2">
        <v>0.875</v>
      </c>
      <c r="K203" t="s">
        <v>231</v>
      </c>
      <c r="L203">
        <v>2</v>
      </c>
      <c r="M203" t="s">
        <v>4159</v>
      </c>
      <c r="N203" t="s">
        <v>230</v>
      </c>
      <c r="O203" t="s">
        <v>231</v>
      </c>
      <c r="P203" t="s">
        <v>21</v>
      </c>
      <c r="Q203">
        <v>7</v>
      </c>
    </row>
    <row r="204" spans="1:18" hidden="1" x14ac:dyDescent="0.25">
      <c r="A204" s="1">
        <v>46240</v>
      </c>
      <c r="B204">
        <v>1193537336</v>
      </c>
      <c r="C204" t="s">
        <v>2087</v>
      </c>
      <c r="D204" t="s">
        <v>420</v>
      </c>
      <c r="E204" t="s">
        <v>4010</v>
      </c>
      <c r="F204" t="s">
        <v>4040</v>
      </c>
      <c r="G204" s="1">
        <v>46240</v>
      </c>
      <c r="H204" s="1">
        <v>46240</v>
      </c>
      <c r="I204" s="2"/>
      <c r="J204" s="2"/>
      <c r="K204" t="s">
        <v>4050</v>
      </c>
      <c r="L204">
        <v>0</v>
      </c>
      <c r="P204" t="s">
        <v>4007</v>
      </c>
      <c r="Q204">
        <v>0</v>
      </c>
    </row>
    <row r="205" spans="1:18" hidden="1" x14ac:dyDescent="0.25">
      <c r="A205" s="1">
        <v>46240</v>
      </c>
      <c r="B205">
        <v>45529043</v>
      </c>
      <c r="C205" t="s">
        <v>712</v>
      </c>
      <c r="D205" t="s">
        <v>322</v>
      </c>
      <c r="E205" t="s">
        <v>4017</v>
      </c>
      <c r="F205" t="s">
        <v>25</v>
      </c>
      <c r="G205" s="1">
        <v>46240</v>
      </c>
      <c r="H205" s="1">
        <v>46240</v>
      </c>
      <c r="I205" s="2">
        <v>0.25</v>
      </c>
      <c r="J205" s="2">
        <v>0.58333333333333337</v>
      </c>
      <c r="K205" t="s">
        <v>4120</v>
      </c>
      <c r="L205">
        <v>0</v>
      </c>
      <c r="M205" t="s">
        <v>4159</v>
      </c>
      <c r="N205" t="s">
        <v>91</v>
      </c>
      <c r="O205" t="s">
        <v>92</v>
      </c>
      <c r="P205" t="s">
        <v>4007</v>
      </c>
      <c r="Q205">
        <v>8</v>
      </c>
    </row>
    <row r="206" spans="1:18" hidden="1" x14ac:dyDescent="0.25">
      <c r="A206" s="1">
        <v>46242</v>
      </c>
      <c r="B206">
        <v>1006490561</v>
      </c>
      <c r="C206" t="s">
        <v>4118</v>
      </c>
      <c r="D206" t="s">
        <v>410</v>
      </c>
      <c r="E206" t="s">
        <v>4005</v>
      </c>
      <c r="F206" t="s">
        <v>25</v>
      </c>
      <c r="G206" s="1">
        <v>46240</v>
      </c>
      <c r="H206" s="1">
        <v>46242</v>
      </c>
      <c r="I206" s="2">
        <v>0.25</v>
      </c>
      <c r="J206" s="2">
        <v>0.66666666666666663</v>
      </c>
      <c r="K206" t="s">
        <v>248</v>
      </c>
      <c r="L206">
        <v>0</v>
      </c>
      <c r="M206" t="s">
        <v>4157</v>
      </c>
      <c r="N206" t="s">
        <v>247</v>
      </c>
      <c r="O206" t="s">
        <v>248</v>
      </c>
      <c r="P206" t="s">
        <v>4007</v>
      </c>
      <c r="Q206">
        <v>10</v>
      </c>
      <c r="R206" t="s">
        <v>4158</v>
      </c>
    </row>
    <row r="207" spans="1:18" hidden="1" x14ac:dyDescent="0.25">
      <c r="A207" s="1">
        <v>46242</v>
      </c>
      <c r="B207">
        <v>1001853191</v>
      </c>
      <c r="C207" t="s">
        <v>3198</v>
      </c>
      <c r="D207" t="s">
        <v>34</v>
      </c>
      <c r="E207" t="s">
        <v>4011</v>
      </c>
      <c r="F207" t="s">
        <v>25</v>
      </c>
      <c r="G207" s="1">
        <v>46240</v>
      </c>
      <c r="H207" s="1">
        <v>46242</v>
      </c>
      <c r="I207" s="2">
        <v>0.45833333333333331</v>
      </c>
      <c r="J207" s="2">
        <v>0.875</v>
      </c>
      <c r="K207" t="s">
        <v>18</v>
      </c>
      <c r="L207">
        <v>2</v>
      </c>
      <c r="M207" t="s">
        <v>4154</v>
      </c>
      <c r="N207" t="s">
        <v>17</v>
      </c>
      <c r="O207" t="s">
        <v>18</v>
      </c>
      <c r="P207" t="s">
        <v>21</v>
      </c>
      <c r="Q207">
        <v>10</v>
      </c>
    </row>
    <row r="208" spans="1:18" hidden="1" x14ac:dyDescent="0.25">
      <c r="A208" s="1">
        <v>46242</v>
      </c>
      <c r="B208">
        <v>1127074377</v>
      </c>
      <c r="C208" t="s">
        <v>344</v>
      </c>
      <c r="D208" t="s">
        <v>343</v>
      </c>
      <c r="E208" t="s">
        <v>4012</v>
      </c>
      <c r="F208" t="s">
        <v>4053</v>
      </c>
      <c r="G208" s="1">
        <v>46242</v>
      </c>
      <c r="H208" s="1">
        <v>46242</v>
      </c>
      <c r="I208" s="2">
        <v>0.25</v>
      </c>
      <c r="J208" s="2">
        <v>0.66666666666666663</v>
      </c>
      <c r="K208" t="s">
        <v>1319</v>
      </c>
      <c r="L208">
        <v>0</v>
      </c>
      <c r="M208" t="s">
        <v>4157</v>
      </c>
      <c r="N208" t="s">
        <v>1318</v>
      </c>
      <c r="O208" t="s">
        <v>1319</v>
      </c>
      <c r="P208" t="s">
        <v>4007</v>
      </c>
      <c r="Q208">
        <v>10</v>
      </c>
    </row>
    <row r="209" spans="1:17" hidden="1" x14ac:dyDescent="0.25">
      <c r="A209" s="1">
        <v>46242</v>
      </c>
      <c r="B209">
        <v>1067963513</v>
      </c>
      <c r="C209" t="s">
        <v>28</v>
      </c>
      <c r="D209" t="s">
        <v>29</v>
      </c>
      <c r="E209" t="s">
        <v>4005</v>
      </c>
      <c r="F209" t="s">
        <v>30</v>
      </c>
      <c r="G209" s="1">
        <v>46240</v>
      </c>
      <c r="H209" s="1">
        <v>46265</v>
      </c>
      <c r="I209" s="2"/>
      <c r="J209" s="2"/>
      <c r="K209" t="s">
        <v>269</v>
      </c>
      <c r="L209">
        <v>0</v>
      </c>
      <c r="P209" t="s">
        <v>4007</v>
      </c>
      <c r="Q209">
        <v>0</v>
      </c>
    </row>
    <row r="210" spans="1:17" hidden="1" x14ac:dyDescent="0.25">
      <c r="A210" s="1">
        <v>46242</v>
      </c>
      <c r="B210">
        <v>1143374438</v>
      </c>
      <c r="C210" t="s">
        <v>85</v>
      </c>
      <c r="D210" t="s">
        <v>41</v>
      </c>
      <c r="E210" t="s">
        <v>4011</v>
      </c>
      <c r="F210" t="s">
        <v>25</v>
      </c>
      <c r="G210" s="1">
        <v>46239</v>
      </c>
      <c r="H210" s="1">
        <v>46268</v>
      </c>
      <c r="I210" s="2"/>
      <c r="J210" s="2"/>
      <c r="K210" t="s">
        <v>269</v>
      </c>
      <c r="L210">
        <v>0</v>
      </c>
      <c r="P210" t="s">
        <v>4007</v>
      </c>
      <c r="Q210">
        <v>0</v>
      </c>
    </row>
    <row r="211" spans="1:17" hidden="1" x14ac:dyDescent="0.25">
      <c r="A211" s="1">
        <v>46242</v>
      </c>
      <c r="B211">
        <v>1001014608</v>
      </c>
      <c r="C211" t="s">
        <v>268</v>
      </c>
      <c r="D211" t="s">
        <v>64</v>
      </c>
      <c r="E211" t="s">
        <v>4012</v>
      </c>
      <c r="F211" t="s">
        <v>25</v>
      </c>
      <c r="G211" s="1">
        <v>46239</v>
      </c>
      <c r="H211" s="1">
        <v>46268</v>
      </c>
      <c r="I211" s="2"/>
      <c r="J211" s="2"/>
      <c r="K211" t="s">
        <v>269</v>
      </c>
      <c r="L211">
        <v>0</v>
      </c>
      <c r="P211" t="s">
        <v>4007</v>
      </c>
      <c r="Q211">
        <v>0</v>
      </c>
    </row>
    <row r="212" spans="1:17" hidden="1" x14ac:dyDescent="0.25">
      <c r="A212" s="1">
        <v>46242</v>
      </c>
      <c r="B212">
        <v>42141273</v>
      </c>
      <c r="C212" t="s">
        <v>210</v>
      </c>
      <c r="D212" t="s">
        <v>211</v>
      </c>
      <c r="E212" t="s">
        <v>4017</v>
      </c>
      <c r="F212" t="s">
        <v>4029</v>
      </c>
      <c r="G212" s="1">
        <v>46232</v>
      </c>
      <c r="H212" s="1">
        <v>46261</v>
      </c>
      <c r="I212" s="2"/>
      <c r="J212" s="2"/>
      <c r="K212" t="s">
        <v>269</v>
      </c>
      <c r="L212">
        <v>0</v>
      </c>
      <c r="P212" t="s">
        <v>4007</v>
      </c>
      <c r="Q212">
        <v>0</v>
      </c>
    </row>
    <row r="213" spans="1:17" hidden="1" x14ac:dyDescent="0.25">
      <c r="A213" s="1">
        <v>46242</v>
      </c>
      <c r="B213">
        <v>1035876080</v>
      </c>
      <c r="C213" t="s">
        <v>120</v>
      </c>
      <c r="D213" t="s">
        <v>121</v>
      </c>
      <c r="E213" t="s">
        <v>4010</v>
      </c>
      <c r="F213" t="s">
        <v>25</v>
      </c>
      <c r="G213" s="1">
        <v>46239</v>
      </c>
      <c r="H213" s="1">
        <v>46245</v>
      </c>
      <c r="I213" s="2"/>
      <c r="J213" s="2"/>
      <c r="K213" t="s">
        <v>269</v>
      </c>
      <c r="L213">
        <v>0</v>
      </c>
      <c r="P213" t="s">
        <v>4007</v>
      </c>
      <c r="Q213">
        <v>0</v>
      </c>
    </row>
    <row r="214" spans="1:17" hidden="1" x14ac:dyDescent="0.25">
      <c r="A214" s="1">
        <v>46242</v>
      </c>
      <c r="B214">
        <v>1005424850</v>
      </c>
      <c r="C214" t="s">
        <v>56</v>
      </c>
      <c r="D214" t="s">
        <v>57</v>
      </c>
      <c r="E214" t="s">
        <v>4010</v>
      </c>
      <c r="F214" t="s">
        <v>25</v>
      </c>
      <c r="G214" s="1">
        <v>46238</v>
      </c>
      <c r="H214" s="1">
        <v>46245</v>
      </c>
      <c r="I214" s="2"/>
      <c r="J214" s="2"/>
      <c r="K214" t="s">
        <v>269</v>
      </c>
      <c r="L214">
        <v>0</v>
      </c>
      <c r="P214" t="s">
        <v>4007</v>
      </c>
      <c r="Q214">
        <v>0</v>
      </c>
    </row>
    <row r="215" spans="1:17" hidden="1" x14ac:dyDescent="0.25">
      <c r="A215" s="1">
        <v>46242</v>
      </c>
      <c r="B215">
        <v>1017267628</v>
      </c>
      <c r="C215" t="s">
        <v>4125</v>
      </c>
      <c r="D215" t="s">
        <v>326</v>
      </c>
      <c r="E215" t="s">
        <v>4005</v>
      </c>
      <c r="F215" t="s">
        <v>4037</v>
      </c>
      <c r="G215" s="1">
        <v>46237</v>
      </c>
      <c r="H215" s="1">
        <v>46243</v>
      </c>
      <c r="I215" s="2"/>
      <c r="J215" s="2"/>
      <c r="K215" t="s">
        <v>269</v>
      </c>
      <c r="L215">
        <v>0</v>
      </c>
      <c r="P215" t="s">
        <v>4007</v>
      </c>
      <c r="Q215">
        <v>0</v>
      </c>
    </row>
    <row r="216" spans="1:17" hidden="1" x14ac:dyDescent="0.25">
      <c r="A216" s="1">
        <v>46242</v>
      </c>
      <c r="B216">
        <v>1152436231</v>
      </c>
      <c r="C216" t="s">
        <v>131</v>
      </c>
      <c r="D216" t="s">
        <v>132</v>
      </c>
      <c r="E216" t="s">
        <v>4010</v>
      </c>
      <c r="F216" t="s">
        <v>25</v>
      </c>
      <c r="G216" s="1">
        <v>46237</v>
      </c>
      <c r="H216" s="1">
        <v>46240</v>
      </c>
      <c r="I216" s="2"/>
      <c r="J216" s="2"/>
      <c r="K216" t="s">
        <v>269</v>
      </c>
      <c r="L216">
        <v>0</v>
      </c>
      <c r="P216" t="s">
        <v>4007</v>
      </c>
      <c r="Q216">
        <v>0</v>
      </c>
    </row>
    <row r="217" spans="1:17" hidden="1" x14ac:dyDescent="0.25">
      <c r="A217" s="1">
        <v>46242</v>
      </c>
      <c r="B217">
        <v>1047505786</v>
      </c>
      <c r="C217" t="s">
        <v>110</v>
      </c>
      <c r="D217" t="s">
        <v>15</v>
      </c>
      <c r="E217" t="s">
        <v>4012</v>
      </c>
      <c r="F217" t="s">
        <v>25</v>
      </c>
      <c r="G217" s="1">
        <v>46229</v>
      </c>
      <c r="H217" s="1">
        <v>46243</v>
      </c>
      <c r="I217" s="2">
        <v>0.25</v>
      </c>
      <c r="J217" s="2">
        <v>0.66666666666666663</v>
      </c>
      <c r="K217" t="s">
        <v>138</v>
      </c>
      <c r="L217">
        <v>0</v>
      </c>
      <c r="M217" t="s">
        <v>4156</v>
      </c>
      <c r="N217" t="s">
        <v>137</v>
      </c>
      <c r="O217" t="s">
        <v>138</v>
      </c>
      <c r="P217" t="s">
        <v>4007</v>
      </c>
      <c r="Q217">
        <v>10</v>
      </c>
    </row>
    <row r="218" spans="1:17" hidden="1" x14ac:dyDescent="0.25">
      <c r="A218" s="1">
        <v>46242</v>
      </c>
      <c r="B218">
        <v>1152221372</v>
      </c>
      <c r="C218" t="s">
        <v>4038</v>
      </c>
      <c r="D218" t="s">
        <v>128</v>
      </c>
      <c r="E218" t="s">
        <v>4005</v>
      </c>
      <c r="F218" t="s">
        <v>4037</v>
      </c>
      <c r="G218" s="1">
        <v>46230</v>
      </c>
      <c r="H218" s="1"/>
      <c r="I218" s="2"/>
      <c r="J218" s="2"/>
      <c r="K218" t="s">
        <v>269</v>
      </c>
      <c r="L218">
        <v>0</v>
      </c>
      <c r="P218" t="s">
        <v>4007</v>
      </c>
      <c r="Q218">
        <v>0</v>
      </c>
    </row>
    <row r="219" spans="1:17" hidden="1" x14ac:dyDescent="0.25">
      <c r="A219" s="1">
        <v>46242</v>
      </c>
      <c r="B219">
        <v>1017264032</v>
      </c>
      <c r="C219" t="s">
        <v>105</v>
      </c>
      <c r="D219" t="s">
        <v>64</v>
      </c>
      <c r="E219" t="s">
        <v>4012</v>
      </c>
      <c r="F219" t="s">
        <v>25</v>
      </c>
      <c r="G219" s="1">
        <v>46229</v>
      </c>
      <c r="H219" s="1">
        <v>46258</v>
      </c>
      <c r="I219" s="2"/>
      <c r="J219" s="2"/>
      <c r="K219" t="s">
        <v>269</v>
      </c>
      <c r="L219">
        <v>0</v>
      </c>
      <c r="P219" t="s">
        <v>4007</v>
      </c>
      <c r="Q219">
        <v>0</v>
      </c>
    </row>
    <row r="220" spans="1:17" hidden="1" x14ac:dyDescent="0.25">
      <c r="A220" s="1">
        <v>46242</v>
      </c>
      <c r="B220">
        <v>1036132488</v>
      </c>
      <c r="C220" t="s">
        <v>141</v>
      </c>
      <c r="D220" t="s">
        <v>142</v>
      </c>
      <c r="E220" t="s">
        <v>4012</v>
      </c>
      <c r="F220" t="s">
        <v>25</v>
      </c>
      <c r="G220" s="1">
        <v>46227</v>
      </c>
      <c r="H220" s="1">
        <v>46246</v>
      </c>
      <c r="I220" s="2">
        <v>0.25</v>
      </c>
      <c r="J220" s="2">
        <v>0.58333333333333337</v>
      </c>
      <c r="K220" t="s">
        <v>238</v>
      </c>
      <c r="L220">
        <v>0</v>
      </c>
      <c r="M220" t="s">
        <v>4157</v>
      </c>
      <c r="N220" t="s">
        <v>237</v>
      </c>
      <c r="O220" t="s">
        <v>238</v>
      </c>
      <c r="P220" t="s">
        <v>4007</v>
      </c>
      <c r="Q220">
        <v>8</v>
      </c>
    </row>
    <row r="221" spans="1:17" hidden="1" x14ac:dyDescent="0.25">
      <c r="A221" s="1">
        <v>46242</v>
      </c>
      <c r="B221">
        <v>43558465</v>
      </c>
      <c r="C221" t="s">
        <v>103</v>
      </c>
      <c r="D221" t="s">
        <v>64</v>
      </c>
      <c r="E221" t="s">
        <v>4012</v>
      </c>
      <c r="F221" t="s">
        <v>25</v>
      </c>
      <c r="G221" s="1">
        <v>46226</v>
      </c>
      <c r="H221" s="1">
        <v>46246</v>
      </c>
      <c r="I221" s="2">
        <v>0.25</v>
      </c>
      <c r="J221" s="2">
        <v>0.66666666666666663</v>
      </c>
      <c r="K221" t="s">
        <v>204</v>
      </c>
      <c r="L221">
        <v>0</v>
      </c>
      <c r="M221" t="s">
        <v>4157</v>
      </c>
      <c r="N221" t="s">
        <v>203</v>
      </c>
      <c r="O221" t="s">
        <v>204</v>
      </c>
      <c r="P221" t="s">
        <v>4007</v>
      </c>
      <c r="Q221">
        <v>10</v>
      </c>
    </row>
    <row r="222" spans="1:17" hidden="1" x14ac:dyDescent="0.25">
      <c r="A222" s="1">
        <v>46242</v>
      </c>
      <c r="B222">
        <v>1037631989</v>
      </c>
      <c r="C222" t="s">
        <v>40</v>
      </c>
      <c r="D222" t="s">
        <v>41</v>
      </c>
      <c r="E222" t="s">
        <v>4011</v>
      </c>
      <c r="F222" t="s">
        <v>25</v>
      </c>
      <c r="G222" s="1">
        <v>46226</v>
      </c>
      <c r="H222" s="1">
        <v>46255</v>
      </c>
      <c r="I222" s="2"/>
      <c r="J222" s="2"/>
      <c r="K222" t="s">
        <v>269</v>
      </c>
      <c r="L222">
        <v>0</v>
      </c>
      <c r="P222" t="s">
        <v>4007</v>
      </c>
      <c r="Q222">
        <v>0</v>
      </c>
    </row>
    <row r="223" spans="1:17" hidden="1" x14ac:dyDescent="0.25">
      <c r="A223" s="1">
        <v>46242</v>
      </c>
      <c r="B223">
        <v>1043006106</v>
      </c>
      <c r="C223" t="s">
        <v>159</v>
      </c>
      <c r="D223" t="s">
        <v>160</v>
      </c>
      <c r="E223" t="s">
        <v>4011</v>
      </c>
      <c r="F223" t="s">
        <v>25</v>
      </c>
      <c r="G223" s="1">
        <v>46219</v>
      </c>
      <c r="H223" s="1">
        <v>46248</v>
      </c>
      <c r="I223" s="2"/>
      <c r="J223" s="2"/>
      <c r="K223" t="s">
        <v>269</v>
      </c>
      <c r="L223">
        <v>0</v>
      </c>
      <c r="P223" t="s">
        <v>4007</v>
      </c>
      <c r="Q223">
        <v>0</v>
      </c>
    </row>
    <row r="224" spans="1:17" hidden="1" x14ac:dyDescent="0.25">
      <c r="A224" s="1">
        <v>46242</v>
      </c>
      <c r="B224">
        <v>1037638426</v>
      </c>
      <c r="C224" t="s">
        <v>72</v>
      </c>
      <c r="D224" t="s">
        <v>41</v>
      </c>
      <c r="E224" t="s">
        <v>4011</v>
      </c>
      <c r="F224" t="s">
        <v>30</v>
      </c>
      <c r="G224" s="1">
        <v>46230</v>
      </c>
      <c r="H224" s="1">
        <v>46262</v>
      </c>
      <c r="I224" s="2"/>
      <c r="J224" s="2"/>
      <c r="K224" t="s">
        <v>269</v>
      </c>
      <c r="L224">
        <v>0</v>
      </c>
      <c r="P224" t="s">
        <v>4007</v>
      </c>
      <c r="Q224">
        <v>0</v>
      </c>
    </row>
    <row r="225" spans="1:17" hidden="1" x14ac:dyDescent="0.25">
      <c r="A225" s="1">
        <v>46242</v>
      </c>
      <c r="B225">
        <v>1018466443</v>
      </c>
      <c r="C225" t="s">
        <v>4109</v>
      </c>
      <c r="D225" t="s">
        <v>410</v>
      </c>
      <c r="E225" t="s">
        <v>4005</v>
      </c>
      <c r="F225" t="s">
        <v>4091</v>
      </c>
      <c r="G225" s="1">
        <v>46239</v>
      </c>
      <c r="H225" s="1">
        <v>46244</v>
      </c>
      <c r="I225" s="2"/>
      <c r="J225" s="2"/>
      <c r="K225" t="s">
        <v>269</v>
      </c>
      <c r="L225">
        <v>0</v>
      </c>
      <c r="P225" t="s">
        <v>4007</v>
      </c>
      <c r="Q225">
        <v>0</v>
      </c>
    </row>
    <row r="226" spans="1:17" hidden="1" x14ac:dyDescent="0.25">
      <c r="A226" s="1">
        <v>46242</v>
      </c>
      <c r="B226">
        <v>1121506548</v>
      </c>
      <c r="C226" t="s">
        <v>50</v>
      </c>
      <c r="D226" t="s">
        <v>51</v>
      </c>
      <c r="E226" t="s">
        <v>4011</v>
      </c>
      <c r="F226" t="s">
        <v>16</v>
      </c>
      <c r="G226" s="1">
        <v>46217</v>
      </c>
      <c r="H226" s="1">
        <v>46342</v>
      </c>
      <c r="I226" s="2"/>
      <c r="J226" s="2"/>
      <c r="K226" t="s">
        <v>269</v>
      </c>
      <c r="L226">
        <v>0</v>
      </c>
      <c r="P226" t="s">
        <v>4007</v>
      </c>
      <c r="Q226">
        <v>0</v>
      </c>
    </row>
    <row r="227" spans="1:17" hidden="1" x14ac:dyDescent="0.25">
      <c r="A227" s="1">
        <v>46242</v>
      </c>
      <c r="B227">
        <v>1143460426</v>
      </c>
      <c r="C227" t="s">
        <v>4034</v>
      </c>
      <c r="D227" t="s">
        <v>160</v>
      </c>
      <c r="E227" t="s">
        <v>4011</v>
      </c>
      <c r="F227" t="s">
        <v>4015</v>
      </c>
      <c r="G227" s="1">
        <v>46195</v>
      </c>
      <c r="H227" s="1">
        <v>46198</v>
      </c>
      <c r="I227" s="2">
        <v>0.25</v>
      </c>
      <c r="J227" s="2">
        <v>0.66666666666666663</v>
      </c>
      <c r="K227" t="s">
        <v>217</v>
      </c>
      <c r="L227">
        <v>0</v>
      </c>
      <c r="M227" t="s">
        <v>4154</v>
      </c>
      <c r="N227" t="s">
        <v>216</v>
      </c>
      <c r="O227" s="8" t="s">
        <v>217</v>
      </c>
      <c r="P227" t="s">
        <v>4007</v>
      </c>
      <c r="Q227">
        <v>10</v>
      </c>
    </row>
    <row r="228" spans="1:17" hidden="1" x14ac:dyDescent="0.25">
      <c r="A228" s="1">
        <v>46242</v>
      </c>
      <c r="B228">
        <v>1042422897</v>
      </c>
      <c r="C228" t="s">
        <v>4069</v>
      </c>
      <c r="D228" t="s">
        <v>326</v>
      </c>
      <c r="E228" t="s">
        <v>4005</v>
      </c>
      <c r="F228" t="s">
        <v>4015</v>
      </c>
      <c r="G228" s="1">
        <v>46242</v>
      </c>
      <c r="H228" s="1">
        <v>46245</v>
      </c>
      <c r="I228" s="2">
        <v>0.25</v>
      </c>
      <c r="J228" s="2">
        <v>0.66666666666666663</v>
      </c>
      <c r="K228" t="s">
        <v>107</v>
      </c>
      <c r="L228">
        <v>0</v>
      </c>
      <c r="M228" t="s">
        <v>4157</v>
      </c>
      <c r="N228" t="s">
        <v>106</v>
      </c>
      <c r="O228" t="s">
        <v>107</v>
      </c>
      <c r="P228" t="s">
        <v>4007</v>
      </c>
      <c r="Q228">
        <v>10</v>
      </c>
    </row>
    <row r="229" spans="1:17" hidden="1" x14ac:dyDescent="0.25">
      <c r="A229" s="1">
        <v>46242</v>
      </c>
      <c r="B229">
        <v>1098777544</v>
      </c>
      <c r="C229" t="s">
        <v>81</v>
      </c>
      <c r="D229" t="s">
        <v>82</v>
      </c>
      <c r="E229" t="s">
        <v>4005</v>
      </c>
      <c r="F229" t="s">
        <v>25</v>
      </c>
      <c r="G229" s="1">
        <v>46217</v>
      </c>
      <c r="H229" s="1">
        <v>46246</v>
      </c>
      <c r="I229" s="2"/>
      <c r="J229" s="2"/>
      <c r="K229" t="s">
        <v>269</v>
      </c>
      <c r="L229">
        <v>0</v>
      </c>
      <c r="P229" t="s">
        <v>4007</v>
      </c>
      <c r="Q229">
        <v>0</v>
      </c>
    </row>
    <row r="230" spans="1:17" hidden="1" x14ac:dyDescent="0.25">
      <c r="A230" s="1">
        <v>46242</v>
      </c>
      <c r="B230">
        <v>1001851670</v>
      </c>
      <c r="C230" t="s">
        <v>14</v>
      </c>
      <c r="D230" t="s">
        <v>15</v>
      </c>
      <c r="E230" t="s">
        <v>4012</v>
      </c>
      <c r="F230" t="s">
        <v>16</v>
      </c>
      <c r="G230" s="1">
        <v>46237</v>
      </c>
      <c r="H230" s="1">
        <v>46366</v>
      </c>
      <c r="I230" s="2">
        <v>0.25</v>
      </c>
      <c r="J230" s="2">
        <v>0.66666666666666663</v>
      </c>
      <c r="K230" t="s">
        <v>155</v>
      </c>
      <c r="L230">
        <v>0</v>
      </c>
      <c r="M230" t="s">
        <v>4157</v>
      </c>
      <c r="N230" t="s">
        <v>154</v>
      </c>
      <c r="O230" t="s">
        <v>155</v>
      </c>
      <c r="P230" t="s">
        <v>4007</v>
      </c>
      <c r="Q230">
        <v>10</v>
      </c>
    </row>
    <row r="231" spans="1:17" hidden="1" x14ac:dyDescent="0.25">
      <c r="A231" s="1">
        <v>46242</v>
      </c>
      <c r="B231">
        <v>1045718883</v>
      </c>
      <c r="C231" t="s">
        <v>47</v>
      </c>
      <c r="D231" t="s">
        <v>34</v>
      </c>
      <c r="E231" t="s">
        <v>4011</v>
      </c>
      <c r="F231" t="s">
        <v>4040</v>
      </c>
      <c r="G231" s="1">
        <v>46240</v>
      </c>
      <c r="H231" s="1">
        <v>46249</v>
      </c>
      <c r="I231" s="2">
        <v>0.25</v>
      </c>
      <c r="J231" s="2">
        <v>0.66666666666666663</v>
      </c>
      <c r="K231" t="s">
        <v>179</v>
      </c>
      <c r="L231">
        <v>0</v>
      </c>
      <c r="M231" t="s">
        <v>4155</v>
      </c>
      <c r="N231" t="s">
        <v>178</v>
      </c>
      <c r="O231" t="s">
        <v>179</v>
      </c>
      <c r="P231" t="s">
        <v>4007</v>
      </c>
      <c r="Q231">
        <v>10</v>
      </c>
    </row>
    <row r="232" spans="1:17" hidden="1" x14ac:dyDescent="0.25">
      <c r="A232" s="1">
        <v>46242</v>
      </c>
      <c r="B232">
        <v>1102808787</v>
      </c>
      <c r="C232" t="s">
        <v>265</v>
      </c>
      <c r="D232" t="s">
        <v>51</v>
      </c>
      <c r="E232" t="s">
        <v>4011</v>
      </c>
      <c r="F232" t="s">
        <v>25</v>
      </c>
      <c r="G232" s="1">
        <v>46237</v>
      </c>
      <c r="H232" s="1">
        <v>46256</v>
      </c>
      <c r="I232" s="2"/>
      <c r="J232" s="2"/>
      <c r="K232" t="s">
        <v>269</v>
      </c>
      <c r="L232">
        <v>0</v>
      </c>
      <c r="P232" t="s">
        <v>4007</v>
      </c>
      <c r="Q232">
        <v>0</v>
      </c>
    </row>
    <row r="233" spans="1:17" hidden="1" x14ac:dyDescent="0.25">
      <c r="A233" s="1">
        <v>46242</v>
      </c>
      <c r="B233">
        <v>1072648283</v>
      </c>
      <c r="C233" t="s">
        <v>739</v>
      </c>
      <c r="D233" t="s">
        <v>211</v>
      </c>
      <c r="E233" t="s">
        <v>4017</v>
      </c>
      <c r="F233" t="s">
        <v>25</v>
      </c>
      <c r="G233" s="1">
        <v>46240</v>
      </c>
      <c r="H233" s="1">
        <v>46240</v>
      </c>
      <c r="I233" s="2"/>
      <c r="J233" s="2"/>
      <c r="K233" t="s">
        <v>4050</v>
      </c>
      <c r="L233">
        <v>0</v>
      </c>
      <c r="P233" t="s">
        <v>4007</v>
      </c>
      <c r="Q233">
        <v>0</v>
      </c>
    </row>
    <row r="234" spans="1:17" hidden="1" x14ac:dyDescent="0.25">
      <c r="A234" s="1">
        <v>46242</v>
      </c>
      <c r="B234">
        <v>1084253148</v>
      </c>
      <c r="C234" t="s">
        <v>1049</v>
      </c>
      <c r="D234" t="s">
        <v>211</v>
      </c>
      <c r="E234" t="s">
        <v>4017</v>
      </c>
      <c r="F234" t="s">
        <v>4040</v>
      </c>
      <c r="G234" s="1">
        <v>46240</v>
      </c>
      <c r="H234" s="1">
        <v>46240</v>
      </c>
      <c r="I234" s="2"/>
      <c r="J234" s="2"/>
      <c r="K234" t="s">
        <v>4050</v>
      </c>
      <c r="L234">
        <v>0</v>
      </c>
      <c r="P234" t="s">
        <v>4007</v>
      </c>
      <c r="Q234">
        <v>0</v>
      </c>
    </row>
    <row r="235" spans="1:17" hidden="1" x14ac:dyDescent="0.25">
      <c r="A235" s="1">
        <v>46242</v>
      </c>
      <c r="B235">
        <v>1001446162</v>
      </c>
      <c r="C235" t="s">
        <v>3622</v>
      </c>
      <c r="D235" t="s">
        <v>4045</v>
      </c>
      <c r="E235" t="s">
        <v>4017</v>
      </c>
      <c r="F235" t="s">
        <v>4046</v>
      </c>
      <c r="G235" s="1">
        <v>46242</v>
      </c>
      <c r="H235" s="1">
        <v>46242</v>
      </c>
      <c r="I235" s="2">
        <v>0.25</v>
      </c>
      <c r="J235" s="2">
        <v>0.58333333333333337</v>
      </c>
      <c r="K235" t="s">
        <v>3622</v>
      </c>
      <c r="L235">
        <v>0</v>
      </c>
      <c r="M235" t="s">
        <v>4159</v>
      </c>
      <c r="N235" t="s">
        <v>3621</v>
      </c>
      <c r="O235" t="s">
        <v>3622</v>
      </c>
      <c r="P235" t="s">
        <v>4007</v>
      </c>
      <c r="Q235">
        <v>8</v>
      </c>
    </row>
    <row r="236" spans="1:17" hidden="1" x14ac:dyDescent="0.25">
      <c r="A236" s="1">
        <v>46242</v>
      </c>
      <c r="B236">
        <v>1001369228</v>
      </c>
      <c r="C236" t="s">
        <v>92</v>
      </c>
      <c r="D236" t="s">
        <v>4045</v>
      </c>
      <c r="E236" t="s">
        <v>4017</v>
      </c>
      <c r="F236" t="s">
        <v>4046</v>
      </c>
      <c r="G236" s="1">
        <v>46242</v>
      </c>
      <c r="H236" s="1">
        <v>46242</v>
      </c>
      <c r="I236" s="2">
        <v>0.25</v>
      </c>
      <c r="J236" s="2">
        <v>0.58333333333333337</v>
      </c>
      <c r="K236" t="s">
        <v>92</v>
      </c>
      <c r="L236">
        <v>0</v>
      </c>
      <c r="M236" t="s">
        <v>4159</v>
      </c>
      <c r="N236" t="s">
        <v>91</v>
      </c>
      <c r="O236" t="s">
        <v>92</v>
      </c>
      <c r="P236" t="s">
        <v>4007</v>
      </c>
      <c r="Q236">
        <v>8</v>
      </c>
    </row>
    <row r="237" spans="1:17" hidden="1" x14ac:dyDescent="0.25">
      <c r="A237" s="1">
        <v>46242</v>
      </c>
      <c r="B237">
        <v>1003000892</v>
      </c>
      <c r="C237" t="s">
        <v>2887</v>
      </c>
      <c r="D237" t="s">
        <v>128</v>
      </c>
      <c r="E237" t="s">
        <v>4005</v>
      </c>
      <c r="F237" t="s">
        <v>4072</v>
      </c>
      <c r="G237" s="1">
        <v>46242</v>
      </c>
      <c r="H237" s="1">
        <v>46242</v>
      </c>
      <c r="I237" s="2">
        <v>0.25</v>
      </c>
      <c r="J237" s="2">
        <v>0.54166666666666663</v>
      </c>
      <c r="K237" t="s">
        <v>4099</v>
      </c>
      <c r="L237">
        <v>0</v>
      </c>
      <c r="M237" t="s">
        <v>4157</v>
      </c>
      <c r="N237" t="s">
        <v>2886</v>
      </c>
      <c r="O237" t="s">
        <v>2887</v>
      </c>
      <c r="P237" t="s">
        <v>4007</v>
      </c>
      <c r="Q237">
        <v>7</v>
      </c>
    </row>
    <row r="238" spans="1:17" hidden="1" x14ac:dyDescent="0.25">
      <c r="A238" s="1">
        <v>46242</v>
      </c>
      <c r="B238">
        <v>1000921455</v>
      </c>
      <c r="C238" t="s">
        <v>33</v>
      </c>
      <c r="D238" t="s">
        <v>34</v>
      </c>
      <c r="E238" t="s">
        <v>4011</v>
      </c>
      <c r="F238" t="s">
        <v>25</v>
      </c>
      <c r="G238" s="1">
        <v>46239</v>
      </c>
      <c r="H238" s="1">
        <v>46246</v>
      </c>
      <c r="I238" s="2">
        <v>0.25</v>
      </c>
      <c r="J238" s="2">
        <v>0.66666666666666663</v>
      </c>
      <c r="K238" t="s">
        <v>36</v>
      </c>
      <c r="L238">
        <v>0</v>
      </c>
      <c r="M238" t="s">
        <v>4155</v>
      </c>
      <c r="N238" t="s">
        <v>35</v>
      </c>
      <c r="O238" t="s">
        <v>36</v>
      </c>
      <c r="P238" t="s">
        <v>4007</v>
      </c>
      <c r="Q238">
        <v>10</v>
      </c>
    </row>
    <row r="239" spans="1:17" hidden="1" x14ac:dyDescent="0.25">
      <c r="A239" s="1">
        <v>46242</v>
      </c>
      <c r="B239">
        <v>1143413583</v>
      </c>
      <c r="C239" t="s">
        <v>54</v>
      </c>
      <c r="D239" t="s">
        <v>41</v>
      </c>
      <c r="E239" t="s">
        <v>4011</v>
      </c>
      <c r="F239" t="s">
        <v>4015</v>
      </c>
      <c r="G239" s="1">
        <v>46240</v>
      </c>
      <c r="H239" s="1">
        <v>46244</v>
      </c>
      <c r="I239" s="2">
        <v>0.25</v>
      </c>
      <c r="J239" s="2">
        <v>0.66666666666666663</v>
      </c>
      <c r="K239" t="s">
        <v>189</v>
      </c>
      <c r="L239">
        <v>0</v>
      </c>
      <c r="M239" t="s">
        <v>4154</v>
      </c>
      <c r="N239" t="s">
        <v>188</v>
      </c>
      <c r="O239" t="s">
        <v>189</v>
      </c>
      <c r="P239" t="s">
        <v>4007</v>
      </c>
      <c r="Q239">
        <v>10</v>
      </c>
    </row>
    <row r="240" spans="1:17" hidden="1" x14ac:dyDescent="0.25">
      <c r="A240" s="1">
        <v>46242</v>
      </c>
      <c r="B240">
        <v>1037668455</v>
      </c>
      <c r="C240" t="s">
        <v>2968</v>
      </c>
      <c r="D240" t="s">
        <v>24</v>
      </c>
      <c r="E240" t="s">
        <v>4011</v>
      </c>
      <c r="F240" t="s">
        <v>25</v>
      </c>
      <c r="G240" s="1">
        <v>46241</v>
      </c>
      <c r="H240" s="1">
        <v>46242</v>
      </c>
      <c r="I240" s="2">
        <v>0.25</v>
      </c>
      <c r="J240" s="2">
        <v>0.66666666666666663</v>
      </c>
      <c r="K240" s="4" t="s">
        <v>168</v>
      </c>
      <c r="L240">
        <v>0</v>
      </c>
      <c r="M240" t="s">
        <v>4154</v>
      </c>
      <c r="N240" t="s">
        <v>167</v>
      </c>
      <c r="O240" t="s">
        <v>168</v>
      </c>
      <c r="P240" t="s">
        <v>4007</v>
      </c>
      <c r="Q240">
        <v>10</v>
      </c>
    </row>
    <row r="241" spans="1:18" hidden="1" x14ac:dyDescent="0.25">
      <c r="A241" s="1">
        <v>46242</v>
      </c>
      <c r="B241">
        <v>1026134762</v>
      </c>
      <c r="C241" t="s">
        <v>1295</v>
      </c>
      <c r="D241" t="s">
        <v>34</v>
      </c>
      <c r="E241" t="s">
        <v>4011</v>
      </c>
      <c r="F241" t="s">
        <v>25</v>
      </c>
      <c r="G241" s="1">
        <v>46242</v>
      </c>
      <c r="H241" s="1">
        <v>46242</v>
      </c>
      <c r="I241" s="2">
        <v>0.25</v>
      </c>
      <c r="J241" s="2">
        <v>0.66666666666666663</v>
      </c>
      <c r="K241" t="s">
        <v>123</v>
      </c>
      <c r="L241">
        <v>0</v>
      </c>
      <c r="M241" t="s">
        <v>4157</v>
      </c>
      <c r="N241" t="s">
        <v>122</v>
      </c>
      <c r="O241" t="s">
        <v>123</v>
      </c>
      <c r="P241" t="s">
        <v>4007</v>
      </c>
      <c r="Q241">
        <v>10</v>
      </c>
    </row>
    <row r="242" spans="1:18" hidden="1" x14ac:dyDescent="0.25">
      <c r="A242" s="1">
        <v>46242</v>
      </c>
      <c r="B242">
        <v>1152446353</v>
      </c>
      <c r="C242" t="s">
        <v>3885</v>
      </c>
      <c r="D242" t="s">
        <v>15</v>
      </c>
      <c r="E242" t="s">
        <v>4012</v>
      </c>
      <c r="F242" t="s">
        <v>90</v>
      </c>
      <c r="G242" s="1"/>
      <c r="H242" s="1"/>
      <c r="I242" s="2"/>
      <c r="J242" s="2"/>
      <c r="K242" t="s">
        <v>4127</v>
      </c>
      <c r="L242">
        <v>0</v>
      </c>
      <c r="P242" t="s">
        <v>4007</v>
      </c>
      <c r="Q242">
        <v>0</v>
      </c>
    </row>
    <row r="243" spans="1:18" hidden="1" x14ac:dyDescent="0.25">
      <c r="A243" s="1">
        <v>46242</v>
      </c>
      <c r="B243">
        <v>1010246557</v>
      </c>
      <c r="C243" t="s">
        <v>3428</v>
      </c>
      <c r="D243" t="s">
        <v>326</v>
      </c>
      <c r="E243" t="s">
        <v>4005</v>
      </c>
      <c r="F243" t="s">
        <v>25</v>
      </c>
      <c r="G243" s="1">
        <v>46242</v>
      </c>
      <c r="H243" s="1">
        <v>46242</v>
      </c>
      <c r="I243" s="2">
        <v>0.25</v>
      </c>
      <c r="J243" s="2">
        <v>0.66666666666666663</v>
      </c>
      <c r="K243" t="s">
        <v>4129</v>
      </c>
      <c r="L243">
        <v>0</v>
      </c>
      <c r="M243" t="s">
        <v>4157</v>
      </c>
      <c r="N243" t="s">
        <v>144</v>
      </c>
      <c r="O243" t="s">
        <v>145</v>
      </c>
      <c r="P243" t="s">
        <v>4007</v>
      </c>
      <c r="Q243">
        <v>10</v>
      </c>
    </row>
    <row r="244" spans="1:18" hidden="1" x14ac:dyDescent="0.25">
      <c r="A244" s="1">
        <v>46242</v>
      </c>
      <c r="B244">
        <v>1107046318</v>
      </c>
      <c r="C244" t="s">
        <v>213</v>
      </c>
      <c r="D244" t="s">
        <v>322</v>
      </c>
      <c r="E244" t="s">
        <v>4017</v>
      </c>
      <c r="F244" t="s">
        <v>4046</v>
      </c>
      <c r="G244" s="1">
        <v>46242</v>
      </c>
      <c r="H244" s="1">
        <v>46242</v>
      </c>
      <c r="I244" s="2">
        <v>0.29166666666666669</v>
      </c>
      <c r="J244" s="2">
        <v>0.66666666666666663</v>
      </c>
      <c r="K244" t="s">
        <v>4099</v>
      </c>
      <c r="L244">
        <v>0</v>
      </c>
      <c r="M244" t="s">
        <v>4159</v>
      </c>
      <c r="N244" t="s">
        <v>212</v>
      </c>
      <c r="O244" t="s">
        <v>213</v>
      </c>
      <c r="P244" t="s">
        <v>4007</v>
      </c>
      <c r="Q244">
        <v>9</v>
      </c>
    </row>
    <row r="245" spans="1:18" hidden="1" x14ac:dyDescent="0.25">
      <c r="A245" s="1">
        <v>46242</v>
      </c>
      <c r="B245">
        <v>1001445343</v>
      </c>
      <c r="C245" t="s">
        <v>1374</v>
      </c>
      <c r="D245" t="s">
        <v>322</v>
      </c>
      <c r="E245" t="s">
        <v>4017</v>
      </c>
      <c r="F245" t="s">
        <v>25</v>
      </c>
      <c r="G245" s="1">
        <v>46242</v>
      </c>
      <c r="H245" s="1">
        <v>46242</v>
      </c>
      <c r="I245" s="2">
        <v>0.25</v>
      </c>
      <c r="J245" s="2">
        <v>0.58333333333333337</v>
      </c>
      <c r="K245" t="s">
        <v>135</v>
      </c>
      <c r="L245">
        <v>0</v>
      </c>
      <c r="M245" t="s">
        <v>4159</v>
      </c>
      <c r="N245" t="s">
        <v>134</v>
      </c>
      <c r="O245" t="s">
        <v>135</v>
      </c>
      <c r="P245" t="s">
        <v>4007</v>
      </c>
      <c r="Q245">
        <v>8</v>
      </c>
    </row>
    <row r="246" spans="1:18" hidden="1" x14ac:dyDescent="0.25">
      <c r="A246" s="1">
        <v>46244</v>
      </c>
      <c r="B246">
        <v>1015483595</v>
      </c>
      <c r="C246" t="s">
        <v>177</v>
      </c>
      <c r="D246" t="s">
        <v>34</v>
      </c>
      <c r="E246" t="s">
        <v>4011</v>
      </c>
      <c r="F246" t="s">
        <v>30</v>
      </c>
      <c r="G246" s="1">
        <v>46244</v>
      </c>
      <c r="H246" s="1">
        <v>46265</v>
      </c>
      <c r="I246" s="2">
        <v>0.25</v>
      </c>
      <c r="J246" s="2">
        <v>0.54166666666666663</v>
      </c>
      <c r="K246" t="s">
        <v>179</v>
      </c>
      <c r="L246">
        <v>0</v>
      </c>
      <c r="M246" t="s">
        <v>4155</v>
      </c>
      <c r="N246" t="s">
        <v>178</v>
      </c>
      <c r="O246" t="s">
        <v>179</v>
      </c>
      <c r="P246" t="s">
        <v>4007</v>
      </c>
      <c r="Q246">
        <v>7</v>
      </c>
    </row>
    <row r="247" spans="1:18" hidden="1" x14ac:dyDescent="0.25">
      <c r="A247" s="1">
        <v>46244</v>
      </c>
      <c r="B247">
        <v>1067963513</v>
      </c>
      <c r="C247" t="s">
        <v>28</v>
      </c>
      <c r="D247" t="s">
        <v>29</v>
      </c>
      <c r="E247" t="s">
        <v>4005</v>
      </c>
      <c r="F247" t="s">
        <v>30</v>
      </c>
      <c r="G247" s="1">
        <v>46240</v>
      </c>
      <c r="H247" s="1">
        <v>46265</v>
      </c>
      <c r="I247" s="2">
        <v>0.58333333333333337</v>
      </c>
      <c r="J247" s="2">
        <v>0.875</v>
      </c>
      <c r="K247" t="s">
        <v>18</v>
      </c>
      <c r="L247">
        <v>2</v>
      </c>
      <c r="M247" t="s">
        <v>4154</v>
      </c>
      <c r="N247" t="s">
        <v>17</v>
      </c>
      <c r="O247" t="s">
        <v>18</v>
      </c>
      <c r="P247" t="s">
        <v>21</v>
      </c>
      <c r="Q247">
        <v>7</v>
      </c>
      <c r="R247" t="s">
        <v>4163</v>
      </c>
    </row>
    <row r="248" spans="1:18" hidden="1" x14ac:dyDescent="0.25">
      <c r="A248" s="1">
        <v>46244</v>
      </c>
      <c r="B248">
        <v>1036670630</v>
      </c>
      <c r="C248" t="s">
        <v>1093</v>
      </c>
      <c r="D248" t="s">
        <v>15</v>
      </c>
      <c r="E248" t="s">
        <v>4012</v>
      </c>
      <c r="F248" t="s">
        <v>30</v>
      </c>
      <c r="G248" s="1">
        <v>46244</v>
      </c>
      <c r="H248" s="1">
        <v>46244</v>
      </c>
      <c r="I248" s="2">
        <v>0.25</v>
      </c>
      <c r="J248" s="2">
        <v>0.54166666666666663</v>
      </c>
      <c r="K248" t="s">
        <v>148</v>
      </c>
      <c r="L248">
        <v>0</v>
      </c>
      <c r="M248" t="s">
        <v>4156</v>
      </c>
      <c r="N248" t="s">
        <v>147</v>
      </c>
      <c r="O248" t="s">
        <v>148</v>
      </c>
      <c r="P248" t="s">
        <v>4007</v>
      </c>
      <c r="Q248">
        <v>7</v>
      </c>
    </row>
    <row r="249" spans="1:18" hidden="1" x14ac:dyDescent="0.25">
      <c r="A249" s="1">
        <v>46244</v>
      </c>
      <c r="B249">
        <v>42141273</v>
      </c>
      <c r="C249" t="s">
        <v>210</v>
      </c>
      <c r="D249" t="s">
        <v>211</v>
      </c>
      <c r="E249" t="s">
        <v>4017</v>
      </c>
      <c r="F249" t="s">
        <v>4029</v>
      </c>
      <c r="G249" s="1">
        <v>46232</v>
      </c>
      <c r="H249" s="1">
        <v>46261</v>
      </c>
      <c r="I249" s="2">
        <v>0.25</v>
      </c>
      <c r="J249" s="2">
        <v>0.5</v>
      </c>
      <c r="K249" t="s">
        <v>135</v>
      </c>
      <c r="L249">
        <v>0</v>
      </c>
      <c r="M249" t="s">
        <v>4159</v>
      </c>
      <c r="N249" t="s">
        <v>134</v>
      </c>
      <c r="O249" t="s">
        <v>135</v>
      </c>
      <c r="P249" t="s">
        <v>4007</v>
      </c>
      <c r="Q249">
        <v>6</v>
      </c>
      <c r="R249" t="s">
        <v>4160</v>
      </c>
    </row>
    <row r="250" spans="1:18" hidden="1" x14ac:dyDescent="0.25">
      <c r="A250" s="1">
        <v>46244</v>
      </c>
      <c r="B250">
        <v>1035876080</v>
      </c>
      <c r="C250" t="s">
        <v>120</v>
      </c>
      <c r="D250" t="s">
        <v>121</v>
      </c>
      <c r="E250" t="s">
        <v>4010</v>
      </c>
      <c r="F250" t="s">
        <v>25</v>
      </c>
      <c r="G250" s="1">
        <v>46239</v>
      </c>
      <c r="H250" s="1">
        <v>46245</v>
      </c>
      <c r="I250" s="2">
        <v>0.25</v>
      </c>
      <c r="J250" s="2">
        <v>0.58333333333333337</v>
      </c>
      <c r="K250" t="s">
        <v>248</v>
      </c>
      <c r="L250">
        <v>0</v>
      </c>
      <c r="M250" t="s">
        <v>4157</v>
      </c>
      <c r="N250" t="s">
        <v>247</v>
      </c>
      <c r="O250" t="s">
        <v>248</v>
      </c>
      <c r="P250" t="s">
        <v>4007</v>
      </c>
      <c r="Q250">
        <v>8</v>
      </c>
    </row>
    <row r="251" spans="1:18" hidden="1" x14ac:dyDescent="0.25">
      <c r="A251" s="1">
        <v>46244</v>
      </c>
      <c r="B251">
        <v>1005424850</v>
      </c>
      <c r="C251" t="s">
        <v>56</v>
      </c>
      <c r="D251" t="s">
        <v>57</v>
      </c>
      <c r="E251" t="s">
        <v>4010</v>
      </c>
      <c r="F251" t="s">
        <v>25</v>
      </c>
      <c r="G251" s="1">
        <v>46238</v>
      </c>
      <c r="H251" s="1">
        <v>46245</v>
      </c>
      <c r="I251" s="2">
        <v>0.25</v>
      </c>
      <c r="J251" s="2">
        <v>0.54166666666666663</v>
      </c>
      <c r="K251" t="s">
        <v>163</v>
      </c>
      <c r="L251">
        <v>0</v>
      </c>
      <c r="M251" t="s">
        <v>4154</v>
      </c>
      <c r="N251" t="s">
        <v>162</v>
      </c>
      <c r="O251" t="s">
        <v>163</v>
      </c>
      <c r="P251" t="s">
        <v>4007</v>
      </c>
      <c r="Q251">
        <v>7</v>
      </c>
    </row>
    <row r="252" spans="1:18" hidden="1" x14ac:dyDescent="0.25">
      <c r="A252" s="1">
        <v>46244</v>
      </c>
      <c r="B252">
        <v>1152221372</v>
      </c>
      <c r="C252" t="s">
        <v>4038</v>
      </c>
      <c r="D252" t="s">
        <v>128</v>
      </c>
      <c r="E252" t="s">
        <v>4005</v>
      </c>
      <c r="F252" t="s">
        <v>4037</v>
      </c>
      <c r="G252" s="1">
        <v>46230</v>
      </c>
      <c r="H252" s="1"/>
      <c r="I252" s="2">
        <v>0.25</v>
      </c>
      <c r="J252" s="2">
        <v>0.58333333333333337</v>
      </c>
      <c r="K252" t="s">
        <v>123</v>
      </c>
      <c r="L252">
        <v>0</v>
      </c>
      <c r="M252" t="s">
        <v>4157</v>
      </c>
      <c r="N252" t="s">
        <v>122</v>
      </c>
      <c r="O252" t="s">
        <v>123</v>
      </c>
      <c r="P252" t="s">
        <v>4007</v>
      </c>
      <c r="Q252">
        <v>8</v>
      </c>
    </row>
    <row r="253" spans="1:18" hidden="1" x14ac:dyDescent="0.25">
      <c r="A253" s="1">
        <v>46244</v>
      </c>
      <c r="B253">
        <v>1017264032</v>
      </c>
      <c r="C253" t="s">
        <v>105</v>
      </c>
      <c r="D253" t="s">
        <v>64</v>
      </c>
      <c r="E253" t="s">
        <v>4012</v>
      </c>
      <c r="F253" t="s">
        <v>25</v>
      </c>
      <c r="G253" s="1">
        <v>46229</v>
      </c>
      <c r="H253" s="1">
        <v>46258</v>
      </c>
      <c r="I253" s="2">
        <v>0.58333333333333337</v>
      </c>
      <c r="J253" s="2">
        <v>0.875</v>
      </c>
      <c r="K253" t="s">
        <v>245</v>
      </c>
      <c r="L253">
        <v>2</v>
      </c>
      <c r="M253" t="s">
        <v>4154</v>
      </c>
      <c r="N253" t="s">
        <v>244</v>
      </c>
      <c r="O253" t="s">
        <v>245</v>
      </c>
      <c r="P253" t="s">
        <v>21</v>
      </c>
      <c r="Q253">
        <v>7</v>
      </c>
    </row>
    <row r="254" spans="1:18" hidden="1" x14ac:dyDescent="0.25">
      <c r="A254" s="1">
        <v>46244</v>
      </c>
      <c r="B254">
        <v>1037631989</v>
      </c>
      <c r="C254" t="s">
        <v>40</v>
      </c>
      <c r="D254" t="s">
        <v>41</v>
      </c>
      <c r="E254" t="s">
        <v>4011</v>
      </c>
      <c r="F254" t="s">
        <v>25</v>
      </c>
      <c r="G254" s="1">
        <v>46226</v>
      </c>
      <c r="H254" s="1">
        <v>46255</v>
      </c>
      <c r="I254" s="2">
        <v>0.25</v>
      </c>
      <c r="J254" s="2">
        <v>0.54166666666666663</v>
      </c>
      <c r="K254" t="s">
        <v>186</v>
      </c>
      <c r="L254">
        <v>0</v>
      </c>
      <c r="M254" t="s">
        <v>4155</v>
      </c>
      <c r="N254" t="s">
        <v>185</v>
      </c>
      <c r="O254" t="s">
        <v>186</v>
      </c>
      <c r="P254" t="s">
        <v>4007</v>
      </c>
      <c r="Q254">
        <v>7</v>
      </c>
    </row>
    <row r="255" spans="1:18" hidden="1" x14ac:dyDescent="0.25">
      <c r="A255" s="1">
        <v>46244</v>
      </c>
      <c r="B255">
        <v>1037638426</v>
      </c>
      <c r="C255" t="s">
        <v>72</v>
      </c>
      <c r="D255" t="s">
        <v>41</v>
      </c>
      <c r="E255" t="s">
        <v>4011</v>
      </c>
      <c r="F255" t="s">
        <v>30</v>
      </c>
      <c r="G255" s="1">
        <v>46230</v>
      </c>
      <c r="H255" s="1">
        <v>46262</v>
      </c>
      <c r="I255" s="2">
        <v>0.58333333333333337</v>
      </c>
      <c r="J255" s="2">
        <v>0.875</v>
      </c>
      <c r="K255" t="s">
        <v>241</v>
      </c>
      <c r="L255">
        <v>2</v>
      </c>
      <c r="M255" t="s">
        <v>4155</v>
      </c>
      <c r="N255" t="s">
        <v>240</v>
      </c>
      <c r="O255" t="s">
        <v>241</v>
      </c>
      <c r="P255" t="s">
        <v>21</v>
      </c>
      <c r="Q255">
        <v>7</v>
      </c>
    </row>
    <row r="256" spans="1:18" hidden="1" x14ac:dyDescent="0.25">
      <c r="A256" s="1">
        <v>46244</v>
      </c>
      <c r="B256">
        <v>1018466443</v>
      </c>
      <c r="C256" t="s">
        <v>4109</v>
      </c>
      <c r="D256" t="s">
        <v>410</v>
      </c>
      <c r="E256" t="s">
        <v>4005</v>
      </c>
      <c r="F256" t="s">
        <v>4091</v>
      </c>
      <c r="G256" s="1">
        <v>46239</v>
      </c>
      <c r="H256" s="1">
        <v>46244</v>
      </c>
      <c r="I256" s="2">
        <v>0.25</v>
      </c>
      <c r="J256" s="2">
        <v>0.58333333333333337</v>
      </c>
      <c r="K256" t="s">
        <v>189</v>
      </c>
      <c r="L256">
        <v>0</v>
      </c>
      <c r="M256" t="s">
        <v>4154</v>
      </c>
      <c r="N256" t="s">
        <v>188</v>
      </c>
      <c r="O256" t="s">
        <v>189</v>
      </c>
      <c r="P256" t="s">
        <v>4007</v>
      </c>
      <c r="Q256">
        <v>8</v>
      </c>
      <c r="R256" t="s">
        <v>4158</v>
      </c>
    </row>
    <row r="257" spans="1:18" hidden="1" x14ac:dyDescent="0.25">
      <c r="A257" s="1">
        <v>46244</v>
      </c>
      <c r="B257">
        <v>1036132488</v>
      </c>
      <c r="C257" t="s">
        <v>141</v>
      </c>
      <c r="D257" t="s">
        <v>142</v>
      </c>
      <c r="E257" t="s">
        <v>4012</v>
      </c>
      <c r="F257" t="s">
        <v>25</v>
      </c>
      <c r="G257" s="1">
        <v>46227</v>
      </c>
      <c r="H257" s="1">
        <v>46246</v>
      </c>
      <c r="I257" s="2">
        <v>0.25</v>
      </c>
      <c r="J257" s="2">
        <v>0.5</v>
      </c>
      <c r="K257" t="s">
        <v>155</v>
      </c>
      <c r="L257">
        <v>0</v>
      </c>
      <c r="M257" t="s">
        <v>4157</v>
      </c>
      <c r="N257" t="s">
        <v>154</v>
      </c>
      <c r="O257" t="s">
        <v>155</v>
      </c>
      <c r="P257" t="s">
        <v>4007</v>
      </c>
      <c r="Q257">
        <v>6</v>
      </c>
    </row>
    <row r="258" spans="1:18" hidden="1" x14ac:dyDescent="0.25">
      <c r="A258" s="1">
        <v>46244</v>
      </c>
      <c r="B258">
        <v>1042422897</v>
      </c>
      <c r="C258" t="s">
        <v>4069</v>
      </c>
      <c r="D258" t="s">
        <v>326</v>
      </c>
      <c r="E258" t="s">
        <v>4005</v>
      </c>
      <c r="F258" t="s">
        <v>4015</v>
      </c>
      <c r="G258" s="1">
        <v>46242</v>
      </c>
      <c r="H258" s="1">
        <v>46245</v>
      </c>
      <c r="I258" s="2">
        <v>0.54166666666666663</v>
      </c>
      <c r="J258" s="2">
        <v>0.875</v>
      </c>
      <c r="K258" t="s">
        <v>107</v>
      </c>
      <c r="L258">
        <v>2</v>
      </c>
      <c r="M258" t="s">
        <v>4157</v>
      </c>
      <c r="N258" t="s">
        <v>106</v>
      </c>
      <c r="O258" t="s">
        <v>107</v>
      </c>
      <c r="P258" t="s">
        <v>21</v>
      </c>
      <c r="Q258">
        <v>8</v>
      </c>
    </row>
    <row r="259" spans="1:18" hidden="1" x14ac:dyDescent="0.25">
      <c r="A259" s="1">
        <v>46244</v>
      </c>
      <c r="B259">
        <v>1098777544</v>
      </c>
      <c r="C259" t="s">
        <v>81</v>
      </c>
      <c r="D259" t="s">
        <v>82</v>
      </c>
      <c r="E259" t="s">
        <v>4005</v>
      </c>
      <c r="F259" t="s">
        <v>25</v>
      </c>
      <c r="G259" s="1">
        <v>46217</v>
      </c>
      <c r="H259" s="1">
        <v>46246</v>
      </c>
      <c r="I259" s="2">
        <v>0.58333333333333337</v>
      </c>
      <c r="J259" s="2">
        <v>0.875</v>
      </c>
      <c r="K259" t="s">
        <v>74</v>
      </c>
      <c r="L259">
        <v>2</v>
      </c>
      <c r="M259" t="s">
        <v>4154</v>
      </c>
      <c r="N259" t="s">
        <v>73</v>
      </c>
      <c r="O259" t="s">
        <v>74</v>
      </c>
      <c r="P259" t="s">
        <v>21</v>
      </c>
      <c r="Q259">
        <v>7</v>
      </c>
    </row>
    <row r="260" spans="1:18" hidden="1" x14ac:dyDescent="0.25">
      <c r="A260" s="1">
        <v>46244</v>
      </c>
      <c r="B260">
        <v>1043006106</v>
      </c>
      <c r="C260" t="s">
        <v>159</v>
      </c>
      <c r="D260" t="s">
        <v>160</v>
      </c>
      <c r="E260" t="s">
        <v>4011</v>
      </c>
      <c r="F260" t="s">
        <v>25</v>
      </c>
      <c r="G260" s="1">
        <v>46219</v>
      </c>
      <c r="H260" s="1">
        <v>46248</v>
      </c>
      <c r="I260" s="2">
        <v>0.25</v>
      </c>
      <c r="J260" s="2">
        <v>0.54166666666666663</v>
      </c>
      <c r="K260" t="s">
        <v>192</v>
      </c>
      <c r="L260">
        <v>0</v>
      </c>
      <c r="M260" t="s">
        <v>4159</v>
      </c>
      <c r="N260" t="s">
        <v>191</v>
      </c>
      <c r="O260" t="s">
        <v>192</v>
      </c>
      <c r="P260" t="s">
        <v>4007</v>
      </c>
      <c r="Q260">
        <v>7</v>
      </c>
      <c r="R260" t="s">
        <v>4161</v>
      </c>
    </row>
    <row r="261" spans="1:18" hidden="1" x14ac:dyDescent="0.25">
      <c r="A261" s="1">
        <v>46244</v>
      </c>
      <c r="B261">
        <v>1121506548</v>
      </c>
      <c r="C261" t="s">
        <v>50</v>
      </c>
      <c r="D261" t="s">
        <v>51</v>
      </c>
      <c r="E261" t="s">
        <v>4011</v>
      </c>
      <c r="F261" t="s">
        <v>16</v>
      </c>
      <c r="G261" s="1">
        <v>46217</v>
      </c>
      <c r="H261" s="1">
        <v>46342</v>
      </c>
      <c r="I261" s="2">
        <v>0.25</v>
      </c>
      <c r="J261" s="2">
        <v>0.54166666666666663</v>
      </c>
      <c r="K261" t="s">
        <v>36</v>
      </c>
      <c r="L261">
        <v>0</v>
      </c>
      <c r="M261" t="s">
        <v>4155</v>
      </c>
      <c r="N261" t="s">
        <v>35</v>
      </c>
      <c r="O261" t="s">
        <v>36</v>
      </c>
      <c r="P261" t="s">
        <v>4007</v>
      </c>
      <c r="Q261">
        <v>7</v>
      </c>
    </row>
    <row r="262" spans="1:18" hidden="1" x14ac:dyDescent="0.25">
      <c r="A262" s="1">
        <v>46244</v>
      </c>
      <c r="B262">
        <v>1152446353</v>
      </c>
      <c r="C262" t="s">
        <v>3885</v>
      </c>
      <c r="D262" t="s">
        <v>15</v>
      </c>
      <c r="E262" t="s">
        <v>4012</v>
      </c>
      <c r="F262" t="s">
        <v>90</v>
      </c>
      <c r="G262" s="1"/>
      <c r="H262" s="1"/>
      <c r="I262" s="2"/>
      <c r="J262" s="2"/>
      <c r="K262" t="s">
        <v>4127</v>
      </c>
      <c r="L262">
        <v>0</v>
      </c>
      <c r="P262" t="s">
        <v>4007</v>
      </c>
      <c r="Q262">
        <v>0</v>
      </c>
    </row>
    <row r="263" spans="1:18" hidden="1" x14ac:dyDescent="0.25">
      <c r="A263" s="1">
        <v>46244</v>
      </c>
      <c r="B263">
        <v>1071169507</v>
      </c>
      <c r="C263" t="s">
        <v>88</v>
      </c>
      <c r="D263" t="s">
        <v>89</v>
      </c>
      <c r="E263" t="s">
        <v>4017</v>
      </c>
      <c r="F263" t="s">
        <v>90</v>
      </c>
      <c r="G263" s="1">
        <v>46242</v>
      </c>
      <c r="H263" s="1">
        <v>46247</v>
      </c>
      <c r="I263" s="2">
        <v>0.25</v>
      </c>
      <c r="J263" s="2">
        <v>0.58333333333333337</v>
      </c>
      <c r="K263" t="s">
        <v>92</v>
      </c>
      <c r="L263">
        <v>0</v>
      </c>
      <c r="M263" t="s">
        <v>4159</v>
      </c>
      <c r="N263" t="s">
        <v>91</v>
      </c>
      <c r="O263" t="s">
        <v>92</v>
      </c>
      <c r="P263" t="s">
        <v>4007</v>
      </c>
      <c r="Q263">
        <v>8</v>
      </c>
    </row>
    <row r="264" spans="1:18" hidden="1" x14ac:dyDescent="0.25">
      <c r="A264" s="1">
        <v>46244</v>
      </c>
      <c r="B264">
        <v>1007842898</v>
      </c>
      <c r="C264" t="s">
        <v>4132</v>
      </c>
      <c r="D264" t="s">
        <v>343</v>
      </c>
      <c r="E264" t="s">
        <v>4012</v>
      </c>
      <c r="F264" t="s">
        <v>4015</v>
      </c>
      <c r="G264" s="1">
        <v>46242</v>
      </c>
      <c r="H264" s="1"/>
      <c r="I264" s="2">
        <v>0.54166666666666663</v>
      </c>
      <c r="J264" s="2">
        <v>0.875</v>
      </c>
      <c r="K264" t="s">
        <v>172</v>
      </c>
      <c r="L264">
        <v>2</v>
      </c>
      <c r="M264" t="s">
        <v>4154</v>
      </c>
      <c r="N264" t="s">
        <v>171</v>
      </c>
      <c r="O264" t="s">
        <v>172</v>
      </c>
      <c r="P264" t="s">
        <v>21</v>
      </c>
      <c r="Q264">
        <v>8</v>
      </c>
    </row>
    <row r="265" spans="1:18" hidden="1" x14ac:dyDescent="0.25">
      <c r="A265" s="1">
        <v>46244</v>
      </c>
      <c r="B265">
        <v>1001446162</v>
      </c>
      <c r="C265" t="s">
        <v>3622</v>
      </c>
      <c r="D265" t="s">
        <v>4045</v>
      </c>
      <c r="E265" t="s">
        <v>4017</v>
      </c>
      <c r="F265" t="s">
        <v>4133</v>
      </c>
      <c r="G265" s="1">
        <v>46244</v>
      </c>
      <c r="H265" s="1">
        <v>46244</v>
      </c>
      <c r="I265" s="2">
        <v>0.33333333333333331</v>
      </c>
      <c r="J265" s="2">
        <v>0.625</v>
      </c>
      <c r="K265" t="s">
        <v>3622</v>
      </c>
      <c r="L265">
        <v>0</v>
      </c>
      <c r="M265" t="s">
        <v>4159</v>
      </c>
      <c r="N265" t="s">
        <v>3621</v>
      </c>
      <c r="O265" t="s">
        <v>3622</v>
      </c>
      <c r="P265" t="s">
        <v>4007</v>
      </c>
      <c r="Q265">
        <v>7</v>
      </c>
    </row>
    <row r="266" spans="1:18" hidden="1" x14ac:dyDescent="0.25">
      <c r="A266" s="1">
        <v>46244</v>
      </c>
      <c r="B266">
        <v>1107046318</v>
      </c>
      <c r="C266" t="s">
        <v>213</v>
      </c>
      <c r="D266" t="s">
        <v>4045</v>
      </c>
      <c r="E266" t="s">
        <v>4017</v>
      </c>
      <c r="F266" t="s">
        <v>4046</v>
      </c>
      <c r="G266" s="1">
        <v>46244</v>
      </c>
      <c r="H266" s="1">
        <v>46244</v>
      </c>
      <c r="I266" s="2">
        <v>0.25</v>
      </c>
      <c r="J266" s="2">
        <v>0.54166666666666663</v>
      </c>
      <c r="K266" t="s">
        <v>213</v>
      </c>
      <c r="L266">
        <v>0</v>
      </c>
      <c r="M266" t="s">
        <v>4159</v>
      </c>
      <c r="N266" t="s">
        <v>212</v>
      </c>
      <c r="O266" t="s">
        <v>213</v>
      </c>
      <c r="P266" t="s">
        <v>4007</v>
      </c>
      <c r="Q266">
        <v>7</v>
      </c>
    </row>
    <row r="267" spans="1:18" hidden="1" x14ac:dyDescent="0.25">
      <c r="A267" s="1">
        <v>46244</v>
      </c>
      <c r="B267">
        <v>1037646627</v>
      </c>
      <c r="C267" t="s">
        <v>3260</v>
      </c>
      <c r="D267" t="s">
        <v>121</v>
      </c>
      <c r="E267" t="s">
        <v>4010</v>
      </c>
      <c r="F267" t="s">
        <v>25</v>
      </c>
      <c r="G267" s="1">
        <v>46244</v>
      </c>
      <c r="H267" s="1">
        <v>46245</v>
      </c>
      <c r="I267" s="2"/>
      <c r="J267" s="2"/>
      <c r="K267" t="s">
        <v>4050</v>
      </c>
      <c r="L267">
        <v>0</v>
      </c>
      <c r="P267" t="s">
        <v>4007</v>
      </c>
      <c r="Q267">
        <v>0</v>
      </c>
    </row>
    <row r="268" spans="1:18" hidden="1" x14ac:dyDescent="0.25">
      <c r="A268" s="1">
        <v>46244</v>
      </c>
      <c r="B268">
        <v>1003000892</v>
      </c>
      <c r="C268" t="s">
        <v>2887</v>
      </c>
      <c r="D268" t="s">
        <v>15</v>
      </c>
      <c r="E268" t="s">
        <v>4010</v>
      </c>
      <c r="F268" t="s">
        <v>4072</v>
      </c>
      <c r="G268" s="1">
        <v>46244</v>
      </c>
      <c r="H268" s="1">
        <v>46244</v>
      </c>
      <c r="I268" s="2">
        <v>0.5</v>
      </c>
      <c r="J268" s="2">
        <v>0.79166666666666663</v>
      </c>
      <c r="K268" t="s">
        <v>4099</v>
      </c>
      <c r="L268">
        <v>0</v>
      </c>
      <c r="M268" t="s">
        <v>4157</v>
      </c>
      <c r="N268" t="s">
        <v>2886</v>
      </c>
      <c r="O268" t="s">
        <v>2887</v>
      </c>
      <c r="P268" t="s">
        <v>4007</v>
      </c>
      <c r="Q268">
        <v>7</v>
      </c>
    </row>
    <row r="269" spans="1:18" hidden="1" x14ac:dyDescent="0.25">
      <c r="A269" s="1">
        <v>46244</v>
      </c>
      <c r="B269">
        <v>1193568408</v>
      </c>
      <c r="C269" t="s">
        <v>373</v>
      </c>
      <c r="D269" t="s">
        <v>322</v>
      </c>
      <c r="E269" t="s">
        <v>4017</v>
      </c>
      <c r="F269" t="s">
        <v>25</v>
      </c>
      <c r="G269" s="1">
        <v>46244</v>
      </c>
      <c r="H269" s="1">
        <v>46245</v>
      </c>
      <c r="I269" s="2">
        <v>0.58333333333333337</v>
      </c>
      <c r="J269" s="2">
        <v>0.875</v>
      </c>
      <c r="K269" t="s">
        <v>4134</v>
      </c>
      <c r="L269">
        <v>2</v>
      </c>
      <c r="M269" t="s">
        <v>4159</v>
      </c>
      <c r="N269" t="s">
        <v>230</v>
      </c>
      <c r="O269" t="s">
        <v>231</v>
      </c>
      <c r="P269" t="s">
        <v>21</v>
      </c>
      <c r="Q269">
        <v>7</v>
      </c>
    </row>
    <row r="270" spans="1:18" hidden="1" x14ac:dyDescent="0.25">
      <c r="A270" s="1">
        <v>46245</v>
      </c>
      <c r="B270">
        <v>1037646627</v>
      </c>
      <c r="C270" t="s">
        <v>3260</v>
      </c>
      <c r="D270" t="s">
        <v>121</v>
      </c>
      <c r="E270" t="s">
        <v>4010</v>
      </c>
      <c r="F270" t="s">
        <v>25</v>
      </c>
      <c r="G270" s="1">
        <v>46244</v>
      </c>
      <c r="H270" s="1">
        <v>46245</v>
      </c>
      <c r="I270" s="2">
        <v>0.58333333333333337</v>
      </c>
      <c r="J270" s="2">
        <v>0.875</v>
      </c>
      <c r="K270" t="s">
        <v>245</v>
      </c>
      <c r="L270">
        <v>2</v>
      </c>
      <c r="M270" t="s">
        <v>4154</v>
      </c>
      <c r="N270" t="s">
        <v>244</v>
      </c>
      <c r="O270" t="s">
        <v>245</v>
      </c>
      <c r="P270" t="s">
        <v>21</v>
      </c>
      <c r="Q270">
        <v>7</v>
      </c>
    </row>
    <row r="271" spans="1:18" hidden="1" x14ac:dyDescent="0.25">
      <c r="A271" s="1">
        <v>46245</v>
      </c>
      <c r="B271">
        <v>1045718883</v>
      </c>
      <c r="C271" t="s">
        <v>47</v>
      </c>
      <c r="D271" t="s">
        <v>34</v>
      </c>
      <c r="E271" t="s">
        <v>4011</v>
      </c>
      <c r="F271" t="s">
        <v>25</v>
      </c>
      <c r="G271" s="1">
        <v>46240</v>
      </c>
      <c r="H271" s="1">
        <v>46249</v>
      </c>
      <c r="I271" s="2">
        <v>0.54166666666666663</v>
      </c>
      <c r="J271" s="2">
        <v>0.875</v>
      </c>
      <c r="K271" t="s">
        <v>241</v>
      </c>
      <c r="L271">
        <v>2</v>
      </c>
      <c r="M271" t="s">
        <v>4155</v>
      </c>
      <c r="N271" t="s">
        <v>240</v>
      </c>
      <c r="O271" t="s">
        <v>241</v>
      </c>
      <c r="P271" t="s">
        <v>21</v>
      </c>
      <c r="Q271">
        <v>8</v>
      </c>
    </row>
    <row r="272" spans="1:18" hidden="1" x14ac:dyDescent="0.25">
      <c r="A272" s="1">
        <v>46245</v>
      </c>
      <c r="B272">
        <v>1143374438</v>
      </c>
      <c r="C272" t="s">
        <v>85</v>
      </c>
      <c r="D272" t="s">
        <v>41</v>
      </c>
      <c r="E272" t="s">
        <v>4011</v>
      </c>
      <c r="F272" t="s">
        <v>25</v>
      </c>
      <c r="G272" s="1">
        <v>46239</v>
      </c>
      <c r="H272" s="1">
        <v>46268</v>
      </c>
      <c r="I272" s="2">
        <v>0.25</v>
      </c>
      <c r="J272" s="2">
        <v>0.54166666666666663</v>
      </c>
      <c r="K272" t="s">
        <v>172</v>
      </c>
      <c r="L272">
        <v>0</v>
      </c>
      <c r="M272" t="s">
        <v>4154</v>
      </c>
      <c r="N272" t="s">
        <v>171</v>
      </c>
      <c r="O272" t="s">
        <v>172</v>
      </c>
      <c r="P272" t="s">
        <v>4007</v>
      </c>
      <c r="Q272">
        <v>7</v>
      </c>
      <c r="R272" s="8"/>
    </row>
    <row r="273" spans="1:18" hidden="1" x14ac:dyDescent="0.25">
      <c r="A273" s="1">
        <v>46245</v>
      </c>
      <c r="B273">
        <v>1067963513</v>
      </c>
      <c r="C273" t="s">
        <v>112</v>
      </c>
      <c r="D273" t="s">
        <v>29</v>
      </c>
      <c r="E273" t="s">
        <v>4005</v>
      </c>
      <c r="F273" t="s">
        <v>30</v>
      </c>
      <c r="G273" s="1">
        <v>46240</v>
      </c>
      <c r="H273" s="1">
        <v>46265</v>
      </c>
      <c r="I273" s="2">
        <v>0.54166666666666663</v>
      </c>
      <c r="J273" s="2">
        <v>0.875</v>
      </c>
      <c r="K273" t="s">
        <v>107</v>
      </c>
      <c r="L273">
        <v>2</v>
      </c>
      <c r="M273" t="s">
        <v>4157</v>
      </c>
      <c r="N273" t="s">
        <v>106</v>
      </c>
      <c r="O273" t="s">
        <v>107</v>
      </c>
      <c r="P273" t="s">
        <v>21</v>
      </c>
      <c r="Q273">
        <v>8</v>
      </c>
      <c r="R273" t="s">
        <v>4163</v>
      </c>
    </row>
    <row r="274" spans="1:18" hidden="1" x14ac:dyDescent="0.25">
      <c r="A274" s="1">
        <v>46245</v>
      </c>
      <c r="B274">
        <v>42141273</v>
      </c>
      <c r="C274" t="s">
        <v>210</v>
      </c>
      <c r="D274" t="s">
        <v>211</v>
      </c>
      <c r="E274" t="s">
        <v>4017</v>
      </c>
      <c r="F274" t="s">
        <v>4029</v>
      </c>
      <c r="G274" s="1">
        <v>46232</v>
      </c>
      <c r="H274" s="1">
        <v>46261</v>
      </c>
      <c r="I274" s="2">
        <v>0.25</v>
      </c>
      <c r="J274" s="2">
        <v>0.5</v>
      </c>
      <c r="K274" t="s">
        <v>231</v>
      </c>
      <c r="L274">
        <v>0</v>
      </c>
      <c r="M274" t="s">
        <v>4159</v>
      </c>
      <c r="N274" t="s">
        <v>230</v>
      </c>
      <c r="O274" t="s">
        <v>231</v>
      </c>
      <c r="P274" t="s">
        <v>4007</v>
      </c>
      <c r="Q274">
        <v>6</v>
      </c>
      <c r="R274" t="s">
        <v>4160</v>
      </c>
    </row>
    <row r="275" spans="1:18" hidden="1" x14ac:dyDescent="0.25">
      <c r="A275" s="1">
        <v>46245</v>
      </c>
      <c r="B275">
        <v>1001851670</v>
      </c>
      <c r="C275" t="s">
        <v>14</v>
      </c>
      <c r="D275" t="s">
        <v>15</v>
      </c>
      <c r="E275" t="s">
        <v>4012</v>
      </c>
      <c r="F275" t="s">
        <v>16</v>
      </c>
      <c r="G275" s="1">
        <v>46241</v>
      </c>
      <c r="H275" s="1">
        <v>46366</v>
      </c>
      <c r="I275" s="2">
        <v>0.54166666666666663</v>
      </c>
      <c r="J275" s="2">
        <v>0.875</v>
      </c>
      <c r="K275" t="s">
        <v>18</v>
      </c>
      <c r="L275">
        <v>2</v>
      </c>
      <c r="M275" t="s">
        <v>4154</v>
      </c>
      <c r="N275" t="s">
        <v>17</v>
      </c>
      <c r="O275" t="s">
        <v>18</v>
      </c>
      <c r="P275" t="s">
        <v>21</v>
      </c>
      <c r="Q275">
        <v>8</v>
      </c>
    </row>
    <row r="276" spans="1:18" hidden="1" x14ac:dyDescent="0.25">
      <c r="A276" s="1">
        <v>46245</v>
      </c>
      <c r="B276">
        <v>1035876080</v>
      </c>
      <c r="C276" t="s">
        <v>120</v>
      </c>
      <c r="D276" t="s">
        <v>121</v>
      </c>
      <c r="E276" t="s">
        <v>4010</v>
      </c>
      <c r="F276" t="s">
        <v>25</v>
      </c>
      <c r="G276" s="1">
        <v>46239</v>
      </c>
      <c r="H276" s="1">
        <v>46245</v>
      </c>
      <c r="I276" s="2">
        <v>0.25</v>
      </c>
      <c r="J276" s="2">
        <v>0.54166666666666663</v>
      </c>
      <c r="K276" t="s">
        <v>123</v>
      </c>
      <c r="L276">
        <v>0</v>
      </c>
      <c r="M276" t="s">
        <v>4157</v>
      </c>
      <c r="N276" t="s">
        <v>122</v>
      </c>
      <c r="O276" t="s">
        <v>123</v>
      </c>
      <c r="P276" t="s">
        <v>4007</v>
      </c>
      <c r="Q276">
        <v>7</v>
      </c>
    </row>
    <row r="277" spans="1:18" hidden="1" x14ac:dyDescent="0.25">
      <c r="A277" s="1">
        <v>46245</v>
      </c>
      <c r="B277">
        <v>1005424850</v>
      </c>
      <c r="C277" t="s">
        <v>56</v>
      </c>
      <c r="D277" t="s">
        <v>57</v>
      </c>
      <c r="E277" t="s">
        <v>4010</v>
      </c>
      <c r="F277" t="s">
        <v>25</v>
      </c>
      <c r="G277" s="1">
        <v>46238</v>
      </c>
      <c r="H277" s="1">
        <v>46245</v>
      </c>
      <c r="I277" s="2">
        <v>0.25</v>
      </c>
      <c r="J277" s="2">
        <v>0.54166666666666663</v>
      </c>
      <c r="K277" t="s">
        <v>189</v>
      </c>
      <c r="L277">
        <v>0</v>
      </c>
      <c r="M277" t="s">
        <v>4154</v>
      </c>
      <c r="N277" t="s">
        <v>188</v>
      </c>
      <c r="O277" t="s">
        <v>189</v>
      </c>
      <c r="P277" t="s">
        <v>4007</v>
      </c>
      <c r="Q277">
        <v>7</v>
      </c>
    </row>
    <row r="278" spans="1:18" hidden="1" x14ac:dyDescent="0.25">
      <c r="A278" s="1">
        <v>46245</v>
      </c>
      <c r="B278">
        <v>1152221372</v>
      </c>
      <c r="C278" t="s">
        <v>2313</v>
      </c>
      <c r="D278" t="s">
        <v>128</v>
      </c>
      <c r="E278" t="s">
        <v>4005</v>
      </c>
      <c r="F278" t="s">
        <v>4037</v>
      </c>
      <c r="G278" s="1">
        <v>46230</v>
      </c>
      <c r="H278" s="1"/>
      <c r="I278" s="2">
        <v>0.25</v>
      </c>
      <c r="J278" s="2">
        <v>0.54166666666666663</v>
      </c>
      <c r="K278" t="s">
        <v>148</v>
      </c>
      <c r="L278">
        <v>0</v>
      </c>
      <c r="M278" t="s">
        <v>4156</v>
      </c>
      <c r="N278" t="s">
        <v>147</v>
      </c>
      <c r="O278" t="s">
        <v>148</v>
      </c>
      <c r="P278" t="s">
        <v>4007</v>
      </c>
      <c r="Q278">
        <v>7</v>
      </c>
    </row>
    <row r="279" spans="1:18" hidden="1" x14ac:dyDescent="0.25">
      <c r="A279" s="1">
        <v>46245</v>
      </c>
      <c r="B279">
        <v>1017264032</v>
      </c>
      <c r="C279" t="s">
        <v>63</v>
      </c>
      <c r="D279" t="s">
        <v>64</v>
      </c>
      <c r="E279" t="s">
        <v>4012</v>
      </c>
      <c r="F279" t="s">
        <v>25</v>
      </c>
      <c r="G279" s="1">
        <v>46229</v>
      </c>
      <c r="H279" s="1">
        <v>46258</v>
      </c>
      <c r="I279" s="2">
        <v>0.25</v>
      </c>
      <c r="J279" s="2">
        <v>0.58333333333333337</v>
      </c>
      <c r="K279" t="s">
        <v>155</v>
      </c>
      <c r="L279">
        <v>0</v>
      </c>
      <c r="M279" t="s">
        <v>4157</v>
      </c>
      <c r="N279" t="s">
        <v>154</v>
      </c>
      <c r="O279" t="s">
        <v>155</v>
      </c>
      <c r="P279" t="s">
        <v>4007</v>
      </c>
      <c r="Q279">
        <v>8</v>
      </c>
    </row>
    <row r="280" spans="1:18" hidden="1" x14ac:dyDescent="0.25">
      <c r="A280" s="1">
        <v>46245</v>
      </c>
      <c r="B280">
        <v>1036132488</v>
      </c>
      <c r="C280" t="s">
        <v>150</v>
      </c>
      <c r="D280" t="s">
        <v>142</v>
      </c>
      <c r="E280" t="s">
        <v>4012</v>
      </c>
      <c r="F280" t="s">
        <v>25</v>
      </c>
      <c r="G280" s="1">
        <v>46227</v>
      </c>
      <c r="H280" s="1">
        <v>46246</v>
      </c>
      <c r="I280" s="2">
        <v>0.25</v>
      </c>
      <c r="J280" s="2">
        <v>0.58333333333333337</v>
      </c>
      <c r="K280" t="s">
        <v>248</v>
      </c>
      <c r="L280">
        <v>0</v>
      </c>
      <c r="M280" t="s">
        <v>4157</v>
      </c>
      <c r="N280" t="s">
        <v>247</v>
      </c>
      <c r="O280" t="s">
        <v>248</v>
      </c>
      <c r="P280" t="s">
        <v>4007</v>
      </c>
      <c r="Q280">
        <v>8</v>
      </c>
    </row>
    <row r="281" spans="1:18" hidden="1" x14ac:dyDescent="0.25">
      <c r="A281" s="1">
        <v>46245</v>
      </c>
      <c r="B281">
        <v>1043006106</v>
      </c>
      <c r="C281" t="s">
        <v>194</v>
      </c>
      <c r="D281" t="s">
        <v>160</v>
      </c>
      <c r="E281" t="s">
        <v>4011</v>
      </c>
      <c r="F281" t="s">
        <v>25</v>
      </c>
      <c r="G281" s="1">
        <v>46219</v>
      </c>
      <c r="H281" s="1">
        <v>46248</v>
      </c>
      <c r="I281" s="2">
        <v>0.25</v>
      </c>
      <c r="J281" s="2">
        <v>0.58333333333333337</v>
      </c>
      <c r="K281" t="s">
        <v>192</v>
      </c>
      <c r="L281">
        <v>0</v>
      </c>
      <c r="M281" t="s">
        <v>4159</v>
      </c>
      <c r="N281" t="s">
        <v>191</v>
      </c>
      <c r="O281" t="s">
        <v>192</v>
      </c>
      <c r="P281" t="s">
        <v>4007</v>
      </c>
      <c r="Q281">
        <v>8</v>
      </c>
      <c r="R281" t="s">
        <v>4161</v>
      </c>
    </row>
    <row r="282" spans="1:18" hidden="1" x14ac:dyDescent="0.25">
      <c r="A282" s="1">
        <v>46245</v>
      </c>
      <c r="B282">
        <v>1037638426</v>
      </c>
      <c r="C282" t="s">
        <v>44</v>
      </c>
      <c r="D282" t="s">
        <v>41</v>
      </c>
      <c r="E282" t="s">
        <v>4011</v>
      </c>
      <c r="F282" t="s">
        <v>30</v>
      </c>
      <c r="G282" s="1">
        <v>46230</v>
      </c>
      <c r="H282" s="1">
        <v>46262</v>
      </c>
      <c r="I282" s="2">
        <v>0.54166666666666663</v>
      </c>
      <c r="J282" s="2">
        <v>0.875</v>
      </c>
      <c r="K282" t="s">
        <v>36</v>
      </c>
      <c r="L282">
        <v>2</v>
      </c>
      <c r="M282" t="s">
        <v>4155</v>
      </c>
      <c r="N282" t="s">
        <v>35</v>
      </c>
      <c r="O282" t="s">
        <v>36</v>
      </c>
      <c r="P282" t="s">
        <v>21</v>
      </c>
      <c r="Q282">
        <v>8</v>
      </c>
    </row>
    <row r="283" spans="1:18" hidden="1" x14ac:dyDescent="0.25">
      <c r="A283" s="1">
        <v>46245</v>
      </c>
      <c r="B283">
        <v>1143460426</v>
      </c>
      <c r="C283" t="s">
        <v>4034</v>
      </c>
      <c r="D283" t="s">
        <v>160</v>
      </c>
      <c r="E283" t="s">
        <v>4011</v>
      </c>
      <c r="F283" t="s">
        <v>4015</v>
      </c>
      <c r="G283" s="1">
        <v>46195</v>
      </c>
      <c r="H283" s="1">
        <v>46198</v>
      </c>
      <c r="I283" s="2">
        <v>0.25</v>
      </c>
      <c r="J283" s="2">
        <v>0.58333333333333337</v>
      </c>
      <c r="K283" t="s">
        <v>163</v>
      </c>
      <c r="L283">
        <v>0</v>
      </c>
      <c r="M283" t="s">
        <v>4154</v>
      </c>
      <c r="N283" t="s">
        <v>162</v>
      </c>
      <c r="O283" t="s">
        <v>163</v>
      </c>
      <c r="P283" t="s">
        <v>4007</v>
      </c>
      <c r="Q283">
        <v>8</v>
      </c>
    </row>
    <row r="284" spans="1:18" hidden="1" x14ac:dyDescent="0.25">
      <c r="A284" s="1">
        <v>46245</v>
      </c>
      <c r="B284">
        <v>1082896324</v>
      </c>
      <c r="C284" t="s">
        <v>77</v>
      </c>
      <c r="D284" t="s">
        <v>78</v>
      </c>
      <c r="E284" t="s">
        <v>4010</v>
      </c>
      <c r="F284" t="s">
        <v>25</v>
      </c>
      <c r="G284" s="1">
        <v>46242</v>
      </c>
      <c r="H284" s="1">
        <v>46272</v>
      </c>
      <c r="I284" s="2">
        <v>0.25</v>
      </c>
      <c r="J284" s="2">
        <v>0.54166666666666663</v>
      </c>
      <c r="K284" t="s">
        <v>74</v>
      </c>
      <c r="L284">
        <v>0</v>
      </c>
      <c r="M284" t="s">
        <v>4154</v>
      </c>
      <c r="N284" t="s">
        <v>73</v>
      </c>
      <c r="O284" t="s">
        <v>74</v>
      </c>
      <c r="P284" t="s">
        <v>4007</v>
      </c>
      <c r="Q284">
        <v>7</v>
      </c>
    </row>
    <row r="285" spans="1:18" hidden="1" x14ac:dyDescent="0.25">
      <c r="A285" s="1">
        <v>46245</v>
      </c>
      <c r="B285">
        <v>1039468657</v>
      </c>
      <c r="C285" t="s">
        <v>2339</v>
      </c>
      <c r="D285" t="s">
        <v>2019</v>
      </c>
      <c r="E285" t="s">
        <v>4011</v>
      </c>
      <c r="F285" t="s">
        <v>25</v>
      </c>
      <c r="G285" s="1">
        <v>46244</v>
      </c>
      <c r="H285" s="1">
        <v>46245</v>
      </c>
      <c r="I285" s="2">
        <v>0.29166666666666669</v>
      </c>
      <c r="J285" s="2">
        <v>0.58333333333333337</v>
      </c>
      <c r="K285" t="s">
        <v>179</v>
      </c>
      <c r="L285">
        <v>0</v>
      </c>
      <c r="M285" t="s">
        <v>4155</v>
      </c>
      <c r="N285" t="s">
        <v>178</v>
      </c>
      <c r="O285" t="s">
        <v>179</v>
      </c>
      <c r="P285" t="s">
        <v>4007</v>
      </c>
      <c r="Q285">
        <v>7</v>
      </c>
      <c r="R285" t="s">
        <v>4165</v>
      </c>
    </row>
    <row r="286" spans="1:18" hidden="1" x14ac:dyDescent="0.25">
      <c r="A286" s="1">
        <v>46245</v>
      </c>
      <c r="B286">
        <v>1071169507</v>
      </c>
      <c r="C286" t="s">
        <v>88</v>
      </c>
      <c r="D286" t="s">
        <v>89</v>
      </c>
      <c r="E286" t="s">
        <v>4017</v>
      </c>
      <c r="F286" t="s">
        <v>90</v>
      </c>
      <c r="G286" s="1">
        <v>46242</v>
      </c>
      <c r="H286" s="1">
        <v>46247</v>
      </c>
      <c r="I286" s="2">
        <v>0.25</v>
      </c>
      <c r="J286" s="2">
        <v>0.58333333333333337</v>
      </c>
      <c r="K286" t="s">
        <v>135</v>
      </c>
      <c r="L286">
        <v>0</v>
      </c>
      <c r="M286" t="s">
        <v>4159</v>
      </c>
      <c r="N286" t="s">
        <v>134</v>
      </c>
      <c r="O286" t="s">
        <v>135</v>
      </c>
      <c r="P286" t="s">
        <v>4007</v>
      </c>
      <c r="Q286">
        <v>8</v>
      </c>
    </row>
    <row r="287" spans="1:18" hidden="1" x14ac:dyDescent="0.25">
      <c r="A287" s="1">
        <v>46245</v>
      </c>
      <c r="B287">
        <v>1036965348</v>
      </c>
      <c r="C287" t="s">
        <v>186</v>
      </c>
      <c r="D287" t="s">
        <v>4045</v>
      </c>
      <c r="E287" t="s">
        <v>4011</v>
      </c>
      <c r="F287" t="s">
        <v>4046</v>
      </c>
      <c r="G287" s="1">
        <v>46245</v>
      </c>
      <c r="H287" s="1">
        <v>46245</v>
      </c>
      <c r="I287" s="2">
        <v>0.25</v>
      </c>
      <c r="J287" s="2">
        <v>0.58333333333333337</v>
      </c>
      <c r="K287" t="s">
        <v>4099</v>
      </c>
      <c r="L287">
        <v>0</v>
      </c>
      <c r="M287" t="s">
        <v>4155</v>
      </c>
      <c r="N287" t="s">
        <v>185</v>
      </c>
      <c r="O287" t="s">
        <v>186</v>
      </c>
      <c r="P287" t="s">
        <v>4007</v>
      </c>
      <c r="Q287">
        <v>8</v>
      </c>
    </row>
    <row r="288" spans="1:18" hidden="1" x14ac:dyDescent="0.25">
      <c r="A288" s="1">
        <v>46245</v>
      </c>
      <c r="B288">
        <v>1193568408</v>
      </c>
      <c r="C288" t="s">
        <v>373</v>
      </c>
      <c r="D288" t="s">
        <v>322</v>
      </c>
      <c r="E288" t="s">
        <v>4017</v>
      </c>
      <c r="F288" t="s">
        <v>25</v>
      </c>
      <c r="G288" s="1">
        <v>46244</v>
      </c>
      <c r="H288" s="1">
        <v>46245</v>
      </c>
      <c r="I288" s="2">
        <v>0.25</v>
      </c>
      <c r="J288" s="2">
        <v>0.58333333333333337</v>
      </c>
      <c r="K288" t="s">
        <v>3622</v>
      </c>
      <c r="L288">
        <v>0</v>
      </c>
      <c r="M288" t="s">
        <v>4159</v>
      </c>
      <c r="N288" t="s">
        <v>3621</v>
      </c>
      <c r="O288" t="s">
        <v>3622</v>
      </c>
      <c r="P288" t="s">
        <v>4007</v>
      </c>
      <c r="Q288">
        <v>8</v>
      </c>
    </row>
    <row r="289" spans="1:18" hidden="1" x14ac:dyDescent="0.25">
      <c r="A289" s="1">
        <v>46245</v>
      </c>
      <c r="B289">
        <v>1003000892</v>
      </c>
      <c r="C289" t="s">
        <v>2887</v>
      </c>
      <c r="D289" t="s">
        <v>326</v>
      </c>
      <c r="E289" t="s">
        <v>4005</v>
      </c>
      <c r="F289" t="s">
        <v>4072</v>
      </c>
      <c r="G289" s="1">
        <v>46245</v>
      </c>
      <c r="H289" s="1">
        <v>46245</v>
      </c>
      <c r="I289" s="2">
        <v>0.25</v>
      </c>
      <c r="J289" s="2">
        <v>0.58333333333333337</v>
      </c>
      <c r="K289" t="s">
        <v>4099</v>
      </c>
      <c r="L289">
        <v>0</v>
      </c>
      <c r="M289" t="s">
        <v>4157</v>
      </c>
      <c r="N289" t="s">
        <v>2886</v>
      </c>
      <c r="O289" t="s">
        <v>2887</v>
      </c>
      <c r="P289" t="s">
        <v>4007</v>
      </c>
      <c r="Q289">
        <v>8</v>
      </c>
    </row>
    <row r="290" spans="1:18" hidden="1" x14ac:dyDescent="0.25">
      <c r="A290" s="1">
        <v>46245</v>
      </c>
      <c r="B290">
        <v>1001369228</v>
      </c>
      <c r="C290" t="s">
        <v>92</v>
      </c>
      <c r="D290" t="s">
        <v>4046</v>
      </c>
      <c r="E290" t="s">
        <v>4017</v>
      </c>
      <c r="F290" t="s">
        <v>4046</v>
      </c>
      <c r="G290" s="1">
        <v>46245</v>
      </c>
      <c r="H290" s="1">
        <v>46245</v>
      </c>
      <c r="I290" s="2">
        <v>0.25</v>
      </c>
      <c r="J290" s="2">
        <v>0.58333333333333337</v>
      </c>
      <c r="K290" t="s">
        <v>4099</v>
      </c>
      <c r="L290">
        <v>0</v>
      </c>
      <c r="M290" t="s">
        <v>4159</v>
      </c>
      <c r="N290" t="s">
        <v>91</v>
      </c>
      <c r="O290" t="s">
        <v>92</v>
      </c>
      <c r="P290" t="s">
        <v>4007</v>
      </c>
      <c r="Q290">
        <v>8</v>
      </c>
    </row>
    <row r="291" spans="1:18" hidden="1" x14ac:dyDescent="0.25">
      <c r="A291" s="1">
        <v>46245</v>
      </c>
      <c r="B291">
        <v>1007223463</v>
      </c>
      <c r="C291" t="s">
        <v>487</v>
      </c>
      <c r="D291" t="s">
        <v>4045</v>
      </c>
      <c r="E291" t="s">
        <v>4017</v>
      </c>
      <c r="F291" t="s">
        <v>4046</v>
      </c>
      <c r="G291" s="1">
        <v>46245</v>
      </c>
      <c r="H291" s="1">
        <v>46245</v>
      </c>
      <c r="I291" s="2">
        <v>0.29166666666666669</v>
      </c>
      <c r="J291" s="2">
        <v>0.58333333333333337</v>
      </c>
      <c r="K291" t="s">
        <v>487</v>
      </c>
      <c r="L291">
        <v>0</v>
      </c>
      <c r="M291" t="s">
        <v>4159</v>
      </c>
      <c r="N291" t="s">
        <v>486</v>
      </c>
      <c r="O291" t="s">
        <v>487</v>
      </c>
      <c r="P291" t="s">
        <v>4007</v>
      </c>
      <c r="Q291">
        <v>7</v>
      </c>
    </row>
    <row r="292" spans="1:18" hidden="1" x14ac:dyDescent="0.25">
      <c r="A292" s="1">
        <v>46245</v>
      </c>
      <c r="B292">
        <v>1107046318</v>
      </c>
      <c r="C292" t="s">
        <v>213</v>
      </c>
      <c r="D292" t="s">
        <v>322</v>
      </c>
      <c r="E292" t="s">
        <v>4017</v>
      </c>
      <c r="F292" t="s">
        <v>4039</v>
      </c>
      <c r="G292" s="1">
        <v>46245</v>
      </c>
      <c r="H292" s="1">
        <v>46245</v>
      </c>
      <c r="I292" s="2">
        <v>0.25</v>
      </c>
      <c r="J292" s="2">
        <v>0.58333333333333337</v>
      </c>
      <c r="K292" t="s">
        <v>213</v>
      </c>
      <c r="L292">
        <v>0</v>
      </c>
      <c r="M292" t="s">
        <v>4159</v>
      </c>
      <c r="N292" t="s">
        <v>212</v>
      </c>
      <c r="O292" t="s">
        <v>213</v>
      </c>
      <c r="P292" t="s">
        <v>4007</v>
      </c>
      <c r="Q292">
        <v>8</v>
      </c>
    </row>
    <row r="293" spans="1:18" hidden="1" x14ac:dyDescent="0.25">
      <c r="A293" s="1">
        <v>46246</v>
      </c>
      <c r="B293">
        <v>1082896324</v>
      </c>
      <c r="C293" t="s">
        <v>77</v>
      </c>
      <c r="D293" t="s">
        <v>78</v>
      </c>
      <c r="E293" t="s">
        <v>4010</v>
      </c>
      <c r="F293" t="s">
        <v>25</v>
      </c>
      <c r="G293" s="1">
        <v>46242</v>
      </c>
      <c r="H293" s="1">
        <v>46272</v>
      </c>
      <c r="I293" s="2">
        <v>0.25</v>
      </c>
      <c r="J293" s="2">
        <v>0.58333333333333337</v>
      </c>
      <c r="K293" t="s">
        <v>189</v>
      </c>
      <c r="L293">
        <v>0</v>
      </c>
      <c r="M293" t="s">
        <v>4154</v>
      </c>
      <c r="N293" t="s">
        <v>188</v>
      </c>
      <c r="O293" t="s">
        <v>189</v>
      </c>
      <c r="P293" t="s">
        <v>4007</v>
      </c>
      <c r="Q293">
        <v>8</v>
      </c>
    </row>
    <row r="294" spans="1:18" hidden="1" x14ac:dyDescent="0.25">
      <c r="A294" s="1">
        <v>46246</v>
      </c>
      <c r="B294">
        <v>1015483595</v>
      </c>
      <c r="C294" t="s">
        <v>243</v>
      </c>
      <c r="D294" t="s">
        <v>34</v>
      </c>
      <c r="E294" t="s">
        <v>4011</v>
      </c>
      <c r="F294" t="s">
        <v>30</v>
      </c>
      <c r="G294" s="1">
        <v>46244</v>
      </c>
      <c r="H294" s="1">
        <v>46265</v>
      </c>
      <c r="I294" s="2">
        <v>0.25</v>
      </c>
      <c r="J294" s="2">
        <v>0.54166666666666663</v>
      </c>
      <c r="K294" t="s">
        <v>241</v>
      </c>
      <c r="L294">
        <v>0</v>
      </c>
      <c r="M294" t="s">
        <v>4155</v>
      </c>
      <c r="N294" t="s">
        <v>240</v>
      </c>
      <c r="O294" t="s">
        <v>241</v>
      </c>
      <c r="P294" t="s">
        <v>4007</v>
      </c>
      <c r="Q294">
        <v>7</v>
      </c>
    </row>
    <row r="295" spans="1:18" hidden="1" x14ac:dyDescent="0.25">
      <c r="A295" s="1">
        <v>46246</v>
      </c>
      <c r="B295">
        <v>1001851670</v>
      </c>
      <c r="C295" t="s">
        <v>14</v>
      </c>
      <c r="D295" t="s">
        <v>15</v>
      </c>
      <c r="E295" t="s">
        <v>4012</v>
      </c>
      <c r="F295" t="s">
        <v>16</v>
      </c>
      <c r="G295" s="1">
        <v>46241</v>
      </c>
      <c r="H295" s="1">
        <v>46366</v>
      </c>
      <c r="I295" s="2">
        <v>0.25</v>
      </c>
      <c r="J295" s="2">
        <v>0.54166666666666663</v>
      </c>
      <c r="K295" t="s">
        <v>248</v>
      </c>
      <c r="L295">
        <v>0</v>
      </c>
      <c r="M295" t="s">
        <v>4157</v>
      </c>
      <c r="N295" t="s">
        <v>247</v>
      </c>
      <c r="O295" t="s">
        <v>248</v>
      </c>
      <c r="P295" t="s">
        <v>4007</v>
      </c>
      <c r="Q295">
        <v>7</v>
      </c>
    </row>
    <row r="296" spans="1:18" hidden="1" x14ac:dyDescent="0.25">
      <c r="A296" s="1">
        <v>46246</v>
      </c>
      <c r="B296">
        <v>1067963513</v>
      </c>
      <c r="C296" t="s">
        <v>112</v>
      </c>
      <c r="D296" t="s">
        <v>29</v>
      </c>
      <c r="E296" t="s">
        <v>4005</v>
      </c>
      <c r="F296" t="s">
        <v>30</v>
      </c>
      <c r="G296" s="1">
        <v>46240</v>
      </c>
      <c r="H296" s="1">
        <v>46265</v>
      </c>
      <c r="I296" s="2">
        <v>0.58333333333333337</v>
      </c>
      <c r="J296" s="2">
        <v>0.875</v>
      </c>
      <c r="K296" t="s">
        <v>155</v>
      </c>
      <c r="L296">
        <v>2</v>
      </c>
      <c r="M296" t="s">
        <v>4157</v>
      </c>
      <c r="N296" t="s">
        <v>154</v>
      </c>
      <c r="O296" t="s">
        <v>155</v>
      </c>
      <c r="P296" t="s">
        <v>21</v>
      </c>
      <c r="Q296">
        <v>7</v>
      </c>
      <c r="R296" t="s">
        <v>4163</v>
      </c>
    </row>
    <row r="297" spans="1:18" hidden="1" x14ac:dyDescent="0.25">
      <c r="A297" s="1">
        <v>46246</v>
      </c>
      <c r="B297">
        <v>42141273</v>
      </c>
      <c r="C297" t="s">
        <v>210</v>
      </c>
      <c r="D297" t="s">
        <v>211</v>
      </c>
      <c r="E297" t="s">
        <v>4017</v>
      </c>
      <c r="F297" t="s">
        <v>4029</v>
      </c>
      <c r="G297" s="1">
        <v>46232</v>
      </c>
      <c r="H297" s="1">
        <v>46261</v>
      </c>
      <c r="I297" s="2">
        <v>0.25</v>
      </c>
      <c r="J297" s="2">
        <v>0.5</v>
      </c>
      <c r="K297" t="s">
        <v>231</v>
      </c>
      <c r="L297">
        <v>0</v>
      </c>
      <c r="M297" t="s">
        <v>4159</v>
      </c>
      <c r="N297" t="s">
        <v>230</v>
      </c>
      <c r="O297" t="s">
        <v>231</v>
      </c>
      <c r="P297" t="s">
        <v>4007</v>
      </c>
      <c r="Q297">
        <v>6</v>
      </c>
      <c r="R297" t="s">
        <v>4160</v>
      </c>
    </row>
    <row r="298" spans="1:18" hidden="1" x14ac:dyDescent="0.25">
      <c r="A298" s="1">
        <v>46246</v>
      </c>
      <c r="B298">
        <v>1001137222</v>
      </c>
      <c r="C298" t="s">
        <v>2860</v>
      </c>
      <c r="D298" t="s">
        <v>4027</v>
      </c>
      <c r="E298" t="s">
        <v>4011</v>
      </c>
      <c r="F298" t="s">
        <v>4108</v>
      </c>
      <c r="G298" s="1">
        <v>46246</v>
      </c>
      <c r="H298" s="1">
        <v>46246</v>
      </c>
      <c r="I298" s="2">
        <v>0.54166666666666663</v>
      </c>
      <c r="J298" s="2">
        <v>0.875</v>
      </c>
      <c r="K298" s="7" t="s">
        <v>36</v>
      </c>
      <c r="L298">
        <v>2</v>
      </c>
      <c r="M298" t="s">
        <v>4155</v>
      </c>
      <c r="N298" t="s">
        <v>35</v>
      </c>
      <c r="O298" t="s">
        <v>36</v>
      </c>
      <c r="P298" t="s">
        <v>21</v>
      </c>
      <c r="Q298">
        <v>8</v>
      </c>
    </row>
    <row r="299" spans="1:18" hidden="1" x14ac:dyDescent="0.25">
      <c r="A299" s="1">
        <v>46246</v>
      </c>
      <c r="B299">
        <v>1152221372</v>
      </c>
      <c r="C299" t="s">
        <v>2313</v>
      </c>
      <c r="D299" t="s">
        <v>128</v>
      </c>
      <c r="E299" t="s">
        <v>4005</v>
      </c>
      <c r="F299" t="s">
        <v>4037</v>
      </c>
      <c r="G299" s="1">
        <v>46230</v>
      </c>
      <c r="H299" s="1"/>
      <c r="I299" s="2">
        <v>0.25</v>
      </c>
      <c r="J299" s="2">
        <v>0.54166666666666663</v>
      </c>
      <c r="K299" s="7" t="s">
        <v>123</v>
      </c>
      <c r="L299">
        <v>0</v>
      </c>
      <c r="M299" t="s">
        <v>4157</v>
      </c>
      <c r="N299" t="s">
        <v>122</v>
      </c>
      <c r="O299" s="8" t="s">
        <v>123</v>
      </c>
      <c r="P299" t="s">
        <v>4007</v>
      </c>
      <c r="Q299">
        <v>7</v>
      </c>
    </row>
    <row r="300" spans="1:18" hidden="1" x14ac:dyDescent="0.25">
      <c r="A300" s="1">
        <v>46246</v>
      </c>
      <c r="B300">
        <v>1094275204</v>
      </c>
      <c r="C300" t="s">
        <v>1823</v>
      </c>
      <c r="D300" t="s">
        <v>211</v>
      </c>
      <c r="E300" t="s">
        <v>4017</v>
      </c>
      <c r="F300" t="s">
        <v>4108</v>
      </c>
      <c r="G300" s="1">
        <v>46246</v>
      </c>
      <c r="H300" s="1">
        <v>46246</v>
      </c>
      <c r="I300" s="2">
        <v>0.58333333333333337</v>
      </c>
      <c r="J300" s="2">
        <v>0.875</v>
      </c>
      <c r="K300" s="4" t="s">
        <v>3622</v>
      </c>
      <c r="L300">
        <v>2</v>
      </c>
      <c r="M300" t="s">
        <v>4159</v>
      </c>
      <c r="N300" t="s">
        <v>3621</v>
      </c>
      <c r="O300" t="s">
        <v>3622</v>
      </c>
      <c r="P300" t="s">
        <v>21</v>
      </c>
      <c r="Q300">
        <v>7</v>
      </c>
      <c r="R300" t="s">
        <v>4160</v>
      </c>
    </row>
    <row r="301" spans="1:18" hidden="1" x14ac:dyDescent="0.25">
      <c r="A301" s="1">
        <v>46246</v>
      </c>
      <c r="B301">
        <v>1004960056</v>
      </c>
      <c r="C301" t="s">
        <v>563</v>
      </c>
      <c r="D301" t="s">
        <v>553</v>
      </c>
      <c r="E301" t="s">
        <v>4010</v>
      </c>
      <c r="F301" t="s">
        <v>4058</v>
      </c>
      <c r="G301" s="1">
        <v>46246</v>
      </c>
      <c r="H301" s="1">
        <v>46247</v>
      </c>
      <c r="I301" s="2">
        <v>0.25</v>
      </c>
      <c r="J301" s="2">
        <v>0.54166666666666663</v>
      </c>
      <c r="K301" s="4" t="s">
        <v>172</v>
      </c>
      <c r="L301">
        <v>0</v>
      </c>
      <c r="M301" t="s">
        <v>4154</v>
      </c>
      <c r="N301" t="s">
        <v>171</v>
      </c>
      <c r="O301" t="s">
        <v>172</v>
      </c>
      <c r="P301" t="s">
        <v>4007</v>
      </c>
      <c r="Q301">
        <v>7</v>
      </c>
    </row>
    <row r="302" spans="1:18" hidden="1" x14ac:dyDescent="0.25">
      <c r="A302" s="1">
        <v>46246</v>
      </c>
      <c r="B302">
        <v>1071169507</v>
      </c>
      <c r="C302" t="s">
        <v>88</v>
      </c>
      <c r="D302" t="s">
        <v>89</v>
      </c>
      <c r="E302" t="s">
        <v>4017</v>
      </c>
      <c r="F302" t="s">
        <v>90</v>
      </c>
      <c r="G302" s="1">
        <v>46242</v>
      </c>
      <c r="H302" s="1">
        <v>46247</v>
      </c>
      <c r="I302" s="2">
        <v>0.25</v>
      </c>
      <c r="J302" s="2">
        <v>0.58333333333333337</v>
      </c>
      <c r="K302" t="s">
        <v>92</v>
      </c>
      <c r="L302">
        <v>0</v>
      </c>
      <c r="M302" t="s">
        <v>4159</v>
      </c>
      <c r="N302" t="s">
        <v>91</v>
      </c>
      <c r="O302" t="s">
        <v>92</v>
      </c>
      <c r="P302" t="s">
        <v>4007</v>
      </c>
      <c r="Q302">
        <v>8</v>
      </c>
    </row>
    <row r="303" spans="1:18" hidden="1" x14ac:dyDescent="0.25">
      <c r="A303" s="1">
        <v>46246</v>
      </c>
      <c r="B303">
        <v>1036132488</v>
      </c>
      <c r="C303" t="s">
        <v>150</v>
      </c>
      <c r="D303" t="s">
        <v>142</v>
      </c>
      <c r="E303" t="s">
        <v>4012</v>
      </c>
      <c r="F303" t="s">
        <v>25</v>
      </c>
      <c r="G303" s="1">
        <v>46227</v>
      </c>
      <c r="H303" s="1">
        <v>46246</v>
      </c>
      <c r="I303" s="2">
        <v>0.25</v>
      </c>
      <c r="J303" s="2">
        <v>0.58333333333333337</v>
      </c>
      <c r="K303" t="s">
        <v>148</v>
      </c>
      <c r="L303">
        <v>0</v>
      </c>
      <c r="M303" t="s">
        <v>4156</v>
      </c>
      <c r="N303" t="s">
        <v>147</v>
      </c>
      <c r="O303" t="s">
        <v>148</v>
      </c>
      <c r="P303" t="s">
        <v>4007</v>
      </c>
      <c r="Q303">
        <v>8</v>
      </c>
    </row>
    <row r="304" spans="1:18" hidden="1" x14ac:dyDescent="0.25">
      <c r="A304" s="1">
        <v>46246</v>
      </c>
      <c r="B304">
        <v>1037638426</v>
      </c>
      <c r="C304" t="s">
        <v>44</v>
      </c>
      <c r="D304" t="s">
        <v>41</v>
      </c>
      <c r="E304" t="s">
        <v>4011</v>
      </c>
      <c r="F304" t="s">
        <v>30</v>
      </c>
      <c r="G304" s="1">
        <v>46230</v>
      </c>
      <c r="H304" s="1">
        <v>46262</v>
      </c>
      <c r="I304" s="2">
        <v>0.54166666666666663</v>
      </c>
      <c r="J304" s="2">
        <v>0.875</v>
      </c>
      <c r="K304" t="s">
        <v>179</v>
      </c>
      <c r="L304">
        <v>2</v>
      </c>
      <c r="M304" t="s">
        <v>4155</v>
      </c>
      <c r="N304" t="s">
        <v>178</v>
      </c>
      <c r="O304" t="s">
        <v>179</v>
      </c>
      <c r="P304" t="s">
        <v>21</v>
      </c>
      <c r="Q304">
        <v>8</v>
      </c>
    </row>
    <row r="305" spans="1:18" hidden="1" x14ac:dyDescent="0.25">
      <c r="A305" s="1">
        <v>46246</v>
      </c>
      <c r="B305">
        <v>1121506548</v>
      </c>
      <c r="C305" t="s">
        <v>50</v>
      </c>
      <c r="D305" t="s">
        <v>51</v>
      </c>
      <c r="E305" t="s">
        <v>4011</v>
      </c>
      <c r="F305" t="s">
        <v>16</v>
      </c>
      <c r="G305" s="1">
        <v>46217</v>
      </c>
      <c r="H305" s="1">
        <v>46342</v>
      </c>
      <c r="I305" s="2">
        <v>0.25</v>
      </c>
      <c r="J305" s="2">
        <v>0.58333333333333337</v>
      </c>
      <c r="K305" s="4" t="s">
        <v>245</v>
      </c>
      <c r="L305">
        <v>0</v>
      </c>
      <c r="M305" t="s">
        <v>4154</v>
      </c>
      <c r="N305" t="s">
        <v>244</v>
      </c>
      <c r="O305" t="s">
        <v>245</v>
      </c>
      <c r="P305" t="s">
        <v>4007</v>
      </c>
      <c r="Q305">
        <v>8</v>
      </c>
    </row>
    <row r="306" spans="1:18" hidden="1" x14ac:dyDescent="0.25">
      <c r="A306" s="1">
        <v>46246</v>
      </c>
      <c r="B306">
        <v>1143460426</v>
      </c>
      <c r="C306" t="s">
        <v>4034</v>
      </c>
      <c r="D306" t="s">
        <v>160</v>
      </c>
      <c r="E306" t="s">
        <v>4011</v>
      </c>
      <c r="F306" t="s">
        <v>4015</v>
      </c>
      <c r="G306" s="1">
        <v>46195</v>
      </c>
      <c r="H306" s="1">
        <v>46198</v>
      </c>
      <c r="I306" s="2">
        <v>0.25</v>
      </c>
      <c r="J306" s="2">
        <v>0.54166666666666663</v>
      </c>
      <c r="K306" t="s">
        <v>192</v>
      </c>
      <c r="L306">
        <v>0</v>
      </c>
      <c r="M306" t="s">
        <v>4159</v>
      </c>
      <c r="N306" t="s">
        <v>191</v>
      </c>
      <c r="O306" t="s">
        <v>192</v>
      </c>
      <c r="P306" t="s">
        <v>4007</v>
      </c>
      <c r="Q306">
        <v>7</v>
      </c>
      <c r="R306" t="s">
        <v>4161</v>
      </c>
    </row>
    <row r="307" spans="1:18" hidden="1" x14ac:dyDescent="0.25">
      <c r="A307" s="1">
        <v>46246</v>
      </c>
      <c r="B307">
        <v>1000416307</v>
      </c>
      <c r="C307" t="s">
        <v>3014</v>
      </c>
      <c r="D307" t="s">
        <v>82</v>
      </c>
      <c r="E307" t="s">
        <v>4005</v>
      </c>
      <c r="F307" t="s">
        <v>25</v>
      </c>
      <c r="G307" s="1">
        <v>46245</v>
      </c>
      <c r="H307" s="1">
        <v>46246</v>
      </c>
      <c r="I307" s="2">
        <v>0.25</v>
      </c>
      <c r="J307" s="2">
        <v>0.54166666666666663</v>
      </c>
      <c r="K307" s="4" t="s">
        <v>107</v>
      </c>
      <c r="L307">
        <v>0</v>
      </c>
      <c r="M307" t="s">
        <v>4157</v>
      </c>
      <c r="N307" t="s">
        <v>106</v>
      </c>
      <c r="O307" t="s">
        <v>107</v>
      </c>
      <c r="P307" t="s">
        <v>4007</v>
      </c>
      <c r="Q307">
        <v>7</v>
      </c>
    </row>
    <row r="308" spans="1:18" hidden="1" x14ac:dyDescent="0.25">
      <c r="A308" s="1">
        <v>46246</v>
      </c>
      <c r="B308">
        <v>1047503032</v>
      </c>
      <c r="C308" t="s">
        <v>2974</v>
      </c>
      <c r="D308" t="s">
        <v>89</v>
      </c>
      <c r="E308" t="s">
        <v>4017</v>
      </c>
      <c r="F308" t="s">
        <v>25</v>
      </c>
      <c r="G308" s="1">
        <v>46245</v>
      </c>
      <c r="H308" s="1">
        <v>46246</v>
      </c>
      <c r="I308" s="2">
        <v>0.25</v>
      </c>
      <c r="J308" s="2">
        <v>0.58333333333333337</v>
      </c>
      <c r="K308" s="4" t="s">
        <v>213</v>
      </c>
      <c r="L308">
        <v>0</v>
      </c>
      <c r="M308" t="s">
        <v>4159</v>
      </c>
      <c r="N308" t="s">
        <v>212</v>
      </c>
      <c r="O308" t="s">
        <v>213</v>
      </c>
      <c r="P308" t="s">
        <v>4007</v>
      </c>
      <c r="Q308">
        <v>8</v>
      </c>
    </row>
    <row r="309" spans="1:18" hidden="1" x14ac:dyDescent="0.25">
      <c r="A309" s="1">
        <v>46246</v>
      </c>
      <c r="B309">
        <v>1036965348</v>
      </c>
      <c r="C309" t="s">
        <v>186</v>
      </c>
      <c r="D309" t="s">
        <v>4046</v>
      </c>
      <c r="E309" t="s">
        <v>4011</v>
      </c>
      <c r="F309" t="s">
        <v>4046</v>
      </c>
      <c r="G309" s="1">
        <v>46246</v>
      </c>
      <c r="H309" s="1">
        <v>46246</v>
      </c>
      <c r="I309" s="2">
        <v>0.25</v>
      </c>
      <c r="J309" s="2">
        <v>0.58333333333333337</v>
      </c>
      <c r="K309" s="4" t="s">
        <v>4099</v>
      </c>
      <c r="L309">
        <v>0</v>
      </c>
      <c r="M309" t="s">
        <v>4155</v>
      </c>
      <c r="N309" t="s">
        <v>185</v>
      </c>
      <c r="O309" t="s">
        <v>186</v>
      </c>
      <c r="P309" t="s">
        <v>4007</v>
      </c>
      <c r="Q309">
        <v>8</v>
      </c>
    </row>
    <row r="310" spans="1:18" hidden="1" x14ac:dyDescent="0.25">
      <c r="A310" s="1">
        <v>46246</v>
      </c>
      <c r="B310">
        <v>1143373273</v>
      </c>
      <c r="C310" t="s">
        <v>1984</v>
      </c>
      <c r="D310" t="s">
        <v>211</v>
      </c>
      <c r="E310" t="s">
        <v>4017</v>
      </c>
      <c r="F310" t="s">
        <v>25</v>
      </c>
      <c r="G310" s="1">
        <v>46245</v>
      </c>
      <c r="H310" s="1">
        <v>46247</v>
      </c>
      <c r="I310" s="2">
        <v>0.54166666666666663</v>
      </c>
      <c r="J310" s="2">
        <v>0.875</v>
      </c>
      <c r="K310" s="4" t="s">
        <v>135</v>
      </c>
      <c r="L310">
        <v>2</v>
      </c>
      <c r="M310" t="s">
        <v>4159</v>
      </c>
      <c r="N310" t="s">
        <v>134</v>
      </c>
      <c r="O310" t="s">
        <v>135</v>
      </c>
      <c r="P310" t="s">
        <v>21</v>
      </c>
      <c r="Q310">
        <v>8</v>
      </c>
      <c r="R310" t="s">
        <v>4160</v>
      </c>
    </row>
    <row r="311" spans="1:18" hidden="1" x14ac:dyDescent="0.25">
      <c r="A311" s="1">
        <v>46246</v>
      </c>
      <c r="B311">
        <v>1085265026</v>
      </c>
      <c r="C311" t="s">
        <v>3413</v>
      </c>
      <c r="D311" t="s">
        <v>64</v>
      </c>
      <c r="E311" t="s">
        <v>4012</v>
      </c>
      <c r="F311" t="s">
        <v>4137</v>
      </c>
      <c r="G311" s="1">
        <v>46245</v>
      </c>
      <c r="H311" s="1">
        <v>46249</v>
      </c>
      <c r="I311" s="2">
        <v>0.58333333333333337</v>
      </c>
      <c r="J311" s="2">
        <v>0.875</v>
      </c>
      <c r="K311" t="s">
        <v>163</v>
      </c>
      <c r="L311">
        <v>2</v>
      </c>
      <c r="M311" t="s">
        <v>4154</v>
      </c>
      <c r="N311" t="s">
        <v>162</v>
      </c>
      <c r="O311" t="s">
        <v>163</v>
      </c>
      <c r="P311" t="s">
        <v>21</v>
      </c>
      <c r="Q311">
        <v>7</v>
      </c>
    </row>
    <row r="312" spans="1:18" hidden="1" x14ac:dyDescent="0.25">
      <c r="A312" s="1">
        <v>46246</v>
      </c>
      <c r="B312">
        <v>1045718883</v>
      </c>
      <c r="C312" t="s">
        <v>47</v>
      </c>
      <c r="D312" t="s">
        <v>34</v>
      </c>
      <c r="E312" t="s">
        <v>4011</v>
      </c>
      <c r="F312" t="s">
        <v>16</v>
      </c>
      <c r="G312" s="1">
        <v>46245</v>
      </c>
      <c r="H312" s="1">
        <v>46370</v>
      </c>
      <c r="I312" s="2">
        <v>0.25</v>
      </c>
      <c r="J312" s="2">
        <v>0.54166666666666663</v>
      </c>
      <c r="K312" t="s">
        <v>74</v>
      </c>
      <c r="L312">
        <v>0</v>
      </c>
      <c r="M312" t="s">
        <v>4154</v>
      </c>
      <c r="N312" t="s">
        <v>73</v>
      </c>
      <c r="O312" t="s">
        <v>74</v>
      </c>
      <c r="P312" t="s">
        <v>4007</v>
      </c>
      <c r="Q312">
        <v>7</v>
      </c>
    </row>
    <row r="313" spans="1:18" hidden="1" x14ac:dyDescent="0.25">
      <c r="A313" s="1">
        <v>46246</v>
      </c>
      <c r="B313">
        <v>1094971283</v>
      </c>
      <c r="C313" t="s">
        <v>3338</v>
      </c>
      <c r="D313" t="s">
        <v>326</v>
      </c>
      <c r="E313" t="s">
        <v>4005</v>
      </c>
      <c r="F313" t="s">
        <v>4140</v>
      </c>
      <c r="G313" s="1">
        <v>46245</v>
      </c>
      <c r="H313" s="1">
        <v>46247</v>
      </c>
      <c r="I313" s="2">
        <v>0.25</v>
      </c>
      <c r="J313" s="2">
        <v>0.58333333333333337</v>
      </c>
      <c r="K313" t="s">
        <v>2887</v>
      </c>
      <c r="L313">
        <v>0</v>
      </c>
      <c r="M313" t="s">
        <v>4157</v>
      </c>
      <c r="N313" t="s">
        <v>2886</v>
      </c>
      <c r="O313" t="s">
        <v>2887</v>
      </c>
      <c r="P313" t="s">
        <v>4007</v>
      </c>
      <c r="Q313">
        <v>8</v>
      </c>
    </row>
    <row r="314" spans="1:18" hidden="1" x14ac:dyDescent="0.25">
      <c r="A314" s="1">
        <v>46246</v>
      </c>
      <c r="B314">
        <v>1007223463</v>
      </c>
      <c r="C314" t="s">
        <v>487</v>
      </c>
      <c r="D314" t="s">
        <v>4046</v>
      </c>
      <c r="E314" t="s">
        <v>4017</v>
      </c>
      <c r="F314" t="s">
        <v>4046</v>
      </c>
      <c r="G314" s="1">
        <v>46246</v>
      </c>
      <c r="H314" s="1">
        <v>46246</v>
      </c>
      <c r="I314" s="2">
        <v>0.25</v>
      </c>
      <c r="J314" s="2">
        <v>0.58333333333333337</v>
      </c>
      <c r="K314" t="s">
        <v>4099</v>
      </c>
      <c r="L314">
        <v>0</v>
      </c>
      <c r="M314" t="s">
        <v>4159</v>
      </c>
      <c r="N314" t="s">
        <v>486</v>
      </c>
      <c r="O314" t="s">
        <v>487</v>
      </c>
      <c r="P314" t="s">
        <v>4007</v>
      </c>
      <c r="Q314">
        <v>8</v>
      </c>
    </row>
    <row r="315" spans="1:18" hidden="1" x14ac:dyDescent="0.25">
      <c r="A315" s="1">
        <v>46246</v>
      </c>
      <c r="B315">
        <v>1000532653</v>
      </c>
      <c r="C315" t="s">
        <v>1117</v>
      </c>
      <c r="D315" t="s">
        <v>82</v>
      </c>
      <c r="E315" t="s">
        <v>4005</v>
      </c>
      <c r="F315" t="s">
        <v>25</v>
      </c>
      <c r="G315" s="1">
        <v>46246</v>
      </c>
      <c r="H315" s="1">
        <v>46246</v>
      </c>
      <c r="I315" s="2">
        <v>0.58333333333333337</v>
      </c>
      <c r="J315" s="2">
        <v>0.875</v>
      </c>
      <c r="K315" s="4" t="s">
        <v>18</v>
      </c>
      <c r="L315">
        <v>2</v>
      </c>
      <c r="M315" t="s">
        <v>4154</v>
      </c>
      <c r="N315" t="s">
        <v>17</v>
      </c>
      <c r="O315" t="s">
        <v>18</v>
      </c>
      <c r="P315" t="s">
        <v>21</v>
      </c>
      <c r="Q315">
        <v>7</v>
      </c>
    </row>
    <row r="316" spans="1:18" hidden="1" x14ac:dyDescent="0.25">
      <c r="A316" s="1">
        <v>46246</v>
      </c>
      <c r="B316">
        <v>1001140238</v>
      </c>
      <c r="C316" t="s">
        <v>18</v>
      </c>
      <c r="D316" t="s">
        <v>82</v>
      </c>
      <c r="E316" t="s">
        <v>4005</v>
      </c>
      <c r="F316" t="s">
        <v>4068</v>
      </c>
      <c r="G316" s="1">
        <v>46246</v>
      </c>
      <c r="H316" s="1">
        <v>46246</v>
      </c>
      <c r="I316" s="2">
        <v>0.58333333333333337</v>
      </c>
      <c r="J316" s="2">
        <v>0.625</v>
      </c>
      <c r="K316" t="s">
        <v>4099</v>
      </c>
      <c r="L316">
        <v>0</v>
      </c>
      <c r="M316" t="s">
        <v>4154</v>
      </c>
      <c r="N316" t="s">
        <v>17</v>
      </c>
      <c r="O316" t="s">
        <v>18</v>
      </c>
      <c r="P316" t="s">
        <v>4007</v>
      </c>
      <c r="Q316">
        <v>1</v>
      </c>
    </row>
    <row r="317" spans="1:18" hidden="1" x14ac:dyDescent="0.25">
      <c r="A317" s="1">
        <v>46247</v>
      </c>
      <c r="B317">
        <v>1035876080</v>
      </c>
      <c r="C317" t="s">
        <v>120</v>
      </c>
      <c r="D317" t="s">
        <v>121</v>
      </c>
      <c r="E317" t="s">
        <v>4010</v>
      </c>
      <c r="F317" t="s">
        <v>25</v>
      </c>
      <c r="G317" s="1">
        <v>46246</v>
      </c>
      <c r="H317" s="1">
        <v>46254</v>
      </c>
      <c r="I317" s="2">
        <v>0.25</v>
      </c>
      <c r="J317" s="2">
        <v>0.58333333333333337</v>
      </c>
      <c r="K317" t="s">
        <v>74</v>
      </c>
      <c r="L317">
        <v>0</v>
      </c>
      <c r="M317" t="s">
        <v>4154</v>
      </c>
      <c r="N317" t="s">
        <v>73</v>
      </c>
      <c r="O317" t="s">
        <v>74</v>
      </c>
      <c r="P317" t="s">
        <v>4007</v>
      </c>
      <c r="Q317">
        <v>8</v>
      </c>
    </row>
    <row r="318" spans="1:18" hidden="1" x14ac:dyDescent="0.25">
      <c r="A318" s="1">
        <v>46247</v>
      </c>
      <c r="B318">
        <v>1007111078</v>
      </c>
      <c r="C318" t="s">
        <v>3631</v>
      </c>
      <c r="D318" t="s">
        <v>4142</v>
      </c>
      <c r="E318" t="s">
        <v>4017</v>
      </c>
      <c r="F318" t="s">
        <v>4053</v>
      </c>
      <c r="G318" s="1">
        <v>46247</v>
      </c>
      <c r="H318" s="1">
        <v>46247</v>
      </c>
      <c r="I318" s="2">
        <v>0.29166666666666669</v>
      </c>
      <c r="J318" s="2">
        <v>0.66666666666666663</v>
      </c>
      <c r="K318" t="s">
        <v>231</v>
      </c>
      <c r="L318">
        <v>0</v>
      </c>
      <c r="M318" t="s">
        <v>4159</v>
      </c>
      <c r="N318" t="s">
        <v>230</v>
      </c>
      <c r="O318" t="s">
        <v>231</v>
      </c>
      <c r="P318" t="s">
        <v>4007</v>
      </c>
      <c r="Q318">
        <v>9</v>
      </c>
      <c r="R318" t="s">
        <v>4162</v>
      </c>
    </row>
    <row r="319" spans="1:18" hidden="1" x14ac:dyDescent="0.25">
      <c r="A319" s="1">
        <v>46247</v>
      </c>
      <c r="B319">
        <v>1077462479</v>
      </c>
      <c r="C319" t="s">
        <v>3992</v>
      </c>
      <c r="D319" t="s">
        <v>142</v>
      </c>
      <c r="E319" t="s">
        <v>4012</v>
      </c>
      <c r="F319" t="s">
        <v>4053</v>
      </c>
      <c r="G319" s="1">
        <v>46245</v>
      </c>
      <c r="H319" s="1">
        <v>46247</v>
      </c>
      <c r="I319" s="2">
        <v>0.5</v>
      </c>
      <c r="J319" s="2">
        <v>0.83333333333333337</v>
      </c>
      <c r="K319" t="s">
        <v>155</v>
      </c>
      <c r="L319">
        <v>1</v>
      </c>
      <c r="M319" t="s">
        <v>4157</v>
      </c>
      <c r="N319" t="s">
        <v>154</v>
      </c>
      <c r="O319" t="s">
        <v>155</v>
      </c>
      <c r="P319" t="s">
        <v>21</v>
      </c>
      <c r="Q319">
        <v>8</v>
      </c>
    </row>
    <row r="320" spans="1:18" hidden="1" x14ac:dyDescent="0.25">
      <c r="A320" s="1">
        <v>46247</v>
      </c>
      <c r="B320">
        <v>1015483595</v>
      </c>
      <c r="C320" t="s">
        <v>243</v>
      </c>
      <c r="D320" t="s">
        <v>34</v>
      </c>
      <c r="E320" t="s">
        <v>4011</v>
      </c>
      <c r="F320" t="s">
        <v>30</v>
      </c>
      <c r="G320" s="1">
        <v>46244</v>
      </c>
      <c r="H320" s="1">
        <v>46265</v>
      </c>
      <c r="I320" s="2">
        <v>0.54166666666666663</v>
      </c>
      <c r="J320" s="2">
        <v>0.875</v>
      </c>
      <c r="K320" t="s">
        <v>179</v>
      </c>
      <c r="L320">
        <v>2</v>
      </c>
      <c r="M320" t="s">
        <v>4155</v>
      </c>
      <c r="N320" t="s">
        <v>178</v>
      </c>
      <c r="O320" t="s">
        <v>179</v>
      </c>
      <c r="P320" t="s">
        <v>21</v>
      </c>
      <c r="Q320">
        <v>8</v>
      </c>
    </row>
    <row r="321" spans="1:18" hidden="1" x14ac:dyDescent="0.25">
      <c r="A321" s="1">
        <v>46247</v>
      </c>
      <c r="B321">
        <v>1001851670</v>
      </c>
      <c r="C321" t="s">
        <v>14</v>
      </c>
      <c r="D321" t="s">
        <v>15</v>
      </c>
      <c r="E321" t="s">
        <v>4012</v>
      </c>
      <c r="F321" t="s">
        <v>16</v>
      </c>
      <c r="G321" s="1">
        <v>46241</v>
      </c>
      <c r="H321" s="1">
        <v>46366</v>
      </c>
      <c r="I321" s="2">
        <v>0.54166666666666663</v>
      </c>
      <c r="J321" s="2">
        <v>0.875</v>
      </c>
      <c r="K321" t="s">
        <v>248</v>
      </c>
      <c r="L321">
        <v>2</v>
      </c>
      <c r="M321" t="s">
        <v>4157</v>
      </c>
      <c r="N321" t="s">
        <v>247</v>
      </c>
      <c r="O321" t="s">
        <v>248</v>
      </c>
      <c r="P321" t="s">
        <v>21</v>
      </c>
      <c r="Q321">
        <v>8</v>
      </c>
    </row>
    <row r="322" spans="1:18" hidden="1" x14ac:dyDescent="0.25">
      <c r="A322" s="1">
        <v>46247</v>
      </c>
      <c r="B322">
        <v>1067963513</v>
      </c>
      <c r="C322" t="s">
        <v>112</v>
      </c>
      <c r="D322" t="s">
        <v>29</v>
      </c>
      <c r="E322" t="s">
        <v>4005</v>
      </c>
      <c r="F322" t="s">
        <v>30</v>
      </c>
      <c r="G322" s="1">
        <v>46240</v>
      </c>
      <c r="H322" s="1">
        <v>46265</v>
      </c>
      <c r="I322" s="2">
        <v>0.25</v>
      </c>
      <c r="J322" s="2">
        <v>0.54166666666666663</v>
      </c>
      <c r="K322" t="s">
        <v>4127</v>
      </c>
      <c r="L322">
        <v>0</v>
      </c>
      <c r="P322" t="s">
        <v>4007</v>
      </c>
      <c r="Q322">
        <v>7</v>
      </c>
    </row>
    <row r="323" spans="1:18" hidden="1" x14ac:dyDescent="0.25">
      <c r="A323" s="1">
        <v>46247</v>
      </c>
      <c r="B323">
        <v>42141273</v>
      </c>
      <c r="C323" t="s">
        <v>210</v>
      </c>
      <c r="D323" t="s">
        <v>211</v>
      </c>
      <c r="E323" t="s">
        <v>4017</v>
      </c>
      <c r="F323" t="s">
        <v>4029</v>
      </c>
      <c r="G323" s="1">
        <v>46232</v>
      </c>
      <c r="H323" s="1">
        <v>46261</v>
      </c>
      <c r="I323" s="2">
        <v>0.25</v>
      </c>
      <c r="J323" s="2">
        <v>0.5</v>
      </c>
      <c r="K323" t="s">
        <v>135</v>
      </c>
      <c r="L323">
        <v>0</v>
      </c>
      <c r="M323" t="s">
        <v>4159</v>
      </c>
      <c r="N323" t="s">
        <v>134</v>
      </c>
      <c r="O323" t="s">
        <v>135</v>
      </c>
      <c r="P323" t="s">
        <v>4007</v>
      </c>
      <c r="Q323">
        <v>6</v>
      </c>
      <c r="R323" t="s">
        <v>4160</v>
      </c>
    </row>
    <row r="324" spans="1:18" hidden="1" x14ac:dyDescent="0.25">
      <c r="A324" s="1">
        <v>46247</v>
      </c>
      <c r="B324">
        <v>1010246557</v>
      </c>
      <c r="C324" t="s">
        <v>3428</v>
      </c>
      <c r="D324" t="s">
        <v>326</v>
      </c>
      <c r="E324" t="s">
        <v>4005</v>
      </c>
      <c r="F324" t="s">
        <v>4108</v>
      </c>
      <c r="G324" s="1">
        <v>46247</v>
      </c>
      <c r="H324" s="1">
        <v>46247</v>
      </c>
      <c r="I324" s="2">
        <v>0.25</v>
      </c>
      <c r="J324" s="2">
        <v>0.54166666666666663</v>
      </c>
      <c r="K324" t="s">
        <v>107</v>
      </c>
      <c r="L324">
        <v>0</v>
      </c>
      <c r="M324" t="s">
        <v>4157</v>
      </c>
      <c r="N324" t="s">
        <v>106</v>
      </c>
      <c r="O324" t="s">
        <v>107</v>
      </c>
      <c r="P324" t="s">
        <v>4007</v>
      </c>
      <c r="Q324">
        <v>7</v>
      </c>
    </row>
    <row r="325" spans="1:18" hidden="1" x14ac:dyDescent="0.25">
      <c r="A325" s="1">
        <v>46247</v>
      </c>
      <c r="B325">
        <v>1004960056</v>
      </c>
      <c r="C325" t="s">
        <v>563</v>
      </c>
      <c r="D325" t="s">
        <v>553</v>
      </c>
      <c r="E325" t="s">
        <v>4010</v>
      </c>
      <c r="F325" t="s">
        <v>4058</v>
      </c>
      <c r="G325" s="1">
        <v>46246</v>
      </c>
      <c r="H325" s="1">
        <v>46247</v>
      </c>
      <c r="I325" s="2">
        <v>0.25</v>
      </c>
      <c r="J325" s="2">
        <v>0.54166666666666663</v>
      </c>
      <c r="K325" t="s">
        <v>163</v>
      </c>
      <c r="L325">
        <v>0</v>
      </c>
      <c r="M325" t="s">
        <v>4154</v>
      </c>
      <c r="N325" t="s">
        <v>162</v>
      </c>
      <c r="O325" t="s">
        <v>163</v>
      </c>
      <c r="P325" t="s">
        <v>4007</v>
      </c>
      <c r="Q325">
        <v>7</v>
      </c>
    </row>
    <row r="326" spans="1:18" hidden="1" x14ac:dyDescent="0.25">
      <c r="A326" s="1">
        <v>46247</v>
      </c>
      <c r="B326">
        <v>1000640883</v>
      </c>
      <c r="C326" t="s">
        <v>3227</v>
      </c>
      <c r="D326" t="s">
        <v>64</v>
      </c>
      <c r="E326" t="s">
        <v>4012</v>
      </c>
      <c r="F326" t="s">
        <v>4040</v>
      </c>
      <c r="G326" s="1">
        <v>46247</v>
      </c>
      <c r="H326" s="1">
        <v>46248</v>
      </c>
      <c r="I326" s="2">
        <v>0.58333333333333337</v>
      </c>
      <c r="J326" s="2">
        <v>0.875</v>
      </c>
      <c r="K326" t="s">
        <v>4143</v>
      </c>
      <c r="L326">
        <v>2</v>
      </c>
      <c r="M326" t="s">
        <v>4157</v>
      </c>
      <c r="N326" t="s">
        <v>2886</v>
      </c>
      <c r="O326" t="s">
        <v>2887</v>
      </c>
      <c r="P326" t="s">
        <v>21</v>
      </c>
      <c r="Q326">
        <v>7</v>
      </c>
    </row>
    <row r="327" spans="1:18" hidden="1" x14ac:dyDescent="0.25">
      <c r="A327" s="1">
        <v>46247</v>
      </c>
      <c r="B327">
        <v>1071169507</v>
      </c>
      <c r="C327" t="s">
        <v>88</v>
      </c>
      <c r="D327" t="s">
        <v>89</v>
      </c>
      <c r="E327" t="s">
        <v>4017</v>
      </c>
      <c r="F327" t="s">
        <v>90</v>
      </c>
      <c r="G327" s="1">
        <v>46226</v>
      </c>
      <c r="H327" s="1">
        <v>46230</v>
      </c>
      <c r="I327" s="2">
        <v>0.58333333333333337</v>
      </c>
      <c r="J327" s="2">
        <v>0.875</v>
      </c>
      <c r="K327" t="s">
        <v>213</v>
      </c>
      <c r="L327">
        <v>2</v>
      </c>
      <c r="M327" t="s">
        <v>4159</v>
      </c>
      <c r="N327" t="s">
        <v>212</v>
      </c>
      <c r="O327" t="s">
        <v>213</v>
      </c>
      <c r="P327" t="s">
        <v>21</v>
      </c>
      <c r="Q327">
        <v>7</v>
      </c>
    </row>
    <row r="328" spans="1:18" hidden="1" x14ac:dyDescent="0.25">
      <c r="A328" s="1">
        <v>46247</v>
      </c>
      <c r="B328">
        <v>1143414481</v>
      </c>
      <c r="C328" t="s">
        <v>2395</v>
      </c>
      <c r="D328" t="s">
        <v>41</v>
      </c>
      <c r="E328" t="s">
        <v>4011</v>
      </c>
      <c r="F328" t="s">
        <v>4091</v>
      </c>
      <c r="G328" s="1">
        <v>46247</v>
      </c>
      <c r="H328" s="1">
        <v>46252</v>
      </c>
      <c r="I328" s="2">
        <v>0.54166666666666663</v>
      </c>
      <c r="J328" s="2">
        <v>0.875</v>
      </c>
      <c r="K328" t="s">
        <v>18</v>
      </c>
      <c r="L328">
        <v>2</v>
      </c>
      <c r="M328" t="s">
        <v>4154</v>
      </c>
      <c r="N328" t="s">
        <v>17</v>
      </c>
      <c r="O328" t="s">
        <v>18</v>
      </c>
      <c r="P328" t="s">
        <v>21</v>
      </c>
      <c r="Q328">
        <v>8</v>
      </c>
    </row>
    <row r="329" spans="1:18" hidden="1" x14ac:dyDescent="0.25">
      <c r="A329" s="1">
        <v>46247</v>
      </c>
      <c r="B329">
        <v>1043006106</v>
      </c>
      <c r="C329" t="s">
        <v>194</v>
      </c>
      <c r="D329" t="s">
        <v>160</v>
      </c>
      <c r="E329" t="s">
        <v>4011</v>
      </c>
      <c r="F329" t="s">
        <v>25</v>
      </c>
      <c r="G329" s="1">
        <v>46219</v>
      </c>
      <c r="H329" s="1">
        <v>46248</v>
      </c>
      <c r="I329" s="2">
        <v>0.58333333333333337</v>
      </c>
      <c r="J329" s="2">
        <v>0.875</v>
      </c>
      <c r="K329" t="s">
        <v>189</v>
      </c>
      <c r="L329">
        <v>2</v>
      </c>
      <c r="M329" t="s">
        <v>4154</v>
      </c>
      <c r="N329" t="s">
        <v>188</v>
      </c>
      <c r="O329" t="s">
        <v>189</v>
      </c>
      <c r="P329" t="s">
        <v>21</v>
      </c>
      <c r="Q329">
        <v>7</v>
      </c>
    </row>
    <row r="330" spans="1:18" hidden="1" x14ac:dyDescent="0.25">
      <c r="A330" s="1">
        <v>46247</v>
      </c>
      <c r="B330">
        <v>1037638426</v>
      </c>
      <c r="C330" t="s">
        <v>44</v>
      </c>
      <c r="D330" t="s">
        <v>41</v>
      </c>
      <c r="E330" t="s">
        <v>4011</v>
      </c>
      <c r="F330" t="s">
        <v>30</v>
      </c>
      <c r="G330" s="1">
        <v>46230</v>
      </c>
      <c r="H330" s="1">
        <v>46262</v>
      </c>
      <c r="I330" s="2">
        <v>0.25</v>
      </c>
      <c r="J330" s="2">
        <v>0.54166666666666663</v>
      </c>
      <c r="K330" t="s">
        <v>241</v>
      </c>
      <c r="L330">
        <v>0</v>
      </c>
      <c r="M330" t="s">
        <v>4155</v>
      </c>
      <c r="N330" t="s">
        <v>240</v>
      </c>
      <c r="O330" t="s">
        <v>241</v>
      </c>
      <c r="P330" t="s">
        <v>4007</v>
      </c>
      <c r="Q330">
        <v>7</v>
      </c>
    </row>
    <row r="331" spans="1:18" hidden="1" x14ac:dyDescent="0.25">
      <c r="A331" s="1">
        <v>46247</v>
      </c>
      <c r="B331">
        <v>1037630071</v>
      </c>
      <c r="C331" t="s">
        <v>3544</v>
      </c>
      <c r="D331" t="s">
        <v>97</v>
      </c>
      <c r="E331" t="s">
        <v>4005</v>
      </c>
      <c r="F331" t="s">
        <v>4024</v>
      </c>
      <c r="G331" s="1">
        <v>46247</v>
      </c>
      <c r="H331" s="1">
        <v>46265</v>
      </c>
      <c r="I331" s="2">
        <v>0.25</v>
      </c>
      <c r="J331" s="2">
        <v>0.58333333333333337</v>
      </c>
      <c r="K331" t="s">
        <v>148</v>
      </c>
      <c r="L331">
        <v>0</v>
      </c>
      <c r="M331" t="s">
        <v>4156</v>
      </c>
      <c r="N331" t="s">
        <v>147</v>
      </c>
      <c r="O331" t="s">
        <v>148</v>
      </c>
      <c r="P331" t="s">
        <v>4007</v>
      </c>
      <c r="Q331">
        <v>8</v>
      </c>
    </row>
    <row r="332" spans="1:18" hidden="1" x14ac:dyDescent="0.25">
      <c r="A332" s="1">
        <v>46247</v>
      </c>
      <c r="B332">
        <v>1143460426</v>
      </c>
      <c r="C332" t="s">
        <v>4034</v>
      </c>
      <c r="D332" t="s">
        <v>160</v>
      </c>
      <c r="E332" t="s">
        <v>4011</v>
      </c>
      <c r="F332" t="s">
        <v>4015</v>
      </c>
      <c r="G332" s="1">
        <v>46195</v>
      </c>
      <c r="H332" s="1">
        <v>46198</v>
      </c>
      <c r="I332" s="2">
        <v>0.58333333333333337</v>
      </c>
      <c r="J332" s="2">
        <v>0.875</v>
      </c>
      <c r="K332" t="s">
        <v>192</v>
      </c>
      <c r="L332">
        <v>2</v>
      </c>
      <c r="M332" t="s">
        <v>4159</v>
      </c>
      <c r="N332" t="s">
        <v>191</v>
      </c>
      <c r="O332" t="s">
        <v>192</v>
      </c>
      <c r="P332" t="s">
        <v>21</v>
      </c>
      <c r="Q332">
        <v>7</v>
      </c>
      <c r="R332" t="s">
        <v>4161</v>
      </c>
    </row>
    <row r="333" spans="1:18" hidden="1" x14ac:dyDescent="0.25">
      <c r="A333" s="1">
        <v>46247</v>
      </c>
      <c r="B333">
        <v>1082896324</v>
      </c>
      <c r="C333" t="s">
        <v>77</v>
      </c>
      <c r="D333" t="s">
        <v>78</v>
      </c>
      <c r="E333" t="s">
        <v>4010</v>
      </c>
      <c r="F333" t="s">
        <v>25</v>
      </c>
      <c r="G333" s="1">
        <v>46242</v>
      </c>
      <c r="H333" s="1">
        <v>46272</v>
      </c>
      <c r="I333" s="2">
        <v>0.58333333333333337</v>
      </c>
      <c r="J333" s="2">
        <v>0.875</v>
      </c>
      <c r="K333" t="s">
        <v>172</v>
      </c>
      <c r="L333">
        <v>2</v>
      </c>
      <c r="M333" t="s">
        <v>4154</v>
      </c>
      <c r="N333" t="s">
        <v>171</v>
      </c>
      <c r="O333" t="s">
        <v>172</v>
      </c>
      <c r="P333" t="s">
        <v>21</v>
      </c>
      <c r="Q333">
        <v>7</v>
      </c>
    </row>
    <row r="334" spans="1:18" hidden="1" x14ac:dyDescent="0.25">
      <c r="A334" s="1">
        <v>46247</v>
      </c>
      <c r="B334">
        <v>1045718883</v>
      </c>
      <c r="C334" t="s">
        <v>47</v>
      </c>
      <c r="D334" t="s">
        <v>34</v>
      </c>
      <c r="E334" t="s">
        <v>4011</v>
      </c>
      <c r="F334" t="s">
        <v>16</v>
      </c>
      <c r="G334" s="1">
        <v>46245</v>
      </c>
      <c r="H334" s="1">
        <v>46370</v>
      </c>
      <c r="I334" s="2">
        <v>0.25</v>
      </c>
      <c r="J334" s="2">
        <v>0.54166666666666663</v>
      </c>
      <c r="K334" t="s">
        <v>36</v>
      </c>
      <c r="L334">
        <v>0</v>
      </c>
      <c r="M334" t="s">
        <v>4155</v>
      </c>
      <c r="N334" t="s">
        <v>35</v>
      </c>
      <c r="O334" t="s">
        <v>36</v>
      </c>
      <c r="P334" t="s">
        <v>4007</v>
      </c>
      <c r="Q334">
        <v>7</v>
      </c>
    </row>
    <row r="335" spans="1:18" hidden="1" x14ac:dyDescent="0.25">
      <c r="A335" s="1">
        <v>46247</v>
      </c>
      <c r="B335">
        <v>1005424850</v>
      </c>
      <c r="C335" t="s">
        <v>56</v>
      </c>
      <c r="D335" t="s">
        <v>57</v>
      </c>
      <c r="E335" t="s">
        <v>4010</v>
      </c>
      <c r="F335" t="s">
        <v>4024</v>
      </c>
      <c r="G335" s="1">
        <v>46247</v>
      </c>
      <c r="H335" s="1">
        <v>46262</v>
      </c>
      <c r="I335" s="2">
        <v>0.5</v>
      </c>
      <c r="J335" s="2">
        <v>0.83333333333333337</v>
      </c>
      <c r="K335" t="s">
        <v>245</v>
      </c>
      <c r="L335">
        <v>1</v>
      </c>
      <c r="M335" t="s">
        <v>4154</v>
      </c>
      <c r="N335" t="s">
        <v>244</v>
      </c>
      <c r="O335" t="s">
        <v>245</v>
      </c>
      <c r="P335" t="s">
        <v>21</v>
      </c>
      <c r="Q335">
        <v>8</v>
      </c>
    </row>
    <row r="336" spans="1:18" hidden="1" x14ac:dyDescent="0.25">
      <c r="A336" s="1">
        <v>46247</v>
      </c>
      <c r="B336">
        <v>1143373273</v>
      </c>
      <c r="C336" t="s">
        <v>1984</v>
      </c>
      <c r="D336" t="s">
        <v>211</v>
      </c>
      <c r="E336" t="s">
        <v>4017</v>
      </c>
      <c r="F336" t="s">
        <v>25</v>
      </c>
      <c r="G336" s="1">
        <v>46245</v>
      </c>
      <c r="H336" s="1">
        <v>46247</v>
      </c>
      <c r="I336" s="2">
        <v>0.25</v>
      </c>
      <c r="J336" s="2">
        <v>0.58333333333333337</v>
      </c>
      <c r="K336" t="s">
        <v>3622</v>
      </c>
      <c r="L336">
        <v>0</v>
      </c>
      <c r="M336" t="s">
        <v>4159</v>
      </c>
      <c r="N336" t="s">
        <v>3621</v>
      </c>
      <c r="O336" t="s">
        <v>3622</v>
      </c>
      <c r="P336" t="s">
        <v>4007</v>
      </c>
      <c r="Q336">
        <v>8</v>
      </c>
      <c r="R336" t="s">
        <v>4160</v>
      </c>
    </row>
    <row r="337" spans="1:18" hidden="1" x14ac:dyDescent="0.25">
      <c r="A337" s="1">
        <v>46247</v>
      </c>
      <c r="B337">
        <v>1036965348</v>
      </c>
      <c r="C337" t="s">
        <v>186</v>
      </c>
      <c r="D337" t="s">
        <v>4046</v>
      </c>
      <c r="E337" t="s">
        <v>4011</v>
      </c>
      <c r="F337" t="s">
        <v>4046</v>
      </c>
      <c r="G337" s="1">
        <v>46247</v>
      </c>
      <c r="H337" s="1">
        <v>46247</v>
      </c>
      <c r="I337" s="2">
        <v>0.25</v>
      </c>
      <c r="J337" s="2">
        <v>0.58333333333333337</v>
      </c>
      <c r="K337" t="s">
        <v>4099</v>
      </c>
      <c r="L337">
        <v>0</v>
      </c>
      <c r="M337" t="s">
        <v>4155</v>
      </c>
      <c r="N337" t="s">
        <v>185</v>
      </c>
      <c r="O337" t="s">
        <v>186</v>
      </c>
      <c r="P337" t="s">
        <v>4007</v>
      </c>
      <c r="Q337">
        <v>8</v>
      </c>
    </row>
    <row r="338" spans="1:18" hidden="1" x14ac:dyDescent="0.25">
      <c r="A338" s="1">
        <v>46247</v>
      </c>
      <c r="B338">
        <v>1152462501</v>
      </c>
      <c r="C338" t="s">
        <v>3008</v>
      </c>
      <c r="D338" t="s">
        <v>41</v>
      </c>
      <c r="E338" t="s">
        <v>4011</v>
      </c>
      <c r="F338" t="s">
        <v>4040</v>
      </c>
      <c r="G338" s="1">
        <v>46247</v>
      </c>
      <c r="H338" s="1">
        <v>46248</v>
      </c>
      <c r="I338" s="2">
        <v>0.58333333333333337</v>
      </c>
      <c r="J338" s="2">
        <v>0.875</v>
      </c>
      <c r="K338" t="s">
        <v>123</v>
      </c>
      <c r="L338">
        <v>2</v>
      </c>
      <c r="M338" t="s">
        <v>4154</v>
      </c>
      <c r="N338" t="s">
        <v>122</v>
      </c>
      <c r="O338" t="s">
        <v>123</v>
      </c>
      <c r="P338" t="s">
        <v>21</v>
      </c>
      <c r="Q338">
        <v>7</v>
      </c>
    </row>
    <row r="339" spans="1:18" hidden="1" x14ac:dyDescent="0.25">
      <c r="A339" s="1">
        <v>46247</v>
      </c>
      <c r="B339">
        <v>1053860403</v>
      </c>
      <c r="C339" t="s">
        <v>2271</v>
      </c>
      <c r="D339" t="s">
        <v>211</v>
      </c>
      <c r="E339" t="s">
        <v>4017</v>
      </c>
      <c r="F339" t="s">
        <v>4040</v>
      </c>
      <c r="G339" s="1">
        <v>46247</v>
      </c>
      <c r="H339" s="1"/>
      <c r="I339" s="2">
        <v>0.54166666666666663</v>
      </c>
      <c r="J339" s="2">
        <v>0.875</v>
      </c>
      <c r="K339" t="s">
        <v>4144</v>
      </c>
      <c r="L339">
        <v>2</v>
      </c>
      <c r="M339" t="s">
        <v>4159</v>
      </c>
      <c r="N339" t="s">
        <v>486</v>
      </c>
      <c r="O339" t="s">
        <v>487</v>
      </c>
      <c r="P339" t="s">
        <v>21</v>
      </c>
      <c r="Q339">
        <v>8</v>
      </c>
      <c r="R339" t="s">
        <v>4160</v>
      </c>
    </row>
    <row r="340" spans="1:18" hidden="1" x14ac:dyDescent="0.25">
      <c r="A340" s="1">
        <v>46247</v>
      </c>
      <c r="B340">
        <v>1001369228</v>
      </c>
      <c r="C340" t="s">
        <v>92</v>
      </c>
      <c r="D340" t="s">
        <v>4046</v>
      </c>
      <c r="E340" t="s">
        <v>4017</v>
      </c>
      <c r="F340" t="s">
        <v>4046</v>
      </c>
      <c r="G340" s="1">
        <v>46247</v>
      </c>
      <c r="H340" s="1">
        <v>46248</v>
      </c>
      <c r="I340" s="2">
        <v>0.25</v>
      </c>
      <c r="J340" s="2">
        <v>0.58333333333333337</v>
      </c>
      <c r="K340" t="s">
        <v>4099</v>
      </c>
      <c r="L340">
        <v>0</v>
      </c>
      <c r="M340" t="s">
        <v>4159</v>
      </c>
      <c r="N340" t="s">
        <v>91</v>
      </c>
      <c r="O340" t="s">
        <v>92</v>
      </c>
      <c r="P340" t="s">
        <v>4007</v>
      </c>
      <c r="Q340">
        <v>8</v>
      </c>
    </row>
    <row r="341" spans="1:18" hidden="1" x14ac:dyDescent="0.25">
      <c r="A341" s="1">
        <v>46248</v>
      </c>
      <c r="B341">
        <v>1001013936</v>
      </c>
      <c r="C341" t="s">
        <v>3820</v>
      </c>
      <c r="D341" t="s">
        <v>41</v>
      </c>
      <c r="E341" t="s">
        <v>4011</v>
      </c>
      <c r="F341" t="s">
        <v>25</v>
      </c>
      <c r="G341" s="1">
        <v>46247</v>
      </c>
      <c r="H341" s="1">
        <v>46248</v>
      </c>
      <c r="I341" s="2"/>
      <c r="J341" s="2"/>
      <c r="K341" t="s">
        <v>4099</v>
      </c>
      <c r="L341">
        <v>0</v>
      </c>
      <c r="P341" t="s">
        <v>4007</v>
      </c>
      <c r="Q341">
        <v>0</v>
      </c>
    </row>
    <row r="342" spans="1:18" hidden="1" x14ac:dyDescent="0.25">
      <c r="A342" s="1">
        <v>46248</v>
      </c>
      <c r="B342">
        <v>1234090551</v>
      </c>
      <c r="C342" t="s">
        <v>2193</v>
      </c>
      <c r="D342" t="s">
        <v>89</v>
      </c>
      <c r="E342" t="s">
        <v>4017</v>
      </c>
      <c r="F342" t="s">
        <v>4040</v>
      </c>
      <c r="G342" s="1">
        <v>46247</v>
      </c>
      <c r="H342" s="1">
        <v>46247</v>
      </c>
      <c r="I342" s="2"/>
      <c r="J342" s="2"/>
      <c r="K342" t="s">
        <v>4099</v>
      </c>
      <c r="L342">
        <v>0</v>
      </c>
      <c r="P342" t="s">
        <v>4007</v>
      </c>
      <c r="Q342">
        <v>0</v>
      </c>
    </row>
    <row r="343" spans="1:18" hidden="1" x14ac:dyDescent="0.25">
      <c r="A343" s="1">
        <v>46248</v>
      </c>
      <c r="B343">
        <v>1152436231</v>
      </c>
      <c r="C343" t="s">
        <v>131</v>
      </c>
      <c r="D343" t="s">
        <v>132</v>
      </c>
      <c r="E343" t="s">
        <v>4010</v>
      </c>
      <c r="F343" t="s">
        <v>4040</v>
      </c>
      <c r="G343" s="1">
        <v>46247</v>
      </c>
      <c r="H343" s="1">
        <v>46247</v>
      </c>
      <c r="I343" s="2"/>
      <c r="J343" s="2"/>
      <c r="K343" t="s">
        <v>4099</v>
      </c>
      <c r="L343">
        <v>0</v>
      </c>
      <c r="P343" t="s">
        <v>4007</v>
      </c>
      <c r="Q343">
        <v>0</v>
      </c>
    </row>
    <row r="344" spans="1:18" hidden="1" x14ac:dyDescent="0.25">
      <c r="A344" s="1">
        <v>46248</v>
      </c>
      <c r="B344">
        <v>1036665065</v>
      </c>
      <c r="C344" t="s">
        <v>3654</v>
      </c>
      <c r="D344" t="s">
        <v>51</v>
      </c>
      <c r="E344" t="s">
        <v>4011</v>
      </c>
      <c r="F344" t="s">
        <v>4040</v>
      </c>
      <c r="G344" s="1">
        <v>46247</v>
      </c>
      <c r="H344" s="1">
        <v>46247</v>
      </c>
      <c r="I344" s="2"/>
      <c r="J344" s="2"/>
      <c r="K344" t="s">
        <v>4099</v>
      </c>
      <c r="L344">
        <v>0</v>
      </c>
      <c r="P344" t="s">
        <v>4007</v>
      </c>
      <c r="Q344">
        <v>0</v>
      </c>
    </row>
    <row r="345" spans="1:18" hidden="1" x14ac:dyDescent="0.25">
      <c r="A345" s="1">
        <v>46248</v>
      </c>
      <c r="B345">
        <v>1052409952</v>
      </c>
      <c r="C345" t="s">
        <v>2356</v>
      </c>
      <c r="D345" t="s">
        <v>153</v>
      </c>
      <c r="E345" t="s">
        <v>4010</v>
      </c>
      <c r="F345" t="s">
        <v>4040</v>
      </c>
      <c r="G345" s="1">
        <v>46247</v>
      </c>
      <c r="H345" s="1">
        <v>46247</v>
      </c>
      <c r="I345" s="2"/>
      <c r="J345" s="2"/>
      <c r="K345" t="s">
        <v>4099</v>
      </c>
      <c r="L345">
        <v>0</v>
      </c>
      <c r="P345" t="s">
        <v>4007</v>
      </c>
      <c r="Q345">
        <v>0</v>
      </c>
    </row>
    <row r="346" spans="1:18" hidden="1" x14ac:dyDescent="0.25">
      <c r="A346" s="1">
        <v>46248</v>
      </c>
      <c r="B346">
        <v>1152434926</v>
      </c>
      <c r="C346" t="s">
        <v>3248</v>
      </c>
      <c r="D346" t="s">
        <v>142</v>
      </c>
      <c r="E346" t="s">
        <v>4012</v>
      </c>
      <c r="F346" t="s">
        <v>25</v>
      </c>
      <c r="G346" s="1">
        <v>46247</v>
      </c>
      <c r="H346" s="1">
        <v>46249</v>
      </c>
      <c r="I346" s="2"/>
      <c r="J346" s="2"/>
      <c r="K346" t="s">
        <v>4099</v>
      </c>
      <c r="L346">
        <v>0</v>
      </c>
      <c r="P346" t="s">
        <v>4007</v>
      </c>
      <c r="Q346">
        <v>0</v>
      </c>
    </row>
    <row r="347" spans="1:18" hidden="1" x14ac:dyDescent="0.25">
      <c r="A347" s="1">
        <v>46248</v>
      </c>
      <c r="B347">
        <v>43986125</v>
      </c>
      <c r="C347" t="s">
        <v>1233</v>
      </c>
      <c r="D347" t="s">
        <v>64</v>
      </c>
      <c r="E347" t="s">
        <v>4012</v>
      </c>
      <c r="F347" t="s">
        <v>25</v>
      </c>
      <c r="G347" s="1">
        <v>46246</v>
      </c>
      <c r="H347" s="1">
        <v>46248</v>
      </c>
      <c r="I347" s="2"/>
      <c r="J347" s="2"/>
      <c r="K347" t="s">
        <v>4099</v>
      </c>
      <c r="L347">
        <v>0</v>
      </c>
      <c r="P347" t="s">
        <v>4007</v>
      </c>
      <c r="Q347">
        <v>0</v>
      </c>
    </row>
    <row r="348" spans="1:18" hidden="1" x14ac:dyDescent="0.25">
      <c r="A348" s="1">
        <v>46248</v>
      </c>
      <c r="B348">
        <v>1000100875</v>
      </c>
      <c r="C348" t="s">
        <v>3610</v>
      </c>
      <c r="D348" t="s">
        <v>64</v>
      </c>
      <c r="E348" t="s">
        <v>4012</v>
      </c>
      <c r="F348" t="s">
        <v>25</v>
      </c>
      <c r="G348" s="1">
        <v>46247</v>
      </c>
      <c r="H348" s="1">
        <v>46248</v>
      </c>
      <c r="I348" s="2"/>
      <c r="J348" s="2"/>
      <c r="K348" t="s">
        <v>4099</v>
      </c>
      <c r="L348">
        <v>0</v>
      </c>
      <c r="P348" t="s">
        <v>4007</v>
      </c>
      <c r="Q348">
        <v>0</v>
      </c>
    </row>
    <row r="349" spans="1:18" hidden="1" x14ac:dyDescent="0.25">
      <c r="A349" s="1">
        <v>46248</v>
      </c>
      <c r="B349">
        <v>1003459576</v>
      </c>
      <c r="C349" t="s">
        <v>956</v>
      </c>
      <c r="D349" t="s">
        <v>142</v>
      </c>
      <c r="E349" t="s">
        <v>4012</v>
      </c>
      <c r="F349" t="s">
        <v>4040</v>
      </c>
      <c r="G349" s="1">
        <v>46246</v>
      </c>
      <c r="H349" s="1">
        <v>46248</v>
      </c>
      <c r="I349" s="2"/>
      <c r="J349" s="2"/>
      <c r="K349" t="s">
        <v>4099</v>
      </c>
      <c r="L349">
        <v>0</v>
      </c>
      <c r="P349" t="s">
        <v>4007</v>
      </c>
      <c r="Q349">
        <v>0</v>
      </c>
    </row>
    <row r="350" spans="1:18" hidden="1" x14ac:dyDescent="0.25">
      <c r="A350" s="1">
        <v>46248</v>
      </c>
      <c r="B350">
        <v>1036132488</v>
      </c>
      <c r="C350" t="s">
        <v>150</v>
      </c>
      <c r="D350" t="s">
        <v>142</v>
      </c>
      <c r="E350" t="s">
        <v>4012</v>
      </c>
      <c r="F350" t="s">
        <v>4040</v>
      </c>
      <c r="G350" s="1">
        <v>46246</v>
      </c>
      <c r="H350" s="1">
        <v>46248</v>
      </c>
      <c r="I350" s="2"/>
      <c r="J350" s="2"/>
      <c r="K350" t="s">
        <v>4099</v>
      </c>
      <c r="L350">
        <v>0</v>
      </c>
      <c r="P350" t="s">
        <v>4007</v>
      </c>
      <c r="Q350">
        <v>0</v>
      </c>
    </row>
    <row r="351" spans="1:18" hidden="1" x14ac:dyDescent="0.25">
      <c r="A351" s="1">
        <v>46248</v>
      </c>
      <c r="B351">
        <v>1152462501</v>
      </c>
      <c r="C351" t="s">
        <v>3008</v>
      </c>
      <c r="D351" t="s">
        <v>24</v>
      </c>
      <c r="E351" t="s">
        <v>4011</v>
      </c>
      <c r="F351" t="s">
        <v>4040</v>
      </c>
      <c r="G351" s="1">
        <v>46247</v>
      </c>
      <c r="H351" s="1">
        <v>46248</v>
      </c>
      <c r="I351" s="2"/>
      <c r="J351" s="2"/>
      <c r="K351" t="s">
        <v>4099</v>
      </c>
      <c r="L351">
        <v>0</v>
      </c>
      <c r="P351" t="s">
        <v>4007</v>
      </c>
      <c r="Q351">
        <v>0</v>
      </c>
    </row>
    <row r="352" spans="1:18" hidden="1" x14ac:dyDescent="0.25">
      <c r="A352" s="1">
        <v>46248</v>
      </c>
      <c r="B352">
        <v>1040755197</v>
      </c>
      <c r="C352" t="s">
        <v>3094</v>
      </c>
      <c r="D352" t="s">
        <v>4027</v>
      </c>
      <c r="E352" t="s">
        <v>4011</v>
      </c>
      <c r="F352" t="s">
        <v>4040</v>
      </c>
      <c r="G352" s="1">
        <v>46246</v>
      </c>
      <c r="H352" s="1">
        <v>46246</v>
      </c>
      <c r="I352" s="2"/>
      <c r="J352" s="2"/>
      <c r="K352" t="s">
        <v>4099</v>
      </c>
      <c r="L352">
        <v>0</v>
      </c>
      <c r="P352" t="s">
        <v>4007</v>
      </c>
      <c r="Q352">
        <v>0</v>
      </c>
    </row>
    <row r="353" spans="1:17" hidden="1" x14ac:dyDescent="0.25">
      <c r="A353" s="1">
        <v>46248</v>
      </c>
      <c r="B353">
        <v>43986125</v>
      </c>
      <c r="C353" t="s">
        <v>1233</v>
      </c>
      <c r="D353" t="s">
        <v>64</v>
      </c>
      <c r="E353" t="s">
        <v>4012</v>
      </c>
      <c r="F353" t="s">
        <v>4040</v>
      </c>
      <c r="G353" s="1">
        <v>46246</v>
      </c>
      <c r="H353" s="1">
        <v>46248</v>
      </c>
      <c r="I353" s="2"/>
      <c r="J353" s="2"/>
      <c r="K353" t="s">
        <v>4099</v>
      </c>
      <c r="L353">
        <v>0</v>
      </c>
      <c r="P353" t="s">
        <v>4007</v>
      </c>
      <c r="Q353">
        <v>0</v>
      </c>
    </row>
    <row r="354" spans="1:17" hidden="1" x14ac:dyDescent="0.25">
      <c r="A354" s="1">
        <v>46248</v>
      </c>
      <c r="B354">
        <v>1037671907</v>
      </c>
      <c r="C354" t="s">
        <v>4136</v>
      </c>
      <c r="D354" t="s">
        <v>41</v>
      </c>
      <c r="E354" t="s">
        <v>4011</v>
      </c>
      <c r="F354" t="s">
        <v>4015</v>
      </c>
      <c r="G354" s="1">
        <v>46245</v>
      </c>
      <c r="H354" s="1">
        <v>46247</v>
      </c>
      <c r="I354" s="2"/>
      <c r="J354" s="2"/>
      <c r="K354" t="s">
        <v>4099</v>
      </c>
      <c r="L354">
        <v>0</v>
      </c>
      <c r="P354" t="s">
        <v>4007</v>
      </c>
      <c r="Q354">
        <v>0</v>
      </c>
    </row>
    <row r="355" spans="1:17" hidden="1" x14ac:dyDescent="0.25">
      <c r="A355" s="1">
        <v>46248</v>
      </c>
      <c r="B355">
        <v>1143373273</v>
      </c>
      <c r="C355" t="s">
        <v>1984</v>
      </c>
      <c r="D355" t="s">
        <v>4209</v>
      </c>
      <c r="E355" t="s">
        <v>4017</v>
      </c>
      <c r="F355" t="s">
        <v>25</v>
      </c>
      <c r="G355" s="1">
        <v>46245</v>
      </c>
      <c r="H355" s="1">
        <v>46247</v>
      </c>
      <c r="I355" s="2"/>
      <c r="J355" s="2"/>
      <c r="K355" t="s">
        <v>4099</v>
      </c>
      <c r="L355">
        <v>0</v>
      </c>
      <c r="P355" t="s">
        <v>4007</v>
      </c>
      <c r="Q355">
        <v>0</v>
      </c>
    </row>
    <row r="356" spans="1:17" hidden="1" x14ac:dyDescent="0.25">
      <c r="A356" s="1">
        <v>46248</v>
      </c>
      <c r="B356">
        <v>1000532653</v>
      </c>
      <c r="C356" t="s">
        <v>1117</v>
      </c>
      <c r="D356" t="s">
        <v>82</v>
      </c>
      <c r="E356" t="s">
        <v>4005</v>
      </c>
      <c r="F356" t="s">
        <v>25</v>
      </c>
      <c r="G356" s="1">
        <v>46246</v>
      </c>
      <c r="H356" s="1">
        <v>46246</v>
      </c>
      <c r="I356" s="2"/>
      <c r="J356" s="2"/>
      <c r="K356" t="s">
        <v>4099</v>
      </c>
      <c r="L356">
        <v>0</v>
      </c>
      <c r="P356" t="s">
        <v>4007</v>
      </c>
      <c r="Q356">
        <v>0</v>
      </c>
    </row>
    <row r="357" spans="1:17" hidden="1" x14ac:dyDescent="0.25">
      <c r="A357" s="1">
        <v>46248</v>
      </c>
      <c r="B357">
        <v>1143267842</v>
      </c>
      <c r="C357" t="s">
        <v>1444</v>
      </c>
      <c r="D357" t="s">
        <v>78</v>
      </c>
      <c r="E357" t="s">
        <v>4010</v>
      </c>
      <c r="F357" t="s">
        <v>4040</v>
      </c>
      <c r="G357" s="1">
        <v>46246</v>
      </c>
      <c r="H357" s="1">
        <v>46248</v>
      </c>
      <c r="I357" s="2"/>
      <c r="J357" s="2"/>
      <c r="K357" t="s">
        <v>4099</v>
      </c>
      <c r="L357">
        <v>0</v>
      </c>
      <c r="P357" t="s">
        <v>4007</v>
      </c>
      <c r="Q357">
        <v>0</v>
      </c>
    </row>
    <row r="358" spans="1:17" hidden="1" x14ac:dyDescent="0.25">
      <c r="A358" s="1">
        <v>46248</v>
      </c>
      <c r="B358">
        <v>1082926383</v>
      </c>
      <c r="C358" t="s">
        <v>582</v>
      </c>
      <c r="D358" t="s">
        <v>82</v>
      </c>
      <c r="E358" t="s">
        <v>4005</v>
      </c>
      <c r="F358" t="s">
        <v>25</v>
      </c>
      <c r="G358" s="1">
        <v>46246</v>
      </c>
      <c r="H358" s="1">
        <v>46248</v>
      </c>
      <c r="I358" s="2"/>
      <c r="J358" s="2"/>
      <c r="K358" t="s">
        <v>4099</v>
      </c>
      <c r="L358">
        <v>0</v>
      </c>
      <c r="P358" t="s">
        <v>4007</v>
      </c>
      <c r="Q358">
        <v>0</v>
      </c>
    </row>
    <row r="359" spans="1:17" hidden="1" x14ac:dyDescent="0.25">
      <c r="A359" s="1">
        <v>46248</v>
      </c>
      <c r="B359">
        <v>1098686151</v>
      </c>
      <c r="C359" t="s">
        <v>1826</v>
      </c>
      <c r="D359" t="s">
        <v>15</v>
      </c>
      <c r="E359" t="s">
        <v>4012</v>
      </c>
      <c r="F359" t="s">
        <v>4040</v>
      </c>
      <c r="G359" s="1">
        <v>46246</v>
      </c>
      <c r="H359" s="1">
        <v>46248</v>
      </c>
      <c r="I359" s="2"/>
      <c r="J359" s="2"/>
      <c r="K359" t="s">
        <v>4099</v>
      </c>
      <c r="L359">
        <v>0</v>
      </c>
      <c r="P359" t="s">
        <v>4007</v>
      </c>
      <c r="Q359">
        <v>0</v>
      </c>
    </row>
    <row r="360" spans="1:17" hidden="1" x14ac:dyDescent="0.25">
      <c r="A360" s="1">
        <v>46248</v>
      </c>
      <c r="B360">
        <v>1037644923</v>
      </c>
      <c r="C360" t="s">
        <v>2629</v>
      </c>
      <c r="D360" t="s">
        <v>420</v>
      </c>
      <c r="E360" t="s">
        <v>4010</v>
      </c>
      <c r="F360" t="s">
        <v>4040</v>
      </c>
      <c r="G360" s="1">
        <v>46247</v>
      </c>
      <c r="H360" s="1">
        <v>46247</v>
      </c>
      <c r="I360" s="2"/>
      <c r="J360" s="2"/>
      <c r="K360" t="s">
        <v>4099</v>
      </c>
      <c r="L360">
        <v>0</v>
      </c>
      <c r="P360" t="s">
        <v>4007</v>
      </c>
      <c r="Q360">
        <v>0</v>
      </c>
    </row>
    <row r="361" spans="1:17" hidden="1" x14ac:dyDescent="0.25">
      <c r="A361" s="1">
        <v>46248</v>
      </c>
      <c r="B361">
        <v>1045718883</v>
      </c>
      <c r="C361" t="s">
        <v>47</v>
      </c>
      <c r="D361" t="s">
        <v>78</v>
      </c>
      <c r="E361" t="s">
        <v>4010</v>
      </c>
      <c r="F361" t="s">
        <v>16</v>
      </c>
      <c r="G361" s="1">
        <v>46245</v>
      </c>
      <c r="H361" s="1">
        <v>46370</v>
      </c>
      <c r="I361" s="2"/>
      <c r="J361" s="2"/>
      <c r="K361" t="s">
        <v>4099</v>
      </c>
      <c r="L361">
        <v>0</v>
      </c>
      <c r="P361" t="s">
        <v>4007</v>
      </c>
      <c r="Q361">
        <v>0</v>
      </c>
    </row>
    <row r="362" spans="1:17" hidden="1" x14ac:dyDescent="0.25">
      <c r="A362" s="1">
        <v>46248</v>
      </c>
      <c r="B362">
        <v>1035876080</v>
      </c>
      <c r="C362" t="s">
        <v>120</v>
      </c>
      <c r="D362" t="s">
        <v>121</v>
      </c>
      <c r="E362" t="s">
        <v>4010</v>
      </c>
      <c r="F362" t="s">
        <v>25</v>
      </c>
      <c r="G362" s="1">
        <v>46246</v>
      </c>
      <c r="H362" s="1">
        <v>46254</v>
      </c>
      <c r="I362" s="2"/>
      <c r="J362" s="2"/>
      <c r="K362" t="s">
        <v>4099</v>
      </c>
      <c r="L362">
        <v>0</v>
      </c>
      <c r="P362" t="s">
        <v>4007</v>
      </c>
      <c r="Q362">
        <v>0</v>
      </c>
    </row>
    <row r="363" spans="1:17" hidden="1" x14ac:dyDescent="0.25">
      <c r="A363" s="1">
        <v>46248</v>
      </c>
      <c r="B363">
        <v>1124014714</v>
      </c>
      <c r="C363" t="s">
        <v>2153</v>
      </c>
      <c r="D363" t="s">
        <v>343</v>
      </c>
      <c r="E363" t="s">
        <v>4012</v>
      </c>
      <c r="F363" t="s">
        <v>25</v>
      </c>
      <c r="G363" s="1">
        <v>46244</v>
      </c>
      <c r="H363" s="1">
        <v>46245</v>
      </c>
      <c r="I363" s="2"/>
      <c r="J363" s="2"/>
      <c r="K363" t="s">
        <v>4099</v>
      </c>
      <c r="L363">
        <v>0</v>
      </c>
      <c r="P363" t="s">
        <v>4007</v>
      </c>
      <c r="Q363">
        <v>0</v>
      </c>
    </row>
    <row r="364" spans="1:17" hidden="1" x14ac:dyDescent="0.25">
      <c r="A364" s="1">
        <v>46248</v>
      </c>
      <c r="B364">
        <v>1085265026</v>
      </c>
      <c r="C364" t="s">
        <v>3413</v>
      </c>
      <c r="D364" t="s">
        <v>64</v>
      </c>
      <c r="E364" t="s">
        <v>4012</v>
      </c>
      <c r="F364" t="s">
        <v>90</v>
      </c>
      <c r="G364" s="1">
        <v>46245</v>
      </c>
      <c r="H364" s="1">
        <v>46249</v>
      </c>
      <c r="I364" s="2"/>
      <c r="J364" s="2"/>
      <c r="K364" t="s">
        <v>4099</v>
      </c>
      <c r="L364">
        <v>0</v>
      </c>
      <c r="P364" t="s">
        <v>4007</v>
      </c>
      <c r="Q364">
        <v>0</v>
      </c>
    </row>
    <row r="365" spans="1:17" hidden="1" x14ac:dyDescent="0.25">
      <c r="A365" s="1">
        <v>46248</v>
      </c>
      <c r="B365">
        <v>1000416307</v>
      </c>
      <c r="C365" t="s">
        <v>3014</v>
      </c>
      <c r="D365" t="s">
        <v>82</v>
      </c>
      <c r="E365" t="s">
        <v>4005</v>
      </c>
      <c r="F365" t="s">
        <v>25</v>
      </c>
      <c r="G365" s="1">
        <v>46245</v>
      </c>
      <c r="H365" s="1">
        <v>46246</v>
      </c>
      <c r="I365" s="2"/>
      <c r="J365" s="2"/>
      <c r="K365" t="s">
        <v>4099</v>
      </c>
      <c r="L365">
        <v>0</v>
      </c>
      <c r="P365" t="s">
        <v>4007</v>
      </c>
      <c r="Q365">
        <v>0</v>
      </c>
    </row>
    <row r="366" spans="1:17" hidden="1" x14ac:dyDescent="0.25">
      <c r="A366" s="1">
        <v>46248</v>
      </c>
      <c r="B366">
        <v>1007111078</v>
      </c>
      <c r="C366" t="s">
        <v>3631</v>
      </c>
      <c r="D366" t="s">
        <v>211</v>
      </c>
      <c r="E366" t="s">
        <v>4017</v>
      </c>
      <c r="F366" t="s">
        <v>4053</v>
      </c>
      <c r="G366" s="1">
        <v>46247</v>
      </c>
      <c r="H366" s="1">
        <v>46247</v>
      </c>
      <c r="I366" s="2"/>
      <c r="J366" s="2"/>
      <c r="K366" t="s">
        <v>4099</v>
      </c>
      <c r="L366">
        <v>0</v>
      </c>
      <c r="P366" t="s">
        <v>4007</v>
      </c>
      <c r="Q366">
        <v>0</v>
      </c>
    </row>
    <row r="367" spans="1:17" hidden="1" x14ac:dyDescent="0.25">
      <c r="A367" s="1">
        <v>46248</v>
      </c>
      <c r="B367">
        <v>1193584838</v>
      </c>
      <c r="C367" t="s">
        <v>2955</v>
      </c>
      <c r="D367" t="s">
        <v>142</v>
      </c>
      <c r="E367" t="s">
        <v>4012</v>
      </c>
      <c r="F367" t="s">
        <v>4040</v>
      </c>
      <c r="G367" s="1">
        <v>46245</v>
      </c>
      <c r="H367" s="1">
        <v>46247</v>
      </c>
      <c r="I367" s="2"/>
      <c r="J367" s="2"/>
      <c r="K367" t="s">
        <v>4099</v>
      </c>
      <c r="L367">
        <v>0</v>
      </c>
      <c r="P367" t="s">
        <v>4007</v>
      </c>
      <c r="Q367">
        <v>0</v>
      </c>
    </row>
    <row r="368" spans="1:17" hidden="1" x14ac:dyDescent="0.25">
      <c r="A368" s="1">
        <v>46248</v>
      </c>
      <c r="B368">
        <v>1001897056</v>
      </c>
      <c r="C368" t="s">
        <v>3660</v>
      </c>
      <c r="D368" t="s">
        <v>15</v>
      </c>
      <c r="E368" t="s">
        <v>4012</v>
      </c>
      <c r="F368" t="s">
        <v>4040</v>
      </c>
      <c r="G368" s="1">
        <v>46245</v>
      </c>
      <c r="H368" s="1">
        <v>46249</v>
      </c>
      <c r="I368" s="2"/>
      <c r="J368" s="2"/>
      <c r="K368" t="s">
        <v>4099</v>
      </c>
      <c r="L368">
        <v>0</v>
      </c>
      <c r="P368" t="s">
        <v>4007</v>
      </c>
      <c r="Q368">
        <v>0</v>
      </c>
    </row>
    <row r="369" spans="1:17" hidden="1" x14ac:dyDescent="0.25">
      <c r="A369" s="1">
        <v>46248</v>
      </c>
      <c r="B369">
        <v>1000662062</v>
      </c>
      <c r="C369" t="s">
        <v>260</v>
      </c>
      <c r="D369" t="s">
        <v>64</v>
      </c>
      <c r="E369" t="s">
        <v>4012</v>
      </c>
      <c r="F369" t="s">
        <v>4040</v>
      </c>
      <c r="G369" s="1">
        <v>46245</v>
      </c>
      <c r="H369" s="1">
        <v>46249</v>
      </c>
      <c r="I369" s="2"/>
      <c r="J369" s="2"/>
      <c r="K369" t="s">
        <v>4099</v>
      </c>
      <c r="L369">
        <v>0</v>
      </c>
      <c r="P369" t="s">
        <v>4007</v>
      </c>
      <c r="Q369">
        <v>0</v>
      </c>
    </row>
    <row r="370" spans="1:17" hidden="1" x14ac:dyDescent="0.25">
      <c r="A370" s="1">
        <v>46248</v>
      </c>
      <c r="B370">
        <v>1077462479</v>
      </c>
      <c r="C370" t="s">
        <v>3992</v>
      </c>
      <c r="D370" t="s">
        <v>142</v>
      </c>
      <c r="E370" t="s">
        <v>4012</v>
      </c>
      <c r="F370" t="s">
        <v>4053</v>
      </c>
      <c r="G370" s="1">
        <v>46245</v>
      </c>
      <c r="H370" s="1">
        <v>46247</v>
      </c>
      <c r="I370" s="2"/>
      <c r="J370" s="2"/>
      <c r="K370" t="s">
        <v>4099</v>
      </c>
      <c r="L370">
        <v>0</v>
      </c>
      <c r="P370" t="s">
        <v>4007</v>
      </c>
      <c r="Q370">
        <v>0</v>
      </c>
    </row>
    <row r="371" spans="1:17" hidden="1" x14ac:dyDescent="0.25">
      <c r="A371" s="1">
        <v>46248</v>
      </c>
      <c r="B371">
        <v>1037638426</v>
      </c>
      <c r="C371" t="s">
        <v>44</v>
      </c>
      <c r="D371" t="s">
        <v>41</v>
      </c>
      <c r="E371" t="s">
        <v>4011</v>
      </c>
      <c r="F371" t="s">
        <v>30</v>
      </c>
      <c r="G371" s="1">
        <v>46249</v>
      </c>
      <c r="H371" s="1">
        <v>46262</v>
      </c>
      <c r="I371" s="2"/>
      <c r="J371" s="2"/>
      <c r="K371" t="s">
        <v>4099</v>
      </c>
      <c r="L371">
        <v>0</v>
      </c>
      <c r="P371" t="s">
        <v>4007</v>
      </c>
      <c r="Q371">
        <v>0</v>
      </c>
    </row>
    <row r="372" spans="1:17" hidden="1" x14ac:dyDescent="0.25">
      <c r="A372" s="1">
        <v>46248</v>
      </c>
      <c r="B372">
        <v>1082896324</v>
      </c>
      <c r="C372" t="s">
        <v>77</v>
      </c>
      <c r="D372" t="s">
        <v>78</v>
      </c>
      <c r="E372" t="s">
        <v>4010</v>
      </c>
      <c r="F372" t="s">
        <v>25</v>
      </c>
      <c r="G372" s="1">
        <v>46242</v>
      </c>
      <c r="H372" s="1">
        <v>46272</v>
      </c>
      <c r="I372" s="2"/>
      <c r="J372" s="2"/>
      <c r="K372" t="s">
        <v>4099</v>
      </c>
      <c r="L372">
        <v>0</v>
      </c>
      <c r="P372" t="s">
        <v>4007</v>
      </c>
      <c r="Q372">
        <v>0</v>
      </c>
    </row>
    <row r="373" spans="1:17" hidden="1" x14ac:dyDescent="0.25">
      <c r="A373" s="1">
        <v>46248</v>
      </c>
      <c r="B373">
        <v>1143374438</v>
      </c>
      <c r="C373" t="s">
        <v>85</v>
      </c>
      <c r="D373" t="s">
        <v>41</v>
      </c>
      <c r="E373" t="s">
        <v>4011</v>
      </c>
      <c r="F373" t="s">
        <v>25</v>
      </c>
      <c r="G373" s="1">
        <v>46239</v>
      </c>
      <c r="H373" s="1">
        <v>46268</v>
      </c>
      <c r="I373" s="2"/>
      <c r="J373" s="2"/>
      <c r="K373" t="s">
        <v>4099</v>
      </c>
      <c r="L373">
        <v>0</v>
      </c>
      <c r="P373" t="s">
        <v>4007</v>
      </c>
      <c r="Q373">
        <v>0</v>
      </c>
    </row>
    <row r="374" spans="1:17" hidden="1" x14ac:dyDescent="0.25">
      <c r="A374" s="1">
        <v>46248</v>
      </c>
      <c r="B374">
        <v>1015483595</v>
      </c>
      <c r="C374" t="s">
        <v>243</v>
      </c>
      <c r="D374" t="s">
        <v>34</v>
      </c>
      <c r="E374" t="s">
        <v>4011</v>
      </c>
      <c r="F374" t="s">
        <v>30</v>
      </c>
      <c r="G374" s="1">
        <v>46244</v>
      </c>
      <c r="H374" s="1">
        <v>46265</v>
      </c>
      <c r="I374" s="2"/>
      <c r="J374" s="2"/>
      <c r="K374" t="s">
        <v>4099</v>
      </c>
      <c r="L374">
        <v>0</v>
      </c>
      <c r="P374" t="s">
        <v>4007</v>
      </c>
      <c r="Q374">
        <v>0</v>
      </c>
    </row>
    <row r="375" spans="1:17" hidden="1" x14ac:dyDescent="0.25">
      <c r="A375" s="1">
        <v>46248</v>
      </c>
      <c r="B375">
        <v>1001851670</v>
      </c>
      <c r="C375" t="s">
        <v>14</v>
      </c>
      <c r="D375" t="s">
        <v>15</v>
      </c>
      <c r="E375" t="s">
        <v>4012</v>
      </c>
      <c r="F375" t="s">
        <v>16</v>
      </c>
      <c r="G375" s="1">
        <v>46241</v>
      </c>
      <c r="H375" s="1">
        <v>46366</v>
      </c>
      <c r="I375" s="2"/>
      <c r="J375" s="2"/>
      <c r="K375" t="s">
        <v>4099</v>
      </c>
      <c r="L375">
        <v>0</v>
      </c>
      <c r="P375" t="s">
        <v>4007</v>
      </c>
      <c r="Q375">
        <v>0</v>
      </c>
    </row>
    <row r="376" spans="1:17" hidden="1" x14ac:dyDescent="0.25">
      <c r="A376" s="1">
        <v>46248</v>
      </c>
      <c r="B376">
        <v>1067963513</v>
      </c>
      <c r="C376" t="s">
        <v>112</v>
      </c>
      <c r="D376" t="s">
        <v>29</v>
      </c>
      <c r="E376" t="s">
        <v>4005</v>
      </c>
      <c r="F376" t="s">
        <v>30</v>
      </c>
      <c r="G376" s="1">
        <v>46240</v>
      </c>
      <c r="H376" s="1">
        <v>46265</v>
      </c>
      <c r="I376" s="2"/>
      <c r="J376" s="2"/>
      <c r="K376" t="s">
        <v>4127</v>
      </c>
      <c r="L376">
        <v>0</v>
      </c>
      <c r="P376" t="s">
        <v>4007</v>
      </c>
      <c r="Q376">
        <v>0</v>
      </c>
    </row>
    <row r="377" spans="1:17" hidden="1" x14ac:dyDescent="0.25">
      <c r="A377" s="1">
        <v>46248</v>
      </c>
      <c r="B377">
        <v>1005424850</v>
      </c>
      <c r="C377" t="s">
        <v>56</v>
      </c>
      <c r="D377" t="s">
        <v>57</v>
      </c>
      <c r="E377" t="s">
        <v>4010</v>
      </c>
      <c r="F377" t="s">
        <v>4024</v>
      </c>
      <c r="G377" s="1">
        <v>46247</v>
      </c>
      <c r="H377" s="1">
        <v>46262</v>
      </c>
      <c r="I377" s="2"/>
      <c r="J377" s="2"/>
      <c r="K377" t="s">
        <v>4099</v>
      </c>
      <c r="L377">
        <v>0</v>
      </c>
      <c r="P377" t="s">
        <v>4007</v>
      </c>
      <c r="Q377">
        <v>0</v>
      </c>
    </row>
    <row r="378" spans="1:17" hidden="1" x14ac:dyDescent="0.25">
      <c r="A378" s="1">
        <v>46248</v>
      </c>
      <c r="B378">
        <v>42141273</v>
      </c>
      <c r="C378" t="s">
        <v>210</v>
      </c>
      <c r="D378" t="s">
        <v>211</v>
      </c>
      <c r="E378" t="s">
        <v>4017</v>
      </c>
      <c r="F378" t="s">
        <v>4029</v>
      </c>
      <c r="G378" s="1">
        <v>46238</v>
      </c>
      <c r="H378" s="1">
        <v>46295</v>
      </c>
      <c r="I378" s="2"/>
      <c r="J378" s="2"/>
      <c r="K378" t="s">
        <v>4099</v>
      </c>
      <c r="L378">
        <v>0</v>
      </c>
      <c r="P378" t="s">
        <v>4007</v>
      </c>
      <c r="Q378">
        <v>0</v>
      </c>
    </row>
    <row r="379" spans="1:17" hidden="1" x14ac:dyDescent="0.25">
      <c r="A379" s="1">
        <v>46248</v>
      </c>
      <c r="B379">
        <v>1005424850</v>
      </c>
      <c r="C379" t="s">
        <v>56</v>
      </c>
      <c r="D379" t="s">
        <v>57</v>
      </c>
      <c r="E379" t="s">
        <v>4010</v>
      </c>
      <c r="F379" t="s">
        <v>4040</v>
      </c>
      <c r="G379" s="1">
        <v>46238</v>
      </c>
      <c r="H379" s="1">
        <v>46245</v>
      </c>
      <c r="I379" s="2"/>
      <c r="J379" s="2"/>
      <c r="K379" t="s">
        <v>4099</v>
      </c>
      <c r="L379">
        <v>0</v>
      </c>
      <c r="P379" t="s">
        <v>4007</v>
      </c>
      <c r="Q379">
        <v>0</v>
      </c>
    </row>
    <row r="380" spans="1:17" hidden="1" x14ac:dyDescent="0.25">
      <c r="A380" s="1">
        <v>46248</v>
      </c>
      <c r="B380">
        <v>1001137222</v>
      </c>
      <c r="C380" t="s">
        <v>2860</v>
      </c>
      <c r="D380" t="s">
        <v>78</v>
      </c>
      <c r="E380" t="s">
        <v>4010</v>
      </c>
      <c r="F380" t="s">
        <v>4108</v>
      </c>
      <c r="G380" s="1">
        <v>46246</v>
      </c>
      <c r="H380" s="1">
        <v>46246</v>
      </c>
      <c r="I380" s="2"/>
      <c r="J380" s="2"/>
      <c r="K380" t="s">
        <v>4099</v>
      </c>
      <c r="L380">
        <v>0</v>
      </c>
      <c r="P380" t="s">
        <v>4007</v>
      </c>
      <c r="Q380">
        <v>0</v>
      </c>
    </row>
    <row r="381" spans="1:17" hidden="1" x14ac:dyDescent="0.25">
      <c r="A381" s="1">
        <v>46248</v>
      </c>
      <c r="B381">
        <v>1152221372</v>
      </c>
      <c r="C381" t="s">
        <v>2313</v>
      </c>
      <c r="D381" t="s">
        <v>128</v>
      </c>
      <c r="E381" t="s">
        <v>4005</v>
      </c>
      <c r="F381" t="s">
        <v>4037</v>
      </c>
      <c r="G381" s="1">
        <v>46230</v>
      </c>
      <c r="H381" s="1"/>
      <c r="I381" s="2"/>
      <c r="J381" s="2"/>
      <c r="K381" t="s">
        <v>4099</v>
      </c>
      <c r="L381">
        <v>0</v>
      </c>
      <c r="P381" t="s">
        <v>4007</v>
      </c>
      <c r="Q381">
        <v>0</v>
      </c>
    </row>
    <row r="382" spans="1:17" hidden="1" x14ac:dyDescent="0.25">
      <c r="A382" s="1">
        <v>46248</v>
      </c>
      <c r="B382">
        <v>1004960056</v>
      </c>
      <c r="C382" t="s">
        <v>563</v>
      </c>
      <c r="D382" t="s">
        <v>553</v>
      </c>
      <c r="E382" t="s">
        <v>4010</v>
      </c>
      <c r="F382" t="s">
        <v>4058</v>
      </c>
      <c r="G382" s="1">
        <v>46246</v>
      </c>
      <c r="H382" s="1">
        <v>46247</v>
      </c>
      <c r="I382" s="2"/>
      <c r="J382" s="2"/>
      <c r="K382" t="s">
        <v>4099</v>
      </c>
      <c r="L382">
        <v>0</v>
      </c>
      <c r="P382" t="s">
        <v>4007</v>
      </c>
      <c r="Q382">
        <v>0</v>
      </c>
    </row>
    <row r="383" spans="1:17" hidden="1" x14ac:dyDescent="0.25">
      <c r="A383" s="1">
        <v>46248</v>
      </c>
      <c r="B383">
        <v>1017264032</v>
      </c>
      <c r="C383" t="s">
        <v>63</v>
      </c>
      <c r="D383" t="s">
        <v>64</v>
      </c>
      <c r="E383" t="s">
        <v>4012</v>
      </c>
      <c r="F383" t="s">
        <v>25</v>
      </c>
      <c r="G383" s="1">
        <v>46229</v>
      </c>
      <c r="H383" s="1">
        <v>46258</v>
      </c>
      <c r="I383" s="2"/>
      <c r="J383" s="2"/>
      <c r="K383" t="s">
        <v>4099</v>
      </c>
      <c r="L383">
        <v>0</v>
      </c>
      <c r="P383" t="s">
        <v>4007</v>
      </c>
      <c r="Q383">
        <v>0</v>
      </c>
    </row>
    <row r="384" spans="1:17" hidden="1" x14ac:dyDescent="0.25">
      <c r="A384" s="1">
        <v>46248</v>
      </c>
      <c r="B384">
        <v>1000640883</v>
      </c>
      <c r="C384" t="s">
        <v>3227</v>
      </c>
      <c r="D384" t="s">
        <v>64</v>
      </c>
      <c r="E384" t="s">
        <v>4012</v>
      </c>
      <c r="F384" t="s">
        <v>4040</v>
      </c>
      <c r="G384" s="1">
        <v>46247</v>
      </c>
      <c r="H384" s="1">
        <v>46248</v>
      </c>
      <c r="I384" s="2"/>
      <c r="J384" s="2"/>
      <c r="K384" t="s">
        <v>4099</v>
      </c>
      <c r="L384">
        <v>0</v>
      </c>
      <c r="P384" t="s">
        <v>4007</v>
      </c>
      <c r="Q384">
        <v>0</v>
      </c>
    </row>
    <row r="385" spans="1:17" hidden="1" x14ac:dyDescent="0.25">
      <c r="A385" s="1">
        <v>46248</v>
      </c>
      <c r="B385">
        <v>1071169507</v>
      </c>
      <c r="C385" t="s">
        <v>88</v>
      </c>
      <c r="D385" t="s">
        <v>322</v>
      </c>
      <c r="E385" t="s">
        <v>4017</v>
      </c>
      <c r="F385" t="s">
        <v>90</v>
      </c>
      <c r="G385" s="1">
        <v>46226</v>
      </c>
      <c r="H385" s="1">
        <v>46230</v>
      </c>
      <c r="I385" s="2"/>
      <c r="J385" s="2"/>
      <c r="K385" t="s">
        <v>4099</v>
      </c>
      <c r="L385">
        <v>0</v>
      </c>
      <c r="P385" t="s">
        <v>4007</v>
      </c>
      <c r="Q385">
        <v>0</v>
      </c>
    </row>
    <row r="386" spans="1:17" hidden="1" x14ac:dyDescent="0.25">
      <c r="A386" s="1">
        <v>46248</v>
      </c>
      <c r="B386">
        <v>1037631989</v>
      </c>
      <c r="C386" t="s">
        <v>40</v>
      </c>
      <c r="D386" t="s">
        <v>41</v>
      </c>
      <c r="E386" t="s">
        <v>4011</v>
      </c>
      <c r="F386" t="s">
        <v>25</v>
      </c>
      <c r="G386" s="1">
        <v>46226</v>
      </c>
      <c r="H386" s="1">
        <v>46255</v>
      </c>
      <c r="I386" s="2"/>
      <c r="J386" s="2"/>
      <c r="K386" t="s">
        <v>4099</v>
      </c>
      <c r="L386">
        <v>0</v>
      </c>
      <c r="P386" t="s">
        <v>4007</v>
      </c>
      <c r="Q386">
        <v>0</v>
      </c>
    </row>
    <row r="387" spans="1:17" hidden="1" x14ac:dyDescent="0.25">
      <c r="A387" s="1">
        <v>46248</v>
      </c>
      <c r="B387">
        <v>1143414481</v>
      </c>
      <c r="C387" t="s">
        <v>2395</v>
      </c>
      <c r="D387" t="s">
        <v>41</v>
      </c>
      <c r="E387" t="s">
        <v>4011</v>
      </c>
      <c r="F387" t="s">
        <v>4091</v>
      </c>
      <c r="G387" s="1">
        <v>46247</v>
      </c>
      <c r="H387" s="1">
        <v>46252</v>
      </c>
      <c r="I387" s="2"/>
      <c r="J387" s="2"/>
      <c r="K387" t="s">
        <v>4099</v>
      </c>
      <c r="L387">
        <v>0</v>
      </c>
      <c r="P387" t="s">
        <v>4007</v>
      </c>
      <c r="Q387">
        <v>0</v>
      </c>
    </row>
    <row r="388" spans="1:17" hidden="1" x14ac:dyDescent="0.25">
      <c r="A388" s="1">
        <v>46248</v>
      </c>
      <c r="B388">
        <v>1043006106</v>
      </c>
      <c r="C388" t="s">
        <v>194</v>
      </c>
      <c r="D388" t="s">
        <v>160</v>
      </c>
      <c r="E388" t="s">
        <v>4011</v>
      </c>
      <c r="F388" t="s">
        <v>25</v>
      </c>
      <c r="G388" s="1">
        <v>46219</v>
      </c>
      <c r="H388" s="1">
        <v>46248</v>
      </c>
      <c r="I388" s="2"/>
      <c r="J388" s="2"/>
      <c r="K388" t="s">
        <v>4099</v>
      </c>
      <c r="L388">
        <v>0</v>
      </c>
      <c r="P388" t="s">
        <v>4007</v>
      </c>
      <c r="Q388">
        <v>0</v>
      </c>
    </row>
    <row r="389" spans="1:17" hidden="1" x14ac:dyDescent="0.25">
      <c r="A389" s="1">
        <v>46248</v>
      </c>
      <c r="B389">
        <v>1121506548</v>
      </c>
      <c r="C389" t="s">
        <v>50</v>
      </c>
      <c r="D389" t="s">
        <v>51</v>
      </c>
      <c r="E389" t="s">
        <v>4011</v>
      </c>
      <c r="F389" t="s">
        <v>16</v>
      </c>
      <c r="G389" s="1">
        <v>46217</v>
      </c>
      <c r="H389" s="1">
        <v>46342</v>
      </c>
      <c r="I389" s="2"/>
      <c r="J389" s="2"/>
      <c r="K389" t="s">
        <v>4099</v>
      </c>
      <c r="L389">
        <v>0</v>
      </c>
      <c r="P389" t="s">
        <v>4007</v>
      </c>
      <c r="Q389">
        <v>0</v>
      </c>
    </row>
    <row r="390" spans="1:17" hidden="1" x14ac:dyDescent="0.25">
      <c r="A390" s="1">
        <v>46248</v>
      </c>
      <c r="B390">
        <v>1037630071</v>
      </c>
      <c r="C390" t="s">
        <v>3544</v>
      </c>
      <c r="D390" t="s">
        <v>97</v>
      </c>
      <c r="E390" t="s">
        <v>4005</v>
      </c>
      <c r="F390" t="s">
        <v>4024</v>
      </c>
      <c r="G390" s="1">
        <v>46247</v>
      </c>
      <c r="H390" s="1">
        <v>46265</v>
      </c>
      <c r="I390" s="2"/>
      <c r="J390" s="2"/>
      <c r="K390" t="s">
        <v>4099</v>
      </c>
      <c r="L390">
        <v>0</v>
      </c>
      <c r="P390" t="s">
        <v>4007</v>
      </c>
      <c r="Q390">
        <v>0</v>
      </c>
    </row>
    <row r="391" spans="1:17" hidden="1" x14ac:dyDescent="0.25">
      <c r="A391" s="1">
        <v>46248</v>
      </c>
      <c r="B391">
        <v>1143460426</v>
      </c>
      <c r="C391" t="s">
        <v>4034</v>
      </c>
      <c r="D391" t="s">
        <v>160</v>
      </c>
      <c r="E391" t="s">
        <v>4011</v>
      </c>
      <c r="F391" t="s">
        <v>4015</v>
      </c>
      <c r="G391" s="1">
        <v>46195</v>
      </c>
      <c r="H391" s="1">
        <v>46198</v>
      </c>
      <c r="I391" s="2"/>
      <c r="J391" s="2"/>
      <c r="K391" t="s">
        <v>4099</v>
      </c>
      <c r="L391">
        <v>0</v>
      </c>
      <c r="P391" t="s">
        <v>4007</v>
      </c>
      <c r="Q391">
        <v>0</v>
      </c>
    </row>
    <row r="392" spans="1:17" hidden="1" x14ac:dyDescent="0.25">
      <c r="A392" s="1">
        <v>46248</v>
      </c>
      <c r="B392">
        <v>1001897056</v>
      </c>
      <c r="C392" t="s">
        <v>3660</v>
      </c>
      <c r="D392" t="s">
        <v>128</v>
      </c>
      <c r="E392" t="s">
        <v>4005</v>
      </c>
      <c r="F392" t="s">
        <v>25</v>
      </c>
      <c r="G392" s="1">
        <v>46245</v>
      </c>
      <c r="H392" s="1">
        <v>46249</v>
      </c>
      <c r="I392" s="2"/>
      <c r="J392" s="2"/>
      <c r="K392" t="s">
        <v>4099</v>
      </c>
      <c r="L392">
        <v>0</v>
      </c>
      <c r="P392" t="s">
        <v>4007</v>
      </c>
      <c r="Q392">
        <v>0</v>
      </c>
    </row>
  </sheetData>
  <autoFilter ref="Q400" xr:uid="{FBF85840-306D-457C-BA21-38B74636E9F7}"/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99998-406B-4CB9-84BB-198E6FE9FA92}">
  <dimension ref="A1:E368"/>
  <sheetViews>
    <sheetView zoomScaleNormal="100" workbookViewId="0">
      <selection activeCell="F356" sqref="F356"/>
    </sheetView>
  </sheetViews>
  <sheetFormatPr baseColWidth="10" defaultColWidth="11.42578125" defaultRowHeight="15" x14ac:dyDescent="0.25"/>
  <cols>
    <col min="1" max="1" width="11" bestFit="1" customWidth="1"/>
    <col min="2" max="2" width="39.85546875" bestFit="1" customWidth="1"/>
    <col min="3" max="3" width="10.7109375" bestFit="1" customWidth="1"/>
    <col min="4" max="4" width="16.7109375" bestFit="1" customWidth="1"/>
    <col min="5" max="5" width="22.140625" bestFit="1" customWidth="1"/>
    <col min="6" max="6" width="68.140625" bestFit="1" customWidth="1"/>
  </cols>
  <sheetData>
    <row r="1" spans="1:5" x14ac:dyDescent="0.25">
      <c r="A1" t="s">
        <v>4166</v>
      </c>
      <c r="B1" t="s">
        <v>4167</v>
      </c>
      <c r="C1" t="s">
        <v>4168</v>
      </c>
      <c r="D1" t="s">
        <v>4169</v>
      </c>
      <c r="E1" t="s">
        <v>3</v>
      </c>
    </row>
    <row r="2" spans="1:5" hidden="1" x14ac:dyDescent="0.25">
      <c r="A2" t="s">
        <v>115</v>
      </c>
      <c r="B2" t="s">
        <v>116</v>
      </c>
      <c r="C2" s="1">
        <v>46235</v>
      </c>
      <c r="D2" t="s">
        <v>4159</v>
      </c>
      <c r="E2" t="s">
        <v>4170</v>
      </c>
    </row>
    <row r="3" spans="1:5" hidden="1" x14ac:dyDescent="0.25">
      <c r="A3" t="s">
        <v>1435</v>
      </c>
      <c r="B3" t="s">
        <v>1436</v>
      </c>
      <c r="C3" s="1">
        <v>46235</v>
      </c>
      <c r="D3" t="s">
        <v>4154</v>
      </c>
      <c r="E3" t="s">
        <v>4171</v>
      </c>
    </row>
    <row r="4" spans="1:5" hidden="1" x14ac:dyDescent="0.25">
      <c r="A4" t="s">
        <v>1346</v>
      </c>
      <c r="B4" t="s">
        <v>1347</v>
      </c>
      <c r="C4" s="1">
        <v>46235</v>
      </c>
      <c r="D4" t="s">
        <v>4157</v>
      </c>
      <c r="E4" t="s">
        <v>4172</v>
      </c>
    </row>
    <row r="5" spans="1:5" hidden="1" x14ac:dyDescent="0.25">
      <c r="A5" t="s">
        <v>69</v>
      </c>
      <c r="B5" t="s">
        <v>70</v>
      </c>
      <c r="C5" s="1">
        <v>46235</v>
      </c>
      <c r="D5" t="s">
        <v>4155</v>
      </c>
      <c r="E5" t="s">
        <v>4173</v>
      </c>
    </row>
    <row r="6" spans="1:5" hidden="1" x14ac:dyDescent="0.25">
      <c r="A6" t="s">
        <v>252</v>
      </c>
      <c r="B6" t="s">
        <v>253</v>
      </c>
      <c r="C6" s="1">
        <v>46235</v>
      </c>
      <c r="D6" t="s">
        <v>4154</v>
      </c>
      <c r="E6" t="s">
        <v>4171</v>
      </c>
    </row>
    <row r="7" spans="1:5" hidden="1" x14ac:dyDescent="0.25">
      <c r="A7" t="s">
        <v>244</v>
      </c>
      <c r="B7" t="s">
        <v>245</v>
      </c>
      <c r="C7" s="1">
        <v>46235</v>
      </c>
      <c r="D7" t="s">
        <v>4154</v>
      </c>
      <c r="E7" t="s">
        <v>4174</v>
      </c>
    </row>
    <row r="8" spans="1:5" hidden="1" x14ac:dyDescent="0.25">
      <c r="A8" t="s">
        <v>106</v>
      </c>
      <c r="B8" t="s">
        <v>107</v>
      </c>
      <c r="C8" s="1">
        <v>46235</v>
      </c>
      <c r="D8" t="s">
        <v>4157</v>
      </c>
      <c r="E8" t="s">
        <v>4175</v>
      </c>
    </row>
    <row r="9" spans="1:5" hidden="1" x14ac:dyDescent="0.25">
      <c r="A9" t="s">
        <v>73</v>
      </c>
      <c r="B9" t="s">
        <v>74</v>
      </c>
      <c r="C9" s="1">
        <v>46235</v>
      </c>
      <c r="D9" t="s">
        <v>4154</v>
      </c>
      <c r="E9" t="s">
        <v>4176</v>
      </c>
    </row>
    <row r="10" spans="1:5" hidden="1" x14ac:dyDescent="0.25">
      <c r="A10" t="s">
        <v>17</v>
      </c>
      <c r="B10" t="s">
        <v>18</v>
      </c>
      <c r="C10" s="1">
        <v>46235</v>
      </c>
      <c r="D10" t="s">
        <v>4154</v>
      </c>
      <c r="E10" t="s">
        <v>4177</v>
      </c>
    </row>
    <row r="11" spans="1:5" hidden="1" x14ac:dyDescent="0.25">
      <c r="A11" t="s">
        <v>219</v>
      </c>
      <c r="B11" t="s">
        <v>220</v>
      </c>
      <c r="C11" s="1">
        <v>46235</v>
      </c>
      <c r="D11" t="s">
        <v>4156</v>
      </c>
      <c r="E11" t="s">
        <v>4178</v>
      </c>
    </row>
    <row r="12" spans="1:5" hidden="1" x14ac:dyDescent="0.25">
      <c r="A12" t="s">
        <v>134</v>
      </c>
      <c r="B12" t="s">
        <v>135</v>
      </c>
      <c r="C12" s="1">
        <v>46235</v>
      </c>
      <c r="D12" t="s">
        <v>4159</v>
      </c>
      <c r="E12" t="s">
        <v>4170</v>
      </c>
    </row>
    <row r="13" spans="1:5" hidden="1" x14ac:dyDescent="0.25">
      <c r="A13" t="s">
        <v>2886</v>
      </c>
      <c r="B13" t="s">
        <v>2887</v>
      </c>
      <c r="C13" s="1">
        <v>46235</v>
      </c>
      <c r="D13" t="s">
        <v>4157</v>
      </c>
      <c r="E13" t="s">
        <v>4175</v>
      </c>
    </row>
    <row r="14" spans="1:5" hidden="1" x14ac:dyDescent="0.25">
      <c r="A14" t="s">
        <v>225</v>
      </c>
      <c r="B14" t="s">
        <v>226</v>
      </c>
      <c r="C14" s="1">
        <v>46235</v>
      </c>
      <c r="D14" t="s">
        <v>4157</v>
      </c>
      <c r="E14" t="s">
        <v>4172</v>
      </c>
    </row>
    <row r="15" spans="1:5" hidden="1" x14ac:dyDescent="0.25">
      <c r="A15" t="s">
        <v>230</v>
      </c>
      <c r="B15" t="s">
        <v>231</v>
      </c>
      <c r="C15" s="1">
        <v>46235</v>
      </c>
      <c r="D15" t="s">
        <v>4159</v>
      </c>
      <c r="E15" t="s">
        <v>4170</v>
      </c>
    </row>
    <row r="16" spans="1:5" hidden="1" x14ac:dyDescent="0.25">
      <c r="A16" t="s">
        <v>212</v>
      </c>
      <c r="B16" t="s">
        <v>213</v>
      </c>
      <c r="C16" s="1">
        <v>46235</v>
      </c>
      <c r="D16" t="s">
        <v>4159</v>
      </c>
      <c r="E16" t="s">
        <v>4170</v>
      </c>
    </row>
    <row r="17" spans="1:5" hidden="1" x14ac:dyDescent="0.25">
      <c r="A17" t="s">
        <v>137</v>
      </c>
      <c r="B17" t="s">
        <v>138</v>
      </c>
      <c r="C17" s="1">
        <v>46235</v>
      </c>
      <c r="D17" t="s">
        <v>4156</v>
      </c>
      <c r="E17" t="s">
        <v>4178</v>
      </c>
    </row>
    <row r="18" spans="1:5" hidden="1" x14ac:dyDescent="0.25">
      <c r="A18" t="s">
        <v>147</v>
      </c>
      <c r="B18" t="s">
        <v>148</v>
      </c>
      <c r="C18" s="1">
        <v>46235</v>
      </c>
      <c r="D18" t="s">
        <v>4156</v>
      </c>
      <c r="E18" t="s">
        <v>4179</v>
      </c>
    </row>
    <row r="19" spans="1:5" hidden="1" x14ac:dyDescent="0.25">
      <c r="A19" t="s">
        <v>188</v>
      </c>
      <c r="B19" t="s">
        <v>189</v>
      </c>
      <c r="C19" s="1">
        <v>46235</v>
      </c>
      <c r="D19" t="s">
        <v>4154</v>
      </c>
      <c r="E19" t="s">
        <v>4171</v>
      </c>
    </row>
    <row r="20" spans="1:5" hidden="1" x14ac:dyDescent="0.25">
      <c r="A20" t="s">
        <v>65</v>
      </c>
      <c r="B20" t="s">
        <v>66</v>
      </c>
      <c r="C20" s="1">
        <v>46235</v>
      </c>
      <c r="D20" t="s">
        <v>4157</v>
      </c>
      <c r="E20" t="s">
        <v>4175</v>
      </c>
    </row>
    <row r="21" spans="1:5" hidden="1" x14ac:dyDescent="0.25">
      <c r="A21" t="s">
        <v>237</v>
      </c>
      <c r="B21" t="s">
        <v>238</v>
      </c>
      <c r="C21" s="1">
        <v>46235</v>
      </c>
      <c r="D21" t="s">
        <v>4157</v>
      </c>
      <c r="E21" t="s">
        <v>4172</v>
      </c>
    </row>
    <row r="22" spans="1:5" hidden="1" x14ac:dyDescent="0.25">
      <c r="A22" t="s">
        <v>178</v>
      </c>
      <c r="B22" t="s">
        <v>179</v>
      </c>
      <c r="C22" s="1">
        <v>46235</v>
      </c>
      <c r="D22" t="s">
        <v>4155</v>
      </c>
      <c r="E22" t="s">
        <v>4173</v>
      </c>
    </row>
    <row r="23" spans="1:5" hidden="1" x14ac:dyDescent="0.25">
      <c r="A23" t="s">
        <v>247</v>
      </c>
      <c r="B23" t="s">
        <v>248</v>
      </c>
      <c r="C23" s="1">
        <v>46235</v>
      </c>
      <c r="D23" t="s">
        <v>4157</v>
      </c>
      <c r="E23" t="s">
        <v>4180</v>
      </c>
    </row>
    <row r="24" spans="1:5" hidden="1" x14ac:dyDescent="0.25">
      <c r="A24" t="s">
        <v>58</v>
      </c>
      <c r="B24" t="s">
        <v>59</v>
      </c>
      <c r="C24" s="1">
        <v>46235</v>
      </c>
      <c r="D24" t="s">
        <v>4154</v>
      </c>
      <c r="E24" t="s">
        <v>4171</v>
      </c>
    </row>
    <row r="25" spans="1:5" hidden="1" x14ac:dyDescent="0.25">
      <c r="A25" t="s">
        <v>144</v>
      </c>
      <c r="B25" t="s">
        <v>145</v>
      </c>
      <c r="C25" s="1">
        <v>46235</v>
      </c>
      <c r="D25" t="s">
        <v>4157</v>
      </c>
      <c r="E25" t="s">
        <v>4180</v>
      </c>
    </row>
    <row r="26" spans="1:5" hidden="1" x14ac:dyDescent="0.25">
      <c r="A26" t="s">
        <v>1318</v>
      </c>
      <c r="B26" t="s">
        <v>1319</v>
      </c>
      <c r="C26" s="1">
        <v>46235</v>
      </c>
      <c r="D26" t="s">
        <v>4157</v>
      </c>
      <c r="E26" t="s">
        <v>4180</v>
      </c>
    </row>
    <row r="27" spans="1:5" hidden="1" x14ac:dyDescent="0.25">
      <c r="A27" t="s">
        <v>216</v>
      </c>
      <c r="B27" t="s">
        <v>217</v>
      </c>
      <c r="C27" s="1">
        <v>46235</v>
      </c>
      <c r="D27" t="s">
        <v>4154</v>
      </c>
      <c r="E27" t="s">
        <v>4176</v>
      </c>
    </row>
    <row r="28" spans="1:5" hidden="1" x14ac:dyDescent="0.25">
      <c r="A28" t="s">
        <v>98</v>
      </c>
      <c r="B28" t="s">
        <v>99</v>
      </c>
      <c r="C28" s="1">
        <v>46235</v>
      </c>
      <c r="D28" t="s">
        <v>4154</v>
      </c>
      <c r="E28" t="s">
        <v>4181</v>
      </c>
    </row>
    <row r="29" spans="1:5" hidden="1" x14ac:dyDescent="0.25">
      <c r="A29" t="s">
        <v>203</v>
      </c>
      <c r="B29" t="s">
        <v>204</v>
      </c>
      <c r="C29" s="1">
        <v>46235</v>
      </c>
      <c r="D29" t="s">
        <v>4157</v>
      </c>
      <c r="E29" t="s">
        <v>4182</v>
      </c>
    </row>
    <row r="30" spans="1:5" hidden="1" x14ac:dyDescent="0.25">
      <c r="A30" t="s">
        <v>256</v>
      </c>
      <c r="B30" t="s">
        <v>257</v>
      </c>
      <c r="C30" s="1">
        <v>46235</v>
      </c>
      <c r="D30" t="s">
        <v>4159</v>
      </c>
      <c r="E30" t="s">
        <v>4183</v>
      </c>
    </row>
    <row r="31" spans="1:5" hidden="1" x14ac:dyDescent="0.25">
      <c r="A31" t="s">
        <v>35</v>
      </c>
      <c r="B31" t="s">
        <v>36</v>
      </c>
      <c r="C31" s="1">
        <v>46235</v>
      </c>
      <c r="D31" t="s">
        <v>4155</v>
      </c>
      <c r="E31" t="s">
        <v>4184</v>
      </c>
    </row>
    <row r="32" spans="1:5" hidden="1" x14ac:dyDescent="0.25">
      <c r="A32" t="s">
        <v>206</v>
      </c>
      <c r="B32" t="s">
        <v>207</v>
      </c>
      <c r="C32" s="1">
        <v>46235</v>
      </c>
      <c r="D32" t="s">
        <v>4154</v>
      </c>
      <c r="E32" t="s">
        <v>4174</v>
      </c>
    </row>
    <row r="33" spans="1:5" hidden="1" x14ac:dyDescent="0.25">
      <c r="A33" t="s">
        <v>185</v>
      </c>
      <c r="B33" t="s">
        <v>186</v>
      </c>
      <c r="C33" s="1">
        <v>46235</v>
      </c>
      <c r="D33" t="s">
        <v>4155</v>
      </c>
      <c r="E33" t="s">
        <v>4184</v>
      </c>
    </row>
    <row r="34" spans="1:5" hidden="1" x14ac:dyDescent="0.25">
      <c r="A34" t="s">
        <v>122</v>
      </c>
      <c r="B34" t="s">
        <v>123</v>
      </c>
      <c r="C34" s="1">
        <v>46235</v>
      </c>
      <c r="D34" t="s">
        <v>4157</v>
      </c>
      <c r="E34" t="s">
        <v>4182</v>
      </c>
    </row>
    <row r="35" spans="1:5" hidden="1" x14ac:dyDescent="0.25">
      <c r="A35" t="s">
        <v>191</v>
      </c>
      <c r="B35" t="s">
        <v>192</v>
      </c>
      <c r="C35" s="1">
        <v>46235</v>
      </c>
      <c r="D35" t="s">
        <v>4159</v>
      </c>
      <c r="E35" t="s">
        <v>4183</v>
      </c>
    </row>
    <row r="36" spans="1:5" hidden="1" x14ac:dyDescent="0.25">
      <c r="A36" t="s">
        <v>486</v>
      </c>
      <c r="B36" t="s">
        <v>487</v>
      </c>
      <c r="C36" s="1">
        <v>46235</v>
      </c>
      <c r="D36" t="s">
        <v>4159</v>
      </c>
      <c r="E36" t="s">
        <v>4170</v>
      </c>
    </row>
    <row r="37" spans="1:5" hidden="1" x14ac:dyDescent="0.25">
      <c r="A37" t="s">
        <v>162</v>
      </c>
      <c r="B37" t="s">
        <v>163</v>
      </c>
      <c r="C37" s="1">
        <v>46235</v>
      </c>
      <c r="D37" t="s">
        <v>4154</v>
      </c>
      <c r="E37" t="s">
        <v>4176</v>
      </c>
    </row>
    <row r="38" spans="1:5" hidden="1" x14ac:dyDescent="0.25">
      <c r="A38" t="s">
        <v>3621</v>
      </c>
      <c r="B38" t="s">
        <v>3622</v>
      </c>
      <c r="C38" s="1">
        <v>46235</v>
      </c>
      <c r="D38" t="s">
        <v>4159</v>
      </c>
      <c r="E38" t="s">
        <v>4170</v>
      </c>
    </row>
    <row r="39" spans="1:5" hidden="1" x14ac:dyDescent="0.25">
      <c r="A39" t="s">
        <v>154</v>
      </c>
      <c r="B39" t="s">
        <v>155</v>
      </c>
      <c r="C39" s="1">
        <v>46235</v>
      </c>
      <c r="D39" t="s">
        <v>4157</v>
      </c>
      <c r="E39" t="s">
        <v>4182</v>
      </c>
    </row>
    <row r="40" spans="1:5" hidden="1" x14ac:dyDescent="0.25">
      <c r="A40" t="s">
        <v>91</v>
      </c>
      <c r="B40" t="s">
        <v>92</v>
      </c>
      <c r="C40" s="1">
        <v>46235</v>
      </c>
      <c r="D40" t="s">
        <v>4159</v>
      </c>
      <c r="E40" t="s">
        <v>4170</v>
      </c>
    </row>
    <row r="41" spans="1:5" hidden="1" x14ac:dyDescent="0.25">
      <c r="A41" t="s">
        <v>198</v>
      </c>
      <c r="B41" t="s">
        <v>199</v>
      </c>
      <c r="C41" s="1">
        <v>46235</v>
      </c>
      <c r="D41" t="s">
        <v>4157</v>
      </c>
      <c r="E41" t="s">
        <v>4182</v>
      </c>
    </row>
    <row r="42" spans="1:5" hidden="1" x14ac:dyDescent="0.25">
      <c r="A42" t="s">
        <v>4185</v>
      </c>
      <c r="B42" t="s">
        <v>4186</v>
      </c>
      <c r="C42" s="1">
        <v>46235</v>
      </c>
      <c r="D42" t="s">
        <v>4155</v>
      </c>
      <c r="E42" t="s">
        <v>4173</v>
      </c>
    </row>
    <row r="43" spans="1:5" hidden="1" x14ac:dyDescent="0.25">
      <c r="A43" t="s">
        <v>240</v>
      </c>
      <c r="B43" t="s">
        <v>241</v>
      </c>
      <c r="C43" s="1">
        <v>46235</v>
      </c>
      <c r="D43" t="s">
        <v>4155</v>
      </c>
      <c r="E43" t="s">
        <v>4173</v>
      </c>
    </row>
    <row r="44" spans="1:5" hidden="1" x14ac:dyDescent="0.25">
      <c r="A44" t="s">
        <v>167</v>
      </c>
      <c r="B44" t="s">
        <v>168</v>
      </c>
      <c r="C44" s="1">
        <v>46235</v>
      </c>
      <c r="D44" t="s">
        <v>4154</v>
      </c>
      <c r="E44" t="s">
        <v>4177</v>
      </c>
    </row>
    <row r="45" spans="1:5" hidden="1" x14ac:dyDescent="0.25">
      <c r="A45" t="s">
        <v>171</v>
      </c>
      <c r="B45" t="s">
        <v>172</v>
      </c>
      <c r="C45" s="1">
        <v>46235</v>
      </c>
      <c r="D45" t="s">
        <v>4154</v>
      </c>
      <c r="E45" t="s">
        <v>4177</v>
      </c>
    </row>
    <row r="46" spans="1:5" hidden="1" x14ac:dyDescent="0.25">
      <c r="A46" t="s">
        <v>115</v>
      </c>
      <c r="B46" t="s">
        <v>116</v>
      </c>
      <c r="C46" s="1">
        <v>46237</v>
      </c>
      <c r="D46" t="s">
        <v>4159</v>
      </c>
      <c r="E46" t="s">
        <v>4170</v>
      </c>
    </row>
    <row r="47" spans="1:5" hidden="1" x14ac:dyDescent="0.25">
      <c r="A47" t="s">
        <v>1435</v>
      </c>
      <c r="B47" t="s">
        <v>1436</v>
      </c>
      <c r="C47" s="1">
        <v>46237</v>
      </c>
      <c r="D47" t="s">
        <v>4154</v>
      </c>
      <c r="E47" t="s">
        <v>4171</v>
      </c>
    </row>
    <row r="48" spans="1:5" hidden="1" x14ac:dyDescent="0.25">
      <c r="A48" t="s">
        <v>1346</v>
      </c>
      <c r="B48" t="s">
        <v>1347</v>
      </c>
      <c r="C48" s="1">
        <v>46237</v>
      </c>
      <c r="D48" t="s">
        <v>4157</v>
      </c>
      <c r="E48" t="s">
        <v>4172</v>
      </c>
    </row>
    <row r="49" spans="1:5" hidden="1" x14ac:dyDescent="0.25">
      <c r="A49" t="s">
        <v>69</v>
      </c>
      <c r="B49" t="s">
        <v>70</v>
      </c>
      <c r="C49" s="1">
        <v>46237</v>
      </c>
      <c r="D49" t="s">
        <v>4155</v>
      </c>
      <c r="E49" t="s">
        <v>4173</v>
      </c>
    </row>
    <row r="50" spans="1:5" hidden="1" x14ac:dyDescent="0.25">
      <c r="A50" t="s">
        <v>252</v>
      </c>
      <c r="B50" t="s">
        <v>253</v>
      </c>
      <c r="C50" s="1">
        <v>46237</v>
      </c>
      <c r="D50" t="s">
        <v>4154</v>
      </c>
      <c r="E50" t="s">
        <v>4171</v>
      </c>
    </row>
    <row r="51" spans="1:5" hidden="1" x14ac:dyDescent="0.25">
      <c r="A51" t="s">
        <v>244</v>
      </c>
      <c r="B51" t="s">
        <v>245</v>
      </c>
      <c r="C51" s="1">
        <v>46237</v>
      </c>
      <c r="D51" t="s">
        <v>4154</v>
      </c>
      <c r="E51" t="s">
        <v>4174</v>
      </c>
    </row>
    <row r="52" spans="1:5" hidden="1" x14ac:dyDescent="0.25">
      <c r="A52" t="s">
        <v>106</v>
      </c>
      <c r="B52" t="s">
        <v>107</v>
      </c>
      <c r="C52" s="1">
        <v>46237</v>
      </c>
      <c r="D52" t="s">
        <v>4157</v>
      </c>
      <c r="E52" t="s">
        <v>4175</v>
      </c>
    </row>
    <row r="53" spans="1:5" hidden="1" x14ac:dyDescent="0.25">
      <c r="A53" t="s">
        <v>17</v>
      </c>
      <c r="B53" t="s">
        <v>18</v>
      </c>
      <c r="C53" s="1">
        <v>46237</v>
      </c>
      <c r="D53" t="s">
        <v>4154</v>
      </c>
      <c r="E53" t="s">
        <v>4177</v>
      </c>
    </row>
    <row r="54" spans="1:5" hidden="1" x14ac:dyDescent="0.25">
      <c r="A54" t="s">
        <v>219</v>
      </c>
      <c r="B54" t="s">
        <v>220</v>
      </c>
      <c r="C54" s="1">
        <v>46237</v>
      </c>
      <c r="D54" t="s">
        <v>4156</v>
      </c>
      <c r="E54" t="s">
        <v>4178</v>
      </c>
    </row>
    <row r="55" spans="1:5" hidden="1" x14ac:dyDescent="0.25">
      <c r="A55" t="s">
        <v>134</v>
      </c>
      <c r="B55" t="s">
        <v>135</v>
      </c>
      <c r="C55" s="1">
        <v>46237</v>
      </c>
      <c r="D55" t="s">
        <v>4159</v>
      </c>
      <c r="E55" t="s">
        <v>4170</v>
      </c>
    </row>
    <row r="56" spans="1:5" hidden="1" x14ac:dyDescent="0.25">
      <c r="A56" t="s">
        <v>2886</v>
      </c>
      <c r="B56" t="s">
        <v>2887</v>
      </c>
      <c r="C56" s="1">
        <v>46237</v>
      </c>
      <c r="D56" t="s">
        <v>4157</v>
      </c>
      <c r="E56" t="s">
        <v>4175</v>
      </c>
    </row>
    <row r="57" spans="1:5" hidden="1" x14ac:dyDescent="0.25">
      <c r="A57" t="s">
        <v>225</v>
      </c>
      <c r="B57" t="s">
        <v>226</v>
      </c>
      <c r="C57" s="1">
        <v>46237</v>
      </c>
      <c r="D57" t="s">
        <v>4157</v>
      </c>
      <c r="E57" t="s">
        <v>4172</v>
      </c>
    </row>
    <row r="58" spans="1:5" hidden="1" x14ac:dyDescent="0.25">
      <c r="A58" t="s">
        <v>230</v>
      </c>
      <c r="B58" t="s">
        <v>231</v>
      </c>
      <c r="C58" s="1">
        <v>46237</v>
      </c>
      <c r="D58" t="s">
        <v>4159</v>
      </c>
      <c r="E58" t="s">
        <v>4170</v>
      </c>
    </row>
    <row r="59" spans="1:5" hidden="1" x14ac:dyDescent="0.25">
      <c r="A59" t="s">
        <v>212</v>
      </c>
      <c r="B59" t="s">
        <v>213</v>
      </c>
      <c r="C59" s="1">
        <v>46237</v>
      </c>
      <c r="D59" t="s">
        <v>4159</v>
      </c>
      <c r="E59" t="s">
        <v>4170</v>
      </c>
    </row>
    <row r="60" spans="1:5" hidden="1" x14ac:dyDescent="0.25">
      <c r="A60" t="s">
        <v>137</v>
      </c>
      <c r="B60" t="s">
        <v>138</v>
      </c>
      <c r="C60" s="1">
        <v>46237</v>
      </c>
      <c r="D60" t="s">
        <v>4156</v>
      </c>
      <c r="E60" t="s">
        <v>4178</v>
      </c>
    </row>
    <row r="61" spans="1:5" hidden="1" x14ac:dyDescent="0.25">
      <c r="A61" t="s">
        <v>147</v>
      </c>
      <c r="B61" t="s">
        <v>148</v>
      </c>
      <c r="C61" s="1">
        <v>46237</v>
      </c>
      <c r="D61" t="s">
        <v>4156</v>
      </c>
      <c r="E61" t="s">
        <v>4179</v>
      </c>
    </row>
    <row r="62" spans="1:5" hidden="1" x14ac:dyDescent="0.25">
      <c r="A62" t="s">
        <v>188</v>
      </c>
      <c r="B62" t="s">
        <v>189</v>
      </c>
      <c r="C62" s="1">
        <v>46237</v>
      </c>
      <c r="D62" t="s">
        <v>4154</v>
      </c>
      <c r="E62" t="s">
        <v>4171</v>
      </c>
    </row>
    <row r="63" spans="1:5" hidden="1" x14ac:dyDescent="0.25">
      <c r="A63" t="s">
        <v>65</v>
      </c>
      <c r="B63" t="s">
        <v>66</v>
      </c>
      <c r="C63" s="1">
        <v>46237</v>
      </c>
      <c r="D63" t="s">
        <v>4157</v>
      </c>
      <c r="E63" t="s">
        <v>4175</v>
      </c>
    </row>
    <row r="64" spans="1:5" hidden="1" x14ac:dyDescent="0.25">
      <c r="A64" t="s">
        <v>237</v>
      </c>
      <c r="B64" t="s">
        <v>238</v>
      </c>
      <c r="C64" s="1">
        <v>46237</v>
      </c>
      <c r="D64" t="s">
        <v>4157</v>
      </c>
      <c r="E64" t="s">
        <v>4172</v>
      </c>
    </row>
    <row r="65" spans="1:5" hidden="1" x14ac:dyDescent="0.25">
      <c r="A65" t="s">
        <v>178</v>
      </c>
      <c r="B65" t="s">
        <v>179</v>
      </c>
      <c r="C65" s="1">
        <v>46237</v>
      </c>
      <c r="D65" t="s">
        <v>4155</v>
      </c>
      <c r="E65" t="s">
        <v>4173</v>
      </c>
    </row>
    <row r="66" spans="1:5" hidden="1" x14ac:dyDescent="0.25">
      <c r="A66" t="s">
        <v>247</v>
      </c>
      <c r="B66" t="s">
        <v>248</v>
      </c>
      <c r="C66" s="1">
        <v>46237</v>
      </c>
      <c r="D66" t="s">
        <v>4157</v>
      </c>
      <c r="E66" t="s">
        <v>4180</v>
      </c>
    </row>
    <row r="67" spans="1:5" hidden="1" x14ac:dyDescent="0.25">
      <c r="A67" t="s">
        <v>58</v>
      </c>
      <c r="B67" t="s">
        <v>59</v>
      </c>
      <c r="C67" s="1">
        <v>46237</v>
      </c>
      <c r="D67" t="s">
        <v>4154</v>
      </c>
      <c r="E67" t="s">
        <v>4171</v>
      </c>
    </row>
    <row r="68" spans="1:5" hidden="1" x14ac:dyDescent="0.25">
      <c r="A68" t="s">
        <v>144</v>
      </c>
      <c r="B68" t="s">
        <v>145</v>
      </c>
      <c r="C68" s="1">
        <v>46237</v>
      </c>
      <c r="D68" t="s">
        <v>4157</v>
      </c>
      <c r="E68" t="s">
        <v>4180</v>
      </c>
    </row>
    <row r="69" spans="1:5" hidden="1" x14ac:dyDescent="0.25">
      <c r="A69" t="s">
        <v>1318</v>
      </c>
      <c r="B69" t="s">
        <v>1319</v>
      </c>
      <c r="C69" s="1">
        <v>46237</v>
      </c>
      <c r="D69" t="s">
        <v>4157</v>
      </c>
      <c r="E69" t="s">
        <v>4180</v>
      </c>
    </row>
    <row r="70" spans="1:5" hidden="1" x14ac:dyDescent="0.25">
      <c r="A70" t="s">
        <v>216</v>
      </c>
      <c r="B70" t="s">
        <v>217</v>
      </c>
      <c r="C70" s="1">
        <v>46237</v>
      </c>
      <c r="D70" t="s">
        <v>4154</v>
      </c>
      <c r="E70" t="s">
        <v>4176</v>
      </c>
    </row>
    <row r="71" spans="1:5" hidden="1" x14ac:dyDescent="0.25">
      <c r="A71" t="s">
        <v>98</v>
      </c>
      <c r="B71" t="s">
        <v>99</v>
      </c>
      <c r="C71" s="1">
        <v>46237</v>
      </c>
      <c r="D71" t="s">
        <v>4154</v>
      </c>
      <c r="E71" t="s">
        <v>4181</v>
      </c>
    </row>
    <row r="72" spans="1:5" hidden="1" x14ac:dyDescent="0.25">
      <c r="A72" t="s">
        <v>203</v>
      </c>
      <c r="B72" t="s">
        <v>204</v>
      </c>
      <c r="C72" s="1">
        <v>46237</v>
      </c>
      <c r="D72" t="s">
        <v>4157</v>
      </c>
      <c r="E72" t="s">
        <v>4182</v>
      </c>
    </row>
    <row r="73" spans="1:5" hidden="1" x14ac:dyDescent="0.25">
      <c r="A73" t="s">
        <v>256</v>
      </c>
      <c r="B73" t="s">
        <v>257</v>
      </c>
      <c r="C73" s="1">
        <v>46237</v>
      </c>
      <c r="D73" t="s">
        <v>4159</v>
      </c>
      <c r="E73" t="s">
        <v>4183</v>
      </c>
    </row>
    <row r="74" spans="1:5" hidden="1" x14ac:dyDescent="0.25">
      <c r="A74" t="s">
        <v>35</v>
      </c>
      <c r="B74" t="s">
        <v>36</v>
      </c>
      <c r="C74" s="1">
        <v>46237</v>
      </c>
      <c r="D74" t="s">
        <v>4155</v>
      </c>
      <c r="E74" t="s">
        <v>4184</v>
      </c>
    </row>
    <row r="75" spans="1:5" hidden="1" x14ac:dyDescent="0.25">
      <c r="A75" t="s">
        <v>206</v>
      </c>
      <c r="B75" t="s">
        <v>207</v>
      </c>
      <c r="C75" s="1">
        <v>46237</v>
      </c>
      <c r="D75" t="s">
        <v>4154</v>
      </c>
      <c r="E75" t="s">
        <v>4174</v>
      </c>
    </row>
    <row r="76" spans="1:5" hidden="1" x14ac:dyDescent="0.25">
      <c r="A76" t="s">
        <v>185</v>
      </c>
      <c r="B76" t="s">
        <v>186</v>
      </c>
      <c r="C76" s="1">
        <v>46237</v>
      </c>
      <c r="D76" t="s">
        <v>4155</v>
      </c>
      <c r="E76" t="s">
        <v>4184</v>
      </c>
    </row>
    <row r="77" spans="1:5" hidden="1" x14ac:dyDescent="0.25">
      <c r="A77" t="s">
        <v>122</v>
      </c>
      <c r="B77" t="s">
        <v>123</v>
      </c>
      <c r="C77" s="1">
        <v>46237</v>
      </c>
      <c r="D77" t="s">
        <v>4157</v>
      </c>
      <c r="E77" t="s">
        <v>4182</v>
      </c>
    </row>
    <row r="78" spans="1:5" hidden="1" x14ac:dyDescent="0.25">
      <c r="A78" t="s">
        <v>191</v>
      </c>
      <c r="B78" t="s">
        <v>192</v>
      </c>
      <c r="C78" s="1">
        <v>46237</v>
      </c>
      <c r="D78" t="s">
        <v>4159</v>
      </c>
      <c r="E78" t="s">
        <v>4183</v>
      </c>
    </row>
    <row r="79" spans="1:5" hidden="1" x14ac:dyDescent="0.25">
      <c r="A79" t="s">
        <v>486</v>
      </c>
      <c r="B79" t="s">
        <v>487</v>
      </c>
      <c r="C79" s="1">
        <v>46237</v>
      </c>
      <c r="D79" t="s">
        <v>4159</v>
      </c>
      <c r="E79" t="s">
        <v>4170</v>
      </c>
    </row>
    <row r="80" spans="1:5" hidden="1" x14ac:dyDescent="0.25">
      <c r="A80" t="s">
        <v>162</v>
      </c>
      <c r="B80" t="s">
        <v>163</v>
      </c>
      <c r="C80" s="1">
        <v>46237</v>
      </c>
      <c r="D80" t="s">
        <v>4154</v>
      </c>
      <c r="E80" t="s">
        <v>4176</v>
      </c>
    </row>
    <row r="81" spans="1:5" hidden="1" x14ac:dyDescent="0.25">
      <c r="A81" t="s">
        <v>3621</v>
      </c>
      <c r="B81" t="s">
        <v>3622</v>
      </c>
      <c r="C81" s="1">
        <v>46237</v>
      </c>
      <c r="D81" t="s">
        <v>4159</v>
      </c>
      <c r="E81" t="s">
        <v>4170</v>
      </c>
    </row>
    <row r="82" spans="1:5" hidden="1" x14ac:dyDescent="0.25">
      <c r="A82" t="s">
        <v>154</v>
      </c>
      <c r="B82" t="s">
        <v>155</v>
      </c>
      <c r="C82" s="1">
        <v>46237</v>
      </c>
      <c r="D82" t="s">
        <v>4157</v>
      </c>
      <c r="E82" t="s">
        <v>4182</v>
      </c>
    </row>
    <row r="83" spans="1:5" hidden="1" x14ac:dyDescent="0.25">
      <c r="A83" t="s">
        <v>91</v>
      </c>
      <c r="B83" t="s">
        <v>92</v>
      </c>
      <c r="C83" s="1">
        <v>46237</v>
      </c>
      <c r="D83" t="s">
        <v>4159</v>
      </c>
      <c r="E83" t="s">
        <v>4170</v>
      </c>
    </row>
    <row r="84" spans="1:5" hidden="1" x14ac:dyDescent="0.25">
      <c r="A84" t="s">
        <v>198</v>
      </c>
      <c r="B84" t="s">
        <v>199</v>
      </c>
      <c r="C84" s="1">
        <v>46237</v>
      </c>
      <c r="D84" t="s">
        <v>4157</v>
      </c>
      <c r="E84" t="s">
        <v>4182</v>
      </c>
    </row>
    <row r="85" spans="1:5" hidden="1" x14ac:dyDescent="0.25">
      <c r="A85" t="s">
        <v>240</v>
      </c>
      <c r="B85" t="s">
        <v>241</v>
      </c>
      <c r="C85" s="1">
        <v>46237</v>
      </c>
      <c r="D85" t="s">
        <v>4155</v>
      </c>
      <c r="E85" t="s">
        <v>4173</v>
      </c>
    </row>
    <row r="86" spans="1:5" hidden="1" x14ac:dyDescent="0.25">
      <c r="A86" t="s">
        <v>167</v>
      </c>
      <c r="B86" t="s">
        <v>168</v>
      </c>
      <c r="C86" s="1">
        <v>46237</v>
      </c>
      <c r="D86" t="s">
        <v>4154</v>
      </c>
      <c r="E86" t="s">
        <v>4177</v>
      </c>
    </row>
    <row r="87" spans="1:5" hidden="1" x14ac:dyDescent="0.25">
      <c r="A87" t="s">
        <v>171</v>
      </c>
      <c r="B87" t="s">
        <v>172</v>
      </c>
      <c r="C87" s="1">
        <v>46237</v>
      </c>
      <c r="D87" t="s">
        <v>4154</v>
      </c>
      <c r="E87" t="s">
        <v>4177</v>
      </c>
    </row>
    <row r="88" spans="1:5" hidden="1" x14ac:dyDescent="0.25">
      <c r="A88" t="s">
        <v>115</v>
      </c>
      <c r="B88" t="s">
        <v>116</v>
      </c>
      <c r="C88" s="1">
        <v>46238</v>
      </c>
      <c r="D88" t="s">
        <v>4159</v>
      </c>
      <c r="E88" t="s">
        <v>4170</v>
      </c>
    </row>
    <row r="89" spans="1:5" hidden="1" x14ac:dyDescent="0.25">
      <c r="A89" t="s">
        <v>1435</v>
      </c>
      <c r="B89" t="s">
        <v>1436</v>
      </c>
      <c r="C89" s="1">
        <v>46238</v>
      </c>
      <c r="D89" t="s">
        <v>4154</v>
      </c>
      <c r="E89" t="s">
        <v>4171</v>
      </c>
    </row>
    <row r="90" spans="1:5" hidden="1" x14ac:dyDescent="0.25">
      <c r="A90" t="s">
        <v>1346</v>
      </c>
      <c r="B90" t="s">
        <v>1347</v>
      </c>
      <c r="C90" s="1">
        <v>46238</v>
      </c>
      <c r="D90" t="s">
        <v>4157</v>
      </c>
      <c r="E90" t="s">
        <v>4172</v>
      </c>
    </row>
    <row r="91" spans="1:5" hidden="1" x14ac:dyDescent="0.25">
      <c r="A91" t="s">
        <v>69</v>
      </c>
      <c r="B91" t="s">
        <v>70</v>
      </c>
      <c r="C91" s="1">
        <v>46238</v>
      </c>
      <c r="D91" t="s">
        <v>4155</v>
      </c>
      <c r="E91" t="s">
        <v>4173</v>
      </c>
    </row>
    <row r="92" spans="1:5" hidden="1" x14ac:dyDescent="0.25">
      <c r="A92" t="s">
        <v>252</v>
      </c>
      <c r="B92" t="s">
        <v>253</v>
      </c>
      <c r="C92" s="1">
        <v>46238</v>
      </c>
      <c r="D92" t="s">
        <v>4154</v>
      </c>
      <c r="E92" t="s">
        <v>4171</v>
      </c>
    </row>
    <row r="93" spans="1:5" hidden="1" x14ac:dyDescent="0.25">
      <c r="A93" t="s">
        <v>244</v>
      </c>
      <c r="B93" t="s">
        <v>245</v>
      </c>
      <c r="C93" s="1">
        <v>46238</v>
      </c>
      <c r="D93" t="s">
        <v>4154</v>
      </c>
      <c r="E93" t="s">
        <v>4174</v>
      </c>
    </row>
    <row r="94" spans="1:5" hidden="1" x14ac:dyDescent="0.25">
      <c r="A94" t="s">
        <v>106</v>
      </c>
      <c r="B94" t="s">
        <v>107</v>
      </c>
      <c r="C94" s="1">
        <v>46238</v>
      </c>
      <c r="D94" t="s">
        <v>4157</v>
      </c>
      <c r="E94" t="s">
        <v>4175</v>
      </c>
    </row>
    <row r="95" spans="1:5" hidden="1" x14ac:dyDescent="0.25">
      <c r="A95" t="s">
        <v>17</v>
      </c>
      <c r="B95" t="s">
        <v>18</v>
      </c>
      <c r="C95" s="1">
        <v>46238</v>
      </c>
      <c r="D95" t="s">
        <v>4154</v>
      </c>
      <c r="E95" t="s">
        <v>4177</v>
      </c>
    </row>
    <row r="96" spans="1:5" hidden="1" x14ac:dyDescent="0.25">
      <c r="A96" t="s">
        <v>219</v>
      </c>
      <c r="B96" t="s">
        <v>220</v>
      </c>
      <c r="C96" s="1">
        <v>46238</v>
      </c>
      <c r="D96" t="s">
        <v>4156</v>
      </c>
      <c r="E96" t="s">
        <v>4178</v>
      </c>
    </row>
    <row r="97" spans="1:5" hidden="1" x14ac:dyDescent="0.25">
      <c r="A97" t="s">
        <v>134</v>
      </c>
      <c r="B97" t="s">
        <v>135</v>
      </c>
      <c r="C97" s="1">
        <v>46238</v>
      </c>
      <c r="D97" t="s">
        <v>4159</v>
      </c>
      <c r="E97" t="s">
        <v>4170</v>
      </c>
    </row>
    <row r="98" spans="1:5" hidden="1" x14ac:dyDescent="0.25">
      <c r="A98" t="s">
        <v>2886</v>
      </c>
      <c r="B98" t="s">
        <v>2887</v>
      </c>
      <c r="C98" s="1">
        <v>46238</v>
      </c>
      <c r="D98" t="s">
        <v>4157</v>
      </c>
      <c r="E98" t="s">
        <v>4175</v>
      </c>
    </row>
    <row r="99" spans="1:5" hidden="1" x14ac:dyDescent="0.25">
      <c r="A99" t="s">
        <v>225</v>
      </c>
      <c r="B99" t="s">
        <v>226</v>
      </c>
      <c r="C99" s="1">
        <v>46238</v>
      </c>
      <c r="D99" t="s">
        <v>4157</v>
      </c>
      <c r="E99" t="s">
        <v>4172</v>
      </c>
    </row>
    <row r="100" spans="1:5" hidden="1" x14ac:dyDescent="0.25">
      <c r="A100" t="s">
        <v>230</v>
      </c>
      <c r="B100" t="s">
        <v>231</v>
      </c>
      <c r="C100" s="1">
        <v>46238</v>
      </c>
      <c r="D100" t="s">
        <v>4159</v>
      </c>
      <c r="E100" t="s">
        <v>4170</v>
      </c>
    </row>
    <row r="101" spans="1:5" hidden="1" x14ac:dyDescent="0.25">
      <c r="A101" t="s">
        <v>212</v>
      </c>
      <c r="B101" t="s">
        <v>213</v>
      </c>
      <c r="C101" s="1">
        <v>46238</v>
      </c>
      <c r="D101" t="s">
        <v>4159</v>
      </c>
      <c r="E101" t="s">
        <v>4170</v>
      </c>
    </row>
    <row r="102" spans="1:5" hidden="1" x14ac:dyDescent="0.25">
      <c r="A102" t="s">
        <v>137</v>
      </c>
      <c r="B102" t="s">
        <v>138</v>
      </c>
      <c r="C102" s="1">
        <v>46238</v>
      </c>
      <c r="D102" t="s">
        <v>4156</v>
      </c>
      <c r="E102" t="s">
        <v>4178</v>
      </c>
    </row>
    <row r="103" spans="1:5" hidden="1" x14ac:dyDescent="0.25">
      <c r="A103" t="s">
        <v>147</v>
      </c>
      <c r="B103" t="s">
        <v>148</v>
      </c>
      <c r="C103" s="1">
        <v>46238</v>
      </c>
      <c r="D103" t="s">
        <v>4156</v>
      </c>
      <c r="E103" t="s">
        <v>4179</v>
      </c>
    </row>
    <row r="104" spans="1:5" hidden="1" x14ac:dyDescent="0.25">
      <c r="A104" t="s">
        <v>188</v>
      </c>
      <c r="B104" t="s">
        <v>189</v>
      </c>
      <c r="C104" s="1">
        <v>46238</v>
      </c>
      <c r="D104" t="s">
        <v>4154</v>
      </c>
      <c r="E104" t="s">
        <v>4171</v>
      </c>
    </row>
    <row r="105" spans="1:5" hidden="1" x14ac:dyDescent="0.25">
      <c r="A105" t="s">
        <v>65</v>
      </c>
      <c r="B105" t="s">
        <v>66</v>
      </c>
      <c r="C105" s="1">
        <v>46238</v>
      </c>
      <c r="D105" t="s">
        <v>4157</v>
      </c>
      <c r="E105" t="s">
        <v>4175</v>
      </c>
    </row>
    <row r="106" spans="1:5" hidden="1" x14ac:dyDescent="0.25">
      <c r="A106" t="s">
        <v>237</v>
      </c>
      <c r="B106" t="s">
        <v>238</v>
      </c>
      <c r="C106" s="1">
        <v>46238</v>
      </c>
      <c r="D106" t="s">
        <v>4157</v>
      </c>
      <c r="E106" t="s">
        <v>4172</v>
      </c>
    </row>
    <row r="107" spans="1:5" hidden="1" x14ac:dyDescent="0.25">
      <c r="A107" t="s">
        <v>178</v>
      </c>
      <c r="B107" t="s">
        <v>179</v>
      </c>
      <c r="C107" s="1">
        <v>46238</v>
      </c>
      <c r="D107" t="s">
        <v>4155</v>
      </c>
      <c r="E107" t="s">
        <v>4173</v>
      </c>
    </row>
    <row r="108" spans="1:5" hidden="1" x14ac:dyDescent="0.25">
      <c r="A108" t="s">
        <v>247</v>
      </c>
      <c r="B108" t="s">
        <v>248</v>
      </c>
      <c r="C108" s="1">
        <v>46238</v>
      </c>
      <c r="D108" t="s">
        <v>4157</v>
      </c>
      <c r="E108" t="s">
        <v>4180</v>
      </c>
    </row>
    <row r="109" spans="1:5" hidden="1" x14ac:dyDescent="0.25">
      <c r="A109" t="s">
        <v>58</v>
      </c>
      <c r="B109" t="s">
        <v>59</v>
      </c>
      <c r="C109" s="1">
        <v>46238</v>
      </c>
      <c r="D109" t="s">
        <v>4154</v>
      </c>
      <c r="E109" t="s">
        <v>4171</v>
      </c>
    </row>
    <row r="110" spans="1:5" hidden="1" x14ac:dyDescent="0.25">
      <c r="A110" t="s">
        <v>144</v>
      </c>
      <c r="B110" t="s">
        <v>145</v>
      </c>
      <c r="C110" s="1">
        <v>46238</v>
      </c>
      <c r="D110" t="s">
        <v>4157</v>
      </c>
      <c r="E110" t="s">
        <v>4180</v>
      </c>
    </row>
    <row r="111" spans="1:5" hidden="1" x14ac:dyDescent="0.25">
      <c r="A111" t="s">
        <v>1318</v>
      </c>
      <c r="B111" t="s">
        <v>1319</v>
      </c>
      <c r="C111" s="1">
        <v>46238</v>
      </c>
      <c r="D111" t="s">
        <v>4157</v>
      </c>
      <c r="E111" t="s">
        <v>4180</v>
      </c>
    </row>
    <row r="112" spans="1:5" hidden="1" x14ac:dyDescent="0.25">
      <c r="A112" t="s">
        <v>216</v>
      </c>
      <c r="B112" t="s">
        <v>217</v>
      </c>
      <c r="C112" s="1">
        <v>46238</v>
      </c>
      <c r="D112" t="s">
        <v>4154</v>
      </c>
      <c r="E112" t="s">
        <v>4176</v>
      </c>
    </row>
    <row r="113" spans="1:5" hidden="1" x14ac:dyDescent="0.25">
      <c r="A113" t="s">
        <v>98</v>
      </c>
      <c r="B113" t="s">
        <v>99</v>
      </c>
      <c r="C113" s="1">
        <v>46238</v>
      </c>
      <c r="D113" t="s">
        <v>4154</v>
      </c>
      <c r="E113" t="s">
        <v>4181</v>
      </c>
    </row>
    <row r="114" spans="1:5" hidden="1" x14ac:dyDescent="0.25">
      <c r="A114" t="s">
        <v>203</v>
      </c>
      <c r="B114" t="s">
        <v>204</v>
      </c>
      <c r="C114" s="1">
        <v>46238</v>
      </c>
      <c r="D114" t="s">
        <v>4157</v>
      </c>
      <c r="E114" t="s">
        <v>4182</v>
      </c>
    </row>
    <row r="115" spans="1:5" hidden="1" x14ac:dyDescent="0.25">
      <c r="A115" t="s">
        <v>256</v>
      </c>
      <c r="B115" t="s">
        <v>257</v>
      </c>
      <c r="C115" s="1">
        <v>46238</v>
      </c>
      <c r="D115" t="s">
        <v>4159</v>
      </c>
      <c r="E115" t="s">
        <v>4183</v>
      </c>
    </row>
    <row r="116" spans="1:5" hidden="1" x14ac:dyDescent="0.25">
      <c r="A116" t="s">
        <v>35</v>
      </c>
      <c r="B116" t="s">
        <v>36</v>
      </c>
      <c r="C116" s="1">
        <v>46238</v>
      </c>
      <c r="D116" t="s">
        <v>4155</v>
      </c>
      <c r="E116" t="s">
        <v>4184</v>
      </c>
    </row>
    <row r="117" spans="1:5" hidden="1" x14ac:dyDescent="0.25">
      <c r="A117" t="s">
        <v>206</v>
      </c>
      <c r="B117" t="s">
        <v>207</v>
      </c>
      <c r="C117" s="1">
        <v>46238</v>
      </c>
      <c r="D117" t="s">
        <v>4154</v>
      </c>
      <c r="E117" t="s">
        <v>4174</v>
      </c>
    </row>
    <row r="118" spans="1:5" hidden="1" x14ac:dyDescent="0.25">
      <c r="A118" t="s">
        <v>185</v>
      </c>
      <c r="B118" t="s">
        <v>186</v>
      </c>
      <c r="C118" s="1">
        <v>46238</v>
      </c>
      <c r="D118" t="s">
        <v>4155</v>
      </c>
      <c r="E118" t="s">
        <v>4184</v>
      </c>
    </row>
    <row r="119" spans="1:5" hidden="1" x14ac:dyDescent="0.25">
      <c r="A119" t="s">
        <v>122</v>
      </c>
      <c r="B119" t="s">
        <v>123</v>
      </c>
      <c r="C119" s="1">
        <v>46238</v>
      </c>
      <c r="D119" t="s">
        <v>4157</v>
      </c>
      <c r="E119" t="s">
        <v>4182</v>
      </c>
    </row>
    <row r="120" spans="1:5" hidden="1" x14ac:dyDescent="0.25">
      <c r="A120" t="s">
        <v>191</v>
      </c>
      <c r="B120" t="s">
        <v>192</v>
      </c>
      <c r="C120" s="1">
        <v>46238</v>
      </c>
      <c r="D120" t="s">
        <v>4159</v>
      </c>
      <c r="E120" t="s">
        <v>4183</v>
      </c>
    </row>
    <row r="121" spans="1:5" hidden="1" x14ac:dyDescent="0.25">
      <c r="A121" t="s">
        <v>486</v>
      </c>
      <c r="B121" t="s">
        <v>487</v>
      </c>
      <c r="C121" s="1">
        <v>46238</v>
      </c>
      <c r="D121" t="s">
        <v>4159</v>
      </c>
      <c r="E121" t="s">
        <v>4170</v>
      </c>
    </row>
    <row r="122" spans="1:5" hidden="1" x14ac:dyDescent="0.25">
      <c r="A122" t="s">
        <v>162</v>
      </c>
      <c r="B122" t="s">
        <v>163</v>
      </c>
      <c r="C122" s="1">
        <v>46238</v>
      </c>
      <c r="D122" t="s">
        <v>4154</v>
      </c>
      <c r="E122" t="s">
        <v>4176</v>
      </c>
    </row>
    <row r="123" spans="1:5" hidden="1" x14ac:dyDescent="0.25">
      <c r="A123" t="s">
        <v>3621</v>
      </c>
      <c r="B123" t="s">
        <v>3622</v>
      </c>
      <c r="C123" s="1">
        <v>46238</v>
      </c>
      <c r="D123" t="s">
        <v>4159</v>
      </c>
      <c r="E123" t="s">
        <v>4170</v>
      </c>
    </row>
    <row r="124" spans="1:5" hidden="1" x14ac:dyDescent="0.25">
      <c r="A124" t="s">
        <v>154</v>
      </c>
      <c r="B124" t="s">
        <v>155</v>
      </c>
      <c r="C124" s="1">
        <v>46238</v>
      </c>
      <c r="D124" t="s">
        <v>4157</v>
      </c>
      <c r="E124" t="s">
        <v>4182</v>
      </c>
    </row>
    <row r="125" spans="1:5" hidden="1" x14ac:dyDescent="0.25">
      <c r="A125" t="s">
        <v>91</v>
      </c>
      <c r="B125" t="s">
        <v>92</v>
      </c>
      <c r="C125" s="1">
        <v>46238</v>
      </c>
      <c r="D125" t="s">
        <v>4159</v>
      </c>
      <c r="E125" t="s">
        <v>4170</v>
      </c>
    </row>
    <row r="126" spans="1:5" hidden="1" x14ac:dyDescent="0.25">
      <c r="A126" t="s">
        <v>198</v>
      </c>
      <c r="B126" t="s">
        <v>199</v>
      </c>
      <c r="C126" s="1">
        <v>46238</v>
      </c>
      <c r="D126" t="s">
        <v>4157</v>
      </c>
      <c r="E126" t="s">
        <v>4182</v>
      </c>
    </row>
    <row r="127" spans="1:5" hidden="1" x14ac:dyDescent="0.25">
      <c r="A127" t="s">
        <v>240</v>
      </c>
      <c r="B127" t="s">
        <v>241</v>
      </c>
      <c r="C127" s="1">
        <v>46238</v>
      </c>
      <c r="D127" t="s">
        <v>4155</v>
      </c>
      <c r="E127" t="s">
        <v>4173</v>
      </c>
    </row>
    <row r="128" spans="1:5" hidden="1" x14ac:dyDescent="0.25">
      <c r="A128" t="s">
        <v>167</v>
      </c>
      <c r="B128" t="s">
        <v>168</v>
      </c>
      <c r="C128" s="1">
        <v>46238</v>
      </c>
      <c r="D128" t="s">
        <v>4154</v>
      </c>
      <c r="E128" t="s">
        <v>4177</v>
      </c>
    </row>
    <row r="129" spans="1:5" hidden="1" x14ac:dyDescent="0.25">
      <c r="A129" t="s">
        <v>171</v>
      </c>
      <c r="B129" t="s">
        <v>172</v>
      </c>
      <c r="C129" s="1">
        <v>46238</v>
      </c>
      <c r="D129" t="s">
        <v>4154</v>
      </c>
      <c r="E129" t="s">
        <v>4177</v>
      </c>
    </row>
    <row r="130" spans="1:5" hidden="1" x14ac:dyDescent="0.25">
      <c r="A130" t="s">
        <v>73</v>
      </c>
      <c r="B130" t="s">
        <v>74</v>
      </c>
      <c r="C130" s="1">
        <v>46238</v>
      </c>
      <c r="D130" t="s">
        <v>4154</v>
      </c>
      <c r="E130" t="s">
        <v>4176</v>
      </c>
    </row>
    <row r="131" spans="1:5" hidden="1" x14ac:dyDescent="0.25">
      <c r="A131" t="s">
        <v>1435</v>
      </c>
      <c r="B131" t="s">
        <v>1436</v>
      </c>
      <c r="C131" s="1">
        <v>46239</v>
      </c>
      <c r="D131" t="s">
        <v>4154</v>
      </c>
      <c r="E131" t="s">
        <v>4171</v>
      </c>
    </row>
    <row r="132" spans="1:5" hidden="1" x14ac:dyDescent="0.25">
      <c r="A132" t="s">
        <v>1346</v>
      </c>
      <c r="B132" t="s">
        <v>1347</v>
      </c>
      <c r="C132" s="1">
        <v>46239</v>
      </c>
      <c r="D132" t="s">
        <v>4157</v>
      </c>
      <c r="E132" t="s">
        <v>4172</v>
      </c>
    </row>
    <row r="133" spans="1:5" hidden="1" x14ac:dyDescent="0.25">
      <c r="A133" t="s">
        <v>69</v>
      </c>
      <c r="B133" t="s">
        <v>70</v>
      </c>
      <c r="C133" s="1">
        <v>46239</v>
      </c>
      <c r="D133" t="s">
        <v>4155</v>
      </c>
      <c r="E133" t="s">
        <v>4173</v>
      </c>
    </row>
    <row r="134" spans="1:5" hidden="1" x14ac:dyDescent="0.25">
      <c r="A134" t="s">
        <v>252</v>
      </c>
      <c r="B134" t="s">
        <v>253</v>
      </c>
      <c r="C134" s="1">
        <v>46239</v>
      </c>
      <c r="D134" t="s">
        <v>4154</v>
      </c>
      <c r="E134" t="s">
        <v>4171</v>
      </c>
    </row>
    <row r="135" spans="1:5" hidden="1" x14ac:dyDescent="0.25">
      <c r="A135" t="s">
        <v>244</v>
      </c>
      <c r="B135" t="s">
        <v>245</v>
      </c>
      <c r="C135" s="1">
        <v>46239</v>
      </c>
      <c r="D135" t="s">
        <v>4154</v>
      </c>
      <c r="E135" t="s">
        <v>4174</v>
      </c>
    </row>
    <row r="136" spans="1:5" hidden="1" x14ac:dyDescent="0.25">
      <c r="A136" t="s">
        <v>106</v>
      </c>
      <c r="B136" t="s">
        <v>107</v>
      </c>
      <c r="C136" s="1">
        <v>46239</v>
      </c>
      <c r="D136" t="s">
        <v>4157</v>
      </c>
      <c r="E136" t="s">
        <v>4175</v>
      </c>
    </row>
    <row r="137" spans="1:5" hidden="1" x14ac:dyDescent="0.25">
      <c r="A137" t="s">
        <v>17</v>
      </c>
      <c r="B137" t="s">
        <v>18</v>
      </c>
      <c r="C137" s="1">
        <v>46239</v>
      </c>
      <c r="D137" t="s">
        <v>4154</v>
      </c>
      <c r="E137" t="s">
        <v>4177</v>
      </c>
    </row>
    <row r="138" spans="1:5" hidden="1" x14ac:dyDescent="0.25">
      <c r="A138" t="s">
        <v>219</v>
      </c>
      <c r="B138" t="s">
        <v>220</v>
      </c>
      <c r="C138" s="1">
        <v>46239</v>
      </c>
      <c r="D138" t="s">
        <v>4156</v>
      </c>
      <c r="E138" t="s">
        <v>4178</v>
      </c>
    </row>
    <row r="139" spans="1:5" hidden="1" x14ac:dyDescent="0.25">
      <c r="A139" t="s">
        <v>134</v>
      </c>
      <c r="B139" t="s">
        <v>135</v>
      </c>
      <c r="C139" s="1">
        <v>46239</v>
      </c>
      <c r="D139" t="s">
        <v>4159</v>
      </c>
      <c r="E139" t="s">
        <v>4170</v>
      </c>
    </row>
    <row r="140" spans="1:5" hidden="1" x14ac:dyDescent="0.25">
      <c r="A140" t="s">
        <v>2886</v>
      </c>
      <c r="B140" t="s">
        <v>2887</v>
      </c>
      <c r="C140" s="1">
        <v>46239</v>
      </c>
      <c r="D140" t="s">
        <v>4157</v>
      </c>
      <c r="E140" t="s">
        <v>4175</v>
      </c>
    </row>
    <row r="141" spans="1:5" hidden="1" x14ac:dyDescent="0.25">
      <c r="A141" t="s">
        <v>225</v>
      </c>
      <c r="B141" t="s">
        <v>226</v>
      </c>
      <c r="C141" s="1">
        <v>46239</v>
      </c>
      <c r="D141" t="s">
        <v>4157</v>
      </c>
      <c r="E141" t="s">
        <v>4172</v>
      </c>
    </row>
    <row r="142" spans="1:5" hidden="1" x14ac:dyDescent="0.25">
      <c r="A142" t="s">
        <v>230</v>
      </c>
      <c r="B142" t="s">
        <v>231</v>
      </c>
      <c r="C142" s="1">
        <v>46239</v>
      </c>
      <c r="D142" t="s">
        <v>4159</v>
      </c>
      <c r="E142" t="s">
        <v>4170</v>
      </c>
    </row>
    <row r="143" spans="1:5" hidden="1" x14ac:dyDescent="0.25">
      <c r="A143" t="s">
        <v>212</v>
      </c>
      <c r="B143" t="s">
        <v>213</v>
      </c>
      <c r="C143" s="1">
        <v>46239</v>
      </c>
      <c r="D143" t="s">
        <v>4159</v>
      </c>
      <c r="E143" t="s">
        <v>4170</v>
      </c>
    </row>
    <row r="144" spans="1:5" hidden="1" x14ac:dyDescent="0.25">
      <c r="A144" t="s">
        <v>137</v>
      </c>
      <c r="B144" t="s">
        <v>138</v>
      </c>
      <c r="C144" s="1">
        <v>46239</v>
      </c>
      <c r="D144" t="s">
        <v>4156</v>
      </c>
      <c r="E144" t="s">
        <v>4178</v>
      </c>
    </row>
    <row r="145" spans="1:5" hidden="1" x14ac:dyDescent="0.25">
      <c r="A145" t="s">
        <v>147</v>
      </c>
      <c r="B145" t="s">
        <v>148</v>
      </c>
      <c r="C145" s="1">
        <v>46239</v>
      </c>
      <c r="D145" t="s">
        <v>4156</v>
      </c>
      <c r="E145" t="s">
        <v>4179</v>
      </c>
    </row>
    <row r="146" spans="1:5" hidden="1" x14ac:dyDescent="0.25">
      <c r="A146" t="s">
        <v>188</v>
      </c>
      <c r="B146" t="s">
        <v>189</v>
      </c>
      <c r="C146" s="1">
        <v>46239</v>
      </c>
      <c r="D146" t="s">
        <v>4154</v>
      </c>
      <c r="E146" t="s">
        <v>4171</v>
      </c>
    </row>
    <row r="147" spans="1:5" hidden="1" x14ac:dyDescent="0.25">
      <c r="A147" t="s">
        <v>237</v>
      </c>
      <c r="B147" t="s">
        <v>238</v>
      </c>
      <c r="C147" s="1">
        <v>46239</v>
      </c>
      <c r="D147" t="s">
        <v>4157</v>
      </c>
      <c r="E147" t="s">
        <v>4172</v>
      </c>
    </row>
    <row r="148" spans="1:5" hidden="1" x14ac:dyDescent="0.25">
      <c r="A148" t="s">
        <v>178</v>
      </c>
      <c r="B148" t="s">
        <v>179</v>
      </c>
      <c r="C148" s="1">
        <v>46239</v>
      </c>
      <c r="D148" t="s">
        <v>4155</v>
      </c>
      <c r="E148" t="s">
        <v>4173</v>
      </c>
    </row>
    <row r="149" spans="1:5" hidden="1" x14ac:dyDescent="0.25">
      <c r="A149" t="s">
        <v>247</v>
      </c>
      <c r="B149" t="s">
        <v>248</v>
      </c>
      <c r="C149" s="1">
        <v>46239</v>
      </c>
      <c r="D149" t="s">
        <v>4157</v>
      </c>
      <c r="E149" t="s">
        <v>4180</v>
      </c>
    </row>
    <row r="150" spans="1:5" hidden="1" x14ac:dyDescent="0.25">
      <c r="A150" t="s">
        <v>58</v>
      </c>
      <c r="B150" t="s">
        <v>59</v>
      </c>
      <c r="C150" s="1">
        <v>46239</v>
      </c>
      <c r="D150" t="s">
        <v>4154</v>
      </c>
      <c r="E150" t="s">
        <v>4171</v>
      </c>
    </row>
    <row r="151" spans="1:5" hidden="1" x14ac:dyDescent="0.25">
      <c r="A151" t="s">
        <v>144</v>
      </c>
      <c r="B151" t="s">
        <v>145</v>
      </c>
      <c r="C151" s="1">
        <v>46239</v>
      </c>
      <c r="D151" t="s">
        <v>4157</v>
      </c>
      <c r="E151" t="s">
        <v>4180</v>
      </c>
    </row>
    <row r="152" spans="1:5" hidden="1" x14ac:dyDescent="0.25">
      <c r="A152" t="s">
        <v>1318</v>
      </c>
      <c r="B152" t="s">
        <v>1319</v>
      </c>
      <c r="C152" s="1">
        <v>46239</v>
      </c>
      <c r="D152" t="s">
        <v>4157</v>
      </c>
      <c r="E152" t="s">
        <v>4180</v>
      </c>
    </row>
    <row r="153" spans="1:5" hidden="1" x14ac:dyDescent="0.25">
      <c r="A153" t="s">
        <v>216</v>
      </c>
      <c r="B153" t="s">
        <v>217</v>
      </c>
      <c r="C153" s="1">
        <v>46239</v>
      </c>
      <c r="D153" t="s">
        <v>4154</v>
      </c>
      <c r="E153" t="s">
        <v>4176</v>
      </c>
    </row>
    <row r="154" spans="1:5" hidden="1" x14ac:dyDescent="0.25">
      <c r="A154" t="s">
        <v>98</v>
      </c>
      <c r="B154" t="s">
        <v>99</v>
      </c>
      <c r="C154" s="1">
        <v>46239</v>
      </c>
      <c r="D154" t="s">
        <v>4154</v>
      </c>
      <c r="E154" t="s">
        <v>4181</v>
      </c>
    </row>
    <row r="155" spans="1:5" hidden="1" x14ac:dyDescent="0.25">
      <c r="A155" t="s">
        <v>73</v>
      </c>
      <c r="B155" t="s">
        <v>74</v>
      </c>
      <c r="C155" s="1">
        <v>46239</v>
      </c>
      <c r="D155" t="s">
        <v>4154</v>
      </c>
      <c r="E155" t="s">
        <v>4176</v>
      </c>
    </row>
    <row r="156" spans="1:5" hidden="1" x14ac:dyDescent="0.25">
      <c r="A156" t="s">
        <v>203</v>
      </c>
      <c r="B156" t="s">
        <v>204</v>
      </c>
      <c r="C156" s="1">
        <v>46239</v>
      </c>
      <c r="D156" t="s">
        <v>4157</v>
      </c>
      <c r="E156" t="s">
        <v>4182</v>
      </c>
    </row>
    <row r="157" spans="1:5" hidden="1" x14ac:dyDescent="0.25">
      <c r="A157" t="s">
        <v>256</v>
      </c>
      <c r="B157" t="s">
        <v>257</v>
      </c>
      <c r="C157" s="1">
        <v>46239</v>
      </c>
      <c r="D157" t="s">
        <v>4159</v>
      </c>
      <c r="E157" t="s">
        <v>4183</v>
      </c>
    </row>
    <row r="158" spans="1:5" hidden="1" x14ac:dyDescent="0.25">
      <c r="A158" t="s">
        <v>35</v>
      </c>
      <c r="B158" t="s">
        <v>36</v>
      </c>
      <c r="C158" s="1">
        <v>46239</v>
      </c>
      <c r="D158" t="s">
        <v>4155</v>
      </c>
      <c r="E158" t="s">
        <v>4184</v>
      </c>
    </row>
    <row r="159" spans="1:5" hidden="1" x14ac:dyDescent="0.25">
      <c r="A159" t="s">
        <v>206</v>
      </c>
      <c r="B159" t="s">
        <v>207</v>
      </c>
      <c r="C159" s="1">
        <v>46239</v>
      </c>
      <c r="D159" t="s">
        <v>4154</v>
      </c>
      <c r="E159" t="s">
        <v>4174</v>
      </c>
    </row>
    <row r="160" spans="1:5" hidden="1" x14ac:dyDescent="0.25">
      <c r="A160" t="s">
        <v>185</v>
      </c>
      <c r="B160" t="s">
        <v>186</v>
      </c>
      <c r="C160" s="1">
        <v>46239</v>
      </c>
      <c r="D160" t="s">
        <v>4155</v>
      </c>
      <c r="E160" t="s">
        <v>4184</v>
      </c>
    </row>
    <row r="161" spans="1:5" hidden="1" x14ac:dyDescent="0.25">
      <c r="A161" t="s">
        <v>122</v>
      </c>
      <c r="B161" t="s">
        <v>123</v>
      </c>
      <c r="C161" s="1">
        <v>46239</v>
      </c>
      <c r="D161" t="s">
        <v>4157</v>
      </c>
      <c r="E161" t="s">
        <v>4182</v>
      </c>
    </row>
    <row r="162" spans="1:5" hidden="1" x14ac:dyDescent="0.25">
      <c r="A162" t="s">
        <v>191</v>
      </c>
      <c r="B162" t="s">
        <v>192</v>
      </c>
      <c r="C162" s="1">
        <v>46239</v>
      </c>
      <c r="D162" t="s">
        <v>4159</v>
      </c>
      <c r="E162" t="s">
        <v>4183</v>
      </c>
    </row>
    <row r="163" spans="1:5" hidden="1" x14ac:dyDescent="0.25">
      <c r="A163" t="s">
        <v>486</v>
      </c>
      <c r="B163" t="s">
        <v>487</v>
      </c>
      <c r="C163" s="1">
        <v>46239</v>
      </c>
      <c r="D163" t="s">
        <v>4159</v>
      </c>
      <c r="E163" t="s">
        <v>4170</v>
      </c>
    </row>
    <row r="164" spans="1:5" hidden="1" x14ac:dyDescent="0.25">
      <c r="A164" t="s">
        <v>162</v>
      </c>
      <c r="B164" t="s">
        <v>163</v>
      </c>
      <c r="C164" s="1">
        <v>46239</v>
      </c>
      <c r="D164" t="s">
        <v>4154</v>
      </c>
      <c r="E164" t="s">
        <v>4176</v>
      </c>
    </row>
    <row r="165" spans="1:5" hidden="1" x14ac:dyDescent="0.25">
      <c r="A165" t="s">
        <v>3621</v>
      </c>
      <c r="B165" t="s">
        <v>3622</v>
      </c>
      <c r="C165" s="1">
        <v>46239</v>
      </c>
      <c r="D165" t="s">
        <v>4159</v>
      </c>
      <c r="E165" t="s">
        <v>4170</v>
      </c>
    </row>
    <row r="166" spans="1:5" hidden="1" x14ac:dyDescent="0.25">
      <c r="A166" t="s">
        <v>154</v>
      </c>
      <c r="B166" t="s">
        <v>155</v>
      </c>
      <c r="C166" s="1">
        <v>46239</v>
      </c>
      <c r="D166" t="s">
        <v>4157</v>
      </c>
      <c r="E166" t="s">
        <v>4182</v>
      </c>
    </row>
    <row r="167" spans="1:5" hidden="1" x14ac:dyDescent="0.25">
      <c r="A167" t="s">
        <v>91</v>
      </c>
      <c r="B167" t="s">
        <v>92</v>
      </c>
      <c r="C167" s="1">
        <v>46239</v>
      </c>
      <c r="D167" t="s">
        <v>4159</v>
      </c>
      <c r="E167" t="s">
        <v>4170</v>
      </c>
    </row>
    <row r="168" spans="1:5" hidden="1" x14ac:dyDescent="0.25">
      <c r="A168" t="s">
        <v>198</v>
      </c>
      <c r="B168" t="s">
        <v>199</v>
      </c>
      <c r="C168" s="1">
        <v>46239</v>
      </c>
      <c r="D168" t="s">
        <v>4157</v>
      </c>
      <c r="E168" t="s">
        <v>4182</v>
      </c>
    </row>
    <row r="169" spans="1:5" hidden="1" x14ac:dyDescent="0.25">
      <c r="A169" t="s">
        <v>240</v>
      </c>
      <c r="B169" t="s">
        <v>241</v>
      </c>
      <c r="C169" s="1">
        <v>46239</v>
      </c>
      <c r="D169" t="s">
        <v>4155</v>
      </c>
      <c r="E169" t="s">
        <v>4173</v>
      </c>
    </row>
    <row r="170" spans="1:5" hidden="1" x14ac:dyDescent="0.25">
      <c r="A170" t="s">
        <v>167</v>
      </c>
      <c r="B170" t="s">
        <v>168</v>
      </c>
      <c r="C170" s="1">
        <v>46239</v>
      </c>
      <c r="D170" t="s">
        <v>4154</v>
      </c>
      <c r="E170" t="s">
        <v>4177</v>
      </c>
    </row>
    <row r="171" spans="1:5" hidden="1" x14ac:dyDescent="0.25">
      <c r="A171" t="s">
        <v>171</v>
      </c>
      <c r="B171" t="s">
        <v>172</v>
      </c>
      <c r="C171" s="1">
        <v>46239</v>
      </c>
      <c r="D171" t="s">
        <v>4154</v>
      </c>
      <c r="E171" t="s">
        <v>4177</v>
      </c>
    </row>
    <row r="172" spans="1:5" hidden="1" x14ac:dyDescent="0.25">
      <c r="A172" t="s">
        <v>1435</v>
      </c>
      <c r="B172" t="s">
        <v>1436</v>
      </c>
      <c r="C172" s="1">
        <v>46240</v>
      </c>
      <c r="D172" t="s">
        <v>4154</v>
      </c>
      <c r="E172" t="s">
        <v>4171</v>
      </c>
    </row>
    <row r="173" spans="1:5" hidden="1" x14ac:dyDescent="0.25">
      <c r="A173" t="s">
        <v>1346</v>
      </c>
      <c r="B173" t="s">
        <v>1347</v>
      </c>
      <c r="C173" s="1">
        <v>46240</v>
      </c>
      <c r="D173" t="s">
        <v>4157</v>
      </c>
      <c r="E173" t="s">
        <v>4172</v>
      </c>
    </row>
    <row r="174" spans="1:5" hidden="1" x14ac:dyDescent="0.25">
      <c r="A174" t="s">
        <v>69</v>
      </c>
      <c r="B174" t="s">
        <v>70</v>
      </c>
      <c r="C174" s="1">
        <v>46240</v>
      </c>
      <c r="D174" t="s">
        <v>4155</v>
      </c>
      <c r="E174" t="s">
        <v>4173</v>
      </c>
    </row>
    <row r="175" spans="1:5" hidden="1" x14ac:dyDescent="0.25">
      <c r="A175" t="s">
        <v>252</v>
      </c>
      <c r="B175" t="s">
        <v>253</v>
      </c>
      <c r="C175" s="1">
        <v>46240</v>
      </c>
      <c r="D175" t="s">
        <v>4154</v>
      </c>
      <c r="E175" t="s">
        <v>4171</v>
      </c>
    </row>
    <row r="176" spans="1:5" hidden="1" x14ac:dyDescent="0.25">
      <c r="A176" t="s">
        <v>244</v>
      </c>
      <c r="B176" t="s">
        <v>245</v>
      </c>
      <c r="C176" s="1">
        <v>46240</v>
      </c>
      <c r="D176" t="s">
        <v>4154</v>
      </c>
      <c r="E176" t="s">
        <v>4174</v>
      </c>
    </row>
    <row r="177" spans="1:5" hidden="1" x14ac:dyDescent="0.25">
      <c r="A177" t="s">
        <v>106</v>
      </c>
      <c r="B177" t="s">
        <v>107</v>
      </c>
      <c r="C177" s="1">
        <v>46240</v>
      </c>
      <c r="D177" t="s">
        <v>4157</v>
      </c>
      <c r="E177" t="s">
        <v>4175</v>
      </c>
    </row>
    <row r="178" spans="1:5" hidden="1" x14ac:dyDescent="0.25">
      <c r="A178" t="s">
        <v>17</v>
      </c>
      <c r="B178" t="s">
        <v>18</v>
      </c>
      <c r="C178" s="1">
        <v>46240</v>
      </c>
      <c r="D178" t="s">
        <v>4154</v>
      </c>
      <c r="E178" t="s">
        <v>4177</v>
      </c>
    </row>
    <row r="179" spans="1:5" hidden="1" x14ac:dyDescent="0.25">
      <c r="A179" t="s">
        <v>219</v>
      </c>
      <c r="B179" t="s">
        <v>220</v>
      </c>
      <c r="C179" s="1">
        <v>46240</v>
      </c>
      <c r="D179" t="s">
        <v>4156</v>
      </c>
      <c r="E179" t="s">
        <v>4178</v>
      </c>
    </row>
    <row r="180" spans="1:5" hidden="1" x14ac:dyDescent="0.25">
      <c r="A180" t="s">
        <v>134</v>
      </c>
      <c r="B180" t="s">
        <v>135</v>
      </c>
      <c r="C180" s="1">
        <v>46240</v>
      </c>
      <c r="D180" t="s">
        <v>4159</v>
      </c>
      <c r="E180" t="s">
        <v>4170</v>
      </c>
    </row>
    <row r="181" spans="1:5" hidden="1" x14ac:dyDescent="0.25">
      <c r="A181" t="s">
        <v>2886</v>
      </c>
      <c r="B181" t="s">
        <v>2887</v>
      </c>
      <c r="C181" s="1">
        <v>46240</v>
      </c>
      <c r="D181" t="s">
        <v>4157</v>
      </c>
      <c r="E181" t="s">
        <v>4175</v>
      </c>
    </row>
    <row r="182" spans="1:5" hidden="1" x14ac:dyDescent="0.25">
      <c r="A182" t="s">
        <v>225</v>
      </c>
      <c r="B182" t="s">
        <v>226</v>
      </c>
      <c r="C182" s="1">
        <v>46240</v>
      </c>
      <c r="D182" t="s">
        <v>4157</v>
      </c>
      <c r="E182" t="s">
        <v>4172</v>
      </c>
    </row>
    <row r="183" spans="1:5" hidden="1" x14ac:dyDescent="0.25">
      <c r="A183" t="s">
        <v>230</v>
      </c>
      <c r="B183" t="s">
        <v>231</v>
      </c>
      <c r="C183" s="1">
        <v>46240</v>
      </c>
      <c r="D183" t="s">
        <v>4159</v>
      </c>
      <c r="E183" t="s">
        <v>4170</v>
      </c>
    </row>
    <row r="184" spans="1:5" hidden="1" x14ac:dyDescent="0.25">
      <c r="A184" t="s">
        <v>212</v>
      </c>
      <c r="B184" t="s">
        <v>213</v>
      </c>
      <c r="C184" s="1">
        <v>46240</v>
      </c>
      <c r="D184" t="s">
        <v>4159</v>
      </c>
      <c r="E184" t="s">
        <v>4170</v>
      </c>
    </row>
    <row r="185" spans="1:5" hidden="1" x14ac:dyDescent="0.25">
      <c r="A185" t="s">
        <v>137</v>
      </c>
      <c r="B185" t="s">
        <v>138</v>
      </c>
      <c r="C185" s="1">
        <v>46240</v>
      </c>
      <c r="D185" t="s">
        <v>4156</v>
      </c>
      <c r="E185" t="s">
        <v>4178</v>
      </c>
    </row>
    <row r="186" spans="1:5" hidden="1" x14ac:dyDescent="0.25">
      <c r="A186" t="s">
        <v>147</v>
      </c>
      <c r="B186" t="s">
        <v>148</v>
      </c>
      <c r="C186" s="1">
        <v>46240</v>
      </c>
      <c r="D186" t="s">
        <v>4156</v>
      </c>
      <c r="E186" t="s">
        <v>4179</v>
      </c>
    </row>
    <row r="187" spans="1:5" hidden="1" x14ac:dyDescent="0.25">
      <c r="A187" t="s">
        <v>188</v>
      </c>
      <c r="B187" t="s">
        <v>189</v>
      </c>
      <c r="C187" s="1">
        <v>46240</v>
      </c>
      <c r="D187" t="s">
        <v>4154</v>
      </c>
      <c r="E187" t="s">
        <v>4171</v>
      </c>
    </row>
    <row r="188" spans="1:5" hidden="1" x14ac:dyDescent="0.25">
      <c r="A188" t="s">
        <v>237</v>
      </c>
      <c r="B188" t="s">
        <v>238</v>
      </c>
      <c r="C188" s="1">
        <v>46240</v>
      </c>
      <c r="D188" t="s">
        <v>4157</v>
      </c>
      <c r="E188" t="s">
        <v>4172</v>
      </c>
    </row>
    <row r="189" spans="1:5" hidden="1" x14ac:dyDescent="0.25">
      <c r="A189" t="s">
        <v>178</v>
      </c>
      <c r="B189" t="s">
        <v>179</v>
      </c>
      <c r="C189" s="1">
        <v>46240</v>
      </c>
      <c r="D189" t="s">
        <v>4155</v>
      </c>
      <c r="E189" t="s">
        <v>4173</v>
      </c>
    </row>
    <row r="190" spans="1:5" hidden="1" x14ac:dyDescent="0.25">
      <c r="A190" t="s">
        <v>247</v>
      </c>
      <c r="B190" t="s">
        <v>248</v>
      </c>
      <c r="C190" s="1">
        <v>46240</v>
      </c>
      <c r="D190" t="s">
        <v>4157</v>
      </c>
      <c r="E190" t="s">
        <v>4180</v>
      </c>
    </row>
    <row r="191" spans="1:5" hidden="1" x14ac:dyDescent="0.25">
      <c r="A191" t="s">
        <v>58</v>
      </c>
      <c r="B191" t="s">
        <v>59</v>
      </c>
      <c r="C191" s="1">
        <v>46240</v>
      </c>
      <c r="D191" t="s">
        <v>4154</v>
      </c>
      <c r="E191" t="s">
        <v>4171</v>
      </c>
    </row>
    <row r="192" spans="1:5" hidden="1" x14ac:dyDescent="0.25">
      <c r="A192" t="s">
        <v>144</v>
      </c>
      <c r="B192" t="s">
        <v>145</v>
      </c>
      <c r="C192" s="1">
        <v>46240</v>
      </c>
      <c r="D192" t="s">
        <v>4157</v>
      </c>
      <c r="E192" t="s">
        <v>4180</v>
      </c>
    </row>
    <row r="193" spans="1:5" hidden="1" x14ac:dyDescent="0.25">
      <c r="A193" t="s">
        <v>1318</v>
      </c>
      <c r="B193" t="s">
        <v>1319</v>
      </c>
      <c r="C193" s="1">
        <v>46240</v>
      </c>
      <c r="D193" t="s">
        <v>4157</v>
      </c>
      <c r="E193" t="s">
        <v>4180</v>
      </c>
    </row>
    <row r="194" spans="1:5" hidden="1" x14ac:dyDescent="0.25">
      <c r="A194" t="s">
        <v>216</v>
      </c>
      <c r="B194" t="s">
        <v>217</v>
      </c>
      <c r="C194" s="1">
        <v>46240</v>
      </c>
      <c r="D194" t="s">
        <v>4154</v>
      </c>
      <c r="E194" t="s">
        <v>4176</v>
      </c>
    </row>
    <row r="195" spans="1:5" hidden="1" x14ac:dyDescent="0.25">
      <c r="A195" t="s">
        <v>98</v>
      </c>
      <c r="B195" t="s">
        <v>99</v>
      </c>
      <c r="C195" s="1">
        <v>46240</v>
      </c>
      <c r="D195" t="s">
        <v>4154</v>
      </c>
      <c r="E195" t="s">
        <v>4181</v>
      </c>
    </row>
    <row r="196" spans="1:5" hidden="1" x14ac:dyDescent="0.25">
      <c r="A196" t="s">
        <v>73</v>
      </c>
      <c r="B196" t="s">
        <v>74</v>
      </c>
      <c r="C196" s="1">
        <v>46240</v>
      </c>
      <c r="D196" t="s">
        <v>4154</v>
      </c>
      <c r="E196" t="s">
        <v>4176</v>
      </c>
    </row>
    <row r="197" spans="1:5" hidden="1" x14ac:dyDescent="0.25">
      <c r="A197" t="s">
        <v>203</v>
      </c>
      <c r="B197" t="s">
        <v>204</v>
      </c>
      <c r="C197" s="1">
        <v>46240</v>
      </c>
      <c r="D197" t="s">
        <v>4157</v>
      </c>
      <c r="E197" t="s">
        <v>4182</v>
      </c>
    </row>
    <row r="198" spans="1:5" hidden="1" x14ac:dyDescent="0.25">
      <c r="A198" t="s">
        <v>256</v>
      </c>
      <c r="B198" t="s">
        <v>257</v>
      </c>
      <c r="C198" s="1">
        <v>46240</v>
      </c>
      <c r="D198" t="s">
        <v>4159</v>
      </c>
      <c r="E198" t="s">
        <v>4183</v>
      </c>
    </row>
    <row r="199" spans="1:5" hidden="1" x14ac:dyDescent="0.25">
      <c r="A199" t="s">
        <v>35</v>
      </c>
      <c r="B199" t="s">
        <v>36</v>
      </c>
      <c r="C199" s="1">
        <v>46240</v>
      </c>
      <c r="D199" t="s">
        <v>4155</v>
      </c>
      <c r="E199" t="s">
        <v>4184</v>
      </c>
    </row>
    <row r="200" spans="1:5" hidden="1" x14ac:dyDescent="0.25">
      <c r="A200" t="s">
        <v>206</v>
      </c>
      <c r="B200" t="s">
        <v>207</v>
      </c>
      <c r="C200" s="1">
        <v>46240</v>
      </c>
      <c r="D200" t="s">
        <v>4154</v>
      </c>
      <c r="E200" t="s">
        <v>4174</v>
      </c>
    </row>
    <row r="201" spans="1:5" hidden="1" x14ac:dyDescent="0.25">
      <c r="A201" t="s">
        <v>185</v>
      </c>
      <c r="B201" t="s">
        <v>186</v>
      </c>
      <c r="C201" s="1">
        <v>46240</v>
      </c>
      <c r="D201" t="s">
        <v>4155</v>
      </c>
      <c r="E201" t="s">
        <v>4184</v>
      </c>
    </row>
    <row r="202" spans="1:5" hidden="1" x14ac:dyDescent="0.25">
      <c r="A202" t="s">
        <v>122</v>
      </c>
      <c r="B202" t="s">
        <v>123</v>
      </c>
      <c r="C202" s="1">
        <v>46240</v>
      </c>
      <c r="D202" t="s">
        <v>4157</v>
      </c>
      <c r="E202" t="s">
        <v>4182</v>
      </c>
    </row>
    <row r="203" spans="1:5" hidden="1" x14ac:dyDescent="0.25">
      <c r="A203" t="s">
        <v>191</v>
      </c>
      <c r="B203" t="s">
        <v>192</v>
      </c>
      <c r="C203" s="1">
        <v>46240</v>
      </c>
      <c r="D203" t="s">
        <v>4159</v>
      </c>
      <c r="E203" t="s">
        <v>4183</v>
      </c>
    </row>
    <row r="204" spans="1:5" hidden="1" x14ac:dyDescent="0.25">
      <c r="A204" t="s">
        <v>486</v>
      </c>
      <c r="B204" t="s">
        <v>487</v>
      </c>
      <c r="C204" s="1">
        <v>46240</v>
      </c>
      <c r="D204" t="s">
        <v>4159</v>
      </c>
      <c r="E204" t="s">
        <v>4170</v>
      </c>
    </row>
    <row r="205" spans="1:5" hidden="1" x14ac:dyDescent="0.25">
      <c r="A205" t="s">
        <v>162</v>
      </c>
      <c r="B205" t="s">
        <v>163</v>
      </c>
      <c r="C205" s="1">
        <v>46240</v>
      </c>
      <c r="D205" t="s">
        <v>4154</v>
      </c>
      <c r="E205" t="s">
        <v>4176</v>
      </c>
    </row>
    <row r="206" spans="1:5" hidden="1" x14ac:dyDescent="0.25">
      <c r="A206" t="s">
        <v>3621</v>
      </c>
      <c r="B206" t="s">
        <v>3622</v>
      </c>
      <c r="C206" s="1">
        <v>46240</v>
      </c>
      <c r="D206" t="s">
        <v>4159</v>
      </c>
      <c r="E206" t="s">
        <v>4170</v>
      </c>
    </row>
    <row r="207" spans="1:5" hidden="1" x14ac:dyDescent="0.25">
      <c r="A207" t="s">
        <v>154</v>
      </c>
      <c r="B207" t="s">
        <v>155</v>
      </c>
      <c r="C207" s="1">
        <v>46240</v>
      </c>
      <c r="D207" t="s">
        <v>4157</v>
      </c>
      <c r="E207" t="s">
        <v>4182</v>
      </c>
    </row>
    <row r="208" spans="1:5" hidden="1" x14ac:dyDescent="0.25">
      <c r="A208" t="s">
        <v>91</v>
      </c>
      <c r="B208" t="s">
        <v>92</v>
      </c>
      <c r="C208" s="1">
        <v>46240</v>
      </c>
      <c r="D208" t="s">
        <v>4159</v>
      </c>
      <c r="E208" t="s">
        <v>4170</v>
      </c>
    </row>
    <row r="209" spans="1:5" hidden="1" x14ac:dyDescent="0.25">
      <c r="A209" t="s">
        <v>198</v>
      </c>
      <c r="B209" t="s">
        <v>199</v>
      </c>
      <c r="C209" s="1">
        <v>46240</v>
      </c>
      <c r="D209" t="s">
        <v>4157</v>
      </c>
      <c r="E209" t="s">
        <v>4182</v>
      </c>
    </row>
    <row r="210" spans="1:5" hidden="1" x14ac:dyDescent="0.25">
      <c r="A210" t="s">
        <v>240</v>
      </c>
      <c r="B210" t="s">
        <v>241</v>
      </c>
      <c r="C210" s="1">
        <v>46240</v>
      </c>
      <c r="D210" t="s">
        <v>4155</v>
      </c>
      <c r="E210" t="s">
        <v>4173</v>
      </c>
    </row>
    <row r="211" spans="1:5" hidden="1" x14ac:dyDescent="0.25">
      <c r="A211" t="s">
        <v>167</v>
      </c>
      <c r="B211" t="s">
        <v>168</v>
      </c>
      <c r="C211" s="1">
        <v>46240</v>
      </c>
      <c r="D211" t="s">
        <v>4154</v>
      </c>
      <c r="E211" t="s">
        <v>4177</v>
      </c>
    </row>
    <row r="212" spans="1:5" hidden="1" x14ac:dyDescent="0.25">
      <c r="A212" t="s">
        <v>171</v>
      </c>
      <c r="B212" t="s">
        <v>172</v>
      </c>
      <c r="C212" s="1">
        <v>46240</v>
      </c>
      <c r="D212" t="s">
        <v>4154</v>
      </c>
      <c r="E212" t="s">
        <v>4177</v>
      </c>
    </row>
    <row r="213" spans="1:5" hidden="1" x14ac:dyDescent="0.25">
      <c r="A213" t="s">
        <v>1435</v>
      </c>
      <c r="B213" t="s">
        <v>1436</v>
      </c>
      <c r="C213" s="1">
        <v>46242</v>
      </c>
      <c r="D213" t="s">
        <v>4154</v>
      </c>
      <c r="E213" t="s">
        <v>4171</v>
      </c>
    </row>
    <row r="214" spans="1:5" hidden="1" x14ac:dyDescent="0.25">
      <c r="A214" t="s">
        <v>1346</v>
      </c>
      <c r="B214" t="s">
        <v>1347</v>
      </c>
      <c r="C214" s="1">
        <v>46242</v>
      </c>
      <c r="D214" t="s">
        <v>4157</v>
      </c>
      <c r="E214" t="s">
        <v>4172</v>
      </c>
    </row>
    <row r="215" spans="1:5" hidden="1" x14ac:dyDescent="0.25">
      <c r="A215" t="s">
        <v>69</v>
      </c>
      <c r="B215" t="s">
        <v>70</v>
      </c>
      <c r="C215" s="1">
        <v>46242</v>
      </c>
      <c r="D215" t="s">
        <v>4155</v>
      </c>
      <c r="E215" t="s">
        <v>4173</v>
      </c>
    </row>
    <row r="216" spans="1:5" hidden="1" x14ac:dyDescent="0.25">
      <c r="A216" t="s">
        <v>252</v>
      </c>
      <c r="B216" t="s">
        <v>253</v>
      </c>
      <c r="C216" s="1">
        <v>46242</v>
      </c>
      <c r="D216" t="s">
        <v>4154</v>
      </c>
      <c r="E216" t="s">
        <v>4171</v>
      </c>
    </row>
    <row r="217" spans="1:5" hidden="1" x14ac:dyDescent="0.25">
      <c r="A217" t="s">
        <v>244</v>
      </c>
      <c r="B217" t="s">
        <v>245</v>
      </c>
      <c r="C217" s="1">
        <v>46242</v>
      </c>
      <c r="D217" t="s">
        <v>4154</v>
      </c>
      <c r="E217" t="s">
        <v>4174</v>
      </c>
    </row>
    <row r="218" spans="1:5" hidden="1" x14ac:dyDescent="0.25">
      <c r="A218" t="s">
        <v>106</v>
      </c>
      <c r="B218" t="s">
        <v>107</v>
      </c>
      <c r="C218" s="1">
        <v>46242</v>
      </c>
      <c r="D218" t="s">
        <v>4157</v>
      </c>
      <c r="E218" t="s">
        <v>4175</v>
      </c>
    </row>
    <row r="219" spans="1:5" hidden="1" x14ac:dyDescent="0.25">
      <c r="A219" t="s">
        <v>17</v>
      </c>
      <c r="B219" t="s">
        <v>18</v>
      </c>
      <c r="C219" s="1">
        <v>46242</v>
      </c>
      <c r="D219" t="s">
        <v>4154</v>
      </c>
      <c r="E219" t="s">
        <v>4177</v>
      </c>
    </row>
    <row r="220" spans="1:5" hidden="1" x14ac:dyDescent="0.25">
      <c r="A220" t="s">
        <v>219</v>
      </c>
      <c r="B220" t="s">
        <v>220</v>
      </c>
      <c r="C220" s="1">
        <v>46242</v>
      </c>
      <c r="D220" t="s">
        <v>4156</v>
      </c>
      <c r="E220" t="s">
        <v>4178</v>
      </c>
    </row>
    <row r="221" spans="1:5" hidden="1" x14ac:dyDescent="0.25">
      <c r="A221" t="s">
        <v>134</v>
      </c>
      <c r="B221" t="s">
        <v>135</v>
      </c>
      <c r="C221" s="1">
        <v>46242</v>
      </c>
      <c r="D221" t="s">
        <v>4159</v>
      </c>
      <c r="E221" t="s">
        <v>4170</v>
      </c>
    </row>
    <row r="222" spans="1:5" hidden="1" x14ac:dyDescent="0.25">
      <c r="A222" t="s">
        <v>2886</v>
      </c>
      <c r="B222" t="s">
        <v>2887</v>
      </c>
      <c r="C222" s="1">
        <v>46242</v>
      </c>
      <c r="D222" t="s">
        <v>4157</v>
      </c>
      <c r="E222" t="s">
        <v>4175</v>
      </c>
    </row>
    <row r="223" spans="1:5" hidden="1" x14ac:dyDescent="0.25">
      <c r="A223" t="s">
        <v>225</v>
      </c>
      <c r="B223" t="s">
        <v>226</v>
      </c>
      <c r="C223" s="1">
        <v>46242</v>
      </c>
      <c r="D223" t="s">
        <v>4157</v>
      </c>
      <c r="E223" t="s">
        <v>4172</v>
      </c>
    </row>
    <row r="224" spans="1:5" hidden="1" x14ac:dyDescent="0.25">
      <c r="A224" t="s">
        <v>230</v>
      </c>
      <c r="B224" t="s">
        <v>231</v>
      </c>
      <c r="C224" s="1">
        <v>46242</v>
      </c>
      <c r="D224" t="s">
        <v>4159</v>
      </c>
      <c r="E224" t="s">
        <v>4170</v>
      </c>
    </row>
    <row r="225" spans="1:5" hidden="1" x14ac:dyDescent="0.25">
      <c r="A225" t="s">
        <v>212</v>
      </c>
      <c r="B225" t="s">
        <v>213</v>
      </c>
      <c r="C225" s="1">
        <v>46242</v>
      </c>
      <c r="D225" t="s">
        <v>4159</v>
      </c>
      <c r="E225" t="s">
        <v>4170</v>
      </c>
    </row>
    <row r="226" spans="1:5" hidden="1" x14ac:dyDescent="0.25">
      <c r="A226" t="s">
        <v>137</v>
      </c>
      <c r="B226" t="s">
        <v>138</v>
      </c>
      <c r="C226" s="1">
        <v>46242</v>
      </c>
      <c r="D226" t="s">
        <v>4156</v>
      </c>
      <c r="E226" t="s">
        <v>4178</v>
      </c>
    </row>
    <row r="227" spans="1:5" hidden="1" x14ac:dyDescent="0.25">
      <c r="A227" t="s">
        <v>147</v>
      </c>
      <c r="B227" t="s">
        <v>148</v>
      </c>
      <c r="C227" s="1">
        <v>46242</v>
      </c>
      <c r="D227" t="s">
        <v>4156</v>
      </c>
      <c r="E227" t="s">
        <v>4179</v>
      </c>
    </row>
    <row r="228" spans="1:5" hidden="1" x14ac:dyDescent="0.25">
      <c r="A228" t="s">
        <v>188</v>
      </c>
      <c r="B228" t="s">
        <v>189</v>
      </c>
      <c r="C228" s="1">
        <v>46242</v>
      </c>
      <c r="D228" t="s">
        <v>4154</v>
      </c>
      <c r="E228" t="s">
        <v>4171</v>
      </c>
    </row>
    <row r="229" spans="1:5" hidden="1" x14ac:dyDescent="0.25">
      <c r="A229" t="s">
        <v>237</v>
      </c>
      <c r="B229" t="s">
        <v>238</v>
      </c>
      <c r="C229" s="1">
        <v>46242</v>
      </c>
      <c r="D229" t="s">
        <v>4157</v>
      </c>
      <c r="E229" t="s">
        <v>4172</v>
      </c>
    </row>
    <row r="230" spans="1:5" hidden="1" x14ac:dyDescent="0.25">
      <c r="A230" t="s">
        <v>178</v>
      </c>
      <c r="B230" t="s">
        <v>179</v>
      </c>
      <c r="C230" s="1">
        <v>46242</v>
      </c>
      <c r="D230" t="s">
        <v>4155</v>
      </c>
      <c r="E230" t="s">
        <v>4173</v>
      </c>
    </row>
    <row r="231" spans="1:5" hidden="1" x14ac:dyDescent="0.25">
      <c r="A231" t="s">
        <v>247</v>
      </c>
      <c r="B231" t="s">
        <v>248</v>
      </c>
      <c r="C231" s="1">
        <v>46242</v>
      </c>
      <c r="D231" t="s">
        <v>4157</v>
      </c>
      <c r="E231" t="s">
        <v>4180</v>
      </c>
    </row>
    <row r="232" spans="1:5" hidden="1" x14ac:dyDescent="0.25">
      <c r="A232" t="s">
        <v>58</v>
      </c>
      <c r="B232" t="s">
        <v>59</v>
      </c>
      <c r="C232" s="1">
        <v>46242</v>
      </c>
      <c r="D232" t="s">
        <v>4154</v>
      </c>
      <c r="E232" t="s">
        <v>4171</v>
      </c>
    </row>
    <row r="233" spans="1:5" hidden="1" x14ac:dyDescent="0.25">
      <c r="A233" t="s">
        <v>144</v>
      </c>
      <c r="B233" t="s">
        <v>145</v>
      </c>
      <c r="C233" s="1">
        <v>46242</v>
      </c>
      <c r="D233" t="s">
        <v>4157</v>
      </c>
      <c r="E233" t="s">
        <v>4180</v>
      </c>
    </row>
    <row r="234" spans="1:5" hidden="1" x14ac:dyDescent="0.25">
      <c r="A234" t="s">
        <v>1318</v>
      </c>
      <c r="B234" t="s">
        <v>1319</v>
      </c>
      <c r="C234" s="1">
        <v>46242</v>
      </c>
      <c r="D234" t="s">
        <v>4157</v>
      </c>
      <c r="E234" t="s">
        <v>4180</v>
      </c>
    </row>
    <row r="235" spans="1:5" hidden="1" x14ac:dyDescent="0.25">
      <c r="A235" t="s">
        <v>216</v>
      </c>
      <c r="B235" t="s">
        <v>217</v>
      </c>
      <c r="C235" s="1">
        <v>46242</v>
      </c>
      <c r="D235" t="s">
        <v>4154</v>
      </c>
      <c r="E235" t="s">
        <v>4176</v>
      </c>
    </row>
    <row r="236" spans="1:5" hidden="1" x14ac:dyDescent="0.25">
      <c r="A236" t="s">
        <v>98</v>
      </c>
      <c r="B236" t="s">
        <v>99</v>
      </c>
      <c r="C236" s="1">
        <v>46242</v>
      </c>
      <c r="D236" t="s">
        <v>4154</v>
      </c>
      <c r="E236" t="s">
        <v>4181</v>
      </c>
    </row>
    <row r="237" spans="1:5" hidden="1" x14ac:dyDescent="0.25">
      <c r="A237" t="s">
        <v>73</v>
      </c>
      <c r="B237" t="s">
        <v>74</v>
      </c>
      <c r="C237" s="1">
        <v>46242</v>
      </c>
      <c r="D237" t="s">
        <v>4154</v>
      </c>
      <c r="E237" t="s">
        <v>4176</v>
      </c>
    </row>
    <row r="238" spans="1:5" hidden="1" x14ac:dyDescent="0.25">
      <c r="A238" t="s">
        <v>203</v>
      </c>
      <c r="B238" t="s">
        <v>204</v>
      </c>
      <c r="C238" s="1">
        <v>46242</v>
      </c>
      <c r="D238" t="s">
        <v>4157</v>
      </c>
      <c r="E238" t="s">
        <v>4182</v>
      </c>
    </row>
    <row r="239" spans="1:5" hidden="1" x14ac:dyDescent="0.25">
      <c r="A239" t="s">
        <v>256</v>
      </c>
      <c r="B239" t="s">
        <v>257</v>
      </c>
      <c r="C239" s="1">
        <v>46242</v>
      </c>
      <c r="D239" t="s">
        <v>4159</v>
      </c>
      <c r="E239" t="s">
        <v>4183</v>
      </c>
    </row>
    <row r="240" spans="1:5" hidden="1" x14ac:dyDescent="0.25">
      <c r="A240" t="s">
        <v>35</v>
      </c>
      <c r="B240" t="s">
        <v>36</v>
      </c>
      <c r="C240" s="1">
        <v>46242</v>
      </c>
      <c r="D240" t="s">
        <v>4155</v>
      </c>
      <c r="E240" t="s">
        <v>4184</v>
      </c>
    </row>
    <row r="241" spans="1:5" hidden="1" x14ac:dyDescent="0.25">
      <c r="A241" t="s">
        <v>206</v>
      </c>
      <c r="B241" t="s">
        <v>207</v>
      </c>
      <c r="C241" s="1">
        <v>46242</v>
      </c>
      <c r="D241" t="s">
        <v>4154</v>
      </c>
      <c r="E241" t="s">
        <v>4174</v>
      </c>
    </row>
    <row r="242" spans="1:5" hidden="1" x14ac:dyDescent="0.25">
      <c r="A242" t="s">
        <v>185</v>
      </c>
      <c r="B242" t="s">
        <v>186</v>
      </c>
      <c r="C242" s="1">
        <v>46242</v>
      </c>
      <c r="D242" t="s">
        <v>4155</v>
      </c>
      <c r="E242" t="s">
        <v>4184</v>
      </c>
    </row>
    <row r="243" spans="1:5" hidden="1" x14ac:dyDescent="0.25">
      <c r="A243" t="s">
        <v>122</v>
      </c>
      <c r="B243" t="s">
        <v>123</v>
      </c>
      <c r="C243" s="1">
        <v>46242</v>
      </c>
      <c r="D243" t="s">
        <v>4157</v>
      </c>
      <c r="E243" t="s">
        <v>4182</v>
      </c>
    </row>
    <row r="244" spans="1:5" hidden="1" x14ac:dyDescent="0.25">
      <c r="A244" t="s">
        <v>191</v>
      </c>
      <c r="B244" t="s">
        <v>192</v>
      </c>
      <c r="C244" s="1">
        <v>46242</v>
      </c>
      <c r="D244" t="s">
        <v>4159</v>
      </c>
      <c r="E244" t="s">
        <v>4183</v>
      </c>
    </row>
    <row r="245" spans="1:5" hidden="1" x14ac:dyDescent="0.25">
      <c r="A245" t="s">
        <v>486</v>
      </c>
      <c r="B245" t="s">
        <v>487</v>
      </c>
      <c r="C245" s="1">
        <v>46242</v>
      </c>
      <c r="D245" t="s">
        <v>4159</v>
      </c>
      <c r="E245" t="s">
        <v>4170</v>
      </c>
    </row>
    <row r="246" spans="1:5" hidden="1" x14ac:dyDescent="0.25">
      <c r="A246" t="s">
        <v>162</v>
      </c>
      <c r="B246" t="s">
        <v>163</v>
      </c>
      <c r="C246" s="1">
        <v>46242</v>
      </c>
      <c r="D246" t="s">
        <v>4154</v>
      </c>
      <c r="E246" t="s">
        <v>4176</v>
      </c>
    </row>
    <row r="247" spans="1:5" hidden="1" x14ac:dyDescent="0.25">
      <c r="A247" t="s">
        <v>3621</v>
      </c>
      <c r="B247" t="s">
        <v>3622</v>
      </c>
      <c r="C247" s="1">
        <v>46242</v>
      </c>
      <c r="D247" t="s">
        <v>4159</v>
      </c>
      <c r="E247" t="s">
        <v>4170</v>
      </c>
    </row>
    <row r="248" spans="1:5" hidden="1" x14ac:dyDescent="0.25">
      <c r="A248" t="s">
        <v>154</v>
      </c>
      <c r="B248" t="s">
        <v>155</v>
      </c>
      <c r="C248" s="1">
        <v>46242</v>
      </c>
      <c r="D248" t="s">
        <v>4157</v>
      </c>
      <c r="E248" t="s">
        <v>4182</v>
      </c>
    </row>
    <row r="249" spans="1:5" hidden="1" x14ac:dyDescent="0.25">
      <c r="A249" t="s">
        <v>91</v>
      </c>
      <c r="B249" t="s">
        <v>92</v>
      </c>
      <c r="C249" s="1">
        <v>46242</v>
      </c>
      <c r="D249" t="s">
        <v>4159</v>
      </c>
      <c r="E249" t="s">
        <v>4170</v>
      </c>
    </row>
    <row r="250" spans="1:5" hidden="1" x14ac:dyDescent="0.25">
      <c r="A250" t="s">
        <v>198</v>
      </c>
      <c r="B250" t="s">
        <v>199</v>
      </c>
      <c r="C250" s="1">
        <v>46242</v>
      </c>
      <c r="D250" t="s">
        <v>4157</v>
      </c>
      <c r="E250" t="s">
        <v>4182</v>
      </c>
    </row>
    <row r="251" spans="1:5" hidden="1" x14ac:dyDescent="0.25">
      <c r="A251" t="s">
        <v>240</v>
      </c>
      <c r="B251" t="s">
        <v>241</v>
      </c>
      <c r="C251" s="1">
        <v>46242</v>
      </c>
      <c r="D251" t="s">
        <v>4155</v>
      </c>
      <c r="E251" t="s">
        <v>4173</v>
      </c>
    </row>
    <row r="252" spans="1:5" hidden="1" x14ac:dyDescent="0.25">
      <c r="A252" t="s">
        <v>167</v>
      </c>
      <c r="B252" t="s">
        <v>168</v>
      </c>
      <c r="C252" s="1">
        <v>46242</v>
      </c>
      <c r="D252" t="s">
        <v>4154</v>
      </c>
      <c r="E252" t="s">
        <v>4177</v>
      </c>
    </row>
    <row r="253" spans="1:5" hidden="1" x14ac:dyDescent="0.25">
      <c r="A253" t="s">
        <v>171</v>
      </c>
      <c r="B253" t="s">
        <v>172</v>
      </c>
      <c r="C253" s="1">
        <v>46242</v>
      </c>
      <c r="D253" t="s">
        <v>4154</v>
      </c>
      <c r="E253" t="s">
        <v>4177</v>
      </c>
    </row>
    <row r="254" spans="1:5" hidden="1" x14ac:dyDescent="0.25">
      <c r="A254" t="s">
        <v>244</v>
      </c>
      <c r="B254" t="s">
        <v>245</v>
      </c>
      <c r="C254" s="1">
        <v>46244</v>
      </c>
      <c r="D254" t="s">
        <v>4154</v>
      </c>
      <c r="E254" t="s">
        <v>4174</v>
      </c>
    </row>
    <row r="255" spans="1:5" hidden="1" x14ac:dyDescent="0.25">
      <c r="A255" t="s">
        <v>106</v>
      </c>
      <c r="B255" t="s">
        <v>107</v>
      </c>
      <c r="C255" s="1">
        <v>46244</v>
      </c>
      <c r="D255" t="s">
        <v>4157</v>
      </c>
      <c r="E255" t="s">
        <v>4175</v>
      </c>
    </row>
    <row r="256" spans="1:5" hidden="1" x14ac:dyDescent="0.25">
      <c r="A256" t="s">
        <v>17</v>
      </c>
      <c r="B256" t="s">
        <v>18</v>
      </c>
      <c r="C256" s="1">
        <v>46244</v>
      </c>
      <c r="D256" t="s">
        <v>4154</v>
      </c>
      <c r="E256" t="s">
        <v>4177</v>
      </c>
    </row>
    <row r="257" spans="1:5" hidden="1" x14ac:dyDescent="0.25">
      <c r="A257" t="s">
        <v>134</v>
      </c>
      <c r="B257" t="s">
        <v>135</v>
      </c>
      <c r="C257" s="1">
        <v>46244</v>
      </c>
      <c r="D257" t="s">
        <v>4159</v>
      </c>
      <c r="E257" t="s">
        <v>4170</v>
      </c>
    </row>
    <row r="258" spans="1:5" hidden="1" x14ac:dyDescent="0.25">
      <c r="A258" t="s">
        <v>2886</v>
      </c>
      <c r="B258" t="s">
        <v>2887</v>
      </c>
      <c r="C258" s="1">
        <v>46244</v>
      </c>
      <c r="D258" t="s">
        <v>4157</v>
      </c>
      <c r="E258" t="s">
        <v>4175</v>
      </c>
    </row>
    <row r="259" spans="1:5" hidden="1" x14ac:dyDescent="0.25">
      <c r="A259" t="s">
        <v>230</v>
      </c>
      <c r="B259" t="s">
        <v>231</v>
      </c>
      <c r="C259" s="1">
        <v>46244</v>
      </c>
      <c r="D259" t="s">
        <v>4159</v>
      </c>
      <c r="E259" t="s">
        <v>4170</v>
      </c>
    </row>
    <row r="260" spans="1:5" hidden="1" x14ac:dyDescent="0.25">
      <c r="A260" t="s">
        <v>212</v>
      </c>
      <c r="B260" t="s">
        <v>213</v>
      </c>
      <c r="C260" s="1">
        <v>46244</v>
      </c>
      <c r="D260" t="s">
        <v>4159</v>
      </c>
      <c r="E260" t="s">
        <v>4170</v>
      </c>
    </row>
    <row r="261" spans="1:5" hidden="1" x14ac:dyDescent="0.25">
      <c r="A261" t="s">
        <v>147</v>
      </c>
      <c r="B261" t="s">
        <v>148</v>
      </c>
      <c r="C261" s="1">
        <v>46244</v>
      </c>
      <c r="D261" t="s">
        <v>4156</v>
      </c>
      <c r="E261" t="s">
        <v>4179</v>
      </c>
    </row>
    <row r="262" spans="1:5" hidden="1" x14ac:dyDescent="0.25">
      <c r="A262" t="s">
        <v>188</v>
      </c>
      <c r="B262" t="s">
        <v>189</v>
      </c>
      <c r="C262" s="1">
        <v>46244</v>
      </c>
      <c r="D262" t="s">
        <v>4154</v>
      </c>
      <c r="E262" t="s">
        <v>4171</v>
      </c>
    </row>
    <row r="263" spans="1:5" hidden="1" x14ac:dyDescent="0.25">
      <c r="A263" t="s">
        <v>178</v>
      </c>
      <c r="B263" t="s">
        <v>179</v>
      </c>
      <c r="C263" s="1">
        <v>46244</v>
      </c>
      <c r="D263" t="s">
        <v>4155</v>
      </c>
      <c r="E263" t="s">
        <v>4173</v>
      </c>
    </row>
    <row r="264" spans="1:5" hidden="1" x14ac:dyDescent="0.25">
      <c r="A264" t="s">
        <v>247</v>
      </c>
      <c r="B264" t="s">
        <v>248</v>
      </c>
      <c r="C264" s="1">
        <v>46244</v>
      </c>
      <c r="D264" t="s">
        <v>4157</v>
      </c>
      <c r="E264" t="s">
        <v>4180</v>
      </c>
    </row>
    <row r="265" spans="1:5" hidden="1" x14ac:dyDescent="0.25">
      <c r="A265" t="s">
        <v>73</v>
      </c>
      <c r="B265" t="s">
        <v>74</v>
      </c>
      <c r="C265" s="1">
        <v>46244</v>
      </c>
      <c r="D265" t="s">
        <v>4154</v>
      </c>
      <c r="E265" t="s">
        <v>4176</v>
      </c>
    </row>
    <row r="266" spans="1:5" hidden="1" x14ac:dyDescent="0.25">
      <c r="A266" t="s">
        <v>35</v>
      </c>
      <c r="B266" t="s">
        <v>36</v>
      </c>
      <c r="C266" s="1">
        <v>46244</v>
      </c>
      <c r="D266" t="s">
        <v>4155</v>
      </c>
      <c r="E266" t="s">
        <v>4184</v>
      </c>
    </row>
    <row r="267" spans="1:5" hidden="1" x14ac:dyDescent="0.25">
      <c r="A267" t="s">
        <v>185</v>
      </c>
      <c r="B267" t="s">
        <v>186</v>
      </c>
      <c r="C267" s="1">
        <v>46244</v>
      </c>
      <c r="D267" t="s">
        <v>4155</v>
      </c>
      <c r="E267" t="s">
        <v>4184</v>
      </c>
    </row>
    <row r="268" spans="1:5" hidden="1" x14ac:dyDescent="0.25">
      <c r="A268" t="s">
        <v>122</v>
      </c>
      <c r="B268" t="s">
        <v>123</v>
      </c>
      <c r="C268" s="1">
        <v>46244</v>
      </c>
      <c r="D268" t="s">
        <v>4157</v>
      </c>
      <c r="E268" t="s">
        <v>4182</v>
      </c>
    </row>
    <row r="269" spans="1:5" hidden="1" x14ac:dyDescent="0.25">
      <c r="A269" t="s">
        <v>191</v>
      </c>
      <c r="B269" t="s">
        <v>192</v>
      </c>
      <c r="C269" s="1">
        <v>46244</v>
      </c>
      <c r="D269" t="s">
        <v>4159</v>
      </c>
      <c r="E269" t="s">
        <v>4183</v>
      </c>
    </row>
    <row r="270" spans="1:5" hidden="1" x14ac:dyDescent="0.25">
      <c r="A270" t="s">
        <v>486</v>
      </c>
      <c r="B270" t="s">
        <v>487</v>
      </c>
      <c r="C270" s="1">
        <v>46244</v>
      </c>
      <c r="D270" t="s">
        <v>4159</v>
      </c>
      <c r="E270" t="s">
        <v>4170</v>
      </c>
    </row>
    <row r="271" spans="1:5" hidden="1" x14ac:dyDescent="0.25">
      <c r="A271" t="s">
        <v>162</v>
      </c>
      <c r="B271" t="s">
        <v>163</v>
      </c>
      <c r="C271" s="1">
        <v>46244</v>
      </c>
      <c r="D271" t="s">
        <v>4154</v>
      </c>
      <c r="E271" t="s">
        <v>4176</v>
      </c>
    </row>
    <row r="272" spans="1:5" hidden="1" x14ac:dyDescent="0.25">
      <c r="A272" t="s">
        <v>3621</v>
      </c>
      <c r="B272" t="s">
        <v>3622</v>
      </c>
      <c r="C272" s="1">
        <v>46244</v>
      </c>
      <c r="D272" t="s">
        <v>4159</v>
      </c>
      <c r="E272" t="s">
        <v>4170</v>
      </c>
    </row>
    <row r="273" spans="1:5" hidden="1" x14ac:dyDescent="0.25">
      <c r="A273" t="s">
        <v>154</v>
      </c>
      <c r="B273" t="s">
        <v>155</v>
      </c>
      <c r="C273" s="1">
        <v>46244</v>
      </c>
      <c r="D273" t="s">
        <v>4157</v>
      </c>
      <c r="E273" t="s">
        <v>4182</v>
      </c>
    </row>
    <row r="274" spans="1:5" hidden="1" x14ac:dyDescent="0.25">
      <c r="A274" t="s">
        <v>91</v>
      </c>
      <c r="B274" t="s">
        <v>92</v>
      </c>
      <c r="C274" s="1">
        <v>46244</v>
      </c>
      <c r="D274" t="s">
        <v>4159</v>
      </c>
      <c r="E274" t="s">
        <v>4170</v>
      </c>
    </row>
    <row r="275" spans="1:5" hidden="1" x14ac:dyDescent="0.25">
      <c r="A275" t="s">
        <v>240</v>
      </c>
      <c r="B275" t="s">
        <v>241</v>
      </c>
      <c r="C275" s="1">
        <v>46244</v>
      </c>
      <c r="D275" t="s">
        <v>4155</v>
      </c>
      <c r="E275" t="s">
        <v>4173</v>
      </c>
    </row>
    <row r="276" spans="1:5" hidden="1" x14ac:dyDescent="0.25">
      <c r="A276" t="s">
        <v>171</v>
      </c>
      <c r="B276" t="s">
        <v>172</v>
      </c>
      <c r="C276" s="1">
        <v>46244</v>
      </c>
      <c r="D276" t="s">
        <v>4154</v>
      </c>
      <c r="E276" t="s">
        <v>4177</v>
      </c>
    </row>
    <row r="277" spans="1:5" hidden="1" x14ac:dyDescent="0.25">
      <c r="A277" t="s">
        <v>244</v>
      </c>
      <c r="B277" t="s">
        <v>245</v>
      </c>
      <c r="C277" s="1">
        <v>46245</v>
      </c>
      <c r="D277" t="s">
        <v>4154</v>
      </c>
      <c r="E277" t="s">
        <v>4174</v>
      </c>
    </row>
    <row r="278" spans="1:5" hidden="1" x14ac:dyDescent="0.25">
      <c r="A278" t="s">
        <v>106</v>
      </c>
      <c r="B278" t="s">
        <v>107</v>
      </c>
      <c r="C278" s="1">
        <v>46245</v>
      </c>
      <c r="D278" t="s">
        <v>4157</v>
      </c>
      <c r="E278" t="s">
        <v>4175</v>
      </c>
    </row>
    <row r="279" spans="1:5" hidden="1" x14ac:dyDescent="0.25">
      <c r="A279" t="s">
        <v>17</v>
      </c>
      <c r="B279" t="s">
        <v>18</v>
      </c>
      <c r="C279" s="1">
        <v>46245</v>
      </c>
      <c r="D279" t="s">
        <v>4154</v>
      </c>
      <c r="E279" t="s">
        <v>4177</v>
      </c>
    </row>
    <row r="280" spans="1:5" hidden="1" x14ac:dyDescent="0.25">
      <c r="A280" t="s">
        <v>134</v>
      </c>
      <c r="B280" t="s">
        <v>135</v>
      </c>
      <c r="C280" s="1">
        <v>46245</v>
      </c>
      <c r="D280" t="s">
        <v>4159</v>
      </c>
      <c r="E280" t="s">
        <v>4170</v>
      </c>
    </row>
    <row r="281" spans="1:5" hidden="1" x14ac:dyDescent="0.25">
      <c r="A281" t="s">
        <v>2886</v>
      </c>
      <c r="B281" t="s">
        <v>2887</v>
      </c>
      <c r="C281" s="1">
        <v>46245</v>
      </c>
      <c r="D281" t="s">
        <v>4157</v>
      </c>
      <c r="E281" t="s">
        <v>4175</v>
      </c>
    </row>
    <row r="282" spans="1:5" hidden="1" x14ac:dyDescent="0.25">
      <c r="A282" t="s">
        <v>230</v>
      </c>
      <c r="B282" t="s">
        <v>231</v>
      </c>
      <c r="C282" s="1">
        <v>46245</v>
      </c>
      <c r="D282" t="s">
        <v>4159</v>
      </c>
      <c r="E282" t="s">
        <v>4170</v>
      </c>
    </row>
    <row r="283" spans="1:5" hidden="1" x14ac:dyDescent="0.25">
      <c r="A283" t="s">
        <v>212</v>
      </c>
      <c r="B283" t="s">
        <v>213</v>
      </c>
      <c r="C283" s="1">
        <v>46245</v>
      </c>
      <c r="D283" t="s">
        <v>4159</v>
      </c>
      <c r="E283" t="s">
        <v>4170</v>
      </c>
    </row>
    <row r="284" spans="1:5" hidden="1" x14ac:dyDescent="0.25">
      <c r="A284" t="s">
        <v>147</v>
      </c>
      <c r="B284" t="s">
        <v>148</v>
      </c>
      <c r="C284" s="1">
        <v>46245</v>
      </c>
      <c r="D284" t="s">
        <v>4156</v>
      </c>
      <c r="E284" t="s">
        <v>4179</v>
      </c>
    </row>
    <row r="285" spans="1:5" hidden="1" x14ac:dyDescent="0.25">
      <c r="A285" t="s">
        <v>188</v>
      </c>
      <c r="B285" t="s">
        <v>189</v>
      </c>
      <c r="C285" s="1">
        <v>46245</v>
      </c>
      <c r="D285" t="s">
        <v>4154</v>
      </c>
      <c r="E285" t="s">
        <v>4171</v>
      </c>
    </row>
    <row r="286" spans="1:5" hidden="1" x14ac:dyDescent="0.25">
      <c r="A286" t="s">
        <v>178</v>
      </c>
      <c r="B286" t="s">
        <v>179</v>
      </c>
      <c r="C286" s="1">
        <v>46245</v>
      </c>
      <c r="D286" t="s">
        <v>4155</v>
      </c>
      <c r="E286" t="s">
        <v>4173</v>
      </c>
    </row>
    <row r="287" spans="1:5" hidden="1" x14ac:dyDescent="0.25">
      <c r="A287" t="s">
        <v>247</v>
      </c>
      <c r="B287" t="s">
        <v>248</v>
      </c>
      <c r="C287" s="1">
        <v>46245</v>
      </c>
      <c r="D287" t="s">
        <v>4157</v>
      </c>
      <c r="E287" t="s">
        <v>4180</v>
      </c>
    </row>
    <row r="288" spans="1:5" hidden="1" x14ac:dyDescent="0.25">
      <c r="A288" t="s">
        <v>73</v>
      </c>
      <c r="B288" t="s">
        <v>74</v>
      </c>
      <c r="C288" s="1">
        <v>46245</v>
      </c>
      <c r="D288" t="s">
        <v>4154</v>
      </c>
      <c r="E288" t="s">
        <v>4176</v>
      </c>
    </row>
    <row r="289" spans="1:5" hidden="1" x14ac:dyDescent="0.25">
      <c r="A289" t="s">
        <v>35</v>
      </c>
      <c r="B289" t="s">
        <v>36</v>
      </c>
      <c r="C289" s="1">
        <v>46245</v>
      </c>
      <c r="D289" t="s">
        <v>4155</v>
      </c>
      <c r="E289" t="s">
        <v>4184</v>
      </c>
    </row>
    <row r="290" spans="1:5" hidden="1" x14ac:dyDescent="0.25">
      <c r="A290" t="s">
        <v>185</v>
      </c>
      <c r="B290" t="s">
        <v>186</v>
      </c>
      <c r="C290" s="1">
        <v>46245</v>
      </c>
      <c r="D290" t="s">
        <v>4155</v>
      </c>
      <c r="E290" t="s">
        <v>4184</v>
      </c>
    </row>
    <row r="291" spans="1:5" hidden="1" x14ac:dyDescent="0.25">
      <c r="A291" t="s">
        <v>122</v>
      </c>
      <c r="B291" t="s">
        <v>123</v>
      </c>
      <c r="C291" s="1">
        <v>46245</v>
      </c>
      <c r="D291" t="s">
        <v>4157</v>
      </c>
      <c r="E291" t="s">
        <v>4182</v>
      </c>
    </row>
    <row r="292" spans="1:5" hidden="1" x14ac:dyDescent="0.25">
      <c r="A292" t="s">
        <v>191</v>
      </c>
      <c r="B292" t="s">
        <v>192</v>
      </c>
      <c r="C292" s="1">
        <v>46245</v>
      </c>
      <c r="D292" t="s">
        <v>4159</v>
      </c>
      <c r="E292" t="s">
        <v>4183</v>
      </c>
    </row>
    <row r="293" spans="1:5" hidden="1" x14ac:dyDescent="0.25">
      <c r="A293" t="s">
        <v>486</v>
      </c>
      <c r="B293" t="s">
        <v>487</v>
      </c>
      <c r="C293" s="1">
        <v>46245</v>
      </c>
      <c r="D293" t="s">
        <v>4159</v>
      </c>
      <c r="E293" t="s">
        <v>4170</v>
      </c>
    </row>
    <row r="294" spans="1:5" hidden="1" x14ac:dyDescent="0.25">
      <c r="A294" t="s">
        <v>162</v>
      </c>
      <c r="B294" t="s">
        <v>163</v>
      </c>
      <c r="C294" s="1">
        <v>46245</v>
      </c>
      <c r="D294" t="s">
        <v>4154</v>
      </c>
      <c r="E294" t="s">
        <v>4176</v>
      </c>
    </row>
    <row r="295" spans="1:5" hidden="1" x14ac:dyDescent="0.25">
      <c r="A295" t="s">
        <v>3621</v>
      </c>
      <c r="B295" t="s">
        <v>3622</v>
      </c>
      <c r="C295" s="1">
        <v>46245</v>
      </c>
      <c r="D295" t="s">
        <v>4159</v>
      </c>
      <c r="E295" t="s">
        <v>4170</v>
      </c>
    </row>
    <row r="296" spans="1:5" hidden="1" x14ac:dyDescent="0.25">
      <c r="A296" t="s">
        <v>154</v>
      </c>
      <c r="B296" t="s">
        <v>155</v>
      </c>
      <c r="C296" s="1">
        <v>46245</v>
      </c>
      <c r="D296" t="s">
        <v>4157</v>
      </c>
      <c r="E296" t="s">
        <v>4182</v>
      </c>
    </row>
    <row r="297" spans="1:5" hidden="1" x14ac:dyDescent="0.25">
      <c r="A297" t="s">
        <v>91</v>
      </c>
      <c r="B297" t="s">
        <v>92</v>
      </c>
      <c r="C297" s="1">
        <v>46245</v>
      </c>
      <c r="D297" t="s">
        <v>4159</v>
      </c>
      <c r="E297" t="s">
        <v>4170</v>
      </c>
    </row>
    <row r="298" spans="1:5" hidden="1" x14ac:dyDescent="0.25">
      <c r="A298" t="s">
        <v>240</v>
      </c>
      <c r="B298" t="s">
        <v>241</v>
      </c>
      <c r="C298" s="1">
        <v>46245</v>
      </c>
      <c r="D298" t="s">
        <v>4155</v>
      </c>
      <c r="E298" t="s">
        <v>4173</v>
      </c>
    </row>
    <row r="299" spans="1:5" hidden="1" x14ac:dyDescent="0.25">
      <c r="A299" t="s">
        <v>171</v>
      </c>
      <c r="B299" t="s">
        <v>172</v>
      </c>
      <c r="C299" s="1">
        <v>46245</v>
      </c>
      <c r="D299" t="s">
        <v>4154</v>
      </c>
      <c r="E299" t="s">
        <v>4177</v>
      </c>
    </row>
    <row r="300" spans="1:5" hidden="1" x14ac:dyDescent="0.25">
      <c r="A300" t="s">
        <v>244</v>
      </c>
      <c r="B300" t="s">
        <v>245</v>
      </c>
      <c r="C300" s="1">
        <v>46246</v>
      </c>
      <c r="D300" t="s">
        <v>4154</v>
      </c>
      <c r="E300" t="s">
        <v>4174</v>
      </c>
    </row>
    <row r="301" spans="1:5" hidden="1" x14ac:dyDescent="0.25">
      <c r="A301" t="s">
        <v>106</v>
      </c>
      <c r="B301" t="s">
        <v>107</v>
      </c>
      <c r="C301" s="1">
        <v>46246</v>
      </c>
      <c r="D301" t="s">
        <v>4157</v>
      </c>
      <c r="E301" t="s">
        <v>4175</v>
      </c>
    </row>
    <row r="302" spans="1:5" hidden="1" x14ac:dyDescent="0.25">
      <c r="A302" t="s">
        <v>17</v>
      </c>
      <c r="B302" t="s">
        <v>18</v>
      </c>
      <c r="C302" s="1">
        <v>46246</v>
      </c>
      <c r="D302" t="s">
        <v>4154</v>
      </c>
      <c r="E302" t="s">
        <v>4177</v>
      </c>
    </row>
    <row r="303" spans="1:5" hidden="1" x14ac:dyDescent="0.25">
      <c r="A303" t="s">
        <v>134</v>
      </c>
      <c r="B303" t="s">
        <v>135</v>
      </c>
      <c r="C303" s="1">
        <v>46246</v>
      </c>
      <c r="D303" t="s">
        <v>4159</v>
      </c>
      <c r="E303" t="s">
        <v>4170</v>
      </c>
    </row>
    <row r="304" spans="1:5" hidden="1" x14ac:dyDescent="0.25">
      <c r="A304" t="s">
        <v>2886</v>
      </c>
      <c r="B304" t="s">
        <v>2887</v>
      </c>
      <c r="C304" s="1">
        <v>46246</v>
      </c>
      <c r="D304" t="s">
        <v>4157</v>
      </c>
      <c r="E304" t="s">
        <v>4175</v>
      </c>
    </row>
    <row r="305" spans="1:5" hidden="1" x14ac:dyDescent="0.25">
      <c r="A305" t="s">
        <v>230</v>
      </c>
      <c r="B305" t="s">
        <v>231</v>
      </c>
      <c r="C305" s="1">
        <v>46246</v>
      </c>
      <c r="D305" t="s">
        <v>4159</v>
      </c>
      <c r="E305" t="s">
        <v>4170</v>
      </c>
    </row>
    <row r="306" spans="1:5" hidden="1" x14ac:dyDescent="0.25">
      <c r="A306" t="s">
        <v>212</v>
      </c>
      <c r="B306" t="s">
        <v>213</v>
      </c>
      <c r="C306" s="1">
        <v>46246</v>
      </c>
      <c r="D306" t="s">
        <v>4159</v>
      </c>
      <c r="E306" t="s">
        <v>4170</v>
      </c>
    </row>
    <row r="307" spans="1:5" hidden="1" x14ac:dyDescent="0.25">
      <c r="A307" t="s">
        <v>147</v>
      </c>
      <c r="B307" t="s">
        <v>148</v>
      </c>
      <c r="C307" s="1">
        <v>46246</v>
      </c>
      <c r="D307" t="s">
        <v>4156</v>
      </c>
      <c r="E307" t="s">
        <v>4179</v>
      </c>
    </row>
    <row r="308" spans="1:5" hidden="1" x14ac:dyDescent="0.25">
      <c r="A308" t="s">
        <v>188</v>
      </c>
      <c r="B308" t="s">
        <v>189</v>
      </c>
      <c r="C308" s="1">
        <v>46246</v>
      </c>
      <c r="D308" t="s">
        <v>4154</v>
      </c>
      <c r="E308" t="s">
        <v>4171</v>
      </c>
    </row>
    <row r="309" spans="1:5" hidden="1" x14ac:dyDescent="0.25">
      <c r="A309" t="s">
        <v>178</v>
      </c>
      <c r="B309" t="s">
        <v>179</v>
      </c>
      <c r="C309" s="1">
        <v>46246</v>
      </c>
      <c r="D309" t="s">
        <v>4155</v>
      </c>
      <c r="E309" t="s">
        <v>4173</v>
      </c>
    </row>
    <row r="310" spans="1:5" hidden="1" x14ac:dyDescent="0.25">
      <c r="A310" t="s">
        <v>247</v>
      </c>
      <c r="B310" t="s">
        <v>248</v>
      </c>
      <c r="C310" s="1">
        <v>46246</v>
      </c>
      <c r="D310" t="s">
        <v>4157</v>
      </c>
      <c r="E310" t="s">
        <v>4180</v>
      </c>
    </row>
    <row r="311" spans="1:5" hidden="1" x14ac:dyDescent="0.25">
      <c r="A311" t="s">
        <v>73</v>
      </c>
      <c r="B311" t="s">
        <v>74</v>
      </c>
      <c r="C311" s="1">
        <v>46246</v>
      </c>
      <c r="D311" t="s">
        <v>4154</v>
      </c>
      <c r="E311" t="s">
        <v>4176</v>
      </c>
    </row>
    <row r="312" spans="1:5" hidden="1" x14ac:dyDescent="0.25">
      <c r="A312" t="s">
        <v>35</v>
      </c>
      <c r="B312" t="s">
        <v>36</v>
      </c>
      <c r="C312" s="1">
        <v>46246</v>
      </c>
      <c r="D312" t="s">
        <v>4155</v>
      </c>
      <c r="E312" t="s">
        <v>4184</v>
      </c>
    </row>
    <row r="313" spans="1:5" hidden="1" x14ac:dyDescent="0.25">
      <c r="A313" t="s">
        <v>185</v>
      </c>
      <c r="B313" t="s">
        <v>186</v>
      </c>
      <c r="C313" s="1">
        <v>46246</v>
      </c>
      <c r="D313" t="s">
        <v>4155</v>
      </c>
      <c r="E313" t="s">
        <v>4184</v>
      </c>
    </row>
    <row r="314" spans="1:5" hidden="1" x14ac:dyDescent="0.25">
      <c r="A314" t="s">
        <v>122</v>
      </c>
      <c r="B314" t="s">
        <v>123</v>
      </c>
      <c r="C314" s="1">
        <v>46246</v>
      </c>
      <c r="D314" t="s">
        <v>4157</v>
      </c>
      <c r="E314" t="s">
        <v>4182</v>
      </c>
    </row>
    <row r="315" spans="1:5" hidden="1" x14ac:dyDescent="0.25">
      <c r="A315" t="s">
        <v>191</v>
      </c>
      <c r="B315" t="s">
        <v>192</v>
      </c>
      <c r="C315" s="1">
        <v>46246</v>
      </c>
      <c r="D315" t="s">
        <v>4159</v>
      </c>
      <c r="E315" t="s">
        <v>4183</v>
      </c>
    </row>
    <row r="316" spans="1:5" hidden="1" x14ac:dyDescent="0.25">
      <c r="A316" t="s">
        <v>486</v>
      </c>
      <c r="B316" t="s">
        <v>487</v>
      </c>
      <c r="C316" s="1">
        <v>46246</v>
      </c>
      <c r="D316" t="s">
        <v>4159</v>
      </c>
      <c r="E316" t="s">
        <v>4170</v>
      </c>
    </row>
    <row r="317" spans="1:5" hidden="1" x14ac:dyDescent="0.25">
      <c r="A317" t="s">
        <v>162</v>
      </c>
      <c r="B317" t="s">
        <v>163</v>
      </c>
      <c r="C317" s="1">
        <v>46246</v>
      </c>
      <c r="D317" t="s">
        <v>4154</v>
      </c>
      <c r="E317" t="s">
        <v>4176</v>
      </c>
    </row>
    <row r="318" spans="1:5" hidden="1" x14ac:dyDescent="0.25">
      <c r="A318" t="s">
        <v>3621</v>
      </c>
      <c r="B318" t="s">
        <v>3622</v>
      </c>
      <c r="C318" s="1">
        <v>46246</v>
      </c>
      <c r="D318" t="s">
        <v>4159</v>
      </c>
      <c r="E318" t="s">
        <v>4170</v>
      </c>
    </row>
    <row r="319" spans="1:5" hidden="1" x14ac:dyDescent="0.25">
      <c r="A319" t="s">
        <v>154</v>
      </c>
      <c r="B319" t="s">
        <v>155</v>
      </c>
      <c r="C319" s="1">
        <v>46246</v>
      </c>
      <c r="D319" t="s">
        <v>4157</v>
      </c>
      <c r="E319" t="s">
        <v>4182</v>
      </c>
    </row>
    <row r="320" spans="1:5" hidden="1" x14ac:dyDescent="0.25">
      <c r="A320" t="s">
        <v>91</v>
      </c>
      <c r="B320" t="s">
        <v>92</v>
      </c>
      <c r="C320" s="1">
        <v>46246</v>
      </c>
      <c r="D320" t="s">
        <v>4159</v>
      </c>
      <c r="E320" t="s">
        <v>4170</v>
      </c>
    </row>
    <row r="321" spans="1:5" hidden="1" x14ac:dyDescent="0.25">
      <c r="A321" t="s">
        <v>240</v>
      </c>
      <c r="B321" t="s">
        <v>241</v>
      </c>
      <c r="C321" s="1">
        <v>46246</v>
      </c>
      <c r="D321" t="s">
        <v>4155</v>
      </c>
      <c r="E321" t="s">
        <v>4173</v>
      </c>
    </row>
    <row r="322" spans="1:5" hidden="1" x14ac:dyDescent="0.25">
      <c r="A322" t="s">
        <v>171</v>
      </c>
      <c r="B322" t="s">
        <v>172</v>
      </c>
      <c r="C322" s="1">
        <v>46246</v>
      </c>
      <c r="D322" t="s">
        <v>4154</v>
      </c>
      <c r="E322" t="s">
        <v>4177</v>
      </c>
    </row>
    <row r="323" spans="1:5" hidden="1" x14ac:dyDescent="0.25">
      <c r="A323" t="s">
        <v>244</v>
      </c>
      <c r="B323" t="s">
        <v>245</v>
      </c>
      <c r="C323" s="1">
        <v>46247</v>
      </c>
      <c r="D323" t="s">
        <v>4154</v>
      </c>
      <c r="E323" t="s">
        <v>4174</v>
      </c>
    </row>
    <row r="324" spans="1:5" hidden="1" x14ac:dyDescent="0.25">
      <c r="A324" t="s">
        <v>106</v>
      </c>
      <c r="B324" t="s">
        <v>107</v>
      </c>
      <c r="C324" s="1">
        <v>46247</v>
      </c>
      <c r="D324" t="s">
        <v>4157</v>
      </c>
      <c r="E324" t="s">
        <v>4175</v>
      </c>
    </row>
    <row r="325" spans="1:5" hidden="1" x14ac:dyDescent="0.25">
      <c r="A325" t="s">
        <v>17</v>
      </c>
      <c r="B325" t="s">
        <v>18</v>
      </c>
      <c r="C325" s="1">
        <v>46247</v>
      </c>
      <c r="D325" t="s">
        <v>4154</v>
      </c>
      <c r="E325" t="s">
        <v>4177</v>
      </c>
    </row>
    <row r="326" spans="1:5" hidden="1" x14ac:dyDescent="0.25">
      <c r="A326" t="s">
        <v>134</v>
      </c>
      <c r="B326" t="s">
        <v>135</v>
      </c>
      <c r="C326" s="1">
        <v>46247</v>
      </c>
      <c r="D326" t="s">
        <v>4159</v>
      </c>
      <c r="E326" t="s">
        <v>4170</v>
      </c>
    </row>
    <row r="327" spans="1:5" hidden="1" x14ac:dyDescent="0.25">
      <c r="A327" t="s">
        <v>2886</v>
      </c>
      <c r="B327" t="s">
        <v>2887</v>
      </c>
      <c r="C327" s="1">
        <v>46247</v>
      </c>
      <c r="D327" t="s">
        <v>4157</v>
      </c>
      <c r="E327" t="s">
        <v>4175</v>
      </c>
    </row>
    <row r="328" spans="1:5" hidden="1" x14ac:dyDescent="0.25">
      <c r="A328" t="s">
        <v>230</v>
      </c>
      <c r="B328" t="s">
        <v>231</v>
      </c>
      <c r="C328" s="1">
        <v>46247</v>
      </c>
      <c r="D328" t="s">
        <v>4159</v>
      </c>
      <c r="E328" t="s">
        <v>4170</v>
      </c>
    </row>
    <row r="329" spans="1:5" hidden="1" x14ac:dyDescent="0.25">
      <c r="A329" t="s">
        <v>212</v>
      </c>
      <c r="B329" t="s">
        <v>213</v>
      </c>
      <c r="C329" s="1">
        <v>46247</v>
      </c>
      <c r="D329" t="s">
        <v>4159</v>
      </c>
      <c r="E329" t="s">
        <v>4170</v>
      </c>
    </row>
    <row r="330" spans="1:5" hidden="1" x14ac:dyDescent="0.25">
      <c r="A330" t="s">
        <v>147</v>
      </c>
      <c r="B330" t="s">
        <v>148</v>
      </c>
      <c r="C330" s="1">
        <v>46247</v>
      </c>
      <c r="D330" t="s">
        <v>4156</v>
      </c>
      <c r="E330" t="s">
        <v>4179</v>
      </c>
    </row>
    <row r="331" spans="1:5" hidden="1" x14ac:dyDescent="0.25">
      <c r="A331" t="s">
        <v>188</v>
      </c>
      <c r="B331" t="s">
        <v>189</v>
      </c>
      <c r="C331" s="1">
        <v>46247</v>
      </c>
      <c r="D331" t="s">
        <v>4154</v>
      </c>
      <c r="E331" t="s">
        <v>4171</v>
      </c>
    </row>
    <row r="332" spans="1:5" hidden="1" x14ac:dyDescent="0.25">
      <c r="A332" t="s">
        <v>178</v>
      </c>
      <c r="B332" t="s">
        <v>179</v>
      </c>
      <c r="C332" s="1">
        <v>46247</v>
      </c>
      <c r="D332" t="s">
        <v>4155</v>
      </c>
      <c r="E332" t="s">
        <v>4173</v>
      </c>
    </row>
    <row r="333" spans="1:5" hidden="1" x14ac:dyDescent="0.25">
      <c r="A333" t="s">
        <v>247</v>
      </c>
      <c r="B333" t="s">
        <v>248</v>
      </c>
      <c r="C333" s="1">
        <v>46247</v>
      </c>
      <c r="D333" t="s">
        <v>4157</v>
      </c>
      <c r="E333" t="s">
        <v>4180</v>
      </c>
    </row>
    <row r="334" spans="1:5" hidden="1" x14ac:dyDescent="0.25">
      <c r="A334" t="s">
        <v>73</v>
      </c>
      <c r="B334" t="s">
        <v>74</v>
      </c>
      <c r="C334" s="1">
        <v>46247</v>
      </c>
      <c r="D334" t="s">
        <v>4154</v>
      </c>
      <c r="E334" t="s">
        <v>4176</v>
      </c>
    </row>
    <row r="335" spans="1:5" hidden="1" x14ac:dyDescent="0.25">
      <c r="A335" t="s">
        <v>35</v>
      </c>
      <c r="B335" t="s">
        <v>36</v>
      </c>
      <c r="C335" s="1">
        <v>46247</v>
      </c>
      <c r="D335" t="s">
        <v>4155</v>
      </c>
      <c r="E335" t="s">
        <v>4184</v>
      </c>
    </row>
    <row r="336" spans="1:5" hidden="1" x14ac:dyDescent="0.25">
      <c r="A336" t="s">
        <v>185</v>
      </c>
      <c r="B336" t="s">
        <v>186</v>
      </c>
      <c r="C336" s="1">
        <v>46247</v>
      </c>
      <c r="D336" t="s">
        <v>4155</v>
      </c>
      <c r="E336" t="s">
        <v>4184</v>
      </c>
    </row>
    <row r="337" spans="1:5" hidden="1" x14ac:dyDescent="0.25">
      <c r="A337" t="s">
        <v>122</v>
      </c>
      <c r="B337" t="s">
        <v>123</v>
      </c>
      <c r="C337" s="1">
        <v>46247</v>
      </c>
      <c r="D337" t="s">
        <v>4154</v>
      </c>
      <c r="E337" t="s">
        <v>4177</v>
      </c>
    </row>
    <row r="338" spans="1:5" hidden="1" x14ac:dyDescent="0.25">
      <c r="A338" t="s">
        <v>191</v>
      </c>
      <c r="B338" t="s">
        <v>192</v>
      </c>
      <c r="C338" s="1">
        <v>46247</v>
      </c>
      <c r="D338" t="s">
        <v>4159</v>
      </c>
      <c r="E338" t="s">
        <v>4183</v>
      </c>
    </row>
    <row r="339" spans="1:5" hidden="1" x14ac:dyDescent="0.25">
      <c r="A339" t="s">
        <v>486</v>
      </c>
      <c r="B339" t="s">
        <v>487</v>
      </c>
      <c r="C339" s="1">
        <v>46247</v>
      </c>
      <c r="D339" t="s">
        <v>4159</v>
      </c>
      <c r="E339" t="s">
        <v>4170</v>
      </c>
    </row>
    <row r="340" spans="1:5" hidden="1" x14ac:dyDescent="0.25">
      <c r="A340" t="s">
        <v>162</v>
      </c>
      <c r="B340" t="s">
        <v>163</v>
      </c>
      <c r="C340" s="1">
        <v>46247</v>
      </c>
      <c r="D340" t="s">
        <v>4154</v>
      </c>
      <c r="E340" t="s">
        <v>4176</v>
      </c>
    </row>
    <row r="341" spans="1:5" hidden="1" x14ac:dyDescent="0.25">
      <c r="A341" t="s">
        <v>3621</v>
      </c>
      <c r="B341" t="s">
        <v>3622</v>
      </c>
      <c r="C341" s="1">
        <v>46247</v>
      </c>
      <c r="D341" t="s">
        <v>4159</v>
      </c>
      <c r="E341" t="s">
        <v>4170</v>
      </c>
    </row>
    <row r="342" spans="1:5" hidden="1" x14ac:dyDescent="0.25">
      <c r="A342" t="s">
        <v>154</v>
      </c>
      <c r="B342" t="s">
        <v>155</v>
      </c>
      <c r="C342" s="1">
        <v>46247</v>
      </c>
      <c r="D342" t="s">
        <v>4157</v>
      </c>
      <c r="E342" t="s">
        <v>4182</v>
      </c>
    </row>
    <row r="343" spans="1:5" hidden="1" x14ac:dyDescent="0.25">
      <c r="A343" t="s">
        <v>91</v>
      </c>
      <c r="B343" t="s">
        <v>92</v>
      </c>
      <c r="C343" s="1">
        <v>46247</v>
      </c>
      <c r="D343" t="s">
        <v>4159</v>
      </c>
      <c r="E343" t="s">
        <v>4170</v>
      </c>
    </row>
    <row r="344" spans="1:5" hidden="1" x14ac:dyDescent="0.25">
      <c r="A344" t="s">
        <v>240</v>
      </c>
      <c r="B344" t="s">
        <v>241</v>
      </c>
      <c r="C344" s="1">
        <v>46247</v>
      </c>
      <c r="D344" t="s">
        <v>4155</v>
      </c>
      <c r="E344" t="s">
        <v>4173</v>
      </c>
    </row>
    <row r="345" spans="1:5" hidden="1" x14ac:dyDescent="0.25">
      <c r="A345" t="s">
        <v>171</v>
      </c>
      <c r="B345" t="s">
        <v>172</v>
      </c>
      <c r="C345" s="1">
        <v>46247</v>
      </c>
      <c r="D345" t="s">
        <v>4154</v>
      </c>
      <c r="E345" t="s">
        <v>4177</v>
      </c>
    </row>
    <row r="346" spans="1:5" hidden="1" x14ac:dyDescent="0.25">
      <c r="A346" t="s">
        <v>244</v>
      </c>
      <c r="B346" t="s">
        <v>245</v>
      </c>
      <c r="C346" s="1">
        <v>46248</v>
      </c>
      <c r="D346" t="s">
        <v>4154</v>
      </c>
      <c r="E346" t="s">
        <v>4174</v>
      </c>
    </row>
    <row r="347" spans="1:5" hidden="1" x14ac:dyDescent="0.25">
      <c r="A347" t="s">
        <v>106</v>
      </c>
      <c r="B347" t="s">
        <v>107</v>
      </c>
      <c r="C347" s="1">
        <v>46248</v>
      </c>
      <c r="D347" t="s">
        <v>4157</v>
      </c>
      <c r="E347" t="s">
        <v>4175</v>
      </c>
    </row>
    <row r="348" spans="1:5" hidden="1" x14ac:dyDescent="0.25">
      <c r="A348" t="s">
        <v>17</v>
      </c>
      <c r="B348" t="s">
        <v>18</v>
      </c>
      <c r="C348" s="1">
        <v>46248</v>
      </c>
      <c r="D348" t="s">
        <v>4154</v>
      </c>
      <c r="E348" t="s">
        <v>4177</v>
      </c>
    </row>
    <row r="349" spans="1:5" hidden="1" x14ac:dyDescent="0.25">
      <c r="A349" t="s">
        <v>134</v>
      </c>
      <c r="B349" t="s">
        <v>135</v>
      </c>
      <c r="C349" s="1">
        <v>46248</v>
      </c>
      <c r="D349" t="s">
        <v>4159</v>
      </c>
      <c r="E349" t="s">
        <v>4170</v>
      </c>
    </row>
    <row r="350" spans="1:5" hidden="1" x14ac:dyDescent="0.25">
      <c r="A350" t="s">
        <v>2886</v>
      </c>
      <c r="B350" t="s">
        <v>2887</v>
      </c>
      <c r="C350" s="1">
        <v>46248</v>
      </c>
      <c r="D350" t="s">
        <v>4157</v>
      </c>
      <c r="E350" t="s">
        <v>4175</v>
      </c>
    </row>
    <row r="351" spans="1:5" hidden="1" x14ac:dyDescent="0.25">
      <c r="A351" t="s">
        <v>230</v>
      </c>
      <c r="B351" t="s">
        <v>231</v>
      </c>
      <c r="C351" s="1">
        <v>46248</v>
      </c>
      <c r="D351" t="s">
        <v>4159</v>
      </c>
      <c r="E351" t="s">
        <v>4170</v>
      </c>
    </row>
    <row r="352" spans="1:5" hidden="1" x14ac:dyDescent="0.25">
      <c r="A352" t="s">
        <v>212</v>
      </c>
      <c r="B352" t="s">
        <v>213</v>
      </c>
      <c r="C352" s="1">
        <v>46248</v>
      </c>
      <c r="D352" t="s">
        <v>4159</v>
      </c>
      <c r="E352" t="s">
        <v>4170</v>
      </c>
    </row>
    <row r="353" spans="1:5" hidden="1" x14ac:dyDescent="0.25">
      <c r="A353" t="s">
        <v>147</v>
      </c>
      <c r="B353" t="s">
        <v>148</v>
      </c>
      <c r="C353" s="1">
        <v>46248</v>
      </c>
      <c r="D353" t="s">
        <v>4156</v>
      </c>
      <c r="E353" t="s">
        <v>4179</v>
      </c>
    </row>
    <row r="354" spans="1:5" hidden="1" x14ac:dyDescent="0.25">
      <c r="A354" t="s">
        <v>188</v>
      </c>
      <c r="B354" t="s">
        <v>189</v>
      </c>
      <c r="C354" s="1">
        <v>46248</v>
      </c>
      <c r="D354" t="s">
        <v>4154</v>
      </c>
      <c r="E354" t="s">
        <v>4171</v>
      </c>
    </row>
    <row r="355" spans="1:5" hidden="1" x14ac:dyDescent="0.25">
      <c r="A355" t="s">
        <v>178</v>
      </c>
      <c r="B355" t="s">
        <v>179</v>
      </c>
      <c r="C355" s="1">
        <v>46248</v>
      </c>
      <c r="D355" t="s">
        <v>4155</v>
      </c>
      <c r="E355" t="s">
        <v>4173</v>
      </c>
    </row>
    <row r="356" spans="1:5" hidden="1" x14ac:dyDescent="0.25">
      <c r="A356" t="s">
        <v>247</v>
      </c>
      <c r="B356" t="s">
        <v>248</v>
      </c>
      <c r="C356" s="1">
        <v>46248</v>
      </c>
      <c r="D356" t="s">
        <v>4157</v>
      </c>
      <c r="E356" t="s">
        <v>4180</v>
      </c>
    </row>
    <row r="357" spans="1:5" hidden="1" x14ac:dyDescent="0.25">
      <c r="A357" t="s">
        <v>73</v>
      </c>
      <c r="B357" t="s">
        <v>74</v>
      </c>
      <c r="C357" s="1">
        <v>46248</v>
      </c>
      <c r="D357" t="s">
        <v>4154</v>
      </c>
      <c r="E357" t="s">
        <v>4176</v>
      </c>
    </row>
    <row r="358" spans="1:5" hidden="1" x14ac:dyDescent="0.25">
      <c r="A358" t="s">
        <v>35</v>
      </c>
      <c r="B358" t="s">
        <v>36</v>
      </c>
      <c r="C358" s="1">
        <v>46248</v>
      </c>
      <c r="D358" t="s">
        <v>4155</v>
      </c>
      <c r="E358" t="s">
        <v>4184</v>
      </c>
    </row>
    <row r="359" spans="1:5" hidden="1" x14ac:dyDescent="0.25">
      <c r="A359" t="s">
        <v>185</v>
      </c>
      <c r="B359" t="s">
        <v>186</v>
      </c>
      <c r="C359" s="1">
        <v>46248</v>
      </c>
      <c r="D359" t="s">
        <v>4155</v>
      </c>
      <c r="E359" t="s">
        <v>4184</v>
      </c>
    </row>
    <row r="360" spans="1:5" hidden="1" x14ac:dyDescent="0.25">
      <c r="A360" t="s">
        <v>122</v>
      </c>
      <c r="B360" t="s">
        <v>123</v>
      </c>
      <c r="C360" s="1">
        <v>46248</v>
      </c>
      <c r="D360" t="s">
        <v>4154</v>
      </c>
      <c r="E360" t="s">
        <v>4177</v>
      </c>
    </row>
    <row r="361" spans="1:5" hidden="1" x14ac:dyDescent="0.25">
      <c r="A361" t="s">
        <v>191</v>
      </c>
      <c r="B361" t="s">
        <v>192</v>
      </c>
      <c r="C361" s="1">
        <v>46248</v>
      </c>
      <c r="D361" t="s">
        <v>4159</v>
      </c>
      <c r="E361" t="s">
        <v>4183</v>
      </c>
    </row>
    <row r="362" spans="1:5" hidden="1" x14ac:dyDescent="0.25">
      <c r="A362" t="s">
        <v>486</v>
      </c>
      <c r="B362" t="s">
        <v>487</v>
      </c>
      <c r="C362" s="1">
        <v>46248</v>
      </c>
      <c r="D362" t="s">
        <v>4159</v>
      </c>
      <c r="E362" t="s">
        <v>4170</v>
      </c>
    </row>
    <row r="363" spans="1:5" hidden="1" x14ac:dyDescent="0.25">
      <c r="A363" t="s">
        <v>162</v>
      </c>
      <c r="B363" t="s">
        <v>163</v>
      </c>
      <c r="C363" s="1">
        <v>46248</v>
      </c>
      <c r="D363" t="s">
        <v>4154</v>
      </c>
      <c r="E363" t="s">
        <v>4176</v>
      </c>
    </row>
    <row r="364" spans="1:5" hidden="1" x14ac:dyDescent="0.25">
      <c r="A364" t="s">
        <v>3621</v>
      </c>
      <c r="B364" t="s">
        <v>3622</v>
      </c>
      <c r="C364" s="1">
        <v>46248</v>
      </c>
      <c r="D364" t="s">
        <v>4159</v>
      </c>
      <c r="E364" t="s">
        <v>4170</v>
      </c>
    </row>
    <row r="365" spans="1:5" hidden="1" x14ac:dyDescent="0.25">
      <c r="A365" t="s">
        <v>154</v>
      </c>
      <c r="B365" t="s">
        <v>155</v>
      </c>
      <c r="C365" s="1">
        <v>46248</v>
      </c>
      <c r="D365" t="s">
        <v>4157</v>
      </c>
      <c r="E365" t="s">
        <v>4182</v>
      </c>
    </row>
    <row r="366" spans="1:5" hidden="1" x14ac:dyDescent="0.25">
      <c r="A366" t="s">
        <v>91</v>
      </c>
      <c r="B366" t="s">
        <v>92</v>
      </c>
      <c r="C366" s="1">
        <v>46248</v>
      </c>
      <c r="D366" t="s">
        <v>4159</v>
      </c>
      <c r="E366" t="s">
        <v>4170</v>
      </c>
    </row>
    <row r="367" spans="1:5" hidden="1" x14ac:dyDescent="0.25">
      <c r="A367" t="s">
        <v>240</v>
      </c>
      <c r="B367" t="s">
        <v>241</v>
      </c>
      <c r="C367" s="1">
        <v>46248</v>
      </c>
      <c r="D367" t="s">
        <v>4155</v>
      </c>
      <c r="E367" t="s">
        <v>4173</v>
      </c>
    </row>
    <row r="368" spans="1:5" hidden="1" x14ac:dyDescent="0.25">
      <c r="A368" t="s">
        <v>171</v>
      </c>
      <c r="B368" t="s">
        <v>172</v>
      </c>
      <c r="C368" s="1">
        <v>46248</v>
      </c>
      <c r="D368" t="s">
        <v>4154</v>
      </c>
      <c r="E368" t="s">
        <v>4177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D7726-5305-41A0-987B-1D4E0D929F86}">
  <dimension ref="A1:C33"/>
  <sheetViews>
    <sheetView workbookViewId="0">
      <selection activeCell="B21" sqref="B21"/>
    </sheetView>
  </sheetViews>
  <sheetFormatPr baseColWidth="10" defaultColWidth="11.42578125" defaultRowHeight="15" x14ac:dyDescent="0.25"/>
  <cols>
    <col min="1" max="1" width="28" bestFit="1" customWidth="1"/>
    <col min="2" max="2" width="47.140625" bestFit="1" customWidth="1"/>
    <col min="3" max="3" width="21.5703125" bestFit="1" customWidth="1"/>
  </cols>
  <sheetData>
    <row r="1" spans="1:3" x14ac:dyDescent="0.25">
      <c r="A1" t="s">
        <v>8</v>
      </c>
      <c r="B1" t="s">
        <v>4187</v>
      </c>
      <c r="C1" t="s">
        <v>4188</v>
      </c>
    </row>
    <row r="2" spans="1:3" x14ac:dyDescent="0.25">
      <c r="A2" t="s">
        <v>115</v>
      </c>
      <c r="B2" t="s">
        <v>116</v>
      </c>
      <c r="C2" s="1">
        <v>46237</v>
      </c>
    </row>
    <row r="3" spans="1:3" x14ac:dyDescent="0.25">
      <c r="A3" t="s">
        <v>65</v>
      </c>
      <c r="B3" t="s">
        <v>66</v>
      </c>
      <c r="C3" s="1">
        <v>46237</v>
      </c>
    </row>
    <row r="4" spans="1:3" x14ac:dyDescent="0.25">
      <c r="B4" t="s">
        <v>3008</v>
      </c>
      <c r="C4" s="1">
        <v>46237</v>
      </c>
    </row>
    <row r="5" spans="1:3" x14ac:dyDescent="0.25">
      <c r="B5" t="s">
        <v>4189</v>
      </c>
      <c r="C5" s="1">
        <v>46244</v>
      </c>
    </row>
    <row r="6" spans="1:3" x14ac:dyDescent="0.25">
      <c r="B6" t="s">
        <v>243</v>
      </c>
      <c r="C6" s="1">
        <v>46244</v>
      </c>
    </row>
    <row r="7" spans="1:3" x14ac:dyDescent="0.25">
      <c r="A7" t="s">
        <v>167</v>
      </c>
      <c r="B7" t="s">
        <v>168</v>
      </c>
      <c r="C7" s="1">
        <v>46244</v>
      </c>
    </row>
    <row r="8" spans="1:3" x14ac:dyDescent="0.25">
      <c r="A8" t="s">
        <v>198</v>
      </c>
      <c r="B8" t="s">
        <v>199</v>
      </c>
      <c r="C8" s="1">
        <v>46244</v>
      </c>
    </row>
    <row r="9" spans="1:3" x14ac:dyDescent="0.25">
      <c r="A9" t="s">
        <v>256</v>
      </c>
      <c r="B9" t="s">
        <v>257</v>
      </c>
      <c r="C9" s="1">
        <v>46244</v>
      </c>
    </row>
    <row r="10" spans="1:3" x14ac:dyDescent="0.25">
      <c r="A10" t="s">
        <v>203</v>
      </c>
      <c r="B10" t="s">
        <v>204</v>
      </c>
      <c r="C10" s="1">
        <v>46244</v>
      </c>
    </row>
    <row r="11" spans="1:3" x14ac:dyDescent="0.25">
      <c r="A11" t="s">
        <v>58</v>
      </c>
      <c r="B11" t="s">
        <v>59</v>
      </c>
      <c r="C11" s="1">
        <v>46244</v>
      </c>
    </row>
    <row r="12" spans="1:3" x14ac:dyDescent="0.25">
      <c r="B12" t="s">
        <v>2925</v>
      </c>
      <c r="C12" s="1">
        <v>46244</v>
      </c>
    </row>
    <row r="13" spans="1:3" x14ac:dyDescent="0.25">
      <c r="A13" t="s">
        <v>144</v>
      </c>
      <c r="B13" t="s">
        <v>145</v>
      </c>
      <c r="C13" s="1">
        <v>46244</v>
      </c>
    </row>
    <row r="14" spans="1:3" x14ac:dyDescent="0.25">
      <c r="A14" t="s">
        <v>216</v>
      </c>
      <c r="B14" t="s">
        <v>217</v>
      </c>
      <c r="C14" s="1">
        <v>46244</v>
      </c>
    </row>
    <row r="15" spans="1:3" x14ac:dyDescent="0.25">
      <c r="A15" t="s">
        <v>98</v>
      </c>
      <c r="B15" t="s">
        <v>99</v>
      </c>
      <c r="C15" s="1">
        <v>46244</v>
      </c>
    </row>
    <row r="16" spans="1:3" x14ac:dyDescent="0.25">
      <c r="A16" t="s">
        <v>137</v>
      </c>
      <c r="B16" t="s">
        <v>138</v>
      </c>
      <c r="C16" s="1">
        <v>46244</v>
      </c>
    </row>
    <row r="17" spans="1:3" x14ac:dyDescent="0.25">
      <c r="A17" t="s">
        <v>219</v>
      </c>
      <c r="B17" t="s">
        <v>220</v>
      </c>
      <c r="C17" s="1">
        <v>46244</v>
      </c>
    </row>
    <row r="18" spans="1:3" x14ac:dyDescent="0.25">
      <c r="A18" t="s">
        <v>225</v>
      </c>
      <c r="B18" t="s">
        <v>226</v>
      </c>
      <c r="C18" s="1">
        <v>46244</v>
      </c>
    </row>
    <row r="19" spans="1:3" x14ac:dyDescent="0.25">
      <c r="A19" t="s">
        <v>206</v>
      </c>
      <c r="B19" t="s">
        <v>207</v>
      </c>
      <c r="C19" s="1">
        <v>46244</v>
      </c>
    </row>
    <row r="20" spans="1:3" x14ac:dyDescent="0.25">
      <c r="A20" t="s">
        <v>252</v>
      </c>
      <c r="B20" t="s">
        <v>253</v>
      </c>
      <c r="C20" s="1">
        <v>46244</v>
      </c>
    </row>
    <row r="21" spans="1:3" x14ac:dyDescent="0.25">
      <c r="A21" t="s">
        <v>237</v>
      </c>
      <c r="B21" t="s">
        <v>238</v>
      </c>
      <c r="C21" s="1">
        <v>46244</v>
      </c>
    </row>
    <row r="22" spans="1:3" x14ac:dyDescent="0.25">
      <c r="A22" t="s">
        <v>69</v>
      </c>
      <c r="B22" t="s">
        <v>70</v>
      </c>
      <c r="C22" s="1">
        <v>46244</v>
      </c>
    </row>
    <row r="23" spans="1:3" x14ac:dyDescent="0.25">
      <c r="A23" t="s">
        <v>1318</v>
      </c>
      <c r="B23" t="s">
        <v>1319</v>
      </c>
      <c r="C23" s="1">
        <v>46244</v>
      </c>
    </row>
    <row r="24" spans="1:3" x14ac:dyDescent="0.25">
      <c r="A24" t="s">
        <v>1346</v>
      </c>
      <c r="B24" t="s">
        <v>1347</v>
      </c>
      <c r="C24" s="1">
        <v>46244</v>
      </c>
    </row>
    <row r="25" spans="1:3" x14ac:dyDescent="0.25">
      <c r="A25" t="s">
        <v>1435</v>
      </c>
      <c r="B25" t="s">
        <v>1436</v>
      </c>
      <c r="C25" s="1">
        <v>46244</v>
      </c>
    </row>
    <row r="26" spans="1:3" x14ac:dyDescent="0.25">
      <c r="B26" t="s">
        <v>1529</v>
      </c>
      <c r="C26" s="1">
        <v>46249</v>
      </c>
    </row>
    <row r="27" spans="1:3" x14ac:dyDescent="0.25">
      <c r="B27" t="s">
        <v>525</v>
      </c>
      <c r="C27" s="1">
        <v>46249</v>
      </c>
    </row>
    <row r="28" spans="1:3" x14ac:dyDescent="0.25">
      <c r="A28" t="s">
        <v>247</v>
      </c>
      <c r="B28" t="s">
        <v>248</v>
      </c>
      <c r="C28" s="1">
        <v>46249</v>
      </c>
    </row>
    <row r="29" spans="1:3" x14ac:dyDescent="0.25">
      <c r="B29" t="s">
        <v>4190</v>
      </c>
      <c r="C29" s="1">
        <v>46249</v>
      </c>
    </row>
    <row r="30" spans="1:3" x14ac:dyDescent="0.25">
      <c r="B30" t="s">
        <v>1790</v>
      </c>
      <c r="C30" s="1">
        <v>46249</v>
      </c>
    </row>
    <row r="31" spans="1:3" x14ac:dyDescent="0.25">
      <c r="B31" t="s">
        <v>2232</v>
      </c>
      <c r="C31" s="1">
        <v>46249</v>
      </c>
    </row>
    <row r="32" spans="1:3" x14ac:dyDescent="0.25">
      <c r="B32" t="s">
        <v>3790</v>
      </c>
      <c r="C32" s="1">
        <v>46249</v>
      </c>
    </row>
    <row r="33" spans="2:3" x14ac:dyDescent="0.25">
      <c r="B33" t="s">
        <v>4191</v>
      </c>
      <c r="C33" s="1">
        <v>46249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EF075-8AB2-4B57-9A5B-C0DF2BB64C5A}">
  <dimension ref="A1:A19"/>
  <sheetViews>
    <sheetView workbookViewId="0">
      <selection activeCell="E13" sqref="E13"/>
    </sheetView>
  </sheetViews>
  <sheetFormatPr baseColWidth="10" defaultColWidth="11.42578125" defaultRowHeight="15" x14ac:dyDescent="0.25"/>
  <cols>
    <col min="1" max="1" width="12" customWidth="1"/>
  </cols>
  <sheetData>
    <row r="1" spans="1:1" x14ac:dyDescent="0.25">
      <c r="A1" t="s">
        <v>4192</v>
      </c>
    </row>
    <row r="2" spans="1:1" x14ac:dyDescent="0.25">
      <c r="A2" s="1">
        <v>46023</v>
      </c>
    </row>
    <row r="3" spans="1:1" x14ac:dyDescent="0.25">
      <c r="A3" s="1">
        <v>46034</v>
      </c>
    </row>
    <row r="4" spans="1:1" x14ac:dyDescent="0.25">
      <c r="A4" s="1">
        <v>46104</v>
      </c>
    </row>
    <row r="5" spans="1:1" x14ac:dyDescent="0.25">
      <c r="A5" s="1">
        <v>46114</v>
      </c>
    </row>
    <row r="6" spans="1:1" x14ac:dyDescent="0.25">
      <c r="A6" s="1">
        <v>46115</v>
      </c>
    </row>
    <row r="7" spans="1:1" x14ac:dyDescent="0.25">
      <c r="A7" s="1">
        <v>46143</v>
      </c>
    </row>
    <row r="8" spans="1:1" x14ac:dyDescent="0.25">
      <c r="A8" s="1">
        <v>46160</v>
      </c>
    </row>
    <row r="9" spans="1:1" x14ac:dyDescent="0.25">
      <c r="A9" s="1">
        <v>46181</v>
      </c>
    </row>
    <row r="10" spans="1:1" x14ac:dyDescent="0.25">
      <c r="A10" s="1">
        <v>46188</v>
      </c>
    </row>
    <row r="11" spans="1:1" x14ac:dyDescent="0.25">
      <c r="A11" s="1">
        <v>46202</v>
      </c>
    </row>
    <row r="12" spans="1:1" x14ac:dyDescent="0.25">
      <c r="A12" s="1">
        <v>46223</v>
      </c>
    </row>
    <row r="13" spans="1:1" x14ac:dyDescent="0.25">
      <c r="A13" s="1">
        <v>46241</v>
      </c>
    </row>
    <row r="14" spans="1:1" x14ac:dyDescent="0.25">
      <c r="A14" s="1">
        <v>46251</v>
      </c>
    </row>
    <row r="15" spans="1:1" x14ac:dyDescent="0.25">
      <c r="A15" s="1">
        <v>46307</v>
      </c>
    </row>
    <row r="16" spans="1:1" x14ac:dyDescent="0.25">
      <c r="A16" s="1">
        <v>46328</v>
      </c>
    </row>
    <row r="17" spans="1:1" x14ac:dyDescent="0.25">
      <c r="A17" s="1">
        <v>46342</v>
      </c>
    </row>
    <row r="18" spans="1:1" x14ac:dyDescent="0.25">
      <c r="A18" s="1">
        <v>46364</v>
      </c>
    </row>
    <row r="19" spans="1:1" x14ac:dyDescent="0.25">
      <c r="A19" s="1">
        <v>46381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81EC811639F104B94F1125ED4852271" ma:contentTypeVersion="7" ma:contentTypeDescription="Crear nuevo documento." ma:contentTypeScope="" ma:versionID="b5ede9e5646be276b9f59de442a96e99">
  <xsd:schema xmlns:xsd="http://www.w3.org/2001/XMLSchema" xmlns:xs="http://www.w3.org/2001/XMLSchema" xmlns:p="http://schemas.microsoft.com/office/2006/metadata/properties" xmlns:ns2="ef745cab-3be6-42dc-b346-6a761971f77b" targetNamespace="http://schemas.microsoft.com/office/2006/metadata/properties" ma:root="true" ma:fieldsID="b07a93ffc8b78a8c15dd1389a3e80945" ns2:_="">
    <xsd:import namespace="ef745cab-3be6-42dc-b346-6a761971f7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745cab-3be6-42dc-b346-6a761971f77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scriptIds xmlns="http://schemas.microsoft.com/office/extensibility/maker/v1.0" id="script-ids-node-id">
  <scriptId id="ms-officescript%3A%2F%2Fonedrive_business_itemlink%2F01NGKOBCYZY7WTV4YHXVGICS2I6WX4CZO3:ms-officescript%3A%2F%2Fonedrive_business_sharinglink%2Fu!aHR0cHM6Ly9zYW52aWNlbnRlY2VzMi1teS5zaGFyZXBvaW50LmNvbS86dTovZy9wZXJzb25hbC9qb3NlX29zb3Jpb19zYW52aWNlbnRlY2VzX2NvbS9JUUFaeC0wNjh3ZTlUSUZMU1BXdndXWGJBVmstWVdxV3g1NWxJZU8yVUgyTHB1QQ"/>
</scriptIds>
</file>

<file path=customXml/item5.xml>�� 
</file>

<file path=customXml/itemProps1.xml><?xml version="1.0" encoding="utf-8"?>
<ds:datastoreItem xmlns:ds="http://schemas.openxmlformats.org/officeDocument/2006/customXml" ds:itemID="{3F21E833-3DB3-4795-8C40-C956B564EC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D606E88-7341-47DD-B1F3-8E13B433A0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745cab-3be6-42dc-b346-6a761971f7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1926267-0336-4A76-9002-073F83D6335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DEB08B47-3CC8-4D58-91E3-C0AB71B04988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A6868457-F65F-4852-BA25-9817C7CB7F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CONSOLIDADO ABRIL</vt:lpstr>
      <vt:lpstr>CONSOLIDADO MARZO</vt:lpstr>
      <vt:lpstr>CONSOLIDADO REDIRECCIONAMIENTO</vt:lpstr>
      <vt:lpstr>REDIRECIONAMIENTO EXTERNO</vt:lpstr>
      <vt:lpstr>BD PERSONAL</vt:lpstr>
      <vt:lpstr>CONSOLIDADO 2026</vt:lpstr>
      <vt:lpstr>CONSOLIDADO 2026 LIDERES</vt:lpstr>
      <vt:lpstr>CONSOLIDADO 2026 GH</vt:lpstr>
      <vt:lpstr>CONSOLIDADO 2026 NOMINA</vt:lpstr>
      <vt:lpstr>SUPERNUMERARIOS</vt:lpstr>
      <vt:lpstr>CONSOLIDADO PLAZAS FIJAS</vt:lpstr>
      <vt:lpstr>FESTIVOS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2026-04-14T15:10:16Z</dcterms:created>
  <dcterms:modified xsi:type="dcterms:W3CDTF">2026-08-13T15:34:55Z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0x010100B81EC811639F104B94F1125ED4852271</vt:lpwstr>
  </property>
</Properties>
</file>