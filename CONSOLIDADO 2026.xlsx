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namedSheetViews/namedSheetView1.xml" ContentType="application/vnd.ms-excel.namedsheetviews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hidePivotFieldList="1" defaultThemeVersion="166925"/>
  <xr:revisionPtr revIDLastSave="2001" documentId="6_{6FA386A9-7AD4-457F-B8A5-CE7694A3A2FF}" xr6:coauthVersionLast="47" xr6:coauthVersionMax="47" xr10:uidLastSave="{930F7CC1-A6B4-495E-8438-6B4B653391B9}"/>
  <bookViews>
    <workbookView xWindow="20370" yWindow="-1785" windowWidth="29040" windowHeight="15720" tabRatio="813" firstSheet="3" activeTab="4" xr2:uid="{A22C7B05-6B0A-4116-A99A-60EDDEA67682}"/>
  </bookViews>
  <sheets>
    <sheet name="CONSOLIDADO ABRIL" sheetId="20" state="hidden" r:id="rId1"/>
    <sheet name="CONSOLIDADO MARZO" sheetId="19" state="hidden" r:id="rId2"/>
    <sheet name="CONSOLIDADO REDIRECCIONAMIENTO" sheetId="37" r:id="rId3"/>
    <sheet name="REDIRECIONAMIENTO EXTERNO" sheetId="38" r:id="rId4"/>
    <sheet name="BD PERSONAL" sheetId="36" r:id="rId5"/>
    <sheet name="CONSOLIDADO 2026" sheetId="17" r:id="rId6"/>
    <sheet name="CONSOLIDADO 2026 LIDERES" sheetId="18" r:id="rId7"/>
    <sheet name="CONSOLIDADO 2026 GH" sheetId="28" r:id="rId8"/>
    <sheet name="CONSOLIDADO 2026 NOMINA" sheetId="25" r:id="rId9"/>
    <sheet name="SUPERNUMERARIOS" sheetId="35" r:id="rId10"/>
    <sheet name="CONSOLIDADO PLAZAS FIJAS" sheetId="34" r:id="rId11"/>
    <sheet name="FESTIVOS" sheetId="33" state="hidden" r:id="rId12"/>
  </sheets>
  <definedNames>
    <definedName name="_xlnm._FilterDatabase" localSheetId="8" hidden="1">'CONSOLIDADO 2026 NOMINA'!$Q$746:$Q$746</definedName>
    <definedName name="_xlcn.WorksheetConnection_CONSOLIDADO2026.xlsxCONSOLIDADO_2026_NOMINA1" hidden="1">CONSOLIDADO_2026_NOMINA[]</definedName>
    <definedName name="DatosExternos_1" localSheetId="5" hidden="1">'CONSOLIDADO 2026'!$A$1:$R$1841</definedName>
    <definedName name="DatosExternos_2" localSheetId="7" hidden="1">'CONSOLIDADO 2026 GH'!$A$1:$O$610</definedName>
    <definedName name="DatosExternos_2" localSheetId="6" hidden="1">'CONSOLIDADO 2026 LIDERES'!$A$1:$I$1705</definedName>
    <definedName name="DatosExternos_2" localSheetId="2" hidden="1">'CONSOLIDADO REDIRECCIONAMIENTO'!$A$1:$M$624</definedName>
    <definedName name="DatosExternos_4" localSheetId="8" hidden="1">'CONSOLIDADO 2026 NOMINA'!$A$1:$R$738</definedName>
    <definedName name="DatosExternos_5" localSheetId="10" hidden="1">'CONSOLIDADO PLAZAS FIJAS'!$A$1:$C$55</definedName>
    <definedName name="DatosExternos_6" localSheetId="4" hidden="1">'BD PERSONAL'!$A$1:$F$1291</definedName>
    <definedName name="DatosExternos_6" localSheetId="9" hidden="1">SUPERNUMERARIOS!$A$1:$E$743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ALENDARIO_METAS_d41f0f20-7d0c-4659-a6b3-c86477c95d49" name="CALENDARIO_METAS" connection="Consulta - CALENDARIO_METAS"/>
          <x15:modelTable id="CONSOLIDADO_2026_NOMINA" name="CONSOLIDADO_2026_NOMINA" connection="WorksheetConnection_CONSOLIDADO 2026.xlsx!CONSOLIDADO_2026_NOMINA"/>
        </x15:modelTables>
        <x15:modelRelationships>
          <x15:modelRelationship fromTable="CONSOLIDADO_2026_NOMINA" fromColumn="REVISION POR CENTRAL DE NOVEDADES" toTable="CALENDARIO_METAS" toColumn="Fech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7" l="1"/>
  <c r="S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18" i="17"/>
  <c r="S19" i="17"/>
  <c r="S20" i="17"/>
  <c r="S21" i="17"/>
  <c r="S22" i="17"/>
  <c r="S23" i="17"/>
  <c r="S24" i="17"/>
  <c r="S25" i="17"/>
  <c r="S26" i="17"/>
  <c r="S27" i="17"/>
  <c r="S28" i="17"/>
  <c r="S29" i="17"/>
  <c r="S30" i="17"/>
  <c r="S31" i="17"/>
  <c r="S32" i="17"/>
  <c r="S33" i="17"/>
  <c r="S34" i="17"/>
  <c r="S35" i="17"/>
  <c r="S36" i="17"/>
  <c r="S37" i="17"/>
  <c r="S38" i="17"/>
  <c r="S39" i="17"/>
  <c r="S40" i="17"/>
  <c r="S41" i="17"/>
  <c r="S42" i="17"/>
  <c r="S43" i="17"/>
  <c r="S44" i="17"/>
  <c r="S45" i="17"/>
  <c r="S46" i="17"/>
  <c r="S47" i="17"/>
  <c r="S48" i="17"/>
  <c r="S49" i="17"/>
  <c r="S50" i="17"/>
  <c r="S51" i="17"/>
  <c r="S52" i="17"/>
  <c r="S53" i="17"/>
  <c r="S54" i="17"/>
  <c r="S55" i="17"/>
  <c r="S56" i="17"/>
  <c r="S57" i="17"/>
  <c r="S58" i="17"/>
  <c r="S59" i="17"/>
  <c r="S60" i="17"/>
  <c r="S61" i="17"/>
  <c r="S62" i="17"/>
  <c r="S63" i="17"/>
  <c r="S64" i="17"/>
  <c r="S65" i="17"/>
  <c r="S66" i="17"/>
  <c r="S67" i="17"/>
  <c r="S68" i="17"/>
  <c r="S69" i="17"/>
  <c r="S70" i="17"/>
  <c r="S71" i="17"/>
  <c r="S72" i="17"/>
  <c r="S73" i="17"/>
  <c r="S74" i="17"/>
  <c r="S75" i="17"/>
  <c r="S76" i="17"/>
  <c r="S77" i="17"/>
  <c r="S78" i="17"/>
  <c r="S79" i="17"/>
  <c r="S80" i="17"/>
  <c r="S81" i="17"/>
  <c r="S82" i="17"/>
  <c r="S83" i="17"/>
  <c r="S84" i="17"/>
  <c r="S85" i="17"/>
  <c r="S86" i="17"/>
  <c r="S87" i="17"/>
  <c r="S88" i="17"/>
  <c r="S89" i="17"/>
  <c r="S90" i="17"/>
  <c r="S91" i="17"/>
  <c r="S92" i="17"/>
  <c r="S93" i="17"/>
  <c r="S94" i="17"/>
  <c r="S95" i="17"/>
  <c r="S96" i="17"/>
  <c r="S97" i="17"/>
  <c r="S98" i="17"/>
  <c r="S99" i="17"/>
  <c r="S100" i="17"/>
  <c r="S101" i="17"/>
  <c r="S102" i="17"/>
  <c r="S103" i="17"/>
  <c r="S104" i="17"/>
  <c r="S105" i="17"/>
  <c r="S106" i="17"/>
  <c r="S107" i="17"/>
  <c r="S108" i="17"/>
  <c r="S109" i="17"/>
  <c r="S110" i="17"/>
  <c r="S111" i="17"/>
  <c r="S112" i="17"/>
  <c r="S113" i="17"/>
  <c r="S114" i="17"/>
  <c r="S115" i="17"/>
  <c r="S116" i="17"/>
  <c r="S117" i="17"/>
  <c r="S118" i="17"/>
  <c r="S119" i="17"/>
  <c r="S120" i="17"/>
  <c r="S121" i="17"/>
  <c r="S122" i="17"/>
  <c r="S123" i="17"/>
  <c r="S124" i="17"/>
  <c r="S125" i="17"/>
  <c r="S126" i="17"/>
  <c r="S127" i="17"/>
  <c r="S128" i="17"/>
  <c r="S129" i="17"/>
  <c r="S130" i="17"/>
  <c r="S131" i="17"/>
  <c r="S132" i="17"/>
  <c r="S133" i="17"/>
  <c r="S134" i="17"/>
  <c r="S135" i="17"/>
  <c r="S136" i="17"/>
  <c r="S137" i="17"/>
  <c r="S138" i="17"/>
  <c r="S139" i="17"/>
  <c r="S140" i="17"/>
  <c r="S141" i="17"/>
  <c r="S142" i="17"/>
  <c r="S143" i="17"/>
  <c r="S144" i="17"/>
  <c r="S145" i="17"/>
  <c r="S146" i="17"/>
  <c r="S147" i="17"/>
  <c r="S148" i="17"/>
  <c r="S149" i="17"/>
  <c r="S150" i="17"/>
  <c r="S151" i="17"/>
  <c r="S152" i="17"/>
  <c r="S153" i="17"/>
  <c r="S154" i="17"/>
  <c r="S155" i="17"/>
  <c r="S156" i="17"/>
  <c r="S157" i="17"/>
  <c r="S158" i="17"/>
  <c r="S159" i="17"/>
  <c r="S160" i="17"/>
  <c r="S161" i="17"/>
  <c r="S162" i="17"/>
  <c r="S163" i="17"/>
  <c r="S164" i="17"/>
  <c r="S165" i="17"/>
  <c r="S166" i="17"/>
  <c r="S167" i="17"/>
  <c r="S168" i="17"/>
  <c r="S169" i="17"/>
  <c r="S170" i="17"/>
  <c r="S171" i="17"/>
  <c r="S172" i="17"/>
  <c r="S173" i="17"/>
  <c r="S174" i="17"/>
  <c r="S175" i="17"/>
  <c r="S176" i="17"/>
  <c r="S177" i="17"/>
  <c r="S178" i="17"/>
  <c r="S179" i="17"/>
  <c r="S180" i="17"/>
  <c r="S181" i="17"/>
  <c r="S182" i="17"/>
  <c r="S183" i="17"/>
  <c r="S184" i="17"/>
  <c r="S185" i="17"/>
  <c r="S186" i="17"/>
  <c r="S187" i="17"/>
  <c r="S188" i="17"/>
  <c r="S189" i="17"/>
  <c r="S190" i="17"/>
  <c r="S191" i="17"/>
  <c r="S192" i="17"/>
  <c r="S193" i="17"/>
  <c r="S194" i="17"/>
  <c r="S195" i="17"/>
  <c r="S196" i="17"/>
  <c r="S197" i="17"/>
  <c r="S198" i="17"/>
  <c r="S199" i="17"/>
  <c r="S200" i="17"/>
  <c r="S201" i="17"/>
  <c r="S202" i="17"/>
  <c r="S203" i="17"/>
  <c r="S204" i="17"/>
  <c r="S205" i="17"/>
  <c r="S206" i="17"/>
  <c r="S207" i="17"/>
  <c r="S208" i="17"/>
  <c r="S209" i="17"/>
  <c r="S210" i="17"/>
  <c r="S211" i="17"/>
  <c r="S212" i="17"/>
  <c r="S213" i="17"/>
  <c r="S214" i="17"/>
  <c r="S215" i="17"/>
  <c r="S216" i="17"/>
  <c r="S217" i="17"/>
  <c r="S218" i="17"/>
  <c r="S219" i="17"/>
  <c r="S220" i="17"/>
  <c r="S221" i="17"/>
  <c r="S222" i="17"/>
  <c r="S223" i="17"/>
  <c r="S224" i="17"/>
  <c r="S225" i="17"/>
  <c r="S226" i="17"/>
  <c r="S227" i="17"/>
  <c r="S228" i="17"/>
  <c r="S229" i="17"/>
  <c r="S230" i="17"/>
  <c r="S231" i="17"/>
  <c r="S232" i="17"/>
  <c r="S233" i="17"/>
  <c r="S234" i="17"/>
  <c r="S235" i="17"/>
  <c r="S236" i="17"/>
  <c r="S237" i="17"/>
  <c r="S238" i="17"/>
  <c r="S239" i="17"/>
  <c r="S240" i="17"/>
  <c r="S241" i="17"/>
  <c r="S242" i="17"/>
  <c r="S243" i="17"/>
  <c r="S244" i="17"/>
  <c r="S245" i="17"/>
  <c r="S246" i="17"/>
  <c r="S247" i="17"/>
  <c r="S248" i="17"/>
  <c r="S249" i="17"/>
  <c r="S250" i="17"/>
  <c r="S251" i="17"/>
  <c r="S252" i="17"/>
  <c r="S253" i="17"/>
  <c r="S254" i="17"/>
  <c r="S255" i="17"/>
  <c r="S256" i="17"/>
  <c r="S257" i="17"/>
  <c r="S258" i="17"/>
  <c r="S259" i="17"/>
  <c r="S260" i="17"/>
  <c r="S261" i="17"/>
  <c r="S262" i="17"/>
  <c r="S263" i="17"/>
  <c r="S264" i="17"/>
  <c r="S265" i="17"/>
  <c r="S266" i="17"/>
  <c r="S267" i="17"/>
  <c r="S268" i="17"/>
  <c r="S269" i="17"/>
  <c r="S270" i="17"/>
  <c r="S271" i="17"/>
  <c r="S272" i="17"/>
  <c r="S273" i="17"/>
  <c r="S274" i="17"/>
  <c r="S275" i="17"/>
  <c r="S276" i="17"/>
  <c r="S277" i="17"/>
  <c r="S278" i="17"/>
  <c r="S279" i="17"/>
  <c r="S280" i="17"/>
  <c r="S281" i="17"/>
  <c r="S282" i="17"/>
  <c r="S283" i="17"/>
  <c r="S284" i="17"/>
  <c r="S285" i="17"/>
  <c r="S286" i="17"/>
  <c r="S287" i="17"/>
  <c r="S288" i="17"/>
  <c r="S289" i="17"/>
  <c r="S290" i="17"/>
  <c r="S291" i="17"/>
  <c r="S292" i="17"/>
  <c r="S293" i="17"/>
  <c r="S294" i="17"/>
  <c r="S295" i="17"/>
  <c r="S296" i="17"/>
  <c r="S297" i="17"/>
  <c r="S298" i="17"/>
  <c r="S299" i="17"/>
  <c r="S300" i="17"/>
  <c r="S301" i="17"/>
  <c r="S302" i="17"/>
  <c r="S303" i="17"/>
  <c r="S304" i="17"/>
  <c r="S305" i="17"/>
  <c r="S306" i="17"/>
  <c r="S307" i="17"/>
  <c r="S308" i="17"/>
  <c r="S309" i="17"/>
  <c r="S310" i="17"/>
  <c r="S311" i="17"/>
  <c r="S312" i="17"/>
  <c r="S313" i="17"/>
  <c r="S314" i="17"/>
  <c r="S315" i="17"/>
  <c r="S316" i="17"/>
  <c r="S317" i="17"/>
  <c r="S318" i="17"/>
  <c r="S319" i="17"/>
  <c r="S320" i="17"/>
  <c r="S321" i="17"/>
  <c r="S322" i="17"/>
  <c r="S323" i="17"/>
  <c r="S324" i="17"/>
  <c r="S325" i="17"/>
  <c r="S326" i="17"/>
  <c r="S327" i="17"/>
  <c r="S328" i="17"/>
  <c r="S329" i="17"/>
  <c r="S330" i="17"/>
  <c r="S331" i="17"/>
  <c r="S332" i="17"/>
  <c r="S333" i="17"/>
  <c r="S334" i="17"/>
  <c r="S335" i="17"/>
  <c r="S336" i="17"/>
  <c r="S337" i="17"/>
  <c r="S338" i="17"/>
  <c r="S339" i="17"/>
  <c r="S340" i="17"/>
  <c r="S341" i="17"/>
  <c r="S342" i="17"/>
  <c r="S343" i="17"/>
  <c r="S344" i="17"/>
  <c r="S345" i="17"/>
  <c r="S346" i="17"/>
  <c r="S347" i="17"/>
  <c r="S348" i="17"/>
  <c r="S349" i="17"/>
  <c r="S350" i="17"/>
  <c r="S351" i="17"/>
  <c r="S352" i="17"/>
  <c r="S353" i="17"/>
  <c r="S354" i="17"/>
  <c r="S355" i="17"/>
  <c r="S356" i="17"/>
  <c r="S357" i="17"/>
  <c r="S358" i="17"/>
  <c r="S359" i="17"/>
  <c r="S360" i="17"/>
  <c r="S361" i="17"/>
  <c r="S362" i="17"/>
  <c r="S363" i="17"/>
  <c r="S364" i="17"/>
  <c r="S365" i="17"/>
  <c r="S366" i="17"/>
  <c r="S367" i="17"/>
  <c r="S368" i="17"/>
  <c r="S369" i="17"/>
  <c r="S370" i="17"/>
  <c r="S371" i="17"/>
  <c r="S372" i="17"/>
  <c r="S373" i="17"/>
  <c r="S374" i="17"/>
  <c r="S375" i="17"/>
  <c r="S376" i="17"/>
  <c r="S377" i="17"/>
  <c r="S378" i="17"/>
  <c r="S379" i="17"/>
  <c r="S380" i="17"/>
  <c r="S381" i="17"/>
  <c r="S382" i="17"/>
  <c r="S383" i="17"/>
  <c r="S384" i="17"/>
  <c r="S385" i="17"/>
  <c r="S386" i="17"/>
  <c r="S387" i="17"/>
  <c r="S388" i="17"/>
  <c r="S389" i="17"/>
  <c r="S390" i="17"/>
  <c r="S391" i="17"/>
  <c r="S392" i="17"/>
  <c r="S393" i="17"/>
  <c r="S394" i="17"/>
  <c r="S395" i="17"/>
  <c r="S396" i="17"/>
  <c r="S397" i="17"/>
  <c r="S398" i="17"/>
  <c r="S399" i="17"/>
  <c r="S400" i="17"/>
  <c r="S401" i="17"/>
  <c r="S402" i="17"/>
  <c r="S403" i="17"/>
  <c r="S404" i="17"/>
  <c r="S405" i="17"/>
  <c r="S406" i="17"/>
  <c r="S407" i="17"/>
  <c r="S408" i="17"/>
  <c r="S409" i="17"/>
  <c r="S410" i="17"/>
  <c r="S411" i="17"/>
  <c r="S412" i="17"/>
  <c r="S413" i="17"/>
  <c r="S414" i="17"/>
  <c r="S415" i="17"/>
  <c r="S416" i="17"/>
  <c r="S417" i="17"/>
  <c r="S418" i="17"/>
  <c r="S419" i="17"/>
  <c r="S420" i="17"/>
  <c r="S421" i="17"/>
  <c r="S422" i="17"/>
  <c r="S423" i="17"/>
  <c r="S424" i="17"/>
  <c r="S425" i="17"/>
  <c r="S426" i="17"/>
  <c r="S427" i="17"/>
  <c r="S428" i="17"/>
  <c r="S429" i="17"/>
  <c r="S430" i="17"/>
  <c r="S431" i="17"/>
  <c r="S432" i="17"/>
  <c r="S433" i="17"/>
  <c r="S434" i="17"/>
  <c r="S435" i="17"/>
  <c r="S436" i="17"/>
  <c r="S437" i="17"/>
  <c r="S438" i="17"/>
  <c r="S439" i="17"/>
  <c r="S440" i="17"/>
  <c r="S441" i="17"/>
  <c r="S442" i="17"/>
  <c r="S443" i="17"/>
  <c r="S444" i="17"/>
  <c r="S445" i="17"/>
  <c r="S446" i="17"/>
  <c r="S447" i="17"/>
  <c r="S448" i="17"/>
  <c r="S449" i="17"/>
  <c r="S450" i="17"/>
  <c r="S451" i="17"/>
  <c r="S452" i="17"/>
  <c r="S453" i="17"/>
  <c r="S454" i="17"/>
  <c r="S455" i="17"/>
  <c r="S456" i="17"/>
  <c r="S457" i="17"/>
  <c r="S458" i="17"/>
  <c r="S459" i="17"/>
  <c r="S460" i="17"/>
  <c r="S461" i="17"/>
  <c r="S462" i="17"/>
  <c r="S463" i="17"/>
  <c r="S464" i="17"/>
  <c r="S465" i="17"/>
  <c r="S466" i="17"/>
  <c r="S467" i="17"/>
  <c r="S468" i="17"/>
  <c r="S469" i="17"/>
  <c r="S470" i="17"/>
  <c r="S471" i="17"/>
  <c r="S472" i="17"/>
  <c r="S473" i="17"/>
  <c r="S474" i="17"/>
  <c r="S475" i="17"/>
  <c r="S476" i="17"/>
  <c r="S477" i="17"/>
  <c r="S478" i="17"/>
  <c r="S479" i="17"/>
  <c r="S480" i="17"/>
  <c r="S481" i="17"/>
  <c r="S482" i="17"/>
  <c r="S483" i="17"/>
  <c r="S484" i="17"/>
  <c r="S485" i="17"/>
  <c r="S486" i="17"/>
  <c r="S487" i="17"/>
  <c r="S488" i="17"/>
  <c r="S489" i="17"/>
  <c r="S490" i="17"/>
  <c r="S491" i="17"/>
  <c r="S492" i="17"/>
  <c r="S493" i="17"/>
  <c r="S494" i="17"/>
  <c r="S495" i="17"/>
  <c r="S496" i="17"/>
  <c r="S497" i="17"/>
  <c r="S498" i="17"/>
  <c r="S499" i="17"/>
  <c r="S500" i="17"/>
  <c r="S501" i="17"/>
  <c r="S502" i="17"/>
  <c r="S503" i="17"/>
  <c r="S504" i="17"/>
  <c r="S505" i="17"/>
  <c r="S506" i="17"/>
  <c r="S507" i="17"/>
  <c r="S508" i="17"/>
  <c r="S509" i="17"/>
  <c r="S510" i="17"/>
  <c r="S511" i="17"/>
  <c r="S512" i="17"/>
  <c r="S513" i="17"/>
  <c r="S514" i="17"/>
  <c r="S515" i="17"/>
  <c r="S516" i="17"/>
  <c r="S517" i="17"/>
  <c r="S518" i="17"/>
  <c r="S519" i="17"/>
  <c r="S520" i="17"/>
  <c r="S521" i="17"/>
  <c r="S522" i="17"/>
  <c r="S523" i="17"/>
  <c r="S524" i="17"/>
  <c r="S525" i="17"/>
  <c r="S526" i="17"/>
  <c r="S527" i="17"/>
  <c r="S528" i="17"/>
  <c r="S529" i="17"/>
  <c r="S530" i="17"/>
  <c r="S531" i="17"/>
  <c r="S532" i="17"/>
  <c r="S533" i="17"/>
  <c r="S534" i="17"/>
  <c r="S535" i="17"/>
  <c r="S536" i="17"/>
  <c r="S537" i="17"/>
  <c r="S538" i="17"/>
  <c r="S539" i="17"/>
  <c r="S540" i="17"/>
  <c r="S541" i="17"/>
  <c r="S542" i="17"/>
  <c r="S543" i="17"/>
  <c r="S544" i="17"/>
  <c r="S545" i="17"/>
  <c r="S546" i="17"/>
  <c r="S547" i="17"/>
  <c r="S548" i="17"/>
  <c r="S549" i="17"/>
  <c r="S550" i="17"/>
  <c r="S551" i="17"/>
  <c r="S552" i="17"/>
  <c r="S553" i="17"/>
  <c r="S554" i="17"/>
  <c r="S555" i="17"/>
  <c r="S556" i="17"/>
  <c r="S557" i="17"/>
  <c r="S558" i="17"/>
  <c r="S559" i="17"/>
  <c r="S560" i="17"/>
  <c r="S561" i="17"/>
  <c r="S562" i="17"/>
  <c r="S563" i="17"/>
  <c r="S564" i="17"/>
  <c r="S565" i="17"/>
  <c r="S566" i="17"/>
  <c r="S567" i="17"/>
  <c r="S568" i="17"/>
  <c r="S569" i="17"/>
  <c r="S570" i="17"/>
  <c r="S571" i="17"/>
  <c r="S572" i="17"/>
  <c r="S573" i="17"/>
  <c r="S574" i="17"/>
  <c r="S575" i="17"/>
  <c r="S576" i="17"/>
  <c r="S577" i="17"/>
  <c r="S578" i="17"/>
  <c r="S579" i="17"/>
  <c r="S580" i="17"/>
  <c r="S581" i="17"/>
  <c r="S582" i="17"/>
  <c r="S583" i="17"/>
  <c r="S584" i="17"/>
  <c r="S585" i="17"/>
  <c r="S586" i="17"/>
  <c r="S587" i="17"/>
  <c r="S588" i="17"/>
  <c r="S589" i="17"/>
  <c r="S590" i="17"/>
  <c r="S591" i="17"/>
  <c r="S592" i="17"/>
  <c r="S593" i="17"/>
  <c r="S594" i="17"/>
  <c r="S595" i="17"/>
  <c r="S596" i="17"/>
  <c r="S597" i="17"/>
  <c r="S598" i="17"/>
  <c r="S599" i="17"/>
  <c r="S600" i="17"/>
  <c r="S601" i="17"/>
  <c r="S602" i="17"/>
  <c r="S603" i="17"/>
  <c r="S604" i="17"/>
  <c r="S605" i="17"/>
  <c r="S606" i="17"/>
  <c r="S607" i="17"/>
  <c r="S608" i="17"/>
  <c r="S609" i="17"/>
  <c r="S610" i="17"/>
  <c r="S611" i="17"/>
  <c r="S612" i="17"/>
  <c r="S613" i="17"/>
  <c r="S614" i="17"/>
  <c r="S615" i="17"/>
  <c r="S616" i="17"/>
  <c r="S617" i="17"/>
  <c r="S618" i="17"/>
  <c r="S619" i="17"/>
  <c r="S620" i="17"/>
  <c r="S621" i="17"/>
  <c r="S622" i="17"/>
  <c r="S623" i="17"/>
  <c r="S624" i="17"/>
  <c r="S625" i="17"/>
  <c r="S626" i="17"/>
  <c r="S627" i="17"/>
  <c r="S628" i="17"/>
  <c r="S629" i="17"/>
  <c r="S630" i="17"/>
  <c r="S631" i="17"/>
  <c r="S632" i="17"/>
  <c r="S633" i="17"/>
  <c r="S634" i="17"/>
  <c r="S635" i="17"/>
  <c r="S636" i="17"/>
  <c r="S637" i="17"/>
  <c r="S638" i="17"/>
  <c r="S639" i="17"/>
  <c r="S640" i="17"/>
  <c r="S641" i="17"/>
  <c r="S642" i="17"/>
  <c r="S643" i="17"/>
  <c r="S644" i="17"/>
  <c r="S645" i="17"/>
  <c r="S646" i="17"/>
  <c r="S647" i="17"/>
  <c r="S648" i="17"/>
  <c r="S649" i="17"/>
  <c r="S650" i="17"/>
  <c r="S651" i="17"/>
  <c r="S652" i="17"/>
  <c r="S653" i="17"/>
  <c r="S654" i="17"/>
  <c r="S655" i="17"/>
  <c r="S656" i="17"/>
  <c r="S657" i="17"/>
  <c r="S658" i="17"/>
  <c r="S659" i="17"/>
  <c r="S660" i="17"/>
  <c r="S661" i="17"/>
  <c r="S662" i="17"/>
  <c r="S663" i="17"/>
  <c r="S664" i="17"/>
  <c r="S665" i="17"/>
  <c r="S666" i="17"/>
  <c r="S667" i="17"/>
  <c r="S668" i="17"/>
  <c r="S669" i="17"/>
  <c r="S670" i="17"/>
  <c r="S671" i="17"/>
  <c r="S672" i="17"/>
  <c r="S673" i="17"/>
  <c r="S674" i="17"/>
  <c r="S675" i="17"/>
  <c r="S676" i="17"/>
  <c r="S677" i="17"/>
  <c r="S678" i="17"/>
  <c r="S679" i="17"/>
  <c r="S680" i="17"/>
  <c r="S681" i="17"/>
  <c r="S682" i="17"/>
  <c r="S683" i="17"/>
  <c r="S684" i="17"/>
  <c r="S685" i="17"/>
  <c r="S686" i="17"/>
  <c r="S687" i="17"/>
  <c r="S688" i="17"/>
  <c r="S689" i="17"/>
  <c r="S690" i="17"/>
  <c r="S691" i="17"/>
  <c r="S692" i="17"/>
  <c r="S693" i="17"/>
  <c r="S694" i="17"/>
  <c r="S695" i="17"/>
  <c r="S696" i="17"/>
  <c r="S697" i="17"/>
  <c r="S698" i="17"/>
  <c r="S699" i="17"/>
  <c r="S700" i="17"/>
  <c r="S701" i="17"/>
  <c r="S702" i="17"/>
  <c r="S703" i="17"/>
  <c r="S704" i="17"/>
  <c r="S705" i="17"/>
  <c r="S706" i="17"/>
  <c r="S707" i="17"/>
  <c r="S708" i="17"/>
  <c r="S709" i="17"/>
  <c r="S710" i="17"/>
  <c r="S711" i="17"/>
  <c r="S712" i="17"/>
  <c r="S713" i="17"/>
  <c r="S714" i="17"/>
  <c r="S715" i="17"/>
  <c r="S716" i="17"/>
  <c r="S717" i="17"/>
  <c r="S718" i="17"/>
  <c r="S719" i="17"/>
  <c r="S720" i="17"/>
  <c r="S721" i="17"/>
  <c r="S722" i="17"/>
  <c r="S723" i="17"/>
  <c r="S724" i="17"/>
  <c r="S725" i="17"/>
  <c r="S726" i="17"/>
  <c r="S727" i="17"/>
  <c r="S728" i="17"/>
  <c r="S729" i="17"/>
  <c r="S730" i="17"/>
  <c r="S731" i="17"/>
  <c r="S732" i="17"/>
  <c r="S733" i="17"/>
  <c r="S734" i="17"/>
  <c r="S735" i="17"/>
  <c r="S736" i="17"/>
  <c r="S737" i="17"/>
  <c r="S738" i="17"/>
  <c r="S739" i="17"/>
  <c r="S740" i="17"/>
  <c r="S741" i="17"/>
  <c r="S742" i="17"/>
  <c r="S743" i="17"/>
  <c r="S744" i="17"/>
  <c r="S745" i="17"/>
  <c r="S746" i="17"/>
  <c r="S747" i="17"/>
  <c r="S748" i="17"/>
  <c r="S749" i="17"/>
  <c r="S750" i="17"/>
  <c r="S751" i="17"/>
  <c r="S752" i="17"/>
  <c r="S753" i="17"/>
  <c r="S754" i="17"/>
  <c r="S755" i="17"/>
  <c r="S756" i="17"/>
  <c r="S757" i="17"/>
  <c r="S758" i="17"/>
  <c r="S759" i="17"/>
  <c r="S760" i="17"/>
  <c r="S761" i="17"/>
  <c r="S762" i="17"/>
  <c r="S763" i="17"/>
  <c r="S764" i="17"/>
  <c r="S765" i="17"/>
  <c r="S766" i="17"/>
  <c r="S767" i="17"/>
  <c r="S768" i="17"/>
  <c r="S769" i="17"/>
  <c r="S770" i="17"/>
  <c r="S771" i="17"/>
  <c r="S772" i="17"/>
  <c r="S773" i="17"/>
  <c r="S774" i="17"/>
  <c r="S775" i="17"/>
  <c r="S776" i="17"/>
  <c r="S777" i="17"/>
  <c r="S778" i="17"/>
  <c r="S779" i="17"/>
  <c r="S780" i="17"/>
  <c r="S781" i="17"/>
  <c r="S782" i="17"/>
  <c r="S783" i="17"/>
  <c r="S784" i="17"/>
  <c r="S785" i="17"/>
  <c r="S786" i="17"/>
  <c r="S787" i="17"/>
  <c r="S788" i="17"/>
  <c r="S789" i="17"/>
  <c r="S790" i="17"/>
  <c r="S791" i="17"/>
  <c r="S792" i="17"/>
  <c r="S793" i="17"/>
  <c r="S794" i="17"/>
  <c r="S795" i="17"/>
  <c r="S796" i="17"/>
  <c r="S797" i="17"/>
  <c r="S798" i="17"/>
  <c r="S799" i="17"/>
  <c r="S800" i="17"/>
  <c r="S801" i="17"/>
  <c r="S802" i="17"/>
  <c r="S803" i="17"/>
  <c r="S804" i="17"/>
  <c r="S805" i="17"/>
  <c r="S806" i="17"/>
  <c r="S807" i="17"/>
  <c r="S808" i="17"/>
  <c r="S809" i="17"/>
  <c r="S810" i="17"/>
  <c r="S811" i="17"/>
  <c r="S812" i="17"/>
  <c r="S813" i="17"/>
  <c r="S814" i="17"/>
  <c r="S815" i="17"/>
  <c r="S816" i="17"/>
  <c r="S817" i="17"/>
  <c r="S818" i="17"/>
  <c r="S819" i="17"/>
  <c r="S820" i="17"/>
  <c r="S821" i="17"/>
  <c r="S822" i="17"/>
  <c r="S823" i="17"/>
  <c r="S824" i="17"/>
  <c r="S825" i="17"/>
  <c r="S826" i="17"/>
  <c r="S827" i="17"/>
  <c r="S828" i="17"/>
  <c r="S829" i="17"/>
  <c r="S830" i="17"/>
  <c r="S831" i="17"/>
  <c r="S832" i="17"/>
  <c r="S833" i="17"/>
  <c r="S834" i="17"/>
  <c r="S835" i="17"/>
  <c r="S836" i="17"/>
  <c r="S837" i="17"/>
  <c r="S838" i="17"/>
  <c r="S839" i="17"/>
  <c r="S840" i="17"/>
  <c r="S841" i="17"/>
  <c r="S842" i="17"/>
  <c r="S843" i="17"/>
  <c r="S844" i="17"/>
  <c r="S845" i="17"/>
  <c r="S846" i="17"/>
  <c r="S847" i="17"/>
  <c r="S848" i="17"/>
  <c r="S849" i="17"/>
  <c r="S850" i="17"/>
  <c r="S851" i="17"/>
  <c r="S852" i="17"/>
  <c r="S853" i="17"/>
  <c r="S854" i="17"/>
  <c r="S855" i="17"/>
  <c r="S856" i="17"/>
  <c r="S857" i="17"/>
  <c r="S858" i="17"/>
  <c r="S859" i="17"/>
  <c r="S860" i="17"/>
  <c r="S861" i="17"/>
  <c r="S862" i="17"/>
  <c r="S863" i="17"/>
  <c r="S864" i="17"/>
  <c r="S865" i="17"/>
  <c r="S866" i="17"/>
  <c r="S867" i="17"/>
  <c r="S868" i="17"/>
  <c r="S869" i="17"/>
  <c r="S870" i="17"/>
  <c r="S871" i="17"/>
  <c r="S872" i="17"/>
  <c r="S873" i="17"/>
  <c r="S874" i="17"/>
  <c r="S875" i="17"/>
  <c r="S876" i="17"/>
  <c r="S877" i="17"/>
  <c r="S878" i="17"/>
  <c r="S879" i="17"/>
  <c r="S880" i="17"/>
  <c r="S881" i="17"/>
  <c r="S882" i="17"/>
  <c r="S883" i="17"/>
  <c r="S884" i="17"/>
  <c r="S885" i="17"/>
  <c r="S886" i="17"/>
  <c r="S887" i="17"/>
  <c r="S888" i="17"/>
  <c r="S889" i="17"/>
  <c r="S890" i="17"/>
  <c r="S891" i="17"/>
  <c r="S892" i="17"/>
  <c r="S893" i="17"/>
  <c r="S894" i="17"/>
  <c r="S895" i="17"/>
  <c r="S896" i="17"/>
  <c r="S897" i="17"/>
  <c r="S898" i="17"/>
  <c r="S899" i="17"/>
  <c r="S900" i="17"/>
  <c r="S901" i="17"/>
  <c r="S902" i="17"/>
  <c r="S903" i="17"/>
  <c r="S904" i="17"/>
  <c r="S905" i="17"/>
  <c r="S906" i="17"/>
  <c r="S907" i="17"/>
  <c r="S908" i="17"/>
  <c r="S909" i="17"/>
  <c r="S910" i="17"/>
  <c r="S911" i="17"/>
  <c r="S912" i="17"/>
  <c r="S913" i="17"/>
  <c r="S914" i="17"/>
  <c r="S915" i="17"/>
  <c r="S916" i="17"/>
  <c r="S917" i="17"/>
  <c r="S918" i="17"/>
  <c r="S919" i="17"/>
  <c r="S920" i="17"/>
  <c r="S921" i="17"/>
  <c r="S922" i="17"/>
  <c r="S923" i="17"/>
  <c r="S924" i="17"/>
  <c r="S925" i="17"/>
  <c r="S926" i="17"/>
  <c r="S927" i="17"/>
  <c r="S928" i="17"/>
  <c r="S929" i="17"/>
  <c r="S930" i="17"/>
  <c r="S931" i="17"/>
  <c r="S932" i="17"/>
  <c r="S933" i="17"/>
  <c r="S934" i="17"/>
  <c r="S935" i="17"/>
  <c r="S936" i="17"/>
  <c r="S937" i="17"/>
  <c r="S938" i="17"/>
  <c r="S939" i="17"/>
  <c r="S940" i="17"/>
  <c r="S941" i="17"/>
  <c r="S942" i="17"/>
  <c r="S943" i="17"/>
  <c r="S944" i="17"/>
  <c r="S945" i="17"/>
  <c r="S946" i="17"/>
  <c r="S947" i="17"/>
  <c r="S948" i="17"/>
  <c r="S949" i="17"/>
  <c r="S950" i="17"/>
  <c r="S951" i="17"/>
  <c r="S952" i="17"/>
  <c r="S953" i="17"/>
  <c r="S954" i="17"/>
  <c r="S955" i="17"/>
  <c r="S956" i="17"/>
  <c r="S957" i="17"/>
  <c r="S958" i="17"/>
  <c r="S959" i="17"/>
  <c r="S960" i="17"/>
  <c r="S961" i="17"/>
  <c r="S962" i="17"/>
  <c r="S963" i="17"/>
  <c r="S964" i="17"/>
  <c r="S965" i="17"/>
  <c r="S966" i="17"/>
  <c r="S967" i="17"/>
  <c r="S968" i="17"/>
  <c r="S969" i="17"/>
  <c r="S970" i="17"/>
  <c r="S971" i="17"/>
  <c r="S972" i="17"/>
  <c r="S973" i="17"/>
  <c r="S974" i="17"/>
  <c r="S975" i="17"/>
  <c r="S976" i="17"/>
  <c r="S977" i="17"/>
  <c r="S978" i="17"/>
  <c r="S979" i="17"/>
  <c r="S980" i="17"/>
  <c r="S981" i="17"/>
  <c r="S982" i="17"/>
  <c r="S983" i="17"/>
  <c r="S984" i="17"/>
  <c r="S985" i="17"/>
  <c r="S986" i="17"/>
  <c r="S987" i="17"/>
  <c r="S988" i="17"/>
  <c r="S989" i="17"/>
  <c r="S990" i="17"/>
  <c r="S991" i="17"/>
  <c r="S992" i="17"/>
  <c r="S993" i="17"/>
  <c r="S994" i="17"/>
  <c r="S995" i="17"/>
  <c r="S996" i="17"/>
  <c r="S997" i="17"/>
  <c r="S998" i="17"/>
  <c r="S999" i="17"/>
  <c r="S1000" i="17"/>
  <c r="S1001" i="17"/>
  <c r="S1002" i="17"/>
  <c r="S1003" i="17"/>
  <c r="S1004" i="17"/>
  <c r="S1005" i="17"/>
  <c r="S1006" i="17"/>
  <c r="S1007" i="17"/>
  <c r="S1008" i="17"/>
  <c r="S1009" i="17"/>
  <c r="S1010" i="17"/>
  <c r="S1011" i="17"/>
  <c r="S1012" i="17"/>
  <c r="S1013" i="17"/>
  <c r="S1014" i="17"/>
  <c r="S1015" i="17"/>
  <c r="S1016" i="17"/>
  <c r="S1017" i="17"/>
  <c r="S1018" i="17"/>
  <c r="S1019" i="17"/>
  <c r="S1020" i="17"/>
  <c r="S1021" i="17"/>
  <c r="S1022" i="17"/>
  <c r="S1023" i="17"/>
  <c r="S1024" i="17"/>
  <c r="S1025" i="17"/>
  <c r="S1026" i="17"/>
  <c r="S1027" i="17"/>
  <c r="S1028" i="17"/>
  <c r="S1029" i="17"/>
  <c r="S1030" i="17"/>
  <c r="S1031" i="17"/>
  <c r="S1032" i="17"/>
  <c r="S1033" i="17"/>
  <c r="S1034" i="17"/>
  <c r="S1035" i="17"/>
  <c r="S1036" i="17"/>
  <c r="S1037" i="17"/>
  <c r="S1038" i="17"/>
  <c r="S1039" i="17"/>
  <c r="S1040" i="17"/>
  <c r="S1041" i="17"/>
  <c r="S1042" i="17"/>
  <c r="S1043" i="17"/>
  <c r="S1044" i="17"/>
  <c r="S1045" i="17"/>
  <c r="S1046" i="17"/>
  <c r="S1047" i="17"/>
  <c r="S1048" i="17"/>
  <c r="S1049" i="17"/>
  <c r="S1050" i="17"/>
  <c r="S1051" i="17"/>
  <c r="S1052" i="17"/>
  <c r="S1053" i="17"/>
  <c r="S1054" i="17"/>
  <c r="S1055" i="17"/>
  <c r="S1056" i="17"/>
  <c r="S1057" i="17"/>
  <c r="S1058" i="17"/>
  <c r="S1059" i="17"/>
  <c r="S1060" i="17"/>
  <c r="S1061" i="17"/>
  <c r="S1062" i="17"/>
  <c r="S1063" i="17"/>
  <c r="S1064" i="17"/>
  <c r="S1065" i="17"/>
  <c r="S1066" i="17"/>
  <c r="S1067" i="17"/>
  <c r="S1068" i="17"/>
  <c r="S1069" i="17"/>
  <c r="S1070" i="17"/>
  <c r="S1071" i="17"/>
  <c r="S1072" i="17"/>
  <c r="S1073" i="17"/>
  <c r="S1074" i="17"/>
  <c r="S1075" i="17"/>
  <c r="S1076" i="17"/>
  <c r="S1077" i="17"/>
  <c r="S1078" i="17"/>
  <c r="S1079" i="17"/>
  <c r="S1080" i="17"/>
  <c r="S1081" i="17"/>
  <c r="S1082" i="17"/>
  <c r="S1083" i="17"/>
  <c r="S1084" i="17"/>
  <c r="S1085" i="17"/>
  <c r="S1086" i="17"/>
  <c r="S1087" i="17"/>
  <c r="S1088" i="17"/>
  <c r="S1089" i="17"/>
  <c r="S1090" i="17"/>
  <c r="S1091" i="17"/>
  <c r="S1092" i="17"/>
  <c r="S1093" i="17"/>
  <c r="S1094" i="17"/>
  <c r="S1095" i="17"/>
  <c r="S1096" i="17"/>
  <c r="S1097" i="17"/>
  <c r="S1098" i="17"/>
  <c r="S1099" i="17"/>
  <c r="S1100" i="17"/>
  <c r="S1101" i="17"/>
  <c r="S1102" i="17"/>
  <c r="S1103" i="17"/>
  <c r="S1104" i="17"/>
  <c r="S1105" i="17"/>
  <c r="S1106" i="17"/>
  <c r="S1107" i="17"/>
  <c r="S1108" i="17"/>
  <c r="S1109" i="17"/>
  <c r="S1110" i="17"/>
  <c r="S1111" i="17"/>
  <c r="S1112" i="17"/>
  <c r="S1113" i="17"/>
  <c r="S1114" i="17"/>
  <c r="S1115" i="17"/>
  <c r="S1116" i="17"/>
  <c r="S1117" i="17"/>
  <c r="S1118" i="17"/>
  <c r="S1119" i="17"/>
  <c r="S1120" i="17"/>
  <c r="S1121" i="17"/>
  <c r="S1122" i="17"/>
  <c r="S1123" i="17"/>
  <c r="S1124" i="17"/>
  <c r="S1125" i="17"/>
  <c r="S1126" i="17"/>
  <c r="S1127" i="17"/>
  <c r="S1128" i="17"/>
  <c r="S1129" i="17"/>
  <c r="S1130" i="17"/>
  <c r="S1131" i="17"/>
  <c r="S1132" i="17"/>
  <c r="S1133" i="17"/>
  <c r="S1134" i="17"/>
  <c r="S1135" i="17"/>
  <c r="S1136" i="17"/>
  <c r="S1137" i="17"/>
  <c r="S1138" i="17"/>
  <c r="S1139" i="17"/>
  <c r="S1140" i="17"/>
  <c r="S1141" i="17"/>
  <c r="S1142" i="17"/>
  <c r="S1143" i="17"/>
  <c r="S1144" i="17"/>
  <c r="S1145" i="17"/>
  <c r="S1146" i="17"/>
  <c r="S1147" i="17"/>
  <c r="S1148" i="17"/>
  <c r="S1149" i="17"/>
  <c r="S1150" i="17"/>
  <c r="S1151" i="17"/>
  <c r="S1152" i="17"/>
  <c r="S1153" i="17"/>
  <c r="S1154" i="17"/>
  <c r="S1155" i="17"/>
  <c r="S1156" i="17"/>
  <c r="S1157" i="17"/>
  <c r="S1158" i="17"/>
  <c r="S1159" i="17"/>
  <c r="S1160" i="17"/>
  <c r="S1161" i="17"/>
  <c r="S1162" i="17"/>
  <c r="S1163" i="17"/>
  <c r="S1164" i="17"/>
  <c r="S1165" i="17"/>
  <c r="S1166" i="17"/>
  <c r="S1167" i="17"/>
  <c r="S1168" i="17"/>
  <c r="S1169" i="17"/>
  <c r="S1170" i="17"/>
  <c r="S1171" i="17"/>
  <c r="S1172" i="17"/>
  <c r="S1173" i="17"/>
  <c r="S1174" i="17"/>
  <c r="S1175" i="17"/>
  <c r="S1176" i="17"/>
  <c r="S1177" i="17"/>
  <c r="S1178" i="17"/>
  <c r="S1179" i="17"/>
  <c r="S1180" i="17"/>
  <c r="S1181" i="17"/>
  <c r="S1182" i="17"/>
  <c r="S1183" i="17"/>
  <c r="S1184" i="17"/>
  <c r="S1185" i="17"/>
  <c r="S1186" i="17"/>
  <c r="S1187" i="17"/>
  <c r="S1188" i="17"/>
  <c r="S1189" i="17"/>
  <c r="S1190" i="17"/>
  <c r="S1191" i="17"/>
  <c r="S1192" i="17"/>
  <c r="S1193" i="17"/>
  <c r="S1194" i="17"/>
  <c r="S1195" i="17"/>
  <c r="S1196" i="17"/>
  <c r="S1197" i="17"/>
  <c r="S1198" i="17"/>
  <c r="S1199" i="17"/>
  <c r="S1200" i="17"/>
  <c r="S1201" i="17"/>
  <c r="S1202" i="17"/>
  <c r="S1203" i="17"/>
  <c r="S1204" i="17"/>
  <c r="S1205" i="17"/>
  <c r="S1206" i="17"/>
  <c r="S1207" i="17"/>
  <c r="S1208" i="17"/>
  <c r="S1209" i="17"/>
  <c r="S1210" i="17"/>
  <c r="S1211" i="17"/>
  <c r="S1212" i="17"/>
  <c r="S1213" i="17"/>
  <c r="S1214" i="17"/>
  <c r="S1215" i="17"/>
  <c r="S1216" i="17"/>
  <c r="S1217" i="17"/>
  <c r="S1218" i="17"/>
  <c r="S1219" i="17"/>
  <c r="S1220" i="17"/>
  <c r="S1221" i="17"/>
  <c r="S1222" i="17"/>
  <c r="S1223" i="17"/>
  <c r="S1224" i="17"/>
  <c r="S1225" i="17"/>
  <c r="S1226" i="17"/>
  <c r="S1227" i="17"/>
  <c r="S1228" i="17"/>
  <c r="S1229" i="17"/>
  <c r="S1230" i="17"/>
  <c r="S1231" i="17"/>
  <c r="S1232" i="17"/>
  <c r="S1233" i="17"/>
  <c r="S1234" i="17"/>
  <c r="S1235" i="17"/>
  <c r="S1236" i="17"/>
  <c r="S1237" i="17"/>
  <c r="S1238" i="17"/>
  <c r="S1239" i="17"/>
  <c r="S1240" i="17"/>
  <c r="S1241" i="17"/>
  <c r="S1242" i="17"/>
  <c r="S1243" i="17"/>
  <c r="S1244" i="17"/>
  <c r="S1245" i="17"/>
  <c r="S1246" i="17"/>
  <c r="S1247" i="17"/>
  <c r="S1248" i="17"/>
  <c r="S1249" i="17"/>
  <c r="S1250" i="17"/>
  <c r="S1251" i="17"/>
  <c r="S1252" i="17"/>
  <c r="S1253" i="17"/>
  <c r="S1254" i="17"/>
  <c r="S1255" i="17"/>
  <c r="S1256" i="17"/>
  <c r="S1257" i="17"/>
  <c r="S1258" i="17"/>
  <c r="S1259" i="17"/>
  <c r="S1260" i="17"/>
  <c r="S1261" i="17"/>
  <c r="S1262" i="17"/>
  <c r="S1263" i="17"/>
  <c r="S1264" i="17"/>
  <c r="S1265" i="17"/>
  <c r="S1266" i="17"/>
  <c r="S1267" i="17"/>
  <c r="S1268" i="17"/>
  <c r="S1269" i="17"/>
  <c r="S1270" i="17"/>
  <c r="S1271" i="17"/>
  <c r="S1272" i="17"/>
  <c r="S1273" i="17"/>
  <c r="S1274" i="17"/>
  <c r="S1275" i="17"/>
  <c r="S1276" i="17"/>
  <c r="S1277" i="17"/>
  <c r="S1278" i="17"/>
  <c r="S1279" i="17"/>
  <c r="S1280" i="17"/>
  <c r="S1281" i="17"/>
  <c r="S1282" i="17"/>
  <c r="S1283" i="17"/>
  <c r="S1284" i="17"/>
  <c r="S1285" i="17"/>
  <c r="S1286" i="17"/>
  <c r="S1287" i="17"/>
  <c r="S1288" i="17"/>
  <c r="S1289" i="17"/>
  <c r="S1290" i="17"/>
  <c r="S1291" i="17"/>
  <c r="S1292" i="17"/>
  <c r="S1293" i="17"/>
  <c r="S1294" i="17"/>
  <c r="S1295" i="17"/>
  <c r="S1296" i="17"/>
  <c r="S1297" i="17"/>
  <c r="S1298" i="17"/>
  <c r="S1299" i="17"/>
  <c r="S1300" i="17"/>
  <c r="S1301" i="17"/>
  <c r="S1302" i="17"/>
  <c r="S1303" i="17"/>
  <c r="S1304" i="17"/>
  <c r="S1305" i="17"/>
  <c r="S1306" i="17"/>
  <c r="S1307" i="17"/>
  <c r="S1308" i="17"/>
  <c r="S1309" i="17"/>
  <c r="S1310" i="17"/>
  <c r="S1311" i="17"/>
  <c r="S1312" i="17"/>
  <c r="S1313" i="17"/>
  <c r="S1314" i="17"/>
  <c r="S1315" i="17"/>
  <c r="S1316" i="17"/>
  <c r="S1317" i="17"/>
  <c r="S1318" i="17"/>
  <c r="S1319" i="17"/>
  <c r="S1320" i="17"/>
  <c r="S1321" i="17"/>
  <c r="S1322" i="17"/>
  <c r="S1323" i="17"/>
  <c r="S1324" i="17"/>
  <c r="S1325" i="17"/>
  <c r="S1326" i="17"/>
  <c r="S1327" i="17"/>
  <c r="S1328" i="17"/>
  <c r="S1329" i="17"/>
  <c r="S1330" i="17"/>
  <c r="S1331" i="17"/>
  <c r="S1332" i="17"/>
  <c r="S1333" i="17"/>
  <c r="S1334" i="17"/>
  <c r="S1335" i="17"/>
  <c r="S1336" i="17"/>
  <c r="S1337" i="17"/>
  <c r="S1338" i="17"/>
  <c r="S1339" i="17"/>
  <c r="S1340" i="17"/>
  <c r="S1341" i="17"/>
  <c r="S1342" i="17"/>
  <c r="S1343" i="17"/>
  <c r="S1344" i="17"/>
  <c r="S1345" i="17"/>
  <c r="S1346" i="17"/>
  <c r="S1347" i="17"/>
  <c r="S1348" i="17"/>
  <c r="S1349" i="17"/>
  <c r="S1350" i="17"/>
  <c r="S1351" i="17"/>
  <c r="S1352" i="17"/>
  <c r="S1353" i="17"/>
  <c r="S1354" i="17"/>
  <c r="S1355" i="17"/>
  <c r="S1356" i="17"/>
  <c r="S1357" i="17"/>
  <c r="S1358" i="17"/>
  <c r="S1359" i="17"/>
  <c r="S1360" i="17"/>
  <c r="S1361" i="17"/>
  <c r="S1362" i="17"/>
  <c r="S1363" i="17"/>
  <c r="S1364" i="17"/>
  <c r="S1365" i="17"/>
  <c r="S1366" i="17"/>
  <c r="S1367" i="17"/>
  <c r="S1368" i="17"/>
  <c r="S1369" i="17"/>
  <c r="S1370" i="17"/>
  <c r="S1371" i="17"/>
  <c r="S1372" i="17"/>
  <c r="S1373" i="17"/>
  <c r="S1374" i="17"/>
  <c r="S1375" i="17"/>
  <c r="S1376" i="17"/>
  <c r="S1377" i="17"/>
  <c r="S1378" i="17"/>
  <c r="S1379" i="17"/>
  <c r="S1380" i="17"/>
  <c r="S1381" i="17"/>
  <c r="S1382" i="17"/>
  <c r="S1383" i="17"/>
  <c r="S1384" i="17"/>
  <c r="S1385" i="17"/>
  <c r="S1386" i="17"/>
  <c r="S1387" i="17"/>
  <c r="S1388" i="17"/>
  <c r="S1389" i="17"/>
  <c r="S1390" i="17"/>
  <c r="S1391" i="17"/>
  <c r="S1392" i="17"/>
  <c r="S1393" i="17"/>
  <c r="S1394" i="17"/>
  <c r="S1395" i="17"/>
  <c r="S1396" i="17"/>
  <c r="S1397" i="17"/>
  <c r="S1398" i="17"/>
  <c r="S1399" i="17"/>
  <c r="S1400" i="17"/>
  <c r="S1401" i="17"/>
  <c r="S1402" i="17"/>
  <c r="S1403" i="17"/>
  <c r="S1404" i="17"/>
  <c r="S1405" i="17"/>
  <c r="S1406" i="17"/>
  <c r="S1407" i="17"/>
  <c r="S1408" i="17"/>
  <c r="S1409" i="17"/>
  <c r="S1410" i="17"/>
  <c r="S1411" i="17"/>
  <c r="S1412" i="17"/>
  <c r="S1413" i="17"/>
  <c r="S1414" i="17"/>
  <c r="S1415" i="17"/>
  <c r="S1416" i="17"/>
  <c r="S1417" i="17"/>
  <c r="S1418" i="17"/>
  <c r="S1419" i="17"/>
  <c r="S1420" i="17"/>
  <c r="S1421" i="17"/>
  <c r="S1422" i="17"/>
  <c r="S1423" i="17"/>
  <c r="S1424" i="17"/>
  <c r="S1425" i="17"/>
  <c r="S1426" i="17"/>
  <c r="S1427" i="17"/>
  <c r="S1428" i="17"/>
  <c r="S1429" i="17"/>
  <c r="S1430" i="17"/>
  <c r="S1431" i="17"/>
  <c r="S1432" i="17"/>
  <c r="S1433" i="17"/>
  <c r="S1434" i="17"/>
  <c r="S1435" i="17"/>
  <c r="S1436" i="17"/>
  <c r="S1437" i="17"/>
  <c r="S1438" i="17"/>
  <c r="S1439" i="17"/>
  <c r="S1440" i="17"/>
  <c r="S1441" i="17"/>
  <c r="S1442" i="17"/>
  <c r="S1443" i="17"/>
  <c r="S1444" i="17"/>
  <c r="S1445" i="17"/>
  <c r="S1446" i="17"/>
  <c r="S1447" i="17"/>
  <c r="S1448" i="17"/>
  <c r="S1449" i="17"/>
  <c r="S1450" i="17"/>
  <c r="S1451" i="17"/>
  <c r="S1452" i="17"/>
  <c r="S1453" i="17"/>
  <c r="S1454" i="17"/>
  <c r="S1455" i="17"/>
  <c r="S1456" i="17"/>
  <c r="S1457" i="17"/>
  <c r="S1458" i="17"/>
  <c r="S1459" i="17"/>
  <c r="S1460" i="17"/>
  <c r="S1461" i="17"/>
  <c r="S1462" i="17"/>
  <c r="S1463" i="17"/>
  <c r="S1464" i="17"/>
  <c r="S1465" i="17"/>
  <c r="S1466" i="17"/>
  <c r="S1467" i="17"/>
  <c r="S1468" i="17"/>
  <c r="S1469" i="17"/>
  <c r="S1470" i="17"/>
  <c r="S1471" i="17"/>
  <c r="S1472" i="17"/>
  <c r="S1473" i="17"/>
  <c r="S1474" i="17"/>
  <c r="S1475" i="17"/>
  <c r="S1476" i="17"/>
  <c r="S1477" i="17"/>
  <c r="S1478" i="17"/>
  <c r="S1479" i="17"/>
  <c r="S1480" i="17"/>
  <c r="S1481" i="17"/>
  <c r="S1482" i="17"/>
  <c r="S1483" i="17"/>
  <c r="S1484" i="17"/>
  <c r="S1485" i="17"/>
  <c r="S1486" i="17"/>
  <c r="S1487" i="17"/>
  <c r="S1488" i="17"/>
  <c r="S1489" i="17"/>
  <c r="S1490" i="17"/>
  <c r="S1491" i="17"/>
  <c r="S1492" i="17"/>
  <c r="S1493" i="17"/>
  <c r="S1494" i="17"/>
  <c r="S1495" i="17"/>
  <c r="S1496" i="17"/>
  <c r="S1497" i="17"/>
  <c r="S1498" i="17"/>
  <c r="S1499" i="17"/>
  <c r="S1500" i="17"/>
  <c r="S1501" i="17"/>
  <c r="S1502" i="17"/>
  <c r="S1503" i="17"/>
  <c r="S1504" i="17"/>
  <c r="S1505" i="17"/>
  <c r="S1506" i="17"/>
  <c r="S1507" i="17"/>
  <c r="S1508" i="17"/>
  <c r="S1509" i="17"/>
  <c r="S1510" i="17"/>
  <c r="S1511" i="17"/>
  <c r="S1512" i="17"/>
  <c r="S1513" i="17"/>
  <c r="S1514" i="17"/>
  <c r="S1515" i="17"/>
  <c r="S1516" i="17"/>
  <c r="S1517" i="17"/>
  <c r="S1518" i="17"/>
  <c r="S1519" i="17"/>
  <c r="S1520" i="17"/>
  <c r="S1521" i="17"/>
  <c r="S1522" i="17"/>
  <c r="S1523" i="17"/>
  <c r="S1524" i="17"/>
  <c r="S1525" i="17"/>
  <c r="S1526" i="17"/>
  <c r="S1527" i="17"/>
  <c r="S1528" i="17"/>
  <c r="S1529" i="17"/>
  <c r="S1530" i="17"/>
  <c r="S1531" i="17"/>
  <c r="S1532" i="17"/>
  <c r="S1533" i="17"/>
  <c r="S1534" i="17"/>
  <c r="S1535" i="17"/>
  <c r="S1536" i="17"/>
  <c r="S1537" i="17"/>
  <c r="S1538" i="17"/>
  <c r="S1539" i="17"/>
  <c r="S1540" i="17"/>
  <c r="S1541" i="17"/>
  <c r="S1542" i="17"/>
  <c r="S1543" i="17"/>
  <c r="S1544" i="17"/>
  <c r="S1545" i="17"/>
  <c r="S1546" i="17"/>
  <c r="S1547" i="17"/>
  <c r="S1548" i="17"/>
  <c r="S1549" i="17"/>
  <c r="S1550" i="17"/>
  <c r="S1551" i="17"/>
  <c r="S1552" i="17"/>
  <c r="S1553" i="17"/>
  <c r="S1554" i="17"/>
  <c r="S1555" i="17"/>
  <c r="S1556" i="17"/>
  <c r="S1557" i="17"/>
  <c r="S1558" i="17"/>
  <c r="S1559" i="17"/>
  <c r="S1560" i="17"/>
  <c r="S1561" i="17"/>
  <c r="S1562" i="17"/>
  <c r="S1563" i="17"/>
  <c r="S1564" i="17"/>
  <c r="S1565" i="17"/>
  <c r="S1566" i="17"/>
  <c r="S1567" i="17"/>
  <c r="S1568" i="17"/>
  <c r="S1569" i="17"/>
  <c r="S1570" i="17"/>
  <c r="S1571" i="17"/>
  <c r="S1572" i="17"/>
  <c r="S1573" i="17"/>
  <c r="S1574" i="17"/>
  <c r="S1575" i="17"/>
  <c r="S1576" i="17"/>
  <c r="S1577" i="17"/>
  <c r="S1578" i="17"/>
  <c r="S1579" i="17"/>
  <c r="S1580" i="17"/>
  <c r="S1581" i="17"/>
  <c r="S1582" i="17"/>
  <c r="S1583" i="17"/>
  <c r="S1584" i="17"/>
  <c r="S1585" i="17"/>
  <c r="S1586" i="17"/>
  <c r="S1587" i="17"/>
  <c r="S1588" i="17"/>
  <c r="S1589" i="17"/>
  <c r="S1590" i="17"/>
  <c r="S1591" i="17"/>
  <c r="S1592" i="17"/>
  <c r="S1593" i="17"/>
  <c r="S1594" i="17"/>
  <c r="S1595" i="17"/>
  <c r="S1596" i="17"/>
  <c r="S1597" i="17"/>
  <c r="S1598" i="17"/>
  <c r="S1599" i="17"/>
  <c r="S1600" i="17"/>
  <c r="S1601" i="17"/>
  <c r="S1602" i="17"/>
  <c r="S1603" i="17"/>
  <c r="S1604" i="17"/>
  <c r="S1605" i="17"/>
  <c r="S1606" i="17"/>
  <c r="S1607" i="17"/>
  <c r="S1608" i="17"/>
  <c r="S1609" i="17"/>
  <c r="S1610" i="17"/>
  <c r="S1611" i="17"/>
  <c r="S1612" i="17"/>
  <c r="S1613" i="17"/>
  <c r="S1614" i="17"/>
  <c r="S1615" i="17"/>
  <c r="S1616" i="17"/>
  <c r="S1617" i="17"/>
  <c r="S1618" i="17"/>
  <c r="S1619" i="17"/>
  <c r="S1620" i="17"/>
  <c r="S1621" i="17"/>
  <c r="S1622" i="17"/>
  <c r="S1623" i="17"/>
  <c r="S1624" i="17"/>
  <c r="S1625" i="17"/>
  <c r="S1626" i="17"/>
  <c r="S1627" i="17"/>
  <c r="S1628" i="17"/>
  <c r="S1629" i="17"/>
  <c r="S1630" i="17"/>
  <c r="S1631" i="17"/>
  <c r="S1632" i="17"/>
  <c r="S1633" i="17"/>
  <c r="S1634" i="17"/>
  <c r="S1635" i="17"/>
  <c r="S1636" i="17"/>
  <c r="S1637" i="17"/>
  <c r="S1638" i="17"/>
  <c r="S1639" i="17"/>
  <c r="S1640" i="17"/>
  <c r="S1641" i="17"/>
  <c r="S1642" i="17"/>
  <c r="S1643" i="17"/>
  <c r="S1644" i="17"/>
  <c r="S1645" i="17"/>
  <c r="S1646" i="17"/>
  <c r="S1647" i="17"/>
  <c r="S1648" i="17"/>
  <c r="S1649" i="17"/>
  <c r="S1650" i="17"/>
  <c r="S1651" i="17"/>
  <c r="S1652" i="17"/>
  <c r="S1653" i="17"/>
  <c r="S1654" i="17"/>
  <c r="S1655" i="17"/>
  <c r="S1656" i="17"/>
  <c r="S1657" i="17"/>
  <c r="S1658" i="17"/>
  <c r="S1659" i="17"/>
  <c r="S1660" i="17"/>
  <c r="S1661" i="17"/>
  <c r="S1662" i="17"/>
  <c r="S1663" i="17"/>
  <c r="S1664" i="17"/>
  <c r="S1665" i="17"/>
  <c r="S1666" i="17"/>
  <c r="S1667" i="17"/>
  <c r="S1668" i="17"/>
  <c r="S1669" i="17"/>
  <c r="S1670" i="17"/>
  <c r="S1671" i="17"/>
  <c r="S1672" i="17"/>
  <c r="S1673" i="17"/>
  <c r="S1674" i="17"/>
  <c r="S1675" i="17"/>
  <c r="S1676" i="17"/>
  <c r="S1677" i="17"/>
  <c r="S1678" i="17"/>
  <c r="S1679" i="17"/>
  <c r="S1680" i="17"/>
  <c r="S1681" i="17"/>
  <c r="S1682" i="17"/>
  <c r="S1683" i="17"/>
  <c r="S1684" i="17"/>
  <c r="S1685" i="17"/>
  <c r="S1686" i="17"/>
  <c r="S1687" i="17"/>
  <c r="S1688" i="17"/>
  <c r="S1689" i="17"/>
  <c r="S1690" i="17"/>
  <c r="S1691" i="17"/>
  <c r="S1692" i="17"/>
  <c r="S1693" i="17"/>
  <c r="S1694" i="17"/>
  <c r="S1695" i="17"/>
  <c r="S1696" i="17"/>
  <c r="S1697" i="17"/>
  <c r="S1698" i="17"/>
  <c r="S1699" i="17"/>
  <c r="S1700" i="17"/>
  <c r="S1701" i="17"/>
  <c r="S1702" i="17"/>
  <c r="S1703" i="17"/>
  <c r="S1704" i="17"/>
  <c r="S1705" i="17"/>
  <c r="S1706" i="17"/>
  <c r="S1707" i="17"/>
  <c r="S1708" i="17"/>
  <c r="S1709" i="17"/>
  <c r="S1710" i="17"/>
  <c r="S1711" i="17"/>
  <c r="S1712" i="17"/>
  <c r="S1713" i="17"/>
  <c r="S1714" i="17"/>
  <c r="S1715" i="17"/>
  <c r="S1716" i="17"/>
  <c r="S1717" i="17"/>
  <c r="S1718" i="17"/>
  <c r="S1719" i="17"/>
  <c r="S1720" i="17"/>
  <c r="S1721" i="17"/>
  <c r="S1722" i="17"/>
  <c r="S1723" i="17"/>
  <c r="S1724" i="17"/>
  <c r="S1725" i="17"/>
  <c r="S1726" i="17"/>
  <c r="S1727" i="17"/>
  <c r="S1728" i="17"/>
  <c r="S1729" i="17"/>
  <c r="S1730" i="17"/>
  <c r="S1731" i="17"/>
  <c r="S1732" i="17"/>
  <c r="S1733" i="17"/>
  <c r="S1734" i="17"/>
  <c r="S1735" i="17"/>
  <c r="S1736" i="17"/>
  <c r="S1737" i="17"/>
  <c r="S1738" i="17"/>
  <c r="S1739" i="17"/>
  <c r="S1740" i="17"/>
  <c r="S1741" i="17"/>
  <c r="S1742" i="17"/>
  <c r="S1743" i="17"/>
  <c r="S1744" i="17"/>
  <c r="S1745" i="17"/>
  <c r="S1746" i="17"/>
  <c r="S1747" i="17"/>
  <c r="S1748" i="17"/>
  <c r="S1749" i="17"/>
  <c r="S1750" i="17"/>
  <c r="S1751" i="17"/>
  <c r="S1752" i="17"/>
  <c r="S1753" i="17"/>
  <c r="S1754" i="17"/>
  <c r="S1755" i="17"/>
  <c r="S1756" i="17"/>
  <c r="S1757" i="17"/>
  <c r="S1758" i="17"/>
  <c r="S1759" i="17"/>
  <c r="S1760" i="17"/>
  <c r="S1761" i="17"/>
  <c r="S1762" i="17"/>
  <c r="S1763" i="17"/>
  <c r="S1764" i="17"/>
  <c r="S1765" i="17"/>
  <c r="S1766" i="17"/>
  <c r="S1767" i="17"/>
  <c r="S1768" i="17"/>
  <c r="S1769" i="17"/>
  <c r="S1770" i="17"/>
  <c r="S1771" i="17"/>
  <c r="S1772" i="17"/>
  <c r="S1773" i="17"/>
  <c r="S1774" i="17"/>
  <c r="S1775" i="17"/>
  <c r="S1776" i="17"/>
  <c r="S1777" i="17"/>
  <c r="S1778" i="17"/>
  <c r="S1779" i="17"/>
  <c r="S1780" i="17"/>
  <c r="S1781" i="17"/>
  <c r="S1782" i="17"/>
  <c r="S1783" i="17"/>
  <c r="S1784" i="17"/>
  <c r="S1785" i="17"/>
  <c r="S1786" i="17"/>
  <c r="S1787" i="17"/>
  <c r="S1788" i="17"/>
  <c r="S1789" i="17"/>
  <c r="S1790" i="17"/>
  <c r="S1791" i="17"/>
  <c r="S1792" i="17"/>
  <c r="S1793" i="17"/>
  <c r="S1794" i="17"/>
  <c r="S1795" i="17"/>
  <c r="S1796" i="17"/>
  <c r="S1797" i="17"/>
  <c r="S1798" i="17"/>
  <c r="S1799" i="17"/>
  <c r="S1800" i="17"/>
  <c r="S1801" i="17"/>
  <c r="S1802" i="17"/>
  <c r="S1803" i="17"/>
  <c r="S1804" i="17"/>
  <c r="S1805" i="17"/>
  <c r="S1806" i="17"/>
  <c r="S1807" i="17"/>
  <c r="S1808" i="17"/>
  <c r="S1809" i="17"/>
  <c r="S1810" i="17"/>
  <c r="S1811" i="17"/>
  <c r="S1812" i="17"/>
  <c r="S1813" i="17"/>
  <c r="S1814" i="17"/>
  <c r="S1815" i="17"/>
  <c r="S1816" i="17"/>
  <c r="S1817" i="17"/>
  <c r="S1818" i="17"/>
  <c r="S1819" i="17"/>
  <c r="S1820" i="17"/>
  <c r="S1821" i="17"/>
  <c r="S1822" i="17"/>
  <c r="S1823" i="17"/>
  <c r="S1824" i="17"/>
  <c r="S1825" i="17"/>
  <c r="S1826" i="17"/>
  <c r="S1827" i="17"/>
  <c r="S1828" i="17"/>
  <c r="S1829" i="17"/>
  <c r="S1830" i="17"/>
  <c r="S1831" i="17"/>
  <c r="S1832" i="17"/>
  <c r="S1833" i="17"/>
  <c r="S1834" i="17"/>
  <c r="S1835" i="17"/>
  <c r="S1836" i="17"/>
  <c r="S1837" i="17"/>
  <c r="S1838" i="17"/>
  <c r="S1839" i="17"/>
  <c r="S1840" i="17"/>
  <c r="S1841" i="17"/>
  <c r="B14" i="38"/>
  <c r="C14" i="38"/>
  <c r="H14" i="38"/>
  <c r="I14" i="38"/>
  <c r="J14" i="38"/>
  <c r="B13" i="38" l="1"/>
  <c r="C13" i="38"/>
  <c r="H13" i="38"/>
  <c r="I13" i="38"/>
  <c r="J13" i="38"/>
  <c r="B12" i="38"/>
  <c r="C12" i="38"/>
  <c r="H12" i="38"/>
  <c r="I12" i="38"/>
  <c r="J12" i="38"/>
  <c r="B11" i="38"/>
  <c r="C11" i="38"/>
  <c r="H11" i="38"/>
  <c r="I11" i="38"/>
  <c r="J11" i="38"/>
  <c r="B10" i="38"/>
  <c r="C10" i="38"/>
  <c r="H10" i="38"/>
  <c r="I10" i="38"/>
  <c r="J10" i="38"/>
  <c r="B6" i="38"/>
  <c r="C6" i="38"/>
  <c r="H6" i="38"/>
  <c r="I6" i="38"/>
  <c r="J6" i="38"/>
  <c r="B7" i="38"/>
  <c r="B8" i="38"/>
  <c r="B9" i="38"/>
  <c r="C7" i="38"/>
  <c r="C8" i="38"/>
  <c r="C9" i="38"/>
  <c r="H7" i="38"/>
  <c r="H8" i="38"/>
  <c r="H9" i="38"/>
  <c r="I7" i="38"/>
  <c r="I8" i="38"/>
  <c r="I9" i="38"/>
  <c r="J7" i="38"/>
  <c r="J8" i="38"/>
  <c r="J9" i="38"/>
  <c r="H2" i="38"/>
  <c r="H3" i="38"/>
  <c r="H4" i="38"/>
  <c r="H5" i="38"/>
  <c r="B2" i="38"/>
  <c r="B3" i="38"/>
  <c r="B4" i="38"/>
  <c r="B5" i="38"/>
  <c r="J2" i="38"/>
  <c r="J3" i="38"/>
  <c r="J4" i="38"/>
  <c r="J5" i="38"/>
  <c r="I2" i="38"/>
  <c r="I3" i="38"/>
  <c r="I4" i="38"/>
  <c r="I5" i="38"/>
  <c r="C5" i="38"/>
  <c r="C2" i="38"/>
  <c r="C3" i="38"/>
  <c r="C4" i="3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G8" authorId="0" shapeId="0" xr:uid="{99BC4A13-12B8-46CF-A79B-D175EB30AA7F}">
      <text>
        <r>
          <rPr>
            <b/>
            <sz val="11"/>
            <color theme="1"/>
            <rFont val="Calibri"/>
            <family val="2"/>
            <scheme val="minor"/>
          </rPr>
          <t>Autor:</t>
        </r>
        <r>
          <rPr>
            <sz val="11"/>
            <color theme="1"/>
            <rFont val="Calibri"/>
            <family val="2"/>
            <scheme val="minor"/>
          </rPr>
          <t xml:space="preserve">
1143382892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14A25E5-F6E1-4562-8D63-8C77C65F837A}" keepAlive="1" name="Consulta - BD PERSONAL" description="Conexión a la consulta 'BD PERSONAL' en el libro." type="5" refreshedVersion="8" background="1" saveData="1">
    <dbPr connection="Provider=Microsoft.Mashup.OleDb.1;Data Source=$Workbook$;Location=&quot;BD PERSONAL&quot;;Extended Properties=&quot;&quot;" command="SELECT * FROM [BD PERSONAL]"/>
  </connection>
  <connection id="2" xr16:uid="{28BEC6BF-DE78-46EE-B79E-1BD6554FD248}" name="Consulta - CALENDARIO_METAS" description="Conexión a la consulta 'CALENDARIO_METAS' en el libro." type="100" refreshedVersion="8" minRefreshableVersion="5">
    <extLst>
      <ext xmlns:x15="http://schemas.microsoft.com/office/spreadsheetml/2010/11/main" uri="{DE250136-89BD-433C-8126-D09CA5730AF9}">
        <x15:connection id="75fc7cab-0de0-48de-a2dc-37335205c368"/>
      </ext>
    </extLst>
  </connection>
  <connection id="3" xr16:uid="{9FC48740-7118-46BD-8BAB-F994661FBE57}" keepAlive="1" interval="30" name="Consulta - CONSOLIDADO 2026 GH" description="Conexión a la consulta 'CONSOLIDADO 2026 GH' en el libro." type="5" refreshedVersion="8" background="1" refreshOnLoad="1" saveData="1">
    <dbPr connection="Provider=Microsoft.Mashup.OleDb.1;Data Source=$Workbook$;Location=&quot;CONSOLIDADO 2026 GH&quot;;Extended Properties=&quot;&quot;" command="SELECT * FROM [CONSOLIDADO 2026 GH]"/>
  </connection>
  <connection id="4" xr16:uid="{6D0E20B4-2577-4E1B-8E29-885890414BFF}" keepAlive="1" name="Consulta - CONSOLIDADO 2026 HORAS1" description="Conexión a la consulta 'CONSOLIDADO 2026 HORAS' en el libro." type="5" refreshedVersion="0" background="1" saveData="1">
    <dbPr connection="Provider=Microsoft.Mashup.OleDb.1;Data Source=$Workbook$;Location=&quot;CONSOLIDADO 2026 HORAS&quot;;Extended Properties=&quot;&quot;" command="SELECT * FROM [CONSOLIDADO 2026 HORAS]"/>
  </connection>
  <connection id="5" xr16:uid="{C9CC0C27-0BE7-43CD-987E-4F5770EE9EEC}" keepAlive="1" name="Consulta - CONSOLIDADO 2026 LIDERES" description="Conexión a la consulta 'CONSOLIDADO 2026 LIDERES' en el libro." type="5" refreshedVersion="0" background="1" saveData="1">
    <dbPr connection="Provider=Microsoft.Mashup.OleDb.1;Data Source=$Workbook$;Location=&quot;CONSOLIDADO 2026 LIDERES&quot;;Extended Properties=&quot;&quot;" command="SELECT * FROM [CONSOLIDADO 2026 LIDERES]"/>
  </connection>
  <connection id="6" xr16:uid="{0BF6B5E8-FAD6-4FD2-A2F3-251DBA1D2279}" keepAlive="1" interval="30" name="Consulta - CONSOLIDADO 2026 LIDERES1" description="Conexión a la consulta 'CONSOLIDADO 2026 LIDERES' en el libro." type="5" refreshedVersion="8" background="1" refreshOnLoad="1" saveData="1">
    <dbPr connection="Provider=Microsoft.Mashup.OleDb.1;Data Source=$Workbook$;Location=&quot;CONSOLIDADO 2026 LIDERES&quot;;Extended Properties=&quot;&quot;" command="SELECT * FROM [CONSOLIDADO 2026 LIDERES]"/>
  </connection>
  <connection id="7" xr16:uid="{42D061A6-AEDC-4C7B-865E-36F2ACA74057}" keepAlive="1" name="Consulta - CONSOLIDADO 2026 NOMINA" description="Conexión a la consulta 'CONSOLIDADO 2026 NOMINA' en el libro." type="5" refreshedVersion="8" background="1" saveData="1">
    <dbPr connection="Provider=Microsoft.Mashup.OleDb.1;Data Source=$Workbook$;Location=&quot;CONSOLIDADO 2026 NOMINA&quot;;Extended Properties=&quot;&quot;" command="SELECT * FROM [CONSOLIDADO 2026 NOMINA]"/>
  </connection>
  <connection id="8" xr16:uid="{AF3A28C5-F01D-4A9D-8FF5-0E7AB46D54AA}" keepAlive="1" name="Consulta - CONSOLIDADO 2026 NOMINA1" description="Conexión a la consulta 'CONSOLIDADO 2026 NOMINA' en el libro." type="5" refreshedVersion="8" background="1" saveData="1">
    <dbPr connection="Provider=Microsoft.Mashup.OleDb.1;Data Source=$Workbook$;Location=&quot;CONSOLIDADO 2026 NOMINA&quot;;Extended Properties=&quot;&quot;" command="SELECT * FROM [CONSOLIDADO 2026 NOMINA]"/>
  </connection>
  <connection id="9" xr16:uid="{69236B8A-593A-44A5-AFC8-F183AFB1F58B}" keepAlive="1" name="Consulta - CONSOLIDADO AGOSTO" description="Conexión a la consulta 'CONSOLIDADO AGOSTO' en el libro." type="5" refreshedVersion="0" background="1">
    <dbPr connection="Provider=Microsoft.Mashup.OleDb.1;Data Source=$Workbook$;Location=&quot;CONSOLIDADO AGOSTO&quot;;Extended Properties=&quot;&quot;" command="SELECT * FROM [CONSOLIDADO AGOSTO]"/>
  </connection>
  <connection id="10" xr16:uid="{11DDD69C-EC99-4316-BEF3-A16585F9E6BA}" keepAlive="1" name="Consulta - CONSOLIDADO REDIRECCIONAMIENTO" description="Conexión a la consulta 'CONSOLIDADO REDIRECCIONAMIENTO' en el libro." type="5" refreshedVersion="8" background="1" saveData="1">
    <dbPr connection="Provider=Microsoft.Mashup.OleDb.1;Data Source=$Workbook$;Location=&quot;CONSOLIDADO REDIRECCIONAMIENTO&quot;;Extended Properties=&quot;&quot;" command="SELECT * FROM [CONSOLIDADO REDIRECCIONAMIENTO]"/>
  </connection>
  <connection id="11" xr16:uid="{E0CBFDD2-D8F7-4404-A3D2-BB25EA3AF8F2}" keepAlive="1" name="Consulta - FESTIVOS" description="Conexión a la consulta 'FESTIVOS' en el libro." type="5" refreshedVersion="0" background="1">
    <dbPr connection="Provider=Microsoft.Mashup.OleDb.1;Data Source=$Workbook$;Location=FESTIVOS;Extended Properties=&quot;&quot;" command="SELECT * FROM [FESTIVOS]"/>
  </connection>
  <connection id="12" xr16:uid="{54E9CB6A-AFFC-43C2-B62C-C00E4FD54709}" keepAlive="1" name="Consulta - SUPERNUMERARIOS AGOSTO" description="Conexión a la consulta 'SUPERNUMERARIOS AGOSTO' en el libro." type="5" refreshedVersion="0" background="1">
    <dbPr connection="Provider=Microsoft.Mashup.OleDb.1;Data Source=$Workbook$;Location=&quot;SUPERNUMERARIOS AGOSTO&quot;;Extended Properties=&quot;&quot;" command="SELECT * FROM [SUPERNUMERARIOS AGOSTO]"/>
  </connection>
  <connection id="13" xr16:uid="{D225CFB7-B5BC-4045-804B-5AAA7702DBD6}" keepAlive="1" interval="30" name="Query - CONSOLIDADO 2026" description="Conexión a la consulta 'CONSOLIDADO 2026' en el libro." type="5" refreshedVersion="8" background="1" refreshOnLoad="1" saveData="1">
    <dbPr connection="Provider=Microsoft.Mashup.OleDb.1;Data Source=$Workbook$;Location=&quot;CONSOLIDADO 2026&quot;;Extended Properties=&quot;&quot;" command="SELECT * FROM [CONSOLIDADO 2026]"/>
  </connection>
  <connection id="14" xr16:uid="{E986D512-9053-4FBA-BC0F-222DE4E06EBD}" keepAlive="1" interval="30" name="Query - CONSOLIDADO PLAZAS FIJAS" description="Conexión a la consulta 'CONSOLIDADO PLAZAS FIJAS' en el libro." type="5" refreshedVersion="8" background="1" refreshOnLoad="1" saveData="1">
    <dbPr connection="Provider=Microsoft.Mashup.OleDb.1;Data Source=$Workbook$;Location=&quot;CONSOLIDADO PLAZAS FIJAS&quot;;Extended Properties=&quot;&quot;" command="SELECT * FROM [CONSOLIDADO PLAZAS FIJAS]"/>
  </connection>
  <connection id="15" xr16:uid="{3B0A7A2E-AD74-427A-AA52-189C5829C4D2}" keepAlive="1" interval="30" name="Query - SUPERNUMERARIOS" description="Conexión a la consulta 'SUPERNUMERARIOS' en el libro." type="5" refreshedVersion="8" background="1" refreshOnLoad="1" saveData="1">
    <dbPr connection="Provider=Microsoft.Mashup.OleDb.1;Data Source=$Workbook$;Location=SUPERNUMERARIOS;Extended Properties=&quot;&quot;" command="SELECT * FROM [SUPERNUMERARIOS]"/>
  </connection>
  <connection id="16" xr16:uid="{939F87AD-9C6A-486A-9857-BF10D627D81C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7" xr16:uid="{83E06BB9-1F10-4921-951E-C95D60659960}" name="WorksheetConnection_CONSOLIDADO 2026.xlsx!CONSOLIDADO_2026_NOMINA" type="102" refreshedVersion="8" minRefreshableVersion="5">
    <extLst>
      <ext xmlns:x15="http://schemas.microsoft.com/office/spreadsheetml/2010/11/main" uri="{DE250136-89BD-433C-8126-D09CA5730AF9}">
        <x15:connection id="CONSOLIDADO_2026_NOMINA">
          <x15:rangePr sourceName="_xlcn.WorksheetConnection_CONSOLIDADO2026.xlsxCONSOLIDADO_2026_NOMINA1"/>
        </x15:connection>
      </ext>
    </extLst>
  </connection>
</connections>
</file>

<file path=xl/sharedStrings.xml><?xml version="1.0" encoding="utf-8"?>
<sst xmlns="http://schemas.openxmlformats.org/spreadsheetml/2006/main" count="46250" uniqueCount="4341">
  <si>
    <t>Origen Hoja</t>
  </si>
  <si>
    <t>DOCUMENTO</t>
  </si>
  <si>
    <t>NOMBRE</t>
  </si>
  <si>
    <t>CIS</t>
  </si>
  <si>
    <t>TIPO DE NOVEDAD</t>
  </si>
  <si>
    <t>F inic Novedad</t>
  </si>
  <si>
    <t>F Fin Novedad</t>
  </si>
  <si>
    <t>Fecha Reintegro</t>
  </si>
  <si>
    <t>CEDULA SUPERNUMERARIO</t>
  </si>
  <si>
    <t>SUPERNUMERARIOS</t>
  </si>
  <si>
    <t>Origen</t>
  </si>
  <si>
    <t>Destino</t>
  </si>
  <si>
    <t>Novedad Extensa</t>
  </si>
  <si>
    <t>1000921455</t>
  </si>
  <si>
    <t>LUIS FERNANDO MONTOYA SANCHEZ</t>
  </si>
  <si>
    <t>Caldas</t>
  </si>
  <si>
    <t>Incapacidad</t>
  </si>
  <si>
    <t>1001532436</t>
  </si>
  <si>
    <t>MELISSA MARSIGLIA GUERRA</t>
  </si>
  <si>
    <t>luis.montoya@unionsaludvida.com</t>
  </si>
  <si>
    <t>melissa.marsiglia@unionsaludvida.com</t>
  </si>
  <si>
    <t>SI</t>
  </si>
  <si>
    <t>1015483595</t>
  </si>
  <si>
    <t>NICOLAS FERNANDO GODOY ESCOBAR</t>
  </si>
  <si>
    <t>Novedad A Tercero</t>
  </si>
  <si>
    <t>nicolas.godoy@unionsaludvida.com</t>
  </si>
  <si>
    <t>1037631989</t>
  </si>
  <si>
    <t>JUAN FELIPE RESTREPO MONTOYA</t>
  </si>
  <si>
    <t>Envigado</t>
  </si>
  <si>
    <t>juan.montoya@unionsaludvida.com</t>
  </si>
  <si>
    <t>1037638426</t>
  </si>
  <si>
    <t>KIMBERLY HENAO RUIZ</t>
  </si>
  <si>
    <t>kimberly.henao@unionsaludvida.com</t>
  </si>
  <si>
    <t>1045718883</t>
  </si>
  <si>
    <t>PAULA ANDREA PALACIO IBAÑEZ</t>
  </si>
  <si>
    <t>paula.palacio@unionsaludvida.com</t>
  </si>
  <si>
    <t>Licencia De Maternidad</t>
  </si>
  <si>
    <t>1121506548</t>
  </si>
  <si>
    <t>LYLIANA ARELYS BARRERA TANDIOY</t>
  </si>
  <si>
    <t>Sabaneta</t>
  </si>
  <si>
    <t>lyliana.barrera@unionsaludvida.com</t>
  </si>
  <si>
    <t>PEDRO JUAN OSORIO GONZALEZ</t>
  </si>
  <si>
    <t>1001005240</t>
  </si>
  <si>
    <t>MARIA DEL MAR PEREZ GIRALDO</t>
  </si>
  <si>
    <t>San Antonio De Prado</t>
  </si>
  <si>
    <t>1007765841</t>
  </si>
  <si>
    <t>GEILY LUZ PAEZ SIERRA</t>
  </si>
  <si>
    <t>mariadelmar.perez@unionsaludvida.com</t>
  </si>
  <si>
    <t>geily.paez@unionsaludvida.com</t>
  </si>
  <si>
    <t>1001851670</t>
  </si>
  <si>
    <t>MARIA FERNANDA MORALES VARGAS</t>
  </si>
  <si>
    <t>Aranjuez</t>
  </si>
  <si>
    <t>maria.vargas@unionsaludvida.com</t>
  </si>
  <si>
    <t>1017264032</t>
  </si>
  <si>
    <t>CAMILA ANDREA MERA FRANKY</t>
  </si>
  <si>
    <t>San Ignacio</t>
  </si>
  <si>
    <t>camila.mera@unionsaludvida.com</t>
  </si>
  <si>
    <t>1036132488</t>
  </si>
  <si>
    <t>MARIA ALEJANDRA  JARAMILLO GOMEZ</t>
  </si>
  <si>
    <t>Manrique</t>
  </si>
  <si>
    <t>alejandra.jaramillo@unionsaludvida.com</t>
  </si>
  <si>
    <t>KIMBERLY  HENAO RUIZ</t>
  </si>
  <si>
    <t>1043006106</t>
  </si>
  <si>
    <t>STEFANIA JOSE  JIMENEZ MERCADO</t>
  </si>
  <si>
    <t>Sabaneta Norte</t>
  </si>
  <si>
    <t>stefania.jimenez@unionsaludvida.com</t>
  </si>
  <si>
    <t>1067963513</t>
  </si>
  <si>
    <t>HILDEBRANDO JOSE ALVAREZ NISPERUZA</t>
  </si>
  <si>
    <t>Girardota</t>
  </si>
  <si>
    <t>hildebrando.alvarez@unionsaludvida.com</t>
  </si>
  <si>
    <t>43558465</t>
  </si>
  <si>
    <t>JANET IDARRAGA FARIAS</t>
  </si>
  <si>
    <t>janet.farias@unionsaludvida.com</t>
  </si>
  <si>
    <t>1001140238</t>
  </si>
  <si>
    <t>SANTIAGO GONZALEZ ALVAREZ</t>
  </si>
  <si>
    <t>santiago.alvarez@unionsaludvida.com</t>
  </si>
  <si>
    <t>1032491944</t>
  </si>
  <si>
    <t>ANGELA MARCELA  VANEGAS GUTIERREZ</t>
  </si>
  <si>
    <t>City Plaza</t>
  </si>
  <si>
    <t>angela.vanegas@unionsaludvida.com</t>
  </si>
  <si>
    <t>1036618989</t>
  </si>
  <si>
    <t>VERONICA  ARANGO MONTOYA</t>
  </si>
  <si>
    <t>Santa María De Itagui</t>
  </si>
  <si>
    <t>veronica.arango@unionsaludvida.com</t>
  </si>
  <si>
    <t>HILDEBRANDO JOSE  ALVAREZ NISPERUZA</t>
  </si>
  <si>
    <t>1006218825</t>
  </si>
  <si>
    <t>SARA LISETH TROCHEZ BORRERO</t>
  </si>
  <si>
    <t>sara.trochez@unionsaludvida.com</t>
  </si>
  <si>
    <t>CAMILA ANDREA  MERA FRANKY</t>
  </si>
  <si>
    <t>MARIA ALEJANDRA JARAMILLO GOMEZ</t>
  </si>
  <si>
    <t>1085265026</t>
  </si>
  <si>
    <t>RICARDO ANDRES HERNANDEZ ARROYO</t>
  </si>
  <si>
    <t>Licencia De Luto</t>
  </si>
  <si>
    <t>ricardo.hernandez@unionsaludvida.com</t>
  </si>
  <si>
    <t>1005424850</t>
  </si>
  <si>
    <t>MARIA CAMILA ROMERO FLOREZ</t>
  </si>
  <si>
    <t>1000764192</t>
  </si>
  <si>
    <t>LESLIE JOHANA RESTREPO ARANGO</t>
  </si>
  <si>
    <t>camila.florez@unionsaludvida.com</t>
  </si>
  <si>
    <t>leslie.restrepo@unionsaludvida.com</t>
  </si>
  <si>
    <t>1002029407</t>
  </si>
  <si>
    <t>EMANUEL DOMINGUEZ ARIZA</t>
  </si>
  <si>
    <t>La Estrella Central</t>
  </si>
  <si>
    <t>1001022890</t>
  </si>
  <si>
    <t>ESTEBAN MADERO MORALES</t>
  </si>
  <si>
    <t>emanuel.dominguez@unionsaludvida.com</t>
  </si>
  <si>
    <t>esteban.madero@unionsaludvida.com</t>
  </si>
  <si>
    <t>1001011146</t>
  </si>
  <si>
    <t>SANTIAGO CASTRILLON MONTOYA</t>
  </si>
  <si>
    <t>santiago.castrillon@unionsaludvida.com</t>
  </si>
  <si>
    <t>1005661033</t>
  </si>
  <si>
    <t>JULIANA SILGADO FERNANDEZ</t>
  </si>
  <si>
    <t>juliana.silgado@unionsaludvida.com</t>
  </si>
  <si>
    <t>1047505786</t>
  </si>
  <si>
    <t>ANGELA PATRICIA MEDINA DIAZ</t>
  </si>
  <si>
    <t>angela.medina@unionsaludvida.com</t>
  </si>
  <si>
    <t>1004434669</t>
  </si>
  <si>
    <t>ANDRES FELIPE PABON MEZA</t>
  </si>
  <si>
    <t>andres.pabon@unionsaludvida.com</t>
  </si>
  <si>
    <t>1005457847</t>
  </si>
  <si>
    <t>RICARDO ULISES ALVAREZ TAMARA</t>
  </si>
  <si>
    <t>ricardo.alvarez@unionsaludvida.com</t>
  </si>
  <si>
    <t>1035876080</t>
  </si>
  <si>
    <t>KATHERINE MESA MEJIA</t>
  </si>
  <si>
    <t>Calasanz</t>
  </si>
  <si>
    <t>katherin.mesa@unionsaludvida.com</t>
  </si>
  <si>
    <t>1082896324</t>
  </si>
  <si>
    <t>MARLYS ENITH ORTIZ CARMONA</t>
  </si>
  <si>
    <t>Itagui</t>
  </si>
  <si>
    <t>marlys.ortiz@unionsaludvida.com</t>
  </si>
  <si>
    <t>1098777544</t>
  </si>
  <si>
    <t>FRANCIA MARIA MUÑOZ ARDILA</t>
  </si>
  <si>
    <t>Parque Fabricato</t>
  </si>
  <si>
    <t>francia.munoz@unionsaludvida.com</t>
  </si>
  <si>
    <t>1102808787</t>
  </si>
  <si>
    <t>VICTOR ARTURO FUENTES LOPEZ</t>
  </si>
  <si>
    <t>victor.fuentes@unionsaludvida.com</t>
  </si>
  <si>
    <t>1152226738</t>
  </si>
  <si>
    <t>LAURA ANDREA AGUDELO GONZALEZ</t>
  </si>
  <si>
    <t>Lopez De Mesa</t>
  </si>
  <si>
    <t>andrea.agudelo@unionsaludvida.com</t>
  </si>
  <si>
    <t>1152436231</t>
  </si>
  <si>
    <t>NATALIA ANDREA SANCHEZ MAZO</t>
  </si>
  <si>
    <t>Cristo Rey</t>
  </si>
  <si>
    <t>natalia.sanchez@unionsaludvida.com</t>
  </si>
  <si>
    <t>43453341</t>
  </si>
  <si>
    <t>DIANA MARCELA CRUZ YARA</t>
  </si>
  <si>
    <t>diana.cruz@unionsaludvida.com</t>
  </si>
  <si>
    <t>1001999023</t>
  </si>
  <si>
    <t>AURA ROSA PUERTAS MANCILLA</t>
  </si>
  <si>
    <t>1001868101</t>
  </si>
  <si>
    <t>DANNA CAROLINA LOPEZ VIZCAINO</t>
  </si>
  <si>
    <t>danna.lopez@unionsaludvida.com</t>
  </si>
  <si>
    <t>1143374438</t>
  </si>
  <si>
    <t>CARLOS EDUARDO MACHACON MENDEZ</t>
  </si>
  <si>
    <t>carlos.machacon@unionsaludvida.com</t>
  </si>
  <si>
    <t>1143375080</t>
  </si>
  <si>
    <t>DANIELA  MASSA DIAZ</t>
  </si>
  <si>
    <t>Hospitalización</t>
  </si>
  <si>
    <t>daniela.massa@unionsaludvida.com</t>
  </si>
  <si>
    <t>1071169507</t>
  </si>
  <si>
    <t>DANNA CATALINA GARZON VARGAS</t>
  </si>
  <si>
    <t>El Porvenir</t>
  </si>
  <si>
    <t>1001369228</t>
  </si>
  <si>
    <t>MARIA ALEJANDRA MONTOYA SILVA</t>
  </si>
  <si>
    <t>danna.garzon@unionsaludvida.com</t>
  </si>
  <si>
    <t>maria.silva@unionsaludvida.com</t>
  </si>
  <si>
    <t>1007976395</t>
  </si>
  <si>
    <t>CARLOS ANDRES FONSECA PIANETA</t>
  </si>
  <si>
    <t>carlos.fonseca@unionsaludvida.com</t>
  </si>
  <si>
    <t>1040755197</t>
  </si>
  <si>
    <t>MATEO MARIN BEDOYA</t>
  </si>
  <si>
    <t>La Estrella Parque</t>
  </si>
  <si>
    <t>mateo.marin@unionsaludvida.com</t>
  </si>
  <si>
    <t>1118569642</t>
  </si>
  <si>
    <t>SANTIAGO CHAPARRO LOZANO</t>
  </si>
  <si>
    <t>San Cristobal</t>
  </si>
  <si>
    <t>1001477185</t>
  </si>
  <si>
    <t>PABLO ANDRES MORENO MONSALVE</t>
  </si>
  <si>
    <t>santiago.chaparro@unionsaludvida.com</t>
  </si>
  <si>
    <t>pablo.moreno@unionsaludvida.com</t>
  </si>
  <si>
    <t>1003000892</t>
  </si>
  <si>
    <t>MARIA FERNANDA PASTRANA PACHECO</t>
  </si>
  <si>
    <t>fernanda.pastrana@unionsaludvida.com</t>
  </si>
  <si>
    <t>1005605946</t>
  </si>
  <si>
    <t>CARLOS DAVID MUÑOZ VIVERO</t>
  </si>
  <si>
    <t>carlos.munoz@unionsaludvida.com</t>
  </si>
  <si>
    <t>57303015</t>
  </si>
  <si>
    <t>CLARA INES CORONADO TRIANA</t>
  </si>
  <si>
    <t>1004463080</t>
  </si>
  <si>
    <t>MARIA CAMILA BULA IMBERT</t>
  </si>
  <si>
    <t>clara.coronado@unionsaludvida.com</t>
  </si>
  <si>
    <t>maria.imbert@unionsaludvida.com</t>
  </si>
  <si>
    <t>1005661534</t>
  </si>
  <si>
    <t>JOSE DAVID HERAZO PEREZ</t>
  </si>
  <si>
    <t>jose.herazo@unionsaludvida.com</t>
  </si>
  <si>
    <t>1010115185</t>
  </si>
  <si>
    <t>ALEJANDRO RUALES CHAMORRO</t>
  </si>
  <si>
    <t>alejandro.ruales@unionsaludvida.com</t>
  </si>
  <si>
    <t>1015479485</t>
  </si>
  <si>
    <t>MAICOL ESTEVEN SANCHEZ FRANCO</t>
  </si>
  <si>
    <t>maicol.sanchez@unionsaludvida.com</t>
  </si>
  <si>
    <t>STEFANIA JOSE JIMENEZ MERCADO</t>
  </si>
  <si>
    <t>DANIELA MASSA DIAZ</t>
  </si>
  <si>
    <t>1152446353</t>
  </si>
  <si>
    <t>YARESELL BEATRIZ MACHADO NIETO</t>
  </si>
  <si>
    <t>yaresell.machado@unionsaludvida.com</t>
  </si>
  <si>
    <t>1037659560</t>
  </si>
  <si>
    <t>DANIELA RIVERA CORREA</t>
  </si>
  <si>
    <t>1017261828</t>
  </si>
  <si>
    <t>DANIELA ARANGO TOBON</t>
  </si>
  <si>
    <t>daniela.rivera@unionsaludvida.com</t>
  </si>
  <si>
    <t>daniela.tobon@unionsaludvida.com</t>
  </si>
  <si>
    <t>1017277147</t>
  </si>
  <si>
    <t>STEPHANIE OSPINA LOPERA</t>
  </si>
  <si>
    <t>stephanie.ospina@unionsaludvida.com</t>
  </si>
  <si>
    <t>1152434926</t>
  </si>
  <si>
    <t>NATALIA PAMELA SEPULVEDA MONTOYA</t>
  </si>
  <si>
    <t>natalia.sepulveda@unionsaludvida.com</t>
  </si>
  <si>
    <t>72011169</t>
  </si>
  <si>
    <t>ROBERTO RAFAEL  ARTETA GONZALEZ</t>
  </si>
  <si>
    <t>NICOLAS FERNANDO  GODOY ESCOBAR</t>
  </si>
  <si>
    <t>1036624789</t>
  </si>
  <si>
    <t>LINA ISABEL HERNANDEZ HURTADO</t>
  </si>
  <si>
    <t>lina.hernandez@unionsaludvida.com</t>
  </si>
  <si>
    <t>1143412273</t>
  </si>
  <si>
    <t>JOSE IGNACIO CAMARGO FLOREZ</t>
  </si>
  <si>
    <t>jose.camargo@unionsaludvida.com</t>
  </si>
  <si>
    <t>1036965348</t>
  </si>
  <si>
    <t>JUAN PABLO CORTES BEDOYA</t>
  </si>
  <si>
    <t>juan.cortes@unionsaludvida.com</t>
  </si>
  <si>
    <t>1036969471</t>
  </si>
  <si>
    <t>MARYAM AYLEEN JOSE MARTINEZ GARRIDO</t>
  </si>
  <si>
    <t>maryam.ayleen@unionsaludvida.com</t>
  </si>
  <si>
    <t>1000348983</t>
  </si>
  <si>
    <t>JOSHUA AMED RODRIGUEZ SERRANO</t>
  </si>
  <si>
    <t>1039460305</t>
  </si>
  <si>
    <t>WILLIAM ECHEVERRY TORO</t>
  </si>
  <si>
    <t>joshua.rodriguez@unionsaludvida.com</t>
  </si>
  <si>
    <t>william.echeverry@unionsaludvida.com</t>
  </si>
  <si>
    <t>1047363064</t>
  </si>
  <si>
    <t>DAVID JOSE ARIZA DE AVILA</t>
  </si>
  <si>
    <t>david.jose@unionsaludvida.com</t>
  </si>
  <si>
    <t>1002159016</t>
  </si>
  <si>
    <t>ANGIE PAOLA PANSA MUÑOZ</t>
  </si>
  <si>
    <t>Cordoba</t>
  </si>
  <si>
    <t>1062424482</t>
  </si>
  <si>
    <t>YELEINA MARIA LOPEZ MERCADO</t>
  </si>
  <si>
    <t>angie.pansa@unionsaludvida.com</t>
  </si>
  <si>
    <t>yeleina.lopez@unionsaludvida.com</t>
  </si>
  <si>
    <t>ROBERTO RAFAEL ARTETA GONZALEZ</t>
  </si>
  <si>
    <t>1065013348</t>
  </si>
  <si>
    <t>JOSE CARLOS MONTES CORREA</t>
  </si>
  <si>
    <t>jose.montes@unionsaludvida.com</t>
  </si>
  <si>
    <t>1017267628</t>
  </si>
  <si>
    <t>NATALIA MONTOYA ATEHORTUA</t>
  </si>
  <si>
    <t>Bello</t>
  </si>
  <si>
    <t>1085687504</t>
  </si>
  <si>
    <t>EDWIN ANDHERSON MONTOYA MUÑOZ</t>
  </si>
  <si>
    <t>natalia.montoya@unionsaludvida.com</t>
  </si>
  <si>
    <t>edwin.montoya@unionsaludvida.com</t>
  </si>
  <si>
    <t>1100694689</t>
  </si>
  <si>
    <t>LUZ DEY VERGARA MOTERROZA</t>
  </si>
  <si>
    <t>luz.vergara@unionsaludvida.com</t>
  </si>
  <si>
    <t>1102877850</t>
  </si>
  <si>
    <t>JHONATAN BLADIMIR MEDRANO DURANGO</t>
  </si>
  <si>
    <t>jhonatan.medrano@unionsaludvida.com</t>
  </si>
  <si>
    <t>1107046318</t>
  </si>
  <si>
    <t>YUDY MARCELA BOLAÑOS BOTERO</t>
  </si>
  <si>
    <t>yudy.bolanos@unionsaludvida.com</t>
  </si>
  <si>
    <t>42141273</t>
  </si>
  <si>
    <t>KELLY JOHANA GONZALEZ CORDOBA</t>
  </si>
  <si>
    <t>La Ceja</t>
  </si>
  <si>
    <t>1110520481</t>
  </si>
  <si>
    <t>MAURICIO ANDRES RONDON MARTINEZ</t>
  </si>
  <si>
    <t>mauricio.rondon@unionsaludvida.com</t>
  </si>
  <si>
    <t>1113040527</t>
  </si>
  <si>
    <t>JENNIFER ANGELICA LUGO CUERVO</t>
  </si>
  <si>
    <t>jennifer.lugo@unionsaludvida.com</t>
  </si>
  <si>
    <t>1061819313</t>
  </si>
  <si>
    <t>MARIA PAULA ARGOTE MUÑOZ</t>
  </si>
  <si>
    <t>maria.argote@unionsaludvida.com</t>
  </si>
  <si>
    <t>1116283658</t>
  </si>
  <si>
    <t>LUISA FERNANDA ROJAS TRUJILLO</t>
  </si>
  <si>
    <t>luisa.rojas@unionsaludvida.com</t>
  </si>
  <si>
    <t>1126251297</t>
  </si>
  <si>
    <t>LAURA ELENA PELUFO RIVERO</t>
  </si>
  <si>
    <t>laura.pelufo@unionsaludvida.com</t>
  </si>
  <si>
    <t>1040047637</t>
  </si>
  <si>
    <t>MANUELA  GAVIRIA VALENCIA</t>
  </si>
  <si>
    <t>manuela.gaviria@unionsaludvida.com</t>
  </si>
  <si>
    <t>1085318652</t>
  </si>
  <si>
    <t>STIVALIZ YITNEL GUERRERO CHECA</t>
  </si>
  <si>
    <t>stivaliz.guerrero@unionsaludvida.com</t>
  </si>
  <si>
    <t>1128437275</t>
  </si>
  <si>
    <t>JUAN DAVID VILLA CORDOBA</t>
  </si>
  <si>
    <t>juan.villa@unionsaludvida.com</t>
  </si>
  <si>
    <t>1140899462</t>
  </si>
  <si>
    <t>PAOLA ANDREA CARDENAS CARVAJAL</t>
  </si>
  <si>
    <t>paola.cardenas@unionsaludvida.com</t>
  </si>
  <si>
    <t>1140903391</t>
  </si>
  <si>
    <t>JUAN JESUS ALVAREZ ANAYA</t>
  </si>
  <si>
    <t>juan.anaya@unionsaludvida.com</t>
  </si>
  <si>
    <t>1143388920</t>
  </si>
  <si>
    <t>CRISTIAN DAVID ROJAS PRATTO</t>
  </si>
  <si>
    <t>cristian.rojas@unionsaludvida.com</t>
  </si>
  <si>
    <t>1143880690</t>
  </si>
  <si>
    <t>ISABELA GUEVARA ESPAÑA</t>
  </si>
  <si>
    <t>isabela.guevara@unionsaludvida.com</t>
  </si>
  <si>
    <t>1152449131</t>
  </si>
  <si>
    <t>KATHERINE JULIED GARCIA MEDINA</t>
  </si>
  <si>
    <t>katherine.garcia@unionsaludvida.com</t>
  </si>
  <si>
    <t>1005624879</t>
  </si>
  <si>
    <t>ROCIO ALEJANDRA   REBOLLEDO TAMAYO</t>
  </si>
  <si>
    <t>1152466358</t>
  </si>
  <si>
    <t>JUAN DAVID MONTOYA ARBELAEZ</t>
  </si>
  <si>
    <t>rocio.rebolledo@unionsaludvida.com</t>
  </si>
  <si>
    <t>juan.arbelaez@unionsaludvida.com</t>
  </si>
  <si>
    <t>1152467481</t>
  </si>
  <si>
    <t>ALEXA PALACIOS ARROYO</t>
  </si>
  <si>
    <t>alexa.palacios@unionsaludvida.com</t>
  </si>
  <si>
    <t>1193055266</t>
  </si>
  <si>
    <t>DIANA VANESA ROSERO SANTACRUZ</t>
  </si>
  <si>
    <t>diana.rosero@unionsaludvida.com</t>
  </si>
  <si>
    <t>1000415206</t>
  </si>
  <si>
    <t>SOFIA NIÑO FERRER</t>
  </si>
  <si>
    <t>Licencia No Remunerada</t>
  </si>
  <si>
    <t>SIN SUPERNUMERARIO</t>
  </si>
  <si>
    <t>sofia.nino@unionsaludvida.com</t>
  </si>
  <si>
    <t>1000662062</t>
  </si>
  <si>
    <t>VALENTINA ECHEVERRI DURANGO</t>
  </si>
  <si>
    <t>valentina.echeverri@unionsaludvida.com</t>
  </si>
  <si>
    <t>ROCIO ALEJANDRA REBOLLEDO TAMAYO</t>
  </si>
  <si>
    <t>1001897056</t>
  </si>
  <si>
    <t>STEFANIA FALCON GUTIERREZ</t>
  </si>
  <si>
    <t>stefania.falcon@unionsaludvida.com</t>
  </si>
  <si>
    <t>1007959114</t>
  </si>
  <si>
    <t>LUISA FERNANDA ASCANIO RINCON</t>
  </si>
  <si>
    <t>luisa.ascanio@unionsaludvida.com</t>
  </si>
  <si>
    <t/>
  </si>
  <si>
    <t>SOFIA MORALES PLAZA</t>
  </si>
  <si>
    <t>SIN AGENDA</t>
  </si>
  <si>
    <t>1036932341</t>
  </si>
  <si>
    <t>CATHERINE GOMEZ MEJIA</t>
  </si>
  <si>
    <t>Rionegro</t>
  </si>
  <si>
    <t>catherine.mejia@unionsaludvida.com</t>
  </si>
  <si>
    <t>AGENDA EN VACACIONES</t>
  </si>
  <si>
    <t>1005625838</t>
  </si>
  <si>
    <t>1028031385</t>
  </si>
  <si>
    <t>1007623535</t>
  </si>
  <si>
    <t>1193531993</t>
  </si>
  <si>
    <t>1017229078</t>
  </si>
  <si>
    <t>1039475713</t>
  </si>
  <si>
    <t>1010079747</t>
  </si>
  <si>
    <t>1047402013</t>
  </si>
  <si>
    <t>1067938346</t>
  </si>
  <si>
    <t>1082934229</t>
  </si>
  <si>
    <t>1001808441</t>
  </si>
  <si>
    <t>71295937</t>
  </si>
  <si>
    <t>1038815720</t>
  </si>
  <si>
    <t>1143382892</t>
  </si>
  <si>
    <t>1010096144</t>
  </si>
  <si>
    <t>1193539083</t>
  </si>
  <si>
    <t>98668875</t>
  </si>
  <si>
    <t>1053869224</t>
  </si>
  <si>
    <t>1085297445</t>
  </si>
  <si>
    <t>1007588372</t>
  </si>
  <si>
    <t>1128460946</t>
  </si>
  <si>
    <t>1096250605</t>
  </si>
  <si>
    <t>Cédula</t>
  </si>
  <si>
    <t>Sede</t>
  </si>
  <si>
    <t>Cargo</t>
  </si>
  <si>
    <t>Profesional</t>
  </si>
  <si>
    <t>Estado</t>
  </si>
  <si>
    <t>Correo</t>
  </si>
  <si>
    <t>8643395</t>
  </si>
  <si>
    <t>Medico General</t>
  </si>
  <si>
    <t>ABELARDO ENRIQUE DAZA CERA</t>
  </si>
  <si>
    <t>abelardo.daza@unionsaludvida.com</t>
  </si>
  <si>
    <t>72342968</t>
  </si>
  <si>
    <t>ABRAHAM DAVID MARTINEZ ESCORCIA</t>
  </si>
  <si>
    <t>abraham.martinez@unionsaludvida.com</t>
  </si>
  <si>
    <t>1043000016</t>
  </si>
  <si>
    <t>Ortopedia</t>
  </si>
  <si>
    <t>Ortopedista</t>
  </si>
  <si>
    <t>ADALBERTO DE JESUS FONTALVO GALVAN</t>
  </si>
  <si>
    <t>adalberto.fontalvo@unionsaludvida.com</t>
  </si>
  <si>
    <t>92537215</t>
  </si>
  <si>
    <t>ADALBERTO GONZALEZ ARRIETA</t>
  </si>
  <si>
    <t>adalberto.gonzalez@unionsaludvida.com</t>
  </si>
  <si>
    <t>1064982760</t>
  </si>
  <si>
    <t>Monteria</t>
  </si>
  <si>
    <t>ADEL HUMBERTO ROMERO MENDEZ</t>
  </si>
  <si>
    <t>adel.romero@unionsaludvida.com</t>
  </si>
  <si>
    <t>1192923605</t>
  </si>
  <si>
    <t>ADRIANA CAROLINA ALEMAN GARCIA</t>
  </si>
  <si>
    <t>adriana.aleman@unionsaludvida.com</t>
  </si>
  <si>
    <t>1193524213</t>
  </si>
  <si>
    <t>Chigorodo Soma</t>
  </si>
  <si>
    <t>ADRIANA CAROLINA SARABIA JIMENEZ</t>
  </si>
  <si>
    <t>adriana.sarabia@unionsaludvida.com</t>
  </si>
  <si>
    <t>1036957173</t>
  </si>
  <si>
    <t>ADRIANA LISETH CIRO CORREA</t>
  </si>
  <si>
    <t>adriana.ciro@unionsaludvida.com</t>
  </si>
  <si>
    <t>1041901478</t>
  </si>
  <si>
    <t>ADRIANA LUCIA MERCADO BOSSIO</t>
  </si>
  <si>
    <t>adriana.mercado@unionsaludvida.com</t>
  </si>
  <si>
    <t>1100544080</t>
  </si>
  <si>
    <t>ADRIANA MARCELA ARRIETA AVILA</t>
  </si>
  <si>
    <t>adriana.arrieta@unionsaludvida.com</t>
  </si>
  <si>
    <t>1077481297</t>
  </si>
  <si>
    <t>ADRIANA MARCELA MOSQUERA MOSQUERA</t>
  </si>
  <si>
    <t>adriana.mosquera@unionsaludvida.com</t>
  </si>
  <si>
    <t>1065647062</t>
  </si>
  <si>
    <t>Santuario Farallones</t>
  </si>
  <si>
    <t>ADRIANA MARCELA VELASQUEZ VALLE</t>
  </si>
  <si>
    <t>adriana.velasquez@unionsaludvida.com</t>
  </si>
  <si>
    <t>1045761332</t>
  </si>
  <si>
    <t>ADRIANA MARGARITA LLANOS BELTRAN</t>
  </si>
  <si>
    <t>adriana.llanos@unionsaludvida.com</t>
  </si>
  <si>
    <t>1127074377</t>
  </si>
  <si>
    <t>Buenos Aires</t>
  </si>
  <si>
    <t>ADRIANA MARITZA ANACONA TRUJILLO</t>
  </si>
  <si>
    <t>adriana.anacona@unionsaludvida.com</t>
  </si>
  <si>
    <t>43616929</t>
  </si>
  <si>
    <t>ADRIANA MARTELO HERRERA</t>
  </si>
  <si>
    <t>adriana.herrera@unionsaludvida.com</t>
  </si>
  <si>
    <t>1017127268</t>
  </si>
  <si>
    <t>ADRIANA ZULUAGA SERNA</t>
  </si>
  <si>
    <t>adriana.zuluaga@unionsaludvida.com</t>
  </si>
  <si>
    <t>1193537573</t>
  </si>
  <si>
    <t>ADYEFFERYS RIVERA DIAZ</t>
  </si>
  <si>
    <t>adyefferys.rivera@unionsaludvida.com</t>
  </si>
  <si>
    <t>1098768810</t>
  </si>
  <si>
    <t>Santa Maria Itagui</t>
  </si>
  <si>
    <t>AHYDALY GRANDAS HERNANDEZ</t>
  </si>
  <si>
    <t>ahydaly.grandas@unionsaludvida.com</t>
  </si>
  <si>
    <t>1039469537</t>
  </si>
  <si>
    <t>ALANIS ALJURI ORTIZ</t>
  </si>
  <si>
    <t>alanis.ortiz@unionsaludvida.com</t>
  </si>
  <si>
    <t>78029534</t>
  </si>
  <si>
    <t>Especialistas Ops</t>
  </si>
  <si>
    <t>ALBERTO JOSE CABALLERO ESQUIVIA</t>
  </si>
  <si>
    <t>albertocaballero.contratista@unionsaludvida.com</t>
  </si>
  <si>
    <t>1239488187</t>
  </si>
  <si>
    <t>ALEJANDRA MUNERA MAZO</t>
  </si>
  <si>
    <t>alejandra.munera@unionsaludvida.com</t>
  </si>
  <si>
    <t>1193568408</t>
  </si>
  <si>
    <t>ALEJANDRA SOFIA VENECIA LOPEZ</t>
  </si>
  <si>
    <t>alejandra.venecia@unionsaludvida.com</t>
  </si>
  <si>
    <t>1000439437</t>
  </si>
  <si>
    <t>ALEJANDRO ESPINOSA HENAO</t>
  </si>
  <si>
    <t>alejandro.espinosa@unionsaludvida.com</t>
  </si>
  <si>
    <t>1037592414</t>
  </si>
  <si>
    <t>ALEJANDRO GALLEGO ASTIE</t>
  </si>
  <si>
    <t>alejandro.gallego@unionsaludvida.com</t>
  </si>
  <si>
    <t>1214734645</t>
  </si>
  <si>
    <t>La Estrella</t>
  </si>
  <si>
    <t>ALEJANDRO LLANO NARANJO</t>
  </si>
  <si>
    <t>alejandro.llano@unionsaludvida.com</t>
  </si>
  <si>
    <t>Supernumerarios</t>
  </si>
  <si>
    <t>Medico General Supernumerario</t>
  </si>
  <si>
    <t>1019022569</t>
  </si>
  <si>
    <t>ALEX DIDI ROMERO GELVEZ</t>
  </si>
  <si>
    <t>alex.romero@unionsaludvida.com</t>
  </si>
  <si>
    <t>98621900</t>
  </si>
  <si>
    <t>ALEXANDER NEIL GIRALDO VELASQUEZ</t>
  </si>
  <si>
    <t>alexander.giraldo@unionsaludvida.com</t>
  </si>
  <si>
    <t>1148205347</t>
  </si>
  <si>
    <t>Auxiliar En Salud</t>
  </si>
  <si>
    <t>ALEXANDRA AGUDELO GOMEZ</t>
  </si>
  <si>
    <t>auxiliarsaludaranjuez@unionsaludvida.com</t>
  </si>
  <si>
    <t>1020476544</t>
  </si>
  <si>
    <t>ALEXANDRA CAMILA ARROYAVE LARA</t>
  </si>
  <si>
    <t>alexandra.arroyave@unionsaludvida.com</t>
  </si>
  <si>
    <t>1003377815</t>
  </si>
  <si>
    <t>ALEXIA MARIA ACUÑA MARTINEZ</t>
  </si>
  <si>
    <t>alexia.acuna@unionsaludvida.com</t>
  </si>
  <si>
    <t>1102878409</t>
  </si>
  <si>
    <t>ALFREDO ANDRES TORREGROSA PALMETT</t>
  </si>
  <si>
    <t>alfredo.torregrosa@unionsaludvida.com</t>
  </si>
  <si>
    <t>1038408808</t>
  </si>
  <si>
    <t>Copacabana</t>
  </si>
  <si>
    <t>ALISON YULIED SERNA CASTAÑO</t>
  </si>
  <si>
    <t>alison.serna@unionsaludvida.com</t>
  </si>
  <si>
    <t>1037660327</t>
  </si>
  <si>
    <t>ALISSON HERNANDEZ URIBE</t>
  </si>
  <si>
    <t>alisson.uribe@unionsaludvida.com</t>
  </si>
  <si>
    <t>1017271052</t>
  </si>
  <si>
    <t>ALISSON PABON AGUDELO</t>
  </si>
  <si>
    <t>alisson.pabon@unionsaludvida.com</t>
  </si>
  <si>
    <t>1003050774</t>
  </si>
  <si>
    <t>Monterrey</t>
  </si>
  <si>
    <t>ALIX LORENA LOPEZ GUARIN</t>
  </si>
  <si>
    <t>alix.lopez@unionsaludvida.com</t>
  </si>
  <si>
    <t>1143413071</t>
  </si>
  <si>
    <t>AMANDA ISABEL SARMIENTO JIMENEZ</t>
  </si>
  <si>
    <t>amanda.sarmiento@unionsaludvida.com</t>
  </si>
  <si>
    <t>1233342044</t>
  </si>
  <si>
    <t>Carepa Centro</t>
  </si>
  <si>
    <t>ANA CAROLINA HERNANDEZ VERGARA</t>
  </si>
  <si>
    <t>ana.hernandez@unionsaludvida.com</t>
  </si>
  <si>
    <t>1039462842</t>
  </si>
  <si>
    <t>ANA CAROLINA SALGADO GARCIA</t>
  </si>
  <si>
    <t>ana.salgado@unionsaludvida.com</t>
  </si>
  <si>
    <t>1000100865</t>
  </si>
  <si>
    <t>ANA CATALINA GOMEZ POLO</t>
  </si>
  <si>
    <t>ana.polo@unionsaludvida.com</t>
  </si>
  <si>
    <t>586952</t>
  </si>
  <si>
    <t>ANA CRISTINA LEIVA GARITA</t>
  </si>
  <si>
    <t>ana.leiva@unionsaludvida.com</t>
  </si>
  <si>
    <t>1036610922</t>
  </si>
  <si>
    <t>Lider Asistencial</t>
  </si>
  <si>
    <t>Lider Cumplimiento Organizacional</t>
  </si>
  <si>
    <t>ANA CRISTINA VARELA RODRIGUEZ</t>
  </si>
  <si>
    <t>ana.varelas@unionsaludvida.com</t>
  </si>
  <si>
    <t>1039468175</t>
  </si>
  <si>
    <t>ANA DEL MAR ROJAS COPETE</t>
  </si>
  <si>
    <t>ana.rojas@unionsaludvida.com</t>
  </si>
  <si>
    <t>1004255591</t>
  </si>
  <si>
    <t>ANA GABRIELA DELGADO ROSALES</t>
  </si>
  <si>
    <t>ana.delgado@unionsaludvida.com</t>
  </si>
  <si>
    <t>1000099207</t>
  </si>
  <si>
    <t>ANA ISABEL MORENO GARCIA</t>
  </si>
  <si>
    <t>isabel.moreno@unionsaludvida.com</t>
  </si>
  <si>
    <t>1067938278</t>
  </si>
  <si>
    <t>ANA KAREN GOMEZ CONTRERAS</t>
  </si>
  <si>
    <t>ana.contreras@unionsaludvida.com</t>
  </si>
  <si>
    <t>1007800482</t>
  </si>
  <si>
    <t>Apartado</t>
  </si>
  <si>
    <t>ANA KARINA NEGRETTE SOTO</t>
  </si>
  <si>
    <t>ana.negrette@unionsaludvida.com</t>
  </si>
  <si>
    <t>1083037131</t>
  </si>
  <si>
    <t>ANA KARINA VILLARREAL REALES</t>
  </si>
  <si>
    <t>ana.villarreal@unionsaludvida.com</t>
  </si>
  <si>
    <t>1017211452</t>
  </si>
  <si>
    <t>ANA MARCELA MAYO TEHERAN</t>
  </si>
  <si>
    <t>ana.mayo@unionsaludvida.com</t>
  </si>
  <si>
    <t>1037651431</t>
  </si>
  <si>
    <t>ANA MARIA ACOSTA TIRADO</t>
  </si>
  <si>
    <t>ana.acosta@unionsaludvida.com</t>
  </si>
  <si>
    <t>1002956418</t>
  </si>
  <si>
    <t>ANA MARIA BENAVIDES GUACA</t>
  </si>
  <si>
    <t>ana.benavides@unionsaludvida.com</t>
  </si>
  <si>
    <t>1010137728</t>
  </si>
  <si>
    <t>ANA MARIA BENITEZ MARTINEZ</t>
  </si>
  <si>
    <t>ana.benitez@unionsaludvida.com</t>
  </si>
  <si>
    <t>1017255237</t>
  </si>
  <si>
    <t>ANA MARIA ESCOBAR ROBLEDO</t>
  </si>
  <si>
    <t>ana.escobar@unionsaludvida.com</t>
  </si>
  <si>
    <t>43262923</t>
  </si>
  <si>
    <t>ANA MARIA GALLEGO GOMEZ</t>
  </si>
  <si>
    <t>ana.gallego@unionsaludvida.com</t>
  </si>
  <si>
    <t>43185343</t>
  </si>
  <si>
    <t>Lider Gestion Asistencial</t>
  </si>
  <si>
    <t>ANA MARIA HENAO MARTINEZ</t>
  </si>
  <si>
    <t>ana.henao@unionsaludvida.com</t>
  </si>
  <si>
    <t>1000921684</t>
  </si>
  <si>
    <t>ANA MARIA HINCAPIE RESTREPO</t>
  </si>
  <si>
    <t>ana.hincapie@unionsaludvida.com</t>
  </si>
  <si>
    <t>1007223463</t>
  </si>
  <si>
    <t>ANA MARIA LONDOÑO GIRALDO</t>
  </si>
  <si>
    <t>ana.londono@unionsaludvida.com</t>
  </si>
  <si>
    <t>52932342</t>
  </si>
  <si>
    <t>ANA MARIA MARTINEZ BUENDIA</t>
  </si>
  <si>
    <t>ana.buendia@unionsaludvida.com</t>
  </si>
  <si>
    <t>26009097</t>
  </si>
  <si>
    <t>ANA MARIA MIRANDA CORDERO</t>
  </si>
  <si>
    <t>ana.miranda@unionsaludvida.com</t>
  </si>
  <si>
    <t>64587663</t>
  </si>
  <si>
    <t>ANA MARIA PATERNINA DE LA OSSA</t>
  </si>
  <si>
    <t>ana.paternina@unionsaludvida.com</t>
  </si>
  <si>
    <t>1001014608</t>
  </si>
  <si>
    <t>ANA MARIA POSADA SANCHEZ</t>
  </si>
  <si>
    <t>maria.posada@unionsaludvida.com</t>
  </si>
  <si>
    <t>1026149276</t>
  </si>
  <si>
    <t>ANA MARIA VERGARA LONDOÑO</t>
  </si>
  <si>
    <t>lidercisenvigado@unionsaludvida.com</t>
  </si>
  <si>
    <t>1001939392</t>
  </si>
  <si>
    <t>ANA MARIA VERGEL PUERTO</t>
  </si>
  <si>
    <t>ana.vergel@unionsaludvida.com</t>
  </si>
  <si>
    <t>1047475415</t>
  </si>
  <si>
    <t>ANA RAQUEL FLOREZ MARTINEZ</t>
  </si>
  <si>
    <t>ana.florez@unionsaludvida.com</t>
  </si>
  <si>
    <t>33204315</t>
  </si>
  <si>
    <t>ANA SUSANA GARCIA MARTINEZ</t>
  </si>
  <si>
    <t>susana.garcia@unionsaludvida.com</t>
  </si>
  <si>
    <t>1140899272</t>
  </si>
  <si>
    <t>ANA VALERIA GARCIA MEDINA</t>
  </si>
  <si>
    <t>ana.medina@unionsaludvida.com</t>
  </si>
  <si>
    <t>1042060611</t>
  </si>
  <si>
    <t>Gestion Humana</t>
  </si>
  <si>
    <t>Lider Gestion Humana</t>
  </si>
  <si>
    <t>ANA VENURIS CARDONA CANO</t>
  </si>
  <si>
    <t>lidergestionhumana@unionsaludvida.com</t>
  </si>
  <si>
    <t>1234093059</t>
  </si>
  <si>
    <t>ANDERSON DE JESUS PUA ROJAS</t>
  </si>
  <si>
    <t>anderson.pua@unionsaludvida.com</t>
  </si>
  <si>
    <t>1083001678</t>
  </si>
  <si>
    <t>ANDREA CAMILA SALAZAR PADILLA</t>
  </si>
  <si>
    <t>andrea.salazar@unionsaludvida.com</t>
  </si>
  <si>
    <t>ANDREA CAROLINA AMIN PUELLO</t>
  </si>
  <si>
    <t>andrea.amin@unionsaludvida.com</t>
  </si>
  <si>
    <t>1047970511</t>
  </si>
  <si>
    <t>ANDREA CAROLINA AVILA RESTREPO</t>
  </si>
  <si>
    <t>andrea.avila@unionsaludvida.com</t>
  </si>
  <si>
    <t>1143361075</t>
  </si>
  <si>
    <t>ANDREA CAROLINA CUELLO OÑATE</t>
  </si>
  <si>
    <t>andrea.cuello@unionsaludvida.com</t>
  </si>
  <si>
    <t>Salud Plaza Apartado</t>
  </si>
  <si>
    <t>ANDREA CAROLINA SUAREZ ESCORCIA</t>
  </si>
  <si>
    <t>andrea.suarez@unionsaludvida.com</t>
  </si>
  <si>
    <t>1052994099</t>
  </si>
  <si>
    <t>ANDREA DEL PILAR GUARIN QUINTERO</t>
  </si>
  <si>
    <t>andrea.pilar@unionsaludvida.com</t>
  </si>
  <si>
    <t>1037626926</t>
  </si>
  <si>
    <t>ANDREA HOYOS ESCOBAR</t>
  </si>
  <si>
    <t>andrea.hoyos@unionsaludvida.com</t>
  </si>
  <si>
    <t>1020470720</t>
  </si>
  <si>
    <t>Los Colores</t>
  </si>
  <si>
    <t>ANDREA JARAMILLO GUISAO</t>
  </si>
  <si>
    <t>andrea.jaramillo@unionsaludvida.com</t>
  </si>
  <si>
    <t>1000049316</t>
  </si>
  <si>
    <t>ANDREA JULIETH SILVA CASTILLO</t>
  </si>
  <si>
    <t>andrea.silva@unionsaludvida.com</t>
  </si>
  <si>
    <t>1020728596</t>
  </si>
  <si>
    <t>Especialistas Operativo</t>
  </si>
  <si>
    <t>Ginecologo</t>
  </si>
  <si>
    <t>ANDREA MELISSA SANCHEZ MANTILLA</t>
  </si>
  <si>
    <t>andrea.mantilla@unionsaludvida.com</t>
  </si>
  <si>
    <t>1152469965</t>
  </si>
  <si>
    <t>ANDREA RAMIREZ ZAPATA</t>
  </si>
  <si>
    <t>andrea.zapata@unionsaludvida.com</t>
  </si>
  <si>
    <t>1152219427</t>
  </si>
  <si>
    <t>Saman</t>
  </si>
  <si>
    <t>ANDREA SALDARRIAGA ARBELAEZ</t>
  </si>
  <si>
    <t>andrea.saldarriaga@unionsaludvida.com</t>
  </si>
  <si>
    <t>1128447461</t>
  </si>
  <si>
    <t>ANDRES ACEVEDO RESTREPO</t>
  </si>
  <si>
    <t>andres.acevedo@unionsaludvida.com</t>
  </si>
  <si>
    <t>1061758383</t>
  </si>
  <si>
    <t>ANDRES ALEJANDRO PAREDES OCAMPO</t>
  </si>
  <si>
    <t>andres.paredes@unionsaludvida.com</t>
  </si>
  <si>
    <t>1004960056</t>
  </si>
  <si>
    <t>ANDRES CAMILO BETANCOURTH CIRO</t>
  </si>
  <si>
    <t>andres.betancourth@unionsaludvida.com</t>
  </si>
  <si>
    <t>1140902203</t>
  </si>
  <si>
    <t>La Union</t>
  </si>
  <si>
    <t>ANDRES EDUARDO BARCENAS CASTRO</t>
  </si>
  <si>
    <t>andres.barcenas@unionsaludvida.com</t>
  </si>
  <si>
    <t>1192796671</t>
  </si>
  <si>
    <t>ANDRES FELIPE LOPEZ MERCADO</t>
  </si>
  <si>
    <t>andres.lopez@unionsaludvida.com</t>
  </si>
  <si>
    <t>1040358317</t>
  </si>
  <si>
    <t>ANDRES FELIPE MEDINA RODRIGUEZ</t>
  </si>
  <si>
    <t>andres.medina@unionsaludvida.com</t>
  </si>
  <si>
    <t>1085315171</t>
  </si>
  <si>
    <t>ANDRES FELIPE MUÑOZ LEIVA</t>
  </si>
  <si>
    <t>andres.munoz@unionsaludvida.com</t>
  </si>
  <si>
    <t>1000099010</t>
  </si>
  <si>
    <t>ANDRES HERNANDEZ CASTRO</t>
  </si>
  <si>
    <t>andres.hernandez@unionsaludvida.com</t>
  </si>
  <si>
    <t>1082926383</t>
  </si>
  <si>
    <t>ANDRES JACOB GARCIA GRANADOS</t>
  </si>
  <si>
    <t>andres.garcia@unionsaludvida.com</t>
  </si>
  <si>
    <t>1066188073</t>
  </si>
  <si>
    <t>Medico General Cadenero Vacaciones</t>
  </si>
  <si>
    <t>ANDRES JOSE BALLESTEROS MENDOZA</t>
  </si>
  <si>
    <t>andres.ballesteros@unionsaludvida.com</t>
  </si>
  <si>
    <t>1003432662</t>
  </si>
  <si>
    <t>ANDRES JULIAN MARIN VARGAS</t>
  </si>
  <si>
    <t>andres.marin@unionsaludvida.com</t>
  </si>
  <si>
    <t>1036624445</t>
  </si>
  <si>
    <t xml:space="preserve">ANDRES MAURICIO VASCO </t>
  </si>
  <si>
    <t>andres.vasco@unionsaludvida.com</t>
  </si>
  <si>
    <t>1019052530</t>
  </si>
  <si>
    <t>ANDRES OSORIO VILLARRAGA</t>
  </si>
  <si>
    <t>andres.osorio@unionsaludvida.com</t>
  </si>
  <si>
    <t>1128414706</t>
  </si>
  <si>
    <t>Lider Medico</t>
  </si>
  <si>
    <t>ANDRES PEREZ MARIN</t>
  </si>
  <si>
    <t>1005663234</t>
  </si>
  <si>
    <t>ANDREY ALESSI VEGA GONZALEZ</t>
  </si>
  <si>
    <t>andrey.vega@unionsaludvida.com</t>
  </si>
  <si>
    <t>22519737</t>
  </si>
  <si>
    <t xml:space="preserve">ANGELA EDELMIRA VARELA </t>
  </si>
  <si>
    <t>angela.varela@unionsaludvida.com</t>
  </si>
  <si>
    <t>ANGELA MARCELA VANEGAS GUTIERREZ</t>
  </si>
  <si>
    <t>1104434918</t>
  </si>
  <si>
    <t>ANGELA MARIA ALDANA BANQUEZ</t>
  </si>
  <si>
    <t>angela.aldana@unionsaludvida.com</t>
  </si>
  <si>
    <t>1035438745</t>
  </si>
  <si>
    <t>ANGELA MARIA ARDILA BENITEZ</t>
  </si>
  <si>
    <t>liderasistencial@unionsaludvida.com</t>
  </si>
  <si>
    <t>1044938036</t>
  </si>
  <si>
    <t>ANGELA MARIA HERRERA FLOREZ</t>
  </si>
  <si>
    <t>angela.herrera@unionsaludvida.com</t>
  </si>
  <si>
    <t>1143397459</t>
  </si>
  <si>
    <t>ANGELA PATRICIA MORALES BRUCES</t>
  </si>
  <si>
    <t>angela.morales@unionsaludvida.com</t>
  </si>
  <si>
    <t>52711440</t>
  </si>
  <si>
    <t>Gestion Academica</t>
  </si>
  <si>
    <t>ANGELICA BARON DUQUE</t>
  </si>
  <si>
    <t>angelica.baron@unionsaludvida.com</t>
  </si>
  <si>
    <t>1127917899</t>
  </si>
  <si>
    <t>ANGELICA MARIA MORENO MENDOZA</t>
  </si>
  <si>
    <t>angelica.moreno@unionsaludvida.com</t>
  </si>
  <si>
    <t>1007951295</t>
  </si>
  <si>
    <t>Currulao</t>
  </si>
  <si>
    <t>ANGELICA PATRICIA POLO MAURY</t>
  </si>
  <si>
    <t>angelica.polo@unionsaludvida.com</t>
  </si>
  <si>
    <t>ANGELICA RESTREPO RAMIREZ</t>
  </si>
  <si>
    <t>angelica.restrepo@unionsaludvida.com</t>
  </si>
  <si>
    <t>1004898553</t>
  </si>
  <si>
    <t>ANGELY PAOLA ASCANIO ORTIZ</t>
  </si>
  <si>
    <t>angely.ascanio@unionsaludvida.com</t>
  </si>
  <si>
    <t>1152697062</t>
  </si>
  <si>
    <t>ANGHELIETH ALZATE GARCIA</t>
  </si>
  <si>
    <t>auxiliarsaludlopezdemesa@unionsaludvida.com</t>
  </si>
  <si>
    <t>1020430709</t>
  </si>
  <si>
    <t>ANGIE BRAVO GARCIA</t>
  </si>
  <si>
    <t>angie.garcia@unionsaludvida.com</t>
  </si>
  <si>
    <t>1026154731</t>
  </si>
  <si>
    <t>ANGIE DANIELA VELEZ MUÑOZ</t>
  </si>
  <si>
    <t>angie.velez@unionsaludvida.com</t>
  </si>
  <si>
    <t>1030652448</t>
  </si>
  <si>
    <t>ANGIE DISLEIDY DAZA VASQUEZ</t>
  </si>
  <si>
    <t>angie.daza@unionsaludvida.com</t>
  </si>
  <si>
    <t>1045517810</t>
  </si>
  <si>
    <t>ANGIE LIZET CAICEDO MORENO</t>
  </si>
  <si>
    <t>angie.caicedo@unionsaludvida.com</t>
  </si>
  <si>
    <t>1042065946</t>
  </si>
  <si>
    <t>ANGIE MELISA QUINTANA RIOS</t>
  </si>
  <si>
    <t>angie.quintana@unionsaludvida.com</t>
  </si>
  <si>
    <t>1143406315</t>
  </si>
  <si>
    <t>ANGIE MILENA CLAVIJO PEREZ</t>
  </si>
  <si>
    <t>angie.clavijo@unionsaludvida.com</t>
  </si>
  <si>
    <t>1152713660</t>
  </si>
  <si>
    <t>ANGIE PAOLA CARDONA GARCES</t>
  </si>
  <si>
    <t>angie.cardona@unionsaludvida.com</t>
  </si>
  <si>
    <t>1051830053</t>
  </si>
  <si>
    <t>ANGIE PAOLA MORENO YEPEZ</t>
  </si>
  <si>
    <t>angie.moreno@unionsaludvida.com</t>
  </si>
  <si>
    <t>ANGIE PIEDAD BARCO RAMIREZ</t>
  </si>
  <si>
    <t>angie.barco@unionsaludvida.com</t>
  </si>
  <si>
    <t>1152462704</t>
  </si>
  <si>
    <t>ANNIE JULIETH MURILLO ARIAS</t>
  </si>
  <si>
    <t>annie.murillo@unionsaludvida.com</t>
  </si>
  <si>
    <t>1000090168</t>
  </si>
  <si>
    <t>ANTONIA LUCIA VASQUEZ NAVARRO</t>
  </si>
  <si>
    <t>antonia.vasquez@unionsaludvida.com</t>
  </si>
  <si>
    <t>1140902083</t>
  </si>
  <si>
    <t>ANTONIO RAPHAEL MAYORCA ROJAS</t>
  </si>
  <si>
    <t>antonio.mayorca@unionsaludvida.com</t>
  </si>
  <si>
    <t>1005425022</t>
  </si>
  <si>
    <t>ANUAR FABIAN GAMARRA GUERRERO</t>
  </si>
  <si>
    <t>anuar.gamarra@unionsaludvida.com</t>
  </si>
  <si>
    <t>1043029111</t>
  </si>
  <si>
    <t>ANYELA MILETH GOMEZ TOUS</t>
  </si>
  <si>
    <t>anyela.gomez@unionsaludvida.com</t>
  </si>
  <si>
    <t>45592346</t>
  </si>
  <si>
    <t>ARALY ARIZA SABALZA</t>
  </si>
  <si>
    <t>araly.ariza@unionsaludvida.com</t>
  </si>
  <si>
    <t>1017236640</t>
  </si>
  <si>
    <t>ARANTZA DANIELA VALDES CORONEL</t>
  </si>
  <si>
    <t>daniela.valdes@unionsaludvida.com</t>
  </si>
  <si>
    <t>1039450651</t>
  </si>
  <si>
    <t>ARLETH YINETH CAICEDO CHAVERRA</t>
  </si>
  <si>
    <t>arleth.caicedo@unionsaludvida.com</t>
  </si>
  <si>
    <t>1006880688</t>
  </si>
  <si>
    <t>ARNELL ARMANDO CORPUS MARES</t>
  </si>
  <si>
    <t>arnell.corpus@unionsaludvida.com</t>
  </si>
  <si>
    <t>73189515</t>
  </si>
  <si>
    <t>ARNOL JOSE ROMERO ACUÑA</t>
  </si>
  <si>
    <t>arnol.romero@unionsaludvida.com</t>
  </si>
  <si>
    <t>34329018</t>
  </si>
  <si>
    <t>ASTRID XIMENA GOMEZ SAMBONI</t>
  </si>
  <si>
    <t>astrid.gomez@unionsaludvida.com</t>
  </si>
  <si>
    <t>1001900488</t>
  </si>
  <si>
    <t>AUGUSTO ENRIQUE MAZA ARNEDO</t>
  </si>
  <si>
    <t>augusto.maza@unionsaludvida.com</t>
  </si>
  <si>
    <t>1007596228</t>
  </si>
  <si>
    <t>AURA CRISTINA NAVARRO CORONADO</t>
  </si>
  <si>
    <t>aura.navarro@unionsaludvida.com</t>
  </si>
  <si>
    <t>1037634655</t>
  </si>
  <si>
    <t>AURA CRISTINA ZAPATA SEPULVEDA</t>
  </si>
  <si>
    <t>aura.zapata@unionsaludvida.com</t>
  </si>
  <si>
    <t>1093793222</t>
  </si>
  <si>
    <t>Internista</t>
  </si>
  <si>
    <t>BEANNEY NATHALIE VILLEGAS JEREZ</t>
  </si>
  <si>
    <t>beanney.villegas@unionsaludvida.com</t>
  </si>
  <si>
    <t>1067948637</t>
  </si>
  <si>
    <t>BEATRIZ EUGENIA ORDOÑEZ SUAREZ</t>
  </si>
  <si>
    <t>beatriz.ordonez@unionsaludvida.com</t>
  </si>
  <si>
    <t>32852919</t>
  </si>
  <si>
    <t>BEDZAIDA MARGARITA REALES GUERRERO</t>
  </si>
  <si>
    <t>bedzaida.reales@unionsaludvida.com</t>
  </si>
  <si>
    <t>45529043</t>
  </si>
  <si>
    <t>BERTHA LILYBETH WATTS MARIN</t>
  </si>
  <si>
    <t>berta.watts@unionsaludvida.com</t>
  </si>
  <si>
    <t>1073813287</t>
  </si>
  <si>
    <t>BRAULIO ANTONIO CONTRERAS MARTINEZ</t>
  </si>
  <si>
    <t>auxiliarsaludmonteria@unionsaludvida.com</t>
  </si>
  <si>
    <t>1007918959</t>
  </si>
  <si>
    <t>BRAYAN CORREA PIZZA</t>
  </si>
  <si>
    <t>brayan.correa@unionsaludvida.com</t>
  </si>
  <si>
    <t>1041177391</t>
  </si>
  <si>
    <t>BRAYAN STIVEN SEPULVEDA ARIAS</t>
  </si>
  <si>
    <t>brayan.sepulveda@unionsaludvida.com</t>
  </si>
  <si>
    <t>1003405464</t>
  </si>
  <si>
    <t>BRENDA BERROCAL BRACAMONTE</t>
  </si>
  <si>
    <t>brenda.berrocal@unionsaludvida.com</t>
  </si>
  <si>
    <t>1015332305</t>
  </si>
  <si>
    <t>BRITHNEY PALACIO BOLIVAR</t>
  </si>
  <si>
    <t>auxiliarformacion@unionsaludvida.com</t>
  </si>
  <si>
    <t>1007795010</t>
  </si>
  <si>
    <t>CAMILA ANDREA ARGUMEDO LOBO</t>
  </si>
  <si>
    <t>auxiliarsaludmanrique@unionsaludvida.com</t>
  </si>
  <si>
    <t>1124076705</t>
  </si>
  <si>
    <t>CAMILA ANDREA ATENCIO CAMARGO</t>
  </si>
  <si>
    <t>camila.atencio@unionsaludvida.com</t>
  </si>
  <si>
    <t>1143405766</t>
  </si>
  <si>
    <t>CAMILA ANDREA BUELVAS DE LA ROSA</t>
  </si>
  <si>
    <t>camila.buelvas@unionsaludvida.com</t>
  </si>
  <si>
    <t>1000401189</t>
  </si>
  <si>
    <t>CAMILA ANDREA FERNANDEZ PEINADO</t>
  </si>
  <si>
    <t>camila.fernandez@unionsaludvida.com</t>
  </si>
  <si>
    <t>1072648283</t>
  </si>
  <si>
    <t>CAMILA ANDREA MARTINEZ TELLEZ</t>
  </si>
  <si>
    <t>camila.martinez@unionsaludvida.com</t>
  </si>
  <si>
    <t>1000193483</t>
  </si>
  <si>
    <t>CAMILA MARTINEZ BARRIENTOS</t>
  </si>
  <si>
    <t>camila.barrientos@unionsaludvida.com</t>
  </si>
  <si>
    <t>1007970945</t>
  </si>
  <si>
    <t>CAMILA ROCIO VALDELAMAR CABALLERO</t>
  </si>
  <si>
    <t>camila.valdelamar@unionsaludvida.com</t>
  </si>
  <si>
    <t>1000415548</t>
  </si>
  <si>
    <t>Central De Novedades</t>
  </si>
  <si>
    <t>CAMILA ROJO ZAPATA</t>
  </si>
  <si>
    <t>auxiliarcentral3@unionsaludvida.com</t>
  </si>
  <si>
    <t>1007370160</t>
  </si>
  <si>
    <t>Turbo</t>
  </si>
  <si>
    <t>CAMILA VELEZ TEHERAN</t>
  </si>
  <si>
    <t>camila.velez@unionsaludvida.com</t>
  </si>
  <si>
    <t>1014237413</t>
  </si>
  <si>
    <t>CAMILO ANDRES BERDUGO LOZANO</t>
  </si>
  <si>
    <t>camilo.berdugo@unionsaludvida.com</t>
  </si>
  <si>
    <t>1193542342</t>
  </si>
  <si>
    <t>CAMILO ANDRES CANAVAL RODRIGUEZ</t>
  </si>
  <si>
    <t>camilo.canaval@unionsaludvida.com</t>
  </si>
  <si>
    <t>1037661210</t>
  </si>
  <si>
    <t>CAMILO D ETORRE AGUIRRE</t>
  </si>
  <si>
    <t>camilo.dettorre@unionsaludvida.com</t>
  </si>
  <si>
    <t>1052974971</t>
  </si>
  <si>
    <t>CANDELARIA PATRICIA SOTO RAPALINO</t>
  </si>
  <si>
    <t>candelaria.soto@unionsaludvida.com</t>
  </si>
  <si>
    <t>1040755318</t>
  </si>
  <si>
    <t>CARDEÑO VELASQUEZ MARIA CAMILA</t>
  </si>
  <si>
    <t>maria.cardeno@unionsaludvida.com</t>
  </si>
  <si>
    <t>1037640698</t>
  </si>
  <si>
    <t>CARLA VALENTINA VANEGAS MARIN</t>
  </si>
  <si>
    <t>carla.vanegas@unionsaludvida.com</t>
  </si>
  <si>
    <t>1036682280</t>
  </si>
  <si>
    <t>CARLOS ALBERTO ESCOBAR MARTINEZ</t>
  </si>
  <si>
    <t>carlos.escobar@unionsaludvida.com</t>
  </si>
  <si>
    <t>15436142</t>
  </si>
  <si>
    <t>CARLOS ALBERTO FRANCO RESTREPO</t>
  </si>
  <si>
    <t>carlos.franco@unionsaludvida.com</t>
  </si>
  <si>
    <t>1152472382</t>
  </si>
  <si>
    <t>CARLOS ALBERTO URIBE ZULUAGA</t>
  </si>
  <si>
    <t>carlos.uribe@unionsaludvida.com</t>
  </si>
  <si>
    <t>72193053</t>
  </si>
  <si>
    <t>CARLOS ALBERTO VASQUEZ SERRANO</t>
  </si>
  <si>
    <t>carlos.vasquez@unionsaludvida.com</t>
  </si>
  <si>
    <t>71317684</t>
  </si>
  <si>
    <t>CARLOS ANDRES JARAMILLO QUIROZ</t>
  </si>
  <si>
    <t>carlos.jaramillo@unionsaludvida.com</t>
  </si>
  <si>
    <t>1003361835</t>
  </si>
  <si>
    <t>CARLOS ANDRES TEJADA ARGUMEDO</t>
  </si>
  <si>
    <t>carlos.tejada@unionsaludvida.com</t>
  </si>
  <si>
    <t>1085324058</t>
  </si>
  <si>
    <t>CARLOS ANDRES URBANO BRAVO</t>
  </si>
  <si>
    <t>carlos.urbano@unionsaludvida.com</t>
  </si>
  <si>
    <t>1096244249</t>
  </si>
  <si>
    <t>CARLOS EDUARDO LUNA ANDRADE</t>
  </si>
  <si>
    <t>carlos.luna@unionsaludvida.com</t>
  </si>
  <si>
    <t>1047391993</t>
  </si>
  <si>
    <t>CARLOS FABIAN RODRIGUEZ BETTIN</t>
  </si>
  <si>
    <t>carlos.rodriguez@unionsaludvida.com</t>
  </si>
  <si>
    <t>1017129784</t>
  </si>
  <si>
    <t>CARLOS MARIO FIGUEROA GARCIA</t>
  </si>
  <si>
    <t>lidercissanignacio@unionsaludvida.com</t>
  </si>
  <si>
    <t>1128418305</t>
  </si>
  <si>
    <t>CARLOS MARIO GARCIA GONZALEZ</t>
  </si>
  <si>
    <t>carlos.garcia@unionsaludvida.com</t>
  </si>
  <si>
    <t>8460424</t>
  </si>
  <si>
    <t>CARLOS MARIO JIMENEZ BETANCUR</t>
  </si>
  <si>
    <t>carlosjimenez.contratista@unionsaludvida.com</t>
  </si>
  <si>
    <t>98590207</t>
  </si>
  <si>
    <t>CARLOS MAURICIO PARRA TORO</t>
  </si>
  <si>
    <t>lidercisaranjuez@unionsaludvida.com</t>
  </si>
  <si>
    <t>1061685747</t>
  </si>
  <si>
    <t>CARLOS SEBASTIAN GONZALEZ GONZALEZ</t>
  </si>
  <si>
    <t>carlos.gonzalez@unionsaludvida.com</t>
  </si>
  <si>
    <t>1065579202</t>
  </si>
  <si>
    <t>CARLOS SOLIS SANTIAGO MEDELLIN</t>
  </si>
  <si>
    <t>carlos.santiago@unionsaludvida.com</t>
  </si>
  <si>
    <t>1044393706</t>
  </si>
  <si>
    <t>CARMEN CECILIA MOLINA MOLINARES</t>
  </si>
  <si>
    <t>carmen.molina@unionsaludvida.com</t>
  </si>
  <si>
    <t>1140818961</t>
  </si>
  <si>
    <t>CARMEN ELDA RUIZ PALMERA</t>
  </si>
  <si>
    <t>carmen.ruiz@unionsaludvida.com</t>
  </si>
  <si>
    <t>1077459343</t>
  </si>
  <si>
    <t>CARMEN GISELT SANCHEZ AGUDELO</t>
  </si>
  <si>
    <t>carmen.sanchez@unionsaludvida.com</t>
  </si>
  <si>
    <t>1143394119</t>
  </si>
  <si>
    <t>CARMEN MILENA MIRANDA CASTILLA</t>
  </si>
  <si>
    <t>carmen.miranda@unionsaludvida.com</t>
  </si>
  <si>
    <t>1001975885</t>
  </si>
  <si>
    <t>CAROLAIN DIEZ CARABALLO</t>
  </si>
  <si>
    <t>carolain.diez@unionsaludvida.com</t>
  </si>
  <si>
    <t>1007508800</t>
  </si>
  <si>
    <t>CAROLINA ANDREA PEREZ JIMENEZ</t>
  </si>
  <si>
    <t>carolina.perez@unionsaludvida.com</t>
  </si>
  <si>
    <t>1037645925</t>
  </si>
  <si>
    <t>CAROLINA CEBALLOS HOYOS</t>
  </si>
  <si>
    <t>carolina.ceballos@unionsaludvida.com</t>
  </si>
  <si>
    <t>1036967208</t>
  </si>
  <si>
    <t>CAROLINA ECHEVERRI URIBE</t>
  </si>
  <si>
    <t>carolina.echeverrri@unionsaludvida.com</t>
  </si>
  <si>
    <t>1089288302</t>
  </si>
  <si>
    <t>CAROLINA FLOREZ BURGOS</t>
  </si>
  <si>
    <t>carolina.burgos@unionsaludvida.com</t>
  </si>
  <si>
    <t>1069505986</t>
  </si>
  <si>
    <t>CAROLINA HERAZO ARROYO</t>
  </si>
  <si>
    <t>carolina.herazo@unionsaludvida.com</t>
  </si>
  <si>
    <t>1001236277</t>
  </si>
  <si>
    <t>El Retiro Los Robles</t>
  </si>
  <si>
    <t>CAROLINA LONDOÑO MARTINEZ</t>
  </si>
  <si>
    <t>carolina.londono@unionsaludvida.com</t>
  </si>
  <si>
    <t>1001018139</t>
  </si>
  <si>
    <t>CAROLINA LOPEZ FLOREZ</t>
  </si>
  <si>
    <t>carolina.florez@unionsaludvida.com</t>
  </si>
  <si>
    <t>1005663352</t>
  </si>
  <si>
    <t>CAROLINA MARIA ALEMAN HERNANDEZ</t>
  </si>
  <si>
    <t>carolina.aleman@unionsaludvida.com</t>
  </si>
  <si>
    <t>1000099090</t>
  </si>
  <si>
    <t>CAROLINA MAYA RENDON</t>
  </si>
  <si>
    <t>carolina.maya@unionsaludvida.com</t>
  </si>
  <si>
    <t>1020447783</t>
  </si>
  <si>
    <t>CAROLINA RIOS ARENAS</t>
  </si>
  <si>
    <t>carolina.rios@unionsaludvida.com</t>
  </si>
  <si>
    <t>1036683729</t>
  </si>
  <si>
    <t>CAROLINA RIVERA AREVALO</t>
  </si>
  <si>
    <t>carolina.rivera@unionsaludvida.com</t>
  </si>
  <si>
    <t>1036675646</t>
  </si>
  <si>
    <t>CAROLINA ROJAS BARROS</t>
  </si>
  <si>
    <t>carolina.barros@unionsaludvida.com</t>
  </si>
  <si>
    <t>32855849</t>
  </si>
  <si>
    <t>CAROLINA SMITH CERA SARMIENTO</t>
  </si>
  <si>
    <t>carolina.cera@unionsaludvida.com</t>
  </si>
  <si>
    <t>1000395784</t>
  </si>
  <si>
    <t>CATALINA ECHEVERRI ZAPATA</t>
  </si>
  <si>
    <t>catalina.echeverri@unionsaludvida.com</t>
  </si>
  <si>
    <t>32182537</t>
  </si>
  <si>
    <t>CATALINA GIL GALLEGO</t>
  </si>
  <si>
    <t>gestionasistenciallopezdemesa@unionsaludvida.com</t>
  </si>
  <si>
    <t>1039469545</t>
  </si>
  <si>
    <t>CATALINA HERRERA LOPERA</t>
  </si>
  <si>
    <t>liderciscaldas@unionsaludvida.com</t>
  </si>
  <si>
    <t>1003398632</t>
  </si>
  <si>
    <t>CATALINA MACEA BENITEZ</t>
  </si>
  <si>
    <t>catalina.macea@unionsaludvida.com</t>
  </si>
  <si>
    <t>1017218647</t>
  </si>
  <si>
    <t>CATHERINE VILLAMIZAR LONDOÑO</t>
  </si>
  <si>
    <t>catherine.villamizar@unionsaludvida.com</t>
  </si>
  <si>
    <t>21581066</t>
  </si>
  <si>
    <t>CECILIA USUGA GIRON</t>
  </si>
  <si>
    <t>cecilia.giron@unionsaludvida.com</t>
  </si>
  <si>
    <t>1140864276</t>
  </si>
  <si>
    <t>CHERYL DAYANNA GARCIA POLO</t>
  </si>
  <si>
    <t>cheryl.garcia@unionsaludvida.com</t>
  </si>
  <si>
    <t>1098722449</t>
  </si>
  <si>
    <t>CHRISTI TATIANA GARCES SALAMANCA</t>
  </si>
  <si>
    <t>christi.garces@unionsaludvida.com</t>
  </si>
  <si>
    <t>1140873093</t>
  </si>
  <si>
    <t>CIELO ZENITH DE LA LIBERTAD SANTANA SANTANA</t>
  </si>
  <si>
    <t>cielo.santana@unionsaludvida.com</t>
  </si>
  <si>
    <t>1017124469</t>
  </si>
  <si>
    <t>Auxiliar En Seguridad Y Salud En El Trabajo</t>
  </si>
  <si>
    <t>CINDIA ROMERO QUINTERO</t>
  </si>
  <si>
    <t>cindia.romero@unionsaludvida.com</t>
  </si>
  <si>
    <t>1193370054</t>
  </si>
  <si>
    <t>CINDY JOHANA ORTEGA TRUJILLO</t>
  </si>
  <si>
    <t>cindy.ortega@unionsaludvida.com</t>
  </si>
  <si>
    <t>1010137301</t>
  </si>
  <si>
    <t>Especialistas Admon</t>
  </si>
  <si>
    <t>CINDY PAOLA SAMPAYO ALVAREZ</t>
  </si>
  <si>
    <t>cindy.sampayo@unionsaludvida.com</t>
  </si>
  <si>
    <t>1000549306</t>
  </si>
  <si>
    <t>CLARA DAYIANA LONDOÑO URIBE</t>
  </si>
  <si>
    <t>clara.londono@unionsaludvida.com</t>
  </si>
  <si>
    <t>1017270154</t>
  </si>
  <si>
    <t>CLARA VALENTINA CUADRO VIECO</t>
  </si>
  <si>
    <t>clara.cuadro@unionsaludvida.com</t>
  </si>
  <si>
    <t>1016033270</t>
  </si>
  <si>
    <t>CLARIBETH VASQUEZ TORREJANO</t>
  </si>
  <si>
    <t>claribeth.vasquez@unionsaludvida.com</t>
  </si>
  <si>
    <t>1128059700</t>
  </si>
  <si>
    <t>CLAUDIA PATRICIA CASTILLA PEÑA</t>
  </si>
  <si>
    <t>claudia.castilla@unionsaludvida.com</t>
  </si>
  <si>
    <t>43628138</t>
  </si>
  <si>
    <t>CORA IBETH URREGO DITTA</t>
  </si>
  <si>
    <t>cora.urrego@unionsaludvida.com</t>
  </si>
  <si>
    <t>1017270214</t>
  </si>
  <si>
    <t>CRISS DAHIANA ARRIETA GUERRA</t>
  </si>
  <si>
    <t>criss.arrieta@unionsaludvida.com</t>
  </si>
  <si>
    <t>1152699151</t>
  </si>
  <si>
    <t>Proyectos Valle De Aburra Admon</t>
  </si>
  <si>
    <t>CRISTHIAN CAMILO CAICA BECERRA</t>
  </si>
  <si>
    <t>liderciscordoba@unionsaludvida.com</t>
  </si>
  <si>
    <t>1140861663</t>
  </si>
  <si>
    <t>CRISTIAN ANDRES LEDESMA VARGAS</t>
  </si>
  <si>
    <t>cristian.ledesma@unionsaludvida.com</t>
  </si>
  <si>
    <t>1001478953</t>
  </si>
  <si>
    <t>CRISTIAN CAMILO CALVACHE SEPULVEDA</t>
  </si>
  <si>
    <t>cristian.calvache@unionsaludvida.com</t>
  </si>
  <si>
    <t>1019092271</t>
  </si>
  <si>
    <t>CRISTIAN DAVID BELTRAN BELTRAN</t>
  </si>
  <si>
    <t>cristian.beltran@unionsaludvida.com</t>
  </si>
  <si>
    <t>1003459576</t>
  </si>
  <si>
    <t>CRISTIAN DAVID GUERRERO ANAYA</t>
  </si>
  <si>
    <t>cristian.guerrero@unionsaludvida.com</t>
  </si>
  <si>
    <t>1143268479</t>
  </si>
  <si>
    <t>CRISTINA DE JESUS PORTILLO MONTERROSA</t>
  </si>
  <si>
    <t>cristina.portillo@unionsaludvida.com</t>
  </si>
  <si>
    <t>1152438419</t>
  </si>
  <si>
    <t>CRISTINA DUQUE VELEZ</t>
  </si>
  <si>
    <t>cristina.duque@unionsaludvida.com</t>
  </si>
  <si>
    <t>1028005794</t>
  </si>
  <si>
    <t>CRISTINA ESTEFANIA NOREÑA BENITES</t>
  </si>
  <si>
    <t>cristina.norena@unionsaludvida.com</t>
  </si>
  <si>
    <t>1002242683</t>
  </si>
  <si>
    <t>CRISTINA ISABELA EALO CARDONA</t>
  </si>
  <si>
    <t>cristina.ealo@unionsaludvida.com</t>
  </si>
  <si>
    <t>1037603470</t>
  </si>
  <si>
    <t>CYNTHIA LORENA OSSABA QUINTERO</t>
  </si>
  <si>
    <t>cynthia.ossaba@unionsaludvida.com</t>
  </si>
  <si>
    <t>1036688615</t>
  </si>
  <si>
    <t>DAHIANA RESTREPO BAENA</t>
  </si>
  <si>
    <t>dahiana.restrepo@unionsaludvida.com</t>
  </si>
  <si>
    <t>1067888156</t>
  </si>
  <si>
    <t>Dermatologo</t>
  </si>
  <si>
    <t>DAILYN DANITH PÉREZ PASTRANA</t>
  </si>
  <si>
    <t>dailynperez.contratista@unionsaludvida.com</t>
  </si>
  <si>
    <t>11000408</t>
  </si>
  <si>
    <t>DAIRO MANUEL VASQUEZ GERMAN</t>
  </si>
  <si>
    <t>dairo.vasquez@unionsaludvida.com</t>
  </si>
  <si>
    <t>1073998675</t>
  </si>
  <si>
    <t>DAIRY YISETH MENA SUAREZ</t>
  </si>
  <si>
    <t>dairy.mena@unionsaludvida.com</t>
  </si>
  <si>
    <t>32240269</t>
  </si>
  <si>
    <t>DANGELA KARINA RODRIGUEZ MOSQUERA</t>
  </si>
  <si>
    <t>dangela.rodriguez@unionsaludvida.com</t>
  </si>
  <si>
    <t>1037650793</t>
  </si>
  <si>
    <t>DANIEL DAVID CALDERON NEGRETE</t>
  </si>
  <si>
    <t>daniel.calderon@unionsaludvida.com</t>
  </si>
  <si>
    <t>1017235294</t>
  </si>
  <si>
    <t>DANIEL ENRIQUE JARAMILLO MEJIA</t>
  </si>
  <si>
    <t>daniel.jaramillo@unionsaludvida.com</t>
  </si>
  <si>
    <t>1001028386</t>
  </si>
  <si>
    <t>DANIEL ESTEBAN RUIZ MESA</t>
  </si>
  <si>
    <t>daniel.ruiz@unionsaludvida.com</t>
  </si>
  <si>
    <t>1035227846</t>
  </si>
  <si>
    <t>DANIEL FELIPE AGUDELO ESCOBAR</t>
  </si>
  <si>
    <t>daniel.agudelo@unionsaludvida.com</t>
  </si>
  <si>
    <t>71788315</t>
  </si>
  <si>
    <t>Financiera</t>
  </si>
  <si>
    <t>Director Administrativo y Financiero</t>
  </si>
  <si>
    <t>DANIEL GONZALO PEALEZ ARANGO</t>
  </si>
  <si>
    <t>daniel.pelaez@unionsaludvida.com</t>
  </si>
  <si>
    <t>1020487057</t>
  </si>
  <si>
    <t>DANIEL STIVEN RESTREPO VASQUEZ</t>
  </si>
  <si>
    <t>daniel.vasquez@unionsaludvida.com</t>
  </si>
  <si>
    <t>1017246163</t>
  </si>
  <si>
    <t>DANIEL STIVEN VELILLA AGUIRRE</t>
  </si>
  <si>
    <t>daniel.velilla@unionsaludvida.com</t>
  </si>
  <si>
    <t>1193568094</t>
  </si>
  <si>
    <t>DANIELA ALEJANDRA TABORDA CARDONA</t>
  </si>
  <si>
    <t>alejandra.taborda@unionsaludvida.com</t>
  </si>
  <si>
    <t>1001456402</t>
  </si>
  <si>
    <t>DANIELA ALEXANDRA MUÑOZ PELAEZ</t>
  </si>
  <si>
    <t>alexandra.pelaez@unionsaludvida.com</t>
  </si>
  <si>
    <t>1023802526</t>
  </si>
  <si>
    <t>DANIELA ANDREA AREIZA MAZO</t>
  </si>
  <si>
    <t>auxiliarsaludrionegro@unionsaludvida.com</t>
  </si>
  <si>
    <t>1214738770</t>
  </si>
  <si>
    <t>DANIELA BEDOYA MUÑETON</t>
  </si>
  <si>
    <t>daniela.muneton@unionsaludvida.com</t>
  </si>
  <si>
    <t>1128272024</t>
  </si>
  <si>
    <t>DANIELA CADAVID PELAEZ</t>
  </si>
  <si>
    <t>daniela.pelaez@unionsaludvida.com</t>
  </si>
  <si>
    <t>1017241099</t>
  </si>
  <si>
    <t>DANIELA CARDENAS PEREZ</t>
  </si>
  <si>
    <t>daniela.cardenas@unionsaludvida.com</t>
  </si>
  <si>
    <t>1004699246</t>
  </si>
  <si>
    <t>DANIELA CARDONA BUITRAGO</t>
  </si>
  <si>
    <t>daniela.cardona@unionsaludvida.com</t>
  </si>
  <si>
    <t>1083017729</t>
  </si>
  <si>
    <t>DANIELA CAROLINA FLOREZ CAMACHO</t>
  </si>
  <si>
    <t>daniela.florez@unionsaludvida.com</t>
  </si>
  <si>
    <t>1127950951</t>
  </si>
  <si>
    <t>DANIELA CAROLINA VILLALBA CELLI</t>
  </si>
  <si>
    <t>daniela.villalba@unionsaludvida.com</t>
  </si>
  <si>
    <t>1001817910</t>
  </si>
  <si>
    <t>DANIELA CHALITA FERNANDEZ</t>
  </si>
  <si>
    <t>daniela.chalita@unionsaludvida.com</t>
  </si>
  <si>
    <t>1007763804</t>
  </si>
  <si>
    <t>DANIELA DEL CARMEN MARTINEZ PAYARES</t>
  </si>
  <si>
    <t>daniela.payares@unionsaludvida.com</t>
  </si>
  <si>
    <t>1065809450</t>
  </si>
  <si>
    <t>DANIELA DEL CARMEN OSPINO ACOSTA</t>
  </si>
  <si>
    <t>daniela.ospino@unionsaludvida.com</t>
  </si>
  <si>
    <t>1084253148</t>
  </si>
  <si>
    <t>DANIELA DEL PILAR CERON ORDOÑEZ</t>
  </si>
  <si>
    <t>daniela.ceron@unionsaludvida.com</t>
  </si>
  <si>
    <t>1017204053</t>
  </si>
  <si>
    <t>DANIELA DEOSSA PIEDRAHITA</t>
  </si>
  <si>
    <t>daniela.deossa@unionsaludvida.com</t>
  </si>
  <si>
    <t>1020808071</t>
  </si>
  <si>
    <t>DANIELA EDITH BOTIA SUESCUN</t>
  </si>
  <si>
    <t>daniela.botia@unionsaludvida.com</t>
  </si>
  <si>
    <t>1152457601</t>
  </si>
  <si>
    <t>DANIELA GIL MIRA</t>
  </si>
  <si>
    <t>daniela.gil@unionsaludvida.com</t>
  </si>
  <si>
    <t>1060653164</t>
  </si>
  <si>
    <t>DANIELA ISABEL VERGARA ALMANZA</t>
  </si>
  <si>
    <t>daniela.vergara@unionsaludvida.com</t>
  </si>
  <si>
    <t>1094936246</t>
  </si>
  <si>
    <t>Pediatra</t>
  </si>
  <si>
    <t>DANIELA LONDOÑO CAÑAS</t>
  </si>
  <si>
    <t>daniela.londono@unionsaludvida.com</t>
  </si>
  <si>
    <t>1033342587</t>
  </si>
  <si>
    <t>Analista Nomina</t>
  </si>
  <si>
    <t>DANIELA LOPERA HERRERA</t>
  </si>
  <si>
    <t>nomina@unionsaludvida.com</t>
  </si>
  <si>
    <t>1047442961</t>
  </si>
  <si>
    <t>DANIELA LUCIA VERBEL PEREZ</t>
  </si>
  <si>
    <t>daniela.verbel@unionsaludvida.com</t>
  </si>
  <si>
    <t>1143404906</t>
  </si>
  <si>
    <t>DANIELA MARGARITA ESTREMOR PINO</t>
  </si>
  <si>
    <t>daniela.estremor@unionsaludvida.com</t>
  </si>
  <si>
    <t>1004285183</t>
  </si>
  <si>
    <t>DANIELA MARIA ORDOÑEZ PALENCIA</t>
  </si>
  <si>
    <t>daniela.ordonez@unionsaludvida.com</t>
  </si>
  <si>
    <t>1152208665</t>
  </si>
  <si>
    <t>DANIELA MARTINEZ BOUHOT</t>
  </si>
  <si>
    <t>daniela.bouhot@unionsaludvida.com</t>
  </si>
  <si>
    <t>1037640774</t>
  </si>
  <si>
    <t>DANIELA MARTINEZ RIVERA</t>
  </si>
  <si>
    <t>daniela.martinez@unionsaludvida.com</t>
  </si>
  <si>
    <t>1036670630</t>
  </si>
  <si>
    <t>DANIELA MAYO MARIN</t>
  </si>
  <si>
    <t>daniela.mayo@unionsaludvida.com</t>
  </si>
  <si>
    <t>1152211605</t>
  </si>
  <si>
    <t>DANIELA MUÑOZ LOAIZA</t>
  </si>
  <si>
    <t>daniela.munoz@unionsaludvida.com</t>
  </si>
  <si>
    <t>1037525218</t>
  </si>
  <si>
    <t>DANIELA OCHOA ARBELAEZ</t>
  </si>
  <si>
    <t>daniela.ochoa@unionsaludvida.com</t>
  </si>
  <si>
    <t>1017224143</t>
  </si>
  <si>
    <t>DANIELA OSORIO HERNANDEZ</t>
  </si>
  <si>
    <t>daniela.osorio@unionsaludvida.com</t>
  </si>
  <si>
    <t>1010237418</t>
  </si>
  <si>
    <t>DANIELA PABON PABON</t>
  </si>
  <si>
    <t>daniela.pabon@unionsaludvida.com</t>
  </si>
  <si>
    <t>1102884373</t>
  </si>
  <si>
    <t>DANIELA PEREZ MADERA</t>
  </si>
  <si>
    <t>lidercismonteria@unionsaludvida.com</t>
  </si>
  <si>
    <t>1128283058</t>
  </si>
  <si>
    <t>DANIELA QUINCHIA JARAMILLO</t>
  </si>
  <si>
    <t>daniela.jaramillo@unionsaludvida.com</t>
  </si>
  <si>
    <t>1065664047</t>
  </si>
  <si>
    <t>DANIELA REYES YEPES</t>
  </si>
  <si>
    <t>daniela.reyes@unionsaludvida.com</t>
  </si>
  <si>
    <t>1000532653</t>
  </si>
  <si>
    <t>DANIELA RODRIGUEZ SIERRA</t>
  </si>
  <si>
    <t>danielarodriguez.sierra@unionsaludvida.com</t>
  </si>
  <si>
    <t>1037642463</t>
  </si>
  <si>
    <t>DANIELA ROJAS SOSSA</t>
  </si>
  <si>
    <t>daniela.sossa@unionsaludvida.com</t>
  </si>
  <si>
    <t>1000083810</t>
  </si>
  <si>
    <t>DANIELA RUIZ FRANCO</t>
  </si>
  <si>
    <t>daniela.ruiz@unionsaludvida.com</t>
  </si>
  <si>
    <t>1000886893</t>
  </si>
  <si>
    <t>DANIELA TABORDA VELASQUEZ</t>
  </si>
  <si>
    <t>danielataborda.velasquez@unionsaludvida.com</t>
  </si>
  <si>
    <t>1013660730</t>
  </si>
  <si>
    <t>DANIELA VARGAS GOMEZ</t>
  </si>
  <si>
    <t>daniela.vargas@unionsaludvida.com</t>
  </si>
  <si>
    <t>1152443144</t>
  </si>
  <si>
    <t>DANIELA ZAPATA FRANCO</t>
  </si>
  <si>
    <t>daniela.franco@unionsaludvida.com</t>
  </si>
  <si>
    <t>1017209928</t>
  </si>
  <si>
    <t>DANIELA ZAPATA HERRERA</t>
  </si>
  <si>
    <t>daniela.zapata@unionsaludvida.com</t>
  </si>
  <si>
    <t>1004354407</t>
  </si>
  <si>
    <t>DANIELA ZORAIDA GUETTE PABON</t>
  </si>
  <si>
    <t>daniela.guette@unionsaludvida.com</t>
  </si>
  <si>
    <t>DANILO ARMANDO ARGOTE BOLAÑOS</t>
  </si>
  <si>
    <t>danilo.argote@unionsaludvida.com</t>
  </si>
  <si>
    <t>1010108820</t>
  </si>
  <si>
    <t>DANNA ISABELLA AGUIAR FORONDA</t>
  </si>
  <si>
    <t>danna.aguiar@unionsaludvida.com</t>
  </si>
  <si>
    <t>1020471990</t>
  </si>
  <si>
    <t>DANNA JULIETH SUAZA ROLDAN</t>
  </si>
  <si>
    <t>danna.suaza@unionsaludvida.com</t>
  </si>
  <si>
    <t>1007959441</t>
  </si>
  <si>
    <t>DANNA PAOLA OVIEDO CABRERA</t>
  </si>
  <si>
    <t>danna.oviedo@unionsaludvida.com</t>
  </si>
  <si>
    <t>1002031566</t>
  </si>
  <si>
    <t>DANNA SOPHIA BURGOS RUIZ</t>
  </si>
  <si>
    <t>danna.burgos@unionsaludvida.com</t>
  </si>
  <si>
    <t>1152201127</t>
  </si>
  <si>
    <t>DANNIEL STEVEN JARAMILLO AGUDELO</t>
  </si>
  <si>
    <t>danniel.jaramillo@unionsaludvida.com</t>
  </si>
  <si>
    <t>1193429408</t>
  </si>
  <si>
    <t>DARCY JULIETH MORENO SANCHEZ</t>
  </si>
  <si>
    <t>darcy.moreno@unionsaludvida.com</t>
  </si>
  <si>
    <t>1048266834</t>
  </si>
  <si>
    <t>DARIO RAFAEL MANGA PUERTA</t>
  </si>
  <si>
    <t>dario.manga@unionsaludvida.com</t>
  </si>
  <si>
    <t>1069500505</t>
  </si>
  <si>
    <t>DARLENY ANDREA PARRA VERGARA</t>
  </si>
  <si>
    <t>darleny.parra@unionsaludvida.com</t>
  </si>
  <si>
    <t>43895752</t>
  </si>
  <si>
    <t>DARLY MARGARITA RODAS CARMONA</t>
  </si>
  <si>
    <t>darly.rodas@unionsaludvida.com</t>
  </si>
  <si>
    <t>71388943</t>
  </si>
  <si>
    <t>Tics</t>
  </si>
  <si>
    <t>Auxiliar Tic</t>
  </si>
  <si>
    <t>DARWIN ANTONIO LOPEZ ACEVEDO</t>
  </si>
  <si>
    <t>soporte@unionsaludvida.com</t>
  </si>
  <si>
    <t>1000416383</t>
  </si>
  <si>
    <t>DAVID ALEJANDRO LOPEZ ALARCON</t>
  </si>
  <si>
    <t>david.alarcon@unionsaludvida.com</t>
  </si>
  <si>
    <t>1214735803</t>
  </si>
  <si>
    <t>DAVID ANTONIO MEJIA CASTRO</t>
  </si>
  <si>
    <t>david.mejia@unionsaludvida.com</t>
  </si>
  <si>
    <t>1000935031</t>
  </si>
  <si>
    <t>DAVID AUGUSTO ROJAS BARRETO</t>
  </si>
  <si>
    <t>david.barreto@unionsaludvida.com</t>
  </si>
  <si>
    <t>1002030124</t>
  </si>
  <si>
    <t>DAVID ENRIQUE PAVA SANCHEZ</t>
  </si>
  <si>
    <t>david.pava@unionsaludvida.com</t>
  </si>
  <si>
    <t>1026149657</t>
  </si>
  <si>
    <t>DAVID GIRALDO OSSA</t>
  </si>
  <si>
    <t>david.giraldo@unionsaludvida.com</t>
  </si>
  <si>
    <t>1017170892</t>
  </si>
  <si>
    <t>DAVID IGNACIO MONROY GARCIA</t>
  </si>
  <si>
    <t>david.monroy@unionsaludvida.com</t>
  </si>
  <si>
    <t>1233193727</t>
  </si>
  <si>
    <t>DAVID SANTIAGO GUERRERO DORADO</t>
  </si>
  <si>
    <t>david.guerrero@unionsaludvida.com</t>
  </si>
  <si>
    <t>1000294973</t>
  </si>
  <si>
    <t>DAVID SANTIAGO MORALES VANEGAS</t>
  </si>
  <si>
    <t>david.morales@unionsaludvida.com</t>
  </si>
  <si>
    <t>1003083272</t>
  </si>
  <si>
    <t>DAYANA ANDREA MORENO MAZO</t>
  </si>
  <si>
    <t>dayana.mazo@unionsaludvida.com</t>
  </si>
  <si>
    <t>1002159701</t>
  </si>
  <si>
    <t>DAYANA BRISSET OSORIO URBINA</t>
  </si>
  <si>
    <t>dayana.osorio@unionsaludvida.com</t>
  </si>
  <si>
    <t>1003033764</t>
  </si>
  <si>
    <t>DAYANA HERNANDEZ HERNANDEZ</t>
  </si>
  <si>
    <t>dayana.hernandez@unionsaludvida.com</t>
  </si>
  <si>
    <t>1039460226</t>
  </si>
  <si>
    <t>DEICY JULIETH AGUIRRE GRAJALES</t>
  </si>
  <si>
    <t>gestionasistencialsanignacio@unionsaludvida.com</t>
  </si>
  <si>
    <t>43998614</t>
  </si>
  <si>
    <t>DEISSY LORENA GIRALDO MIRANDA</t>
  </si>
  <si>
    <t>deissy.giraldo@unionsaludvida.com</t>
  </si>
  <si>
    <t>1045017347</t>
  </si>
  <si>
    <t>DEISY MARIBEL ALZATE RAMIREZ</t>
  </si>
  <si>
    <t>deisy.alzate@unionsaludvida.com</t>
  </si>
  <si>
    <t>1140891109</t>
  </si>
  <si>
    <t>DENNIS ISABEL SANABRIA GOMEZ</t>
  </si>
  <si>
    <t>dennis.sanabria@unionsaludvida.com</t>
  </si>
  <si>
    <t>32353449</t>
  </si>
  <si>
    <t>DEYSI MILLERLADY ARCILA ARBOLEDA</t>
  </si>
  <si>
    <t>deysi.arcila@unionsaludvida.com</t>
  </si>
  <si>
    <t>1019124595</t>
  </si>
  <si>
    <t>DIANA CAROLINA MACIAS GARCIA</t>
  </si>
  <si>
    <t>diana.macias@unionsaludvida.com</t>
  </si>
  <si>
    <t>1006820526</t>
  </si>
  <si>
    <t>DIANA CAROLINA OREJUELA LOPEZ</t>
  </si>
  <si>
    <t>diana.orejuela@unionsaludvida.com</t>
  </si>
  <si>
    <t>43986125</t>
  </si>
  <si>
    <t>DIANA CAROLINA PINEDA LEON</t>
  </si>
  <si>
    <t>diana.pineda@unionsaludvida.com</t>
  </si>
  <si>
    <t>43271257</t>
  </si>
  <si>
    <t>DIANA ECHAVARRIA BETANCOURT</t>
  </si>
  <si>
    <t>diana.betancourt@unionsaludvida.com</t>
  </si>
  <si>
    <t>1036403838</t>
  </si>
  <si>
    <t>DIANA ISABEL ALZATE VALENCIA</t>
  </si>
  <si>
    <t>diana.alzate@unionsaludvida.com</t>
  </si>
  <si>
    <t>1098793822</t>
  </si>
  <si>
    <t>DIANA JULIANA PABON GRISALES</t>
  </si>
  <si>
    <t>diana.pabon@unionsaludvida.com</t>
  </si>
  <si>
    <t>1010135017</t>
  </si>
  <si>
    <t>DIANA LUCIA MANGA URIBE</t>
  </si>
  <si>
    <t>diana.manga@unionsaludvida.com</t>
  </si>
  <si>
    <t>1060269497</t>
  </si>
  <si>
    <t>DIANA LUCIA NOREÑA GUTIERREZ</t>
  </si>
  <si>
    <t>diana.norena@unionsaludvida.com</t>
  </si>
  <si>
    <t>1098655023</t>
  </si>
  <si>
    <t>DIANA MARCELA HERRERA FLOREZ</t>
  </si>
  <si>
    <t>diana.florez@unionsaludvida.com</t>
  </si>
  <si>
    <t>1065823887</t>
  </si>
  <si>
    <t>DIANA MARCELA MENDEZ PINTO</t>
  </si>
  <si>
    <t>diana.pinto@unionsaludvida.com</t>
  </si>
  <si>
    <t>59310511</t>
  </si>
  <si>
    <t>DIANA MARGOTH SOLARTE DAVID</t>
  </si>
  <si>
    <t>diana.solarte@unionsaludvida.com</t>
  </si>
  <si>
    <t>1140876076</t>
  </si>
  <si>
    <t>DIANELA MARTINEZ CORRALES</t>
  </si>
  <si>
    <t>dianela.martinez@unionsaludvida.com</t>
  </si>
  <si>
    <t>1093792601</t>
  </si>
  <si>
    <t>DIANNY PATRICIA CONSUEGRA MORA</t>
  </si>
  <si>
    <t>dianny.consuegra@unionsaludvida.com</t>
  </si>
  <si>
    <t>88261537</t>
  </si>
  <si>
    <t>DIEGO ALEJANDRO PEREZ GRISALES</t>
  </si>
  <si>
    <t>diego.perez@unionsaludvida.com</t>
  </si>
  <si>
    <t>1089718115</t>
  </si>
  <si>
    <t>DIEGO ALEJANDRO ROMERO JARAMILLO</t>
  </si>
  <si>
    <t>diego.romero@unionsaludvida.com</t>
  </si>
  <si>
    <t>1152713275</t>
  </si>
  <si>
    <t>DIEGO ALEXANDER ARROYAVE ORDOÑEZ</t>
  </si>
  <si>
    <t>diego.arroyave@unionsaludvida.com</t>
  </si>
  <si>
    <t>1042455156</t>
  </si>
  <si>
    <t>DIEGO LEONARDO HERNANDEZ BELTRAN</t>
  </si>
  <si>
    <t>diego.hernandez@unionsaludvida.com</t>
  </si>
  <si>
    <t>32845327</t>
  </si>
  <si>
    <t>DIOSOTIS MARIA GUTIERREZ HERNANDEZ</t>
  </si>
  <si>
    <t>diosotis.gutierrez@unionsaludvida.com</t>
  </si>
  <si>
    <t>59686809</t>
  </si>
  <si>
    <t>DOLIS ATHALA MOSQUERA DEL CASTILLO</t>
  </si>
  <si>
    <t>dolis.mosquera@unionsaludvida.com</t>
  </si>
  <si>
    <t>1018513750</t>
  </si>
  <si>
    <t>DONALDO ALBERTO DIAZ RUIZ</t>
  </si>
  <si>
    <t>donaldo.diaz@unionsaludvida.com</t>
  </si>
  <si>
    <t>71788548</t>
  </si>
  <si>
    <t>DOUGLAS ROJAS TRIANA</t>
  </si>
  <si>
    <t>douglas.triana@unionsaludvida.com</t>
  </si>
  <si>
    <t>1036633827</t>
  </si>
  <si>
    <t>DREIDY CATERINE CASTAÑEDA CATAÑO</t>
  </si>
  <si>
    <t>dreidy.castaneda@unionsaludvida.com</t>
  </si>
  <si>
    <t>1026134762</t>
  </si>
  <si>
    <t>EBELIN YALENA ARROYAVE MARTINEZ</t>
  </si>
  <si>
    <t>ebelin.arroyave@unionsaludvida.com</t>
  </si>
  <si>
    <t>1007508679</t>
  </si>
  <si>
    <t>EDER DAVID BRUN HOYOS</t>
  </si>
  <si>
    <t>eder.brun@unionsaludvida.com</t>
  </si>
  <si>
    <t>15701454</t>
  </si>
  <si>
    <t>EDER VICENTE SOCARRAS MENDOZA</t>
  </si>
  <si>
    <t>eder.socarras@unionsaludvida.com</t>
  </si>
  <si>
    <t>19380173</t>
  </si>
  <si>
    <t>EDGAR ARMANDO ARCE MONTENEGRO</t>
  </si>
  <si>
    <t>edgar.arce@unionsaludvida.com</t>
  </si>
  <si>
    <t>EDISON ALEJANDRO JARAMILLO LONDOÑO</t>
  </si>
  <si>
    <t>edison.jaramillo@unionsaludvida.com</t>
  </si>
  <si>
    <t>71379949</t>
  </si>
  <si>
    <t>EDISON ANDRES TAVERA AGUDELO</t>
  </si>
  <si>
    <t>edison.tavera@unionsaludvida.com</t>
  </si>
  <si>
    <t>1214716097</t>
  </si>
  <si>
    <t>EDISSON DANIEL BRAVO CORREA</t>
  </si>
  <si>
    <t>edisson.bravo@unionsaludvida.com</t>
  </si>
  <si>
    <t>15441296</t>
  </si>
  <si>
    <t>Lider Financiero</t>
  </si>
  <si>
    <t>EDWIN ANDRES ARIAS HENAO</t>
  </si>
  <si>
    <t>andres.arias@unionsaludvida.com</t>
  </si>
  <si>
    <t>1000659876</t>
  </si>
  <si>
    <t>EDWIN HERNANDEZ SERNA</t>
  </si>
  <si>
    <t>edwin.hernandez@unionsaludvida.com</t>
  </si>
  <si>
    <t>1068669772</t>
  </si>
  <si>
    <t>ELI SANDRITH FALON URAN</t>
  </si>
  <si>
    <t>eli.falon@unionsaludvida.com</t>
  </si>
  <si>
    <t>43797125</t>
  </si>
  <si>
    <t>ELIANA CRISTINA VERGARA CANO</t>
  </si>
  <si>
    <t>eliana.vergara@unionsaludvida.com</t>
  </si>
  <si>
    <t>1002059980</t>
  </si>
  <si>
    <t>ELIANA MARCELA DEL CASTILLO CASTILLA</t>
  </si>
  <si>
    <t>eliana.castillo@unionsaludvida.com</t>
  </si>
  <si>
    <t>1062426289</t>
  </si>
  <si>
    <t>ELIANA MARIA DIAZ SANTOS</t>
  </si>
  <si>
    <t>auxiliarsaludfabricato@unionsaludvida.com</t>
  </si>
  <si>
    <t>1003305205</t>
  </si>
  <si>
    <t>ELIANA MARIA PACHECO TOVIO</t>
  </si>
  <si>
    <t>eliana.pacheco@unionsaludvida.com</t>
  </si>
  <si>
    <t>1037636858</t>
  </si>
  <si>
    <t>Medicina Funcional Operativo</t>
  </si>
  <si>
    <t>ELIANA MUÑOZ ALZATE</t>
  </si>
  <si>
    <t>eliana.munoz@unionsaludvida.com</t>
  </si>
  <si>
    <t>1129516553</t>
  </si>
  <si>
    <t>ELIETH DEL AMPARO VERGARA BUELVAS</t>
  </si>
  <si>
    <t>elieth.vergara@unionsaludvida.com</t>
  </si>
  <si>
    <t>1000291050</t>
  </si>
  <si>
    <t>ELISA HINCAPIE GOMEZ</t>
  </si>
  <si>
    <t>elisa.hincapie@unionsaludvida.com</t>
  </si>
  <si>
    <t>1007396185</t>
  </si>
  <si>
    <t>ELISA SOFIA REGINO LAFONT</t>
  </si>
  <si>
    <t>eliza.regino@unionsaludvida.com</t>
  </si>
  <si>
    <t>1001538862</t>
  </si>
  <si>
    <t>ELIZABETH ARIAS VELEZ</t>
  </si>
  <si>
    <t>elizabeth.arias@unionsaludvida.com</t>
  </si>
  <si>
    <t>1020408599</t>
  </si>
  <si>
    <t>Direccion Asistencial</t>
  </si>
  <si>
    <t>Director Asistencial</t>
  </si>
  <si>
    <t>ELIZABETH CORREA GONZALEZ</t>
  </si>
  <si>
    <t>direccionasistencial@unionsaludvida.com</t>
  </si>
  <si>
    <t>1002157926</t>
  </si>
  <si>
    <t>ELIZABETH MORALES MENDOZA</t>
  </si>
  <si>
    <t>elizabeth.mendoza@unionsaludvida.com</t>
  </si>
  <si>
    <t>1037658372</t>
  </si>
  <si>
    <t>ELKIN DAVID VARGAS WIENAND</t>
  </si>
  <si>
    <t>elkin.vargas@unionsaludvida.com</t>
  </si>
  <si>
    <t>1193454765</t>
  </si>
  <si>
    <t>ELLOTH ERNESTO TAMARA CONTRERAS</t>
  </si>
  <si>
    <t>elloth.tamara@unionsaludvida.com</t>
  </si>
  <si>
    <t>La Estrella Central De Servicios Sur</t>
  </si>
  <si>
    <t>1001445343</t>
  </si>
  <si>
    <t>EMANUEL TOBON HERNANDEZ</t>
  </si>
  <si>
    <t>emanuel.tobon@unionsaludvida.com</t>
  </si>
  <si>
    <t>1048222166</t>
  </si>
  <si>
    <t>EMIL GONZALO NIETO SARMIENTO</t>
  </si>
  <si>
    <t>emil.nieto@unionsaludvida.com</t>
  </si>
  <si>
    <t>1214734834</t>
  </si>
  <si>
    <t>EMILY ANGEL MORALES</t>
  </si>
  <si>
    <t>emily.angel@unionsaludvida.com</t>
  </si>
  <si>
    <t>1095832090</t>
  </si>
  <si>
    <t>EMMA PATRICIA PERRONY CALVO</t>
  </si>
  <si>
    <t>emma.perrony@unionsaludvida.com</t>
  </si>
  <si>
    <t>1001947708</t>
  </si>
  <si>
    <t>EMMANUEL SANTIAGO BORRERO ALANDETE</t>
  </si>
  <si>
    <t>emmanuel.borrero@unionsaludvida.com</t>
  </si>
  <si>
    <t>1017241980</t>
  </si>
  <si>
    <t>EMMANUELA MOLINA TABARES</t>
  </si>
  <si>
    <t>emmanuela.molina@unionsaludvida.com</t>
  </si>
  <si>
    <t>1036677539</t>
  </si>
  <si>
    <t>ENIDT DAHIANA HOYOS MONTOYA</t>
  </si>
  <si>
    <t>enidt.montoya@unionsaludvida.com</t>
  </si>
  <si>
    <t>1083567466</t>
  </si>
  <si>
    <t>ERICK FABIAN SARMIENTO RUDOLF</t>
  </si>
  <si>
    <t>erick.sarmiento@unionsaludvida.com</t>
  </si>
  <si>
    <t>1037641153</t>
  </si>
  <si>
    <t>ERICK JAVIER ALFONSO GUTIERREZ</t>
  </si>
  <si>
    <t>erick.alfonso@unionsaludvida.com</t>
  </si>
  <si>
    <t>1143324569</t>
  </si>
  <si>
    <t>ERICKA PATRICIA PEREZ MONTES</t>
  </si>
  <si>
    <t>gestionasistencialurabasur@unionsaludvida.com</t>
  </si>
  <si>
    <t>1007315752</t>
  </si>
  <si>
    <t>ESTEBAN LOPEZ ECHEVERRI</t>
  </si>
  <si>
    <t>esteban.echeverri@unionsaludvida.com</t>
  </si>
  <si>
    <t>1017251611</t>
  </si>
  <si>
    <t>ESTEFANIA CORAL ALZATE</t>
  </si>
  <si>
    <t>estefania.coral@unionsaludvida.com</t>
  </si>
  <si>
    <t>1000204850</t>
  </si>
  <si>
    <t>ESTEFANIA DE LOS RIOS DIAZ</t>
  </si>
  <si>
    <t>estefania.rios@unionsaludvida.com</t>
  </si>
  <si>
    <t>1013362577</t>
  </si>
  <si>
    <t>ESTEFANIA DEL CARMEN BELLO SALDARRIAGA</t>
  </si>
  <si>
    <t>estefania.bello@unionsaludvida.com</t>
  </si>
  <si>
    <t>1001479164</t>
  </si>
  <si>
    <t>ESTEFANIA GARCIA ARISTIZABAL</t>
  </si>
  <si>
    <t>auxiliarsaludlaceja@unionsaludvida.com</t>
  </si>
  <si>
    <t>1128227146</t>
  </si>
  <si>
    <t>ESTEFANIA REINA OSORIO</t>
  </si>
  <si>
    <t>estefania.reina@unionsaludvida.com</t>
  </si>
  <si>
    <t>1007501087</t>
  </si>
  <si>
    <t>ESTEFANIA SANCHEZ ORREGO</t>
  </si>
  <si>
    <t>estefania.orrego@unionsaludvida.com</t>
  </si>
  <si>
    <t>1152712928</t>
  </si>
  <si>
    <t>ESTEFANIA URIBE VALLEJO</t>
  </si>
  <si>
    <t>estefaniauribe.vallejo@unionsaludvida.com</t>
  </si>
  <si>
    <t>1001876338</t>
  </si>
  <si>
    <t>ESTEVEN ANDRES GUZMAN BARCELO</t>
  </si>
  <si>
    <t>esteven.guzman@unionsaludvida.com</t>
  </si>
  <si>
    <t>55301997</t>
  </si>
  <si>
    <t xml:space="preserve">ESTHER ARROYO RAMIREZ </t>
  </si>
  <si>
    <t>esther.arroyo@unionsaludvida.com</t>
  </si>
  <si>
    <t>1140894739</t>
  </si>
  <si>
    <t>ESTHER LUCIA RODRIGUEZ MUÑOZ</t>
  </si>
  <si>
    <t>esther.rodriguez@unionsaludvida.com</t>
  </si>
  <si>
    <t>1042450421</t>
  </si>
  <si>
    <t>ESTIVEN DE JESUS CRESPO VIZCAINO</t>
  </si>
  <si>
    <t>estiven.crespo@unionsaludvida.com</t>
  </si>
  <si>
    <t>3947228</t>
  </si>
  <si>
    <t>EUDES ENRIQUE SILVA PEREA</t>
  </si>
  <si>
    <t>eudessilva.contratista@unionsaludvida.com</t>
  </si>
  <si>
    <t>1143267842</t>
  </si>
  <si>
    <t>EUSEBIO ANDRES DE SALES ALVAREZ</t>
  </si>
  <si>
    <t>1103113979</t>
  </si>
  <si>
    <t>EVERT DE JESUS PATERNINA TORRES</t>
  </si>
  <si>
    <t>evert.paternina@unionsaludvida.com</t>
  </si>
  <si>
    <t>1090446181</t>
  </si>
  <si>
    <t>FABIAN ANDRES PABON VERA</t>
  </si>
  <si>
    <t>fabian.pabon@unionsaludvida.com</t>
  </si>
  <si>
    <t>1007868236</t>
  </si>
  <si>
    <t>FABIAN EDUARDO PICON ABAUNZA</t>
  </si>
  <si>
    <t>fabian.picon@unionsaludvida.com</t>
  </si>
  <si>
    <t>1006512219</t>
  </si>
  <si>
    <t>FABIAN GUSTAVO OROZCO SANCHEZ</t>
  </si>
  <si>
    <t>fabian.sanchez@unionsaludvida.com</t>
  </si>
  <si>
    <t>1052095382</t>
  </si>
  <si>
    <t>FAISAL JOSE ABUABARA PALIS</t>
  </si>
  <si>
    <t>faisal.abuabara@unionsaludvida.com</t>
  </si>
  <si>
    <t>1000895774</t>
  </si>
  <si>
    <t>FEDERICO RINCON ACOSTA</t>
  </si>
  <si>
    <t>federico.rincon@unionsaludvida.com</t>
  </si>
  <si>
    <t>1143362107</t>
  </si>
  <si>
    <t>FELIPE ALFONSO PEREZ MOLINA</t>
  </si>
  <si>
    <t>felipe.perez@unionsaludvida.com</t>
  </si>
  <si>
    <t>1037630337</t>
  </si>
  <si>
    <t>FELIPE MARIN ROJAS</t>
  </si>
  <si>
    <t>felipe.marin@unionsaludvida.com</t>
  </si>
  <si>
    <t>1063141634</t>
  </si>
  <si>
    <t>FELIPE MIGUEL SEGURA TIRADO</t>
  </si>
  <si>
    <t>felipe.segura@unionsaludvida.com</t>
  </si>
  <si>
    <t>1001138954</t>
  </si>
  <si>
    <t>Comunicadora B</t>
  </si>
  <si>
    <t>FELIPE OSORNO VALENCIA</t>
  </si>
  <si>
    <t>felipe.osorno@unionsaludvida.com</t>
  </si>
  <si>
    <t>1017274443</t>
  </si>
  <si>
    <t>FELIPE VELASQUEZ HERRERA</t>
  </si>
  <si>
    <t>felipe.velasquez@unionsaludvida.com</t>
  </si>
  <si>
    <t>1062674280</t>
  </si>
  <si>
    <t>FELIX ANDRES MESA ARRIETA</t>
  </si>
  <si>
    <t>felix.mesa@unionsaludvida.com</t>
  </si>
  <si>
    <t>1001869835</t>
  </si>
  <si>
    <t>FERMIN DE JESUS MEDINA SARMIENTO</t>
  </si>
  <si>
    <t>fermin.medina@unionsaludvida.com</t>
  </si>
  <si>
    <t>72345510</t>
  </si>
  <si>
    <t>FERNANDO AUGUSTO MARULANDA LUBO</t>
  </si>
  <si>
    <t>fernando.marulanda@unionsaludvida.com</t>
  </si>
  <si>
    <t>1001817894</t>
  </si>
  <si>
    <t>FIORELLA VALENTINA HERRERA PEREZ</t>
  </si>
  <si>
    <t>fiorella.herrera@unionsaludvida.com</t>
  </si>
  <si>
    <t>19587133</t>
  </si>
  <si>
    <t>FRANCISCO SEGUNDO DE LA HOZ DE LA HOZ</t>
  </si>
  <si>
    <t>francisco.delahoz@unionsaludvida.com</t>
  </si>
  <si>
    <t>1004501582</t>
  </si>
  <si>
    <t>FREMIOTH FONSECA ZAMBRANO</t>
  </si>
  <si>
    <t>fremioth.fonseca@unionsaludvida.com</t>
  </si>
  <si>
    <t>1000213655</t>
  </si>
  <si>
    <t>GABRIELA GARCIA MOLINA</t>
  </si>
  <si>
    <t>gabriela.garcia@unionsaludvida.com</t>
  </si>
  <si>
    <t>1085325081</t>
  </si>
  <si>
    <t>GABRIELA GUZMAN INSUASTY</t>
  </si>
  <si>
    <t>gabriela.guzman@unionsaludvida.com</t>
  </si>
  <si>
    <t>1081415820</t>
  </si>
  <si>
    <t>GEMA DEL PILAR THOLA ORTIGOZA</t>
  </si>
  <si>
    <t>gema.thola@unionsaludvida.com</t>
  </si>
  <si>
    <t>1140878804</t>
  </si>
  <si>
    <t>GENESIS JULIETH BARRAZA HOYOS</t>
  </si>
  <si>
    <t>genesis.barraza@unionsaludvida.com</t>
  </si>
  <si>
    <t>1142948064</t>
  </si>
  <si>
    <t>GEORGE KHALIL RAMIREZ</t>
  </si>
  <si>
    <t>george.khalil@unionsaludvida.com</t>
  </si>
  <si>
    <t>1001017262</t>
  </si>
  <si>
    <t>GERALDIN VILLA CARDONA</t>
  </si>
  <si>
    <t>geraldin.villa@unionsaludvida.com</t>
  </si>
  <si>
    <t>1214743963</t>
  </si>
  <si>
    <t>GERALDINE DE LA CRUZ SANCHEZ</t>
  </si>
  <si>
    <t>geraldine.sanchez@unionsaludvida.com</t>
  </si>
  <si>
    <t>1143467389</t>
  </si>
  <si>
    <t>GERALDINE PALOMO AMAYA</t>
  </si>
  <si>
    <t>geraldine.palomo@unionsaludvida.com</t>
  </si>
  <si>
    <t>1001027297</t>
  </si>
  <si>
    <t>GERARDO DAVID HERRERA</t>
  </si>
  <si>
    <t>gerardo.herrera@unionsaludvida.com</t>
  </si>
  <si>
    <t>1100955074</t>
  </si>
  <si>
    <t>GERMAN EDUARDO FUENTES MARQUEZ</t>
  </si>
  <si>
    <t>german.fuentes@unionsaludvida.com</t>
  </si>
  <si>
    <t>1045678928</t>
  </si>
  <si>
    <t>GILBERTO RAFAEL DONADO MENDOZA</t>
  </si>
  <si>
    <t>gilberto.donado@unionsaludvida.com</t>
  </si>
  <si>
    <t>1064980903</t>
  </si>
  <si>
    <t>GINA PAOLA ARRIETA YANEZ</t>
  </si>
  <si>
    <t>gina.arrieta@unionsaludvida.com</t>
  </si>
  <si>
    <t>1083037694</t>
  </si>
  <si>
    <t>GINA PAOLA JIMENEZ ALFARO</t>
  </si>
  <si>
    <t>gina.jimenez@unionsaludvida.com</t>
  </si>
  <si>
    <t>1067286949</t>
  </si>
  <si>
    <t>GLADIS ELENA MARTINEZ MARQUEZ</t>
  </si>
  <si>
    <t>gladis.martinez@unionsaludvida.com</t>
  </si>
  <si>
    <t>1085304354</t>
  </si>
  <si>
    <t>GLORIA CATERINE PEREZ MINGAN</t>
  </si>
  <si>
    <t>gloria.perez@unionsaludvida.com</t>
  </si>
  <si>
    <t>43978621</t>
  </si>
  <si>
    <t>GLORIA ELENA CARRASCAL RESTREPO</t>
  </si>
  <si>
    <t>gloria.carrascal@unionsaludvida.com</t>
  </si>
  <si>
    <t>1077446648</t>
  </si>
  <si>
    <t>GLORIA INDIRA VALENCIA PINO</t>
  </si>
  <si>
    <t>gloria.valencia@unionsaludvida.com</t>
  </si>
  <si>
    <t>1037580961</t>
  </si>
  <si>
    <t>GLORIA MARIA MONTOYA PALACIO</t>
  </si>
  <si>
    <t>gloria.montoya@unionsaludvida.com</t>
  </si>
  <si>
    <t>21627281</t>
  </si>
  <si>
    <t>GLORIA PATRICIA RICAURTE GARCIA</t>
  </si>
  <si>
    <t>gestionasistenciallaceja@unionsaludvida.com</t>
  </si>
  <si>
    <t>1128439839</t>
  </si>
  <si>
    <t>GUSTAVO ADOLFO PINTO GONZALEZ</t>
  </si>
  <si>
    <t>gustavo.pinto@unionsaludvida.com</t>
  </si>
  <si>
    <t>1045744184</t>
  </si>
  <si>
    <t>HAROL JOSE PUPO RODRIGUEZ</t>
  </si>
  <si>
    <t>harol.pupo@unionsaludvida.com</t>
  </si>
  <si>
    <t>1144057947</t>
  </si>
  <si>
    <t>HAROLD LONDOÑO BEDOYA</t>
  </si>
  <si>
    <t>harold.londono@unionsaludvida.com</t>
  </si>
  <si>
    <t>1077473516</t>
  </si>
  <si>
    <t>HAROLD SANTIAGO CORDOBA CORDOBA</t>
  </si>
  <si>
    <t>harold.cordoba@unionsaludvida.com</t>
  </si>
  <si>
    <t>HEIDY VANESSA MOSQUERA GARCIA</t>
  </si>
  <si>
    <t>1001831979</t>
  </si>
  <si>
    <t>HEILEEN SOFIA TOUS DE AVILA</t>
  </si>
  <si>
    <t>heileen.tous@unionsaludvida.com</t>
  </si>
  <si>
    <t>1067859397</t>
  </si>
  <si>
    <t>HEISSEN GARCIA ROSARIO</t>
  </si>
  <si>
    <t>heissen.garcia@unionsaludvida.com</t>
  </si>
  <si>
    <t>1007453326</t>
  </si>
  <si>
    <t>HENNJHY JIRLEZA MOSQUERA MARTINEZ</t>
  </si>
  <si>
    <t>hennjhy.mosquera@unionsaludvida.com</t>
  </si>
  <si>
    <t>1007558931</t>
  </si>
  <si>
    <t>HENRY SAMUEL HURTADO QUEJADA</t>
  </si>
  <si>
    <t>henry.hurtado@unionsaludvida.com</t>
  </si>
  <si>
    <t>1045111242</t>
  </si>
  <si>
    <t>HERNAN FELIPE VALENCIA GOMEZ</t>
  </si>
  <si>
    <t>hernan.valencia@unionsaludvida.com</t>
  </si>
  <si>
    <t>71618485</t>
  </si>
  <si>
    <t>HERNAN RAMIRO MUÑOZ RIOS</t>
  </si>
  <si>
    <t>hernan.munoz@unionsaludvida.com</t>
  </si>
  <si>
    <t>1082854804</t>
  </si>
  <si>
    <t>HERNANDO ECHEVERRI PLATA</t>
  </si>
  <si>
    <t>hernando.echeverri@unionsaludvida.com</t>
  </si>
  <si>
    <t>1002213329</t>
  </si>
  <si>
    <t>HOLLY ALEJANDRA MARTINEZ DI FILIPPO</t>
  </si>
  <si>
    <t>holly.martinez@unionsaludvida.com</t>
  </si>
  <si>
    <t>72265366</t>
  </si>
  <si>
    <t>HUBER ALBERTO BUSTAMANTE SANCHEZ</t>
  </si>
  <si>
    <t>huber.bustamante@unionsaludvida.com</t>
  </si>
  <si>
    <t>1045710366</t>
  </si>
  <si>
    <t>HUGO ALFONSO ALCOCER ORTIZ</t>
  </si>
  <si>
    <t>hugo.alcocer@unionsaludvida.com</t>
  </si>
  <si>
    <t>43571029</t>
  </si>
  <si>
    <t>INDIRA MARILUZ MENA RIOS</t>
  </si>
  <si>
    <t>indira.mena@unionsaludvida.com</t>
  </si>
  <si>
    <t>1090420169</t>
  </si>
  <si>
    <t>INGRID KATHERINE BUENO CHACIN</t>
  </si>
  <si>
    <t>ingrid.bueno@unionsaludvida.com</t>
  </si>
  <si>
    <t>1082943977</t>
  </si>
  <si>
    <t>IRAMA DE JESUS COLLANTE BALLEN</t>
  </si>
  <si>
    <t>irama.collante@unionsaludvida.com</t>
  </si>
  <si>
    <t>45560879</t>
  </si>
  <si>
    <t>IRINA PAOLA NIEBLES VARGAS</t>
  </si>
  <si>
    <t>irina.niebles@unionsaludvida.com</t>
  </si>
  <si>
    <t>1128434413</t>
  </si>
  <si>
    <t>IRIS SAMANTHA MUNERA TRUJILLO</t>
  </si>
  <si>
    <t>iris.munera@unionsaludvida.com</t>
  </si>
  <si>
    <t>1088349885</t>
  </si>
  <si>
    <t>IRLEN KARINA PRETHEL MOSQUERA</t>
  </si>
  <si>
    <t>irlen.prethel@unionsaludvida.com</t>
  </si>
  <si>
    <t>38682331</t>
  </si>
  <si>
    <t>ISABEL CRISTINA CAMACHO FERNANDEZ</t>
  </si>
  <si>
    <t>isabel.camacho@unionsaludvida.com</t>
  </si>
  <si>
    <t>1040976015</t>
  </si>
  <si>
    <t>ISABELA CANO OSORIO</t>
  </si>
  <si>
    <t>auxiliarsaludcalasanz@unionsaludvida.com</t>
  </si>
  <si>
    <t>1001901817</t>
  </si>
  <si>
    <t>ISABELA GIL CRUZ</t>
  </si>
  <si>
    <t>isabella.cruz@unionsaludvida.com</t>
  </si>
  <si>
    <t>1039475332</t>
  </si>
  <si>
    <t>ISABELA RESTREPO LONDOÑO</t>
  </si>
  <si>
    <t>isabela.restrepo@unionsaludvida.com</t>
  </si>
  <si>
    <t>1193110507</t>
  </si>
  <si>
    <t>ISABELLA CADAVID OCHOA</t>
  </si>
  <si>
    <t>isabella.cadavid@unionsaludvida.com</t>
  </si>
  <si>
    <t>1001660287</t>
  </si>
  <si>
    <t>ISABELLA LONDOÑO CORDOBA</t>
  </si>
  <si>
    <t>auxiliarsaludbuenosaires@unionsaludvida.com</t>
  </si>
  <si>
    <t>1047359367</t>
  </si>
  <si>
    <t>ISABELLA RIASCOS ASENDRA</t>
  </si>
  <si>
    <t>isabella.riascos@unionsaludvida.com</t>
  </si>
  <si>
    <t>1001370048</t>
  </si>
  <si>
    <t>ISABELLA VENEGAS MONTOYA</t>
  </si>
  <si>
    <t>isabella.venegas@unionsaludvida.com</t>
  </si>
  <si>
    <t>1036656151</t>
  </si>
  <si>
    <t>ISABELLE GIL MARULANDA</t>
  </si>
  <si>
    <t>isabelle.gil@unionsaludvida.com</t>
  </si>
  <si>
    <t>1085297937</t>
  </si>
  <si>
    <t>IVAN DARIO BANGUERA CUENCA</t>
  </si>
  <si>
    <t>ivan.banguera@unionsaludvida.com</t>
  </si>
  <si>
    <t>1083031242</t>
  </si>
  <si>
    <t>IVANA BONFANTE PICO</t>
  </si>
  <si>
    <t>ivana.bonfante@unionsaludvida.com</t>
  </si>
  <si>
    <t>1034296571</t>
  </si>
  <si>
    <t>IVANA PATRICIA TEJADA VALENCIA</t>
  </si>
  <si>
    <t>ivana.tejeda@unionsaludvida.com</t>
  </si>
  <si>
    <t>50927877</t>
  </si>
  <si>
    <t>IVONNE CECILIA VARGAS SANCHEZ</t>
  </si>
  <si>
    <t>ivonne.vargas@unionsaludvida.com</t>
  </si>
  <si>
    <t>1017237374</t>
  </si>
  <si>
    <t>JACOBO SENEN SOLANO DURAN</t>
  </si>
  <si>
    <t>jacobo.solano@unionsaludvida.com</t>
  </si>
  <si>
    <t>1036655590</t>
  </si>
  <si>
    <t>JAIME ALBERTO JUDEX BALAGUERA</t>
  </si>
  <si>
    <t>jaime.judex@unionsaludvida.com</t>
  </si>
  <si>
    <t>1065629553</t>
  </si>
  <si>
    <t>JAIRO DAVID DAZA PLATA</t>
  </si>
  <si>
    <t>jairo.daza@unionsaludvida.com</t>
  </si>
  <si>
    <t>1031152607</t>
  </si>
  <si>
    <t>JAIRO ENRIQUE FORERO GOMEZ</t>
  </si>
  <si>
    <t>jairo.forero@unionsaludvida.com</t>
  </si>
  <si>
    <t>1002971454</t>
  </si>
  <si>
    <t>JAIRO JOSE PARRA MUÑOZ</t>
  </si>
  <si>
    <t>jairo.munoz@unionsaludvida.com</t>
  </si>
  <si>
    <t>1143387922</t>
  </si>
  <si>
    <t>JAIRO MIGUEL OVIEDO FLOREZ</t>
  </si>
  <si>
    <t>jairo.oviedo@unionsaludvida.com</t>
  </si>
  <si>
    <t>1143345637</t>
  </si>
  <si>
    <t>JAISSYR DE JESUS MEDINA PEREZ</t>
  </si>
  <si>
    <t>jaissyr.medina@unionsaludvida.com</t>
  </si>
  <si>
    <t>1126254000</t>
  </si>
  <si>
    <t>JANNELVA ROXANA DELGADO RODRIGUEZ</t>
  </si>
  <si>
    <t>jannelva.delgado@unionsaludvida.com</t>
  </si>
  <si>
    <t>1037645530</t>
  </si>
  <si>
    <t>JAVIER MADRIGAL MEJIA</t>
  </si>
  <si>
    <t>javier.madrigal@unionsaludvida.com</t>
  </si>
  <si>
    <t>44005917</t>
  </si>
  <si>
    <t>JEANETH NATALI ZAPATA LOPEZ</t>
  </si>
  <si>
    <t>janet.zapata@unionsaludvida.com</t>
  </si>
  <si>
    <t>98667478</t>
  </si>
  <si>
    <t>JEIBER HERNAN ZAPATA MORA</t>
  </si>
  <si>
    <t>jeiber.zapata@unionsaludvida.com</t>
  </si>
  <si>
    <t>1098774597</t>
  </si>
  <si>
    <t>JEISON DAVID OROZCO BALLESTEROS</t>
  </si>
  <si>
    <t>jeison.orozco@unionsaludvida.com</t>
  </si>
  <si>
    <t>1002190561</t>
  </si>
  <si>
    <t>JENIFER ALEJANDRA GIRALDO CIRO</t>
  </si>
  <si>
    <t>jenifer.giraldo@unionsaludvida.com</t>
  </si>
  <si>
    <t>1039464310</t>
  </si>
  <si>
    <t>JENIFFER HIDALGO SIERRA</t>
  </si>
  <si>
    <t>lidercissabaneta@unionsaludvida.com</t>
  </si>
  <si>
    <t>1067925424</t>
  </si>
  <si>
    <t>Carepa Operativo</t>
  </si>
  <si>
    <t>JENNIFER GUZMAN MARTINEZ</t>
  </si>
  <si>
    <t>jennifer.guzman@unionsaludvida.com</t>
  </si>
  <si>
    <t>1110536938</t>
  </si>
  <si>
    <t>JENNIFER PAOLA MARTINEZ PARRA</t>
  </si>
  <si>
    <t>paola.martinez@unionsaludvida.com</t>
  </si>
  <si>
    <t>1037668071</t>
  </si>
  <si>
    <t>JENNIFER SANCHEZ CORTES</t>
  </si>
  <si>
    <t>jennifer.sanchez@unionsaludvida.com</t>
  </si>
  <si>
    <t>1129540526</t>
  </si>
  <si>
    <t>Chigorodo Centro</t>
  </si>
  <si>
    <t>JENNIFER SOFIA RAMOS CANDANOZA</t>
  </si>
  <si>
    <t>jennifer.ramos@unionsaludvida.com</t>
  </si>
  <si>
    <t>1018466443</t>
  </si>
  <si>
    <t>JENNY GUEVARA MORENO</t>
  </si>
  <si>
    <t>jenny.guevara@unionsaludvida.com</t>
  </si>
  <si>
    <t>1040739823</t>
  </si>
  <si>
    <t>JENNYFER ARIAS ALVAREZ</t>
  </si>
  <si>
    <t>liderciscristorey@unionsaludvida.com</t>
  </si>
  <si>
    <t>1235257142</t>
  </si>
  <si>
    <t>JERALDIN ANYIBELIS UGARTE NIEVES</t>
  </si>
  <si>
    <t>jeraldin.ugarte@unionsaludvida.com</t>
  </si>
  <si>
    <t>1036621542</t>
  </si>
  <si>
    <t>JESSICA ALEJANDRA HERRERA MARIN</t>
  </si>
  <si>
    <t>jessica.herrera@unionsaludvida.com</t>
  </si>
  <si>
    <t>1075292157</t>
  </si>
  <si>
    <t>JESSICA NATALIA GONZALEZ DIAZ</t>
  </si>
  <si>
    <t>jessica.gonzalez@unionsaludvida.com</t>
  </si>
  <si>
    <t>1077478167</t>
  </si>
  <si>
    <t>JESUS ALONSO BOLAÑOS CAMPAZ</t>
  </si>
  <si>
    <t>jesus.bolanos@unionsaludvida.com</t>
  </si>
  <si>
    <t>1043022975</t>
  </si>
  <si>
    <t>JESUS DAVID CERVANTES BRAVO</t>
  </si>
  <si>
    <t>jesus.cervantes@unionsaludvida.com</t>
  </si>
  <si>
    <t>1094269515</t>
  </si>
  <si>
    <t>JESUS JOSE MARENCO CABALLERO</t>
  </si>
  <si>
    <t>jesus.marenco@unionsaludvida.com</t>
  </si>
  <si>
    <t>1005709177</t>
  </si>
  <si>
    <t>JESUS MATEO GONZALEZ ZAPA</t>
  </si>
  <si>
    <t>jesus.gonzalez@unionsaludvida.com</t>
  </si>
  <si>
    <t>1128419360</t>
  </si>
  <si>
    <t>JHENIFE JHOANA ZAPATA MOLINA</t>
  </si>
  <si>
    <t>auxiliarsaludsantamaria@unionsaludvida.com</t>
  </si>
  <si>
    <t>1007494795</t>
  </si>
  <si>
    <t>JHON ALEXANDER HIGUITA MOSQUERA</t>
  </si>
  <si>
    <t>1002187393</t>
  </si>
  <si>
    <t>JHON CARLOS CAVADIAS CABEZA</t>
  </si>
  <si>
    <t>jhon.cavadias@unionsaludvida.com</t>
  </si>
  <si>
    <t>1037580974</t>
  </si>
  <si>
    <t>JHON EDWIN MENESES CASTAÑO</t>
  </si>
  <si>
    <t>jhon.meneses@unionsaludvida.com</t>
  </si>
  <si>
    <t>1037644970</t>
  </si>
  <si>
    <t>JHON ERICK RAMIREZ LOPEZ</t>
  </si>
  <si>
    <t>jhon.ramirez@unionsaludvida.com</t>
  </si>
  <si>
    <t>1067864151</t>
  </si>
  <si>
    <t>JHONNIER ACOSTA FERIA</t>
  </si>
  <si>
    <t>jhonnier.acosta@unionsaludvida.com</t>
  </si>
  <si>
    <t>1052096702</t>
  </si>
  <si>
    <t>JHONNIER RAFAEL VILLERO SUAREZ</t>
  </si>
  <si>
    <t>jhonnier.villero@unionsaludvida.com</t>
  </si>
  <si>
    <t>1002210045</t>
  </si>
  <si>
    <t>JHONNY DE JESUS ROMERO PEREZ</t>
  </si>
  <si>
    <t>jhonny.romero@unionsaludvida.com</t>
  </si>
  <si>
    <t>70927211</t>
  </si>
  <si>
    <t>JHONY ANDRES AGUDELO VELA</t>
  </si>
  <si>
    <t>andres.agudelo@unionsaludvida.com</t>
  </si>
  <si>
    <t>1037525217</t>
  </si>
  <si>
    <t>JIMENA OCHOA ARBELAEZ</t>
  </si>
  <si>
    <t>jimena.ochoa@unionsaludvida.com</t>
  </si>
  <si>
    <t>73201076</t>
  </si>
  <si>
    <t>JIMMY ALEXANDER SANCHEZ CABALLERO</t>
  </si>
  <si>
    <t>jimmy.caballero@unionsaludvida.com</t>
  </si>
  <si>
    <t>1000918755</t>
  </si>
  <si>
    <t>JOAN MANUEL MARTINEZ PEREZ</t>
  </si>
  <si>
    <t>joan.martinez@unionsaludvida.com</t>
  </si>
  <si>
    <t>1005482654</t>
  </si>
  <si>
    <t>JOHAN ANDREY VANEGAS PORRAS</t>
  </si>
  <si>
    <t>johan.vanegas@unionsaludvida.com</t>
  </si>
  <si>
    <t>77097447</t>
  </si>
  <si>
    <t>JOHAN RAMIRO AROCA ESPINOSA</t>
  </si>
  <si>
    <t>johan.aroca@unionsaludvida.com</t>
  </si>
  <si>
    <t>1028005084</t>
  </si>
  <si>
    <t>JOHAN SEBASTIAN BARRIENTOS CUARTAS</t>
  </si>
  <si>
    <t>johan.barrientos@unionsaludvida.com</t>
  </si>
  <si>
    <t>1020465057</t>
  </si>
  <si>
    <t>JOHANA YULIETH GUZMAN RAMOS</t>
  </si>
  <si>
    <t>johana.guzman@unionsaludvida.com</t>
  </si>
  <si>
    <t>1061771308</t>
  </si>
  <si>
    <t>JOHANN EDUARDO MUÑOZ ENCARNACION</t>
  </si>
  <si>
    <t>johann.munoz@unionsaludvida.com</t>
  </si>
  <si>
    <t>1143400668</t>
  </si>
  <si>
    <t>JOHELYS CARMELITA DORIA ATENCIA</t>
  </si>
  <si>
    <t>johelys.doria@unionsaludvida.com</t>
  </si>
  <si>
    <t>8160602</t>
  </si>
  <si>
    <t>Proyectos Valle De Aburra Asis</t>
  </si>
  <si>
    <t>JOHN FREDY RAMIREZ RIOS</t>
  </si>
  <si>
    <t>john.ramirez@unionsaludvida.com</t>
  </si>
  <si>
    <t>98480228</t>
  </si>
  <si>
    <t>JOHN JAIRO BOHORQUEZ CARRILLO</t>
  </si>
  <si>
    <t>john.bohorquez@unionsaludvida.com</t>
  </si>
  <si>
    <t>98629310</t>
  </si>
  <si>
    <t>JOHN JAIRO MARIN CASTRILLON</t>
  </si>
  <si>
    <t>john.marin@unionsaludvida.com</t>
  </si>
  <si>
    <t>1000567846</t>
  </si>
  <si>
    <t>JONATHAN ESTEBAN BERRIO BERRIO</t>
  </si>
  <si>
    <t>auxiliarsaluditagui@unionsaludvida.com</t>
  </si>
  <si>
    <t>1152222861</t>
  </si>
  <si>
    <t>JOPHIEL SEBASTIAN CORRALES JARAMILLO</t>
  </si>
  <si>
    <t>jophiel.corrales@unionsaludvida.com</t>
  </si>
  <si>
    <t>70724329</t>
  </si>
  <si>
    <t xml:space="preserve">JORGE ALBEIRO OROZCO </t>
  </si>
  <si>
    <t>jorge.orozco@unionsaludvida.com</t>
  </si>
  <si>
    <t>1143395321</t>
  </si>
  <si>
    <t>JORGE ANDRES ALVAREZ TAYLOR</t>
  </si>
  <si>
    <t>jorge.alvarez@unionsaludvida.com</t>
  </si>
  <si>
    <t>1082960369</t>
  </si>
  <si>
    <t>JORGE ANDRES BARRIOS DURAN</t>
  </si>
  <si>
    <t>jorge.barrios@unionsaludvida.com</t>
  </si>
  <si>
    <t>1143370401</t>
  </si>
  <si>
    <t>JORGE ANDRES QUIROZ DEL RISCO</t>
  </si>
  <si>
    <t>jorge.quiroz@unionsaludvida.com</t>
  </si>
  <si>
    <t>1045695688</t>
  </si>
  <si>
    <t>JORGE ARMANDO ANDRADE PRADA</t>
  </si>
  <si>
    <t>jorge.andrade@unionsaludvida.com</t>
  </si>
  <si>
    <t>1094275204</t>
  </si>
  <si>
    <t>JORGE DAVID JAIMES MARTINEZ</t>
  </si>
  <si>
    <t>jorge.jaimes@unionsaludvida.com</t>
  </si>
  <si>
    <t>1098686151</t>
  </si>
  <si>
    <t>JORGE IVAN MOLINA FARFAN</t>
  </si>
  <si>
    <t>jorge.molina@unionsaludvida.com</t>
  </si>
  <si>
    <t>72358092</t>
  </si>
  <si>
    <t>JOSE ALBERTO CABARCA RUA</t>
  </si>
  <si>
    <t>jose.cabarcas@unionsaludvida.com</t>
  </si>
  <si>
    <t>1122417582</t>
  </si>
  <si>
    <t>JOSE ALBERTO CUELLO BELLO</t>
  </si>
  <si>
    <t>jose.cuello@unionsaludvida.com</t>
  </si>
  <si>
    <t>1047365271</t>
  </si>
  <si>
    <t>JOSE ALEJANDRO ARAUJO BELLIO</t>
  </si>
  <si>
    <t>jose.araujo@unionsaludvida.com</t>
  </si>
  <si>
    <t>72263582</t>
  </si>
  <si>
    <t>JOSE ALEJANDRO JAUREGUI GONZALEZ</t>
  </si>
  <si>
    <t>jose.jauregui@unionsaludvida.com</t>
  </si>
  <si>
    <t>1000409122</t>
  </si>
  <si>
    <t>JOSE ALEJANDRO MUÑOZ CARMONA</t>
  </si>
  <si>
    <t>jose.carmona@unionsaludvida.com</t>
  </si>
  <si>
    <t>1047473442</t>
  </si>
  <si>
    <t>JOSE ALFONSO YAGUNA GUERRA</t>
  </si>
  <si>
    <t>jose.yaguna@unionsaludvida.com</t>
  </si>
  <si>
    <t>1065855583</t>
  </si>
  <si>
    <t>JOSE ANDRES MARIN OLMOS</t>
  </si>
  <si>
    <t>jose.olmos@unionsaludvida.com</t>
  </si>
  <si>
    <t>JOSE ARMANDO GONZALEZ MEJIA</t>
  </si>
  <si>
    <t>jose.gonzalez@unionsaludvida.com</t>
  </si>
  <si>
    <t>1017267159</t>
  </si>
  <si>
    <t>JOSE DANIEL AGUDELO DURAN</t>
  </si>
  <si>
    <t>jose.agudelo@unionsaludvida.com</t>
  </si>
  <si>
    <t>1193073494</t>
  </si>
  <si>
    <t>JOSE DANIEL PEREZ OYOLA</t>
  </si>
  <si>
    <t>jose.oyola@unionsaludvida.com</t>
  </si>
  <si>
    <t>1152209652</t>
  </si>
  <si>
    <t>JOSE DANIEL SALAZAR OSORIO</t>
  </si>
  <si>
    <t>jose.salazar@unionsaludvida.com</t>
  </si>
  <si>
    <t>1019121309</t>
  </si>
  <si>
    <t>JOSE DAVID MORENO PARRA</t>
  </si>
  <si>
    <t>jose.parra@unionsaludvida.com</t>
  </si>
  <si>
    <t>1037633000</t>
  </si>
  <si>
    <t>JOSE FERNANDO HENAO URIBE</t>
  </si>
  <si>
    <t>lidercissaman@unionsaludvida.com</t>
  </si>
  <si>
    <t>1061785909</t>
  </si>
  <si>
    <t>JOSE FERNANDO HOYOS URBANO</t>
  </si>
  <si>
    <t>jose.hoyos@unionsaludvida.com</t>
  </si>
  <si>
    <t>1143390973</t>
  </si>
  <si>
    <t>JOSE FERNANDO ORDOSGOITIA MORALES</t>
  </si>
  <si>
    <t>jose.ordosgoitia@unionsaludvida.com</t>
  </si>
  <si>
    <t>8854889</t>
  </si>
  <si>
    <t>JOSE JOAQUIN POLO VILLARREAL</t>
  </si>
  <si>
    <t>jose.polo@unionsaludvida.com</t>
  </si>
  <si>
    <t>1235041757</t>
  </si>
  <si>
    <t>JOSE JUAN FRANCISCO MIRANDA LOPEZ</t>
  </si>
  <si>
    <t>francisco.miranda@unionsaludvida.com</t>
  </si>
  <si>
    <t>1192769686</t>
  </si>
  <si>
    <t>JOSE JUAN MURGAS DELUQUE</t>
  </si>
  <si>
    <t>jose.murgas@unionsaludvida.com</t>
  </si>
  <si>
    <t>1017195272</t>
  </si>
  <si>
    <t>JOSE LUIS ARANGO PALACIO</t>
  </si>
  <si>
    <t>jose.arango@unionsaludvida.com</t>
  </si>
  <si>
    <t>1192919538</t>
  </si>
  <si>
    <t>JOSE LUIS MARIN REYES</t>
  </si>
  <si>
    <t>jose.reyes@unionsaludvida.com</t>
  </si>
  <si>
    <t>98651569</t>
  </si>
  <si>
    <t>JOSE LUIS MARIN VASQUEZ</t>
  </si>
  <si>
    <t>jose.vasquez@unionsaludvida.com</t>
  </si>
  <si>
    <t>1193522574</t>
  </si>
  <si>
    <t>JOSE MANUEL GIRALDO CABARCAS</t>
  </si>
  <si>
    <t>jose.giraldo@unionsaludvida.com</t>
  </si>
  <si>
    <t>1003190674</t>
  </si>
  <si>
    <t>JOSE MANUEL PAEZ MESTRA</t>
  </si>
  <si>
    <t>jose.paez@unionsaludvida.com</t>
  </si>
  <si>
    <t>1002023939</t>
  </si>
  <si>
    <t>JOSEPH STWARD CONTRERAS TESILLO</t>
  </si>
  <si>
    <t>joseph.contreras@unionsaludvida.com</t>
  </si>
  <si>
    <t>88030132</t>
  </si>
  <si>
    <t>JOUBERT LEOPOLDO ALVAREZ MOGOLLON</t>
  </si>
  <si>
    <t>joubert.alvarez@unionsaludvida.com</t>
  </si>
  <si>
    <t>1001003778</t>
  </si>
  <si>
    <t>JUAN ANDRES ARAQUE PANESSO</t>
  </si>
  <si>
    <t>juan.panesso@unionsaludvida.com</t>
  </si>
  <si>
    <t>1037574158</t>
  </si>
  <si>
    <t>JUAN CAMILO BERTEL MERCADO</t>
  </si>
  <si>
    <t>juan.bertel@unionsaludvida.com</t>
  </si>
  <si>
    <t>1143168832</t>
  </si>
  <si>
    <t>JUAN CAMILO GONZALEZ MEZA</t>
  </si>
  <si>
    <t>juan.meza@unionsaludvida.com</t>
  </si>
  <si>
    <t>1152471533</t>
  </si>
  <si>
    <t>JUAN CAMILO HERRERA PEREZ</t>
  </si>
  <si>
    <t>juan.herrera@unionsaludvida.com</t>
  </si>
  <si>
    <t>1035433669</t>
  </si>
  <si>
    <t>JUAN CAMILO MUÑOZ ORREGO</t>
  </si>
  <si>
    <t>camilo.munoz@unionsaludvida.com</t>
  </si>
  <si>
    <t>1037654902</t>
  </si>
  <si>
    <t>JUAN CAMILO VALENCIA ECHEVERRY</t>
  </si>
  <si>
    <t>juan.valencia@unionsaludvida.com</t>
  </si>
  <si>
    <t>1126246275</t>
  </si>
  <si>
    <t>JUAN CARLOS BRICEÑO SANABRIA</t>
  </si>
  <si>
    <t>carlos.briceno@unionsaludvida.com</t>
  </si>
  <si>
    <t>98564502</t>
  </si>
  <si>
    <t>JUAN CRISTOBAL PEREZ MEJIA</t>
  </si>
  <si>
    <t>juan.perez@unionsaludvida.com</t>
  </si>
  <si>
    <t>1061813045</t>
  </si>
  <si>
    <t>JUAN DAVID COLORADO VITONCO</t>
  </si>
  <si>
    <t>juan.colorado@unionsaludvida.com</t>
  </si>
  <si>
    <t>1045715833</t>
  </si>
  <si>
    <t>JUAN DAVID MARENCO SALAZAR</t>
  </si>
  <si>
    <t>juan.marenco@unionsaludvida.com</t>
  </si>
  <si>
    <t>1001804332</t>
  </si>
  <si>
    <t>JUAN DAVID REYES ALTAMAR</t>
  </si>
  <si>
    <t>juan.altamar@unionsaludvida.com</t>
  </si>
  <si>
    <t>1067886560</t>
  </si>
  <si>
    <t>JUAN EDUARDO MARTINEZ LOPEZ</t>
  </si>
  <si>
    <t>juanmartinez.contratista@unionsaludvida.com</t>
  </si>
  <si>
    <t>1234097071</t>
  </si>
  <si>
    <t>JUAN ESTEBAN ARAQUE TORRADO</t>
  </si>
  <si>
    <t>juan.araque@unionsaludvida.com</t>
  </si>
  <si>
    <t>1039448887</t>
  </si>
  <si>
    <t>JUAN ESTEBAN SALDARRIAGA HENAO</t>
  </si>
  <si>
    <t>juan.henao@unionsaludvida.com</t>
  </si>
  <si>
    <t>1036962119</t>
  </si>
  <si>
    <t>JUAN FELIPE DIAZ MENDOZA</t>
  </si>
  <si>
    <t>juan.mendoza@unionsaludvida.com</t>
  </si>
  <si>
    <t>1193104616</t>
  </si>
  <si>
    <t>JUAN FELIPE MEJIA CASTRO</t>
  </si>
  <si>
    <t>juan.mejia@unionsaludvida.com</t>
  </si>
  <si>
    <t>1017237802</t>
  </si>
  <si>
    <t>JUAN FELIPE ZULUAGA QUINTERO</t>
  </si>
  <si>
    <t>juan.zuluaga@unionsaludvida.com</t>
  </si>
  <si>
    <t>1152198083</t>
  </si>
  <si>
    <t>JUAN FERNANDO RESTREPO HINCAPIE</t>
  </si>
  <si>
    <t>juan.restrepo@unionsaludvida.com</t>
  </si>
  <si>
    <t>1001017551</t>
  </si>
  <si>
    <t>JUAN GUILLERMO VILLA BERRIO</t>
  </si>
  <si>
    <t>juan.berrio@unionsaludvida.com</t>
  </si>
  <si>
    <t>1000758789</t>
  </si>
  <si>
    <t>JUAN JOSE CARDONA GIRALDO</t>
  </si>
  <si>
    <t>jose.cardona@unionsaludvida.com</t>
  </si>
  <si>
    <t>1001778675</t>
  </si>
  <si>
    <t>JUAN JOSE CONTRERAS MERCADO</t>
  </si>
  <si>
    <t>juan.contreras@unionsaludvida.com</t>
  </si>
  <si>
    <t>1035972069</t>
  </si>
  <si>
    <t>JUAN JOSE OSORIO MOLINA</t>
  </si>
  <si>
    <t>jose.osorio@unionsaludvida.com</t>
  </si>
  <si>
    <t>1007815749</t>
  </si>
  <si>
    <t>JUAN JOSE SERNA VANEGAS</t>
  </si>
  <si>
    <t>juan.vanegas@unionsaludvida.com</t>
  </si>
  <si>
    <t>1000654456</t>
  </si>
  <si>
    <t>JUAN JOSE VASQUEZ PUERTA</t>
  </si>
  <si>
    <t>juan.vasquez@unionsaludvida.com</t>
  </si>
  <si>
    <t>1036682089</t>
  </si>
  <si>
    <t>JUAN JOSE VELASQUEZ URIBE</t>
  </si>
  <si>
    <t>juan.velasquez@unionsaludvida.com</t>
  </si>
  <si>
    <t>1193099799</t>
  </si>
  <si>
    <t>JUAN LEONARDO CHADID CONTRERAS</t>
  </si>
  <si>
    <t>juan.chadid@unionsaludvida.com</t>
  </si>
  <si>
    <t>1143373273</t>
  </si>
  <si>
    <t>JUAN MARTIN SERNA HERNANDEZ</t>
  </si>
  <si>
    <t>juan.serna@unionsaludvida.com</t>
  </si>
  <si>
    <t>1028033236</t>
  </si>
  <si>
    <t>JUAN PABLO CAMARGO VÉLEZ</t>
  </si>
  <si>
    <t>juan.camargo@unionsaludvida.com</t>
  </si>
  <si>
    <t>1036611388</t>
  </si>
  <si>
    <t>JUAN PABLO ESTRADA SANCHEZ</t>
  </si>
  <si>
    <t>gestionasistencialporvenir@unionsaludvida.com</t>
  </si>
  <si>
    <t>1037664672</t>
  </si>
  <si>
    <t>JUAN PABLO MONTES BUILES</t>
  </si>
  <si>
    <t>juan.builes@unionsaludvida.com</t>
  </si>
  <si>
    <t>1003714250</t>
  </si>
  <si>
    <t>JUAN PABLO NEGRETE PADILLA</t>
  </si>
  <si>
    <t>juan.negrete@unionsaludvida.com</t>
  </si>
  <si>
    <t>1040184262</t>
  </si>
  <si>
    <t>El Retiro</t>
  </si>
  <si>
    <t>JUAN PABLO SERNA WILCHES</t>
  </si>
  <si>
    <t>juan.wilches@unionsaludvida.com</t>
  </si>
  <si>
    <t>1000874041</t>
  </si>
  <si>
    <t>Analista de TIC - A</t>
  </si>
  <si>
    <t>JUAN PABLO VASQUEZ TOBON</t>
  </si>
  <si>
    <t>analistatic2@unionsaludvida.com</t>
  </si>
  <si>
    <t>1037634743</t>
  </si>
  <si>
    <t>JUAN SANTIAGO ZULUAICA PEREZ</t>
  </si>
  <si>
    <t>juan.zuluaica@unionsaludvida.com</t>
  </si>
  <si>
    <t>1003045926</t>
  </si>
  <si>
    <t>JUAN SEBASTIAN ATENCIA GOMEZ</t>
  </si>
  <si>
    <t>juan.atencia@unionsaludvida.com</t>
  </si>
  <si>
    <t>1036663924</t>
  </si>
  <si>
    <t>JUAN SEBASTIAN POSADA RESTREPO</t>
  </si>
  <si>
    <t>juan.posada@unionsaludvida.com</t>
  </si>
  <si>
    <t>1152468917</t>
  </si>
  <si>
    <t>Amaga</t>
  </si>
  <si>
    <t>JUAN SEBASTIAN SERNA ASPRILLA</t>
  </si>
  <si>
    <t>juan.asprilla@unionsaludvida.com</t>
  </si>
  <si>
    <t>45691521</t>
  </si>
  <si>
    <t>JUDITH MORENO JULIO</t>
  </si>
  <si>
    <t>judith.julio@unionsaludvida.com</t>
  </si>
  <si>
    <t>1036619812</t>
  </si>
  <si>
    <t>JULIAN DAVID CASTAÑEDA DAVILA</t>
  </si>
  <si>
    <t>julian.castaneda@unionsaludvida.com</t>
  </si>
  <si>
    <t>1152439743</t>
  </si>
  <si>
    <t>JULIAN DAVID FRANCO GRANADA</t>
  </si>
  <si>
    <t>julian.franco@unionsaludvida.com</t>
  </si>
  <si>
    <t>1037659158</t>
  </si>
  <si>
    <t>JULIANA AHUMADA DUQUE</t>
  </si>
  <si>
    <t>juliana.ahumada@unionsaludvida.com</t>
  </si>
  <si>
    <t>1017168891</t>
  </si>
  <si>
    <t>JULIANA ESCOBAR BUILES</t>
  </si>
  <si>
    <t>juliana.builes@unionsaludvida.com</t>
  </si>
  <si>
    <t>1152459999</t>
  </si>
  <si>
    <t>JULIANA HINCAPIE MONSALVE</t>
  </si>
  <si>
    <t>juliana.hincapie@unionsaludvida.com</t>
  </si>
  <si>
    <t>1000893695</t>
  </si>
  <si>
    <t>JULIANA LONDOÑO BEDOYA</t>
  </si>
  <si>
    <t>juliana.londono@unionsaludvida.com</t>
  </si>
  <si>
    <t>1017259589</t>
  </si>
  <si>
    <t>JULIANA MEJIA PALACIO</t>
  </si>
  <si>
    <t>juliana.mejia@unionsaludvida.com</t>
  </si>
  <si>
    <t>1005418818</t>
  </si>
  <si>
    <t>JULIANA NUÑEZ NUÑEZ</t>
  </si>
  <si>
    <t>juliana.nunez@unionsaludvida.com</t>
  </si>
  <si>
    <t>1027966162</t>
  </si>
  <si>
    <t>JULIETH KARINA GONZALEZ GUZMAN</t>
  </si>
  <si>
    <t>auxiliarsaludurabasur@unionsaludvida.com</t>
  </si>
  <si>
    <t>1128424306</t>
  </si>
  <si>
    <t>Profesional en Seguridad y Salud en el Trabajo</t>
  </si>
  <si>
    <t>JULIETH OSPINA CARMONA</t>
  </si>
  <si>
    <t>julieth.ospina@unionsaludvida.com</t>
  </si>
  <si>
    <t>1001852272</t>
  </si>
  <si>
    <t>JULIETH PAOLA ALVAREZ GOMEZ</t>
  </si>
  <si>
    <t>julieth.gomez@unionsaludvida.com</t>
  </si>
  <si>
    <t>1018415376</t>
  </si>
  <si>
    <t>JULIO ALBERTO OSPINO PAEZ</t>
  </si>
  <si>
    <t>julio.ospino@unionsaludvida.com</t>
  </si>
  <si>
    <t>72006802</t>
  </si>
  <si>
    <t>JULIO ALFONSO RICO BARRIOS</t>
  </si>
  <si>
    <t>julio.rico@unionsaludvida.com</t>
  </si>
  <si>
    <t>1118861829</t>
  </si>
  <si>
    <t>JULIO CESAR MEJIA OCHOA</t>
  </si>
  <si>
    <t>julio.cesar@unionsaludvida.com</t>
  </si>
  <si>
    <t>1068656438</t>
  </si>
  <si>
    <t>JULIO ELIAS PATIÑO MESTRA</t>
  </si>
  <si>
    <t>julio.patino@unionsaludvida.com</t>
  </si>
  <si>
    <t>1040755204</t>
  </si>
  <si>
    <t>JULISSA SUAREZ MENESES</t>
  </si>
  <si>
    <t>julissa.suarez@unionsaludvida.com</t>
  </si>
  <si>
    <t>1035860681</t>
  </si>
  <si>
    <t>JUNIOR EMMANUEL HIDALGO OROZCO</t>
  </si>
  <si>
    <t>junior.hidalgo@unionsaludvida.com</t>
  </si>
  <si>
    <t>1091654996</t>
  </si>
  <si>
    <t>KAREN LORENA ANGARITA RAMIREZ</t>
  </si>
  <si>
    <t>karen.angarita@unionsaludvida.com</t>
  </si>
  <si>
    <t>1035227892</t>
  </si>
  <si>
    <t>KAREN YERENY SOLANO PINEDA</t>
  </si>
  <si>
    <t>karen.solano@unionsaludvida.com</t>
  </si>
  <si>
    <t>1193537336</t>
  </si>
  <si>
    <t>KARINA ALEJANDRA ARIZA ESTEBAN</t>
  </si>
  <si>
    <t>karina.ariza@unionsaludvida.com</t>
  </si>
  <si>
    <t>1001920543</t>
  </si>
  <si>
    <t>KARINA MARCELA RAMOS ROSSETES</t>
  </si>
  <si>
    <t>karina.ramos@unionsaludvida.com</t>
  </si>
  <si>
    <t>1035226819</t>
  </si>
  <si>
    <t>KARLA ANDREA GUTIERREZ MARTINEZ</t>
  </si>
  <si>
    <t>karla.gutierrez@unionsaludvida.com</t>
  </si>
  <si>
    <t>1082953939</t>
  </si>
  <si>
    <t>KARLA ISABEL GONZALEZ GUTIERREZ</t>
  </si>
  <si>
    <t>isabel.gonzalez@unionsaludvida.com</t>
  </si>
  <si>
    <t>1000534926</t>
  </si>
  <si>
    <t>KARLA MELISSA MARIN GOMEZ</t>
  </si>
  <si>
    <t>karla.marin@unionsaludvida.com</t>
  </si>
  <si>
    <t>1017265238</t>
  </si>
  <si>
    <t>KARLA VANESSA AYARZA OSPINA</t>
  </si>
  <si>
    <t>karla.ayarza@unionsaludvida.com</t>
  </si>
  <si>
    <t>1098812791</t>
  </si>
  <si>
    <t>KARLA VANESSA CERPA ALCOCER</t>
  </si>
  <si>
    <t>karla.cerpa@unionsaludvida.com</t>
  </si>
  <si>
    <t>1193512212</t>
  </si>
  <si>
    <t>KARLA YULIANA VILLAMIZAR CAMARGO</t>
  </si>
  <si>
    <t>karla.villamizar@unionsaludvida.com</t>
  </si>
  <si>
    <t>1042459188</t>
  </si>
  <si>
    <t>KARMEN ELENA PUGLIESE BALZA</t>
  </si>
  <si>
    <t>karmen.pugliese@unionsaludvida.com</t>
  </si>
  <si>
    <t>1046874300</t>
  </si>
  <si>
    <t>KAROL ANDREA ZAMBRANO URUETA</t>
  </si>
  <si>
    <t>karol.zambrano@unionsaludvida.com</t>
  </si>
  <si>
    <t>1088348251</t>
  </si>
  <si>
    <t>KAROL STEFANY RIVAS ROBLEDO</t>
  </si>
  <si>
    <t>karol.rivas@unionsaludvida.com</t>
  </si>
  <si>
    <t>1235251459</t>
  </si>
  <si>
    <t>KAROLAINE DAYANA PALMAR FONSECA</t>
  </si>
  <si>
    <t>karolaine.palmar@unionsaludvida.com</t>
  </si>
  <si>
    <t>1036663860</t>
  </si>
  <si>
    <t>KAROLAINN MUÑOZ PARRA</t>
  </si>
  <si>
    <t>karolainn.parra@unionsaludvida.com</t>
  </si>
  <si>
    <t>1001995700</t>
  </si>
  <si>
    <t>KAROLL ANDREA CAMPO GOMEZ</t>
  </si>
  <si>
    <t>karoll.campo@unionsaludvida.com</t>
  </si>
  <si>
    <t>1003394610</t>
  </si>
  <si>
    <t>KAROLL LUCIA LEON TIRADO</t>
  </si>
  <si>
    <t>karoll.leon@unionsaludvida.com</t>
  </si>
  <si>
    <t>1045684605</t>
  </si>
  <si>
    <t>KARY OTILIA PARRA BARRIOS</t>
  </si>
  <si>
    <t>kary.parra@unionsaludvida.com</t>
  </si>
  <si>
    <t>1143395761</t>
  </si>
  <si>
    <t>KATERIN CHARRY ALZAMORA</t>
  </si>
  <si>
    <t>katerin.charry@unionsaludvida.com</t>
  </si>
  <si>
    <t>1143350381</t>
  </si>
  <si>
    <t>KATHERIN PORTELA BUELVAS</t>
  </si>
  <si>
    <t>katherin.portela@unionsaludvida.com</t>
  </si>
  <si>
    <t>1036681158</t>
  </si>
  <si>
    <t>KATHERINE HENAO MARTINEZ</t>
  </si>
  <si>
    <t>katherine.henao@unionsaludvida.com</t>
  </si>
  <si>
    <t>1214714989</t>
  </si>
  <si>
    <t>KATHERINE MORA CARDONA</t>
  </si>
  <si>
    <t>katherine.mora@unionsaludvida.com</t>
  </si>
  <si>
    <t>1085308661</t>
  </si>
  <si>
    <t>KATHERINE ROSERO PATIÑO</t>
  </si>
  <si>
    <t>katherine.rosero@unionsaludvida.com</t>
  </si>
  <si>
    <t>1040183455</t>
  </si>
  <si>
    <t>KATHERINE SANCHEZ ACEVEDO</t>
  </si>
  <si>
    <t>katherine.sanchez@unionsaludvida.com</t>
  </si>
  <si>
    <t>1046952293</t>
  </si>
  <si>
    <t>KATHERINE TORRES MONTOYA</t>
  </si>
  <si>
    <t>katherine.torres@unionsaludvida.com</t>
  </si>
  <si>
    <t>1006573376</t>
  </si>
  <si>
    <t>KATHERYN JULIETH GENES MARIN</t>
  </si>
  <si>
    <t>katheryn.genes@unionsaludvida.com</t>
  </si>
  <si>
    <t>1140830211</t>
  </si>
  <si>
    <t>KATHIA PAOLA VASQUEZ CABALLERO</t>
  </si>
  <si>
    <t>kathia.vasquez@unionsaludvida.com</t>
  </si>
  <si>
    <t>1053853703</t>
  </si>
  <si>
    <t>KATRIN DARIANI PATIÑO LOPEZ</t>
  </si>
  <si>
    <t>katrin.lopez@unionsaludvida.com</t>
  </si>
  <si>
    <t>1124014714</t>
  </si>
  <si>
    <t>KATTY ISABEL VALLEJO OTERO</t>
  </si>
  <si>
    <t>katty.vallejo@unionsaludvida.com</t>
  </si>
  <si>
    <t>1028025153</t>
  </si>
  <si>
    <t>KATTY YANEIDY AYALA LEMOS</t>
  </si>
  <si>
    <t>katty.ayala@unionsaludvida.com</t>
  </si>
  <si>
    <t>1017128969</t>
  </si>
  <si>
    <t>KATTYA MILENA CHACÓN SANCHEZ</t>
  </si>
  <si>
    <t>kattya.chacon@unionsaludvida.com</t>
  </si>
  <si>
    <t>1082940002</t>
  </si>
  <si>
    <t>KEILA ESTHER GUERRERO BOLAÑO</t>
  </si>
  <si>
    <t>keila.guerrero@unionsaludvida.com</t>
  </si>
  <si>
    <t>KEILYN ROSANA CANCIO ORTEGA</t>
  </si>
  <si>
    <t>keilyn.cancio@unionsaludvida.com</t>
  </si>
  <si>
    <t>1039468243</t>
  </si>
  <si>
    <t>KEISY CAICEDO CHAVERRA</t>
  </si>
  <si>
    <t>keisy.caicedo@unionsaludvida.com</t>
  </si>
  <si>
    <t>1001023425</t>
  </si>
  <si>
    <t>KEISY ESTEBAN FUENTES AVILA</t>
  </si>
  <si>
    <t>keisy.fuentes@unionsaludvida.com</t>
  </si>
  <si>
    <t>42161723</t>
  </si>
  <si>
    <t>KEITTY MADELEN DURAN GARZON</t>
  </si>
  <si>
    <t>keitty.duran@unionsaludvida.com</t>
  </si>
  <si>
    <t>1039467723</t>
  </si>
  <si>
    <t>KELLY DAYANA ATEHORTUA MEJIA</t>
  </si>
  <si>
    <t>lidergestac@unionsaludvida.com</t>
  </si>
  <si>
    <t>1001852351</t>
  </si>
  <si>
    <t>KELLY ISABELLA VILLANUEVA BUSTOS</t>
  </si>
  <si>
    <t>kelly.villanueva@unionsaludvida.com</t>
  </si>
  <si>
    <t>1152697923</t>
  </si>
  <si>
    <t>KELLY JOHANA ACEVEDO GIRALDO</t>
  </si>
  <si>
    <t>kelly.acevedo@unionsaludvida.com</t>
  </si>
  <si>
    <t>1045736526</t>
  </si>
  <si>
    <t>KELLY JOHANA PALACIO PEREZ</t>
  </si>
  <si>
    <t>kelly.palacio@unionsaludvida.com</t>
  </si>
  <si>
    <t>1035864037</t>
  </si>
  <si>
    <t>KELLY JOHANNA AGUDELO GIL</t>
  </si>
  <si>
    <t>kelly.agudelo@unionsaludvida.com</t>
  </si>
  <si>
    <t>1234090551</t>
  </si>
  <si>
    <t>KELLY JOHANNA CANTILLO MARTINEZ</t>
  </si>
  <si>
    <t>kelly.cantillo@unionsaludvida.com</t>
  </si>
  <si>
    <t>1143363600</t>
  </si>
  <si>
    <t>KELLY JOHANNA MACHACON CASTILLA</t>
  </si>
  <si>
    <t>lidercisuraba@unionsaludvida.com</t>
  </si>
  <si>
    <t>1140860375</t>
  </si>
  <si>
    <t>KELLY JOHANNA PORRAS MOLINA</t>
  </si>
  <si>
    <t>kelly.porras@unionsaludvida.com</t>
  </si>
  <si>
    <t>22549731</t>
  </si>
  <si>
    <t>KELLY ROSANA UJUETA MERIÑO</t>
  </si>
  <si>
    <t>kelly.ujueta@unionsaludvida.com</t>
  </si>
  <si>
    <t>52517719</t>
  </si>
  <si>
    <t>KELY EDITH RIVAS MOSQUERA</t>
  </si>
  <si>
    <t>kelly.rivas@unionsaludvida.com</t>
  </si>
  <si>
    <t>57462901</t>
  </si>
  <si>
    <t xml:space="preserve">KELY HERNANDEZ GALVIS </t>
  </si>
  <si>
    <t>kely.galvis@unionsaludvida.com</t>
  </si>
  <si>
    <t>35890461</t>
  </si>
  <si>
    <t>KENNAYDA MACHADO MENA</t>
  </si>
  <si>
    <t>kennayda.machado@unionsaludvida.com</t>
  </si>
  <si>
    <t>1001361981</t>
  </si>
  <si>
    <t>KENNY ZULUAGA CARVAJAL</t>
  </si>
  <si>
    <t>kenny.zuluaga@unionsaludvida.com</t>
  </si>
  <si>
    <t>1007624721</t>
  </si>
  <si>
    <t>KEREN LOANIS NIÑO JAIMES</t>
  </si>
  <si>
    <t>keren.nino@unionsaludvida.com</t>
  </si>
  <si>
    <t>39072260</t>
  </si>
  <si>
    <t>KETTY LUZ MUGNO BAENA</t>
  </si>
  <si>
    <t>ketty.mugno@unionsaludvida.com</t>
  </si>
  <si>
    <t>1143995272</t>
  </si>
  <si>
    <t>KEVIN JOSE RODRIGUEZ SANCHEZ</t>
  </si>
  <si>
    <t>kevin.rodriguez@unionsaludvida.com</t>
  </si>
  <si>
    <t>1052988112</t>
  </si>
  <si>
    <t>KEYLIN PABA LASTRE</t>
  </si>
  <si>
    <t>keylin.paba@unionsaludvida.com</t>
  </si>
  <si>
    <t>1001139961</t>
  </si>
  <si>
    <t>KIARA DANIELA MONSALVE TANGARIFE</t>
  </si>
  <si>
    <t>kiara.monsalve@unionsaludvida.com</t>
  </si>
  <si>
    <t>1026299712</t>
  </si>
  <si>
    <t>KIARA YUVERLYNG MOSQUERA GARRIDO</t>
  </si>
  <si>
    <t>kiara.mosquera@unionsaludvida.com</t>
  </si>
  <si>
    <t>1006054760</t>
  </si>
  <si>
    <t>KITZEA XILENI SANCHEZ CUADRO</t>
  </si>
  <si>
    <t>kitzea.sanchez@unionsaludvida.com</t>
  </si>
  <si>
    <t>1005582110</t>
  </si>
  <si>
    <t>KRISTIAN ANDRES GARCIA PEREZ</t>
  </si>
  <si>
    <t>kristian.garcia@unionsaludvida.com</t>
  </si>
  <si>
    <t>1037574966</t>
  </si>
  <si>
    <t>LADY ANDREA RESTREPO RUIZ</t>
  </si>
  <si>
    <t>lady.restrepo@unionsaludvida.com</t>
  </si>
  <si>
    <t>1017198996</t>
  </si>
  <si>
    <t>LADY CAROLINA QUIROGA ARIAS</t>
  </si>
  <si>
    <t>lady.quiroga@unionsaludvida.com</t>
  </si>
  <si>
    <t>1128276603</t>
  </si>
  <si>
    <t>LADY CAROLINA RODRIGUEZ FERNANDEZ</t>
  </si>
  <si>
    <t>lady.rodriguez@unionsaludvida.com</t>
  </si>
  <si>
    <t>39360409</t>
  </si>
  <si>
    <t>LADY MARCELA PALACIO RUEDA</t>
  </si>
  <si>
    <t>lady.palacio@unionsaludvida.com</t>
  </si>
  <si>
    <t>1152455080</t>
  </si>
  <si>
    <t>LAURA ALEJANDRA MALAGON YOPASA</t>
  </si>
  <si>
    <t>laura.malagon@unionsaludvida.com</t>
  </si>
  <si>
    <t>1007240267</t>
  </si>
  <si>
    <t>LAURA ANDREA ARISTIZABAL CARVAJAL</t>
  </si>
  <si>
    <t>laura.carvajal@unionsaludvida.com</t>
  </si>
  <si>
    <t>1005660092</t>
  </si>
  <si>
    <t>LAURA ANDREA GENEZ LEYVA</t>
  </si>
  <si>
    <t>laura.genez@unionsaludvida.com</t>
  </si>
  <si>
    <t>1041149354</t>
  </si>
  <si>
    <t>LAURA BEDOYA CARDONA</t>
  </si>
  <si>
    <t>laura.bedoya@unionsaludvida.com</t>
  </si>
  <si>
    <t>1053860403</t>
  </si>
  <si>
    <t>LAURA CAROLINA GALLO ARIAS</t>
  </si>
  <si>
    <t>laura.gallo@unionsaludvida.com</t>
  </si>
  <si>
    <t>1128463014</t>
  </si>
  <si>
    <t>LAURA CORTES GARCIA</t>
  </si>
  <si>
    <t>liderciscityplaza@unionsaludvida.com</t>
  </si>
  <si>
    <t>1152698446</t>
  </si>
  <si>
    <t>LAURA CRISTINA BERMUDEZ LOPEZ</t>
  </si>
  <si>
    <t>laura.bermudez@unionsaludvida.com</t>
  </si>
  <si>
    <t>1040047481</t>
  </si>
  <si>
    <t>LAURA CRISTINA BOTERO PATIÑO</t>
  </si>
  <si>
    <t>laura.botero@unionsaludvida.com</t>
  </si>
  <si>
    <t>1017232013</t>
  </si>
  <si>
    <t>LAURA CRISTINA ROJAS ROJAS</t>
  </si>
  <si>
    <t>laura.rojas@unionsaludvida.com</t>
  </si>
  <si>
    <t>1037653415</t>
  </si>
  <si>
    <t>LAURA CRISTINA VELEZ MIRANDA</t>
  </si>
  <si>
    <t>laura.velez@unionsaludvida.com</t>
  </si>
  <si>
    <t>1049648352</t>
  </si>
  <si>
    <t>LAURA FABIOLA GARCIA FLOREZ</t>
  </si>
  <si>
    <t>laura.garcia@unionsaludvida.com</t>
  </si>
  <si>
    <t>1127538354</t>
  </si>
  <si>
    <t>LAURA GONZALEZ CORDOBA</t>
  </si>
  <si>
    <t>laura.gonzalez@unionsaludvida.com</t>
  </si>
  <si>
    <t>1007918909</t>
  </si>
  <si>
    <t>LAURA ISABEL COLORADO ZEA</t>
  </si>
  <si>
    <t>laura.colorado@unionsaludvida.com</t>
  </si>
  <si>
    <t>1006490561</t>
  </si>
  <si>
    <t>LAURA ISABEL TABARES PEÑA</t>
  </si>
  <si>
    <t>laura.tabares@unionsaludvida.com</t>
  </si>
  <si>
    <t>1072667035</t>
  </si>
  <si>
    <t>LAURA JANETH GOMEZ ALVARADO</t>
  </si>
  <si>
    <t>laura.gomez@unionsaludvida.com</t>
  </si>
  <si>
    <t>1143411265</t>
  </si>
  <si>
    <t>LAURA MARCELA GARRIDO MANJON</t>
  </si>
  <si>
    <t>laura.garrido@unionsaludvida.com</t>
  </si>
  <si>
    <t>1062399118</t>
  </si>
  <si>
    <t>LAURA MARCELA MEJIA GONZALEZ</t>
  </si>
  <si>
    <t>1001782572</t>
  </si>
  <si>
    <t>LAURA MARGARITA ZULUAGA ORTEGA</t>
  </si>
  <si>
    <t>margarita.zuluaga@unionsaludvida.com</t>
  </si>
  <si>
    <t>1152221372</t>
  </si>
  <si>
    <t>LAURA MARIA CANO MIRANDA</t>
  </si>
  <si>
    <t>laura.cano@unionsaludvida.com</t>
  </si>
  <si>
    <t>1020482893</t>
  </si>
  <si>
    <t>LAURA MARIA CARMONA MEJIA</t>
  </si>
  <si>
    <t>laura.carmona@unionsaludvida.com</t>
  </si>
  <si>
    <t>1216722841</t>
  </si>
  <si>
    <t>LAURA MARIA CASTRO LOPEZ</t>
  </si>
  <si>
    <t>laura.castro@unionsaludvida.com</t>
  </si>
  <si>
    <t>1007223521</t>
  </si>
  <si>
    <t>LAURA MARIA GOMEZ ROJAS</t>
  </si>
  <si>
    <t>lauramaria.gomez@unionsaludvida.com</t>
  </si>
  <si>
    <t>1117545007</t>
  </si>
  <si>
    <t>LAURA MARLEN GEOVO FLOREZ</t>
  </si>
  <si>
    <t>laura.geovo@unionsaludvida.com</t>
  </si>
  <si>
    <t>1235039170</t>
  </si>
  <si>
    <t>LAURA MELISSA VELASQUEZ PACHECO</t>
  </si>
  <si>
    <t>melissa.velasquez@unionsaludvida.com</t>
  </si>
  <si>
    <t>1045748594</t>
  </si>
  <si>
    <t>LAURA MILENA HEREDIA JIMENEZ</t>
  </si>
  <si>
    <t>laura.heredia@unionsaludvida.com</t>
  </si>
  <si>
    <t>LAURA PAULINA VALENCIA BEDOYA</t>
  </si>
  <si>
    <t>laura.valencia@unionsaludvida.com</t>
  </si>
  <si>
    <t>1000207765</t>
  </si>
  <si>
    <t>LAURA POSADA WHITE</t>
  </si>
  <si>
    <t>laura.posada@unionsaludvida.com</t>
  </si>
  <si>
    <t>1039468657</t>
  </si>
  <si>
    <t>LAURA RESTREPO MONTOYA</t>
  </si>
  <si>
    <t>laura.montoya@unionsaludvida.com</t>
  </si>
  <si>
    <t>LAURA SALOMME ECHAVARRIA ALVAREZ</t>
  </si>
  <si>
    <t>salomme.echavarria@unionsaludvida.com</t>
  </si>
  <si>
    <t>1007600707</t>
  </si>
  <si>
    <t>LAURA SOFIA AGUILERA ARIÑO</t>
  </si>
  <si>
    <t>laura.aguilera@unionsaludvida.com</t>
  </si>
  <si>
    <t>1043022332</t>
  </si>
  <si>
    <t>LAURA SOFIA PACHECO MANOTAS</t>
  </si>
  <si>
    <t>laura.pacheco@unionsaludvida.com</t>
  </si>
  <si>
    <t>1035872029</t>
  </si>
  <si>
    <t>LAURA TATIANA NOREÑA ECHEVERRY</t>
  </si>
  <si>
    <t>laura.norena@unionsaludvida.com</t>
  </si>
  <si>
    <t>1026154191</t>
  </si>
  <si>
    <t>LAURA TATIANA RAMIREZ CARTAGENA</t>
  </si>
  <si>
    <t>laura.ramirez@unionsaludvida.com</t>
  </si>
  <si>
    <t>1052409952</t>
  </si>
  <si>
    <t>LAURA VANESA LOPEZ AGUDELO</t>
  </si>
  <si>
    <t>laura.agudelo@unionsaludvida.com</t>
  </si>
  <si>
    <t>1143404725</t>
  </si>
  <si>
    <t>LAURA VANESSA ESCORCIA ALVAREZ</t>
  </si>
  <si>
    <t>laura.escorcia@unionsaludvida.com</t>
  </si>
  <si>
    <t>Nueva Colonia</t>
  </si>
  <si>
    <t>LAURA VANESSA GARCIA QUEJADA</t>
  </si>
  <si>
    <t>laura.quejada@unionsaludvida.com</t>
  </si>
  <si>
    <t>1007375734</t>
  </si>
  <si>
    <t>LAURA VANESSA PLAZA ARIAS</t>
  </si>
  <si>
    <t>laura.plaza@unionsaludvida.com</t>
  </si>
  <si>
    <t>LAURA VANESSA RAMIREZ GOMEZ</t>
  </si>
  <si>
    <t>vanessa.ramirez@unionsaludvida.com</t>
  </si>
  <si>
    <t>1235045754</t>
  </si>
  <si>
    <t>LAURA VICTORIA ARAGON MENDOZA</t>
  </si>
  <si>
    <t>laura.aragon@unionsaludvida.com</t>
  </si>
  <si>
    <t>1017231376</t>
  </si>
  <si>
    <t>LAURA VICTORIA MURILLO SOTO</t>
  </si>
  <si>
    <t>laura.murillo@unionsaludvida.com</t>
  </si>
  <si>
    <t>1094891653</t>
  </si>
  <si>
    <t>LAURA VICTORIA VILLEGAS LEAL</t>
  </si>
  <si>
    <t>laura.villegas@unionsaludvida.com</t>
  </si>
  <si>
    <t>1045515208</t>
  </si>
  <si>
    <t>LAURA VIVIANA HENAO CUESTA</t>
  </si>
  <si>
    <t>laura.cuesta@unionsaludvida.com</t>
  </si>
  <si>
    <t>1078464285</t>
  </si>
  <si>
    <t>LAURA YANETH PALACIOS MATURANA</t>
  </si>
  <si>
    <t>laura.palacios@unionsaludvida.com</t>
  </si>
  <si>
    <t>1000757063</t>
  </si>
  <si>
    <t>LEAM GILANNY ARGAEZ MORALES</t>
  </si>
  <si>
    <t>gestionasistencialrionegro@unionsaludvida.com</t>
  </si>
  <si>
    <t>1118806907</t>
  </si>
  <si>
    <t>LEANDRO RAUL PUENTE SOLANO</t>
  </si>
  <si>
    <t>leandro.puente@unionsaludvida.com</t>
  </si>
  <si>
    <t>43628229</t>
  </si>
  <si>
    <t>LEIDY ANLLELY CASTRILLON GARCIA</t>
  </si>
  <si>
    <t>leidy.castrillon@unionsaludvida.com</t>
  </si>
  <si>
    <t>1020465339</t>
  </si>
  <si>
    <t>LEIDY CAROLINA PEREZ VELEZ</t>
  </si>
  <si>
    <t>leidy.perez@unionsaludvida.com</t>
  </si>
  <si>
    <t>1143414481</t>
  </si>
  <si>
    <t>LEIDY DIANA RUIZ OCAMPO</t>
  </si>
  <si>
    <t>leidy.ruiz@unionsaludvida.com</t>
  </si>
  <si>
    <t>1018484929</t>
  </si>
  <si>
    <t>LEIDY JESENIA MEDINA HURTADO</t>
  </si>
  <si>
    <t>leidy.medina@unionsaludvida.com</t>
  </si>
  <si>
    <t>1085277724</t>
  </si>
  <si>
    <t>LEIDY JOHANA CUASES GONZALEZ</t>
  </si>
  <si>
    <t>leidy.causes@unionsaludvida.com</t>
  </si>
  <si>
    <t>1128278122</t>
  </si>
  <si>
    <t>Arboletes</t>
  </si>
  <si>
    <t>LEIDY JOHANNA GUEVARA GIRALDO</t>
  </si>
  <si>
    <t>leidy.guevara@unionsaludvida.com</t>
  </si>
  <si>
    <t>1152697121</t>
  </si>
  <si>
    <t>LEIDY LISBETH LUGO MORALES</t>
  </si>
  <si>
    <t>leidy.lugo@unionsaludvida.com</t>
  </si>
  <si>
    <t>LEIDY VANESSA BEDOYA BEDOYA</t>
  </si>
  <si>
    <t>leidy.bedoya@unionsaludvida.com</t>
  </si>
  <si>
    <t>1098770630</t>
  </si>
  <si>
    <t>LEIDY VIVIANA MENDOZA URIBE</t>
  </si>
  <si>
    <t>leidy.mendoza@unionsaludvida.com</t>
  </si>
  <si>
    <t>1037613802</t>
  </si>
  <si>
    <t>Auxiliar Gestion Humana B</t>
  </si>
  <si>
    <t>LEIDY YOHANA BLANDON TAPIAS</t>
  </si>
  <si>
    <t>seleccion@unionsaludvida.com</t>
  </si>
  <si>
    <t>1045683019</t>
  </si>
  <si>
    <t>LEONARDO JAVIER BRAVO PAUTT</t>
  </si>
  <si>
    <t>leonardo.bravo@unionsaludvida.com</t>
  </si>
  <si>
    <t>1001944746</t>
  </si>
  <si>
    <t>LEXLIE LORENA LAMBRANO PARRA</t>
  </si>
  <si>
    <t>lexlie.lambrano@unionsaludvida.com</t>
  </si>
  <si>
    <t>52814989</t>
  </si>
  <si>
    <t>LEYDY YOHANA REYES CORDOBA</t>
  </si>
  <si>
    <t>leydy.reyes@unionsaludvida.com</t>
  </si>
  <si>
    <t>1046527070</t>
  </si>
  <si>
    <t>LIANIS JHOANA WALDO AGUIRRE</t>
  </si>
  <si>
    <t>lianis.waldo@unionsaludvida.com</t>
  </si>
  <si>
    <t>1094967200</t>
  </si>
  <si>
    <t>LICETH NATHALIA GUAUQUE TRUJILLO</t>
  </si>
  <si>
    <t>liceth.guauque@unionsaludvida.com</t>
  </si>
  <si>
    <t>1083048590</t>
  </si>
  <si>
    <t>LICETH PAOLA BALAGUERA COLINA</t>
  </si>
  <si>
    <t>liceth.balaguera@unionsaludvida.com</t>
  </si>
  <si>
    <t>1098779425</t>
  </si>
  <si>
    <t>LILIANA MARCELA DEVIA COGOLLO</t>
  </si>
  <si>
    <t>liliana.devia@unionsaludvida.com</t>
  </si>
  <si>
    <t>39187404</t>
  </si>
  <si>
    <t>LILIANA MARIA CASTAÑEDA LOPEZ</t>
  </si>
  <si>
    <t>liliana.castaneda@unionsaludvida.com</t>
  </si>
  <si>
    <t>53165618</t>
  </si>
  <si>
    <t>LILIANA PATRICIA FONTECHA NIÑO</t>
  </si>
  <si>
    <t>liliana.fontecha@unionsaludvida.com</t>
  </si>
  <si>
    <t>42827780</t>
  </si>
  <si>
    <t>LINA MARCELA ALVAREZ MARIN</t>
  </si>
  <si>
    <t>lina.alvarez@unionsaludvida.com</t>
  </si>
  <si>
    <t>43581569</t>
  </si>
  <si>
    <t>LINA MARIA BARRERA GUISAO</t>
  </si>
  <si>
    <t>lina.barrera@unionsaludvida.com</t>
  </si>
  <si>
    <t>LINA MARIA GARCIA MORENO</t>
  </si>
  <si>
    <t>lina.moreno@unionsaludvida.com</t>
  </si>
  <si>
    <t>1035419749</t>
  </si>
  <si>
    <t>LINA MARIA HERRERA AGUDELO</t>
  </si>
  <si>
    <t>lina.herrera@unionsaludvida.com</t>
  </si>
  <si>
    <t>50995706</t>
  </si>
  <si>
    <t>LINA MARIA LOZANO NORIEGA</t>
  </si>
  <si>
    <t>lina.lozano@unionsaludvida.com</t>
  </si>
  <si>
    <t>1089244527</t>
  </si>
  <si>
    <t>LINA MARIA MARROQUIN BRAVO</t>
  </si>
  <si>
    <t>lina.marroquin@unionsaludvida.com</t>
  </si>
  <si>
    <t>1144052192</t>
  </si>
  <si>
    <t>LINA MARIA MONTES VALDES</t>
  </si>
  <si>
    <t>lina.montes@unionsaludvida.com</t>
  </si>
  <si>
    <t>1152446869</t>
  </si>
  <si>
    <t>LINA MARIA RODAS VALENCIA</t>
  </si>
  <si>
    <t>lina.rodas@unionsaludvida.com</t>
  </si>
  <si>
    <t>43758793</t>
  </si>
  <si>
    <t>LINA MARIA VELEZ CUERVO</t>
  </si>
  <si>
    <t>lina.velez@unionsaludvida.com</t>
  </si>
  <si>
    <t>43568863</t>
  </si>
  <si>
    <t>LINA PATRICIA GUARIN ALVAREZ</t>
  </si>
  <si>
    <t>lina.guarin@unionsaludvida.com</t>
  </si>
  <si>
    <t>1128420970</t>
  </si>
  <si>
    <t>LINA TATIANA GUERRERO MOLINA</t>
  </si>
  <si>
    <t>lina.guerrero@unionsaludvida.com</t>
  </si>
  <si>
    <t>1100249052</t>
  </si>
  <si>
    <t>LINDA CAROLINA VERGARA GARCIA</t>
  </si>
  <si>
    <t>linda.vergara@unionsaludvida.com</t>
  </si>
  <si>
    <t>1140818287</t>
  </si>
  <si>
    <t>LINDA ESPERANZA CASTAÑO SANDOVAL</t>
  </si>
  <si>
    <t>linda.castano@unionsaludvida.com</t>
  </si>
  <si>
    <t>1017238267</t>
  </si>
  <si>
    <t>LINDA LUCIA GOMEZ ACEVEDO</t>
  </si>
  <si>
    <t>linda.gomez@unionsaludvida.com</t>
  </si>
  <si>
    <t>1081916952</t>
  </si>
  <si>
    <t>LISETH JOHANA CORTINA MONSALVO</t>
  </si>
  <si>
    <t>liseth.cortina@unionsaludvida.com</t>
  </si>
  <si>
    <t>1003930736</t>
  </si>
  <si>
    <t>LISETH NATALIA GIRALDO LOZANO</t>
  </si>
  <si>
    <t>liseth.giraldo@unionsaludvida.com</t>
  </si>
  <si>
    <t>1017268095</t>
  </si>
  <si>
    <t>LISETH YARITZA MARTINEZ PALACIOS</t>
  </si>
  <si>
    <t>liseth.martinez@unionsaludvida.com</t>
  </si>
  <si>
    <t>1093794378</t>
  </si>
  <si>
    <t>LISETTE CAROLINA SÁNCHEZ FERMÍN</t>
  </si>
  <si>
    <t>lisette.sanchez@unionsaludvida.com</t>
  </si>
  <si>
    <t>1193533557</t>
  </si>
  <si>
    <t>LISMARY ANDREINA ACEVEDO JIMENEZ</t>
  </si>
  <si>
    <t>lismary.acevedo@unionsaludvida.com</t>
  </si>
  <si>
    <t>1001595946</t>
  </si>
  <si>
    <t>LIZ YOMAIRA NIEVES CORDERO</t>
  </si>
  <si>
    <t>liz.nieves@unionsaludvida.com</t>
  </si>
  <si>
    <t>1037604921</t>
  </si>
  <si>
    <t>LIZA FERNANDA RUA SALDARRIAGA</t>
  </si>
  <si>
    <t>liza.rua@unionsaludvida.com</t>
  </si>
  <si>
    <t>1082926790</t>
  </si>
  <si>
    <t>LIZETH ALVARADO TORRES</t>
  </si>
  <si>
    <t>lizeth.alvarado@unionsaludvida.com</t>
  </si>
  <si>
    <t>1000853742</t>
  </si>
  <si>
    <t>LIZETH DAHIANA PUENTES SANCHEZ</t>
  </si>
  <si>
    <t>lizeth.puentes@unionsaludvida.com</t>
  </si>
  <si>
    <t>1140829924</t>
  </si>
  <si>
    <t>LIZETH DAYANA DE LA HOZ RUEDA</t>
  </si>
  <si>
    <t>lizeth.delahoz@unionsaludvida.com</t>
  </si>
  <si>
    <t>1005338076</t>
  </si>
  <si>
    <t>LIZETH DAYANA LOZANO GARCIA</t>
  </si>
  <si>
    <t>lizeth.lozano@unionsaludvida.com</t>
  </si>
  <si>
    <t>1017218815</t>
  </si>
  <si>
    <t>LIZZET JANETH CUERVO HENAO</t>
  </si>
  <si>
    <t>auxgestiondocumental@unionsaludvida.com</t>
  </si>
  <si>
    <t>1047469537</t>
  </si>
  <si>
    <t>LORAINES ADRIANA RAMIREZ CASTRO</t>
  </si>
  <si>
    <t>loraines.ramirez@unionsaludvida.com</t>
  </si>
  <si>
    <t>1042434133</t>
  </si>
  <si>
    <t>LOREIDYS ESTHER POLO CHARRIS</t>
  </si>
  <si>
    <t>loreidys.polo@unionsaludvida.com</t>
  </si>
  <si>
    <t>1003377961</t>
  </si>
  <si>
    <t>LORELIN ALICIA PERAZA MOLINA</t>
  </si>
  <si>
    <t>lorelin.peraza@unionsaludvida.com</t>
  </si>
  <si>
    <t>1035873270</t>
  </si>
  <si>
    <t>LORENA OCHOA AGUDELO</t>
  </si>
  <si>
    <t>lorena.ochoa@unionsaludvida.com</t>
  </si>
  <si>
    <t>1152192320</t>
  </si>
  <si>
    <t>LUCAS SANTIAGO OSORIO AGUDELO</t>
  </si>
  <si>
    <t>lucas.osorio@unionsaludvida.com</t>
  </si>
  <si>
    <t>1235539927</t>
  </si>
  <si>
    <t>LUIS ALBERTO DEVIA EVIES</t>
  </si>
  <si>
    <t>luis.devia@unionsaludvida.com</t>
  </si>
  <si>
    <t>1103099277</t>
  </si>
  <si>
    <t>LUIS ALFREDO VILLADIEGO RODRIGUEZ</t>
  </si>
  <si>
    <t>1002101644</t>
  </si>
  <si>
    <t>LUIS ANDRES ARRIETA ROJAS</t>
  </si>
  <si>
    <t>luis.arrieta@unionsaludvida.com</t>
  </si>
  <si>
    <t>1003214172</t>
  </si>
  <si>
    <t>LUIS CAMILO MEZQUIDA DIAZ</t>
  </si>
  <si>
    <t>luis.mezquida@unionsaludvida.com</t>
  </si>
  <si>
    <t>98765821</t>
  </si>
  <si>
    <t>LUIS CARLOS ZAPATA GOMEZ</t>
  </si>
  <si>
    <t>luis.zapata@unionsaludvida.com</t>
  </si>
  <si>
    <t>92541180</t>
  </si>
  <si>
    <t>LUIS EDUARDO MARTINEZ HERNANDEZ</t>
  </si>
  <si>
    <t>luis.martinez@unionsaludvida.com</t>
  </si>
  <si>
    <t>1001229563</t>
  </si>
  <si>
    <t>LUIS FELIPE CASAS PEREZ</t>
  </si>
  <si>
    <t>analistatic1@unionsaludvida.com</t>
  </si>
  <si>
    <t>1001232966</t>
  </si>
  <si>
    <t>LUIS FELIPE MOLINARES OSSA</t>
  </si>
  <si>
    <t>luis.ossa@unionsaludvida.com</t>
  </si>
  <si>
    <t>98590112</t>
  </si>
  <si>
    <t>LUIS FERNANDO GARCIA GOMEZ</t>
  </si>
  <si>
    <t>luis.gomez@unionsaludvida.com</t>
  </si>
  <si>
    <t>1003930540</t>
  </si>
  <si>
    <t>LUIS MARIO MOSQUERA PALACIOS</t>
  </si>
  <si>
    <t>luis.mosquera@unionsaludvida.com</t>
  </si>
  <si>
    <t>1098811192</t>
  </si>
  <si>
    <t>LUIS MIGUEL ROMERO HERNANDEZ</t>
  </si>
  <si>
    <t>luis.romero@unionsaludvida.com</t>
  </si>
  <si>
    <t>1005188038</t>
  </si>
  <si>
    <t>LUIS ORLANDO PLATA MARIN</t>
  </si>
  <si>
    <t>luis.plata@unionsaludvida.com</t>
  </si>
  <si>
    <t>1193123744</t>
  </si>
  <si>
    <t>LUISA ALEJANDRA AGUILAR RIOS</t>
  </si>
  <si>
    <t>luisa.aguilar@unionsaludvida.com</t>
  </si>
  <si>
    <t>1001944593</t>
  </si>
  <si>
    <t>LUISA ALEXANDRA SUAREZ ESCORCIA</t>
  </si>
  <si>
    <t>luisa.suarez@unionsaludvida.com</t>
  </si>
  <si>
    <t>39192742</t>
  </si>
  <si>
    <t>LUISA FERNANDA GAVIRIA VALENCIA</t>
  </si>
  <si>
    <t>luisa.gaviria@unionsaludvida.com</t>
  </si>
  <si>
    <t>1003337814</t>
  </si>
  <si>
    <t>LUISA FERNANDA MEDINA MARQUEZ</t>
  </si>
  <si>
    <t>auxiliar.sanignacio@unionsaludvida.com</t>
  </si>
  <si>
    <t>1143166984</t>
  </si>
  <si>
    <t>LUISA FERNANDA MINORTA LOBO</t>
  </si>
  <si>
    <t>luisa.minorta@unionsaludvida.com</t>
  </si>
  <si>
    <t>1000539201</t>
  </si>
  <si>
    <t>LUISA FERNANDA PEREZ ARIAS</t>
  </si>
  <si>
    <t>luisa.perez@unionsaludvida.com</t>
  </si>
  <si>
    <t>1214729938</t>
  </si>
  <si>
    <t>LUISA FERNANDA TORO VALENCIA</t>
  </si>
  <si>
    <t>luisa.valencia@unionsaludvida.com</t>
  </si>
  <si>
    <t>1037593661</t>
  </si>
  <si>
    <t>LUISA MARIA GUTIERREZ VILLEGAS</t>
  </si>
  <si>
    <t>luisa.gutierrez@unionsaludvida.com</t>
  </si>
  <si>
    <t>LUZ GABRIELA RUIZ GARCIA</t>
  </si>
  <si>
    <t>luz.ruiz@unionsaludvida.com</t>
  </si>
  <si>
    <t>43585735</t>
  </si>
  <si>
    <t>Auxiliar Finanzas</t>
  </si>
  <si>
    <t>LUZ MABIL CORREA CANO</t>
  </si>
  <si>
    <t>luz.correa@unionsaludvida.com</t>
  </si>
  <si>
    <t>1037524086</t>
  </si>
  <si>
    <t>LUZ MARIA SEPULVEDA BUILES</t>
  </si>
  <si>
    <t>luz.sepulveda@unionsaludvida.com</t>
  </si>
  <si>
    <t>1017264610</t>
  </si>
  <si>
    <t>MAGRETH CASTRILLON RUIZ</t>
  </si>
  <si>
    <t>magreth.castrillon@unionsaludvida.com</t>
  </si>
  <si>
    <t>1035302573</t>
  </si>
  <si>
    <t>MAIRA ALEJANDRA ECHEVERRI SARRIA</t>
  </si>
  <si>
    <t>maira.echeverri@unionsaludvida.com</t>
  </si>
  <si>
    <t>1052961687</t>
  </si>
  <si>
    <t>MALORI LLAVINA TAPIA ALANDETE</t>
  </si>
  <si>
    <t>malori.tapia@unionsaludvida.com</t>
  </si>
  <si>
    <t>1152215751</t>
  </si>
  <si>
    <t>MANUELA ARISTIZABAL ALZATE</t>
  </si>
  <si>
    <t>manuela.aristizabal@unionsaludvida.com</t>
  </si>
  <si>
    <t>1017260959</t>
  </si>
  <si>
    <t>MANUELA CARDENAS GUZMAN</t>
  </si>
  <si>
    <t>manuela.guzman@unionsaludvida.com</t>
  </si>
  <si>
    <t>1001366634</t>
  </si>
  <si>
    <t>MANUELA CHAVARRIAGA HOYOS</t>
  </si>
  <si>
    <t>manuela.chavarriaga@unionsaludvida.com</t>
  </si>
  <si>
    <t>1037644923</t>
  </si>
  <si>
    <t>MANUELA CORREA CARDENAS</t>
  </si>
  <si>
    <t>manuela.correa@unionsaludvida.com</t>
  </si>
  <si>
    <t>1037665850</t>
  </si>
  <si>
    <t>MANUELA GARAVITO RESTREPO</t>
  </si>
  <si>
    <t>manuela.garavito@unionsaludvida.com</t>
  </si>
  <si>
    <t>1017250750</t>
  </si>
  <si>
    <t>MANUELA GAVIRIA GOMEZ</t>
  </si>
  <si>
    <t>manuelagaviria.gomez@unionsaludvida.com</t>
  </si>
  <si>
    <t>MANUELA GAVIRIA VALENCIA</t>
  </si>
  <si>
    <t>1036670970</t>
  </si>
  <si>
    <t>MANUELA OSPINA ALZATE</t>
  </si>
  <si>
    <t>manuela.ospina@unionsaludvida.com</t>
  </si>
  <si>
    <t>1046668203</t>
  </si>
  <si>
    <t>MANUELA PEREZ GARCIA</t>
  </si>
  <si>
    <t>manuela.perez@unionsaludvida.com</t>
  </si>
  <si>
    <t>1037646403</t>
  </si>
  <si>
    <t>MANUELA QUINTERO PALACIOS</t>
  </si>
  <si>
    <t>manuela.quintero@unionsaludvida.com</t>
  </si>
  <si>
    <t>1214743121</t>
  </si>
  <si>
    <t>MANUELA RESTREPO MAZO</t>
  </si>
  <si>
    <t>manuela.mazo@unionsaludvida.com</t>
  </si>
  <si>
    <t>1040047359</t>
  </si>
  <si>
    <t>MANUELA TOBON CARMONA</t>
  </si>
  <si>
    <t>manuela.tobon@unionsaludvida.com</t>
  </si>
  <si>
    <t>1003382575</t>
  </si>
  <si>
    <t>MANUELA URBAEZ OLIVELLA</t>
  </si>
  <si>
    <t>manuela.urbaez@unionsaludvida.com</t>
  </si>
  <si>
    <t>1035440051</t>
  </si>
  <si>
    <t>MANUELA YEPES RAMIREZ</t>
  </si>
  <si>
    <t>manuela.ramirez@unionsaludvida.com</t>
  </si>
  <si>
    <t>1020468620</t>
  </si>
  <si>
    <t>MANUELA ZAPATA URREA</t>
  </si>
  <si>
    <t>manuela.zapata@unionsaludvida.com</t>
  </si>
  <si>
    <t>1037658448</t>
  </si>
  <si>
    <t>MARBELUZ GUTIERREZ SOLANO</t>
  </si>
  <si>
    <t>marbeluz.gutierrez@unionsaludvida.com</t>
  </si>
  <si>
    <t>1065651632</t>
  </si>
  <si>
    <t>MARCELO DE JESUS CARPIO BOSSIO</t>
  </si>
  <si>
    <t>marcelo.carpio@unionsaludvida.com</t>
  </si>
  <si>
    <t>1143166909</t>
  </si>
  <si>
    <t>MARCO ANDRE NAVARRO GAMARRA</t>
  </si>
  <si>
    <t>marco.navarro@unionsaludvida.com</t>
  </si>
  <si>
    <t>43750001</t>
  </si>
  <si>
    <t>MARGARITA MARIA PADILLA ZAPATA</t>
  </si>
  <si>
    <t>margarita.padilla@unionsaludvida.com</t>
  </si>
  <si>
    <t>43549579</t>
  </si>
  <si>
    <t>MARGARITA NELLY SEPULVEDA GALEANO</t>
  </si>
  <si>
    <t>margarita.sepulveda@unionsaludvida.com</t>
  </si>
  <si>
    <t>1003408837</t>
  </si>
  <si>
    <t>MARGARITA VALERIA PARRA VERGARA</t>
  </si>
  <si>
    <t>margarita.parra@unionsaludvida.com</t>
  </si>
  <si>
    <t>1143381184</t>
  </si>
  <si>
    <t>MARGELYS JARABA VALDEZ</t>
  </si>
  <si>
    <t>margelys.jaraba@unionsaludvida.com</t>
  </si>
  <si>
    <t>1017260265</t>
  </si>
  <si>
    <t>Auxiliar Contable</t>
  </si>
  <si>
    <t>MARGIE YULIETH ORTEGA ECHEVERRY</t>
  </si>
  <si>
    <t>auxiliarcontable@unionsaludvida.com</t>
  </si>
  <si>
    <t>1047390273</t>
  </si>
  <si>
    <t>Andes</t>
  </si>
  <si>
    <t>MARGIN FERNANDA IBARRA PADILLA</t>
  </si>
  <si>
    <t>margin.ibarra@unionsaludvida.com</t>
  </si>
  <si>
    <t>1152210131</t>
  </si>
  <si>
    <t>MARIA ALEJANDRA ARISTIZABAL GIRALDO</t>
  </si>
  <si>
    <t>alejandra.aristizabal@unionsaludvida.com</t>
  </si>
  <si>
    <t>1065850707</t>
  </si>
  <si>
    <t>MARIA ALEJANDRA ATUESTA ALARCON</t>
  </si>
  <si>
    <t>maria.atuesta@unionsaludvida.com</t>
  </si>
  <si>
    <t>1001684051</t>
  </si>
  <si>
    <t>MARIA ALEJANDRA BARANOA MENCO</t>
  </si>
  <si>
    <t>maria.baranoa@unionsaludvida.com</t>
  </si>
  <si>
    <t>1037637914</t>
  </si>
  <si>
    <t>MARIA ALEJANDRA BURITICA CORREA</t>
  </si>
  <si>
    <t>maria.buritica@unionsaludvida.com</t>
  </si>
  <si>
    <t>1037237026</t>
  </si>
  <si>
    <t>MARIA ALEJANDRA CEBALLOS GIRALDO</t>
  </si>
  <si>
    <t>alejandra.ceballos@unionsaludvida.com</t>
  </si>
  <si>
    <t>1143374524</t>
  </si>
  <si>
    <t>MARIA ALEJANDRA FALCON GUTIERREZ</t>
  </si>
  <si>
    <t>maria.falcon@unionsaludvida.com</t>
  </si>
  <si>
    <t>1017231342</t>
  </si>
  <si>
    <t>MARIA ALEJANDRA GOMEZ OTALVARO</t>
  </si>
  <si>
    <t>maria.otalvaro@unionsaludvida.com</t>
  </si>
  <si>
    <t>MARIA ALEJANDRA GUTIERREZ CORREA</t>
  </si>
  <si>
    <t>maria.correa@unionsaludvida.com</t>
  </si>
  <si>
    <t>1110582450</t>
  </si>
  <si>
    <t>MARIA ALEJANDRA GUZMAN RICO</t>
  </si>
  <si>
    <t>maria.guzman@unionsaludvida.com</t>
  </si>
  <si>
    <t>1026148048</t>
  </si>
  <si>
    <t>MARIA ALEJANDRA HOLGUIN MONTOYA</t>
  </si>
  <si>
    <t>maria.holguin@unionsaludvida.com</t>
  </si>
  <si>
    <t>1152471065</t>
  </si>
  <si>
    <t>MARIA ALEJANDRA LONDOÑO CARDONA</t>
  </si>
  <si>
    <t>alejandra.londono@unionsaludvida.com</t>
  </si>
  <si>
    <t>589412</t>
  </si>
  <si>
    <t>MARIA ALEJANDRA MEDINA PEROZO</t>
  </si>
  <si>
    <t>maria.medina@unionsaludvida.com</t>
  </si>
  <si>
    <t>1036963728</t>
  </si>
  <si>
    <t>MARIA ALEJANDRA OROZCO GIRALDO</t>
  </si>
  <si>
    <t>maria.orozco@unionsaludvida.com</t>
  </si>
  <si>
    <t>1001749312</t>
  </si>
  <si>
    <t>MARIA ALEJANDRA PARRA PUERTA</t>
  </si>
  <si>
    <t>auxiliarsaludcaldas@unionsaludvida.com</t>
  </si>
  <si>
    <t>1035442917</t>
  </si>
  <si>
    <t>MARIA ALEJANDRA PITALUA MORALES</t>
  </si>
  <si>
    <t>maria.pitalua@unionsaludvida.com</t>
  </si>
  <si>
    <t>1128458157</t>
  </si>
  <si>
    <t>MARIA ALEJANDRA RAMOS RIVAS</t>
  </si>
  <si>
    <t>maria.ramos@unionsaludvida.com</t>
  </si>
  <si>
    <t>1083048455</t>
  </si>
  <si>
    <t>MARIA ALEJANDRA RUIZ SANJUAN</t>
  </si>
  <si>
    <t>maria.sanjuan@unionsaludvida.com</t>
  </si>
  <si>
    <t>1040184590</t>
  </si>
  <si>
    <t>MARIA ALEJANDRA SANCHEZ CARMONA</t>
  </si>
  <si>
    <t>alejandra.carmona@unionsaludvida.com</t>
  </si>
  <si>
    <t>1152467699</t>
  </si>
  <si>
    <t>MARIA ALEJANDRA TORRES CEBALLOS</t>
  </si>
  <si>
    <t>alejandra.torres@unionsaludvida.com</t>
  </si>
  <si>
    <t>1193525239</t>
  </si>
  <si>
    <t>MARIA ALEXANDRA LOPEZ CHACON</t>
  </si>
  <si>
    <t>maria.chacon@unionsaludvida.com</t>
  </si>
  <si>
    <t>1143414921</t>
  </si>
  <si>
    <t>MARIA ANGELA QUIÑONEZ SILGADO</t>
  </si>
  <si>
    <t>maria.quinonez@unionsaludvida.com</t>
  </si>
  <si>
    <t>1007770630</t>
  </si>
  <si>
    <t>MARIA ANGELICA HERNANDEZ VILLALBA</t>
  </si>
  <si>
    <t>angelica.villalba@unionsaludvida.com</t>
  </si>
  <si>
    <t>1005679758</t>
  </si>
  <si>
    <t>MARIA ANGELICA MACEA ARRIETA</t>
  </si>
  <si>
    <t>maria.macea@unionsaludvida.com</t>
  </si>
  <si>
    <t>1126321093</t>
  </si>
  <si>
    <t>MARIA ANTONIA HENAO GONZALEZ</t>
  </si>
  <si>
    <t>maria.henao@unionsaludvida.com</t>
  </si>
  <si>
    <t>1007496023</t>
  </si>
  <si>
    <t>MARIA BELEN MANJARRES ARIÑO</t>
  </si>
  <si>
    <t>maria.manjarres@unionsaludvida.com</t>
  </si>
  <si>
    <t>1020463650</t>
  </si>
  <si>
    <t>Gesis</t>
  </si>
  <si>
    <t>MARIA CAMILA ARISTIZABAL AGUIRRE</t>
  </si>
  <si>
    <t>analistadedatos@unionsaludvida.com</t>
  </si>
  <si>
    <t>1037570349</t>
  </si>
  <si>
    <t>MARIA CAMILA BUITRAGO VARGAS</t>
  </si>
  <si>
    <t>maria.buitrago@unionsaludvida.com</t>
  </si>
  <si>
    <t>1152210115</t>
  </si>
  <si>
    <t>MARIA CAMILA CARDONA OCAMPO</t>
  </si>
  <si>
    <t>maria.cardona@unionsaludvida.com</t>
  </si>
  <si>
    <t>1018513192</t>
  </si>
  <si>
    <t>MARIA CAMILA CHAVERRA PALACIO</t>
  </si>
  <si>
    <t>maria.chaverra@unionsaludvida.com</t>
  </si>
  <si>
    <t>1001360215</t>
  </si>
  <si>
    <t>MARIA CAMILA GONZALEZ CASTAÑEDA</t>
  </si>
  <si>
    <t>maria.castaneda@unionsaludvida.com</t>
  </si>
  <si>
    <t>1035284139</t>
  </si>
  <si>
    <t>MARIA CAMILA HIGUITA RESTREPO</t>
  </si>
  <si>
    <t>maria.higuita@unionsaludvida.com</t>
  </si>
  <si>
    <t>1007583436</t>
  </si>
  <si>
    <t>MARIA CAMILA LAMBRAÑO TORRES</t>
  </si>
  <si>
    <t>maria.lambrano@unionsaludvida.com</t>
  </si>
  <si>
    <t>1040183892</t>
  </si>
  <si>
    <t>MARIA CAMILA LOPEZ ARIAS</t>
  </si>
  <si>
    <t>maria.camila@unionsaludvida.com</t>
  </si>
  <si>
    <t>1144106565</t>
  </si>
  <si>
    <t>MARIA CAMILA MOLANO GIRALDO</t>
  </si>
  <si>
    <t>maria.molano@unionsaludvida.com</t>
  </si>
  <si>
    <t>1037665965</t>
  </si>
  <si>
    <t>MARIA CAMILA NOGUERA GUTIERREZ</t>
  </si>
  <si>
    <t>camila.noguera@unionsaludvida.com</t>
  </si>
  <si>
    <t>1152467860</t>
  </si>
  <si>
    <t>MARIA CAMILA PATIÑO PEREZ</t>
  </si>
  <si>
    <t>camila.patino@unionsaludvida.com</t>
  </si>
  <si>
    <t>1038412205</t>
  </si>
  <si>
    <t>MARIA CAMILA PELAEZ DOMINGUEZ</t>
  </si>
  <si>
    <t>maria.pelaez@unionsaludvida.com</t>
  </si>
  <si>
    <t>1037667887</t>
  </si>
  <si>
    <t>MARIA CAMILA RESTREPO CANO</t>
  </si>
  <si>
    <t>maria.restrepo@unionsaludvida.com</t>
  </si>
  <si>
    <t>1233189573</t>
  </si>
  <si>
    <t>MARIA CAMILA REVELO FLOREZ</t>
  </si>
  <si>
    <t>maria.revelo@unionsaludvida.com</t>
  </si>
  <si>
    <t>1007705398</t>
  </si>
  <si>
    <t>MARIA CAMILA RIAÑO CUBILLOS</t>
  </si>
  <si>
    <t>maria.riano@unionsaludvida.com</t>
  </si>
  <si>
    <t>1152214238</t>
  </si>
  <si>
    <t>MARIA CAMILA ROBLEDO ESPINAL</t>
  </si>
  <si>
    <t>maria.robledo@unionsaludvida.com</t>
  </si>
  <si>
    <t>1152224666</t>
  </si>
  <si>
    <t>MARIA CAMILA ROMERO BOJACA</t>
  </si>
  <si>
    <t>maria.romero@unionsaludvida.com</t>
  </si>
  <si>
    <t>1016090631</t>
  </si>
  <si>
    <t>MARIA CAMILA VALENCIA VALLEJO</t>
  </si>
  <si>
    <t>maria.valencia@unionsaludvida.com</t>
  </si>
  <si>
    <t>1066187569</t>
  </si>
  <si>
    <t>MARIA CAROLINA MENDOZA GUERRA</t>
  </si>
  <si>
    <t>maria.mendoza@unionsaludvida.com</t>
  </si>
  <si>
    <t>1000412686</t>
  </si>
  <si>
    <t>MARIA CAROLINA TORRES VILLEGAS</t>
  </si>
  <si>
    <t>carolina.torres@unionsaludvida.com</t>
  </si>
  <si>
    <t>1001368815</t>
  </si>
  <si>
    <t>MARIA CATALINA GONZALEZ BETANCUR</t>
  </si>
  <si>
    <t>maria.betancur@unionsaludvida.com</t>
  </si>
  <si>
    <t>1017254059</t>
  </si>
  <si>
    <t>MARIA CATALINA SOTO LOPEZ</t>
  </si>
  <si>
    <t>maria.soto@unionsaludvida.com</t>
  </si>
  <si>
    <t>1000416758</t>
  </si>
  <si>
    <t>MARIA CLARA ACOSTA GOMEZ</t>
  </si>
  <si>
    <t>maria.acosta@unionsaludvida.com</t>
  </si>
  <si>
    <t>1001477588</t>
  </si>
  <si>
    <t>MARIA CLARA CASTAÑO RIOS</t>
  </si>
  <si>
    <t>maria.rios@unionsaludvida.com</t>
  </si>
  <si>
    <t>43094645</t>
  </si>
  <si>
    <t>MARIA CLARA JARAMILLO ESTRADA</t>
  </si>
  <si>
    <t>clara.jaramillo@unionsaludvida.com</t>
  </si>
  <si>
    <t>1007433503</t>
  </si>
  <si>
    <t>MARIA CLARA MONTOYA ALZATE</t>
  </si>
  <si>
    <t>clara.montoya@unionsaludvida.com</t>
  </si>
  <si>
    <t>1020414545</t>
  </si>
  <si>
    <t>MARIA CRISTINA MUÑOZ VANEGAS</t>
  </si>
  <si>
    <t>maria.munoz@unionsaludvida.com</t>
  </si>
  <si>
    <t>32908266</t>
  </si>
  <si>
    <t>MARIA DEL ROSARIO SARMIENTO PIÑERES</t>
  </si>
  <si>
    <t>mariasarmiento.contratista@unionsaludvida.com</t>
  </si>
  <si>
    <t>1193459651</t>
  </si>
  <si>
    <t>MARIA ELENA PASTRANA DIAZ</t>
  </si>
  <si>
    <t>maria.pastrana@unionsaludvida.com</t>
  </si>
  <si>
    <t>32749647</t>
  </si>
  <si>
    <t>MARIA EUGENIA ASTUDILLO SOTO</t>
  </si>
  <si>
    <t>maria.astudillo@unionsaludvida.com</t>
  </si>
  <si>
    <t>57418917</t>
  </si>
  <si>
    <t xml:space="preserve">MARIA EUGENIA CERVANTES </t>
  </si>
  <si>
    <t>maria.cervantes@unionsaludvida.com</t>
  </si>
  <si>
    <t>1001137222</t>
  </si>
  <si>
    <t>MARIA FERNANDA ALVAREZ BUSTAMANTE</t>
  </si>
  <si>
    <t>fernanda.alvarez@unionsaludvida.com</t>
  </si>
  <si>
    <t>1000534951</t>
  </si>
  <si>
    <t>MARIA FERNANDA ANGEL ESCOBAR</t>
  </si>
  <si>
    <t>maria.angel@unionsaludvida.com</t>
  </si>
  <si>
    <t>1152456771</t>
  </si>
  <si>
    <t>MARIA FERNANDA CEBALLOS GUTIERREZ</t>
  </si>
  <si>
    <t>maria.ceballos@unionsaludvida.com</t>
  </si>
  <si>
    <t>1234096729</t>
  </si>
  <si>
    <t>MARIA FERNANDA DE LA HOZ MARRIAGA</t>
  </si>
  <si>
    <t>maria.hoz@unionsaludvida.com</t>
  </si>
  <si>
    <t>1143408442</t>
  </si>
  <si>
    <t>MARIA FERNANDA ECHEVERRY MANCERA</t>
  </si>
  <si>
    <t>maria.mancera@unionsaludvida.com</t>
  </si>
  <si>
    <t>1017255988</t>
  </si>
  <si>
    <t>MARIA FERNANDA ESTRADA MORENO</t>
  </si>
  <si>
    <t>maria.estrada@unionsaludvida.com</t>
  </si>
  <si>
    <t>1143447128</t>
  </si>
  <si>
    <t>MARIA FERNANDA GONZALEZ ALVARADO</t>
  </si>
  <si>
    <t>maria.alvarado@unionsaludvida.com</t>
  </si>
  <si>
    <t>29105906</t>
  </si>
  <si>
    <t>MARIA FERNANDA HINESTROZA UPEGUI</t>
  </si>
  <si>
    <t>maria.hinestrosa@unionsaludvida.com</t>
  </si>
  <si>
    <t>1005230147</t>
  </si>
  <si>
    <t>MARIA FERNANDA JURADO VALDERRAMA</t>
  </si>
  <si>
    <t>maria.jurado@unionsaludvida.com</t>
  </si>
  <si>
    <t>1035442374</t>
  </si>
  <si>
    <t>MARIA FERNANDA PEREZ PINO</t>
  </si>
  <si>
    <t>maria.pino@unionsaludvida.com</t>
  </si>
  <si>
    <t>1126706710</t>
  </si>
  <si>
    <t>MARIA FLOR CARMONA YEPEZ</t>
  </si>
  <si>
    <t>maria.yepez@unionsaludvida.com</t>
  </si>
  <si>
    <t>1007286999</t>
  </si>
  <si>
    <t>MARIA ISABEL AGUDELO FIGUEROA</t>
  </si>
  <si>
    <t>maria.figueroa@unionsaludvida.com</t>
  </si>
  <si>
    <t>1007508802</t>
  </si>
  <si>
    <t>MARIA ISABEL BENITEZ ESPINOSA</t>
  </si>
  <si>
    <t>maria.benitez@unionsaludvida.com</t>
  </si>
  <si>
    <t>1017270515</t>
  </si>
  <si>
    <t>MARIA ISABEL ROJO MONSALVE</t>
  </si>
  <si>
    <t>maria.rojo@unionsaludvida.com</t>
  </si>
  <si>
    <t>1043004208</t>
  </si>
  <si>
    <t>MARIA JESUS CAPDEVILLA ARGUELLO</t>
  </si>
  <si>
    <t>maria.capdevilla@unionsaludvida.com</t>
  </si>
  <si>
    <t>1082984414</t>
  </si>
  <si>
    <t>MARIA JOSE ANTELIZ SIERRA</t>
  </si>
  <si>
    <t>maria.anteliz@unionsaludvida.com</t>
  </si>
  <si>
    <t>1001782820</t>
  </si>
  <si>
    <t>MARIA JOSE ARIZA LLANOS</t>
  </si>
  <si>
    <t>maria.ariza@unionsaludvida.com</t>
  </si>
  <si>
    <t>1005582317</t>
  </si>
  <si>
    <t>MARIA JOSE ARRIETA HERNANDEZ</t>
  </si>
  <si>
    <t>maria.arieta@unionsaludvida.com</t>
  </si>
  <si>
    <t>1069504441</t>
  </si>
  <si>
    <t>MARIA JOSE BULA URDA</t>
  </si>
  <si>
    <t>maria.bula@unionsaludvida.com</t>
  </si>
  <si>
    <t>1037669484</t>
  </si>
  <si>
    <t>MARIA JOSE CALDERON CADAVID</t>
  </si>
  <si>
    <t>maria.cadavid@unionsaludvida.com</t>
  </si>
  <si>
    <t>MARIA JOSE CASTELLANOS FUENTES</t>
  </si>
  <si>
    <t>maria.castellanos@unionsaludvida.com</t>
  </si>
  <si>
    <t>1001479648</t>
  </si>
  <si>
    <t>MARIA JOSE GOMEZ AREVALO</t>
  </si>
  <si>
    <t>mariajose.gomez@unionsaludvida.com</t>
  </si>
  <si>
    <t>1193106850</t>
  </si>
  <si>
    <t>MARIA JOSE MANCILLA CERVANTES</t>
  </si>
  <si>
    <t>maria.mancilla@unionsaludvida.com</t>
  </si>
  <si>
    <t>1123633844</t>
  </si>
  <si>
    <t>MARIA JOSE MIRANDA MARRUGO</t>
  </si>
  <si>
    <t>maria.marrugo@unionsaludvida.com</t>
  </si>
  <si>
    <t>1003290719</t>
  </si>
  <si>
    <t>MARIA JOSE ORTEGA SOTELO</t>
  </si>
  <si>
    <t>maria.sotelo@unionsaludvida.com</t>
  </si>
  <si>
    <t>1143406416</t>
  </si>
  <si>
    <t>MARIA JOSE PEREZ CERPA</t>
  </si>
  <si>
    <t>maria.cerpa@unionsaludvida.com</t>
  </si>
  <si>
    <t>1216726482</t>
  </si>
  <si>
    <t>MARIA JOSE SANTAMARIA GALLEGO</t>
  </si>
  <si>
    <t>maria.santamaria@unionsaludvida.com</t>
  </si>
  <si>
    <t>1193580409</t>
  </si>
  <si>
    <t>MARIA JOSE TOVAR MEJIA</t>
  </si>
  <si>
    <t>maria.tovar@unionsaludvida.com</t>
  </si>
  <si>
    <t>1035436500</t>
  </si>
  <si>
    <t>MARIA LAURA ZULETA GONZALEZ</t>
  </si>
  <si>
    <t>maria.zuleta@unionsaludvida.com</t>
  </si>
  <si>
    <t>1067948160</t>
  </si>
  <si>
    <t>MARIA LIGIA NIETO VELASQUEZ</t>
  </si>
  <si>
    <t>maria.nieto@unionsaludvida.com</t>
  </si>
  <si>
    <t>1140835497</t>
  </si>
  <si>
    <t>MARIA MARCELA HERNANDEZ AMELL</t>
  </si>
  <si>
    <t>maria.hernandez@unionsaludvida.com</t>
  </si>
  <si>
    <t>1193584838</t>
  </si>
  <si>
    <t>MARIA PAOLA BUSTAMANTE SANDOVAL</t>
  </si>
  <si>
    <t>maria.bustamante@unionsaludvida.com</t>
  </si>
  <si>
    <t>1036689279</t>
  </si>
  <si>
    <t>Profesional Gestion Humana - B</t>
  </si>
  <si>
    <t>MARIA PAULA GARCIA JARAMILLO</t>
  </si>
  <si>
    <t>profesionalgh@unionsaludvida.com</t>
  </si>
  <si>
    <t>1000944725</t>
  </si>
  <si>
    <t>MARIA PAULA GONZALEZ VELANDIA</t>
  </si>
  <si>
    <t>maria.velandia@unionsaludvida.com</t>
  </si>
  <si>
    <t>1005419095</t>
  </si>
  <si>
    <t>MARIA PAULA NAVARRO ULLOA</t>
  </si>
  <si>
    <t>maria.navarro@unionsaludvida.com</t>
  </si>
  <si>
    <t>1037668455</t>
  </si>
  <si>
    <t>MARIA PAULA SALAMANCA DUQUE</t>
  </si>
  <si>
    <t>maria.salamanca@unionsaludvida.com</t>
  </si>
  <si>
    <t>1028036325</t>
  </si>
  <si>
    <t>MARIA PAULINA AVILA MANOTAS</t>
  </si>
  <si>
    <t>maria.avila@unionsaludvida.com</t>
  </si>
  <si>
    <t>1047503032</t>
  </si>
  <si>
    <t>MARIA RAQUEL BLANQUICETT RAMOS</t>
  </si>
  <si>
    <t>maria.blanquicett@unionsaludvida.com</t>
  </si>
  <si>
    <t>1002820509</t>
  </si>
  <si>
    <t>MARIA SALOME BRAVO MOLINA</t>
  </si>
  <si>
    <t>maria.bravo@unionsaludvida.com</t>
  </si>
  <si>
    <t>1047466818</t>
  </si>
  <si>
    <t>MARIA TERESA DIAZ MURILLO</t>
  </si>
  <si>
    <t>maria.diaz@unionsaludvida.com</t>
  </si>
  <si>
    <t>1047360128</t>
  </si>
  <si>
    <t>MARIALY MILE MERCADO CABALLERO</t>
  </si>
  <si>
    <t>marialy.mercado@unionsaludvida.com</t>
  </si>
  <si>
    <t>1039473466</t>
  </si>
  <si>
    <t>MARIAM NATALIA PATIÑO ZARAZA</t>
  </si>
  <si>
    <t>mariam.zaraza@unionsaludvida.com</t>
  </si>
  <si>
    <t>22659381</t>
  </si>
  <si>
    <t>MARIAN MELISA MOLINA ARCIA</t>
  </si>
  <si>
    <t>marian.molina@unionsaludvida.com</t>
  </si>
  <si>
    <t>1001710094</t>
  </si>
  <si>
    <t>Auxiliar Gestion Humana</t>
  </si>
  <si>
    <t>MARIANA ALVAREZ VELEZ</t>
  </si>
  <si>
    <t>auxgestionhumana@unionsaludvida.com</t>
  </si>
  <si>
    <t>1152472145</t>
  </si>
  <si>
    <t>MARIANA BELLO ERASO</t>
  </si>
  <si>
    <t>mariana.bello@unionsaludvida.com</t>
  </si>
  <si>
    <t>1000644611</t>
  </si>
  <si>
    <t>MARIANA BETANCOURT CORREA</t>
  </si>
  <si>
    <t>mariana.betancourt@unionsaludvida.com</t>
  </si>
  <si>
    <t>1003393673</t>
  </si>
  <si>
    <t>MARIANA CABALLERO LAGARES</t>
  </si>
  <si>
    <t>mariana.caballero@unionsaludvida.com</t>
  </si>
  <si>
    <t>1001014122</t>
  </si>
  <si>
    <t>MARIANA ESTRADA HENAO</t>
  </si>
  <si>
    <t>mariana.estrada@unionsaludvida.com</t>
  </si>
  <si>
    <t>1099551759</t>
  </si>
  <si>
    <t>MARIANA GALLEGO VERGARA</t>
  </si>
  <si>
    <t>mariana.gallego@unionsaludvida.com</t>
  </si>
  <si>
    <t>1152462501</t>
  </si>
  <si>
    <t>MARIANA GOMEZ MERCHAN</t>
  </si>
  <si>
    <t>mariana.merchan@unionsaludvida.com</t>
  </si>
  <si>
    <t>1001366276</t>
  </si>
  <si>
    <t>MARIANA LOPEZ VELASQUEZ</t>
  </si>
  <si>
    <t>mariana.lopez@unionsaludvida.com</t>
  </si>
  <si>
    <t>1000416307</t>
  </si>
  <si>
    <t>MARIANA MANOTAS CAÑAS</t>
  </si>
  <si>
    <t>mariana.manotas@unionsaludvida.com</t>
  </si>
  <si>
    <t>1037671780</t>
  </si>
  <si>
    <t>MARIANA OCHOA MUNERA</t>
  </si>
  <si>
    <t>mariana.munera@unionsaludvida.com</t>
  </si>
  <si>
    <t>1000759787</t>
  </si>
  <si>
    <t>MARIANA PATIÑO DUQUE</t>
  </si>
  <si>
    <t>mariana.patino@unionsaludvida.com</t>
  </si>
  <si>
    <t>1000535111</t>
  </si>
  <si>
    <t>MARIANA PEREZ ISAZA</t>
  </si>
  <si>
    <t>mariana.perez@unionsaludvida.com</t>
  </si>
  <si>
    <t>1001419919</t>
  </si>
  <si>
    <t>MARIANA SUAREZ PALACIO</t>
  </si>
  <si>
    <t>mariana.suarez@unionsaludvida.com</t>
  </si>
  <si>
    <t>1037608343</t>
  </si>
  <si>
    <t>MARIANA TABARES FERNANDEZ</t>
  </si>
  <si>
    <t>mariana.tabares@unionsaludvida.com</t>
  </si>
  <si>
    <t>1057608489</t>
  </si>
  <si>
    <t>MARIANA VALENTINA BORJA PRECIADO</t>
  </si>
  <si>
    <t>mariana.borja@unionsaludvida.com</t>
  </si>
  <si>
    <t>55234251</t>
  </si>
  <si>
    <t>MARICELA ESTHER ECHEVERRIA VALVERDE</t>
  </si>
  <si>
    <t>maricela.echeverria@unionsaludvida.com</t>
  </si>
  <si>
    <t>1214717629</t>
  </si>
  <si>
    <t>MARIO ALBERTO VALLECILLA VALENCIA</t>
  </si>
  <si>
    <t>mario.vallecilla@unionsaludvida.com</t>
  </si>
  <si>
    <t>71689195</t>
  </si>
  <si>
    <t>MARIO DUBAN RUIZ CASTAÑO</t>
  </si>
  <si>
    <t>mario.ruiz@unionsaludvida.com</t>
  </si>
  <si>
    <t>1037613677</t>
  </si>
  <si>
    <t>MARISOL CARDONA SOTO</t>
  </si>
  <si>
    <t>marisol.cardona@unionsaludvida.com</t>
  </si>
  <si>
    <t>1152186689</t>
  </si>
  <si>
    <t>Santuario</t>
  </si>
  <si>
    <t>MARISOL DELGADO OROZCO</t>
  </si>
  <si>
    <t>marisol.delgado@unionsaludvida.com</t>
  </si>
  <si>
    <t>63486007</t>
  </si>
  <si>
    <t>MARITZA DUQUE VARGAS</t>
  </si>
  <si>
    <t>maritza.vargas@unionsaludvida.com</t>
  </si>
  <si>
    <t>1000755559</t>
  </si>
  <si>
    <t>MARIZABETH RAMIREZ JARAMILLO</t>
  </si>
  <si>
    <t>marizabeth.ramirez@unionsaludvida.com</t>
  </si>
  <si>
    <t>1020420021</t>
  </si>
  <si>
    <t>MARLIN JULIANA LOPEZ VASQUEZ</t>
  </si>
  <si>
    <t>marlin.lopez@unionsaludvida.com</t>
  </si>
  <si>
    <t>1102233430</t>
  </si>
  <si>
    <t>MARLY TATIANA OVIEDO CALI</t>
  </si>
  <si>
    <t>marly.oviedo@unionsaludvida.com</t>
  </si>
  <si>
    <t>42731678</t>
  </si>
  <si>
    <t>Director General</t>
  </si>
  <si>
    <t>MARTHA CATALINA CARDONA ARANGO</t>
  </si>
  <si>
    <t>catalina.cardona@unionsaludvida.com</t>
  </si>
  <si>
    <t>57462425</t>
  </si>
  <si>
    <t>MARTHA IRENE GALVAN VILLA</t>
  </si>
  <si>
    <t>martha.galvan@unionsaludvida.com</t>
  </si>
  <si>
    <t>43260881</t>
  </si>
  <si>
    <t>MARTHA LUCIA CASTAÑO GAVIRIA</t>
  </si>
  <si>
    <t>martha.castano@unionsaludvida.com</t>
  </si>
  <si>
    <t>45550369</t>
  </si>
  <si>
    <t>MARTHA LUCIA PEREZ BLANCO</t>
  </si>
  <si>
    <t>martha.perez@unionsaludvida.com</t>
  </si>
  <si>
    <t>1143345388</t>
  </si>
  <si>
    <t>MARY LAURA JIMENEZ ALVEAR</t>
  </si>
  <si>
    <t>mary.jimenez@unionsaludvida.com</t>
  </si>
  <si>
    <t>43919361</t>
  </si>
  <si>
    <t>MARY LUZ ESCOBAR VALENCIA</t>
  </si>
  <si>
    <t>mary.escobar@unionsaludvida.com</t>
  </si>
  <si>
    <t>1038336540</t>
  </si>
  <si>
    <t>MARY LUZ ROLDAN GUTIERREZ</t>
  </si>
  <si>
    <t>mary.roldan@unionsaludvida.com</t>
  </si>
  <si>
    <t>1039472570</t>
  </si>
  <si>
    <t>MATEO GOMEZ OSORIO</t>
  </si>
  <si>
    <t>mateo.gomez@unionsaludvida.com</t>
  </si>
  <si>
    <t>1037650883</t>
  </si>
  <si>
    <t>MATEO JARAMILLO CALLE</t>
  </si>
  <si>
    <t>mateo.jaramillo@unionsaludvida.com</t>
  </si>
  <si>
    <t>1040182362</t>
  </si>
  <si>
    <t>MATHIAS AGUDELO RUIZ</t>
  </si>
  <si>
    <t>mathias.agudelo@unionsaludvida.com</t>
  </si>
  <si>
    <t>1043027943</t>
  </si>
  <si>
    <t>MAURICIO ANDRES MERCADO VIZCAINO</t>
  </si>
  <si>
    <t>mauricio.mercado@unionsaludvida.com</t>
  </si>
  <si>
    <t>43267488</t>
  </si>
  <si>
    <t>MAVHIS JOHANA SABALZA NEGRETE</t>
  </si>
  <si>
    <t>mavhis.johana@unionsaludvida.com</t>
  </si>
  <si>
    <t>1003293335</t>
  </si>
  <si>
    <t>MAYERLIS LARREA GOMEZ</t>
  </si>
  <si>
    <t>auxiliarsaludlaestrella@unionsaludvida.com</t>
  </si>
  <si>
    <t>1047398558</t>
  </si>
  <si>
    <t>MAYLEEN CHAVEZ YANCES</t>
  </si>
  <si>
    <t>mayleen.yances@unionsaludvida.com</t>
  </si>
  <si>
    <t>1020466610</t>
  </si>
  <si>
    <t>MAYRA ALEJANDRA SANCHEZ MONTOYA</t>
  </si>
  <si>
    <t>mayra.sanchez@unionsaludvida.com</t>
  </si>
  <si>
    <t>MAYRA ALEJANDRA TESILLO SOSA</t>
  </si>
  <si>
    <t>mayra.tesillo@unionsaludvida.com</t>
  </si>
  <si>
    <t>1127598627</t>
  </si>
  <si>
    <t>MAYRLEX ALEJANDRA BOHORQUEZ RESTREPO</t>
  </si>
  <si>
    <t>mayrlex.bohorquez@unionsaludvida.com</t>
  </si>
  <si>
    <t>73143394</t>
  </si>
  <si>
    <t>MEISSER ALBERTO LOPEZ CORDOBA</t>
  </si>
  <si>
    <t>meisser.lopez@unionsaludvida.com</t>
  </si>
  <si>
    <t>1007253141</t>
  </si>
  <si>
    <t>MELANNY VANEGAS GOMEZ</t>
  </si>
  <si>
    <t>auxiliarsaludenvigado@unionsaludvida.com</t>
  </si>
  <si>
    <t>1020104927</t>
  </si>
  <si>
    <t>MELANY ALBARAN AGUDELO</t>
  </si>
  <si>
    <t>auxiliarsaludbello2@unionsaludvida.com</t>
  </si>
  <si>
    <t>1000641023</t>
  </si>
  <si>
    <t>MELANY FORONDA QUINTERO</t>
  </si>
  <si>
    <t>melany.foronda@unionsaludvida.com</t>
  </si>
  <si>
    <t>1001996913</t>
  </si>
  <si>
    <t>MELANY MICHELL MONTES IBAÑEZ</t>
  </si>
  <si>
    <t>melany.montes@unionsaludvida.com</t>
  </si>
  <si>
    <t>1010149319</t>
  </si>
  <si>
    <t>MELANY YULIETH CAICEDO DE LEON</t>
  </si>
  <si>
    <t>melany.caicedo@unionsaludvida.com</t>
  </si>
  <si>
    <t>1000405583</t>
  </si>
  <si>
    <t>MELISA RINCON MEDINA</t>
  </si>
  <si>
    <t>melisa.rincon@unionsaludvida.com</t>
  </si>
  <si>
    <t>1037650708</t>
  </si>
  <si>
    <t>MELISSA AGUDELO MONTAÑO</t>
  </si>
  <si>
    <t>melissa.agudelo@unionsaludvida.com</t>
  </si>
  <si>
    <t>1045524948</t>
  </si>
  <si>
    <t>MELISSA MACHADO ROMAÑA</t>
  </si>
  <si>
    <t>melissa.machado@unionsaludvida.com</t>
  </si>
  <si>
    <t>1036662302</t>
  </si>
  <si>
    <t>MELISSA MORALES TORO</t>
  </si>
  <si>
    <t>melissa.morales@unionsaludvida.com</t>
  </si>
  <si>
    <t>42158742</t>
  </si>
  <si>
    <t>MELISSA PINEDA BOLIVAR</t>
  </si>
  <si>
    <t>melissa.pineda@unionsaludvida.com</t>
  </si>
  <si>
    <t>1152698419</t>
  </si>
  <si>
    <t>MELISSA PINO SUCERQUIA</t>
  </si>
  <si>
    <t>melissa.pino@unionsaludvida.com</t>
  </si>
  <si>
    <t>1047490268</t>
  </si>
  <si>
    <t>MELISSA VILLEGAS PEREIRA</t>
  </si>
  <si>
    <t>melissa.villegas@unionsaludvida.com</t>
  </si>
  <si>
    <t>1000886228</t>
  </si>
  <si>
    <t>MICHEL DAYANA CHAVEZ MUÑOZ</t>
  </si>
  <si>
    <t>comunicacionesgestac@unionsaludvida.com</t>
  </si>
  <si>
    <t>1143362985</t>
  </si>
  <si>
    <t>MICHEL RAFAEL PEREZ MARRUGO</t>
  </si>
  <si>
    <t>michel.perez@unionsaludvida.com</t>
  </si>
  <si>
    <t>1005680932</t>
  </si>
  <si>
    <t>MICHELLE PAOLA BALLENA ASSIA</t>
  </si>
  <si>
    <t>michelle.ballena@unionsaludvida.com</t>
  </si>
  <si>
    <t>87940495</t>
  </si>
  <si>
    <t>MIGDONIO MEZA IBARBO</t>
  </si>
  <si>
    <t>migdonio.meza@unionsaludvida.com</t>
  </si>
  <si>
    <t>1004463773</t>
  </si>
  <si>
    <t>MIGUEL ANGEL VELILLA NAVARRO</t>
  </si>
  <si>
    <t>miguel.velilla@unionsaludvida.com</t>
  </si>
  <si>
    <t>1017262220</t>
  </si>
  <si>
    <t>MIGUEL CASTAÑO BOTERO</t>
  </si>
  <si>
    <t>miguel.botero@unionsaludvida.com</t>
  </si>
  <si>
    <t>1047476960</t>
  </si>
  <si>
    <t>MIGUEL EDUARDO MUÑOZ CONTRERAS</t>
  </si>
  <si>
    <t>miguel.munoz@unionsaludvida.com</t>
  </si>
  <si>
    <t>1065588945</t>
  </si>
  <si>
    <t>MIGUEL JOSE VILLAZON LOZADA</t>
  </si>
  <si>
    <t>miguel.villazon@unionsaludvida.com</t>
  </si>
  <si>
    <t>1234096106</t>
  </si>
  <si>
    <t>MILEIDY JOHANNA SANTIAGO REVOLLO</t>
  </si>
  <si>
    <t>mileidy.santiago@unionsaludvida.com</t>
  </si>
  <si>
    <t>55233478</t>
  </si>
  <si>
    <t>MILENA ESTHER CHAVEZ FERREIRA</t>
  </si>
  <si>
    <t>milena.chavez@unionsaludvida.com</t>
  </si>
  <si>
    <t>1007898789</t>
  </si>
  <si>
    <t>MILETH ALEXANDRA PINTO ROMAÑA</t>
  </si>
  <si>
    <t>mileth.pinto@unionsaludvida.com</t>
  </si>
  <si>
    <t>32938402</t>
  </si>
  <si>
    <t>MIRTHA LEONOR COHEN MARTINEZ</t>
  </si>
  <si>
    <t>mirtha.cohen@unionsaludvida.com</t>
  </si>
  <si>
    <t>72244046</t>
  </si>
  <si>
    <t>MISAEL ADOLFO RUIZ CORONADO</t>
  </si>
  <si>
    <t>misael.ruiz@unionsaludvida.com</t>
  </si>
  <si>
    <t>1001853191</t>
  </si>
  <si>
    <t>MISHELLE CABALLERO CASTRO</t>
  </si>
  <si>
    <t>mishelle.caballero@unionsaludvida.com</t>
  </si>
  <si>
    <t>43608172</t>
  </si>
  <si>
    <t>MONICA BEATRIZ BOTERO GAVIRIA</t>
  </si>
  <si>
    <t>monica.botero@unionsaludvida.com</t>
  </si>
  <si>
    <t>1013557249</t>
  </si>
  <si>
    <t>MONICA MARCELA ZULETA JIMENEZ</t>
  </si>
  <si>
    <t>monica.zuleta@unionsaludvida.com</t>
  </si>
  <si>
    <t>32299090</t>
  </si>
  <si>
    <t>MONICA MARIA OCHOA GALVIS</t>
  </si>
  <si>
    <t>monica.ochoa@unionsaludvida.com</t>
  </si>
  <si>
    <t>1036839235</t>
  </si>
  <si>
    <t>Medico Laboral</t>
  </si>
  <si>
    <t>MONICA MILENA RAMOS DAVID</t>
  </si>
  <si>
    <t>medicolaboralut@unionsaludvida.com</t>
  </si>
  <si>
    <t>43628997</t>
  </si>
  <si>
    <t>MONICA PATRICIA PAEZ LOZANO</t>
  </si>
  <si>
    <t>monica.paez@unionsaludvida.com</t>
  </si>
  <si>
    <t>1121338862</t>
  </si>
  <si>
    <t>MORELIA SOFIA PIZARRO MARTINEZ</t>
  </si>
  <si>
    <t>morelia.pizarro@unionsaludvida.com</t>
  </si>
  <si>
    <t>1127339766</t>
  </si>
  <si>
    <t>NADIA ALEJANDRA MERCHAN FONTECHA</t>
  </si>
  <si>
    <t>nadia.merchan@unionsaludvida.com</t>
  </si>
  <si>
    <t>1040042849</t>
  </si>
  <si>
    <t>La Union Vallejuelo</t>
  </si>
  <si>
    <t>NANCY LICETH PATIÑO JARAMILLO</t>
  </si>
  <si>
    <t>nancy.patino@unionsaludvida.com</t>
  </si>
  <si>
    <t>1000640883</t>
  </si>
  <si>
    <t>NATALI RAMOS SANCHEZ</t>
  </si>
  <si>
    <t>natali.ramos@unionsaludvida.com</t>
  </si>
  <si>
    <t>43221728</t>
  </si>
  <si>
    <t>NATALIA ANDREA HERRERA VASQUEZ</t>
  </si>
  <si>
    <t>natalia.herrera@unionsaludvida.com</t>
  </si>
  <si>
    <t>1007414707</t>
  </si>
  <si>
    <t>NATALIA CAICEDO GUEVARA</t>
  </si>
  <si>
    <t>natalia.caicedo@unionsaludvida.com</t>
  </si>
  <si>
    <t>1017181748</t>
  </si>
  <si>
    <t>NATALIA CELESTE PEREZ ASPRILLA</t>
  </si>
  <si>
    <t>natalia.perez@unionsaludvida.com</t>
  </si>
  <si>
    <t>1002192247</t>
  </si>
  <si>
    <t>NATALIA NICOLE MEZA PRADA</t>
  </si>
  <si>
    <t>natalia.meza@unionsaludvida.com</t>
  </si>
  <si>
    <t>1007743475</t>
  </si>
  <si>
    <t>NATALIA PEÑA EUSSE</t>
  </si>
  <si>
    <t>natalia.eusse@unionsaludvida.com</t>
  </si>
  <si>
    <t>1122416469</t>
  </si>
  <si>
    <t>NATALIA SOFIA ROBLES CUELLO</t>
  </si>
  <si>
    <t>natalia.robles@unionsaludvida.com</t>
  </si>
  <si>
    <t>1047509880</t>
  </si>
  <si>
    <t>NATALIE OSPINA ORTEGA</t>
  </si>
  <si>
    <t>natalie.ospina@unionsaludvida.com</t>
  </si>
  <si>
    <t>1037646627</t>
  </si>
  <si>
    <t>NATALY AMAYA BEDOYA</t>
  </si>
  <si>
    <t>nataly.amaya@unionsaludvida.com</t>
  </si>
  <si>
    <t>1028016400</t>
  </si>
  <si>
    <t>NEIFER ALEXANDER CASTRO SANCHEZ</t>
  </si>
  <si>
    <t>auxiliarsaludurabanorte@unionsaludvida.com</t>
  </si>
  <si>
    <t>71387773</t>
  </si>
  <si>
    <t>Lider De Tecnologia De Inf Y Proyectos</t>
  </si>
  <si>
    <t>NESTOR MAURICIO MARIN MONTOYA</t>
  </si>
  <si>
    <t>lidertic@unionsaludvida.com</t>
  </si>
  <si>
    <t>1020481316</t>
  </si>
  <si>
    <t>NICOLAS RAMIREZ GARCIA</t>
  </si>
  <si>
    <t>nicolas.ramirez@unionsaludvida.com</t>
  </si>
  <si>
    <t>1005180589</t>
  </si>
  <si>
    <t>NICOLE ANDREA BULLA MARMOL</t>
  </si>
  <si>
    <t>nicole.bulla@unionsaludvida.com</t>
  </si>
  <si>
    <t>1020827332</t>
  </si>
  <si>
    <t>NICOLE DANIELA ROJAS VASQUEZ</t>
  </si>
  <si>
    <t>nicole.rojas@unionsaludvida.com</t>
  </si>
  <si>
    <t>45547324</t>
  </si>
  <si>
    <t>NORIS PAOLA CASTAÑO GOMEZ</t>
  </si>
  <si>
    <t>noris.castano@unionsaludvida.com</t>
  </si>
  <si>
    <t>1143338188</t>
  </si>
  <si>
    <t>OLGA PAOLA CISNEROS VASQUEZ</t>
  </si>
  <si>
    <t>olga.cisneros@unionsaludvida.com</t>
  </si>
  <si>
    <t>78708152</t>
  </si>
  <si>
    <t>OLIMPO REMIGIO CARCAMO MENDEZ</t>
  </si>
  <si>
    <t>olimpo.carcamo@unionsaludvida.com</t>
  </si>
  <si>
    <t>1050965861</t>
  </si>
  <si>
    <t>ONEIZY PATRICIA BONFANTE LUNA</t>
  </si>
  <si>
    <t>oneizy.bonfante@unionsaludvida.com</t>
  </si>
  <si>
    <t>71704466</t>
  </si>
  <si>
    <t>ONOFRE ANTONIO PINEDA PINEDA</t>
  </si>
  <si>
    <t>onofre.pineda@unionsaludvida.com</t>
  </si>
  <si>
    <t>72001048</t>
  </si>
  <si>
    <t>ORLANDO ENRIQUE BONETT GARCIA</t>
  </si>
  <si>
    <t>orlando.bonett@unionsaludvida.com</t>
  </si>
  <si>
    <t>1007126151</t>
  </si>
  <si>
    <t>ORLANDO JAVIER MUÑOZ GARCIA</t>
  </si>
  <si>
    <t>orlando.garcia@unionsaludvida.com</t>
  </si>
  <si>
    <t>1128226618</t>
  </si>
  <si>
    <t>ORLEIDYS LUISANA TURIZO LOROÑO</t>
  </si>
  <si>
    <t>orleidys.turizo@unionsaludvida.com</t>
  </si>
  <si>
    <t>1143446995</t>
  </si>
  <si>
    <t>ORLENIS MARIA SIERRA OCHOA</t>
  </si>
  <si>
    <t>orlenis.sierra@unionsaludvida.com</t>
  </si>
  <si>
    <t>1102870987</t>
  </si>
  <si>
    <t>OSCAR ANDRES TAMARA PIZARRO</t>
  </si>
  <si>
    <t>oscar.tamara@unionsaludvida.com</t>
  </si>
  <si>
    <t>1090413723</t>
  </si>
  <si>
    <t>OSCAR AURELIO BELTRAN HERNANDEZ</t>
  </si>
  <si>
    <t>oscar.beltran@unionsaludvida.com</t>
  </si>
  <si>
    <t>OSCAR IVAN ARANGO ARANGO</t>
  </si>
  <si>
    <t>oscar.arango@unionsaludvida.com</t>
  </si>
  <si>
    <t>79958528</t>
  </si>
  <si>
    <t>OSCAR MAURICIO GUTIERREZ PINZON</t>
  </si>
  <si>
    <t>oscar.gutierrez@unionsaludvida.com</t>
  </si>
  <si>
    <t>1002208089</t>
  </si>
  <si>
    <t>OSWALDO JOSE DAGUER VILLAR</t>
  </si>
  <si>
    <t>oswaldo.daguer@unionsaludvida.com</t>
  </si>
  <si>
    <t>1020485217</t>
  </si>
  <si>
    <t>PABLO ANDRES ARROYAVE GUZMAN</t>
  </si>
  <si>
    <t>pablo.guzman@unionsaludvida.com</t>
  </si>
  <si>
    <t>1143455309</t>
  </si>
  <si>
    <t>PABLO JUNIOR ARRIETA RIVAS</t>
  </si>
  <si>
    <t>pablo.arrieta@unionsaludvida.com</t>
  </si>
  <si>
    <t>1001013545</t>
  </si>
  <si>
    <t>PAMELA CALACA BETANCUR</t>
  </si>
  <si>
    <t>pamela.calaca@unionsaludvida.com</t>
  </si>
  <si>
    <t>1045720633</t>
  </si>
  <si>
    <t>PAMELA LIX SUAREZ JARAMILLO</t>
  </si>
  <si>
    <t>pamela.jaramillo@unionsaludvida.com</t>
  </si>
  <si>
    <t>1000181328</t>
  </si>
  <si>
    <t>PAOLA ANDREA HUERTAS AREVALO</t>
  </si>
  <si>
    <t>paola.huertas@unionsaludvida.com</t>
  </si>
  <si>
    <t>1037606229</t>
  </si>
  <si>
    <t>PAOLA ANDREA PIÑA ZAPATA</t>
  </si>
  <si>
    <t>paola.pina@unionsaludvida.com</t>
  </si>
  <si>
    <t>1065915757</t>
  </si>
  <si>
    <t>PAOLA ANDREA RINCON DURAN</t>
  </si>
  <si>
    <t>paola.rincon@unionsaludvida.com</t>
  </si>
  <si>
    <t>1094971283</t>
  </si>
  <si>
    <t>PAOLA ANDREA SALAZAR ARENAS</t>
  </si>
  <si>
    <t>paola.salazar@unionsaludvida.com</t>
  </si>
  <si>
    <t>1020410975</t>
  </si>
  <si>
    <t>PAOLA ANDREA VILLA YARCE</t>
  </si>
  <si>
    <t>paola.villa@unionsaludvida.com</t>
  </si>
  <si>
    <t>1083006243</t>
  </si>
  <si>
    <t>PAOLA MARIA BLANCO PERTUZ</t>
  </si>
  <si>
    <t>paola.blanco@unionsaludvida.com</t>
  </si>
  <si>
    <t>1128460995</t>
  </si>
  <si>
    <t>PAOLA OROZCO CASTAÑEDA</t>
  </si>
  <si>
    <t>paola.orozco@unionsaludvida.com</t>
  </si>
  <si>
    <t>1094243332</t>
  </si>
  <si>
    <t>PAOLA TATIANA CARVAJAL SEPULVEDA</t>
  </si>
  <si>
    <t>paola.carvajal@unionsaludvida.com</t>
  </si>
  <si>
    <t>43202655</t>
  </si>
  <si>
    <t>PATRICIA MARIA GAVIRIA FRANCO</t>
  </si>
  <si>
    <t>patricia.gaviria@unionsaludvida.com</t>
  </si>
  <si>
    <t>1128467297</t>
  </si>
  <si>
    <t>PAULA ANDREA BERNAL ZULUAGA</t>
  </si>
  <si>
    <t>paula.bernal@unionsaludvida.com</t>
  </si>
  <si>
    <t>1037657448</t>
  </si>
  <si>
    <t>PAULA ANDREA BUITRAGO HERRERA</t>
  </si>
  <si>
    <t>paula.buitrago@unionsaludvida.com</t>
  </si>
  <si>
    <t>1214745801</t>
  </si>
  <si>
    <t>PAULA ANDREA MARTINEZ CARMONA</t>
  </si>
  <si>
    <t>paula.martinez@unionsaludvida.com</t>
  </si>
  <si>
    <t>1047483760</t>
  </si>
  <si>
    <t>PAULA ANDREA MENDOZA NAVARRO</t>
  </si>
  <si>
    <t>paula.mendoza@unionsaludvida.com</t>
  </si>
  <si>
    <t>1047494916</t>
  </si>
  <si>
    <t>PAULA ANDREA MORENO BRUN</t>
  </si>
  <si>
    <t>paula.brun@unionsaludvida.com</t>
  </si>
  <si>
    <t>1143386519</t>
  </si>
  <si>
    <t>PAULA ANDREA NAVARRO GUERRERO</t>
  </si>
  <si>
    <t>paula.navarro@unionsaludvida.com</t>
  </si>
  <si>
    <t>1067960420</t>
  </si>
  <si>
    <t>PAULA ANDREA VIEIRA VERGARA</t>
  </si>
  <si>
    <t>paula.vieira@unionsaludvida.com</t>
  </si>
  <si>
    <t>43877351</t>
  </si>
  <si>
    <t>PAULA CRISTINA VERGARA AGUILAR</t>
  </si>
  <si>
    <t>paula.vergara@unionsaludvida.com</t>
  </si>
  <si>
    <t>1051673329</t>
  </si>
  <si>
    <t>PAULINA ESPAÑA GUZMAN</t>
  </si>
  <si>
    <t>paulina.espana@unionsaludvida.com</t>
  </si>
  <si>
    <t>1000645820</t>
  </si>
  <si>
    <t>PAULINA PARRA VELEZ</t>
  </si>
  <si>
    <t>paulina.parra@unionsaludvida.com</t>
  </si>
  <si>
    <t>1003394926</t>
  </si>
  <si>
    <t>PILLY MARCELA CORDERO SOTO</t>
  </si>
  <si>
    <t>pilly.cordero@unionsaludvida.com</t>
  </si>
  <si>
    <t>92260409</t>
  </si>
  <si>
    <t>RAFAEL ANTONIO PEREZ HERNANDEZ</t>
  </si>
  <si>
    <t>rafael.perez@unionsaludvida.com</t>
  </si>
  <si>
    <t>1096223065</t>
  </si>
  <si>
    <t>RAFAEL CAMILO GONZALEZ VILLARREAL</t>
  </si>
  <si>
    <t>rafael.villarreal@unionsaludvida.com</t>
  </si>
  <si>
    <t>1047494897</t>
  </si>
  <si>
    <t>RAFAEL EDUARDO MORENO SANCHEZ</t>
  </si>
  <si>
    <t>rafael.moreno@unionsaludvida.com</t>
  </si>
  <si>
    <t>1192920714</t>
  </si>
  <si>
    <t>RAFAEL JOSE BRITO GONZALEZ</t>
  </si>
  <si>
    <t>rafael.brito@unionsaludvida.com</t>
  </si>
  <si>
    <t>1152709914</t>
  </si>
  <si>
    <t>RAFAEL JOSE CANDANOZA CARMONA</t>
  </si>
  <si>
    <t>rafael.candanoza@unionsaludvida.com</t>
  </si>
  <si>
    <t>1081927290</t>
  </si>
  <si>
    <t>RAMIRO ANDRES CORTINA MONSALVO</t>
  </si>
  <si>
    <t>ramiro.cortina@unionsaludvida.com</t>
  </si>
  <si>
    <t>73140039</t>
  </si>
  <si>
    <t>RAUL DE LOS SANTOS MERCADO MONTALVO</t>
  </si>
  <si>
    <t>raul.mercado@unionsaludvida.com</t>
  </si>
  <si>
    <t>1047487980</t>
  </si>
  <si>
    <t>RICARDO ANDRES DONADO BOTERO</t>
  </si>
  <si>
    <t>ricardo.donado@unionsaludvida.com</t>
  </si>
  <si>
    <t>1126243923</t>
  </si>
  <si>
    <t>RICARDO ANTONIO ACOSTA VELEZ</t>
  </si>
  <si>
    <t>ricardo.acosta@unionsaludvida.com</t>
  </si>
  <si>
    <t>1098712847</t>
  </si>
  <si>
    <t>RICARDO MEZA AGUDELO</t>
  </si>
  <si>
    <t>ricardo.meza@unionsaludvida.com</t>
  </si>
  <si>
    <t>1140866470</t>
  </si>
  <si>
    <t>RICHARD RODRIGUEZ SCHOTBORHG</t>
  </si>
  <si>
    <t>richard.rodriguez@unionsaludvida.com</t>
  </si>
  <si>
    <t>1140902780</t>
  </si>
  <si>
    <t>ROBERTO CARLOS MARTINEZ ESPINOSA</t>
  </si>
  <si>
    <t>roberto.martinez@unionsaludvida.com</t>
  </si>
  <si>
    <t>1010246557</t>
  </si>
  <si>
    <t>ROBERTO ORTIZ GALLARDO</t>
  </si>
  <si>
    <t>roberto.ortiz@unionsaludvida.com</t>
  </si>
  <si>
    <t>1080903140</t>
  </si>
  <si>
    <t>ROBINSON MATEO MUÑOZ GOMEZ</t>
  </si>
  <si>
    <t>robinson.munoz@unionsaludvida.com</t>
  </si>
  <si>
    <t>1016057165</t>
  </si>
  <si>
    <t>ROBINSON ORTEGA LEGUIZAMON</t>
  </si>
  <si>
    <t>robinson.ortega@unionsaludvida.com</t>
  </si>
  <si>
    <t>72308993</t>
  </si>
  <si>
    <t>RODOLFO ANTONIO GUTIERREZ GALLARDO</t>
  </si>
  <si>
    <t>rodolfo.gutierrez@unionsaludvida.com</t>
  </si>
  <si>
    <t>1044933686</t>
  </si>
  <si>
    <t>RODRIGO JOSE RODRIGUEZ BELTRAN</t>
  </si>
  <si>
    <t>lidercisfabricato@unionsaludvida.com</t>
  </si>
  <si>
    <t>1118539328</t>
  </si>
  <si>
    <t>RODRIGO ZUBIETA RODRIGUEZ</t>
  </si>
  <si>
    <t>rodrigo.zubieta@unionsaludvida.com</t>
  </si>
  <si>
    <t>1067959066</t>
  </si>
  <si>
    <t>ROGER LUIS ECHEVERRIA BALLESTEROS</t>
  </si>
  <si>
    <t>1110461833</t>
  </si>
  <si>
    <t>ROSA MARGARITA DEVIA SANTOS</t>
  </si>
  <si>
    <t>rosa.devia@unionsaludvida.com</t>
  </si>
  <si>
    <t>1003068698</t>
  </si>
  <si>
    <t>ROSA MARIA LOPEZ ROMERO</t>
  </si>
  <si>
    <t>rosa.lopez@unionsaludvida.com</t>
  </si>
  <si>
    <t>1140869663</t>
  </si>
  <si>
    <t>ROXANA MARIA PINTO HERNANDEZ</t>
  </si>
  <si>
    <t>roxana.pinto@unionsaludvida.com</t>
  </si>
  <si>
    <t>1002163149</t>
  </si>
  <si>
    <t>ROXANA RIOS RODADO</t>
  </si>
  <si>
    <t>roxana.rios@unionsaludvida.com</t>
  </si>
  <si>
    <t>1077460726</t>
  </si>
  <si>
    <t>ROY ALEXANDER ESCOBAR GONZALEZ</t>
  </si>
  <si>
    <t>roy.escobar@unionsaludvida.com</t>
  </si>
  <si>
    <t>1098786429</t>
  </si>
  <si>
    <t>RUSBELL SALOMON SILVA PEÑALOZA</t>
  </si>
  <si>
    <t>rusbell.silva@unionsaludvida.com</t>
  </si>
  <si>
    <t>1102875737</t>
  </si>
  <si>
    <t>SAID ANTONIO DURANTE FURNIELES</t>
  </si>
  <si>
    <t>said.durante@unionsaludvida.com</t>
  </si>
  <si>
    <t>1001368572</t>
  </si>
  <si>
    <t>SALOME ESCOBAR LONDOÑO</t>
  </si>
  <si>
    <t>salome.escobar@unionsaludvida.com</t>
  </si>
  <si>
    <t>1030700118</t>
  </si>
  <si>
    <t>SAMARA MARTÍNEZ TORO</t>
  </si>
  <si>
    <t>samara.toro@unionsaludvida.com</t>
  </si>
  <si>
    <t>1143360194</t>
  </si>
  <si>
    <t>SAMUEL ANDRES LLAMAS JIMENEZ</t>
  </si>
  <si>
    <t>samuel.llamas@unionsaludvida.com</t>
  </si>
  <si>
    <t>1006615274</t>
  </si>
  <si>
    <t>SAMUEL DAVID MOLINA PANA</t>
  </si>
  <si>
    <t>samuel.molina@unionsaludvida.com</t>
  </si>
  <si>
    <t>1023523311</t>
  </si>
  <si>
    <t>SAMUEL OSORIO AVENDAÑO</t>
  </si>
  <si>
    <t>analistatic3@unionsaludvida.com</t>
  </si>
  <si>
    <t>1005567801</t>
  </si>
  <si>
    <t>SANDRA MARCELA SALAZAR SIERRA</t>
  </si>
  <si>
    <t>sandra.salazar@unionsaludvida.com</t>
  </si>
  <si>
    <t>1047442043</t>
  </si>
  <si>
    <t>SANDRA MARCELA SILGADO MEDRANO</t>
  </si>
  <si>
    <t>sandra.silgado@unionsaludvida.com</t>
  </si>
  <si>
    <t>43759148</t>
  </si>
  <si>
    <t>SANDRA MILENA DUQUE MOLINA</t>
  </si>
  <si>
    <t>sandra.duque@unionsaludvida.com</t>
  </si>
  <si>
    <t>43984169</t>
  </si>
  <si>
    <t>SANDRA MILENA VELEZ VASCO</t>
  </si>
  <si>
    <t>sandra.velez@unionsaludvida.com</t>
  </si>
  <si>
    <t>22565676</t>
  </si>
  <si>
    <t>SANDRA PATRICIA RICARDO PETRO</t>
  </si>
  <si>
    <t>sandra.ricardo@unionsaludvida.com</t>
  </si>
  <si>
    <t>1045721168</t>
  </si>
  <si>
    <t>SANTIAGO ANDRES ARRIETA OVIEDO</t>
  </si>
  <si>
    <t>santiago.oviedo@unionsaludvida.com</t>
  </si>
  <si>
    <t>1003266542</t>
  </si>
  <si>
    <t>SANTIAGO ANDRES RODRIGUEZ MELENDEZ</t>
  </si>
  <si>
    <t>santiago.rodriguez@unionsaludvida.com</t>
  </si>
  <si>
    <t>1003400429</t>
  </si>
  <si>
    <t>SANTIAGO ANDRES SIERRA SUAREZ</t>
  </si>
  <si>
    <t>santiago.sierra@unionsaludvida.com</t>
  </si>
  <si>
    <t>1214730343</t>
  </si>
  <si>
    <t>SANTIAGO ANDRES TRUJILLO PEREZ</t>
  </si>
  <si>
    <t>santiago.trujillo@unionsaludvida.com</t>
  </si>
  <si>
    <t>1128480699</t>
  </si>
  <si>
    <t>SANTIAGO GAVIRIA COSSIO</t>
  </si>
  <si>
    <t>santiago.gaviria@unionsaludvida.com</t>
  </si>
  <si>
    <t>1037666372</t>
  </si>
  <si>
    <t>SANTIAGO GONZALEZ GONZALEZ</t>
  </si>
  <si>
    <t>santiago.gonzalez@unionsaludvida.com</t>
  </si>
  <si>
    <t>1010193731</t>
  </si>
  <si>
    <t xml:space="preserve">SANTIAGO HENAO VARGAS </t>
  </si>
  <si>
    <t>santiago.henao@unionsaludvida.com</t>
  </si>
  <si>
    <t>1026156098</t>
  </si>
  <si>
    <t>SANTIAGO JIMENEZ QUINTERO</t>
  </si>
  <si>
    <t>santiago.jimenez@unionsaludvida.com</t>
  </si>
  <si>
    <t>1007400408</t>
  </si>
  <si>
    <t>SANTIAGO NIETO CACERES</t>
  </si>
  <si>
    <t>santiago.nieto@unionsaludvida.com</t>
  </si>
  <si>
    <t>1017213753</t>
  </si>
  <si>
    <t>SANTIAGO ORTIZ ORTEGA</t>
  </si>
  <si>
    <t>santiago.ortiz@unionsaludvida.com</t>
  </si>
  <si>
    <t>1039473006</t>
  </si>
  <si>
    <t>SANTIAGO ZULUAGA PELAEZ</t>
  </si>
  <si>
    <t>santiago.zuluaga@unionsaludvida.com</t>
  </si>
  <si>
    <t>1010122814</t>
  </si>
  <si>
    <t>SARA CORREA MARTINEZ</t>
  </si>
  <si>
    <t>sara.martinez@unionsaludvida.com</t>
  </si>
  <si>
    <t>1192766499</t>
  </si>
  <si>
    <t>SARA ISABEL SANCHEZ BUILES</t>
  </si>
  <si>
    <t>sara.isabel@unionsaludvida.com</t>
  </si>
  <si>
    <t>SARA LALINDE USUGA</t>
  </si>
  <si>
    <t>sara.lalinde@unionsaludvida.com</t>
  </si>
  <si>
    <t>1036671586</t>
  </si>
  <si>
    <t>SARA LEAL MEJIA</t>
  </si>
  <si>
    <t>sara.leal@unionsaludvida.com</t>
  </si>
  <si>
    <t>1037633083</t>
  </si>
  <si>
    <t>SARA MELISSA MIRA CARDONA</t>
  </si>
  <si>
    <t>profesionalgh2@unionsaludvida.com</t>
  </si>
  <si>
    <t>1037630071</t>
  </si>
  <si>
    <t>SARA MELISSA VALENCIA ZAPATA</t>
  </si>
  <si>
    <t>sara.valencia@unionsaludvida.com</t>
  </si>
  <si>
    <t>1036675823</t>
  </si>
  <si>
    <t>SARA MORALES TAPIAS</t>
  </si>
  <si>
    <t>sara.tapias@unionsaludvida.com</t>
  </si>
  <si>
    <t>1037669752</t>
  </si>
  <si>
    <t>SARA POSADA ARANGO</t>
  </si>
  <si>
    <t>sara.posada@unionsaludvida.com</t>
  </si>
  <si>
    <t>1000416651</t>
  </si>
  <si>
    <t>SARA RODRIGUEZ VILLA</t>
  </si>
  <si>
    <t>auxiliarcentral5@unionsaludvida.com</t>
  </si>
  <si>
    <t>1001011775</t>
  </si>
  <si>
    <t>SARA VALDES CARVAJAL</t>
  </si>
  <si>
    <t>sara.valdes@unionsaludvida.com</t>
  </si>
  <si>
    <t>1152470285</t>
  </si>
  <si>
    <t>SARA VALENTINA ECHEVERRI VARGAS</t>
  </si>
  <si>
    <t>sara.echeverri@unionsaludvida.com</t>
  </si>
  <si>
    <t>1000893991</t>
  </si>
  <si>
    <t>SARA VALLEJO JIMENEZ</t>
  </si>
  <si>
    <t>sara.vallejo@unionsaludvida.com</t>
  </si>
  <si>
    <t>1007743514</t>
  </si>
  <si>
    <t>SARA ZAPATA RUEDA</t>
  </si>
  <si>
    <t>sara.rueda@unionsaludvida.com</t>
  </si>
  <si>
    <t>1001947711</t>
  </si>
  <si>
    <t>SARAY ANGELICA AREVALO MONSALVE</t>
  </si>
  <si>
    <t>saray.arevalo@unionsaludvida.com</t>
  </si>
  <si>
    <t>1000548167</t>
  </si>
  <si>
    <t>SARAY VELEZ OSORIO</t>
  </si>
  <si>
    <t>saray.velez@unionsaludvida.com</t>
  </si>
  <si>
    <t>1040044128</t>
  </si>
  <si>
    <t>SAYI MISNEIDY TELLO RIOS</t>
  </si>
  <si>
    <t>sayi.tello@unionsaludvida.com</t>
  </si>
  <si>
    <t>1152206588</t>
  </si>
  <si>
    <t>SEBASTIAN ALONSO ECHAVARRIA CARDONA</t>
  </si>
  <si>
    <t>sebastian.echavarria@unionsaludvida.com</t>
  </si>
  <si>
    <t>1216717716</t>
  </si>
  <si>
    <t>SEBASTIAN CARDONA RESTREPO</t>
  </si>
  <si>
    <t>sebastian.cardona@unionsaludvida.com</t>
  </si>
  <si>
    <t>1128264872</t>
  </si>
  <si>
    <t>SEBASTIAN CATAMUSCAY GONZALEZ</t>
  </si>
  <si>
    <t>sebastian.catamuscay@unionsaludvida.com</t>
  </si>
  <si>
    <t>1017224383</t>
  </si>
  <si>
    <t>SEBASTIAN GIL GALLEGO</t>
  </si>
  <si>
    <t>sebastian.gil@unionsaludvida.com</t>
  </si>
  <si>
    <t>1001823628</t>
  </si>
  <si>
    <t>SEBASTIAN GUTIERREZ ALVAREZ</t>
  </si>
  <si>
    <t>sebastian.gutierrez@unionsaludvida.com</t>
  </si>
  <si>
    <t>1020436585</t>
  </si>
  <si>
    <t>SEBASTIAN HERNANDEZ JARAMILLO</t>
  </si>
  <si>
    <t>sebastian.jaramillo@unionsaludvida.com</t>
  </si>
  <si>
    <t>1005989838</t>
  </si>
  <si>
    <t>SEBASTIAN JOSE CARDONA PINEDA</t>
  </si>
  <si>
    <t>sebastian.pineda@unionsaludvida.com</t>
  </si>
  <si>
    <t>1007725060</t>
  </si>
  <si>
    <t>SEBASTIAN JOSE OÑATE TUIRAN</t>
  </si>
  <si>
    <t>sebastian.onate@unionsaludvida.com</t>
  </si>
  <si>
    <t>1000408752</t>
  </si>
  <si>
    <t>SEBASTIAN MONTOYA URREGO</t>
  </si>
  <si>
    <t>sebastian.montoya@unionsaludvida.com</t>
  </si>
  <si>
    <t>1032488873</t>
  </si>
  <si>
    <t>SEBASTIAN RICARDO QUIÑONES GALINDO</t>
  </si>
  <si>
    <t>sebastian.galindo@unionsaludvida.com</t>
  </si>
  <si>
    <t>1036685627</t>
  </si>
  <si>
    <t>SERGIO LOAIZA SALAZAR</t>
  </si>
  <si>
    <t>sergio.salazar@unionsaludvida.com</t>
  </si>
  <si>
    <t>1039458715</t>
  </si>
  <si>
    <t>SHARON DARLIN BEDOYA VELEZ</t>
  </si>
  <si>
    <t>sharon.bedoya@unionsaludvida.com</t>
  </si>
  <si>
    <t>1000100875</t>
  </si>
  <si>
    <t>SHEIBANY MELISSA AGUDELO RESTREPO</t>
  </si>
  <si>
    <t>sheibany.agudelo@unionsaludvida.com</t>
  </si>
  <si>
    <t>1005569691</t>
  </si>
  <si>
    <t>SHIARA MARGARITA PERALTA MERCADO</t>
  </si>
  <si>
    <t>shiara.peralta@unionsaludvida.com</t>
  </si>
  <si>
    <t>1098765922</t>
  </si>
  <si>
    <t>SILVIA JULIANA RODRIGUEZ ARANGO</t>
  </si>
  <si>
    <t>silvia.rodriguez@unionsaludvida.com</t>
  </si>
  <si>
    <t>1037662189</t>
  </si>
  <si>
    <t>SIMON PEREZ ARANGO</t>
  </si>
  <si>
    <t>simon.perez@unionsaludvida.com</t>
  </si>
  <si>
    <t>1037668909</t>
  </si>
  <si>
    <t>SIMON SANTOS RUIZ</t>
  </si>
  <si>
    <t>simon.santos@unionsaludvida.com</t>
  </si>
  <si>
    <t>1001446162</t>
  </si>
  <si>
    <t>SIMON ZAPATA SUAREZ</t>
  </si>
  <si>
    <t>simon.zapata@unionsaludvida.com</t>
  </si>
  <si>
    <t>1077447464</t>
  </si>
  <si>
    <t>SIRLY DABEIS LOPEZ CORDOBA</t>
  </si>
  <si>
    <t>sirly.lopez@unionsaludvida.com</t>
  </si>
  <si>
    <t>1065871449</t>
  </si>
  <si>
    <t>SIRLY LORENA ESCALANTE YARURO</t>
  </si>
  <si>
    <t>sirly.escalante@unionsaludvida.com</t>
  </si>
  <si>
    <t>1007111078</t>
  </si>
  <si>
    <t>SOFIA ACEVEDO ARAMBURO</t>
  </si>
  <si>
    <t>sofia.acevedo@unionsaludvida.com</t>
  </si>
  <si>
    <t>1037662200</t>
  </si>
  <si>
    <t>SOFIA ESCOBAR JARAMILLO</t>
  </si>
  <si>
    <t>sofia.escobar@unionsaludvida.com</t>
  </si>
  <si>
    <t>SOFIA GARCIA POSADA</t>
  </si>
  <si>
    <t>sofia.garcia@unionsaludvida.com</t>
  </si>
  <si>
    <t>505528</t>
  </si>
  <si>
    <t>SOLANY COROMOTO PERCHE FUENMAYOR</t>
  </si>
  <si>
    <t>solany.perche@unionsaludvida.com</t>
  </si>
  <si>
    <t>43598017</t>
  </si>
  <si>
    <t>SOLANYE URREA COSME</t>
  </si>
  <si>
    <t>solanye.cosme@unionsaludvida.com</t>
  </si>
  <si>
    <t>1017139858</t>
  </si>
  <si>
    <t>SORI YOLIMA GIRALDO OCAMPO</t>
  </si>
  <si>
    <t>sori.giraldo@unionsaludvida.com</t>
  </si>
  <si>
    <t>1036665065</t>
  </si>
  <si>
    <t>STEEPHANY ORTIZ POSADA</t>
  </si>
  <si>
    <t>steephany.ortiz@unionsaludvida.com</t>
  </si>
  <si>
    <t>1037642818</t>
  </si>
  <si>
    <t>STEFANIA BETANCUR AMAYA</t>
  </si>
  <si>
    <t>stefania.betancur@unionsaludvida.com</t>
  </si>
  <si>
    <t>1020495012</t>
  </si>
  <si>
    <t>STEFANIA SAJONA BEDOYA</t>
  </si>
  <si>
    <t>stefania.sajona@unionsaludvida.com</t>
  </si>
  <si>
    <t>1037648527</t>
  </si>
  <si>
    <t>STEFANIE ARANGO PALACIO</t>
  </si>
  <si>
    <t>stefanie.arango@unionsaludvida.com</t>
  </si>
  <si>
    <t>1085324813</t>
  </si>
  <si>
    <t>STEFANY DAYANA GOMEZ RODRIGUEZ</t>
  </si>
  <si>
    <t>stefany.rodriguez@unionsaludvida.com</t>
  </si>
  <si>
    <t>1017254531</t>
  </si>
  <si>
    <t>STEFFANY ANDREA MEZA RENGIFO</t>
  </si>
  <si>
    <t>steffany.meza@unionsaludvida.com</t>
  </si>
  <si>
    <t>1065836187</t>
  </si>
  <si>
    <t>STEPHANIA LACOUTURE PAEZ</t>
  </si>
  <si>
    <t>stephania.lacouture@unionsaludvida.com</t>
  </si>
  <si>
    <t>1234095588</t>
  </si>
  <si>
    <t>STEVANN ANDRES HERNANDEZ BARRAZA</t>
  </si>
  <si>
    <t>stevann.hernandez@unionsaludvida.com</t>
  </si>
  <si>
    <t>1098776985</t>
  </si>
  <si>
    <t>SURITH MELISSA SALAZAR NAVARRO</t>
  </si>
  <si>
    <t>surith.salazar@unionsaludvida.com</t>
  </si>
  <si>
    <t>1152450008</t>
  </si>
  <si>
    <t>SUSANA BUSTAMANTE VASQUEZ</t>
  </si>
  <si>
    <t>susana.vasquez@unionsaludvida.com</t>
  </si>
  <si>
    <t>1017274206</t>
  </si>
  <si>
    <t>SUSANA ESPINOSA OTALVARO</t>
  </si>
  <si>
    <t>susana.espinosa@unionsaludvida.com</t>
  </si>
  <si>
    <t>1037666351</t>
  </si>
  <si>
    <t>SUSANA JARAMILLO ORREGO</t>
  </si>
  <si>
    <t>susana.orrego@unionsaludvida.com</t>
  </si>
  <si>
    <t>1152706542</t>
  </si>
  <si>
    <t>SUSANA ORTEGA SIERRA</t>
  </si>
  <si>
    <t>susana.ortega@unionsaludvida.com</t>
  </si>
  <si>
    <t>1002213275</t>
  </si>
  <si>
    <t>SYLVIA PAOLA JULIAO OJEDA</t>
  </si>
  <si>
    <t>sylvia.juliao@unionsaludvida.com</t>
  </si>
  <si>
    <t>1045515532</t>
  </si>
  <si>
    <t>TANTIER VALMER IBARGÜEN IBARGÜEN</t>
  </si>
  <si>
    <t>tantier.ibarguen@unionsaludvida.com</t>
  </si>
  <si>
    <t>1020465979</t>
  </si>
  <si>
    <t>TATIANA ATUESTA CARDOZA</t>
  </si>
  <si>
    <t>documentacion@unionsaludvida.com</t>
  </si>
  <si>
    <t>1047460346</t>
  </si>
  <si>
    <t>TATIANA MARCELA MARRUGO FERNANDEZ</t>
  </si>
  <si>
    <t>tatiana.marrugo@unionsaludvida.com</t>
  </si>
  <si>
    <t>1017205734</t>
  </si>
  <si>
    <t>TATIANA MURIEL OROZCO</t>
  </si>
  <si>
    <t>tatiana.muriel@unionsaludvida.com</t>
  </si>
  <si>
    <t>1066185315</t>
  </si>
  <si>
    <t>TERESA FERNANDA PACHECO AVILEZ</t>
  </si>
  <si>
    <t>teresa.pacheco@unionsaludvida.com</t>
  </si>
  <si>
    <t>1003000410</t>
  </si>
  <si>
    <t>THALIA GISSELA REGINO OSPINA</t>
  </si>
  <si>
    <t>thalia.regino@unionsaludvida.com</t>
  </si>
  <si>
    <t>1027961417</t>
  </si>
  <si>
    <t>UBERLEYS CURA GARCIA</t>
  </si>
  <si>
    <t>uberleys.cura@unionsaludvida.com</t>
  </si>
  <si>
    <t>1037665754</t>
  </si>
  <si>
    <t>VALENTINA DUQUE GIRALDO</t>
  </si>
  <si>
    <t>valentina.duque@unionsaludvida.com</t>
  </si>
  <si>
    <t>1152224391</t>
  </si>
  <si>
    <t>VALENTINA DUQUE SANCHEZ</t>
  </si>
  <si>
    <t>valentinaduque.sanchez@unionsaludvida.com</t>
  </si>
  <si>
    <t>1002212895</t>
  </si>
  <si>
    <t>VALENTINA FABIJHOSEY MARIA HERNANDEZ SILVERA</t>
  </si>
  <si>
    <t>valentina.silvera@unionsaludvida.com</t>
  </si>
  <si>
    <t>1000640650</t>
  </si>
  <si>
    <t>VALENTINA FUENTES HERNANDEZ</t>
  </si>
  <si>
    <t>valentina.fuentes@unionsaludvida.com</t>
  </si>
  <si>
    <t>1000398069</t>
  </si>
  <si>
    <t>VALENTINA GIRALDO HIGUITA</t>
  </si>
  <si>
    <t>valentina.higuita@unionsaludvida.com</t>
  </si>
  <si>
    <t>1010145369</t>
  </si>
  <si>
    <t>VALENTINA GOMEZ SUAREZ</t>
  </si>
  <si>
    <t>valentina.suarez@unionsaludvida.com</t>
  </si>
  <si>
    <t>1003502775</t>
  </si>
  <si>
    <t>VALENTINA GUTIERREZ HOYOS</t>
  </si>
  <si>
    <t>valentina.gutierrez@unionsaludvida.com</t>
  </si>
  <si>
    <t>1037657225</t>
  </si>
  <si>
    <t>VALENTINA HERNANDEZ NUPAN</t>
  </si>
  <si>
    <t>valentina.hernandez@unionsaludvida.com</t>
  </si>
  <si>
    <t>1192904075</t>
  </si>
  <si>
    <t>VALENTINA HOYOS RAMIREZ</t>
  </si>
  <si>
    <t>valentinahoyos.ramirez@unionsaludvida.com</t>
  </si>
  <si>
    <t>1004373476</t>
  </si>
  <si>
    <t>VALENTINA IBARRA CAMPO</t>
  </si>
  <si>
    <t>valentina.ibarra@unionsaludvida.com</t>
  </si>
  <si>
    <t>1037637920</t>
  </si>
  <si>
    <t>VALENTINA JARAMILLO VELEZ</t>
  </si>
  <si>
    <t>valentina.jaramillo@unionsaludvida.com</t>
  </si>
  <si>
    <t>1004235420</t>
  </si>
  <si>
    <t>VALENTINA LEGARDA FLOREZ</t>
  </si>
  <si>
    <t>valentina.legarda@unionsaludvida.com</t>
  </si>
  <si>
    <t>1152467583</t>
  </si>
  <si>
    <t>VALENTINA MELENDEZ GOMEZ</t>
  </si>
  <si>
    <t>valentina.melendez@unionsaludvida.com</t>
  </si>
  <si>
    <t>1002155665</t>
  </si>
  <si>
    <t>VALENTINA MOLINA BLANQUICETT</t>
  </si>
  <si>
    <t>valentina.molina@unionsaludvida.com</t>
  </si>
  <si>
    <t>1239488135</t>
  </si>
  <si>
    <t>VALENTINA OROZCO ALEGRIA</t>
  </si>
  <si>
    <t>valentina.orozco@unionsaludvida.com</t>
  </si>
  <si>
    <t>1146438156</t>
  </si>
  <si>
    <t>VALENTINA ORTEGA RIVERA</t>
  </si>
  <si>
    <t>valentina.ortega@unionsaludvida.com</t>
  </si>
  <si>
    <t>1193037165</t>
  </si>
  <si>
    <t>VALENTINA PAJARO ARANGO</t>
  </si>
  <si>
    <t>valentina.pajaro@unionsaludvida.com</t>
  </si>
  <si>
    <t>1003433571</t>
  </si>
  <si>
    <t>VALENTINA RAMOS PACHECO</t>
  </si>
  <si>
    <t>valentina.ramos@unionsaludvida.com</t>
  </si>
  <si>
    <t>1003433516</t>
  </si>
  <si>
    <t>VALENTINA RESTREPO FERNANDEZ</t>
  </si>
  <si>
    <t>valentina.fernandez@unionsaludvida.com</t>
  </si>
  <si>
    <t>1000894580</t>
  </si>
  <si>
    <t>Comunicadora A</t>
  </si>
  <si>
    <t>VALENTINA RESTREPO VANEGAS</t>
  </si>
  <si>
    <t>valentina.restrepo@unionsaludvida.com</t>
  </si>
  <si>
    <t>1001011524</t>
  </si>
  <si>
    <t>VALENTINA RIVERA HERNANDEZ</t>
  </si>
  <si>
    <t>valentina.rivera@unionsaludvida.com</t>
  </si>
  <si>
    <t>1126247885</t>
  </si>
  <si>
    <t>VALENTINA SALAZAR OROZCO</t>
  </si>
  <si>
    <t>valentinasalazar.orozco@unionsaludvida.com</t>
  </si>
  <si>
    <t>1000408932</t>
  </si>
  <si>
    <t>VALENTINA SALAZAR TORO</t>
  </si>
  <si>
    <t>valentina.salazar@unionsaludvida.com</t>
  </si>
  <si>
    <t>1001995044</t>
  </si>
  <si>
    <t>VALENTINA VALERIA BLANCO ESCOBAR</t>
  </si>
  <si>
    <t>valentina.blanco@unionsaludvida.com</t>
  </si>
  <si>
    <t>1104017953</t>
  </si>
  <si>
    <t>VALERIA ARRIETA FOLIACO</t>
  </si>
  <si>
    <t>valeria.arrieta@unionsaludvida.com</t>
  </si>
  <si>
    <t>1020488082</t>
  </si>
  <si>
    <t>VALERIA BEDOYA VELEZ</t>
  </si>
  <si>
    <t>valeria.bedoya@unionsaludvida.com</t>
  </si>
  <si>
    <t>1000759467</t>
  </si>
  <si>
    <t>VALERIA CORREA VALENCIA</t>
  </si>
  <si>
    <t>valeria.correa@unionsaludvida.com</t>
  </si>
  <si>
    <t>1007126605</t>
  </si>
  <si>
    <t>VALERIA DIAZ ARIAS</t>
  </si>
  <si>
    <t>valeria.diaz@unionsaludvida.com</t>
  </si>
  <si>
    <t>1001022866</t>
  </si>
  <si>
    <t>VALERIA MIRANDA BLANDON</t>
  </si>
  <si>
    <t>valeria.miranda@unionsaludvida.com</t>
  </si>
  <si>
    <t>1152471758</t>
  </si>
  <si>
    <t>VALERIA MOSQUERA MOSQUERA</t>
  </si>
  <si>
    <t>valeria.mosquera@unionsaludvida.com</t>
  </si>
  <si>
    <t>1001878896</t>
  </si>
  <si>
    <t>VALERIE PAOLA BARCELO DE ALBA</t>
  </si>
  <si>
    <t>valerie.barcelo@unionsaludvida.com</t>
  </si>
  <si>
    <t>1067961602</t>
  </si>
  <si>
    <t>VANESSA MARIA ESPINOSA CANO</t>
  </si>
  <si>
    <t>vanessa.espinosa@unionsaludvida.com</t>
  </si>
  <si>
    <t>55233844</t>
  </si>
  <si>
    <t>VANESSA PAOLA ALVARADO CARDENAS</t>
  </si>
  <si>
    <t>vanessa.alvarado@unionsaludvida.com</t>
  </si>
  <si>
    <t>1050947027</t>
  </si>
  <si>
    <t>VERENICE JOSEFINA BALSEIRO BLANCO</t>
  </si>
  <si>
    <t>verenice.balseiro@unionsaludvida.com</t>
  </si>
  <si>
    <t>VERONICA ARANGO MONTOYA</t>
  </si>
  <si>
    <t>1001013936</t>
  </si>
  <si>
    <t>VERONICA ARANGO SIERRA</t>
  </si>
  <si>
    <t>veronica.sierra@unionsaludvida.com</t>
  </si>
  <si>
    <t>1039456641</t>
  </si>
  <si>
    <t>VERONICA CATAÑO MARIN</t>
  </si>
  <si>
    <t>veronica.catano@unionsaludvida.com</t>
  </si>
  <si>
    <t>1143467741</t>
  </si>
  <si>
    <t>VERONICA COLPAS BARRAZA</t>
  </si>
  <si>
    <t>veronica.colpas@unionsaludvida.com</t>
  </si>
  <si>
    <t>1037666950</t>
  </si>
  <si>
    <t>VERONICA MONSALVE FRANCO</t>
  </si>
  <si>
    <t>veronica.monsalve@unionsaludvida.com</t>
  </si>
  <si>
    <t>VICTOR JOSE REALES SOLANO</t>
  </si>
  <si>
    <t>victor.reales@unionsaludvida.com</t>
  </si>
  <si>
    <t>1002962022</t>
  </si>
  <si>
    <t>VICTOR MANUEL POLINDARA MORALES</t>
  </si>
  <si>
    <t>victor.polindara@unionsaludvida.com</t>
  </si>
  <si>
    <t>1010020698</t>
  </si>
  <si>
    <t>VILETH JOHANA FRANCO TORRES</t>
  </si>
  <si>
    <t>vileth.franco@unionsaludvida.com</t>
  </si>
  <si>
    <t>1193225115</t>
  </si>
  <si>
    <t>VINIS VIVIANA CUELLO BECERRA</t>
  </si>
  <si>
    <t>vinis.cuello@unionsaludvida.com</t>
  </si>
  <si>
    <t>1124026099</t>
  </si>
  <si>
    <t>WANDA MARIETH PINTO REINOSO</t>
  </si>
  <si>
    <t>wanda.pinto@unionsaludvida.com</t>
  </si>
  <si>
    <t>1003232825</t>
  </si>
  <si>
    <t>WENDY DANIELA MUÑOZ GARCIA</t>
  </si>
  <si>
    <t>wendy.munoz@unionsaludvida.com</t>
  </si>
  <si>
    <t>1047512102</t>
  </si>
  <si>
    <t>WENDY JOHANA HENRIQUEZ SEGURA</t>
  </si>
  <si>
    <t>wendy.henriquez@unionsaludvida.com</t>
  </si>
  <si>
    <t>1067961841</t>
  </si>
  <si>
    <t>WILFREDY CASTRO ROVIRA</t>
  </si>
  <si>
    <t>wilfredy.castro@unionsaludvida.com</t>
  </si>
  <si>
    <t>1017236556</t>
  </si>
  <si>
    <t>WILL ANDERSON RIAÑO ECHAVARRIA</t>
  </si>
  <si>
    <t>will.riano@unionsaludvida.com</t>
  </si>
  <si>
    <t>1047435977</t>
  </si>
  <si>
    <t>WILLIAM ESTEBAN RIVERA CARDONA</t>
  </si>
  <si>
    <t>william.rivera@unionsaludvida.com</t>
  </si>
  <si>
    <t>1128401834</t>
  </si>
  <si>
    <t>WILMAR ALEXANDER MURILLO LOPEZ</t>
  </si>
  <si>
    <t>wilmar.murillo@unionsaludvida.com</t>
  </si>
  <si>
    <t>1102885216</t>
  </si>
  <si>
    <t>WILMER DANIEL PEREZ TURNER</t>
  </si>
  <si>
    <t>wilmer.perez@unionsaludvida.com</t>
  </si>
  <si>
    <t>1036606576</t>
  </si>
  <si>
    <t>WLADISKY PALACIOS CASAS</t>
  </si>
  <si>
    <t>wladisky.palacios@unionsaludvida.com</t>
  </si>
  <si>
    <t>1234092382</t>
  </si>
  <si>
    <t>XIMENA ANDREA BERROCAL ARRAUT</t>
  </si>
  <si>
    <t>ximena.berrocal@unionsaludvida.com</t>
  </si>
  <si>
    <t>1010039979</t>
  </si>
  <si>
    <t>YAMEL BEATRIZ MARTINEZ RODRIGUEZ</t>
  </si>
  <si>
    <t>yamel.martinez@unionsaludvida.com</t>
  </si>
  <si>
    <t>1003140831</t>
  </si>
  <si>
    <t>YAMEL JUNIOR DIAZ CONDE</t>
  </si>
  <si>
    <t>yamel.diaz@unionsaludvida.com</t>
  </si>
  <si>
    <t>1144203018</t>
  </si>
  <si>
    <t>YANIA VALENTINA HOLGUIN SAAVEDRA</t>
  </si>
  <si>
    <t>yania.holguin@unionsaludvida.com</t>
  </si>
  <si>
    <t>1072525887</t>
  </si>
  <si>
    <t>YANILETH CUELLO CORREA</t>
  </si>
  <si>
    <t>yanileth.cuello@unionsaludvida.com</t>
  </si>
  <si>
    <t>1128399688</t>
  </si>
  <si>
    <t>Profesional Contratacion y Seleccion</t>
  </si>
  <si>
    <t>YECENIA OSPINA HERNANDEZ</t>
  </si>
  <si>
    <t>yecenia.ospina@unionsaludvida.com</t>
  </si>
  <si>
    <t>1017237926</t>
  </si>
  <si>
    <t>YEIMY TATIANA BETANCUR LOTERO</t>
  </si>
  <si>
    <t>yeimy.betancur@unionsaludvida.com</t>
  </si>
  <si>
    <t>1080901556</t>
  </si>
  <si>
    <t>YEISON ANDRES MUÑOZ MUÑOZ</t>
  </si>
  <si>
    <t>yeison.munoz@unionsaludvida.com</t>
  </si>
  <si>
    <t>1143231107</t>
  </si>
  <si>
    <t>YELENIS STELLA ANAYA CORTES</t>
  </si>
  <si>
    <t>yelenis.anaya@unionsaludvida.com</t>
  </si>
  <si>
    <t>1020475954</t>
  </si>
  <si>
    <t>YELITZA MUÑOZ PEREZ</t>
  </si>
  <si>
    <t>yelitza.munoz@unionsaludvida.com</t>
  </si>
  <si>
    <t>1035855377</t>
  </si>
  <si>
    <t>Analista Administrativo</t>
  </si>
  <si>
    <t>YENI MARCELA BEDOYA SANCHEZ</t>
  </si>
  <si>
    <t>yeni.bedoya@unionsaludvida.com</t>
  </si>
  <si>
    <t>1015447476</t>
  </si>
  <si>
    <t>YENLI MARGARITA ARIAS CHAVES</t>
  </si>
  <si>
    <t>yenli.arias@unionsaludvida.com</t>
  </si>
  <si>
    <t>1065617957</t>
  </si>
  <si>
    <t>YENYS JOHANA MARTINEZ SOTO</t>
  </si>
  <si>
    <t>yenys.martinez@unionsaludvida.com</t>
  </si>
  <si>
    <t>1077473647</t>
  </si>
  <si>
    <t>YERLIN JAVIER QUIÑONEZ BECERRA</t>
  </si>
  <si>
    <t>yerlin.quinonez@unionsaludvida.com</t>
  </si>
  <si>
    <t>1000440218</t>
  </si>
  <si>
    <t>YERY PAOLA GONZALEZ PERTUZ</t>
  </si>
  <si>
    <t>auxiliarseguridadysalud@unionsaludvida.com</t>
  </si>
  <si>
    <t>1121853325</t>
  </si>
  <si>
    <t>YESICA MARCELA ARISTIZABAL CIRO</t>
  </si>
  <si>
    <t>yessica.aristizabal@unionsaludvida.com</t>
  </si>
  <si>
    <t>1036633865</t>
  </si>
  <si>
    <t>YESID ALEXANDER OSORIO JARAMILLO</t>
  </si>
  <si>
    <t>yesid.osorio@unionsaludvida.com</t>
  </si>
  <si>
    <t>1039464600</t>
  </si>
  <si>
    <t>YESSENIA MARTINEZ BARGUIL</t>
  </si>
  <si>
    <t>yessenia.martinez@unionsaludvida.com</t>
  </si>
  <si>
    <t>1017210673</t>
  </si>
  <si>
    <t>YESSICA MARCELA QUIROZ RODRIGUEZ</t>
  </si>
  <si>
    <t>yessica.quiroz@unionsaludvida.com</t>
  </si>
  <si>
    <t>1040353742</t>
  </si>
  <si>
    <t>YILMARY LUZ CAICEDO IBARGUEN</t>
  </si>
  <si>
    <t>yilmary.caicedo@unionsaludvida.com</t>
  </si>
  <si>
    <t>72005170</t>
  </si>
  <si>
    <t>YOHAN ENRIQUE DIAZ TAPIAS</t>
  </si>
  <si>
    <t>yohan.diaz@unionsaludvida.com</t>
  </si>
  <si>
    <t>1039457406</t>
  </si>
  <si>
    <t>YONATAN JAIR BARBOSA VILLEGAS</t>
  </si>
  <si>
    <t>yonatan.barbosa@unionsaludvida.com</t>
  </si>
  <si>
    <t>1233343291</t>
  </si>
  <si>
    <t>YONNY RAFAEL GONZALEZ NIÑO</t>
  </si>
  <si>
    <t>yonny.gonzalez@unionsaludvida.com</t>
  </si>
  <si>
    <t>1001639847</t>
  </si>
  <si>
    <t>YORSI ESTEBAN CASTAÑO MUÑETON</t>
  </si>
  <si>
    <t>yorsi.castano@unionsaludvida.com</t>
  </si>
  <si>
    <t>1092353377</t>
  </si>
  <si>
    <t>YOSSI ANDREINA LOZANO USECHE</t>
  </si>
  <si>
    <t>yossi.lozano@unionsaludvida.com</t>
  </si>
  <si>
    <t>1067957398</t>
  </si>
  <si>
    <t>YULENIS PIÑEREZ MARIN</t>
  </si>
  <si>
    <t>yulenis.pinerez@unionsaludvida.com</t>
  </si>
  <si>
    <t>1014289984</t>
  </si>
  <si>
    <t>YULI PAOLA LEON PEREZ</t>
  </si>
  <si>
    <t>yuli.leon@unionsaludvida.com</t>
  </si>
  <si>
    <t>1152444842</t>
  </si>
  <si>
    <t>YULIANA OCAMPO SALAZAR</t>
  </si>
  <si>
    <t>yuliana.ocampo@unionsaludvida.com</t>
  </si>
  <si>
    <t>44191691</t>
  </si>
  <si>
    <t>YULIANNA KAROLY LECHUGA PEÑA</t>
  </si>
  <si>
    <t>yulianna.lechuga@unionsaludvida.com</t>
  </si>
  <si>
    <t>1081785977</t>
  </si>
  <si>
    <t>YULIETH PAOLA SIERRA RODRIGUEZ</t>
  </si>
  <si>
    <t>yulieth.sierra@unionsaludvida.com</t>
  </si>
  <si>
    <t>1017262463</t>
  </si>
  <si>
    <t>YULIETH PAOLA ZAPATA GOMEZ</t>
  </si>
  <si>
    <t>yulieth.zapata@unionsaludvida.com</t>
  </si>
  <si>
    <t>1007439888</t>
  </si>
  <si>
    <t>YULIS FERNANDA LOBO SALAS</t>
  </si>
  <si>
    <t>yulis.lobo@unionsaludvida.com</t>
  </si>
  <si>
    <t>1214739131</t>
  </si>
  <si>
    <t>YULISA MARIANA HINESTROZA RUIZ</t>
  </si>
  <si>
    <t>yulisa.hinestroza@unionsaludvida.com</t>
  </si>
  <si>
    <t>1152187746</t>
  </si>
  <si>
    <t>YULLIER AIZALEZ AIZALES</t>
  </si>
  <si>
    <t>1000445985</t>
  </si>
  <si>
    <t>YUMARA OSORIO YEPES</t>
  </si>
  <si>
    <t>yumara.osorio@unionsaludvida.com</t>
  </si>
  <si>
    <t>1035871381</t>
  </si>
  <si>
    <t>YURANY ZULETA BUSTAMANTE</t>
  </si>
  <si>
    <t>yurany.zuleta@unionsaludvida.com</t>
  </si>
  <si>
    <t>1140820680</t>
  </si>
  <si>
    <t>YURLEEN PAOLA GARCIA BARRAZA</t>
  </si>
  <si>
    <t>yurleen.garcia@unionsaludvida.com</t>
  </si>
  <si>
    <t>1121865410</t>
  </si>
  <si>
    <t>YUSMAY KATERINE BERBEO VELASQUEZ</t>
  </si>
  <si>
    <t>yusmay.berbeo@unionsaludvida.com</t>
  </si>
  <si>
    <t>1044915980</t>
  </si>
  <si>
    <t>ZAIDY MELIZA MATOS CRESPO</t>
  </si>
  <si>
    <t>zaidy.matos@unionsaludvida.com</t>
  </si>
  <si>
    <t>1037573035</t>
  </si>
  <si>
    <t>ZAIDY PAULINA PEREZ DE LOS RIOS</t>
  </si>
  <si>
    <t>zaidy.perez@unionsaludvida.com</t>
  </si>
  <si>
    <t>1077462479</t>
  </si>
  <si>
    <t>ZURY YAREILA HINESTROZA ARROYO</t>
  </si>
  <si>
    <t>zury.hinestroza@unionsaludvida.com</t>
  </si>
  <si>
    <t>ZONA</t>
  </si>
  <si>
    <t>Hora inic</t>
  </si>
  <si>
    <t>Hora final</t>
  </si>
  <si>
    <t>FECHA SUBIÓ SOPORTE</t>
  </si>
  <si>
    <t>REDIRECCIONAMIENTO 2</t>
  </si>
  <si>
    <t>REDIRECCIONAR CORREO</t>
  </si>
  <si>
    <t>CREACIÓN DE NOVEDAD EN PROTEO POR MED</t>
  </si>
  <si>
    <t>FECHA CREACIÓN REPORTE PROTEO POR CN</t>
  </si>
  <si>
    <t>OBSERVACION</t>
  </si>
  <si>
    <t>Columna1</t>
  </si>
  <si>
    <t>01 AGOSTO</t>
  </si>
  <si>
    <t>Zona Norte</t>
  </si>
  <si>
    <t>ELIMINAR</t>
  </si>
  <si>
    <t>NO</t>
  </si>
  <si>
    <t>03 AGOSTO</t>
  </si>
  <si>
    <t>JUAN CAMILO RANGEL CASTAÑO</t>
  </si>
  <si>
    <t>Zona Occidente</t>
  </si>
  <si>
    <t>Zona Sur</t>
  </si>
  <si>
    <t>Zona Centro</t>
  </si>
  <si>
    <t>06 AGOSTO</t>
  </si>
  <si>
    <t>HARRISON VERA GARCIA</t>
  </si>
  <si>
    <t>Retiro</t>
  </si>
  <si>
    <t>08 AGOSTO</t>
  </si>
  <si>
    <t>10 AGOSTO</t>
  </si>
  <si>
    <t>05 AGOSTO</t>
  </si>
  <si>
    <t>CAROLINA  VILARO CAMPO</t>
  </si>
  <si>
    <t>04 AGOSTO</t>
  </si>
  <si>
    <t>Zona Oriente</t>
  </si>
  <si>
    <t>MARIA LORGIA  OSSA HENAO</t>
  </si>
  <si>
    <t>MARIA LORGIA OSSA HENAO</t>
  </si>
  <si>
    <t>CAROLINA VILARO CAMPO</t>
  </si>
  <si>
    <t>PDTE SOPORTE-SIN SUPERNUMERARIO</t>
  </si>
  <si>
    <t>ANA MARIA REALES MARTINEZ</t>
  </si>
  <si>
    <t>Vacaciones</t>
  </si>
  <si>
    <t>DIANA PATRICIA CORTES AGRESOT</t>
  </si>
  <si>
    <t>Citación Judicial</t>
  </si>
  <si>
    <t>Novedad Ops</t>
  </si>
  <si>
    <t>CAROLINA RODRIGUEZ ECHEVERRI</t>
  </si>
  <si>
    <t>ANGELA EDELMIRA VARELA</t>
  </si>
  <si>
    <t>Dia De Grados</t>
  </si>
  <si>
    <t>ALEXANDER MIGUEL JIMENEZ LAVALLE</t>
  </si>
  <si>
    <t>1140885873</t>
  </si>
  <si>
    <t>MARIA AUXILIADORA NARVAEZ CHARRIS</t>
  </si>
  <si>
    <t>LAURA MARIA  CANO MIRANDA</t>
  </si>
  <si>
    <t>Apoyo Al CIS</t>
  </si>
  <si>
    <t>Consultando</t>
  </si>
  <si>
    <t>SIN SOPORTE</t>
  </si>
  <si>
    <t>KELLY JOHANNA FORERO BONETT</t>
  </si>
  <si>
    <t>Licencia Paternidad</t>
  </si>
  <si>
    <t>Supernumerario</t>
  </si>
  <si>
    <t>Trámites Virtuales</t>
  </si>
  <si>
    <t>MIGUEL ANGEL TAMAYO ARBELAEZ</t>
  </si>
  <si>
    <t>INCAPACIDAD</t>
  </si>
  <si>
    <t>PDTE SOPORTE- ANA MARIA LONDOÑO GIRALDO</t>
  </si>
  <si>
    <t>PDTE SOPORTE-SIN AGENDA</t>
  </si>
  <si>
    <t>ELIMINAR-NO CONSULTO</t>
  </si>
  <si>
    <t>NO CONSULTO</t>
  </si>
  <si>
    <t>PDTE SOPORTE- SARA LISETH TROCHEZ BORRERO</t>
  </si>
  <si>
    <t>Calamidad</t>
  </si>
  <si>
    <t>PDTE SOPORTE-JUAN DAVID MONTOYA ARBELAEZ</t>
  </si>
  <si>
    <t>PDTE SOPORTE- MAICOL ESTEVEN SANCHEZ FRANCO</t>
  </si>
  <si>
    <t>Terminacion De Contrato</t>
  </si>
  <si>
    <t>Suspensión Laboral</t>
  </si>
  <si>
    <t>PDTE SOPORTE-CARLOS DAVID MUÑOZ VIVERO</t>
  </si>
  <si>
    <t>MARIA JOSE HERRERA VILLAMIZAR</t>
  </si>
  <si>
    <t xml:space="preserve">INCAPACIDAD </t>
  </si>
  <si>
    <t>MARIA JOSE  HERRERA VILLAMIZAR</t>
  </si>
  <si>
    <t>PDTE SOPORTE-DANIELA ARANGO TOBON</t>
  </si>
  <si>
    <t xml:space="preserve">1040184262
</t>
  </si>
  <si>
    <t>DIANA PATRICIA  CORTES AGRESOT</t>
  </si>
  <si>
    <t>Gestion</t>
  </si>
  <si>
    <t>LINDSAY PATRICIA MARTINEZ ESQUIVIA</t>
  </si>
  <si>
    <t>PDTE SOPORTE-DANNA CAROLINA LOPEZ VIZCAINO</t>
  </si>
  <si>
    <t>LINDSAY PATRICIA  MARTINEZ ESQUIVIA</t>
  </si>
  <si>
    <t>NATALIA  MONTOYA ATEHORTUA</t>
  </si>
  <si>
    <t>Inducción</t>
  </si>
  <si>
    <t>MANUELA LOPERA GONZALEZ</t>
  </si>
  <si>
    <t xml:space="preserve">MANUELA LOPERA GONZALEZ </t>
  </si>
  <si>
    <t>1140851921</t>
  </si>
  <si>
    <t>MARIA CAMILA   REVELO FLOREZ</t>
  </si>
  <si>
    <t>MARIA PAOLA  BUSTAMANTE SANDOVAL</t>
  </si>
  <si>
    <t>KAROL STEFANY   RIVAS ROBLEDO</t>
  </si>
  <si>
    <t>LINA MARCELA  ALVAREZ MARIN</t>
  </si>
  <si>
    <t>JENNIFER  SANCHEZ CORTES</t>
  </si>
  <si>
    <t xml:space="preserve"> DIANA  ECHAVARRIA BETANCOURT</t>
  </si>
  <si>
    <t>ANA MARIA  ACOSTA TIRADO</t>
  </si>
  <si>
    <t>MELISSA  PINEDA BOLIVAR</t>
  </si>
  <si>
    <t>PAULA ANDREA  BERNAL ZULUAGA</t>
  </si>
  <si>
    <t>LAURA ANDREA  AGUDELO GONZALEZ</t>
  </si>
  <si>
    <t>1001940238</t>
  </si>
  <si>
    <t>1140905046</t>
  </si>
  <si>
    <t>21852680</t>
  </si>
  <si>
    <t>MARIA PAULA  ARGOTE MUÑOZ</t>
  </si>
  <si>
    <t>CLARA INES  CORONADO TRIANA</t>
  </si>
  <si>
    <t>Dia De Bodas</t>
  </si>
  <si>
    <t>1143460426</t>
  </si>
  <si>
    <t>Proyectos Valle De Aburra</t>
  </si>
  <si>
    <t>SARA VALENTINA  ECHEVERRI VARGAS</t>
  </si>
  <si>
    <t>ANDRES FELIPE CIFUENTES RICO</t>
  </si>
  <si>
    <t>MANUELA RESTREPO GOMEZ</t>
  </si>
  <si>
    <t>USUARIO ELIMINADO</t>
  </si>
  <si>
    <t xml:space="preserve"> HILDEBRANDO JOSE ALVAREZ NISPERUZA</t>
  </si>
  <si>
    <t>SUPERNUMERARIO</t>
  </si>
  <si>
    <t>ANA VALERIA  GARCIA MEDINA</t>
  </si>
  <si>
    <t>PDTE SOPORTE- CRISTIAN DAVID ROJAS PRATTO</t>
  </si>
  <si>
    <t xml:space="preserve">
ANDREA HOYOS ESCOBAR
</t>
  </si>
  <si>
    <t>ANDREA  HOYOS ESCOBAR</t>
  </si>
  <si>
    <t xml:space="preserve">ISABELLE GIL MARULANDA
</t>
  </si>
  <si>
    <t>ISABELLA CRUZ GIL</t>
  </si>
  <si>
    <t>JULIANA  MEJIA PALACIO</t>
  </si>
  <si>
    <t>PDTE SOPORTE- DIANA VANESA ROSERO SANTACRUZ</t>
  </si>
  <si>
    <t>Compensar Horas</t>
  </si>
  <si>
    <t>JENNY  GUEVARA MORENO</t>
  </si>
  <si>
    <t>CLARA VALENTINA  CUADRO VIECO</t>
  </si>
  <si>
    <t xml:space="preserve">CARMEN MILENA MIRANDA CASTILLA
</t>
  </si>
  <si>
    <t>PDTE SOPORTE- AGENDA EN VACACIONES</t>
  </si>
  <si>
    <t>JUAN PABLO  SERNA WILCHES</t>
  </si>
  <si>
    <t xml:space="preserve">DANIELA MAYO MARIN </t>
  </si>
  <si>
    <t>Horas De Votación</t>
  </si>
  <si>
    <t xml:space="preserve">1001901817
</t>
  </si>
  <si>
    <t>PDTE SOPORTE- RICARDO ULISES ALVAREZ TAMARA</t>
  </si>
  <si>
    <t>LAURA ELENA PELUFO RIVERO AGENDA A NOMBRE DE LA MEDICA HASTA LAS 5PM, VIO PACIENTES DE CONSULTA AL DIA.</t>
  </si>
  <si>
    <t>LAURA ISABELA TABARES PEÑA</t>
  </si>
  <si>
    <t>MARIA ALEJANDRA   RUIZ SANJUAN</t>
  </si>
  <si>
    <t xml:space="preserve">
LUISA FERNANDA ASCANIO RINCON</t>
  </si>
  <si>
    <t>LUISA FERNANDA  ASCANIO RINCON</t>
  </si>
  <si>
    <t>PDTE SOPORTE-MARIA ALEJANDRA MONTOYA SILVA</t>
  </si>
  <si>
    <t xml:space="preserve">NICOLAS FERNANDO GODOY ESCOBAR
</t>
  </si>
  <si>
    <t>PDTE SOPORTE-JOSE DAVID HERAZO PEREZ</t>
  </si>
  <si>
    <t>Cita Médica</t>
  </si>
  <si>
    <t>DANA MARCELA TRUJILLO QUINTERO</t>
  </si>
  <si>
    <t>Proyecto Valle De Aburra</t>
  </si>
  <si>
    <t>INDUCCION</t>
  </si>
  <si>
    <t>PDTE SOPORTE-LAURA ELENA PELUFO RIVERO</t>
  </si>
  <si>
    <t>11 AGOSTO</t>
  </si>
  <si>
    <t>SUSANA VELEZ SALAZAR</t>
  </si>
  <si>
    <t>Licencita De Luto</t>
  </si>
  <si>
    <t>18 AGOSTO</t>
  </si>
  <si>
    <t>DANIELA ALEJANDRA BARRIOS CASTRO</t>
  </si>
  <si>
    <t>Relajate En Tu Puesto</t>
  </si>
  <si>
    <t>PDTE SOPORTE-CRISTIAN DAVID ROJAS PRATTO</t>
  </si>
  <si>
    <t>PDTE SOPORTE-CARLOS ANDRES FONSECA PIANETA</t>
  </si>
  <si>
    <t>PDTE SOPORTE-SOFIA MORALES PLAZA</t>
  </si>
  <si>
    <t>PDTE SOPORTE-SANTIAGO GONZALEZ ALVAREZ</t>
  </si>
  <si>
    <t>PDTE SOPORTE-DAVID JOSE ARIZA DE AVILA</t>
  </si>
  <si>
    <t>CONSULTORIO 1.5</t>
  </si>
  <si>
    <t>El Retiro Robles</t>
  </si>
  <si>
    <t>PDTE SOPORTE- MARIA ALEJANDRA MONTOYA SILVA</t>
  </si>
  <si>
    <t>AGENDA A NOMBRE PROPIO</t>
  </si>
  <si>
    <t>12 AGOSTO</t>
  </si>
  <si>
    <t>Accidente Laboral</t>
  </si>
  <si>
    <t>13 AGOSTO</t>
  </si>
  <si>
    <t xml:space="preserve">1037573035
</t>
  </si>
  <si>
    <t xml:space="preserve">ZAIDY PAULINA PEREZ DE LOS RIOS
</t>
  </si>
  <si>
    <t>14 AGOSTO</t>
  </si>
  <si>
    <t>PDTE SOPORTE- YUDY MARCELA BOLAÑOS BOTERO</t>
  </si>
  <si>
    <t>15 AGOSTO</t>
  </si>
  <si>
    <t>LAURA MARIA  CARMONA MEJIA</t>
  </si>
  <si>
    <t>MANUELA  URBAEZ OLIVELLA</t>
  </si>
  <si>
    <t>DAYANA BRISETT OSORIO URBINA</t>
  </si>
  <si>
    <t>LAURA CAROLINA  GALLO ARIAS</t>
  </si>
  <si>
    <t>ABRAHAM DAVID  MARTINEZ ESCORCIA</t>
  </si>
  <si>
    <t>VERONICA  ARANGO SIERRA</t>
  </si>
  <si>
    <t>LAURA VANESA   LOPEZ AGUDELO</t>
  </si>
  <si>
    <t>Inapacidad</t>
  </si>
  <si>
    <t>JORGE IVAN  MOLINA FARFAN</t>
  </si>
  <si>
    <t>PROXIMO CUBRIMIENTO EL PROXIMO JUEVES</t>
  </si>
  <si>
    <t>SARA MELISSA  VALENCIA ZAPATA</t>
  </si>
  <si>
    <t>CONSULTORIO 2 CPR</t>
  </si>
  <si>
    <t>CONSULTORIO 5 RCV</t>
  </si>
  <si>
    <t>CONSULTORIO 10 YONNY RAFAEL GONZALEZ NIÑO CC 1233343291</t>
  </si>
  <si>
    <t xml:space="preserve">DANIELA RIVERA CORREA
</t>
  </si>
  <si>
    <t>19 AGOSTO</t>
  </si>
  <si>
    <t>1001032700</t>
  </si>
  <si>
    <t>RAFAEL CAMILO GONZALEZ VILLAREAL</t>
  </si>
  <si>
    <t>20 AGOSTO</t>
  </si>
  <si>
    <t xml:space="preserve">MANUELA QUINTERO PALACIOS
</t>
  </si>
  <si>
    <t xml:space="preserve">21 AGOSTO </t>
  </si>
  <si>
    <t>CATALINA MARIA USUGA MUÑOZ</t>
  </si>
  <si>
    <t>CRISTIAN DAVID ROJAS PRATTO (A LAS 12:00 EMPIEZA CON GESTION VIRTUAL HASTA LA 1)</t>
  </si>
  <si>
    <t>Licencia Remunerada</t>
  </si>
  <si>
    <t>PDTE SOPORTE- GEILY LUZ PAEZ SIERRA</t>
  </si>
  <si>
    <t>CHRISTIAN RODRIGUEZ CORREA</t>
  </si>
  <si>
    <t>22 AGOSTO</t>
  </si>
  <si>
    <t>JULIANA MEJIA PALACIOS</t>
  </si>
  <si>
    <t>PDTE SOPORTE- CARLOS DAVID MUÑOZ VIVERO</t>
  </si>
  <si>
    <t>24 AGOSTO</t>
  </si>
  <si>
    <t>KATHERINE  MORA CARDONA</t>
  </si>
  <si>
    <t>MARIA JOSE  SANTAMARIA GALLEGO</t>
  </si>
  <si>
    <t>MANUELA  CORREA CARDENAS</t>
  </si>
  <si>
    <t>PDTE SOPORTE - ALEXA PALACIOS ARROYO</t>
  </si>
  <si>
    <t>NORIS PAOLA  CASTAÑO GOMEZ</t>
  </si>
  <si>
    <t>ONEIZY PATRICIA  BONFANTE LUNA</t>
  </si>
  <si>
    <t>MARIA CAMILA  BUITRAGO VARGAS</t>
  </si>
  <si>
    <t>YEISON ANDRES  MUÑOZ MUÑOZ</t>
  </si>
  <si>
    <t>LUISA FERNANDA   MINORTA LOBO</t>
  </si>
  <si>
    <t>SARA  LEAL MEJIA</t>
  </si>
  <si>
    <t>LAURA  SOFIA AGUILERA ARIÑO</t>
  </si>
  <si>
    <t>ANA MARIA   ESCOBAR ROBLEDO</t>
  </si>
  <si>
    <t>MARIA CRISTINA  MUÑOZ VANEGAS</t>
  </si>
  <si>
    <t>IVANA PATRICIA TEJEDA VALENCIA</t>
  </si>
  <si>
    <t>EMANUEL  DOMINGUEZ ARIZA</t>
  </si>
  <si>
    <t>JUAN PABLO GONGORA DIAZ</t>
  </si>
  <si>
    <t>PDTE SOPORTE-MELISSA MARSIGLIA GUERRA</t>
  </si>
  <si>
    <t>AGENDA A NOMBRE DE MARCO NAVARRO 1143166909</t>
  </si>
  <si>
    <t>IVANA PATRICIA TEJADA</t>
  </si>
  <si>
    <t>PDTE SOPORTE- SANTIAGO GONZALEZ ALVAREZ</t>
  </si>
  <si>
    <t>PDTE SOPORTE- LAURA ELENA PELUFO RIVERO</t>
  </si>
  <si>
    <t>25 AGOSTO</t>
  </si>
  <si>
    <t>ISABELA  GUEVARA ESPAÑA</t>
  </si>
  <si>
    <t>26 AGOSTO</t>
  </si>
  <si>
    <t>SEBASTIAN RICARDO  QUIÑONES GALINDO</t>
  </si>
  <si>
    <t>La Union Central</t>
  </si>
  <si>
    <t>IVONNE CECILIA  VARGAS SANCHEZ</t>
  </si>
  <si>
    <t>EMMA PATRICIA  PERRONY CALVO</t>
  </si>
  <si>
    <t>MARIANA  GALLEGO VERGARA</t>
  </si>
  <si>
    <t xml:space="preserve">WILL ANDERSON RIAÑO ECHAVARRIA </t>
  </si>
  <si>
    <t>REVISION POR CENTRAL DE NOVEDADES</t>
  </si>
  <si>
    <t>PDTE SOPORTE-</t>
  </si>
  <si>
    <t>MEDICOS</t>
  </si>
  <si>
    <t>RECARGO NOCTURNO ORDINARIO</t>
  </si>
  <si>
    <t>ZONA SUPERNUMERARIO</t>
  </si>
  <si>
    <t>NOMBRE SUPER VALIDADO</t>
  </si>
  <si>
    <t>REGISTRO</t>
  </si>
  <si>
    <t>HORAS TOTALES DECIMAL</t>
  </si>
  <si>
    <t>TRANSPORTES</t>
  </si>
  <si>
    <t>ZONA ORIENTE</t>
  </si>
  <si>
    <t>RIONEGRO-MEDELLIN</t>
  </si>
  <si>
    <t>ZONA OCCIDENTE</t>
  </si>
  <si>
    <t>ZONA SUR</t>
  </si>
  <si>
    <t>ZONA CENTRO</t>
  </si>
  <si>
    <t>ZONA NORTE</t>
  </si>
  <si>
    <t>MEDELLIN-COPACABANA</t>
  </si>
  <si>
    <t>RIONEGRO-LA CEJA</t>
  </si>
  <si>
    <t>RIONEGRO-EL RETIRO</t>
  </si>
  <si>
    <t>MEDELLIN-GIRARDOTA</t>
  </si>
  <si>
    <t>RIONEGRO-SANTUARIO</t>
  </si>
  <si>
    <t>MEDELLIN-AMAGA</t>
  </si>
  <si>
    <t>Cedula</t>
  </si>
  <si>
    <t>Nombre</t>
  </si>
  <si>
    <t>Fecha</t>
  </si>
  <si>
    <t>Zona</t>
  </si>
  <si>
    <t>RIONEGRO</t>
  </si>
  <si>
    <t>CRISTO REY</t>
  </si>
  <si>
    <t>PARQUE FABRICATO</t>
  </si>
  <si>
    <t>ENVIGADO</t>
  </si>
  <si>
    <t>SANTA MARIA</t>
  </si>
  <si>
    <t>CORDOBA</t>
  </si>
  <si>
    <t>COLORES</t>
  </si>
  <si>
    <t>CALASANZ</t>
  </si>
  <si>
    <t>MANRIQUE</t>
  </si>
  <si>
    <t>SAN IGNACIO</t>
  </si>
  <si>
    <t>BELLO</t>
  </si>
  <si>
    <t>MONTERREY</t>
  </si>
  <si>
    <t>LOPEZ DE MESA</t>
  </si>
  <si>
    <t>PORVENIR</t>
  </si>
  <si>
    <t>SABANETA AVES MARIA</t>
  </si>
  <si>
    <t>1037600851</t>
  </si>
  <si>
    <t>DANIELA GIRALDO AGUDELO</t>
  </si>
  <si>
    <t>SAMAN OPERATIVO</t>
  </si>
  <si>
    <t>CALDAS</t>
  </si>
  <si>
    <t>SUPER ASIGNADO</t>
  </si>
  <si>
    <t>FECHA DE TRASLADO</t>
  </si>
  <si>
    <t>VALENTINA ECHEVERRI DURANGO (LOPEZ DE MESA)</t>
  </si>
  <si>
    <t>STEFANIA FALCON GUTIERREZ (LOPEZ DE MESA)</t>
  </si>
  <si>
    <t>LUZ DEY VERGARA MONTERROZA</t>
  </si>
  <si>
    <t>FECHA</t>
  </si>
  <si>
    <t>lidercismanrique@unionsaludvida.com</t>
  </si>
  <si>
    <t>1007334260</t>
  </si>
  <si>
    <t>1037661959</t>
  </si>
  <si>
    <t>1000098388</t>
  </si>
  <si>
    <t>1037485093</t>
  </si>
  <si>
    <t>27 AGOSTO</t>
  </si>
  <si>
    <t>ALISSON  HERNANDEZ URIBE</t>
  </si>
  <si>
    <t>LICETH PAOLA  BALAGUERA COLINA</t>
  </si>
  <si>
    <t>CARLOS ANDRES   JARAMILLO QUIROZ</t>
  </si>
  <si>
    <t>PDTE SOPORTE- LESLIE JOHANA RESTREPO ARANGO</t>
  </si>
  <si>
    <t>PDTE SOPORTE-  EDWIN HERNANDEZ SERNA</t>
  </si>
  <si>
    <t>AGENDA A NOMBRE PROPIO DE 14 A 17 Y DE 17 A 21 AGENDA DE LA DRA ISABELLA RIASCOS ASENDRA CC1047359367 CONSULTORIO 11</t>
  </si>
  <si>
    <t>CONSULTORIO 4</t>
  </si>
  <si>
    <t>PDTE SOPORTE- LINA ISABEL HERNANDEZ HURTADO</t>
  </si>
  <si>
    <t>PDTE SOPORTE-YUDY MARCELA BOLAÑOS BOTERO</t>
  </si>
  <si>
    <t>Apoyo Al CIS En CIS</t>
  </si>
  <si>
    <t>San Ingacio</t>
  </si>
  <si>
    <t>AGENDA DEL DR MATHIAS AGUDELO CC1040182362</t>
  </si>
  <si>
    <t>28 AGOSTO</t>
  </si>
  <si>
    <t>KEITTY MADELEN  DURAN GARZON</t>
  </si>
  <si>
    <t>San Ignacio Operativo</t>
  </si>
  <si>
    <t xml:space="preserve"> LAURA CRISTINA  ROJAS ROJAS</t>
  </si>
  <si>
    <t>La Ceja Operativo</t>
  </si>
  <si>
    <t>LISETH NATALIA  GIRALDO LOZANO</t>
  </si>
  <si>
    <t>gestionasistencialbello@unionsaludvida.com</t>
  </si>
  <si>
    <t>LAURA CRISTINA  ROJAS ROJAS</t>
  </si>
  <si>
    <t>ALEJANDRA GARCIA ALVAREZ</t>
  </si>
  <si>
    <t>ITAGUI</t>
  </si>
  <si>
    <t>PDTE SOPORTE-ANA MARIA LONDOÑO GIRALDO</t>
  </si>
  <si>
    <t>CONSULTORIO 12</t>
  </si>
  <si>
    <t>PREGUNTE POR LA DR MANUELA TOBON QUE ESTARÁ EN CONSULTA EN EL 1.6 Y LUEGO SALÓN DE CYD</t>
  </si>
  <si>
    <t>ESCRIBIRLE A LA LIDER JENIFFER HIDALGO SIERRA</t>
  </si>
  <si>
    <t>LLEGAR A LA OFICINA</t>
  </si>
  <si>
    <t>MARIA EUGENIA CERVANTES</t>
  </si>
  <si>
    <t>29 AGOSTO</t>
  </si>
  <si>
    <t>MARIA JOSE  ARRIETA HERNANDEZ</t>
  </si>
  <si>
    <t>HEIDY VANESSA  MOSQUERA GARCIA</t>
  </si>
  <si>
    <t>ANA CAROLINA  SALGADO GARCIA</t>
  </si>
  <si>
    <t>ALEJANDRA  GARCIA ALVAREZ</t>
  </si>
  <si>
    <t>Bello Operativo</t>
  </si>
  <si>
    <t>LUIS ALFREDO  VILLADIEGO RODRIGUEZ</t>
  </si>
  <si>
    <t>MARIANA  TABARES FERNANDEZ</t>
  </si>
  <si>
    <t xml:space="preserve">La Ceja </t>
  </si>
  <si>
    <t xml:space="preserve">Bello </t>
  </si>
  <si>
    <t xml:space="preserve">San Ignacio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</si>
</sst>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0" fontId="0" fillId="3" borderId="0" xfId="0" applyFill="1"/>
    <xf numFmtId="0" fontId="3" fillId="4" borderId="1" xfId="0" applyFont="1" applyFill="1" applyBorder="1"/>
    <xf numFmtId="14" fontId="3" fillId="4" borderId="1" xfId="0" applyNumberFormat="1" applyFont="1" applyFill="1" applyBorder="1"/>
    <xf numFmtId="0" fontId="5" fillId="0" borderId="0" xfId="0" applyFont="1" applyAlignment="1">
      <alignment horizontal="center" vertical="center" wrapText="1"/>
    </xf>
    <xf numFmtId="0" fontId="0" fillId="5" borderId="0" xfId="0" applyFill="1"/>
    <xf numFmtId="0" fontId="2" fillId="0" borderId="0" xfId="0" applyFont="1"/>
    <xf numFmtId="0" fontId="0" fillId="2" borderId="0" xfId="0" applyFill="1"/>
    <xf numFmtId="0" fontId="0" fillId="0" borderId="0" xfId="0" applyNumberFormat="1"/>
  </cellXfs>
  <cellStyles count="1">
    <cellStyle name="Normal" xfId="0" builtinId="0"/>
  </cellStyles>
  <dxfs count="90"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font>
        <sz val="9"/>
      </font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42876412-020D-444B-89CB-124747E02A31}">
    <nsvFilter filterId="{3169CD88-0D2D-4F65-92C4-C0D01A465CB9}" ref="A1:R738" tableId="7">
      <columnFilter colId="0" id="{CC725BF1-CA20-4183-B737-B1D9441FD541}">
        <filter colId="0">
          <x:filters>
            <x:dateGroupItem year="2026" month="6" day="1" dateTimeGrouping="day"/>
          </x:filters>
        </filter>
      </columnFilter>
      <sortRules>
        <sortRule colId="0" id="{CC725BF1-CA20-4183-B737-B1D9441FD541}">
          <sortCondition ref="A1:A738"/>
        </sortRule>
      </sortRules>
    </nsvFilter>
  </namedSheetView>
  <namedSheetView name="Ver2" id="{38D610E3-EAE7-43ED-93DE-0789B6167A20}">
    <nsvFilter filterId="{3169CD88-0D2D-4F65-92C4-C0D01A465CB9}" ref="A1:R738" tableId="7">
      <columnFilter colId="0" id="{CC725BF1-CA20-4183-B737-B1D9441FD541}">
        <filter colId="0">
          <x:filters>
            <x:dateGroupItem year="2026" month="6" day="3" dateTimeGrouping="day"/>
          </x:filters>
        </filter>
      </columnFilter>
      <columnFilter colId="15" id="{9637E9BD-8CB4-4BE9-A5F2-E1253A914679}">
        <filter colId="15">
          <x:filters>
            <x:filter val="SI"/>
          </x:filters>
        </filter>
      </columnFilter>
      <sortRules>
        <sortRule colId="0" id="{CC725BF1-CA20-4183-B737-B1D9441FD541}">
          <sortCondition ref="A1:A73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0" xr16:uid="{9DE62D4C-6EB8-4303-B0BD-ED70DEA9A640}" autoFormatId="16" applyNumberFormats="0" applyBorderFormats="0" applyFontFormats="0" applyPatternFormats="0" applyAlignmentFormats="0" applyWidthHeightFormats="0">
  <queryTableRefresh nextId="18">
    <queryTableFields count="13">
      <queryTableField id="1" name="Origen Hoja" tableColumnId="1"/>
      <queryTableField id="2" name="DOCUMENTO" tableColumnId="2"/>
      <queryTableField id="3" name="NOMBRE" tableColumnId="3"/>
      <queryTableField id="4" name="CIS" tableColumnId="4"/>
      <queryTableField id="14" name="TIPO DE NOVEDAD" tableColumnId="12"/>
      <queryTableField id="5" name="F inic Novedad" tableColumnId="5"/>
      <queryTableField id="6" name="F Fin Novedad" tableColumnId="6"/>
      <queryTableField id="15" name="Fecha Reintegro" tableColumnId="13"/>
      <queryTableField id="7" name="CEDULA SUPERNUMERARIO" tableColumnId="7"/>
      <queryTableField id="8" name="SUPERNUMERARIOS" tableColumnId="8"/>
      <queryTableField id="9" name="Origen" tableColumnId="9"/>
      <queryTableField id="10" name="Destino" tableColumnId="10"/>
      <queryTableField id="11" name="Novedad Extensa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6" connectionId="1" xr16:uid="{D96633BB-FBB2-4FCE-9E87-202697DBAF7B}" autoFormatId="16" applyNumberFormats="0" applyBorderFormats="0" applyFontFormats="0" applyPatternFormats="0" applyAlignmentFormats="0" applyWidthHeightFormats="0">
  <queryTableRefresh nextId="9">
    <queryTableFields count="6">
      <queryTableField id="2" name="Cédula" tableColumnId="2"/>
      <queryTableField id="1" name="Sede" tableColumnId="1"/>
      <queryTableField id="7" name="Cargo" tableColumnId="6"/>
      <queryTableField id="3" name="Profesional" tableColumnId="3"/>
      <queryTableField id="4" name="Estado" tableColumnId="4"/>
      <queryTableField id="5" name="Correo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13" xr16:uid="{ACD2169C-D2C2-4CAF-9475-8ECE7011EE22}" autoFormatId="16" applyNumberFormats="0" applyBorderFormats="0" applyFontFormats="0" applyPatternFormats="0" applyAlignmentFormats="0" applyWidthHeightFormats="0">
  <queryTableRefresh nextId="32" unboundColumnsRight="1">
    <queryTableFields count="19">
      <queryTableField id="1" name="Origen Hoja" tableColumnId="1"/>
      <queryTableField id="2" name="DOCUMENTO" tableColumnId="2"/>
      <queryTableField id="3" name="NOMBRE" tableColumnId="3"/>
      <queryTableField id="4" name="CIS" tableColumnId="4"/>
      <queryTableField id="5" name="ZONA" tableColumnId="5"/>
      <queryTableField id="6" name="TIPO DE NOVEDAD" tableColumnId="6"/>
      <queryTableField id="7" name="F inic Novedad" tableColumnId="7"/>
      <queryTableField id="8" name="F Fin Novedad" tableColumnId="8"/>
      <queryTableField id="10" name="Hora inic" tableColumnId="10"/>
      <queryTableField id="11" name="Hora final" tableColumnId="11"/>
      <queryTableField id="27" name="CEDULA SUPERNUMERARIO" tableColumnId="18"/>
      <queryTableField id="9" name="SUPERNUMERARIOS" tableColumnId="9"/>
      <queryTableField id="18" name="FECHA SUBIÓ SOPORTE" tableColumnId="12"/>
      <queryTableField id="25" name="REDIRECCIONAMIENTO 2" tableColumnId="17"/>
      <queryTableField id="24" name="REDIRECCIONAR CORREO" tableColumnId="16"/>
      <queryTableField id="19" name="CREACIÓN DE NOVEDAD EN PROTEO POR MED" tableColumnId="13"/>
      <queryTableField id="20" name="FECHA CREACIÓN REPORTE PROTEO POR CN" tableColumnId="14"/>
      <queryTableField id="15" name="observacion" tableColumnId="15"/>
      <queryTableField id="31" dataBound="0" tableColumnId="1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refreshOnLoad="1" connectionId="6" xr16:uid="{2101D03E-77C7-4D1E-BEBB-73AF89DB3E4D}" autoFormatId="16" applyNumberFormats="0" applyBorderFormats="0" applyFontFormats="0" applyPatternFormats="0" applyAlignmentFormats="0" applyWidthHeightFormats="0">
  <queryTableRefresh nextId="19">
    <queryTableFields count="9">
      <queryTableField id="1" name="REVISION POR CENTRAL DE NOVEDADES" tableColumnId="1"/>
      <queryTableField id="2" name="DOCUMENTO" tableColumnId="2"/>
      <queryTableField id="3" name="NOMBRE" tableColumnId="3"/>
      <queryTableField id="4" name="CIS" tableColumnId="4"/>
      <queryTableField id="5" name="ZONA" tableColumnId="5"/>
      <queryTableField id="7" name="F inic Novedad" tableColumnId="7"/>
      <queryTableField id="8" name="F Fin Novedad" tableColumnId="8"/>
      <queryTableField id="17" name="CEDULA SUPERNUMERARIO" tableColumnId="6"/>
      <queryTableField id="9" name="SUPERNUMERARIOS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refreshOnLoad="1" connectionId="3" xr16:uid="{8082B29A-73E2-4552-BE7A-CD45914A464D}" autoFormatId="16" applyNumberFormats="0" applyBorderFormats="0" applyFontFormats="0" applyPatternFormats="0" applyAlignmentFormats="0" applyWidthHeightFormats="0">
  <queryTableRefresh nextId="16">
    <queryTableFields count="15">
      <queryTableField id="1" name="REVISION POR CENTRAL DE NOVEDADES" tableColumnId="1"/>
      <queryTableField id="2" name="DOCUMENTO" tableColumnId="2"/>
      <queryTableField id="3" name="NOMBRE" tableColumnId="3"/>
      <queryTableField id="4" name="CIS" tableColumnId="4"/>
      <queryTableField id="5" name="ZONA" tableColumnId="5"/>
      <queryTableField id="6" name="TIPO DE NOVEDAD" tableColumnId="6"/>
      <queryTableField id="7" name="F inic Novedad" tableColumnId="7"/>
      <queryTableField id="8" name="F Fin Novedad" tableColumnId="8"/>
      <queryTableField id="9" name="Hora inic" tableColumnId="9"/>
      <queryTableField id="10" name="Hora final" tableColumnId="10"/>
      <queryTableField id="11" name="SUPERNUMERARIOS" tableColumnId="11"/>
      <queryTableField id="12" name="FECHA SUBIÓ SOPORTE" tableColumnId="12"/>
      <queryTableField id="13" name="CREACIÓN DE NOVEDAD EN PROTEO POR MED" tableColumnId="13"/>
      <queryTableField id="14" name="FECHA CREACIÓN REPORTE PROTEO POR CN" tableColumnId="14"/>
      <queryTableField id="15" name="OBSERVACION" tableColumnId="1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7" xr16:uid="{BF237B69-F63C-4004-B444-622AA6C9A6B2}" autoFormatId="16" applyNumberFormats="0" applyBorderFormats="0" applyFontFormats="0" applyPatternFormats="0" applyAlignmentFormats="0" applyWidthHeightFormats="0">
  <queryTableRefresh nextId="48">
    <queryTableFields count="18">
      <queryTableField id="33" name="REVISION POR CENTRAL DE NOVEDADES" tableColumnId="18"/>
      <queryTableField id="2" name="DOCUMENTO" tableColumnId="2"/>
      <queryTableField id="34" name="MEDICOS" tableColumnId="19"/>
      <queryTableField id="4" name="CIS" tableColumnId="4"/>
      <queryTableField id="5" name="ZONA" tableColumnId="5"/>
      <queryTableField id="6" name="TIPO DE NOVEDAD" tableColumnId="6"/>
      <queryTableField id="7" name="F inic Novedad" tableColumnId="7"/>
      <queryTableField id="8" name="F Fin Novedad" tableColumnId="8"/>
      <queryTableField id="9" name="Hora inic" tableColumnId="9"/>
      <queryTableField id="10" name="Hora final" tableColumnId="10"/>
      <queryTableField id="11" name="SUPERNUMERARIOS" tableColumnId="11"/>
      <queryTableField id="35" name="RECARGO NOCTURNO ORDINARIO" tableColumnId="20"/>
      <queryTableField id="36" name="ZONA SUPERNUMERARIO" tableColumnId="21"/>
      <queryTableField id="43" name="CEDULA SUPERNUMERARIO" tableColumnId="1"/>
      <queryTableField id="37" name="NOMBRE SUPER VALIDADO" tableColumnId="22"/>
      <queryTableField id="38" name="REGISTRO" tableColumnId="23"/>
      <queryTableField id="39" name="HORAS TOTALES DECIMAL" tableColumnId="24"/>
      <queryTableField id="40" name="TRANSPORTES" tableColumnId="2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6" refreshOnLoad="1" connectionId="15" xr16:uid="{4C38EE74-BEDB-4E01-93E7-3B5C83B96421}" autoFormatId="16" applyNumberFormats="0" applyBorderFormats="0" applyFontFormats="0" applyPatternFormats="0" applyAlignmentFormats="0" applyWidthHeightFormats="0">
  <queryTableRefresh nextId="7">
    <queryTableFields count="5">
      <queryTableField id="1" name="Cedula" tableColumnId="1"/>
      <queryTableField id="2" name="Nombre" tableColumnId="2"/>
      <queryTableField id="3" name="Fecha" tableColumnId="3"/>
      <queryTableField id="4" name="Zona" tableColumnId="4"/>
      <queryTableField id="5" name="CIS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refreshOnLoad="1" connectionId="14" xr16:uid="{0E12E1C4-E46B-4872-8922-E1BCF3BD4401}" autoFormatId="16" applyNumberFormats="0" applyBorderFormats="0" applyFontFormats="0" applyPatternFormats="0" applyAlignmentFormats="0" applyWidthHeightFormats="0">
  <queryTableRefresh nextId="4">
    <queryTableFields count="3">
      <queryTableField id="1" name="CEDULA SUPERNUMERARIO" tableColumnId="1"/>
      <queryTableField id="2" name="SUPER ASIGNADO" tableColumnId="2"/>
      <queryTableField id="3" name="FECHA DE TRASLADO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C5F19C0-00A6-445A-AA48-F1BC5AF98636}" name="CONSOLIDADO_REDIRECCIONAMIENTO" displayName="CONSOLIDADO_REDIRECCIONAMIENTO" ref="A1:M624" tableType="queryTable" totalsRowShown="0">
  <autoFilter ref="A1:M624" xr:uid="{AC5F19C0-00A6-445A-AA48-F1BC5AF98636}">
    <filterColumn colId="0">
      <filters>
        <dateGroupItem year="2026" month="8" day="28" dateTimeGrouping="day"/>
      </filters>
    </filterColumn>
    <filterColumn colId="12">
      <filters>
        <filter val="SI"/>
      </filters>
    </filterColumn>
  </autoFilter>
  <sortState xmlns:xlrd2="http://schemas.microsoft.com/office/spreadsheetml/2017/richdata2" ref="A2:M624">
    <sortCondition ref="A1:A624"/>
  </sortState>
  <tableColumns count="13">
    <tableColumn id="1" xr3:uid="{BF5B993A-10E0-4BE2-AAA6-A59A79156674}" uniqueName="1" name="Origen Hoja" queryTableFieldId="1" dataDxfId="73"/>
    <tableColumn id="2" xr3:uid="{E4C97305-E441-49F2-B048-EE1A23303AFF}" uniqueName="2" name="DOCUMENTO" queryTableFieldId="2" dataDxfId="72"/>
    <tableColumn id="3" xr3:uid="{1E5F519C-77EB-426A-9D35-90581A4B8ECC}" uniqueName="3" name="NOMBRE" queryTableFieldId="3"/>
    <tableColumn id="4" xr3:uid="{592EC3D4-6D3C-42BE-8D41-6F0703455CD2}" uniqueName="4" name="CIS" queryTableFieldId="4" dataDxfId="71"/>
    <tableColumn id="12" xr3:uid="{46B11DD9-D5F0-4376-BEEF-2E28A96D486C}" uniqueName="12" name="TIPO DE NOVEDAD" queryTableFieldId="14" dataDxfId="70"/>
    <tableColumn id="5" xr3:uid="{D14F4ACE-3BB7-429F-8FD2-52940FBCE63C}" uniqueName="5" name="F inic Novedad" queryTableFieldId="5" dataDxfId="69"/>
    <tableColumn id="6" xr3:uid="{88443BB1-B1B9-4947-B4C6-E4B498216A2C}" uniqueName="6" name="F Fin Novedad" queryTableFieldId="6" dataDxfId="68"/>
    <tableColumn id="13" xr3:uid="{1926AD96-1E93-49D5-BD1A-EE2B9384FBEC}" uniqueName="13" name="Fecha Reintegro" queryTableFieldId="15" dataDxfId="67"/>
    <tableColumn id="7" xr3:uid="{0E9C15C6-483B-4548-A888-4365DC3FE8DE}" uniqueName="7" name="CEDULA SUPERNUMERARIO" queryTableFieldId="7" dataDxfId="66"/>
    <tableColumn id="8" xr3:uid="{EEAC6ADE-5621-4BF3-90B4-13587D217638}" uniqueName="8" name="SUPERNUMERARIOS" queryTableFieldId="8" dataDxfId="65"/>
    <tableColumn id="9" xr3:uid="{97076941-1EC3-4918-BA7F-15F769A5755C}" uniqueName="9" name="Origen" queryTableFieldId="9" dataDxfId="64"/>
    <tableColumn id="10" xr3:uid="{85BC7695-113A-4091-A373-CC00489BE776}" uniqueName="10" name="Destino" queryTableFieldId="10" dataDxfId="63"/>
    <tableColumn id="11" xr3:uid="{3D1F616A-4913-4301-B8CC-57FEC3D5AD49}" uniqueName="11" name="Novedad Extensa" queryTableFieldId="11" dataDxfId="6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E6EFA5-76A1-4E43-97B7-D81BA3C0F036}" name="Tabla10" displayName="Tabla10" ref="A1:J14" totalsRowShown="0" headerRowDxfId="61" headerRowBorderDxfId="60" tableBorderDxfId="59">
  <autoFilter ref="A1:J14" xr:uid="{2DE6EFA5-76A1-4E43-97B7-D81BA3C0F036}"/>
  <tableColumns count="10">
    <tableColumn id="1" xr3:uid="{217061A7-023A-4AFE-9F98-6E08D2382B40}" name="DOCUMENTO"/>
    <tableColumn id="2" xr3:uid="{EF6BB633-9F2F-4E3C-9BEE-088E4F549617}" name="NOMBRE" dataDxfId="58">
      <calculatedColumnFormula>IFERROR(VLOOKUP(A2,'BD PERSONAL'!A:E,4,FALSE)," ")</calculatedColumnFormula>
    </tableColumn>
    <tableColumn id="3" xr3:uid="{DA965290-31E9-455D-9AFD-11CC51716D5A}" name="CIS">
      <calculatedColumnFormula>IFERROR(VLOOKUP(A2,'BD PERSONAL'!A:E,2,FALSE)," ")</calculatedColumnFormula>
    </tableColumn>
    <tableColumn id="4" xr3:uid="{0799E944-1F64-449D-9E8F-11A12175C931}" name="F inic Novedad" dataDxfId="57"/>
    <tableColumn id="5" xr3:uid="{B5591017-A817-4FA8-B0F0-4E4E84083F2C}" name="F Fin Novedad" dataDxfId="56"/>
    <tableColumn id="6" xr3:uid="{5CB1FECE-5EFB-4F14-BCF0-7F866BE6EE16}" name="Fecha Reintegro" dataDxfId="55"/>
    <tableColumn id="7" xr3:uid="{EDF999FC-B474-43D2-A3E8-13124AEF171A}" name="CEDULA SUPERNUMERARIO"/>
    <tableColumn id="8" xr3:uid="{B49BE47C-5FA9-4183-ABE1-E02673460D52}" name="SUPERNUMERARIOS" dataDxfId="54">
      <calculatedColumnFormula>IFERROR(VLOOKUP(Tabla10[[#This Row],[CEDULA SUPERNUMERARIO]],BD_PERSONAL[],4,FALSE)," ")</calculatedColumnFormula>
    </tableColumn>
    <tableColumn id="9" xr3:uid="{702338F5-EBBD-42F8-A55F-5825C2C823A7}" name="Origen" dataDxfId="53">
      <calculatedColumnFormula>IFERROR(VLOOKUP(Tabla10[[#This Row],[DOCUMENTO]],BD_PERSONAL[],6,FALSE)," ")</calculatedColumnFormula>
    </tableColumn>
    <tableColumn id="10" xr3:uid="{ADCF33F4-72A9-452C-B6A1-89C5C36B4260}" name="Destino" dataDxfId="52">
      <calculatedColumnFormula>IFERROR(VLOOKUP(Tabla10[[#This Row],[CEDULA SUPERNUMERARIO]],BD_PERSONAL[],6,FALSE)," 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0E26907-21E6-4319-833B-BAEA00E9E625}" name="BD_PERSONAL" displayName="BD_PERSONAL" ref="A1:F1291" tableType="queryTable" totalsRowShown="0">
  <autoFilter ref="A1:F1291" xr:uid="{30E26907-21E6-4319-833B-BAEA00E9E625}">
    <filterColumn colId="2">
      <filters>
        <filter val="Medico General Supernumerario"/>
      </filters>
    </filterColumn>
  </autoFilter>
  <sortState xmlns:xlrd2="http://schemas.microsoft.com/office/spreadsheetml/2017/richdata2" ref="A2:F1291">
    <sortCondition ref="D1:D1291"/>
  </sortState>
  <tableColumns count="6">
    <tableColumn id="2" xr3:uid="{3B3721E9-0BDA-44F5-8207-0E708C5279B3}" uniqueName="2" name="Cédula" queryTableFieldId="2" dataDxfId="51"/>
    <tableColumn id="1" xr3:uid="{27018370-7DC2-444F-A3D8-A5F63A615CCF}" uniqueName="1" name="Sede" queryTableFieldId="1" dataDxfId="50"/>
    <tableColumn id="6" xr3:uid="{04746D99-3D87-4A35-8D55-0730FBE61A2F}" uniqueName="6" name="Cargo" queryTableFieldId="7" dataDxfId="49"/>
    <tableColumn id="3" xr3:uid="{18FC1790-5629-4926-A783-A2019AFC48ED}" uniqueName="3" name="Profesional" queryTableFieldId="3" dataDxfId="48"/>
    <tableColumn id="4" xr3:uid="{F0857B73-D2C5-427B-AFE2-B706190496AB}" uniqueName="4" name="Estado" queryTableFieldId="4" dataDxfId="47"/>
    <tableColumn id="5" xr3:uid="{28CCA515-0704-45C9-86B6-59F20435ECA1}" uniqueName="5" name="Correo" queryTableFieldId="5" dataDxfId="4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0A25B8-DF9B-40AF-8CC6-3AD3493030B2}" name="CONSOLIDADO_2026" displayName="CONSOLIDADO_2026" ref="A1:S1841" tableType="queryTable" totalsRowShown="0">
  <autoFilter ref="A1:S1841" xr:uid="{E70A25B8-DF9B-40AF-8CC6-3AD3493030B2}">
    <filterColumn colId="0">
      <filters>
        <filter val="27 AGOSTO"/>
      </filters>
    </filterColumn>
  </autoFilter>
  <tableColumns count="19">
    <tableColumn id="1" xr3:uid="{EF45D29C-4744-4DFC-A2CD-B534CA452295}" uniqueName="1" name="Origen Hoja" queryTableFieldId="1"/>
    <tableColumn id="2" xr3:uid="{61047A23-3203-485A-9514-C68D85E3AAD3}" uniqueName="2" name="DOCUMENTO" queryTableFieldId="2"/>
    <tableColumn id="3" xr3:uid="{0803F96C-6FBC-4213-860C-52F658A80D27}" uniqueName="3" name="NOMBRE" queryTableFieldId="3"/>
    <tableColumn id="4" xr3:uid="{5D380B34-5E30-478B-B3A6-DE9A7BF1ACEE}" uniqueName="4" name="CIS" queryTableFieldId="4" dataDxfId="37"/>
    <tableColumn id="5" xr3:uid="{59D663FC-F9B9-4B40-9711-454192E4C40A}" uniqueName="5" name="ZONA" queryTableFieldId="5" dataDxfId="36"/>
    <tableColumn id="6" xr3:uid="{D8727F07-3965-4334-8F4D-A083288B00AB}" uniqueName="6" name="TIPO DE NOVEDAD" queryTableFieldId="6" dataDxfId="35"/>
    <tableColumn id="7" xr3:uid="{C2E24C0A-6535-48DD-AAC2-DC14CD159987}" uniqueName="7" name="F inic Novedad" queryTableFieldId="7" dataDxfId="34"/>
    <tableColumn id="8" xr3:uid="{51A12B13-2315-46D6-AA9B-779B9BD49CE6}" uniqueName="8" name="F Fin Novedad" queryTableFieldId="8" dataDxfId="33"/>
    <tableColumn id="10" xr3:uid="{CCC57174-8272-484B-BF42-B28B7C3ACE6C}" uniqueName="10" name="Hora inic" queryTableFieldId="10" dataDxfId="32"/>
    <tableColumn id="11" xr3:uid="{73616FC4-50B9-45BA-A2D2-69B8BEE9AB6E}" uniqueName="11" name="Hora final" queryTableFieldId="11" dataDxfId="31"/>
    <tableColumn id="18" xr3:uid="{7CE348E2-07A6-4921-AA98-378CB515110C}" uniqueName="18" name="CEDULA SUPERNUMERARIO" queryTableFieldId="27" dataDxfId="30"/>
    <tableColumn id="9" xr3:uid="{32D61EBE-EFE0-4979-9698-30D4C7B45270}" uniqueName="9" name="SUPERNUMERARIOS" queryTableFieldId="9" dataDxfId="29"/>
    <tableColumn id="12" xr3:uid="{1FD0DB6F-1C7A-4BF0-AD07-9842E664BB71}" uniqueName="12" name="FECHA SUBIÓ SOPORTE" queryTableFieldId="18" dataDxfId="28"/>
    <tableColumn id="17" xr3:uid="{3CD7643A-A630-4087-9004-F9B30206C275}" uniqueName="17" name="REDIRECCIONAMIENTO 2" queryTableFieldId="25" dataDxfId="27"/>
    <tableColumn id="16" xr3:uid="{67AA95D8-D058-4327-96D7-FD164672776F}" uniqueName="16" name="REDIRECCIONAR CORREO" queryTableFieldId="24" dataDxfId="26"/>
    <tableColumn id="13" xr3:uid="{951ED848-8147-4F24-84D6-E9CE71EE9F2B}" uniqueName="13" name="CREACIÓN DE NOVEDAD EN PROTEO POR MED" queryTableFieldId="19" dataDxfId="25"/>
    <tableColumn id="14" xr3:uid="{6BF21331-FFCB-4624-B426-838E0C1E1EC7}" uniqueName="14" name="FECHA CREACIÓN REPORTE PROTEO POR CN" queryTableFieldId="20" dataDxfId="24"/>
    <tableColumn id="15" xr3:uid="{383DAF27-C80E-48B5-A424-C7B7C13CE1EF}" uniqueName="15" name="OBSERVACION" queryTableFieldId="15" dataDxfId="23"/>
    <tableColumn id="19" xr3:uid="{07D61B43-F7D3-4509-B328-5D40185C3D02}" uniqueName="19" name="Columna1" queryTableFieldId="31" dataDxfId="22">
      <calculatedColumnFormula>CONSOLIDADO_2026[[#This Row],[Hora final]]-CONSOLIDADO_2026[[#This Row],[Hora inic]]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0FA5C8D-C34C-4CC1-842B-48A8D6F43E06}" name="CONSOLIDADO_2026_LIDERES" displayName="CONSOLIDADO_2026_LIDERES" ref="A1:I1705" tableType="queryTable" totalsRowShown="0">
  <autoFilter ref="A1:I1705" xr:uid="{70FA5C8D-C34C-4CC1-842B-48A8D6F43E06}">
    <filterColumn colId="0">
      <filters>
        <dateGroupItem year="2026" month="7" day="25" dateTimeGrouping="day"/>
      </filters>
    </filterColumn>
    <filterColumn colId="8">
      <filters>
        <filter val="ANA MARIA LONDOÑO GIRALDO"/>
        <filter val="ANDREA CAMILA SALAZAR PADILLA"/>
        <filter val="ANDRES FELIPE PABON MEZA"/>
        <filter val="ANDRES JOSE BALLESTEROS MENDOZA"/>
        <filter val="CARLOS DAVID MUÑOZ VIVERO"/>
        <filter val="CRISTIAN DAVID ROJAS PRATTO"/>
        <filter val="DANIELA GIRALDO AGUDELO"/>
        <filter val="DANNA SOPHIA BURGOS RUIZ"/>
        <filter val="DEISY MARIBEL ALZATE RAMIREZ"/>
        <filter val="DIANA VANESA ROSERO SANTACRUZ"/>
        <filter val="EDWIN ANDHERSON MONTOYA MUÑOZ"/>
        <filter val="EDWIN HERNANDEZ SERNA"/>
        <filter val="ESTEFANIA REINA OSORIO"/>
        <filter val="GEILY LUZ PAEZ SIERRA"/>
        <filter val="JENNIFER ANGELICA LUGO CUERVO"/>
        <filter val="JORGE ANDRES BARRIOS DURAN"/>
        <filter val="JORGE DAVID JAIMES MARTINEZ"/>
        <filter val="JOSE DAVID HERAZO PEREZ"/>
        <filter val="JUAN DAVID MONTOYA ARBELAEZ"/>
        <filter val="JULIAN DAVID FRANCO GRANADA"/>
        <filter val="JULIANA SILGADO FERNANDEZ"/>
        <filter val="KATHERINE JULIED GARCIA MEDINA"/>
        <filter val="KATHERYN JULIETH GENES MARIN"/>
        <filter val="LAURA ELENA PELUFO RIVERO"/>
        <filter val="LUISA ALEJANDRA AGUILAR RIOS"/>
        <filter val="MARIA CAMILA BULA IMBERT"/>
        <filter val="MARIA FERNANDA ALVAREZ BUSTAMANTE"/>
        <filter val="MARIA FERNANDA PEREZ PINO"/>
        <filter val="MARIA SALOME BRAVO MOLINA"/>
        <filter val="MARYAM AYLEEN JOSE MARTINEZ GARRIDO"/>
        <filter val="MAURICIO ANDRES RONDON MARTINEZ"/>
        <filter val="PABLO ANDRES MORENO MONSALVE"/>
        <filter val="PAOLA ANDREA CARDENAS CARVAJAL"/>
        <filter val="PDT SOPORTE-AURA ROSA PUERTAS MANCILLA"/>
        <filter val="PDTE SOPORTE-SIN SUPERNUMERARIO"/>
        <filter val="RICARDO ULISES ALVAREZ TAMARA"/>
        <filter val="ROBERTO ORTIZ GALLARDO"/>
        <filter val="SANTIAGO CASTRILLON MONTOYA"/>
        <filter val="SARA LISETH TROCHEZ BORRERO"/>
        <filter val="SEBASTIAN GOMEZ ARCILA"/>
        <filter val="VALERIA DIAZ ARIAS"/>
        <filter val="WILLIAM ECHEVERRY TORO"/>
        <filter val="YELEINA MARIA LOPEZ MERCADO"/>
      </filters>
    </filterColumn>
  </autoFilter>
  <tableColumns count="9">
    <tableColumn id="1" xr3:uid="{E07CD993-9A5C-4775-ADCA-2C01FE7E7ED9}" uniqueName="1" name="REVISION POR CENTRAL DE NOVEDADES" queryTableFieldId="1" dataDxfId="6"/>
    <tableColumn id="2" xr3:uid="{15145F5B-AF04-44A6-9516-80A193F05C24}" uniqueName="2" name="DOCUMENTO" queryTableFieldId="2"/>
    <tableColumn id="3" xr3:uid="{39CB6480-3890-495A-BDBF-D3FFBF9DF69B}" uniqueName="3" name="NOMBRE" queryTableFieldId="3"/>
    <tableColumn id="4" xr3:uid="{B61B03A0-D722-42D5-B25A-3BBFEBD23FF2}" uniqueName="4" name="CIS" queryTableFieldId="4" dataDxfId="5"/>
    <tableColumn id="5" xr3:uid="{FB502406-14FA-45CF-A9E0-232597B7435E}" uniqueName="5" name="ZONA" queryTableFieldId="5" dataDxfId="4"/>
    <tableColumn id="7" xr3:uid="{B8BF3DE0-5E75-4421-B5CF-1343CBC39CCA}" uniqueName="7" name="F inic Novedad" queryTableFieldId="7" dataDxfId="3"/>
    <tableColumn id="8" xr3:uid="{CF81E198-7CF7-4165-B1B0-EBA82E9351A7}" uniqueName="8" name="F Fin Novedad" queryTableFieldId="8" dataDxfId="2"/>
    <tableColumn id="6" xr3:uid="{6280C9B7-CA25-4951-AC94-D2B6736AA7D8}" uniqueName="6" name="CEDULA SUPERNUMERARIO" queryTableFieldId="17" dataDxfId="1"/>
    <tableColumn id="9" xr3:uid="{932AF80C-B70D-4894-85B0-80ABD904AA8E}" uniqueName="9" name="SUPERNUMERARIOS" queryTableFieldId="9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A69CE14-9D9B-430B-9382-63B55B9223B7}" name="CONSOLIDADO_2026_GH" displayName="CONSOLIDADO_2026_GH" ref="A1:O610" tableType="queryTable" totalsRowShown="0">
  <autoFilter ref="A1:O610" xr:uid="{3A69CE14-9D9B-430B-9382-63B55B9223B7}">
    <filterColumn colId="0">
      <filters>
        <dateGroupItem year="2026" month="7" day="22" dateTimeGrouping="day"/>
      </filters>
    </filterColumn>
    <filterColumn colId="5">
      <filters>
        <filter val="Calamidad"/>
        <filter val="Consultando"/>
        <filter val="Incapacidad"/>
        <filter val="Licencia De Maternidad"/>
        <filter val="Licencia Paternidad"/>
        <filter val="Suspensión Laboral"/>
      </filters>
    </filterColumn>
  </autoFilter>
  <tableColumns count="15">
    <tableColumn id="1" xr3:uid="{19FAF35A-50B6-4908-9D9E-1B7FA48BE354}" uniqueName="1" name="REVISION POR CENTRAL DE NOVEDADES" queryTableFieldId="1" dataDxfId="20"/>
    <tableColumn id="2" xr3:uid="{169281F0-63E0-4CAB-B259-BE43DB541179}" uniqueName="2" name="DOCUMENTO" queryTableFieldId="2"/>
    <tableColumn id="3" xr3:uid="{6E15226C-D998-463E-A402-FBD816BB0E1A}" uniqueName="3" name="NOMBRE" queryTableFieldId="3" dataDxfId="19"/>
    <tableColumn id="4" xr3:uid="{C6C7B424-306A-46F4-B045-C7654D1C49B4}" uniqueName="4" name="CIS" queryTableFieldId="4" dataDxfId="18"/>
    <tableColumn id="5" xr3:uid="{312D032F-2D55-4655-9052-2A75BA1C877F}" uniqueName="5" name="ZONA" queryTableFieldId="5" dataDxfId="17"/>
    <tableColumn id="6" xr3:uid="{DCAEA507-F6FE-46AB-9FA6-D78D8D0B2B9E}" uniqueName="6" name="TIPO DE NOVEDAD" queryTableFieldId="6" dataDxfId="16"/>
    <tableColumn id="7" xr3:uid="{0DB78D3F-C82C-422B-9EAE-70A9AEFD3F05}" uniqueName="7" name="F inic Novedad" queryTableFieldId="7" dataDxfId="15"/>
    <tableColumn id="8" xr3:uid="{CCD6C248-AA89-499F-AC9D-194D61DE7FBD}" uniqueName="8" name="F Fin Novedad" queryTableFieldId="8" dataDxfId="14"/>
    <tableColumn id="9" xr3:uid="{5CC88A28-E07C-4598-912A-8E5CB3BA4239}" uniqueName="9" name="Hora inic" queryTableFieldId="9" dataDxfId="13"/>
    <tableColumn id="10" xr3:uid="{D0376AE3-5044-408E-9900-0F42C1133C5F}" uniqueName="10" name="Hora final" queryTableFieldId="10" dataDxfId="12"/>
    <tableColumn id="11" xr3:uid="{DB41E9C7-2415-404C-8ADA-87F55F4B46DB}" uniqueName="11" name="SUPERNUMERARIOS" queryTableFieldId="11" dataDxfId="11"/>
    <tableColumn id="12" xr3:uid="{A667882A-0F55-445E-B76F-9DAAD3108A50}" uniqueName="12" name="FECHA SUBIÓ SOPORTE" queryTableFieldId="12" dataDxfId="10"/>
    <tableColumn id="13" xr3:uid="{C2CFE3DB-CEED-44EE-A7D7-043F958C197D}" uniqueName="13" name="CREACIÓN DE NOVEDAD EN PROTEO POR MED" queryTableFieldId="13" dataDxfId="9"/>
    <tableColumn id="14" xr3:uid="{EDC19598-88AC-4E73-9A71-372539E5CEDD}" uniqueName="14" name="FECHA CREACIÓN REPORTE PROTEO POR CN" queryTableFieldId="14" dataDxfId="8"/>
    <tableColumn id="15" xr3:uid="{01DF2BD9-EC68-4683-91CC-4911D32A2700}" uniqueName="15" name="OBSERVACION" queryTableFieldId="1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169CD88-0D2D-4F65-92C4-C0D01A465CB9}" name="CONSOLIDADO_2026_NOMINA" displayName="CONSOLIDADO_2026_NOMINA" ref="A1:R738" tableType="queryTable" totalsRowShown="0" headerRowDxfId="89">
  <autoFilter ref="A1:R738" xr:uid="{3169CD88-0D2D-4F65-92C4-C0D01A465CB9}">
    <filterColumn colId="0">
      <filters>
        <dateGroupItem year="2026" month="8" day="19" dateTimeGrouping="day"/>
      </filters>
    </filterColumn>
    <filterColumn colId="15">
      <filters>
        <filter val="SI"/>
      </filters>
    </filterColumn>
  </autoFilter>
  <sortState xmlns:xlrd2="http://schemas.microsoft.com/office/spreadsheetml/2017/richdata2" ref="A2:R738">
    <sortCondition ref="A1:A738"/>
  </sortState>
  <tableColumns count="18">
    <tableColumn id="18" xr3:uid="{CC725BF1-CA20-4183-B737-B1D9441FD541}" uniqueName="18" name="REVISION POR CENTRAL DE NOVEDADES" queryTableFieldId="33" dataDxfId="88"/>
    <tableColumn id="2" xr3:uid="{D3808EE1-577F-48F0-9EF1-6E14D3CE6AC8}" uniqueName="2" name="DOCUMENTO" queryTableFieldId="2"/>
    <tableColumn id="19" xr3:uid="{BB7EDD16-BACE-42CD-B24A-A0607F0D3EA8}" uniqueName="19" name="MEDICOS" queryTableFieldId="34" dataDxfId="87"/>
    <tableColumn id="4" xr3:uid="{4515F4C1-1292-4274-9B6B-AF60955C3B21}" uniqueName="4" name="CIS" queryTableFieldId="4" dataDxfId="86"/>
    <tableColumn id="5" xr3:uid="{5B8F1017-9B86-4CD5-BC9F-B0EF8192CD38}" uniqueName="5" name="ZONA" queryTableFieldId="5" dataDxfId="85"/>
    <tableColumn id="6" xr3:uid="{C11E52EE-F317-44D2-8CDF-97C97196EE6F}" uniqueName="6" name="TIPO DE NOVEDAD" queryTableFieldId="6" dataDxfId="84"/>
    <tableColumn id="7" xr3:uid="{8EFD76D1-BBA9-44C8-8ECE-81C4F3E6225D}" uniqueName="7" name="F inic Novedad" queryTableFieldId="7" dataDxfId="83"/>
    <tableColumn id="8" xr3:uid="{6A90005E-DCE6-4482-AA1B-54951E8B6552}" uniqueName="8" name="F Fin Novedad" queryTableFieldId="8" dataDxfId="82"/>
    <tableColumn id="9" xr3:uid="{65394B07-B22A-4BC4-82CF-AA6E46F36969}" uniqueName="9" name="Hora inic" queryTableFieldId="9" dataDxfId="81"/>
    <tableColumn id="10" xr3:uid="{A512F579-1EDF-4351-B34C-C1784222D352}" uniqueName="10" name="Hora final" queryTableFieldId="10" dataDxfId="80"/>
    <tableColumn id="11" xr3:uid="{D92BE586-4A41-4C7C-91B7-5A012B019709}" uniqueName="11" name="SUPERNUMERARIOS" queryTableFieldId="11" dataDxfId="79"/>
    <tableColumn id="20" xr3:uid="{85B13B97-E2B7-449B-991C-6C7D7C5AF983}" uniqueName="20" name="RECARGO NOCTURNO ORDINARIO" queryTableFieldId="35"/>
    <tableColumn id="21" xr3:uid="{CA150E15-F701-463E-A01C-620CE6F745DB}" uniqueName="21" name="ZONA SUPERNUMERARIO" queryTableFieldId="36" dataDxfId="78"/>
    <tableColumn id="1" xr3:uid="{6DC89ACA-EAB8-454A-83F1-F9297CA73022}" uniqueName="1" name="CEDULA SUPERNUMERARIO" queryTableFieldId="43" dataDxfId="77"/>
    <tableColumn id="22" xr3:uid="{1352E4F6-166A-41BC-A740-1516EF507BB9}" uniqueName="22" name="NOMBRE SUPER VALIDADO" queryTableFieldId="37" dataDxfId="76"/>
    <tableColumn id="23" xr3:uid="{9637E9BD-8CB4-4BE9-A5F2-E1253A914679}" uniqueName="23" name="REGISTRO" queryTableFieldId="38" dataDxfId="75"/>
    <tableColumn id="24" xr3:uid="{55E16BA7-8186-45F1-8CFD-5CB354C480A5}" uniqueName="24" name="HORAS TOTALES DECIMAL" queryTableFieldId="39"/>
    <tableColumn id="25" xr3:uid="{B8AA07C6-1A6C-46AE-ADD8-D9B4342D4C5E}" uniqueName="25" name="TRANSPORTES" queryTableFieldId="40" dataDxfId="7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0A7A00-F037-4295-8A80-FB14D03AF7D5}" name="SUPERNUMERARIOS" displayName="SUPERNUMERARIOS" ref="A1:E743" tableType="queryTable" totalsRowShown="0">
  <autoFilter ref="A1:E743" xr:uid="{340A7A00-F037-4295-8A80-FB14D03AF7D5}">
    <filterColumn colId="1">
      <filters>
        <filter val="ANDREA CAMILA SALAZAR PADILLA"/>
      </filters>
    </filterColumn>
  </autoFilter>
  <tableColumns count="5">
    <tableColumn id="1" xr3:uid="{D2CCB8AF-5332-4395-9A16-34FAC44D440E}" uniqueName="1" name="Cedula" queryTableFieldId="1" dataDxfId="45"/>
    <tableColumn id="2" xr3:uid="{98528D6C-EE66-40AE-8568-43F17E3F9B10}" uniqueName="2" name="Nombre" queryTableFieldId="2" dataDxfId="44"/>
    <tableColumn id="3" xr3:uid="{444651D4-D81E-4A29-A48A-7FAF2B45E489}" uniqueName="3" name="Fecha" queryTableFieldId="3" dataDxfId="38"/>
    <tableColumn id="4" xr3:uid="{F224DA40-FA5C-4052-A3E6-C41941170FC0}" uniqueName="4" name="Zona" queryTableFieldId="4" dataDxfId="43"/>
    <tableColumn id="5" xr3:uid="{E861F0CC-FBC1-4F98-8F7A-245A78C3DE28}" uniqueName="5" name="CIS" queryTableFieldId="5" dataDxfId="4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BCD767C-766F-4BA0-95FF-A2C3223E3640}" name="CONSOLIDADO_PLAZAS_FIJAS" displayName="CONSOLIDADO_PLAZAS_FIJAS" ref="A1:C55" tableType="queryTable" totalsRowShown="0">
  <autoFilter ref="A1:C55" xr:uid="{4BCD767C-766F-4BA0-95FF-A2C3223E3640}"/>
  <tableColumns count="3">
    <tableColumn id="1" xr3:uid="{962560CC-63CA-4407-B902-1C8A6CE9AD74}" uniqueName="1" name="CEDULA SUPERNUMERARIO" queryTableFieldId="1" dataDxfId="41"/>
    <tableColumn id="2" xr3:uid="{3ABD301E-4EF1-4B3C-AFFD-006FFDC2BEC8}" uniqueName="2" name="SUPER ASIGNADO" queryTableFieldId="2" dataDxfId="40"/>
    <tableColumn id="3" xr3:uid="{3C12C2EC-302C-4596-92BE-BA8757FAAC6C}" uniqueName="3" name="FECHA DE TRASLADO" queryTableFieldId="3" dataDxfId="2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38D45B-65D4-4510-95CA-2445A2F0BB74}" name="TablaFestivos" displayName="TablaFestivos" ref="A1:A19" totalsRowShown="0">
  <autoFilter ref="A1:A19" xr:uid="{7038D45B-65D4-4510-95CA-2445A2F0BB74}"/>
  <tableColumns count="1">
    <tableColumn id="1" xr3:uid="{C74B67D4-E103-49BC-8EF3-6504BA9ADFFF}" name="FECHA" dataDxfId="3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E4600-202D-4B18-B3D7-AE639DDAC83B}">
  <dimension ref="A1"/>
  <sheetViews>
    <sheetView workbookViewId="0"/>
  </sheetViews>
  <sheetFormatPr baseColWidth="10" defaultColWidth="11.42578125" defaultRowHeight="15" x14ac:dyDescent="0.25"/>
  <cols>
    <col min="1" max="1" width="13.7109375" bestFit="1" customWidth="1"/>
    <col min="2" max="2" width="15.28515625" bestFit="1" customWidth="1"/>
    <col min="3" max="3" width="48.28515625" bestFit="1" customWidth="1"/>
    <col min="4" max="4" width="31.7109375" bestFit="1" customWidth="1"/>
    <col min="5" max="5" width="17.140625" bestFit="1" customWidth="1"/>
    <col min="6" max="6" width="23.85546875" bestFit="1" customWidth="1"/>
    <col min="7" max="7" width="16.28515625" bestFit="1" customWidth="1"/>
    <col min="8" max="8" width="15.85546875" bestFit="1" customWidth="1"/>
    <col min="9" max="9" width="81.140625" bestFit="1" customWidth="1"/>
    <col min="10" max="11" width="23.42578125" bestFit="1" customWidth="1"/>
    <col min="12" max="12" width="23.85546875" bestFit="1" customWidth="1"/>
    <col min="13" max="13" width="25.42578125" bestFit="1" customWidth="1"/>
    <col min="14" max="14" width="44.5703125" bestFit="1" customWidth="1"/>
    <col min="15" max="15" width="42.28515625" bestFit="1" customWidth="1"/>
    <col min="16" max="16" width="42.140625" bestFit="1" customWidth="1"/>
    <col min="17" max="17" width="40" bestFit="1" customWidth="1"/>
    <col min="18" max="18" width="37" bestFit="1" customWidth="1"/>
    <col min="19" max="19" width="14.28515625" bestFit="1" customWidth="1"/>
  </cols>
  <sheetData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7D8FA-07C6-412B-BDB3-000ADD0EC346}">
  <dimension ref="A1"/>
  <sheetViews>
    <sheetView workbookViewId="0"/>
  </sheetViews>
  <sheetFormatPr baseColWidth="10" defaultColWidth="11.42578125" defaultRowHeight="15" x14ac:dyDescent="0.25"/>
  <cols>
    <col min="1" max="1" width="13.7109375" bestFit="1" customWidth="1"/>
    <col min="2" max="2" width="15.28515625" bestFit="1" customWidth="1"/>
    <col min="3" max="3" width="48.28515625" bestFit="1" customWidth="1"/>
    <col min="4" max="4" width="31.7109375" bestFit="1" customWidth="1"/>
    <col min="5" max="5" width="17.5703125" bestFit="1" customWidth="1"/>
    <col min="6" max="6" width="23.85546875" bestFit="1" customWidth="1"/>
    <col min="7" max="7" width="16.28515625" bestFit="1" customWidth="1"/>
    <col min="8" max="8" width="15.85546875" bestFit="1" customWidth="1"/>
    <col min="9" max="9" width="81.140625" bestFit="1" customWidth="1"/>
    <col min="10" max="10" width="32.42578125" bestFit="1" customWidth="1"/>
    <col min="11" max="11" width="23.42578125" bestFit="1" customWidth="1"/>
    <col min="12" max="12" width="23.85546875" bestFit="1" customWidth="1"/>
    <col min="13" max="13" width="44.5703125" bestFit="1" customWidth="1"/>
    <col min="14" max="14" width="42.28515625" bestFit="1" customWidth="1"/>
    <col min="15" max="15" width="16.140625" bestFit="1" customWidth="1"/>
    <col min="16" max="16" width="25.42578125" bestFit="1" customWidth="1"/>
    <col min="17" max="17" width="40" bestFit="1" customWidth="1"/>
    <col min="18" max="18" width="37" bestFit="1" customWidth="1"/>
    <col min="19" max="19" width="14.28515625" bestFit="1" customWidth="1"/>
  </cols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8F94F-63FB-4786-A2E8-8D7D54DF5B0A}">
  <dimension ref="A1:M624"/>
  <sheetViews>
    <sheetView workbookViewId="0">
      <selection activeCell="J567" sqref="C567:J567"/>
    </sheetView>
  </sheetViews>
  <sheetFormatPr baseColWidth="10" defaultColWidth="11.42578125" defaultRowHeight="15" x14ac:dyDescent="0.25"/>
  <cols>
    <col min="1" max="1" width="13.7109375" style="1" bestFit="1" customWidth="1"/>
    <col min="2" max="2" width="15.28515625" bestFit="1" customWidth="1"/>
    <col min="3" max="3" width="38.85546875" bestFit="1" customWidth="1"/>
    <col min="4" max="5" width="24.28515625" bestFit="1" customWidth="1"/>
    <col min="6" max="6" width="16.28515625" bestFit="1" customWidth="1"/>
    <col min="7" max="7" width="15.85546875" bestFit="1" customWidth="1"/>
    <col min="8" max="8" width="17.5703125" bestFit="1" customWidth="1"/>
    <col min="9" max="9" width="28" bestFit="1" customWidth="1"/>
    <col min="10" max="10" width="49.28515625" bestFit="1" customWidth="1"/>
    <col min="11" max="11" width="42.42578125" bestFit="1" customWidth="1"/>
    <col min="12" max="12" width="37.5703125" bestFit="1" customWidth="1"/>
    <col min="13" max="13" width="18.7109375" bestFit="1" customWidth="1"/>
    <col min="14" max="14" width="18.7109375" customWidth="1"/>
  </cols>
  <sheetData>
    <row r="1" spans="1:13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idden="1" x14ac:dyDescent="0.25">
      <c r="A2" s="1">
        <v>46235</v>
      </c>
      <c r="B2" t="s">
        <v>53</v>
      </c>
      <c r="C2" t="s">
        <v>54</v>
      </c>
      <c r="D2" t="s">
        <v>55</v>
      </c>
      <c r="E2" t="s">
        <v>16</v>
      </c>
      <c r="F2" s="1">
        <v>46229</v>
      </c>
      <c r="G2" s="1">
        <v>46258</v>
      </c>
      <c r="H2" s="1">
        <v>46259</v>
      </c>
      <c r="I2" t="s">
        <v>107</v>
      </c>
      <c r="J2" t="s">
        <v>108</v>
      </c>
      <c r="K2" t="s">
        <v>56</v>
      </c>
      <c r="L2" t="s">
        <v>109</v>
      </c>
      <c r="M2" t="s">
        <v>21</v>
      </c>
    </row>
    <row r="3" spans="1:13" hidden="1" x14ac:dyDescent="0.25">
      <c r="A3" s="1">
        <v>46235</v>
      </c>
      <c r="B3" t="s">
        <v>30</v>
      </c>
      <c r="C3" t="s">
        <v>31</v>
      </c>
      <c r="D3" t="s">
        <v>28</v>
      </c>
      <c r="E3" t="s">
        <v>24</v>
      </c>
      <c r="F3" s="1">
        <v>46230</v>
      </c>
      <c r="G3" s="1">
        <v>46262</v>
      </c>
      <c r="H3" s="1">
        <v>46263</v>
      </c>
      <c r="I3" t="s">
        <v>150</v>
      </c>
      <c r="J3" t="s">
        <v>151</v>
      </c>
      <c r="K3" t="s">
        <v>32</v>
      </c>
      <c r="L3" t="s">
        <v>152</v>
      </c>
      <c r="M3" t="s">
        <v>21</v>
      </c>
    </row>
    <row r="4" spans="1:13" hidden="1" x14ac:dyDescent="0.25">
      <c r="A4" s="1">
        <v>46235</v>
      </c>
      <c r="B4" t="s">
        <v>174</v>
      </c>
      <c r="C4" t="s">
        <v>175</v>
      </c>
      <c r="D4" t="s">
        <v>176</v>
      </c>
      <c r="E4" t="s">
        <v>16</v>
      </c>
      <c r="F4" s="1">
        <v>46230</v>
      </c>
      <c r="G4" s="1">
        <v>46235</v>
      </c>
      <c r="H4" s="1">
        <v>46236</v>
      </c>
      <c r="I4" t="s">
        <v>177</v>
      </c>
      <c r="J4" t="s">
        <v>178</v>
      </c>
      <c r="K4" t="s">
        <v>179</v>
      </c>
      <c r="L4" t="s">
        <v>180</v>
      </c>
      <c r="M4" t="s">
        <v>21</v>
      </c>
    </row>
    <row r="5" spans="1:13" hidden="1" x14ac:dyDescent="0.25">
      <c r="A5" s="1">
        <v>46235</v>
      </c>
      <c r="B5" t="s">
        <v>42</v>
      </c>
      <c r="C5" t="s">
        <v>43</v>
      </c>
      <c r="D5" t="s">
        <v>44</v>
      </c>
      <c r="E5" t="s">
        <v>16</v>
      </c>
      <c r="F5" s="1">
        <v>46234</v>
      </c>
      <c r="G5" s="1">
        <v>46240</v>
      </c>
      <c r="H5" s="1">
        <v>46241</v>
      </c>
      <c r="I5" t="s">
        <v>199</v>
      </c>
      <c r="J5" t="s">
        <v>200</v>
      </c>
      <c r="K5" t="s">
        <v>47</v>
      </c>
      <c r="L5" t="s">
        <v>201</v>
      </c>
      <c r="M5" t="s">
        <v>21</v>
      </c>
    </row>
    <row r="6" spans="1:13" hidden="1" x14ac:dyDescent="0.25">
      <c r="A6" s="1">
        <v>46235</v>
      </c>
      <c r="B6" t="s">
        <v>187</v>
      </c>
      <c r="C6" t="s">
        <v>188</v>
      </c>
      <c r="D6" t="s">
        <v>55</v>
      </c>
      <c r="E6" t="s">
        <v>16</v>
      </c>
      <c r="F6" s="1">
        <v>46232</v>
      </c>
      <c r="G6" s="1">
        <v>46235</v>
      </c>
      <c r="H6" s="1">
        <v>46236</v>
      </c>
      <c r="I6" t="s">
        <v>189</v>
      </c>
      <c r="J6" t="s">
        <v>190</v>
      </c>
      <c r="K6" t="s">
        <v>191</v>
      </c>
      <c r="L6" t="s">
        <v>192</v>
      </c>
      <c r="M6" t="s">
        <v>21</v>
      </c>
    </row>
    <row r="7" spans="1:13" hidden="1" x14ac:dyDescent="0.25">
      <c r="A7" s="1">
        <v>46235</v>
      </c>
      <c r="B7" t="s">
        <v>153</v>
      </c>
      <c r="C7" t="s">
        <v>154</v>
      </c>
      <c r="D7" t="s">
        <v>28</v>
      </c>
      <c r="E7" t="s">
        <v>16</v>
      </c>
      <c r="F7" s="1">
        <v>46209</v>
      </c>
      <c r="G7" s="1">
        <v>46238</v>
      </c>
      <c r="H7" s="1">
        <v>46239</v>
      </c>
      <c r="I7" t="s">
        <v>213</v>
      </c>
      <c r="J7" t="s">
        <v>214</v>
      </c>
      <c r="K7" t="s">
        <v>155</v>
      </c>
      <c r="L7" t="s">
        <v>215</v>
      </c>
      <c r="M7" t="s">
        <v>21</v>
      </c>
    </row>
    <row r="8" spans="1:13" hidden="1" x14ac:dyDescent="0.25">
      <c r="A8" s="1">
        <v>46235</v>
      </c>
      <c r="B8" t="s">
        <v>62</v>
      </c>
      <c r="C8" t="s">
        <v>202</v>
      </c>
      <c r="D8" t="s">
        <v>64</v>
      </c>
      <c r="E8" t="s">
        <v>16</v>
      </c>
      <c r="F8" s="1">
        <v>46219</v>
      </c>
      <c r="G8" s="1">
        <v>46248</v>
      </c>
      <c r="H8" s="1">
        <v>46249</v>
      </c>
      <c r="I8" t="s">
        <v>236</v>
      </c>
      <c r="J8" t="s">
        <v>237</v>
      </c>
      <c r="K8" t="s">
        <v>65</v>
      </c>
      <c r="L8" t="s">
        <v>239</v>
      </c>
      <c r="M8" t="s">
        <v>21</v>
      </c>
    </row>
    <row r="9" spans="1:13" hidden="1" x14ac:dyDescent="0.25">
      <c r="A9" s="1">
        <v>46235</v>
      </c>
      <c r="B9" t="s">
        <v>243</v>
      </c>
      <c r="C9" t="s">
        <v>244</v>
      </c>
      <c r="D9" t="s">
        <v>245</v>
      </c>
      <c r="E9" t="s">
        <v>16</v>
      </c>
      <c r="F9" s="1">
        <v>46230</v>
      </c>
      <c r="G9" s="1">
        <v>46235</v>
      </c>
      <c r="H9" s="1">
        <v>46236</v>
      </c>
      <c r="I9" t="s">
        <v>246</v>
      </c>
      <c r="J9" t="s">
        <v>247</v>
      </c>
      <c r="K9" t="s">
        <v>248</v>
      </c>
      <c r="L9" t="s">
        <v>249</v>
      </c>
      <c r="M9" t="s">
        <v>21</v>
      </c>
    </row>
    <row r="10" spans="1:13" hidden="1" x14ac:dyDescent="0.25">
      <c r="A10" s="1">
        <v>46235</v>
      </c>
      <c r="B10" t="s">
        <v>279</v>
      </c>
      <c r="C10" t="s">
        <v>280</v>
      </c>
      <c r="D10" t="s">
        <v>59</v>
      </c>
      <c r="E10" t="s">
        <v>16</v>
      </c>
      <c r="F10" s="1">
        <v>46231</v>
      </c>
      <c r="G10" s="1">
        <v>46235</v>
      </c>
      <c r="H10" s="1">
        <v>46236</v>
      </c>
      <c r="I10" t="s">
        <v>276</v>
      </c>
      <c r="J10" t="s">
        <v>277</v>
      </c>
      <c r="K10" t="s">
        <v>281</v>
      </c>
      <c r="L10" t="s">
        <v>278</v>
      </c>
      <c r="M10" t="s">
        <v>21</v>
      </c>
    </row>
    <row r="11" spans="1:13" hidden="1" x14ac:dyDescent="0.25">
      <c r="A11" s="1">
        <v>46235</v>
      </c>
      <c r="B11" t="s">
        <v>288</v>
      </c>
      <c r="C11" t="s">
        <v>289</v>
      </c>
      <c r="D11" t="s">
        <v>272</v>
      </c>
      <c r="E11" t="s">
        <v>36</v>
      </c>
      <c r="F11" s="1">
        <v>46230</v>
      </c>
      <c r="G11" s="1">
        <v>46355</v>
      </c>
      <c r="H11" s="1">
        <v>46356</v>
      </c>
      <c r="I11" t="s">
        <v>285</v>
      </c>
      <c r="J11" t="s">
        <v>286</v>
      </c>
      <c r="K11" t="s">
        <v>290</v>
      </c>
      <c r="L11" t="s">
        <v>287</v>
      </c>
      <c r="M11" t="s">
        <v>21</v>
      </c>
    </row>
    <row r="12" spans="1:13" hidden="1" x14ac:dyDescent="0.25">
      <c r="A12" s="1">
        <v>46235</v>
      </c>
      <c r="B12" t="s">
        <v>291</v>
      </c>
      <c r="C12" t="s">
        <v>292</v>
      </c>
      <c r="D12" t="s">
        <v>272</v>
      </c>
      <c r="E12" t="s">
        <v>92</v>
      </c>
      <c r="F12" s="1">
        <v>46233</v>
      </c>
      <c r="G12" s="1">
        <v>46238</v>
      </c>
      <c r="H12" s="1">
        <v>46239</v>
      </c>
      <c r="I12" t="s">
        <v>321</v>
      </c>
      <c r="J12" t="s">
        <v>322</v>
      </c>
      <c r="K12" t="s">
        <v>293</v>
      </c>
      <c r="L12" t="s">
        <v>323</v>
      </c>
      <c r="M12" t="s">
        <v>21</v>
      </c>
    </row>
    <row r="13" spans="1:13" hidden="1" x14ac:dyDescent="0.25">
      <c r="A13" s="1">
        <v>46235</v>
      </c>
      <c r="B13" t="s">
        <v>26</v>
      </c>
      <c r="C13" t="s">
        <v>27</v>
      </c>
      <c r="D13" t="s">
        <v>28</v>
      </c>
      <c r="E13" t="s">
        <v>16</v>
      </c>
      <c r="F13" s="1">
        <v>46226</v>
      </c>
      <c r="G13" s="1">
        <v>46255</v>
      </c>
      <c r="H13" s="1">
        <v>46256</v>
      </c>
      <c r="J13" t="s">
        <v>327</v>
      </c>
      <c r="K13" t="s">
        <v>29</v>
      </c>
      <c r="M13" t="s">
        <v>21</v>
      </c>
    </row>
    <row r="14" spans="1:13" hidden="1" x14ac:dyDescent="0.25">
      <c r="A14" s="1">
        <v>46235</v>
      </c>
      <c r="B14" t="s">
        <v>122</v>
      </c>
      <c r="C14" t="s">
        <v>123</v>
      </c>
      <c r="D14" t="s">
        <v>124</v>
      </c>
      <c r="E14" t="s">
        <v>16</v>
      </c>
      <c r="F14" s="1">
        <v>46224</v>
      </c>
      <c r="G14" s="1">
        <v>46238</v>
      </c>
      <c r="H14" s="1">
        <v>46239</v>
      </c>
      <c r="J14" t="s">
        <v>327</v>
      </c>
      <c r="K14" t="s">
        <v>125</v>
      </c>
      <c r="M14" t="s">
        <v>21</v>
      </c>
    </row>
    <row r="15" spans="1:13" hidden="1" x14ac:dyDescent="0.25">
      <c r="A15" s="1">
        <v>46235</v>
      </c>
      <c r="B15" t="s">
        <v>130</v>
      </c>
      <c r="C15" t="s">
        <v>131</v>
      </c>
      <c r="D15" t="s">
        <v>132</v>
      </c>
      <c r="E15" t="s">
        <v>16</v>
      </c>
      <c r="F15" s="1">
        <v>46217</v>
      </c>
      <c r="G15" s="1">
        <v>46246</v>
      </c>
      <c r="H15" s="1">
        <v>46247</v>
      </c>
      <c r="J15" t="s">
        <v>327</v>
      </c>
      <c r="K15" t="s">
        <v>133</v>
      </c>
      <c r="M15" t="s">
        <v>21</v>
      </c>
    </row>
    <row r="16" spans="1:13" hidden="1" x14ac:dyDescent="0.25">
      <c r="A16" s="1">
        <v>46235</v>
      </c>
      <c r="B16" t="s">
        <v>137</v>
      </c>
      <c r="C16" t="s">
        <v>138</v>
      </c>
      <c r="D16" t="s">
        <v>139</v>
      </c>
      <c r="E16" t="s">
        <v>16</v>
      </c>
      <c r="F16" s="1">
        <v>46234</v>
      </c>
      <c r="G16" s="1">
        <v>46237</v>
      </c>
      <c r="H16" s="1">
        <v>46238</v>
      </c>
      <c r="J16" t="s">
        <v>327</v>
      </c>
      <c r="K16" t="s">
        <v>140</v>
      </c>
      <c r="M16" t="s">
        <v>21</v>
      </c>
    </row>
    <row r="17" spans="1:13" hidden="1" x14ac:dyDescent="0.25">
      <c r="A17" s="1">
        <v>46235</v>
      </c>
      <c r="B17" t="s">
        <v>70</v>
      </c>
      <c r="C17" t="s">
        <v>71</v>
      </c>
      <c r="D17" t="s">
        <v>55</v>
      </c>
      <c r="E17" t="s">
        <v>16</v>
      </c>
      <c r="F17" s="1">
        <v>46226</v>
      </c>
      <c r="G17" s="1">
        <v>46246</v>
      </c>
      <c r="H17" s="1">
        <v>46247</v>
      </c>
      <c r="J17" t="s">
        <v>327</v>
      </c>
      <c r="K17" t="s">
        <v>72</v>
      </c>
      <c r="M17" t="s">
        <v>21</v>
      </c>
    </row>
    <row r="18" spans="1:13" hidden="1" x14ac:dyDescent="0.25">
      <c r="A18" s="1">
        <v>46235</v>
      </c>
      <c r="B18" t="s">
        <v>219</v>
      </c>
      <c r="C18" t="s">
        <v>250</v>
      </c>
      <c r="D18" t="s">
        <v>55</v>
      </c>
      <c r="E18" t="s">
        <v>16</v>
      </c>
      <c r="F18" s="1">
        <v>46225</v>
      </c>
      <c r="G18" s="1">
        <v>46239</v>
      </c>
      <c r="H18" s="1">
        <v>46240</v>
      </c>
      <c r="J18" t="s">
        <v>327</v>
      </c>
      <c r="M18" t="s">
        <v>21</v>
      </c>
    </row>
    <row r="19" spans="1:13" hidden="1" x14ac:dyDescent="0.25">
      <c r="A19" s="1">
        <v>46235</v>
      </c>
      <c r="B19" t="s">
        <v>37</v>
      </c>
      <c r="C19" t="s">
        <v>38</v>
      </c>
      <c r="D19" t="s">
        <v>39</v>
      </c>
      <c r="E19" t="s">
        <v>36</v>
      </c>
      <c r="F19" s="1">
        <v>46217</v>
      </c>
      <c r="G19" s="1">
        <v>46342</v>
      </c>
      <c r="H19" s="1">
        <v>46343</v>
      </c>
      <c r="J19" t="s">
        <v>149</v>
      </c>
      <c r="K19" t="s">
        <v>40</v>
      </c>
      <c r="M19" t="s">
        <v>21</v>
      </c>
    </row>
    <row r="20" spans="1:13" hidden="1" x14ac:dyDescent="0.25">
      <c r="A20" s="1">
        <v>46237</v>
      </c>
      <c r="B20" t="s">
        <v>53</v>
      </c>
      <c r="C20" t="s">
        <v>54</v>
      </c>
      <c r="D20" t="s">
        <v>55</v>
      </c>
      <c r="E20" t="s">
        <v>16</v>
      </c>
      <c r="F20" s="1">
        <v>46229</v>
      </c>
      <c r="G20" s="1">
        <v>46258</v>
      </c>
      <c r="H20" s="1">
        <v>46259</v>
      </c>
      <c r="I20" t="s">
        <v>107</v>
      </c>
      <c r="J20" t="s">
        <v>108</v>
      </c>
      <c r="K20" t="s">
        <v>56</v>
      </c>
      <c r="L20" t="s">
        <v>109</v>
      </c>
      <c r="M20" t="s">
        <v>21</v>
      </c>
    </row>
    <row r="21" spans="1:13" hidden="1" x14ac:dyDescent="0.25">
      <c r="A21" s="1">
        <v>46237</v>
      </c>
      <c r="B21" t="s">
        <v>30</v>
      </c>
      <c r="C21" t="s">
        <v>31</v>
      </c>
      <c r="D21" t="s">
        <v>28</v>
      </c>
      <c r="E21" t="s">
        <v>24</v>
      </c>
      <c r="F21" s="1">
        <v>46230</v>
      </c>
      <c r="G21" s="1">
        <v>46262</v>
      </c>
      <c r="H21" s="1">
        <v>46263</v>
      </c>
      <c r="I21" t="s">
        <v>150</v>
      </c>
      <c r="J21" t="s">
        <v>151</v>
      </c>
      <c r="K21" t="s">
        <v>32</v>
      </c>
      <c r="L21" t="s">
        <v>152</v>
      </c>
      <c r="M21" t="s">
        <v>21</v>
      </c>
    </row>
    <row r="22" spans="1:13" hidden="1" x14ac:dyDescent="0.25">
      <c r="A22" s="1">
        <v>46237</v>
      </c>
      <c r="B22" t="s">
        <v>174</v>
      </c>
      <c r="C22" t="s">
        <v>175</v>
      </c>
      <c r="D22" t="s">
        <v>176</v>
      </c>
      <c r="E22" t="s">
        <v>16</v>
      </c>
      <c r="F22" s="1">
        <v>46230</v>
      </c>
      <c r="G22" s="1">
        <v>46235</v>
      </c>
      <c r="H22" s="1">
        <v>46236</v>
      </c>
      <c r="I22" t="s">
        <v>177</v>
      </c>
      <c r="J22" t="s">
        <v>178</v>
      </c>
      <c r="K22" t="s">
        <v>179</v>
      </c>
      <c r="L22" t="s">
        <v>180</v>
      </c>
      <c r="M22" t="s">
        <v>21</v>
      </c>
    </row>
    <row r="23" spans="1:13" hidden="1" x14ac:dyDescent="0.25">
      <c r="A23" s="1">
        <v>46237</v>
      </c>
      <c r="B23" t="s">
        <v>42</v>
      </c>
      <c r="C23" t="s">
        <v>43</v>
      </c>
      <c r="D23" t="s">
        <v>44</v>
      </c>
      <c r="E23" t="s">
        <v>16</v>
      </c>
      <c r="F23" s="1">
        <v>46234</v>
      </c>
      <c r="G23" s="1">
        <v>46240</v>
      </c>
      <c r="H23" s="1">
        <v>46241</v>
      </c>
      <c r="I23" t="s">
        <v>199</v>
      </c>
      <c r="J23" t="s">
        <v>200</v>
      </c>
      <c r="K23" t="s">
        <v>47</v>
      </c>
      <c r="L23" t="s">
        <v>201</v>
      </c>
      <c r="M23" t="s">
        <v>21</v>
      </c>
    </row>
    <row r="24" spans="1:13" hidden="1" x14ac:dyDescent="0.25">
      <c r="A24" s="1">
        <v>46237</v>
      </c>
      <c r="B24" t="s">
        <v>187</v>
      </c>
      <c r="C24" t="s">
        <v>188</v>
      </c>
      <c r="D24" t="s">
        <v>55</v>
      </c>
      <c r="E24" t="s">
        <v>16</v>
      </c>
      <c r="F24" s="1">
        <v>46232</v>
      </c>
      <c r="G24" s="1">
        <v>46235</v>
      </c>
      <c r="H24" s="1">
        <v>46236</v>
      </c>
      <c r="I24" t="s">
        <v>189</v>
      </c>
      <c r="J24" t="s">
        <v>190</v>
      </c>
      <c r="K24" t="s">
        <v>191</v>
      </c>
      <c r="L24" t="s">
        <v>192</v>
      </c>
      <c r="M24" t="s">
        <v>21</v>
      </c>
    </row>
    <row r="25" spans="1:13" hidden="1" x14ac:dyDescent="0.25">
      <c r="A25" s="1">
        <v>46237</v>
      </c>
      <c r="B25" t="s">
        <v>153</v>
      </c>
      <c r="C25" t="s">
        <v>154</v>
      </c>
      <c r="D25" t="s">
        <v>28</v>
      </c>
      <c r="E25" t="s">
        <v>16</v>
      </c>
      <c r="F25" s="1">
        <v>46209</v>
      </c>
      <c r="G25" s="1">
        <v>46238</v>
      </c>
      <c r="H25" s="1">
        <v>46239</v>
      </c>
      <c r="I25" t="s">
        <v>213</v>
      </c>
      <c r="J25" t="s">
        <v>214</v>
      </c>
      <c r="K25" t="s">
        <v>155</v>
      </c>
      <c r="L25" t="s">
        <v>215</v>
      </c>
      <c r="M25" t="s">
        <v>21</v>
      </c>
    </row>
    <row r="26" spans="1:13" hidden="1" x14ac:dyDescent="0.25">
      <c r="A26" s="1">
        <v>46237</v>
      </c>
      <c r="B26" t="s">
        <v>62</v>
      </c>
      <c r="C26" t="s">
        <v>202</v>
      </c>
      <c r="D26" t="s">
        <v>64</v>
      </c>
      <c r="E26" t="s">
        <v>16</v>
      </c>
      <c r="F26" s="1">
        <v>46219</v>
      </c>
      <c r="G26" s="1">
        <v>46248</v>
      </c>
      <c r="H26" s="1">
        <v>46249</v>
      </c>
      <c r="I26" t="s">
        <v>236</v>
      </c>
      <c r="J26" t="s">
        <v>237</v>
      </c>
      <c r="K26" t="s">
        <v>65</v>
      </c>
      <c r="L26" t="s">
        <v>239</v>
      </c>
      <c r="M26" t="s">
        <v>21</v>
      </c>
    </row>
    <row r="27" spans="1:13" hidden="1" x14ac:dyDescent="0.25">
      <c r="A27" s="1">
        <v>46237</v>
      </c>
      <c r="B27" t="s">
        <v>243</v>
      </c>
      <c r="C27" t="s">
        <v>244</v>
      </c>
      <c r="D27" t="s">
        <v>245</v>
      </c>
      <c r="E27" t="s">
        <v>16</v>
      </c>
      <c r="F27" s="1">
        <v>46230</v>
      </c>
      <c r="G27" s="1">
        <v>46235</v>
      </c>
      <c r="H27" s="1">
        <v>46236</v>
      </c>
      <c r="I27" t="s">
        <v>246</v>
      </c>
      <c r="J27" t="s">
        <v>247</v>
      </c>
      <c r="K27" t="s">
        <v>248</v>
      </c>
      <c r="L27" t="s">
        <v>249</v>
      </c>
      <c r="M27" t="s">
        <v>21</v>
      </c>
    </row>
    <row r="28" spans="1:13" hidden="1" x14ac:dyDescent="0.25">
      <c r="A28" s="1">
        <v>46237</v>
      </c>
      <c r="B28" t="s">
        <v>279</v>
      </c>
      <c r="C28" t="s">
        <v>280</v>
      </c>
      <c r="D28" t="s">
        <v>59</v>
      </c>
      <c r="E28" t="s">
        <v>16</v>
      </c>
      <c r="F28" s="1">
        <v>46231</v>
      </c>
      <c r="G28" s="1">
        <v>46235</v>
      </c>
      <c r="H28" s="1">
        <v>46236</v>
      </c>
      <c r="I28" t="s">
        <v>276</v>
      </c>
      <c r="J28" t="s">
        <v>277</v>
      </c>
      <c r="K28" t="s">
        <v>281</v>
      </c>
      <c r="L28" t="s">
        <v>278</v>
      </c>
      <c r="M28" t="s">
        <v>21</v>
      </c>
    </row>
    <row r="29" spans="1:13" hidden="1" x14ac:dyDescent="0.25">
      <c r="A29" s="1">
        <v>46237</v>
      </c>
      <c r="B29" t="s">
        <v>288</v>
      </c>
      <c r="C29" t="s">
        <v>289</v>
      </c>
      <c r="D29" t="s">
        <v>272</v>
      </c>
      <c r="E29" t="s">
        <v>36</v>
      </c>
      <c r="F29" s="1">
        <v>46230</v>
      </c>
      <c r="G29" s="1">
        <v>46355</v>
      </c>
      <c r="H29" s="1">
        <v>46356</v>
      </c>
      <c r="I29" t="s">
        <v>285</v>
      </c>
      <c r="J29" t="s">
        <v>286</v>
      </c>
      <c r="K29" t="s">
        <v>290</v>
      </c>
      <c r="L29" t="s">
        <v>287</v>
      </c>
      <c r="M29" t="s">
        <v>21</v>
      </c>
    </row>
    <row r="30" spans="1:13" hidden="1" x14ac:dyDescent="0.25">
      <c r="A30" s="1">
        <v>46237</v>
      </c>
      <c r="B30" t="s">
        <v>291</v>
      </c>
      <c r="C30" t="s">
        <v>292</v>
      </c>
      <c r="D30" t="s">
        <v>272</v>
      </c>
      <c r="E30" t="s">
        <v>92</v>
      </c>
      <c r="F30" s="1">
        <v>46233</v>
      </c>
      <c r="G30" s="1">
        <v>46238</v>
      </c>
      <c r="H30" s="1">
        <v>46239</v>
      </c>
      <c r="I30" t="s">
        <v>321</v>
      </c>
      <c r="J30" t="s">
        <v>322</v>
      </c>
      <c r="K30" t="s">
        <v>293</v>
      </c>
      <c r="L30" t="s">
        <v>323</v>
      </c>
      <c r="M30" t="s">
        <v>21</v>
      </c>
    </row>
    <row r="31" spans="1:13" hidden="1" x14ac:dyDescent="0.25">
      <c r="A31" s="1">
        <v>46237</v>
      </c>
      <c r="B31" t="s">
        <v>26</v>
      </c>
      <c r="C31" t="s">
        <v>27</v>
      </c>
      <c r="D31" t="s">
        <v>28</v>
      </c>
      <c r="E31" t="s">
        <v>16</v>
      </c>
      <c r="F31" s="1">
        <v>46226</v>
      </c>
      <c r="G31" s="1">
        <v>46255</v>
      </c>
      <c r="H31" s="1">
        <v>46256</v>
      </c>
      <c r="J31" t="s">
        <v>327</v>
      </c>
      <c r="K31" t="s">
        <v>29</v>
      </c>
      <c r="M31" t="s">
        <v>21</v>
      </c>
    </row>
    <row r="32" spans="1:13" hidden="1" x14ac:dyDescent="0.25">
      <c r="A32" s="1">
        <v>46237</v>
      </c>
      <c r="B32" t="s">
        <v>122</v>
      </c>
      <c r="C32" s="4" t="s">
        <v>123</v>
      </c>
      <c r="D32" t="s">
        <v>124</v>
      </c>
      <c r="E32" t="s">
        <v>16</v>
      </c>
      <c r="F32" s="1">
        <v>46224</v>
      </c>
      <c r="G32" s="1">
        <v>46238</v>
      </c>
      <c r="H32" s="1">
        <v>46239</v>
      </c>
      <c r="J32" t="s">
        <v>327</v>
      </c>
      <c r="K32" t="s">
        <v>125</v>
      </c>
      <c r="M32" t="s">
        <v>21</v>
      </c>
    </row>
    <row r="33" spans="1:13" hidden="1" x14ac:dyDescent="0.25">
      <c r="A33" s="1">
        <v>46237</v>
      </c>
      <c r="B33" t="s">
        <v>49</v>
      </c>
      <c r="C33" t="s">
        <v>50</v>
      </c>
      <c r="D33" t="s">
        <v>51</v>
      </c>
      <c r="E33" t="s">
        <v>36</v>
      </c>
      <c r="F33" s="1">
        <v>46237</v>
      </c>
      <c r="G33" s="1">
        <v>46366</v>
      </c>
      <c r="H33" s="1">
        <v>46367</v>
      </c>
      <c r="J33" t="s">
        <v>327</v>
      </c>
      <c r="K33" t="s">
        <v>52</v>
      </c>
      <c r="M33" t="s">
        <v>21</v>
      </c>
    </row>
    <row r="34" spans="1:13" hidden="1" x14ac:dyDescent="0.25">
      <c r="A34" s="1">
        <v>46237</v>
      </c>
      <c r="B34" t="s">
        <v>130</v>
      </c>
      <c r="C34" t="s">
        <v>131</v>
      </c>
      <c r="D34" t="s">
        <v>132</v>
      </c>
      <c r="E34" t="s">
        <v>16</v>
      </c>
      <c r="F34" s="1">
        <v>46217</v>
      </c>
      <c r="G34" s="1">
        <v>46246</v>
      </c>
      <c r="H34" s="1">
        <v>46247</v>
      </c>
      <c r="J34" t="s">
        <v>327</v>
      </c>
      <c r="K34" t="s">
        <v>133</v>
      </c>
      <c r="M34" t="s">
        <v>21</v>
      </c>
    </row>
    <row r="35" spans="1:13" hidden="1" x14ac:dyDescent="0.25">
      <c r="A35" s="1">
        <v>46237</v>
      </c>
      <c r="B35" t="s">
        <v>137</v>
      </c>
      <c r="C35" t="s">
        <v>138</v>
      </c>
      <c r="D35" t="s">
        <v>139</v>
      </c>
      <c r="E35" t="s">
        <v>16</v>
      </c>
      <c r="F35" s="1">
        <v>46234</v>
      </c>
      <c r="G35" s="1">
        <v>46237</v>
      </c>
      <c r="H35" s="1">
        <v>46238</v>
      </c>
      <c r="J35" t="s">
        <v>327</v>
      </c>
      <c r="K35" t="s">
        <v>140</v>
      </c>
      <c r="M35" t="s">
        <v>21</v>
      </c>
    </row>
    <row r="36" spans="1:13" hidden="1" x14ac:dyDescent="0.25">
      <c r="A36" s="1">
        <v>46237</v>
      </c>
      <c r="B36" t="s">
        <v>70</v>
      </c>
      <c r="C36" t="s">
        <v>71</v>
      </c>
      <c r="D36" t="s">
        <v>55</v>
      </c>
      <c r="E36" t="s">
        <v>16</v>
      </c>
      <c r="F36" s="1">
        <v>46226</v>
      </c>
      <c r="G36" s="1">
        <v>46246</v>
      </c>
      <c r="H36" s="1">
        <v>46247</v>
      </c>
      <c r="J36" t="s">
        <v>327</v>
      </c>
      <c r="K36" t="s">
        <v>72</v>
      </c>
      <c r="M36" t="s">
        <v>21</v>
      </c>
    </row>
    <row r="37" spans="1:13" hidden="1" x14ac:dyDescent="0.25">
      <c r="A37" s="1">
        <v>46237</v>
      </c>
      <c r="B37" t="s">
        <v>219</v>
      </c>
      <c r="C37" t="s">
        <v>250</v>
      </c>
      <c r="D37" t="s">
        <v>55</v>
      </c>
      <c r="E37" t="s">
        <v>16</v>
      </c>
      <c r="F37" s="1">
        <v>46225</v>
      </c>
      <c r="G37" s="1">
        <v>46239</v>
      </c>
      <c r="H37" s="1">
        <v>46240</v>
      </c>
      <c r="J37" t="s">
        <v>327</v>
      </c>
      <c r="M37" t="s">
        <v>21</v>
      </c>
    </row>
    <row r="38" spans="1:13" hidden="1" x14ac:dyDescent="0.25">
      <c r="A38" s="1">
        <v>46237</v>
      </c>
      <c r="B38" t="s">
        <v>37</v>
      </c>
      <c r="C38" t="s">
        <v>38</v>
      </c>
      <c r="D38" t="s">
        <v>39</v>
      </c>
      <c r="E38" t="s">
        <v>36</v>
      </c>
      <c r="F38" s="1">
        <v>46217</v>
      </c>
      <c r="G38" s="1">
        <v>46342</v>
      </c>
      <c r="H38" s="1">
        <v>46343</v>
      </c>
      <c r="J38" t="s">
        <v>149</v>
      </c>
      <c r="K38" t="s">
        <v>40</v>
      </c>
      <c r="M38" t="s">
        <v>21</v>
      </c>
    </row>
    <row r="39" spans="1:13" hidden="1" x14ac:dyDescent="0.25">
      <c r="A39" s="1">
        <v>46238</v>
      </c>
      <c r="B39" t="s">
        <v>53</v>
      </c>
      <c r="C39" t="s">
        <v>88</v>
      </c>
      <c r="D39" t="s">
        <v>55</v>
      </c>
      <c r="E39" t="s">
        <v>16</v>
      </c>
      <c r="F39" s="1">
        <v>46229</v>
      </c>
      <c r="G39" s="1">
        <v>46258</v>
      </c>
      <c r="H39" s="1">
        <v>46259</v>
      </c>
      <c r="I39" t="s">
        <v>107</v>
      </c>
      <c r="J39" t="s">
        <v>108</v>
      </c>
      <c r="K39" t="s">
        <v>56</v>
      </c>
      <c r="L39" t="s">
        <v>109</v>
      </c>
      <c r="M39" t="s">
        <v>21</v>
      </c>
    </row>
    <row r="40" spans="1:13" hidden="1" x14ac:dyDescent="0.25">
      <c r="A40" s="1">
        <v>46238</v>
      </c>
      <c r="B40" t="s">
        <v>30</v>
      </c>
      <c r="C40" t="s">
        <v>61</v>
      </c>
      <c r="D40" t="s">
        <v>28</v>
      </c>
      <c r="E40" t="s">
        <v>24</v>
      </c>
      <c r="F40" s="1">
        <v>46230</v>
      </c>
      <c r="G40" s="1">
        <v>46262</v>
      </c>
      <c r="H40" s="1">
        <v>46263</v>
      </c>
      <c r="I40" t="s">
        <v>150</v>
      </c>
      <c r="J40" t="s">
        <v>151</v>
      </c>
      <c r="K40" t="s">
        <v>32</v>
      </c>
      <c r="L40" t="s">
        <v>152</v>
      </c>
      <c r="M40" t="s">
        <v>21</v>
      </c>
    </row>
    <row r="41" spans="1:13" hidden="1" x14ac:dyDescent="0.25">
      <c r="A41" s="1">
        <v>46238</v>
      </c>
      <c r="B41" t="s">
        <v>42</v>
      </c>
      <c r="C41" t="s">
        <v>43</v>
      </c>
      <c r="D41" t="s">
        <v>44</v>
      </c>
      <c r="E41" t="s">
        <v>16</v>
      </c>
      <c r="F41" s="1">
        <v>46234</v>
      </c>
      <c r="G41" s="1">
        <v>46240</v>
      </c>
      <c r="H41" s="1">
        <v>46241</v>
      </c>
      <c r="I41" t="s">
        <v>199</v>
      </c>
      <c r="J41" t="s">
        <v>200</v>
      </c>
      <c r="K41" t="s">
        <v>47</v>
      </c>
      <c r="L41" t="s">
        <v>201</v>
      </c>
      <c r="M41" t="s">
        <v>21</v>
      </c>
    </row>
    <row r="42" spans="1:13" hidden="1" x14ac:dyDescent="0.25">
      <c r="A42" s="1">
        <v>46238</v>
      </c>
      <c r="B42" t="s">
        <v>187</v>
      </c>
      <c r="C42" t="s">
        <v>4122</v>
      </c>
      <c r="D42" t="s">
        <v>55</v>
      </c>
      <c r="E42" t="s">
        <v>16</v>
      </c>
      <c r="F42" s="1">
        <v>46232</v>
      </c>
      <c r="G42" s="1">
        <v>46235</v>
      </c>
      <c r="H42" s="1">
        <v>46236</v>
      </c>
      <c r="I42" t="s">
        <v>189</v>
      </c>
      <c r="J42" t="s">
        <v>190</v>
      </c>
      <c r="K42" t="s">
        <v>191</v>
      </c>
      <c r="L42" t="s">
        <v>192</v>
      </c>
      <c r="M42" t="s">
        <v>21</v>
      </c>
    </row>
    <row r="43" spans="1:13" hidden="1" x14ac:dyDescent="0.25">
      <c r="A43" s="1">
        <v>46238</v>
      </c>
      <c r="B43" t="s">
        <v>153</v>
      </c>
      <c r="C43" t="s">
        <v>154</v>
      </c>
      <c r="D43" t="s">
        <v>28</v>
      </c>
      <c r="E43" t="s">
        <v>16</v>
      </c>
      <c r="F43" s="1">
        <v>46209</v>
      </c>
      <c r="G43" s="1">
        <v>46238</v>
      </c>
      <c r="H43" s="1">
        <v>46239</v>
      </c>
      <c r="I43" t="s">
        <v>213</v>
      </c>
      <c r="J43" t="s">
        <v>214</v>
      </c>
      <c r="K43" t="s">
        <v>155</v>
      </c>
      <c r="L43" t="s">
        <v>215</v>
      </c>
      <c r="M43" t="s">
        <v>21</v>
      </c>
    </row>
    <row r="44" spans="1:13" hidden="1" x14ac:dyDescent="0.25">
      <c r="A44" s="1">
        <v>46238</v>
      </c>
      <c r="B44" t="s">
        <v>62</v>
      </c>
      <c r="C44" t="s">
        <v>63</v>
      </c>
      <c r="D44" t="s">
        <v>64</v>
      </c>
      <c r="E44" t="s">
        <v>16</v>
      </c>
      <c r="F44" s="1">
        <v>46219</v>
      </c>
      <c r="G44" s="1">
        <v>46248</v>
      </c>
      <c r="H44" s="1">
        <v>46249</v>
      </c>
      <c r="I44" t="s">
        <v>236</v>
      </c>
      <c r="J44" t="s">
        <v>237</v>
      </c>
      <c r="K44" t="s">
        <v>65</v>
      </c>
      <c r="L44" t="s">
        <v>239</v>
      </c>
      <c r="M44" t="s">
        <v>21</v>
      </c>
    </row>
    <row r="45" spans="1:13" hidden="1" x14ac:dyDescent="0.25">
      <c r="A45" s="1">
        <v>46238</v>
      </c>
      <c r="B45" t="s">
        <v>279</v>
      </c>
      <c r="C45" t="s">
        <v>4121</v>
      </c>
      <c r="D45" t="s">
        <v>59</v>
      </c>
      <c r="E45" t="s">
        <v>16</v>
      </c>
      <c r="F45" s="1">
        <v>46231</v>
      </c>
      <c r="G45" s="1">
        <v>46235</v>
      </c>
      <c r="H45" s="1">
        <v>46236</v>
      </c>
      <c r="I45" t="s">
        <v>276</v>
      </c>
      <c r="J45" t="s">
        <v>277</v>
      </c>
      <c r="K45" t="s">
        <v>281</v>
      </c>
      <c r="L45" t="s">
        <v>278</v>
      </c>
      <c r="M45" t="s">
        <v>21</v>
      </c>
    </row>
    <row r="46" spans="1:13" hidden="1" x14ac:dyDescent="0.25">
      <c r="A46" s="1">
        <v>46238</v>
      </c>
      <c r="B46" t="s">
        <v>288</v>
      </c>
      <c r="C46" t="s">
        <v>289</v>
      </c>
      <c r="D46" t="s">
        <v>272</v>
      </c>
      <c r="E46" t="s">
        <v>36</v>
      </c>
      <c r="F46" s="1">
        <v>46230</v>
      </c>
      <c r="G46" s="1">
        <v>46355</v>
      </c>
      <c r="H46" s="1">
        <v>46356</v>
      </c>
      <c r="I46" t="s">
        <v>285</v>
      </c>
      <c r="J46" t="s">
        <v>286</v>
      </c>
      <c r="K46" t="s">
        <v>290</v>
      </c>
      <c r="L46" t="s">
        <v>287</v>
      </c>
      <c r="M46" t="s">
        <v>21</v>
      </c>
    </row>
    <row r="47" spans="1:13" hidden="1" x14ac:dyDescent="0.25">
      <c r="A47" s="1">
        <v>46238</v>
      </c>
      <c r="B47" t="s">
        <v>291</v>
      </c>
      <c r="C47" t="s">
        <v>292</v>
      </c>
      <c r="D47" t="s">
        <v>272</v>
      </c>
      <c r="E47" t="s">
        <v>92</v>
      </c>
      <c r="F47" s="1">
        <v>46233</v>
      </c>
      <c r="G47" s="1">
        <v>46238</v>
      </c>
      <c r="H47" s="1">
        <v>46239</v>
      </c>
      <c r="I47" t="s">
        <v>321</v>
      </c>
      <c r="J47" t="s">
        <v>322</v>
      </c>
      <c r="K47" t="s">
        <v>293</v>
      </c>
      <c r="L47" t="s">
        <v>323</v>
      </c>
      <c r="M47" t="s">
        <v>21</v>
      </c>
    </row>
    <row r="48" spans="1:13" hidden="1" x14ac:dyDescent="0.25">
      <c r="A48" s="1">
        <v>46238</v>
      </c>
      <c r="B48" t="s">
        <v>26</v>
      </c>
      <c r="C48" t="s">
        <v>27</v>
      </c>
      <c r="D48" t="s">
        <v>28</v>
      </c>
      <c r="E48" t="s">
        <v>16</v>
      </c>
      <c r="F48" s="1">
        <v>46226</v>
      </c>
      <c r="G48" s="1">
        <v>46255</v>
      </c>
      <c r="H48" s="1">
        <v>46256</v>
      </c>
      <c r="J48" t="s">
        <v>327</v>
      </c>
      <c r="K48" t="s">
        <v>29</v>
      </c>
      <c r="M48" t="s">
        <v>21</v>
      </c>
    </row>
    <row r="49" spans="1:13" hidden="1" x14ac:dyDescent="0.25">
      <c r="A49" s="1">
        <v>46238</v>
      </c>
      <c r="B49" t="s">
        <v>122</v>
      </c>
      <c r="C49" t="s">
        <v>123</v>
      </c>
      <c r="D49" t="s">
        <v>124</v>
      </c>
      <c r="E49" t="s">
        <v>16</v>
      </c>
      <c r="F49" s="1">
        <v>46224</v>
      </c>
      <c r="G49" s="1">
        <v>46238</v>
      </c>
      <c r="H49" s="1">
        <v>46239</v>
      </c>
      <c r="J49" t="s">
        <v>327</v>
      </c>
      <c r="K49" t="s">
        <v>125</v>
      </c>
      <c r="M49" t="s">
        <v>21</v>
      </c>
    </row>
    <row r="50" spans="1:13" hidden="1" x14ac:dyDescent="0.25">
      <c r="A50" s="1">
        <v>46238</v>
      </c>
      <c r="B50" t="s">
        <v>49</v>
      </c>
      <c r="C50" t="s">
        <v>50</v>
      </c>
      <c r="D50" t="s">
        <v>51</v>
      </c>
      <c r="E50" t="s">
        <v>36</v>
      </c>
      <c r="F50" s="1">
        <v>46237</v>
      </c>
      <c r="G50" s="1">
        <v>46366</v>
      </c>
      <c r="H50" s="1">
        <v>46367</v>
      </c>
      <c r="J50" t="s">
        <v>327</v>
      </c>
      <c r="K50" t="s">
        <v>52</v>
      </c>
      <c r="M50" t="s">
        <v>21</v>
      </c>
    </row>
    <row r="51" spans="1:13" hidden="1" x14ac:dyDescent="0.25">
      <c r="A51" s="1">
        <v>46238</v>
      </c>
      <c r="B51" t="s">
        <v>94</v>
      </c>
      <c r="C51" t="s">
        <v>95</v>
      </c>
      <c r="D51" t="s">
        <v>82</v>
      </c>
      <c r="E51" t="s">
        <v>16</v>
      </c>
      <c r="F51" s="1">
        <v>46238</v>
      </c>
      <c r="G51" s="1">
        <v>46262</v>
      </c>
      <c r="H51" s="1">
        <v>46263</v>
      </c>
      <c r="J51" t="s">
        <v>327</v>
      </c>
      <c r="K51" t="s">
        <v>98</v>
      </c>
      <c r="M51" t="s">
        <v>21</v>
      </c>
    </row>
    <row r="52" spans="1:13" hidden="1" x14ac:dyDescent="0.25">
      <c r="A52" s="1">
        <v>46238</v>
      </c>
      <c r="B52" t="s">
        <v>130</v>
      </c>
      <c r="C52" t="s">
        <v>131</v>
      </c>
      <c r="D52" t="s">
        <v>132</v>
      </c>
      <c r="E52" t="s">
        <v>16</v>
      </c>
      <c r="F52" s="1">
        <v>46217</v>
      </c>
      <c r="G52" s="1">
        <v>46246</v>
      </c>
      <c r="H52" s="1">
        <v>46247</v>
      </c>
      <c r="J52" t="s">
        <v>327</v>
      </c>
      <c r="K52" t="s">
        <v>133</v>
      </c>
      <c r="M52" t="s">
        <v>21</v>
      </c>
    </row>
    <row r="53" spans="1:13" hidden="1" x14ac:dyDescent="0.25">
      <c r="A53" s="1">
        <v>46238</v>
      </c>
      <c r="B53" t="s">
        <v>137</v>
      </c>
      <c r="C53" t="s">
        <v>4117</v>
      </c>
      <c r="D53" t="s">
        <v>139</v>
      </c>
      <c r="E53" t="s">
        <v>16</v>
      </c>
      <c r="F53" s="1">
        <v>46234</v>
      </c>
      <c r="G53" s="1">
        <v>46237</v>
      </c>
      <c r="H53" s="1">
        <v>46238</v>
      </c>
      <c r="J53" t="s">
        <v>327</v>
      </c>
      <c r="K53" t="s">
        <v>140</v>
      </c>
      <c r="M53" t="s">
        <v>21</v>
      </c>
    </row>
    <row r="54" spans="1:13" hidden="1" x14ac:dyDescent="0.25">
      <c r="A54" s="1">
        <v>46238</v>
      </c>
      <c r="B54" t="s">
        <v>70</v>
      </c>
      <c r="C54" t="s">
        <v>71</v>
      </c>
      <c r="D54" t="s">
        <v>55</v>
      </c>
      <c r="E54" t="s">
        <v>16</v>
      </c>
      <c r="F54" s="1">
        <v>46226</v>
      </c>
      <c r="G54" s="1">
        <v>46246</v>
      </c>
      <c r="H54" s="1">
        <v>46247</v>
      </c>
      <c r="J54" t="s">
        <v>327</v>
      </c>
      <c r="K54" t="s">
        <v>72</v>
      </c>
      <c r="M54" t="s">
        <v>21</v>
      </c>
    </row>
    <row r="55" spans="1:13" hidden="1" x14ac:dyDescent="0.25">
      <c r="A55" s="1">
        <v>46238</v>
      </c>
      <c r="B55" t="s">
        <v>219</v>
      </c>
      <c r="C55" t="s">
        <v>220</v>
      </c>
      <c r="D55" t="s">
        <v>55</v>
      </c>
      <c r="E55" t="s">
        <v>16</v>
      </c>
      <c r="F55" s="1">
        <v>46225</v>
      </c>
      <c r="G55" s="1">
        <v>46239</v>
      </c>
      <c r="H55" s="1">
        <v>46240</v>
      </c>
      <c r="J55" t="s">
        <v>327</v>
      </c>
      <c r="M55" t="s">
        <v>21</v>
      </c>
    </row>
    <row r="56" spans="1:13" hidden="1" x14ac:dyDescent="0.25">
      <c r="A56" s="1">
        <v>46238</v>
      </c>
      <c r="B56" t="s">
        <v>76</v>
      </c>
      <c r="C56" t="s">
        <v>77</v>
      </c>
      <c r="D56" t="s">
        <v>78</v>
      </c>
      <c r="E56" t="s">
        <v>16</v>
      </c>
      <c r="F56" s="1">
        <v>46237</v>
      </c>
      <c r="G56" s="1">
        <v>46241</v>
      </c>
      <c r="H56" s="1">
        <v>46242</v>
      </c>
      <c r="J56" t="s">
        <v>4088</v>
      </c>
      <c r="K56" t="s">
        <v>79</v>
      </c>
      <c r="M56" t="s">
        <v>21</v>
      </c>
    </row>
    <row r="57" spans="1:13" hidden="1" x14ac:dyDescent="0.25">
      <c r="A57" s="1">
        <v>46238</v>
      </c>
      <c r="B57" t="s">
        <v>207</v>
      </c>
      <c r="C57" t="s">
        <v>208</v>
      </c>
      <c r="D57" t="s">
        <v>28</v>
      </c>
      <c r="E57" t="s">
        <v>16</v>
      </c>
      <c r="F57" s="1">
        <v>46235</v>
      </c>
      <c r="G57" s="1">
        <v>46240</v>
      </c>
      <c r="H57" s="1">
        <v>46241</v>
      </c>
      <c r="J57" t="s">
        <v>4089</v>
      </c>
      <c r="K57" t="s">
        <v>211</v>
      </c>
      <c r="M57" t="s">
        <v>21</v>
      </c>
    </row>
    <row r="58" spans="1:13" hidden="1" x14ac:dyDescent="0.25">
      <c r="A58" s="1">
        <v>46238</v>
      </c>
      <c r="B58" t="s">
        <v>312</v>
      </c>
      <c r="C58" t="s">
        <v>332</v>
      </c>
      <c r="D58" t="s">
        <v>143</v>
      </c>
      <c r="E58" t="s">
        <v>16</v>
      </c>
      <c r="F58" s="1">
        <v>46237</v>
      </c>
      <c r="G58" s="1">
        <v>46240</v>
      </c>
      <c r="H58" s="1">
        <v>46241</v>
      </c>
      <c r="J58" t="s">
        <v>4096</v>
      </c>
      <c r="K58" t="s">
        <v>316</v>
      </c>
      <c r="M58" t="s">
        <v>21</v>
      </c>
    </row>
    <row r="59" spans="1:13" hidden="1" x14ac:dyDescent="0.25">
      <c r="A59" s="1">
        <v>46238</v>
      </c>
      <c r="B59" t="s">
        <v>37</v>
      </c>
      <c r="C59" t="s">
        <v>38</v>
      </c>
      <c r="D59" t="s">
        <v>39</v>
      </c>
      <c r="E59" t="s">
        <v>36</v>
      </c>
      <c r="F59" s="1">
        <v>46217</v>
      </c>
      <c r="G59" s="1">
        <v>46342</v>
      </c>
      <c r="H59" s="1">
        <v>46343</v>
      </c>
      <c r="J59" t="s">
        <v>149</v>
      </c>
      <c r="K59" t="s">
        <v>40</v>
      </c>
      <c r="M59" t="s">
        <v>21</v>
      </c>
    </row>
    <row r="60" spans="1:13" hidden="1" x14ac:dyDescent="0.25">
      <c r="A60" s="1">
        <v>46239</v>
      </c>
      <c r="B60" t="s">
        <v>53</v>
      </c>
      <c r="C60" t="s">
        <v>88</v>
      </c>
      <c r="D60" t="s">
        <v>55</v>
      </c>
      <c r="E60" t="s">
        <v>16</v>
      </c>
      <c r="F60" s="1">
        <v>46229</v>
      </c>
      <c r="G60" s="1">
        <v>46258</v>
      </c>
      <c r="H60" s="1">
        <v>46259</v>
      </c>
      <c r="I60" t="s">
        <v>107</v>
      </c>
      <c r="J60" t="s">
        <v>108</v>
      </c>
      <c r="K60" t="s">
        <v>56</v>
      </c>
      <c r="L60" t="s">
        <v>109</v>
      </c>
      <c r="M60" t="s">
        <v>21</v>
      </c>
    </row>
    <row r="61" spans="1:13" hidden="1" x14ac:dyDescent="0.25">
      <c r="A61" s="1">
        <v>46239</v>
      </c>
      <c r="B61" t="s">
        <v>30</v>
      </c>
      <c r="C61" t="s">
        <v>61</v>
      </c>
      <c r="D61" t="s">
        <v>28</v>
      </c>
      <c r="E61" t="s">
        <v>24</v>
      </c>
      <c r="F61" s="1">
        <v>46230</v>
      </c>
      <c r="G61" s="1">
        <v>46262</v>
      </c>
      <c r="H61" s="1">
        <v>46263</v>
      </c>
      <c r="I61" t="s">
        <v>150</v>
      </c>
      <c r="J61" t="s">
        <v>151</v>
      </c>
      <c r="K61" t="s">
        <v>32</v>
      </c>
      <c r="L61" t="s">
        <v>152</v>
      </c>
      <c r="M61" t="s">
        <v>21</v>
      </c>
    </row>
    <row r="62" spans="1:13" hidden="1" x14ac:dyDescent="0.25">
      <c r="A62" s="1">
        <v>46239</v>
      </c>
      <c r="B62" t="s">
        <v>42</v>
      </c>
      <c r="C62" t="s">
        <v>43</v>
      </c>
      <c r="D62" t="s">
        <v>44</v>
      </c>
      <c r="E62" t="s">
        <v>16</v>
      </c>
      <c r="F62" s="1">
        <v>46234</v>
      </c>
      <c r="G62" s="1">
        <v>46240</v>
      </c>
      <c r="H62" s="1">
        <v>46241</v>
      </c>
      <c r="I62" t="s">
        <v>199</v>
      </c>
      <c r="J62" t="s">
        <v>200</v>
      </c>
      <c r="K62" t="s">
        <v>47</v>
      </c>
      <c r="L62" t="s">
        <v>201</v>
      </c>
      <c r="M62" t="s">
        <v>21</v>
      </c>
    </row>
    <row r="63" spans="1:13" hidden="1" x14ac:dyDescent="0.25">
      <c r="A63" s="1">
        <v>46239</v>
      </c>
      <c r="B63" t="s">
        <v>153</v>
      </c>
      <c r="C63" t="s">
        <v>154</v>
      </c>
      <c r="D63" t="s">
        <v>28</v>
      </c>
      <c r="E63" t="s">
        <v>16</v>
      </c>
      <c r="F63" s="1">
        <v>46209</v>
      </c>
      <c r="G63" s="1">
        <v>46238</v>
      </c>
      <c r="H63" s="1">
        <v>46239</v>
      </c>
      <c r="I63" t="s">
        <v>213</v>
      </c>
      <c r="J63" t="s">
        <v>214</v>
      </c>
      <c r="K63" t="s">
        <v>155</v>
      </c>
      <c r="L63" t="s">
        <v>215</v>
      </c>
      <c r="M63" t="s">
        <v>21</v>
      </c>
    </row>
    <row r="64" spans="1:13" hidden="1" x14ac:dyDescent="0.25">
      <c r="A64" s="1">
        <v>46239</v>
      </c>
      <c r="B64" t="s">
        <v>62</v>
      </c>
      <c r="C64" t="s">
        <v>63</v>
      </c>
      <c r="D64" t="s">
        <v>64</v>
      </c>
      <c r="E64" t="s">
        <v>16</v>
      </c>
      <c r="F64" s="1">
        <v>46219</v>
      </c>
      <c r="G64" s="1">
        <v>46248</v>
      </c>
      <c r="H64" s="1">
        <v>46249</v>
      </c>
      <c r="I64" t="s">
        <v>236</v>
      </c>
      <c r="J64" t="s">
        <v>237</v>
      </c>
      <c r="K64" t="s">
        <v>65</v>
      </c>
      <c r="L64" t="s">
        <v>239</v>
      </c>
      <c r="M64" t="s">
        <v>21</v>
      </c>
    </row>
    <row r="65" spans="1:13" hidden="1" x14ac:dyDescent="0.25">
      <c r="A65" s="1">
        <v>46239</v>
      </c>
      <c r="B65" t="s">
        <v>270</v>
      </c>
      <c r="C65" t="s">
        <v>271</v>
      </c>
      <c r="D65" t="s">
        <v>272</v>
      </c>
      <c r="E65" t="s">
        <v>16</v>
      </c>
      <c r="F65" s="1">
        <v>46238</v>
      </c>
      <c r="G65" s="1">
        <v>46295</v>
      </c>
      <c r="H65" s="1">
        <v>46296</v>
      </c>
      <c r="I65" t="s">
        <v>267</v>
      </c>
      <c r="J65" t="s">
        <v>268</v>
      </c>
      <c r="L65" t="s">
        <v>269</v>
      </c>
      <c r="M65" t="s">
        <v>21</v>
      </c>
    </row>
    <row r="66" spans="1:13" hidden="1" x14ac:dyDescent="0.25">
      <c r="A66" s="1">
        <v>46239</v>
      </c>
      <c r="B66" t="s">
        <v>291</v>
      </c>
      <c r="C66" t="s">
        <v>292</v>
      </c>
      <c r="D66" t="s">
        <v>272</v>
      </c>
      <c r="E66" t="s">
        <v>92</v>
      </c>
      <c r="F66" s="1">
        <v>46233</v>
      </c>
      <c r="G66" s="1">
        <v>46238</v>
      </c>
      <c r="H66" s="1">
        <v>46239</v>
      </c>
      <c r="I66" t="s">
        <v>321</v>
      </c>
      <c r="J66" t="s">
        <v>322</v>
      </c>
      <c r="K66" t="s">
        <v>293</v>
      </c>
      <c r="L66" t="s">
        <v>323</v>
      </c>
      <c r="M66" t="s">
        <v>21</v>
      </c>
    </row>
    <row r="67" spans="1:13" hidden="1" x14ac:dyDescent="0.25">
      <c r="A67" s="1">
        <v>46239</v>
      </c>
      <c r="B67" t="s">
        <v>26</v>
      </c>
      <c r="C67" t="s">
        <v>27</v>
      </c>
      <c r="D67" t="s">
        <v>28</v>
      </c>
      <c r="E67" t="s">
        <v>16</v>
      </c>
      <c r="F67" s="1">
        <v>46226</v>
      </c>
      <c r="G67" s="1">
        <v>46255</v>
      </c>
      <c r="H67" s="1">
        <v>46256</v>
      </c>
      <c r="J67" t="s">
        <v>327</v>
      </c>
      <c r="K67" t="s">
        <v>29</v>
      </c>
      <c r="M67" t="s">
        <v>21</v>
      </c>
    </row>
    <row r="68" spans="1:13" hidden="1" x14ac:dyDescent="0.25">
      <c r="A68" s="1">
        <v>46239</v>
      </c>
      <c r="B68" t="s">
        <v>122</v>
      </c>
      <c r="C68" t="s">
        <v>123</v>
      </c>
      <c r="D68" t="s">
        <v>124</v>
      </c>
      <c r="E68" t="s">
        <v>16</v>
      </c>
      <c r="F68" s="1">
        <v>46224</v>
      </c>
      <c r="G68" s="1">
        <v>46238</v>
      </c>
      <c r="H68" s="1">
        <v>46239</v>
      </c>
      <c r="J68" t="s">
        <v>327</v>
      </c>
      <c r="K68" t="s">
        <v>125</v>
      </c>
      <c r="M68" t="s">
        <v>21</v>
      </c>
    </row>
    <row r="69" spans="1:13" hidden="1" x14ac:dyDescent="0.25">
      <c r="A69" s="1">
        <v>46239</v>
      </c>
      <c r="B69" t="s">
        <v>49</v>
      </c>
      <c r="C69" t="s">
        <v>50</v>
      </c>
      <c r="D69" t="s">
        <v>51</v>
      </c>
      <c r="E69" t="s">
        <v>36</v>
      </c>
      <c r="F69" s="1">
        <v>46237</v>
      </c>
      <c r="G69" s="1">
        <v>46366</v>
      </c>
      <c r="H69" s="1">
        <v>46367</v>
      </c>
      <c r="J69" t="s">
        <v>327</v>
      </c>
      <c r="K69" t="s">
        <v>52</v>
      </c>
      <c r="M69" t="s">
        <v>21</v>
      </c>
    </row>
    <row r="70" spans="1:13" hidden="1" x14ac:dyDescent="0.25">
      <c r="A70" s="1">
        <v>46239</v>
      </c>
      <c r="B70" t="s">
        <v>94</v>
      </c>
      <c r="C70" t="s">
        <v>95</v>
      </c>
      <c r="D70" t="s">
        <v>82</v>
      </c>
      <c r="E70" t="s">
        <v>16</v>
      </c>
      <c r="F70" s="1">
        <v>46238</v>
      </c>
      <c r="G70" s="1">
        <v>46262</v>
      </c>
      <c r="H70" s="1">
        <v>46263</v>
      </c>
      <c r="J70" t="s">
        <v>327</v>
      </c>
      <c r="K70" t="s">
        <v>98</v>
      </c>
      <c r="M70" t="s">
        <v>21</v>
      </c>
    </row>
    <row r="71" spans="1:13" hidden="1" x14ac:dyDescent="0.25">
      <c r="A71" s="1">
        <v>46239</v>
      </c>
      <c r="B71" t="s">
        <v>130</v>
      </c>
      <c r="C71" t="s">
        <v>131</v>
      </c>
      <c r="D71" t="s">
        <v>132</v>
      </c>
      <c r="E71" t="s">
        <v>16</v>
      </c>
      <c r="F71" s="1">
        <v>46217</v>
      </c>
      <c r="G71" s="1">
        <v>46246</v>
      </c>
      <c r="H71" s="1">
        <v>46247</v>
      </c>
      <c r="J71" t="s">
        <v>327</v>
      </c>
      <c r="K71" t="s">
        <v>133</v>
      </c>
      <c r="M71" t="s">
        <v>21</v>
      </c>
    </row>
    <row r="72" spans="1:13" hidden="1" x14ac:dyDescent="0.25">
      <c r="A72" s="1">
        <v>46239</v>
      </c>
      <c r="B72" t="s">
        <v>70</v>
      </c>
      <c r="C72" t="s">
        <v>71</v>
      </c>
      <c r="D72" t="s">
        <v>55</v>
      </c>
      <c r="E72" t="s">
        <v>16</v>
      </c>
      <c r="F72" s="1">
        <v>46226</v>
      </c>
      <c r="G72" s="1">
        <v>46246</v>
      </c>
      <c r="H72" s="1">
        <v>46247</v>
      </c>
      <c r="J72" t="s">
        <v>327</v>
      </c>
      <c r="K72" t="s">
        <v>72</v>
      </c>
      <c r="M72" t="s">
        <v>21</v>
      </c>
    </row>
    <row r="73" spans="1:13" hidden="1" x14ac:dyDescent="0.25">
      <c r="A73" s="1">
        <v>46239</v>
      </c>
      <c r="B73" t="s">
        <v>219</v>
      </c>
      <c r="C73" t="s">
        <v>220</v>
      </c>
      <c r="D73" t="s">
        <v>55</v>
      </c>
      <c r="E73" t="s">
        <v>16</v>
      </c>
      <c r="F73" s="1">
        <v>46225</v>
      </c>
      <c r="G73" s="1">
        <v>46239</v>
      </c>
      <c r="H73" s="1">
        <v>46240</v>
      </c>
      <c r="J73" t="s">
        <v>327</v>
      </c>
      <c r="M73" t="s">
        <v>21</v>
      </c>
    </row>
    <row r="74" spans="1:13" hidden="1" x14ac:dyDescent="0.25">
      <c r="A74" s="1">
        <v>46239</v>
      </c>
      <c r="B74" t="s">
        <v>76</v>
      </c>
      <c r="C74" t="s">
        <v>77</v>
      </c>
      <c r="D74" t="s">
        <v>78</v>
      </c>
      <c r="E74" t="s">
        <v>16</v>
      </c>
      <c r="F74" s="1">
        <v>46237</v>
      </c>
      <c r="G74" s="1">
        <v>46241</v>
      </c>
      <c r="H74" s="1">
        <v>46242</v>
      </c>
      <c r="J74" t="s">
        <v>4088</v>
      </c>
      <c r="K74" t="s">
        <v>79</v>
      </c>
      <c r="M74" t="s">
        <v>21</v>
      </c>
    </row>
    <row r="75" spans="1:13" hidden="1" x14ac:dyDescent="0.25">
      <c r="A75" s="1">
        <v>46239</v>
      </c>
      <c r="B75" t="s">
        <v>207</v>
      </c>
      <c r="C75" t="s">
        <v>208</v>
      </c>
      <c r="D75" t="s">
        <v>28</v>
      </c>
      <c r="E75" t="s">
        <v>16</v>
      </c>
      <c r="F75" s="1">
        <v>46235</v>
      </c>
      <c r="G75" s="1">
        <v>46240</v>
      </c>
      <c r="H75" s="1">
        <v>46241</v>
      </c>
      <c r="J75" t="s">
        <v>4089</v>
      </c>
      <c r="K75" t="s">
        <v>211</v>
      </c>
      <c r="M75" t="s">
        <v>21</v>
      </c>
    </row>
    <row r="76" spans="1:13" hidden="1" x14ac:dyDescent="0.25">
      <c r="A76" s="1">
        <v>46239</v>
      </c>
      <c r="B76" t="s">
        <v>312</v>
      </c>
      <c r="C76" t="s">
        <v>313</v>
      </c>
      <c r="D76" t="s">
        <v>143</v>
      </c>
      <c r="E76" t="s">
        <v>16</v>
      </c>
      <c r="F76" s="1">
        <v>46237</v>
      </c>
      <c r="G76" s="1">
        <v>46240</v>
      </c>
      <c r="H76" s="1">
        <v>46241</v>
      </c>
      <c r="J76" t="s">
        <v>4096</v>
      </c>
      <c r="K76" t="s">
        <v>316</v>
      </c>
      <c r="M76" t="s">
        <v>21</v>
      </c>
    </row>
    <row r="77" spans="1:13" hidden="1" x14ac:dyDescent="0.25">
      <c r="A77" s="1">
        <v>46239</v>
      </c>
      <c r="B77" t="s">
        <v>37</v>
      </c>
      <c r="C77" t="s">
        <v>38</v>
      </c>
      <c r="D77" t="s">
        <v>39</v>
      </c>
      <c r="E77" t="s">
        <v>36</v>
      </c>
      <c r="F77" s="1">
        <v>46217</v>
      </c>
      <c r="G77" s="1">
        <v>46342</v>
      </c>
      <c r="H77" s="1">
        <v>46343</v>
      </c>
      <c r="J77" t="s">
        <v>149</v>
      </c>
      <c r="K77" t="s">
        <v>40</v>
      </c>
      <c r="M77" t="s">
        <v>21</v>
      </c>
    </row>
    <row r="78" spans="1:13" hidden="1" x14ac:dyDescent="0.25">
      <c r="A78" s="1">
        <v>46240</v>
      </c>
      <c r="B78" t="s">
        <v>53</v>
      </c>
      <c r="C78" t="s">
        <v>88</v>
      </c>
      <c r="D78" t="s">
        <v>55</v>
      </c>
      <c r="E78" t="s">
        <v>16</v>
      </c>
      <c r="F78" s="1">
        <v>46229</v>
      </c>
      <c r="G78" s="1">
        <v>46258</v>
      </c>
      <c r="H78" s="1">
        <v>46259</v>
      </c>
      <c r="I78" t="s">
        <v>107</v>
      </c>
      <c r="J78" t="s">
        <v>108</v>
      </c>
      <c r="K78" t="s">
        <v>56</v>
      </c>
      <c r="L78" t="s">
        <v>109</v>
      </c>
      <c r="M78" t="s">
        <v>21</v>
      </c>
    </row>
    <row r="79" spans="1:13" hidden="1" x14ac:dyDescent="0.25">
      <c r="A79" s="1">
        <v>46240</v>
      </c>
      <c r="B79" t="s">
        <v>30</v>
      </c>
      <c r="C79" t="s">
        <v>61</v>
      </c>
      <c r="D79" t="s">
        <v>28</v>
      </c>
      <c r="E79" t="s">
        <v>24</v>
      </c>
      <c r="F79" s="1">
        <v>46230</v>
      </c>
      <c r="G79" s="1">
        <v>46262</v>
      </c>
      <c r="H79" s="1">
        <v>46263</v>
      </c>
      <c r="I79" t="s">
        <v>150</v>
      </c>
      <c r="J79" t="s">
        <v>151</v>
      </c>
      <c r="K79" t="s">
        <v>32</v>
      </c>
      <c r="L79" t="s">
        <v>152</v>
      </c>
      <c r="M79" t="s">
        <v>21</v>
      </c>
    </row>
    <row r="80" spans="1:13" hidden="1" x14ac:dyDescent="0.25">
      <c r="A80" s="1">
        <v>46240</v>
      </c>
      <c r="B80" t="s">
        <v>42</v>
      </c>
      <c r="C80" t="s">
        <v>43</v>
      </c>
      <c r="D80" t="s">
        <v>44</v>
      </c>
      <c r="E80" t="s">
        <v>16</v>
      </c>
      <c r="F80" s="1">
        <v>46234</v>
      </c>
      <c r="G80" s="1">
        <v>46240</v>
      </c>
      <c r="H80" s="1">
        <v>46241</v>
      </c>
      <c r="I80" t="s">
        <v>199</v>
      </c>
      <c r="J80" t="s">
        <v>200</v>
      </c>
      <c r="K80" t="s">
        <v>47</v>
      </c>
      <c r="L80" t="s">
        <v>201</v>
      </c>
      <c r="M80" t="s">
        <v>21</v>
      </c>
    </row>
    <row r="81" spans="1:13" hidden="1" x14ac:dyDescent="0.25">
      <c r="A81" s="1">
        <v>46240</v>
      </c>
      <c r="B81" t="s">
        <v>62</v>
      </c>
      <c r="C81" t="s">
        <v>63</v>
      </c>
      <c r="D81" t="s">
        <v>64</v>
      </c>
      <c r="E81" t="s">
        <v>16</v>
      </c>
      <c r="F81" s="1">
        <v>46219</v>
      </c>
      <c r="G81" s="1">
        <v>46248</v>
      </c>
      <c r="H81" s="1">
        <v>46249</v>
      </c>
      <c r="I81" t="s">
        <v>236</v>
      </c>
      <c r="J81" t="s">
        <v>237</v>
      </c>
      <c r="K81" t="s">
        <v>65</v>
      </c>
      <c r="L81" t="s">
        <v>239</v>
      </c>
      <c r="M81" t="s">
        <v>21</v>
      </c>
    </row>
    <row r="82" spans="1:13" hidden="1" x14ac:dyDescent="0.25">
      <c r="A82" s="1">
        <v>46240</v>
      </c>
      <c r="B82" t="s">
        <v>122</v>
      </c>
      <c r="C82" t="s">
        <v>123</v>
      </c>
      <c r="D82" t="s">
        <v>124</v>
      </c>
      <c r="E82" t="s">
        <v>16</v>
      </c>
      <c r="F82" s="1">
        <v>46239</v>
      </c>
      <c r="G82" s="1">
        <v>46245</v>
      </c>
      <c r="H82" s="1">
        <v>46246</v>
      </c>
      <c r="I82" t="s">
        <v>273</v>
      </c>
      <c r="J82" t="s">
        <v>274</v>
      </c>
      <c r="K82" t="s">
        <v>125</v>
      </c>
      <c r="L82" t="s">
        <v>275</v>
      </c>
      <c r="M82" t="s">
        <v>21</v>
      </c>
    </row>
    <row r="83" spans="1:13" hidden="1" x14ac:dyDescent="0.25">
      <c r="A83" s="1">
        <v>46240</v>
      </c>
      <c r="B83" t="s">
        <v>66</v>
      </c>
      <c r="C83" t="s">
        <v>84</v>
      </c>
      <c r="D83" t="s">
        <v>68</v>
      </c>
      <c r="E83" t="s">
        <v>24</v>
      </c>
      <c r="F83" s="1">
        <v>46240</v>
      </c>
      <c r="G83" s="1">
        <v>46265</v>
      </c>
      <c r="H83" s="1">
        <v>46266</v>
      </c>
      <c r="I83" t="s">
        <v>309</v>
      </c>
      <c r="J83" t="s">
        <v>310</v>
      </c>
      <c r="K83" t="s">
        <v>69</v>
      </c>
      <c r="L83" t="s">
        <v>311</v>
      </c>
      <c r="M83" t="s">
        <v>21</v>
      </c>
    </row>
    <row r="84" spans="1:13" hidden="1" x14ac:dyDescent="0.25">
      <c r="A84" s="1">
        <v>46240</v>
      </c>
      <c r="B84" t="s">
        <v>26</v>
      </c>
      <c r="C84" t="s">
        <v>27</v>
      </c>
      <c r="D84" t="s">
        <v>28</v>
      </c>
      <c r="E84" t="s">
        <v>16</v>
      </c>
      <c r="F84" s="1">
        <v>46226</v>
      </c>
      <c r="G84" s="1">
        <v>46255</v>
      </c>
      <c r="H84" s="1">
        <v>46256</v>
      </c>
      <c r="J84" t="s">
        <v>327</v>
      </c>
      <c r="K84" t="s">
        <v>29</v>
      </c>
      <c r="M84" t="s">
        <v>21</v>
      </c>
    </row>
    <row r="85" spans="1:13" hidden="1" x14ac:dyDescent="0.25">
      <c r="A85" s="1">
        <v>46240</v>
      </c>
      <c r="B85" t="s">
        <v>49</v>
      </c>
      <c r="C85" t="s">
        <v>50</v>
      </c>
      <c r="D85" t="s">
        <v>51</v>
      </c>
      <c r="E85" t="s">
        <v>36</v>
      </c>
      <c r="F85" s="1">
        <v>46237</v>
      </c>
      <c r="G85" s="1">
        <v>46366</v>
      </c>
      <c r="H85" s="1">
        <v>46367</v>
      </c>
      <c r="J85" t="s">
        <v>327</v>
      </c>
      <c r="K85" t="s">
        <v>52</v>
      </c>
      <c r="M85" t="s">
        <v>21</v>
      </c>
    </row>
    <row r="86" spans="1:13" hidden="1" x14ac:dyDescent="0.25">
      <c r="A86" s="1">
        <v>46240</v>
      </c>
      <c r="B86" t="s">
        <v>94</v>
      </c>
      <c r="C86" t="s">
        <v>95</v>
      </c>
      <c r="D86" t="s">
        <v>82</v>
      </c>
      <c r="E86" t="s">
        <v>16</v>
      </c>
      <c r="F86" s="1">
        <v>46238</v>
      </c>
      <c r="G86" s="1">
        <v>46262</v>
      </c>
      <c r="H86" s="1">
        <v>46263</v>
      </c>
      <c r="J86" t="s">
        <v>327</v>
      </c>
      <c r="K86" t="s">
        <v>98</v>
      </c>
      <c r="M86" t="s">
        <v>21</v>
      </c>
    </row>
    <row r="87" spans="1:13" hidden="1" x14ac:dyDescent="0.25">
      <c r="A87" s="1">
        <v>46240</v>
      </c>
      <c r="B87" t="s">
        <v>130</v>
      </c>
      <c r="C87" t="s">
        <v>131</v>
      </c>
      <c r="D87" t="s">
        <v>132</v>
      </c>
      <c r="E87" t="s">
        <v>16</v>
      </c>
      <c r="F87" s="1">
        <v>46217</v>
      </c>
      <c r="G87" s="1">
        <v>46246</v>
      </c>
      <c r="H87" s="1">
        <v>46247</v>
      </c>
      <c r="J87" t="s">
        <v>327</v>
      </c>
      <c r="K87" t="s">
        <v>133</v>
      </c>
      <c r="M87" t="s">
        <v>21</v>
      </c>
    </row>
    <row r="88" spans="1:13" hidden="1" x14ac:dyDescent="0.25">
      <c r="A88" s="1">
        <v>46240</v>
      </c>
      <c r="B88" t="s">
        <v>70</v>
      </c>
      <c r="C88" t="s">
        <v>71</v>
      </c>
      <c r="D88" t="s">
        <v>55</v>
      </c>
      <c r="E88" t="s">
        <v>16</v>
      </c>
      <c r="F88" s="1">
        <v>46226</v>
      </c>
      <c r="G88" s="1">
        <v>46246</v>
      </c>
      <c r="H88" s="1">
        <v>46247</v>
      </c>
      <c r="J88" t="s">
        <v>327</v>
      </c>
      <c r="K88" t="s">
        <v>72</v>
      </c>
      <c r="M88" t="s">
        <v>21</v>
      </c>
    </row>
    <row r="89" spans="1:13" hidden="1" x14ac:dyDescent="0.25">
      <c r="A89" s="1">
        <v>46240</v>
      </c>
      <c r="B89" t="s">
        <v>219</v>
      </c>
      <c r="C89" t="s">
        <v>220</v>
      </c>
      <c r="D89" t="s">
        <v>55</v>
      </c>
      <c r="E89" t="s">
        <v>16</v>
      </c>
      <c r="F89" s="1">
        <v>46225</v>
      </c>
      <c r="G89" s="1">
        <v>46239</v>
      </c>
      <c r="H89" s="1">
        <v>46240</v>
      </c>
      <c r="J89" t="s">
        <v>327</v>
      </c>
      <c r="M89" t="s">
        <v>21</v>
      </c>
    </row>
    <row r="90" spans="1:13" hidden="1" x14ac:dyDescent="0.25">
      <c r="A90" s="1">
        <v>46240</v>
      </c>
      <c r="B90" t="s">
        <v>76</v>
      </c>
      <c r="C90" t="s">
        <v>77</v>
      </c>
      <c r="D90" t="s">
        <v>78</v>
      </c>
      <c r="E90" t="s">
        <v>16</v>
      </c>
      <c r="F90" s="1">
        <v>46237</v>
      </c>
      <c r="G90" s="1">
        <v>46241</v>
      </c>
      <c r="H90" s="1">
        <v>46242</v>
      </c>
      <c r="J90" t="s">
        <v>4088</v>
      </c>
      <c r="K90" t="s">
        <v>79</v>
      </c>
      <c r="M90" t="s">
        <v>21</v>
      </c>
    </row>
    <row r="91" spans="1:13" hidden="1" x14ac:dyDescent="0.25">
      <c r="A91" s="1">
        <v>46240</v>
      </c>
      <c r="B91" t="s">
        <v>207</v>
      </c>
      <c r="C91" t="s">
        <v>208</v>
      </c>
      <c r="D91" t="s">
        <v>28</v>
      </c>
      <c r="E91" t="s">
        <v>16</v>
      </c>
      <c r="F91" s="1">
        <v>46235</v>
      </c>
      <c r="G91" s="1">
        <v>46240</v>
      </c>
      <c r="H91" s="1">
        <v>46241</v>
      </c>
      <c r="J91" t="s">
        <v>4089</v>
      </c>
      <c r="K91" t="s">
        <v>211</v>
      </c>
      <c r="M91" t="s">
        <v>21</v>
      </c>
    </row>
    <row r="92" spans="1:13" hidden="1" x14ac:dyDescent="0.25">
      <c r="A92" s="1">
        <v>46240</v>
      </c>
      <c r="B92" t="s">
        <v>312</v>
      </c>
      <c r="C92" t="s">
        <v>313</v>
      </c>
      <c r="D92" t="s">
        <v>143</v>
      </c>
      <c r="E92" t="s">
        <v>16</v>
      </c>
      <c r="F92" s="1">
        <v>46237</v>
      </c>
      <c r="G92" s="1">
        <v>46240</v>
      </c>
      <c r="H92" s="1">
        <v>46241</v>
      </c>
      <c r="J92" t="s">
        <v>4096</v>
      </c>
      <c r="K92" t="s">
        <v>316</v>
      </c>
      <c r="M92" t="s">
        <v>21</v>
      </c>
    </row>
    <row r="93" spans="1:13" hidden="1" x14ac:dyDescent="0.25">
      <c r="A93" s="1">
        <v>46240</v>
      </c>
      <c r="B93" t="s">
        <v>37</v>
      </c>
      <c r="C93" t="s">
        <v>38</v>
      </c>
      <c r="D93" t="s">
        <v>39</v>
      </c>
      <c r="E93" t="s">
        <v>36</v>
      </c>
      <c r="F93" s="1">
        <v>46217</v>
      </c>
      <c r="G93" s="1">
        <v>46342</v>
      </c>
      <c r="H93" s="1">
        <v>46343</v>
      </c>
      <c r="J93" t="s">
        <v>149</v>
      </c>
      <c r="K93" t="s">
        <v>40</v>
      </c>
      <c r="M93" t="s">
        <v>21</v>
      </c>
    </row>
    <row r="94" spans="1:13" hidden="1" x14ac:dyDescent="0.25">
      <c r="A94" s="1">
        <v>46242</v>
      </c>
      <c r="B94" t="s">
        <v>13</v>
      </c>
      <c r="C94" t="s">
        <v>14</v>
      </c>
      <c r="D94" t="s">
        <v>15</v>
      </c>
      <c r="E94" t="s">
        <v>16</v>
      </c>
      <c r="F94" s="1">
        <v>46239</v>
      </c>
      <c r="G94" s="1">
        <v>46246</v>
      </c>
      <c r="H94" s="1">
        <v>46247</v>
      </c>
      <c r="I94" t="s">
        <v>17</v>
      </c>
      <c r="J94" t="s">
        <v>18</v>
      </c>
      <c r="K94" t="s">
        <v>19</v>
      </c>
      <c r="L94" t="s">
        <v>20</v>
      </c>
      <c r="M94" t="s">
        <v>21</v>
      </c>
    </row>
    <row r="95" spans="1:13" hidden="1" x14ac:dyDescent="0.25">
      <c r="A95" s="1">
        <v>46242</v>
      </c>
      <c r="B95" t="s">
        <v>53</v>
      </c>
      <c r="C95" t="s">
        <v>88</v>
      </c>
      <c r="D95" t="s">
        <v>55</v>
      </c>
      <c r="E95" t="s">
        <v>16</v>
      </c>
      <c r="F95" s="1">
        <v>46229</v>
      </c>
      <c r="G95" s="1">
        <v>46258</v>
      </c>
      <c r="H95" s="1">
        <v>46259</v>
      </c>
      <c r="I95" t="s">
        <v>107</v>
      </c>
      <c r="J95" t="s">
        <v>108</v>
      </c>
      <c r="K95" t="s">
        <v>56</v>
      </c>
      <c r="L95" t="s">
        <v>109</v>
      </c>
      <c r="M95" t="s">
        <v>21</v>
      </c>
    </row>
    <row r="96" spans="1:13" hidden="1" x14ac:dyDescent="0.25">
      <c r="A96" s="1">
        <v>46242</v>
      </c>
      <c r="B96" t="s">
        <v>30</v>
      </c>
      <c r="C96" t="s">
        <v>61</v>
      </c>
      <c r="D96" t="s">
        <v>28</v>
      </c>
      <c r="E96" t="s">
        <v>24</v>
      </c>
      <c r="F96" s="1">
        <v>46230</v>
      </c>
      <c r="G96" s="1">
        <v>46262</v>
      </c>
      <c r="H96" s="1">
        <v>46263</v>
      </c>
      <c r="I96" t="s">
        <v>150</v>
      </c>
      <c r="J96" t="s">
        <v>151</v>
      </c>
      <c r="K96" t="s">
        <v>32</v>
      </c>
      <c r="L96" t="s">
        <v>152</v>
      </c>
      <c r="M96" t="s">
        <v>21</v>
      </c>
    </row>
    <row r="97" spans="1:13" hidden="1" x14ac:dyDescent="0.25">
      <c r="A97" s="1">
        <v>46242</v>
      </c>
      <c r="B97" t="s">
        <v>42</v>
      </c>
      <c r="C97" t="s">
        <v>43</v>
      </c>
      <c r="D97" t="s">
        <v>44</v>
      </c>
      <c r="E97" t="s">
        <v>16</v>
      </c>
      <c r="F97" s="1">
        <v>46234</v>
      </c>
      <c r="G97" s="1">
        <v>46240</v>
      </c>
      <c r="H97" s="1">
        <v>46241</v>
      </c>
      <c r="I97" t="s">
        <v>199</v>
      </c>
      <c r="J97" t="s">
        <v>200</v>
      </c>
      <c r="K97" t="s">
        <v>47</v>
      </c>
      <c r="M97" t="s">
        <v>21</v>
      </c>
    </row>
    <row r="98" spans="1:13" hidden="1" x14ac:dyDescent="0.25">
      <c r="A98" s="1">
        <v>46242</v>
      </c>
      <c r="B98" t="s">
        <v>62</v>
      </c>
      <c r="C98" t="s">
        <v>63</v>
      </c>
      <c r="D98" t="s">
        <v>64</v>
      </c>
      <c r="E98" t="s">
        <v>16</v>
      </c>
      <c r="F98" s="1">
        <v>46219</v>
      </c>
      <c r="G98" s="1">
        <v>46248</v>
      </c>
      <c r="H98" s="1">
        <v>46249</v>
      </c>
      <c r="I98" t="s">
        <v>236</v>
      </c>
      <c r="J98" t="s">
        <v>237</v>
      </c>
      <c r="K98" t="s">
        <v>65</v>
      </c>
      <c r="L98" t="s">
        <v>239</v>
      </c>
      <c r="M98" t="s">
        <v>21</v>
      </c>
    </row>
    <row r="99" spans="1:13" hidden="1" x14ac:dyDescent="0.25">
      <c r="A99" s="1">
        <v>46242</v>
      </c>
      <c r="B99" t="s">
        <v>122</v>
      </c>
      <c r="C99" t="s">
        <v>123</v>
      </c>
      <c r="D99" t="s">
        <v>124</v>
      </c>
      <c r="E99" t="s">
        <v>16</v>
      </c>
      <c r="F99" s="1">
        <v>46239</v>
      </c>
      <c r="G99" s="1">
        <v>46245</v>
      </c>
      <c r="H99" s="1">
        <v>46246</v>
      </c>
      <c r="I99" t="s">
        <v>273</v>
      </c>
      <c r="J99" t="s">
        <v>274</v>
      </c>
      <c r="K99" t="s">
        <v>125</v>
      </c>
      <c r="L99" t="s">
        <v>275</v>
      </c>
      <c r="M99" t="s">
        <v>21</v>
      </c>
    </row>
    <row r="100" spans="1:13" hidden="1" x14ac:dyDescent="0.25">
      <c r="A100" s="1">
        <v>46242</v>
      </c>
      <c r="B100" t="s">
        <v>66</v>
      </c>
      <c r="C100" t="s">
        <v>84</v>
      </c>
      <c r="D100" t="s">
        <v>68</v>
      </c>
      <c r="E100" t="s">
        <v>24</v>
      </c>
      <c r="F100" s="1">
        <v>46240</v>
      </c>
      <c r="G100" s="1">
        <v>46265</v>
      </c>
      <c r="H100" s="1">
        <v>46266</v>
      </c>
      <c r="I100" t="s">
        <v>309</v>
      </c>
      <c r="J100" t="s">
        <v>310</v>
      </c>
      <c r="K100" t="s">
        <v>69</v>
      </c>
      <c r="L100" t="s">
        <v>311</v>
      </c>
      <c r="M100" t="s">
        <v>21</v>
      </c>
    </row>
    <row r="101" spans="1:13" hidden="1" x14ac:dyDescent="0.25">
      <c r="A101" s="1">
        <v>46242</v>
      </c>
      <c r="B101" t="s">
        <v>26</v>
      </c>
      <c r="C101" t="s">
        <v>27</v>
      </c>
      <c r="D101" t="s">
        <v>28</v>
      </c>
      <c r="E101" t="s">
        <v>16</v>
      </c>
      <c r="F101" s="1">
        <v>46226</v>
      </c>
      <c r="G101" s="1">
        <v>46255</v>
      </c>
      <c r="H101" s="1">
        <v>46256</v>
      </c>
      <c r="J101" t="s">
        <v>327</v>
      </c>
      <c r="K101" t="s">
        <v>29</v>
      </c>
      <c r="M101" t="s">
        <v>21</v>
      </c>
    </row>
    <row r="102" spans="1:13" hidden="1" x14ac:dyDescent="0.25">
      <c r="A102" s="1">
        <v>46242</v>
      </c>
      <c r="B102" t="s">
        <v>49</v>
      </c>
      <c r="C102" t="s">
        <v>50</v>
      </c>
      <c r="D102" t="s">
        <v>51</v>
      </c>
      <c r="E102" t="s">
        <v>36</v>
      </c>
      <c r="F102" s="1">
        <v>46237</v>
      </c>
      <c r="G102" s="1">
        <v>46366</v>
      </c>
      <c r="H102" s="1">
        <v>46367</v>
      </c>
      <c r="J102" t="s">
        <v>327</v>
      </c>
      <c r="K102" t="s">
        <v>52</v>
      </c>
      <c r="M102" t="s">
        <v>21</v>
      </c>
    </row>
    <row r="103" spans="1:13" hidden="1" x14ac:dyDescent="0.25">
      <c r="A103" s="1">
        <v>46242</v>
      </c>
      <c r="B103" t="s">
        <v>94</v>
      </c>
      <c r="C103" t="s">
        <v>95</v>
      </c>
      <c r="D103" t="s">
        <v>82</v>
      </c>
      <c r="E103" t="s">
        <v>16</v>
      </c>
      <c r="F103" s="1">
        <v>46238</v>
      </c>
      <c r="G103" s="1">
        <v>46262</v>
      </c>
      <c r="H103" s="1">
        <v>46263</v>
      </c>
      <c r="J103" t="s">
        <v>327</v>
      </c>
      <c r="K103" t="s">
        <v>98</v>
      </c>
      <c r="M103" t="s">
        <v>21</v>
      </c>
    </row>
    <row r="104" spans="1:13" hidden="1" x14ac:dyDescent="0.25">
      <c r="A104" s="1">
        <v>46242</v>
      </c>
      <c r="B104" t="s">
        <v>160</v>
      </c>
      <c r="C104" t="s">
        <v>161</v>
      </c>
      <c r="D104" t="s">
        <v>162</v>
      </c>
      <c r="E104" t="s">
        <v>92</v>
      </c>
      <c r="F104" s="1">
        <v>46242</v>
      </c>
      <c r="G104" s="1">
        <v>46247</v>
      </c>
      <c r="H104" s="1">
        <v>46248</v>
      </c>
      <c r="J104" t="s">
        <v>327</v>
      </c>
      <c r="K104" t="s">
        <v>165</v>
      </c>
      <c r="M104" t="s">
        <v>21</v>
      </c>
    </row>
    <row r="105" spans="1:13" hidden="1" x14ac:dyDescent="0.25">
      <c r="A105" s="1">
        <v>46242</v>
      </c>
      <c r="B105" t="s">
        <v>130</v>
      </c>
      <c r="C105" s="4" t="s">
        <v>131</v>
      </c>
      <c r="D105" t="s">
        <v>132</v>
      </c>
      <c r="E105" t="s">
        <v>16</v>
      </c>
      <c r="F105" s="1">
        <v>46217</v>
      </c>
      <c r="G105" s="1">
        <v>46246</v>
      </c>
      <c r="H105" s="1">
        <v>46247</v>
      </c>
      <c r="J105" t="s">
        <v>327</v>
      </c>
      <c r="K105" t="s">
        <v>133</v>
      </c>
      <c r="M105" t="s">
        <v>21</v>
      </c>
    </row>
    <row r="106" spans="1:13" hidden="1" x14ac:dyDescent="0.25">
      <c r="A106" s="1">
        <v>46242</v>
      </c>
      <c r="B106" t="s">
        <v>70</v>
      </c>
      <c r="C106" t="s">
        <v>71</v>
      </c>
      <c r="D106" t="s">
        <v>55</v>
      </c>
      <c r="E106" t="s">
        <v>16</v>
      </c>
      <c r="F106" s="1">
        <v>46226</v>
      </c>
      <c r="G106" s="1">
        <v>46246</v>
      </c>
      <c r="H106" s="1">
        <v>46247</v>
      </c>
      <c r="J106" t="s">
        <v>327</v>
      </c>
      <c r="K106" t="s">
        <v>72</v>
      </c>
      <c r="M106" t="s">
        <v>21</v>
      </c>
    </row>
    <row r="107" spans="1:13" hidden="1" x14ac:dyDescent="0.25">
      <c r="A107" s="1">
        <v>46242</v>
      </c>
      <c r="B107" t="s">
        <v>76</v>
      </c>
      <c r="C107" t="s">
        <v>77</v>
      </c>
      <c r="D107" t="s">
        <v>78</v>
      </c>
      <c r="E107" t="s">
        <v>16</v>
      </c>
      <c r="F107" s="1">
        <v>46237</v>
      </c>
      <c r="G107" s="1">
        <v>46241</v>
      </c>
      <c r="H107" s="1">
        <v>46242</v>
      </c>
      <c r="J107" t="s">
        <v>4088</v>
      </c>
      <c r="K107" t="s">
        <v>79</v>
      </c>
      <c r="M107" t="s">
        <v>21</v>
      </c>
    </row>
    <row r="108" spans="1:13" hidden="1" x14ac:dyDescent="0.25">
      <c r="A108" s="1">
        <v>46242</v>
      </c>
      <c r="B108" t="s">
        <v>207</v>
      </c>
      <c r="C108" t="s">
        <v>208</v>
      </c>
      <c r="D108" t="s">
        <v>28</v>
      </c>
      <c r="E108" t="s">
        <v>16</v>
      </c>
      <c r="F108" s="1">
        <v>46235</v>
      </c>
      <c r="G108" s="1">
        <v>46240</v>
      </c>
      <c r="H108" s="1">
        <v>46241</v>
      </c>
      <c r="J108" t="s">
        <v>4089</v>
      </c>
      <c r="K108" t="s">
        <v>211</v>
      </c>
      <c r="M108" t="s">
        <v>21</v>
      </c>
    </row>
    <row r="109" spans="1:13" hidden="1" x14ac:dyDescent="0.25">
      <c r="A109" s="1">
        <v>46242</v>
      </c>
      <c r="B109" t="s">
        <v>312</v>
      </c>
      <c r="C109" t="s">
        <v>313</v>
      </c>
      <c r="D109" t="s">
        <v>143</v>
      </c>
      <c r="E109" t="s">
        <v>16</v>
      </c>
      <c r="F109" s="1">
        <v>46237</v>
      </c>
      <c r="G109" s="1">
        <v>46240</v>
      </c>
      <c r="H109" s="1">
        <v>46241</v>
      </c>
      <c r="J109" t="s">
        <v>4096</v>
      </c>
      <c r="K109" t="s">
        <v>316</v>
      </c>
      <c r="M109" t="s">
        <v>21</v>
      </c>
    </row>
    <row r="110" spans="1:13" hidden="1" x14ac:dyDescent="0.25">
      <c r="A110" s="1">
        <v>46242</v>
      </c>
      <c r="B110" t="s">
        <v>37</v>
      </c>
      <c r="C110" t="s">
        <v>38</v>
      </c>
      <c r="D110" t="s">
        <v>39</v>
      </c>
      <c r="E110" t="s">
        <v>36</v>
      </c>
      <c r="F110" s="1">
        <v>46217</v>
      </c>
      <c r="G110" s="1">
        <v>46342</v>
      </c>
      <c r="H110" s="1">
        <v>46343</v>
      </c>
      <c r="J110" t="s">
        <v>149</v>
      </c>
      <c r="K110" t="s">
        <v>40</v>
      </c>
      <c r="M110" t="s">
        <v>21</v>
      </c>
    </row>
    <row r="111" spans="1:13" hidden="1" x14ac:dyDescent="0.25">
      <c r="A111" s="1">
        <v>46244</v>
      </c>
      <c r="B111" t="s">
        <v>13</v>
      </c>
      <c r="C111" t="s">
        <v>14</v>
      </c>
      <c r="D111" t="s">
        <v>15</v>
      </c>
      <c r="E111" t="s">
        <v>16</v>
      </c>
      <c r="F111" s="1">
        <v>46239</v>
      </c>
      <c r="G111" s="1">
        <v>46246</v>
      </c>
      <c r="H111" s="1">
        <v>46247</v>
      </c>
      <c r="I111" t="s">
        <v>17</v>
      </c>
      <c r="J111" t="s">
        <v>18</v>
      </c>
      <c r="K111" t="s">
        <v>19</v>
      </c>
      <c r="L111" t="s">
        <v>20</v>
      </c>
      <c r="M111" t="s">
        <v>21</v>
      </c>
    </row>
    <row r="112" spans="1:13" hidden="1" x14ac:dyDescent="0.25">
      <c r="A112" s="1">
        <v>46244</v>
      </c>
      <c r="B112" t="s">
        <v>53</v>
      </c>
      <c r="C112" s="4" t="s">
        <v>88</v>
      </c>
      <c r="D112" t="s">
        <v>55</v>
      </c>
      <c r="E112" t="s">
        <v>16</v>
      </c>
      <c r="F112" s="1">
        <v>46229</v>
      </c>
      <c r="G112" s="1">
        <v>46258</v>
      </c>
      <c r="H112" s="1">
        <v>46259</v>
      </c>
      <c r="I112" t="s">
        <v>107</v>
      </c>
      <c r="J112" t="s">
        <v>108</v>
      </c>
      <c r="K112" t="s">
        <v>56</v>
      </c>
      <c r="L112" t="s">
        <v>109</v>
      </c>
      <c r="M112" t="s">
        <v>21</v>
      </c>
    </row>
    <row r="113" spans="1:13" hidden="1" x14ac:dyDescent="0.25">
      <c r="A113" s="1">
        <v>46244</v>
      </c>
      <c r="B113" t="s">
        <v>30</v>
      </c>
      <c r="C113" t="s">
        <v>61</v>
      </c>
      <c r="D113" t="s">
        <v>28</v>
      </c>
      <c r="E113" t="s">
        <v>24</v>
      </c>
      <c r="F113" s="1">
        <v>46230</v>
      </c>
      <c r="G113" s="1">
        <v>46262</v>
      </c>
      <c r="H113" s="1">
        <v>46263</v>
      </c>
      <c r="I113" t="s">
        <v>150</v>
      </c>
      <c r="J113" t="s">
        <v>151</v>
      </c>
      <c r="K113" t="s">
        <v>32</v>
      </c>
      <c r="L113" t="s">
        <v>152</v>
      </c>
      <c r="M113" t="s">
        <v>21</v>
      </c>
    </row>
    <row r="114" spans="1:13" hidden="1" x14ac:dyDescent="0.25">
      <c r="A114" s="1">
        <v>46244</v>
      </c>
      <c r="B114" t="s">
        <v>62</v>
      </c>
      <c r="C114" t="s">
        <v>63</v>
      </c>
      <c r="D114" t="s">
        <v>64</v>
      </c>
      <c r="E114" t="s">
        <v>16</v>
      </c>
      <c r="F114" s="1">
        <v>46219</v>
      </c>
      <c r="G114" s="1">
        <v>46248</v>
      </c>
      <c r="H114" s="1">
        <v>46249</v>
      </c>
      <c r="I114" t="s">
        <v>236</v>
      </c>
      <c r="J114" t="s">
        <v>237</v>
      </c>
      <c r="K114" t="s">
        <v>65</v>
      </c>
      <c r="L114" t="s">
        <v>239</v>
      </c>
      <c r="M114" t="s">
        <v>21</v>
      </c>
    </row>
    <row r="115" spans="1:13" hidden="1" x14ac:dyDescent="0.25">
      <c r="A115" s="1">
        <v>46244</v>
      </c>
      <c r="B115" t="s">
        <v>122</v>
      </c>
      <c r="C115" t="s">
        <v>123</v>
      </c>
      <c r="D115" t="s">
        <v>124</v>
      </c>
      <c r="E115" t="s">
        <v>16</v>
      </c>
      <c r="F115" s="1">
        <v>46239</v>
      </c>
      <c r="G115" s="1">
        <v>46245</v>
      </c>
      <c r="H115" s="1">
        <v>46246</v>
      </c>
      <c r="I115" t="s">
        <v>273</v>
      </c>
      <c r="J115" t="s">
        <v>274</v>
      </c>
      <c r="K115" t="s">
        <v>125</v>
      </c>
      <c r="L115" t="s">
        <v>275</v>
      </c>
      <c r="M115" t="s">
        <v>21</v>
      </c>
    </row>
    <row r="116" spans="1:13" hidden="1" x14ac:dyDescent="0.25">
      <c r="A116" s="1">
        <v>46244</v>
      </c>
      <c r="B116" t="s">
        <v>66</v>
      </c>
      <c r="C116" t="s">
        <v>84</v>
      </c>
      <c r="D116" t="s">
        <v>68</v>
      </c>
      <c r="E116" t="s">
        <v>24</v>
      </c>
      <c r="F116" s="1">
        <v>46240</v>
      </c>
      <c r="G116" s="1">
        <v>46265</v>
      </c>
      <c r="H116" s="1">
        <v>46266</v>
      </c>
      <c r="I116" t="s">
        <v>309</v>
      </c>
      <c r="J116" t="s">
        <v>310</v>
      </c>
      <c r="K116" t="s">
        <v>69</v>
      </c>
      <c r="L116" t="s">
        <v>311</v>
      </c>
      <c r="M116" t="s">
        <v>21</v>
      </c>
    </row>
    <row r="117" spans="1:13" hidden="1" x14ac:dyDescent="0.25">
      <c r="A117" s="1">
        <v>46244</v>
      </c>
      <c r="B117" t="s">
        <v>26</v>
      </c>
      <c r="C117" t="s">
        <v>27</v>
      </c>
      <c r="D117" t="s">
        <v>28</v>
      </c>
      <c r="E117" t="s">
        <v>16</v>
      </c>
      <c r="F117" s="1">
        <v>46226</v>
      </c>
      <c r="G117" s="1">
        <v>46255</v>
      </c>
      <c r="H117" s="1">
        <v>46256</v>
      </c>
      <c r="J117" t="s">
        <v>327</v>
      </c>
      <c r="K117" t="s">
        <v>29</v>
      </c>
      <c r="M117" t="s">
        <v>21</v>
      </c>
    </row>
    <row r="118" spans="1:13" hidden="1" x14ac:dyDescent="0.25">
      <c r="A118" s="1">
        <v>46244</v>
      </c>
      <c r="B118" t="s">
        <v>49</v>
      </c>
      <c r="C118" s="4" t="s">
        <v>50</v>
      </c>
      <c r="D118" t="s">
        <v>51</v>
      </c>
      <c r="E118" t="s">
        <v>36</v>
      </c>
      <c r="F118" s="1">
        <v>46237</v>
      </c>
      <c r="G118" s="1">
        <v>46366</v>
      </c>
      <c r="H118" s="1">
        <v>46367</v>
      </c>
      <c r="J118" t="s">
        <v>327</v>
      </c>
      <c r="K118" t="s">
        <v>52</v>
      </c>
      <c r="M118" t="s">
        <v>21</v>
      </c>
    </row>
    <row r="119" spans="1:13" hidden="1" x14ac:dyDescent="0.25">
      <c r="A119" s="1">
        <v>46244</v>
      </c>
      <c r="B119" t="s">
        <v>94</v>
      </c>
      <c r="C119" t="s">
        <v>95</v>
      </c>
      <c r="D119" t="s">
        <v>82</v>
      </c>
      <c r="E119" t="s">
        <v>16</v>
      </c>
      <c r="F119" s="1">
        <v>46238</v>
      </c>
      <c r="G119" s="1">
        <v>46262</v>
      </c>
      <c r="H119" s="1">
        <v>46263</v>
      </c>
      <c r="J119" t="s">
        <v>327</v>
      </c>
      <c r="K119" t="s">
        <v>98</v>
      </c>
      <c r="M119" t="s">
        <v>21</v>
      </c>
    </row>
    <row r="120" spans="1:13" hidden="1" x14ac:dyDescent="0.25">
      <c r="A120" s="1">
        <v>46244</v>
      </c>
      <c r="B120" t="s">
        <v>160</v>
      </c>
      <c r="C120" t="s">
        <v>161</v>
      </c>
      <c r="D120" t="s">
        <v>162</v>
      </c>
      <c r="E120" t="s">
        <v>92</v>
      </c>
      <c r="F120" s="1">
        <v>46242</v>
      </c>
      <c r="G120" s="1">
        <v>46247</v>
      </c>
      <c r="H120" s="1">
        <v>46248</v>
      </c>
      <c r="J120" t="s">
        <v>327</v>
      </c>
      <c r="K120" t="s">
        <v>165</v>
      </c>
      <c r="M120" t="s">
        <v>21</v>
      </c>
    </row>
    <row r="121" spans="1:13" hidden="1" x14ac:dyDescent="0.25">
      <c r="A121" s="1">
        <v>46244</v>
      </c>
      <c r="B121" t="s">
        <v>126</v>
      </c>
      <c r="C121" t="s">
        <v>127</v>
      </c>
      <c r="D121" t="s">
        <v>128</v>
      </c>
      <c r="E121" t="s">
        <v>16</v>
      </c>
      <c r="F121" s="1">
        <v>46242</v>
      </c>
      <c r="G121" s="1">
        <v>46272</v>
      </c>
      <c r="H121" s="1">
        <v>46273</v>
      </c>
      <c r="J121" t="s">
        <v>327</v>
      </c>
      <c r="K121" t="s">
        <v>129</v>
      </c>
      <c r="M121" t="s">
        <v>21</v>
      </c>
    </row>
    <row r="122" spans="1:13" hidden="1" x14ac:dyDescent="0.25">
      <c r="A122" s="1">
        <v>46244</v>
      </c>
      <c r="B122" t="s">
        <v>130</v>
      </c>
      <c r="C122" t="s">
        <v>131</v>
      </c>
      <c r="D122" t="s">
        <v>132</v>
      </c>
      <c r="E122" t="s">
        <v>16</v>
      </c>
      <c r="F122" s="1">
        <v>46217</v>
      </c>
      <c r="G122" s="1">
        <v>46246</v>
      </c>
      <c r="H122" s="1">
        <v>46247</v>
      </c>
      <c r="J122" t="s">
        <v>327</v>
      </c>
      <c r="K122" t="s">
        <v>133</v>
      </c>
      <c r="M122" t="s">
        <v>21</v>
      </c>
    </row>
    <row r="123" spans="1:13" hidden="1" x14ac:dyDescent="0.25">
      <c r="A123" s="1">
        <v>46244</v>
      </c>
      <c r="B123" t="s">
        <v>70</v>
      </c>
      <c r="C123" t="s">
        <v>71</v>
      </c>
      <c r="D123" t="s">
        <v>55</v>
      </c>
      <c r="E123" t="s">
        <v>16</v>
      </c>
      <c r="F123" s="1">
        <v>46226</v>
      </c>
      <c r="G123" s="1">
        <v>46246</v>
      </c>
      <c r="H123" s="1">
        <v>46247</v>
      </c>
      <c r="J123" t="s">
        <v>327</v>
      </c>
      <c r="K123" t="s">
        <v>72</v>
      </c>
      <c r="M123" t="s">
        <v>21</v>
      </c>
    </row>
    <row r="124" spans="1:13" hidden="1" x14ac:dyDescent="0.25">
      <c r="A124" s="1">
        <v>46244</v>
      </c>
      <c r="B124" t="s">
        <v>37</v>
      </c>
      <c r="C124" t="s">
        <v>38</v>
      </c>
      <c r="D124" t="s">
        <v>39</v>
      </c>
      <c r="E124" t="s">
        <v>36</v>
      </c>
      <c r="F124" s="1">
        <v>46217</v>
      </c>
      <c r="G124" s="1">
        <v>46342</v>
      </c>
      <c r="H124" s="1">
        <v>46343</v>
      </c>
      <c r="J124" t="s">
        <v>149</v>
      </c>
      <c r="K124" t="s">
        <v>40</v>
      </c>
      <c r="M124" t="s">
        <v>21</v>
      </c>
    </row>
    <row r="125" spans="1:13" hidden="1" x14ac:dyDescent="0.25">
      <c r="A125" s="1">
        <v>46245</v>
      </c>
      <c r="B125" t="s">
        <v>53</v>
      </c>
      <c r="C125" t="s">
        <v>54</v>
      </c>
      <c r="D125" t="s">
        <v>55</v>
      </c>
      <c r="E125" t="s">
        <v>16</v>
      </c>
      <c r="F125" s="1">
        <v>46229</v>
      </c>
      <c r="G125" s="1">
        <v>46258</v>
      </c>
      <c r="H125" s="1">
        <v>46259</v>
      </c>
      <c r="I125" t="s">
        <v>107</v>
      </c>
      <c r="J125" t="s">
        <v>108</v>
      </c>
      <c r="K125" t="s">
        <v>56</v>
      </c>
      <c r="L125" t="s">
        <v>109</v>
      </c>
      <c r="M125" t="s">
        <v>21</v>
      </c>
    </row>
    <row r="126" spans="1:13" hidden="1" x14ac:dyDescent="0.25">
      <c r="A126" s="1">
        <v>46245</v>
      </c>
      <c r="B126" t="s">
        <v>30</v>
      </c>
      <c r="C126" t="s">
        <v>31</v>
      </c>
      <c r="D126" t="s">
        <v>28</v>
      </c>
      <c r="E126" t="s">
        <v>24</v>
      </c>
      <c r="F126" s="1">
        <v>46230</v>
      </c>
      <c r="G126" s="1">
        <v>46262</v>
      </c>
      <c r="H126" s="1">
        <v>46263</v>
      </c>
      <c r="I126" t="s">
        <v>150</v>
      </c>
      <c r="J126" t="s">
        <v>151</v>
      </c>
      <c r="K126" t="s">
        <v>32</v>
      </c>
      <c r="L126" t="s">
        <v>152</v>
      </c>
      <c r="M126" t="s">
        <v>21</v>
      </c>
    </row>
    <row r="127" spans="1:13" hidden="1" x14ac:dyDescent="0.25">
      <c r="A127" s="1">
        <v>46245</v>
      </c>
      <c r="B127" t="s">
        <v>33</v>
      </c>
      <c r="C127" t="s">
        <v>34</v>
      </c>
      <c r="D127" t="s">
        <v>15</v>
      </c>
      <c r="E127" t="s">
        <v>16</v>
      </c>
      <c r="F127" s="1">
        <v>46240</v>
      </c>
      <c r="G127" s="1">
        <v>46249</v>
      </c>
      <c r="H127" s="1">
        <v>46250</v>
      </c>
      <c r="I127" t="s">
        <v>222</v>
      </c>
      <c r="J127" t="s">
        <v>223</v>
      </c>
      <c r="K127" t="s">
        <v>35</v>
      </c>
      <c r="L127" t="s">
        <v>224</v>
      </c>
      <c r="M127" t="s">
        <v>21</v>
      </c>
    </row>
    <row r="128" spans="1:13" hidden="1" x14ac:dyDescent="0.25">
      <c r="A128" s="1">
        <v>46245</v>
      </c>
      <c r="B128" t="s">
        <v>49</v>
      </c>
      <c r="C128" t="s">
        <v>50</v>
      </c>
      <c r="D128" t="s">
        <v>51</v>
      </c>
      <c r="E128" t="s">
        <v>36</v>
      </c>
      <c r="F128" s="1">
        <v>46241</v>
      </c>
      <c r="G128" s="1">
        <v>46366</v>
      </c>
      <c r="H128" s="1">
        <v>46367</v>
      </c>
      <c r="I128" t="s">
        <v>73</v>
      </c>
      <c r="J128" t="s">
        <v>74</v>
      </c>
      <c r="K128" t="s">
        <v>52</v>
      </c>
      <c r="L128" t="s">
        <v>75</v>
      </c>
      <c r="M128" t="s">
        <v>21</v>
      </c>
    </row>
    <row r="129" spans="1:13" hidden="1" x14ac:dyDescent="0.25">
      <c r="A129" s="1">
        <v>46245</v>
      </c>
      <c r="B129" t="s">
        <v>62</v>
      </c>
      <c r="C129" s="4" t="s">
        <v>202</v>
      </c>
      <c r="D129" t="s">
        <v>64</v>
      </c>
      <c r="E129" t="s">
        <v>16</v>
      </c>
      <c r="F129" s="1">
        <v>46219</v>
      </c>
      <c r="G129" s="1">
        <v>46248</v>
      </c>
      <c r="H129" s="1">
        <v>46249</v>
      </c>
      <c r="I129" t="s">
        <v>236</v>
      </c>
      <c r="J129" t="s">
        <v>237</v>
      </c>
      <c r="K129" t="s">
        <v>65</v>
      </c>
      <c r="L129" t="s">
        <v>239</v>
      </c>
      <c r="M129" t="s">
        <v>21</v>
      </c>
    </row>
    <row r="130" spans="1:13" hidden="1" x14ac:dyDescent="0.25">
      <c r="A130" s="1">
        <v>46245</v>
      </c>
      <c r="B130" t="s">
        <v>122</v>
      </c>
      <c r="C130" t="s">
        <v>123</v>
      </c>
      <c r="D130" t="s">
        <v>124</v>
      </c>
      <c r="E130" t="s">
        <v>16</v>
      </c>
      <c r="F130" s="1">
        <v>46239</v>
      </c>
      <c r="G130" s="1">
        <v>46245</v>
      </c>
      <c r="H130" s="1">
        <v>46246</v>
      </c>
      <c r="I130" t="s">
        <v>273</v>
      </c>
      <c r="J130" t="s">
        <v>274</v>
      </c>
      <c r="K130" t="s">
        <v>125</v>
      </c>
      <c r="L130" t="s">
        <v>275</v>
      </c>
      <c r="M130" t="s">
        <v>21</v>
      </c>
    </row>
    <row r="131" spans="1:13" hidden="1" x14ac:dyDescent="0.25">
      <c r="A131" s="1">
        <v>46245</v>
      </c>
      <c r="B131" t="s">
        <v>66</v>
      </c>
      <c r="C131" t="s">
        <v>67</v>
      </c>
      <c r="D131" t="s">
        <v>68</v>
      </c>
      <c r="E131" t="s">
        <v>24</v>
      </c>
      <c r="F131" s="1">
        <v>46240</v>
      </c>
      <c r="G131" s="1">
        <v>46265</v>
      </c>
      <c r="H131" s="1">
        <v>46266</v>
      </c>
      <c r="I131" t="s">
        <v>309</v>
      </c>
      <c r="J131" t="s">
        <v>310</v>
      </c>
      <c r="K131" t="s">
        <v>69</v>
      </c>
      <c r="L131" t="s">
        <v>311</v>
      </c>
      <c r="M131" t="s">
        <v>21</v>
      </c>
    </row>
    <row r="132" spans="1:13" hidden="1" x14ac:dyDescent="0.25">
      <c r="A132" s="1">
        <v>46245</v>
      </c>
      <c r="B132" t="s">
        <v>26</v>
      </c>
      <c r="C132" t="s">
        <v>27</v>
      </c>
      <c r="D132" t="s">
        <v>28</v>
      </c>
      <c r="E132" t="s">
        <v>16</v>
      </c>
      <c r="F132" s="1">
        <v>46226</v>
      </c>
      <c r="G132" s="1">
        <v>46255</v>
      </c>
      <c r="H132" s="1">
        <v>46256</v>
      </c>
      <c r="J132" t="s">
        <v>327</v>
      </c>
      <c r="K132" t="s">
        <v>29</v>
      </c>
      <c r="M132" t="s">
        <v>21</v>
      </c>
    </row>
    <row r="133" spans="1:13" hidden="1" x14ac:dyDescent="0.25">
      <c r="A133" s="1">
        <v>46245</v>
      </c>
      <c r="B133" t="s">
        <v>329</v>
      </c>
      <c r="C133" t="s">
        <v>330</v>
      </c>
      <c r="D133" t="s">
        <v>55</v>
      </c>
      <c r="E133" t="s">
        <v>16</v>
      </c>
      <c r="F133" s="1">
        <v>46245</v>
      </c>
      <c r="G133" s="1">
        <v>46249</v>
      </c>
      <c r="H133" s="1">
        <v>46250</v>
      </c>
      <c r="J133" t="s">
        <v>327</v>
      </c>
      <c r="K133" t="s">
        <v>331</v>
      </c>
      <c r="M133" t="s">
        <v>21</v>
      </c>
    </row>
    <row r="134" spans="1:13" hidden="1" x14ac:dyDescent="0.25">
      <c r="A134" s="1">
        <v>46245</v>
      </c>
      <c r="B134" t="s">
        <v>13</v>
      </c>
      <c r="C134" t="s">
        <v>14</v>
      </c>
      <c r="D134" t="s">
        <v>15</v>
      </c>
      <c r="E134" t="s">
        <v>16</v>
      </c>
      <c r="F134" s="1">
        <v>46242</v>
      </c>
      <c r="G134" s="1">
        <v>46246</v>
      </c>
      <c r="H134" s="1">
        <v>46247</v>
      </c>
      <c r="J134" t="s">
        <v>327</v>
      </c>
      <c r="K134" t="s">
        <v>19</v>
      </c>
      <c r="M134" t="s">
        <v>21</v>
      </c>
    </row>
    <row r="135" spans="1:13" hidden="1" x14ac:dyDescent="0.25">
      <c r="A135" s="1">
        <v>46245</v>
      </c>
      <c r="B135" t="s">
        <v>94</v>
      </c>
      <c r="C135" t="s">
        <v>95</v>
      </c>
      <c r="D135" t="s">
        <v>82</v>
      </c>
      <c r="E135" t="s">
        <v>16</v>
      </c>
      <c r="F135" s="1">
        <v>46238</v>
      </c>
      <c r="G135" s="1">
        <v>46262</v>
      </c>
      <c r="H135" s="1">
        <v>46263</v>
      </c>
      <c r="J135" t="s">
        <v>327</v>
      </c>
      <c r="K135" t="s">
        <v>98</v>
      </c>
      <c r="M135" t="s">
        <v>21</v>
      </c>
    </row>
    <row r="136" spans="1:13" hidden="1" x14ac:dyDescent="0.25">
      <c r="A136" s="1">
        <v>46245</v>
      </c>
      <c r="B136" t="s">
        <v>160</v>
      </c>
      <c r="C136" t="s">
        <v>161</v>
      </c>
      <c r="D136" t="s">
        <v>162</v>
      </c>
      <c r="E136" t="s">
        <v>92</v>
      </c>
      <c r="F136" s="1">
        <v>46242</v>
      </c>
      <c r="G136" s="1">
        <v>46247</v>
      </c>
      <c r="H136" s="1">
        <v>46248</v>
      </c>
      <c r="J136" t="s">
        <v>327</v>
      </c>
      <c r="K136" t="s">
        <v>165</v>
      </c>
      <c r="M136" t="s">
        <v>21</v>
      </c>
    </row>
    <row r="137" spans="1:13" hidden="1" x14ac:dyDescent="0.25">
      <c r="A137" s="1">
        <v>46245</v>
      </c>
      <c r="B137" t="s">
        <v>126</v>
      </c>
      <c r="C137" t="s">
        <v>127</v>
      </c>
      <c r="D137" t="s">
        <v>128</v>
      </c>
      <c r="E137" t="s">
        <v>16</v>
      </c>
      <c r="F137" s="1">
        <v>46242</v>
      </c>
      <c r="G137" s="1">
        <v>46272</v>
      </c>
      <c r="H137" s="1">
        <v>46273</v>
      </c>
      <c r="J137" t="s">
        <v>327</v>
      </c>
      <c r="K137" t="s">
        <v>129</v>
      </c>
      <c r="M137" t="s">
        <v>21</v>
      </c>
    </row>
    <row r="138" spans="1:13" hidden="1" x14ac:dyDescent="0.25">
      <c r="A138" s="1">
        <v>46245</v>
      </c>
      <c r="B138" t="s">
        <v>130</v>
      </c>
      <c r="C138" t="s">
        <v>131</v>
      </c>
      <c r="D138" t="s">
        <v>132</v>
      </c>
      <c r="E138" t="s">
        <v>16</v>
      </c>
      <c r="F138" s="1">
        <v>46217</v>
      </c>
      <c r="G138" s="1">
        <v>46246</v>
      </c>
      <c r="H138" s="1">
        <v>46247</v>
      </c>
      <c r="J138" t="s">
        <v>327</v>
      </c>
      <c r="K138" t="s">
        <v>133</v>
      </c>
      <c r="M138" t="s">
        <v>21</v>
      </c>
    </row>
    <row r="139" spans="1:13" hidden="1" x14ac:dyDescent="0.25">
      <c r="A139" s="1">
        <v>46245</v>
      </c>
      <c r="B139" t="s">
        <v>70</v>
      </c>
      <c r="C139" t="s">
        <v>71</v>
      </c>
      <c r="D139" t="s">
        <v>55</v>
      </c>
      <c r="E139" t="s">
        <v>16</v>
      </c>
      <c r="F139" s="1">
        <v>46226</v>
      </c>
      <c r="G139" s="1">
        <v>46246</v>
      </c>
      <c r="H139" s="1">
        <v>46247</v>
      </c>
      <c r="J139" t="s">
        <v>327</v>
      </c>
      <c r="K139" t="s">
        <v>72</v>
      </c>
      <c r="M139" t="s">
        <v>21</v>
      </c>
    </row>
    <row r="140" spans="1:13" hidden="1" x14ac:dyDescent="0.25">
      <c r="A140" s="1">
        <v>46245</v>
      </c>
      <c r="B140" t="s">
        <v>37</v>
      </c>
      <c r="C140" t="s">
        <v>38</v>
      </c>
      <c r="D140" t="s">
        <v>39</v>
      </c>
      <c r="E140" t="s">
        <v>36</v>
      </c>
      <c r="F140" s="1">
        <v>46217</v>
      </c>
      <c r="G140" s="1">
        <v>46342</v>
      </c>
      <c r="H140" s="1">
        <v>46343</v>
      </c>
      <c r="J140" t="s">
        <v>149</v>
      </c>
      <c r="K140" t="s">
        <v>40</v>
      </c>
      <c r="M140" t="s">
        <v>21</v>
      </c>
    </row>
    <row r="141" spans="1:13" hidden="1" x14ac:dyDescent="0.25">
      <c r="A141" s="1">
        <v>46246</v>
      </c>
      <c r="B141" t="s">
        <v>33</v>
      </c>
      <c r="C141" t="s">
        <v>34</v>
      </c>
      <c r="D141" t="s">
        <v>15</v>
      </c>
      <c r="E141" t="s">
        <v>36</v>
      </c>
      <c r="F141" s="1">
        <v>46245</v>
      </c>
      <c r="G141" s="1">
        <v>46340</v>
      </c>
      <c r="H141" s="1">
        <v>46341</v>
      </c>
      <c r="I141" t="s">
        <v>17</v>
      </c>
      <c r="J141" t="s">
        <v>18</v>
      </c>
      <c r="K141" t="s">
        <v>35</v>
      </c>
      <c r="L141" t="s">
        <v>20</v>
      </c>
      <c r="M141" t="s">
        <v>21</v>
      </c>
    </row>
    <row r="142" spans="1:13" hidden="1" x14ac:dyDescent="0.25">
      <c r="A142" s="1">
        <v>46246</v>
      </c>
      <c r="B142" t="s">
        <v>53</v>
      </c>
      <c r="C142" t="s">
        <v>54</v>
      </c>
      <c r="D142" t="s">
        <v>55</v>
      </c>
      <c r="E142" t="s">
        <v>16</v>
      </c>
      <c r="F142" s="1">
        <v>46229</v>
      </c>
      <c r="G142" s="1">
        <v>46258</v>
      </c>
      <c r="H142" s="1">
        <v>46259</v>
      </c>
      <c r="I142" t="s">
        <v>107</v>
      </c>
      <c r="J142" t="s">
        <v>108</v>
      </c>
      <c r="K142" t="s">
        <v>56</v>
      </c>
      <c r="L142" t="s">
        <v>109</v>
      </c>
      <c r="M142" t="s">
        <v>21</v>
      </c>
    </row>
    <row r="143" spans="1:13" hidden="1" x14ac:dyDescent="0.25">
      <c r="A143" s="1">
        <v>46246</v>
      </c>
      <c r="B143" t="s">
        <v>30</v>
      </c>
      <c r="C143" t="s">
        <v>31</v>
      </c>
      <c r="D143" t="s">
        <v>28</v>
      </c>
      <c r="E143" t="s">
        <v>24</v>
      </c>
      <c r="F143" s="1">
        <v>46230</v>
      </c>
      <c r="G143" s="1">
        <v>46262</v>
      </c>
      <c r="H143" s="1">
        <v>46263</v>
      </c>
      <c r="I143" t="s">
        <v>150</v>
      </c>
      <c r="J143" t="s">
        <v>151</v>
      </c>
      <c r="K143" t="s">
        <v>32</v>
      </c>
      <c r="L143" t="s">
        <v>152</v>
      </c>
      <c r="M143" t="s">
        <v>21</v>
      </c>
    </row>
    <row r="144" spans="1:13" hidden="1" x14ac:dyDescent="0.25">
      <c r="A144" s="1">
        <v>46246</v>
      </c>
      <c r="B144" t="s">
        <v>33</v>
      </c>
      <c r="C144" t="s">
        <v>34</v>
      </c>
      <c r="D144" t="s">
        <v>15</v>
      </c>
      <c r="E144" t="s">
        <v>16</v>
      </c>
      <c r="F144" s="1">
        <v>46240</v>
      </c>
      <c r="G144" s="1">
        <v>46249</v>
      </c>
      <c r="H144" s="1">
        <v>46250</v>
      </c>
      <c r="I144" t="s">
        <v>222</v>
      </c>
      <c r="J144" t="s">
        <v>223</v>
      </c>
      <c r="K144" t="s">
        <v>35</v>
      </c>
      <c r="L144" t="s">
        <v>224</v>
      </c>
      <c r="M144" t="s">
        <v>21</v>
      </c>
    </row>
    <row r="145" spans="1:13" hidden="1" x14ac:dyDescent="0.25">
      <c r="A145" s="1">
        <v>46246</v>
      </c>
      <c r="B145" t="s">
        <v>49</v>
      </c>
      <c r="C145" t="s">
        <v>50</v>
      </c>
      <c r="D145" t="s">
        <v>51</v>
      </c>
      <c r="E145" t="s">
        <v>36</v>
      </c>
      <c r="F145" s="1">
        <v>46241</v>
      </c>
      <c r="G145" s="1">
        <v>46366</v>
      </c>
      <c r="H145" s="1">
        <v>46367</v>
      </c>
      <c r="I145" t="s">
        <v>73</v>
      </c>
      <c r="J145" t="s">
        <v>74</v>
      </c>
      <c r="K145" t="s">
        <v>52</v>
      </c>
      <c r="L145" t="s">
        <v>75</v>
      </c>
      <c r="M145" t="s">
        <v>21</v>
      </c>
    </row>
    <row r="146" spans="1:13" hidden="1" x14ac:dyDescent="0.25">
      <c r="A146" s="1">
        <v>46246</v>
      </c>
      <c r="B146" t="s">
        <v>122</v>
      </c>
      <c r="C146" t="s">
        <v>123</v>
      </c>
      <c r="D146" t="s">
        <v>124</v>
      </c>
      <c r="E146" t="s">
        <v>16</v>
      </c>
      <c r="F146" s="1">
        <v>46246</v>
      </c>
      <c r="G146" s="1">
        <v>46254</v>
      </c>
      <c r="H146" s="1">
        <v>46255</v>
      </c>
      <c r="I146" t="s">
        <v>119</v>
      </c>
      <c r="J146" t="s">
        <v>120</v>
      </c>
      <c r="K146" t="s">
        <v>125</v>
      </c>
      <c r="L146" t="s">
        <v>121</v>
      </c>
      <c r="M146" t="s">
        <v>21</v>
      </c>
    </row>
    <row r="147" spans="1:13" hidden="1" x14ac:dyDescent="0.25">
      <c r="A147" s="1">
        <v>46246</v>
      </c>
      <c r="B147" t="s">
        <v>62</v>
      </c>
      <c r="C147" t="s">
        <v>202</v>
      </c>
      <c r="D147" t="s">
        <v>64</v>
      </c>
      <c r="E147" t="s">
        <v>16</v>
      </c>
      <c r="F147" s="1">
        <v>46219</v>
      </c>
      <c r="G147" s="1">
        <v>46248</v>
      </c>
      <c r="H147" s="1">
        <v>46249</v>
      </c>
      <c r="I147" t="s">
        <v>236</v>
      </c>
      <c r="J147" t="s">
        <v>237</v>
      </c>
      <c r="K147" t="s">
        <v>65</v>
      </c>
      <c r="L147" t="s">
        <v>239</v>
      </c>
      <c r="M147" t="s">
        <v>21</v>
      </c>
    </row>
    <row r="148" spans="1:13" hidden="1" x14ac:dyDescent="0.25">
      <c r="A148" s="1">
        <v>46246</v>
      </c>
      <c r="B148" t="s">
        <v>122</v>
      </c>
      <c r="C148" t="s">
        <v>123</v>
      </c>
      <c r="D148" t="s">
        <v>124</v>
      </c>
      <c r="E148" t="s">
        <v>16</v>
      </c>
      <c r="F148" s="1">
        <v>46239</v>
      </c>
      <c r="G148" s="1">
        <v>46245</v>
      </c>
      <c r="H148" s="1">
        <v>46246</v>
      </c>
      <c r="I148" t="s">
        <v>273</v>
      </c>
      <c r="J148" t="s">
        <v>274</v>
      </c>
      <c r="K148" t="s">
        <v>125</v>
      </c>
      <c r="L148" t="s">
        <v>275</v>
      </c>
      <c r="M148" t="s">
        <v>21</v>
      </c>
    </row>
    <row r="149" spans="1:13" hidden="1" x14ac:dyDescent="0.25">
      <c r="A149" s="1">
        <v>46246</v>
      </c>
      <c r="B149" t="s">
        <v>66</v>
      </c>
      <c r="C149" t="s">
        <v>67</v>
      </c>
      <c r="D149" t="s">
        <v>68</v>
      </c>
      <c r="E149" t="s">
        <v>24</v>
      </c>
      <c r="F149" s="1">
        <v>46240</v>
      </c>
      <c r="G149" s="1">
        <v>46265</v>
      </c>
      <c r="H149" s="1">
        <v>46266</v>
      </c>
      <c r="I149" t="s">
        <v>309</v>
      </c>
      <c r="J149" t="s">
        <v>310</v>
      </c>
      <c r="K149" t="s">
        <v>69</v>
      </c>
      <c r="L149" t="s">
        <v>311</v>
      </c>
      <c r="M149" t="s">
        <v>21</v>
      </c>
    </row>
    <row r="150" spans="1:13" hidden="1" x14ac:dyDescent="0.25">
      <c r="A150" s="1">
        <v>46246</v>
      </c>
      <c r="B150" t="s">
        <v>26</v>
      </c>
      <c r="C150" t="s">
        <v>27</v>
      </c>
      <c r="D150" t="s">
        <v>28</v>
      </c>
      <c r="E150" t="s">
        <v>16</v>
      </c>
      <c r="F150" s="1">
        <v>46226</v>
      </c>
      <c r="G150" s="1">
        <v>46255</v>
      </c>
      <c r="H150" s="1">
        <v>46256</v>
      </c>
      <c r="J150" t="s">
        <v>327</v>
      </c>
      <c r="K150" t="s">
        <v>29</v>
      </c>
      <c r="M150" t="s">
        <v>21</v>
      </c>
    </row>
    <row r="151" spans="1:13" hidden="1" x14ac:dyDescent="0.25">
      <c r="A151" s="1">
        <v>46246</v>
      </c>
      <c r="B151" t="s">
        <v>329</v>
      </c>
      <c r="C151" t="s">
        <v>330</v>
      </c>
      <c r="D151" t="s">
        <v>55</v>
      </c>
      <c r="E151" t="s">
        <v>16</v>
      </c>
      <c r="F151" s="1">
        <v>46245</v>
      </c>
      <c r="G151" s="1">
        <v>46249</v>
      </c>
      <c r="H151" s="1">
        <v>46250</v>
      </c>
      <c r="J151" t="s">
        <v>327</v>
      </c>
      <c r="K151" t="s">
        <v>331</v>
      </c>
      <c r="M151" t="s">
        <v>21</v>
      </c>
    </row>
    <row r="152" spans="1:13" hidden="1" x14ac:dyDescent="0.25">
      <c r="A152" s="1">
        <v>46246</v>
      </c>
      <c r="B152" t="s">
        <v>13</v>
      </c>
      <c r="C152" t="s">
        <v>14</v>
      </c>
      <c r="D152" t="s">
        <v>15</v>
      </c>
      <c r="E152" t="s">
        <v>16</v>
      </c>
      <c r="F152" s="1">
        <v>46242</v>
      </c>
      <c r="G152" s="1">
        <v>46246</v>
      </c>
      <c r="H152" s="1">
        <v>46247</v>
      </c>
      <c r="J152" t="s">
        <v>327</v>
      </c>
      <c r="K152" t="s">
        <v>19</v>
      </c>
      <c r="M152" t="s">
        <v>21</v>
      </c>
    </row>
    <row r="153" spans="1:13" hidden="1" x14ac:dyDescent="0.25">
      <c r="A153" s="1">
        <v>46246</v>
      </c>
      <c r="B153" t="s">
        <v>94</v>
      </c>
      <c r="C153" s="4" t="s">
        <v>95</v>
      </c>
      <c r="D153" t="s">
        <v>82</v>
      </c>
      <c r="E153" t="s">
        <v>16</v>
      </c>
      <c r="F153" s="1">
        <v>46238</v>
      </c>
      <c r="G153" s="1">
        <v>46262</v>
      </c>
      <c r="H153" s="1">
        <v>46263</v>
      </c>
      <c r="J153" t="s">
        <v>327</v>
      </c>
      <c r="K153" t="s">
        <v>98</v>
      </c>
      <c r="M153" t="s">
        <v>21</v>
      </c>
    </row>
    <row r="154" spans="1:13" hidden="1" x14ac:dyDescent="0.25">
      <c r="A154" s="1">
        <v>46246</v>
      </c>
      <c r="B154" t="s">
        <v>160</v>
      </c>
      <c r="C154" s="4" t="s">
        <v>161</v>
      </c>
      <c r="D154" t="s">
        <v>162</v>
      </c>
      <c r="E154" t="s">
        <v>92</v>
      </c>
      <c r="F154" s="1">
        <v>46242</v>
      </c>
      <c r="G154" s="1">
        <v>46247</v>
      </c>
      <c r="H154" s="1">
        <v>46248</v>
      </c>
      <c r="J154" t="s">
        <v>327</v>
      </c>
      <c r="K154" t="s">
        <v>165</v>
      </c>
      <c r="M154" t="s">
        <v>21</v>
      </c>
    </row>
    <row r="155" spans="1:13" hidden="1" x14ac:dyDescent="0.25">
      <c r="A155" s="1">
        <v>46246</v>
      </c>
      <c r="B155" t="s">
        <v>126</v>
      </c>
      <c r="C155" t="s">
        <v>127</v>
      </c>
      <c r="D155" t="s">
        <v>128</v>
      </c>
      <c r="E155" t="s">
        <v>16</v>
      </c>
      <c r="F155" s="1">
        <v>46242</v>
      </c>
      <c r="G155" s="1">
        <v>46272</v>
      </c>
      <c r="H155" s="1">
        <v>46273</v>
      </c>
      <c r="J155" t="s">
        <v>327</v>
      </c>
      <c r="K155" t="s">
        <v>129</v>
      </c>
      <c r="M155" t="s">
        <v>21</v>
      </c>
    </row>
    <row r="156" spans="1:13" hidden="1" x14ac:dyDescent="0.25">
      <c r="A156" s="1">
        <v>46246</v>
      </c>
      <c r="B156" t="s">
        <v>130</v>
      </c>
      <c r="C156" t="s">
        <v>131</v>
      </c>
      <c r="D156" t="s">
        <v>132</v>
      </c>
      <c r="E156" t="s">
        <v>16</v>
      </c>
      <c r="F156" s="1">
        <v>46217</v>
      </c>
      <c r="G156" s="1">
        <v>46246</v>
      </c>
      <c r="H156" s="1">
        <v>46247</v>
      </c>
      <c r="J156" t="s">
        <v>327</v>
      </c>
      <c r="K156" t="s">
        <v>133</v>
      </c>
      <c r="M156" t="s">
        <v>21</v>
      </c>
    </row>
    <row r="157" spans="1:13" hidden="1" x14ac:dyDescent="0.25">
      <c r="A157" s="1">
        <v>46246</v>
      </c>
      <c r="B157" t="s">
        <v>70</v>
      </c>
      <c r="C157" t="s">
        <v>71</v>
      </c>
      <c r="D157" t="s">
        <v>55</v>
      </c>
      <c r="E157" t="s">
        <v>16</v>
      </c>
      <c r="F157" s="1">
        <v>46226</v>
      </c>
      <c r="G157" s="1">
        <v>46246</v>
      </c>
      <c r="H157" s="1">
        <v>46247</v>
      </c>
      <c r="J157" t="s">
        <v>327</v>
      </c>
      <c r="K157" t="s">
        <v>72</v>
      </c>
      <c r="M157" t="s">
        <v>21</v>
      </c>
    </row>
    <row r="158" spans="1:13" hidden="1" x14ac:dyDescent="0.25">
      <c r="A158" s="1">
        <v>46246</v>
      </c>
      <c r="B158" t="s">
        <v>37</v>
      </c>
      <c r="C158" t="s">
        <v>38</v>
      </c>
      <c r="D158" t="s">
        <v>39</v>
      </c>
      <c r="E158" t="s">
        <v>36</v>
      </c>
      <c r="F158" s="1">
        <v>46217</v>
      </c>
      <c r="G158" s="1">
        <v>46342</v>
      </c>
      <c r="H158" s="1">
        <v>46343</v>
      </c>
      <c r="J158" t="s">
        <v>149</v>
      </c>
      <c r="K158" t="s">
        <v>40</v>
      </c>
      <c r="M158" t="s">
        <v>21</v>
      </c>
    </row>
    <row r="159" spans="1:13" hidden="1" x14ac:dyDescent="0.25">
      <c r="A159" s="1">
        <v>46247</v>
      </c>
      <c r="B159" t="s">
        <v>33</v>
      </c>
      <c r="C159" t="s">
        <v>34</v>
      </c>
      <c r="D159" t="s">
        <v>15</v>
      </c>
      <c r="E159" t="s">
        <v>36</v>
      </c>
      <c r="F159" s="1">
        <v>46245</v>
      </c>
      <c r="G159" s="1">
        <v>46340</v>
      </c>
      <c r="H159" s="1">
        <v>46341</v>
      </c>
      <c r="I159" t="s">
        <v>17</v>
      </c>
      <c r="J159" t="s">
        <v>18</v>
      </c>
      <c r="K159" t="s">
        <v>35</v>
      </c>
      <c r="L159" t="s">
        <v>20</v>
      </c>
      <c r="M159" t="s">
        <v>21</v>
      </c>
    </row>
    <row r="160" spans="1:13" hidden="1" x14ac:dyDescent="0.25">
      <c r="A160" s="1">
        <v>46247</v>
      </c>
      <c r="B160" t="s">
        <v>53</v>
      </c>
      <c r="C160" s="4" t="s">
        <v>54</v>
      </c>
      <c r="D160" t="s">
        <v>55</v>
      </c>
      <c r="E160" t="s">
        <v>16</v>
      </c>
      <c r="F160" s="1">
        <v>46229</v>
      </c>
      <c r="G160" s="1">
        <v>46258</v>
      </c>
      <c r="H160" s="1">
        <v>46259</v>
      </c>
      <c r="I160" t="s">
        <v>107</v>
      </c>
      <c r="J160" t="s">
        <v>108</v>
      </c>
      <c r="K160" t="s">
        <v>56</v>
      </c>
      <c r="L160" t="s">
        <v>109</v>
      </c>
      <c r="M160" t="s">
        <v>21</v>
      </c>
    </row>
    <row r="161" spans="1:13" hidden="1" x14ac:dyDescent="0.25">
      <c r="A161" s="1">
        <v>46247</v>
      </c>
      <c r="B161" t="s">
        <v>30</v>
      </c>
      <c r="C161" t="s">
        <v>31</v>
      </c>
      <c r="D161" t="s">
        <v>28</v>
      </c>
      <c r="E161" t="s">
        <v>24</v>
      </c>
      <c r="F161" s="1">
        <v>46230</v>
      </c>
      <c r="G161" s="1">
        <v>46262</v>
      </c>
      <c r="H161" s="1">
        <v>46263</v>
      </c>
      <c r="I161" t="s">
        <v>150</v>
      </c>
      <c r="J161" t="s">
        <v>151</v>
      </c>
      <c r="K161" t="s">
        <v>32</v>
      </c>
      <c r="L161" t="s">
        <v>152</v>
      </c>
      <c r="M161" t="s">
        <v>21</v>
      </c>
    </row>
    <row r="162" spans="1:13" hidden="1" x14ac:dyDescent="0.25">
      <c r="A162" s="1">
        <v>46247</v>
      </c>
      <c r="B162" t="s">
        <v>49</v>
      </c>
      <c r="C162" s="4" t="s">
        <v>50</v>
      </c>
      <c r="D162" t="s">
        <v>51</v>
      </c>
      <c r="E162" t="s">
        <v>36</v>
      </c>
      <c r="F162" s="1">
        <v>46241</v>
      </c>
      <c r="G162" s="1">
        <v>46366</v>
      </c>
      <c r="H162" s="1">
        <v>46367</v>
      </c>
      <c r="I162" t="s">
        <v>73</v>
      </c>
      <c r="J162" t="s">
        <v>74</v>
      </c>
      <c r="K162" t="s">
        <v>52</v>
      </c>
      <c r="L162" t="s">
        <v>75</v>
      </c>
      <c r="M162" t="s">
        <v>21</v>
      </c>
    </row>
    <row r="163" spans="1:13" hidden="1" x14ac:dyDescent="0.25">
      <c r="A163" s="1">
        <v>46247</v>
      </c>
      <c r="B163" t="s">
        <v>122</v>
      </c>
      <c r="C163" t="s">
        <v>123</v>
      </c>
      <c r="D163" t="s">
        <v>124</v>
      </c>
      <c r="E163" t="s">
        <v>16</v>
      </c>
      <c r="F163" s="1">
        <v>46246</v>
      </c>
      <c r="G163" s="1">
        <v>46254</v>
      </c>
      <c r="H163" s="1">
        <v>46255</v>
      </c>
      <c r="I163" t="s">
        <v>119</v>
      </c>
      <c r="J163" t="s">
        <v>120</v>
      </c>
      <c r="K163" t="s">
        <v>125</v>
      </c>
      <c r="L163" t="s">
        <v>121</v>
      </c>
      <c r="M163" t="s">
        <v>21</v>
      </c>
    </row>
    <row r="164" spans="1:13" hidden="1" x14ac:dyDescent="0.25">
      <c r="A164" s="1">
        <v>46247</v>
      </c>
      <c r="B164" t="s">
        <v>62</v>
      </c>
      <c r="C164" t="s">
        <v>202</v>
      </c>
      <c r="D164" t="s">
        <v>64</v>
      </c>
      <c r="E164" t="s">
        <v>16</v>
      </c>
      <c r="F164" s="1">
        <v>46219</v>
      </c>
      <c r="G164" s="1">
        <v>46248</v>
      </c>
      <c r="H164" s="1">
        <v>46249</v>
      </c>
      <c r="I164" t="s">
        <v>236</v>
      </c>
      <c r="J164" t="s">
        <v>237</v>
      </c>
      <c r="K164" t="s">
        <v>65</v>
      </c>
      <c r="L164" t="s">
        <v>239</v>
      </c>
      <c r="M164" t="s">
        <v>21</v>
      </c>
    </row>
    <row r="165" spans="1:13" hidden="1" x14ac:dyDescent="0.25">
      <c r="A165" s="1">
        <v>46247</v>
      </c>
      <c r="B165" t="s">
        <v>66</v>
      </c>
      <c r="C165" t="s">
        <v>67</v>
      </c>
      <c r="D165" t="s">
        <v>68</v>
      </c>
      <c r="E165" t="s">
        <v>24</v>
      </c>
      <c r="F165" s="1">
        <v>46240</v>
      </c>
      <c r="G165" s="1">
        <v>46265</v>
      </c>
      <c r="H165" s="1">
        <v>46266</v>
      </c>
      <c r="I165" t="s">
        <v>309</v>
      </c>
      <c r="J165" t="s">
        <v>310</v>
      </c>
      <c r="K165" t="s">
        <v>69</v>
      </c>
      <c r="L165" t="s">
        <v>311</v>
      </c>
      <c r="M165" t="s">
        <v>21</v>
      </c>
    </row>
    <row r="166" spans="1:13" hidden="1" x14ac:dyDescent="0.25">
      <c r="A166" s="1">
        <v>46247</v>
      </c>
      <c r="B166" t="s">
        <v>26</v>
      </c>
      <c r="C166" t="s">
        <v>27</v>
      </c>
      <c r="D166" t="s">
        <v>28</v>
      </c>
      <c r="E166" t="s">
        <v>16</v>
      </c>
      <c r="F166" s="1">
        <v>46226</v>
      </c>
      <c r="G166" s="1">
        <v>46255</v>
      </c>
      <c r="H166" s="1">
        <v>46256</v>
      </c>
      <c r="J166" t="s">
        <v>327</v>
      </c>
      <c r="K166" t="s">
        <v>29</v>
      </c>
      <c r="M166" t="s">
        <v>21</v>
      </c>
    </row>
    <row r="167" spans="1:13" hidden="1" x14ac:dyDescent="0.25">
      <c r="A167" s="1">
        <v>46247</v>
      </c>
      <c r="B167" t="s">
        <v>329</v>
      </c>
      <c r="C167" t="s">
        <v>330</v>
      </c>
      <c r="D167" t="s">
        <v>55</v>
      </c>
      <c r="E167" t="s">
        <v>16</v>
      </c>
      <c r="F167" s="1">
        <v>46245</v>
      </c>
      <c r="G167" s="1">
        <v>46249</v>
      </c>
      <c r="H167" s="1">
        <v>46250</v>
      </c>
      <c r="J167" t="s">
        <v>327</v>
      </c>
      <c r="K167" t="s">
        <v>331</v>
      </c>
      <c r="M167" t="s">
        <v>21</v>
      </c>
    </row>
    <row r="168" spans="1:13" hidden="1" x14ac:dyDescent="0.25">
      <c r="A168" s="1">
        <v>46247</v>
      </c>
      <c r="B168" t="s">
        <v>13</v>
      </c>
      <c r="C168" t="s">
        <v>14</v>
      </c>
      <c r="D168" t="s">
        <v>15</v>
      </c>
      <c r="E168" t="s">
        <v>16</v>
      </c>
      <c r="F168" s="1">
        <v>46242</v>
      </c>
      <c r="G168" s="1">
        <v>46246</v>
      </c>
      <c r="H168" s="1">
        <v>46247</v>
      </c>
      <c r="J168" t="s">
        <v>327</v>
      </c>
      <c r="K168" t="s">
        <v>19</v>
      </c>
      <c r="M168" t="s">
        <v>21</v>
      </c>
    </row>
    <row r="169" spans="1:13" hidden="1" x14ac:dyDescent="0.25">
      <c r="A169" s="1">
        <v>46247</v>
      </c>
      <c r="B169" t="s">
        <v>160</v>
      </c>
      <c r="C169" t="s">
        <v>161</v>
      </c>
      <c r="D169" t="s">
        <v>162</v>
      </c>
      <c r="E169" t="s">
        <v>92</v>
      </c>
      <c r="F169" s="1">
        <v>46242</v>
      </c>
      <c r="G169" s="1">
        <v>46247</v>
      </c>
      <c r="H169" s="1">
        <v>46248</v>
      </c>
      <c r="J169" t="s">
        <v>327</v>
      </c>
      <c r="K169" t="s">
        <v>165</v>
      </c>
      <c r="M169" t="s">
        <v>21</v>
      </c>
    </row>
    <row r="170" spans="1:13" hidden="1" x14ac:dyDescent="0.25">
      <c r="A170" s="1">
        <v>46247</v>
      </c>
      <c r="B170" t="s">
        <v>126</v>
      </c>
      <c r="C170" t="s">
        <v>127</v>
      </c>
      <c r="D170" t="s">
        <v>128</v>
      </c>
      <c r="E170" t="s">
        <v>16</v>
      </c>
      <c r="F170" s="1">
        <v>46242</v>
      </c>
      <c r="G170" s="1">
        <v>46272</v>
      </c>
      <c r="H170" s="1">
        <v>46273</v>
      </c>
      <c r="J170" t="s">
        <v>327</v>
      </c>
      <c r="K170" t="s">
        <v>129</v>
      </c>
      <c r="M170" t="s">
        <v>21</v>
      </c>
    </row>
    <row r="171" spans="1:13" hidden="1" x14ac:dyDescent="0.25">
      <c r="A171" s="1">
        <v>46247</v>
      </c>
      <c r="B171" t="s">
        <v>90</v>
      </c>
      <c r="C171" t="s">
        <v>91</v>
      </c>
      <c r="D171" t="s">
        <v>55</v>
      </c>
      <c r="E171" t="s">
        <v>92</v>
      </c>
      <c r="F171" s="1">
        <v>46245</v>
      </c>
      <c r="G171" s="1">
        <v>46249</v>
      </c>
      <c r="H171" s="1">
        <v>46250</v>
      </c>
      <c r="J171" t="s">
        <v>327</v>
      </c>
      <c r="K171" t="s">
        <v>93</v>
      </c>
      <c r="M171" t="s">
        <v>21</v>
      </c>
    </row>
    <row r="172" spans="1:13" hidden="1" x14ac:dyDescent="0.25">
      <c r="A172" s="1">
        <v>46247</v>
      </c>
      <c r="B172" t="s">
        <v>130</v>
      </c>
      <c r="C172" t="s">
        <v>131</v>
      </c>
      <c r="D172" t="s">
        <v>132</v>
      </c>
      <c r="E172" t="s">
        <v>16</v>
      </c>
      <c r="F172" s="1">
        <v>46217</v>
      </c>
      <c r="G172" s="1">
        <v>46246</v>
      </c>
      <c r="H172" s="1">
        <v>46247</v>
      </c>
      <c r="J172" t="s">
        <v>327</v>
      </c>
      <c r="K172" t="s">
        <v>133</v>
      </c>
      <c r="M172" t="s">
        <v>21</v>
      </c>
    </row>
    <row r="173" spans="1:13" hidden="1" x14ac:dyDescent="0.25">
      <c r="A173" s="1">
        <v>46247</v>
      </c>
      <c r="B173" t="s">
        <v>70</v>
      </c>
      <c r="C173" t="s">
        <v>71</v>
      </c>
      <c r="D173" t="s">
        <v>55</v>
      </c>
      <c r="E173" t="s">
        <v>16</v>
      </c>
      <c r="F173" s="1">
        <v>46226</v>
      </c>
      <c r="G173" s="1">
        <v>46246</v>
      </c>
      <c r="H173" s="1">
        <v>46247</v>
      </c>
      <c r="J173" t="s">
        <v>327</v>
      </c>
      <c r="K173" t="s">
        <v>72</v>
      </c>
      <c r="M173" t="s">
        <v>21</v>
      </c>
    </row>
    <row r="174" spans="1:13" hidden="1" x14ac:dyDescent="0.25">
      <c r="A174" s="1">
        <v>46247</v>
      </c>
      <c r="B174" t="s">
        <v>37</v>
      </c>
      <c r="C174" t="s">
        <v>38</v>
      </c>
      <c r="D174" t="s">
        <v>39</v>
      </c>
      <c r="E174" t="s">
        <v>36</v>
      </c>
      <c r="F174" s="1">
        <v>46217</v>
      </c>
      <c r="G174" s="1">
        <v>46342</v>
      </c>
      <c r="H174" s="1">
        <v>46343</v>
      </c>
      <c r="J174" t="s">
        <v>149</v>
      </c>
      <c r="K174" t="s">
        <v>40</v>
      </c>
      <c r="M174" t="s">
        <v>21</v>
      </c>
    </row>
    <row r="175" spans="1:13" hidden="1" x14ac:dyDescent="0.25">
      <c r="A175" s="1">
        <v>46248</v>
      </c>
      <c r="B175" t="s">
        <v>33</v>
      </c>
      <c r="C175" t="s">
        <v>34</v>
      </c>
      <c r="D175" t="s">
        <v>15</v>
      </c>
      <c r="E175" t="s">
        <v>36</v>
      </c>
      <c r="F175" s="1">
        <v>46245</v>
      </c>
      <c r="G175" s="1">
        <v>46340</v>
      </c>
      <c r="H175" s="1">
        <v>46341</v>
      </c>
      <c r="I175" t="s">
        <v>17</v>
      </c>
      <c r="J175" t="s">
        <v>18</v>
      </c>
      <c r="K175" t="s">
        <v>35</v>
      </c>
      <c r="L175" t="s">
        <v>20</v>
      </c>
      <c r="M175" t="s">
        <v>21</v>
      </c>
    </row>
    <row r="176" spans="1:13" hidden="1" x14ac:dyDescent="0.25">
      <c r="A176" s="1">
        <v>46248</v>
      </c>
      <c r="B176" t="s">
        <v>53</v>
      </c>
      <c r="C176" t="s">
        <v>54</v>
      </c>
      <c r="D176" t="s">
        <v>55</v>
      </c>
      <c r="E176" t="s">
        <v>16</v>
      </c>
      <c r="F176" s="1">
        <v>46229</v>
      </c>
      <c r="G176" s="1">
        <v>46258</v>
      </c>
      <c r="H176" s="1">
        <v>46259</v>
      </c>
      <c r="I176" t="s">
        <v>107</v>
      </c>
      <c r="J176" t="s">
        <v>108</v>
      </c>
      <c r="K176" t="s">
        <v>56</v>
      </c>
      <c r="L176" t="s">
        <v>109</v>
      </c>
      <c r="M176" t="s">
        <v>21</v>
      </c>
    </row>
    <row r="177" spans="1:13" hidden="1" x14ac:dyDescent="0.25">
      <c r="A177" s="1">
        <v>46248</v>
      </c>
      <c r="B177" t="s">
        <v>30</v>
      </c>
      <c r="C177" t="s">
        <v>31</v>
      </c>
      <c r="D177" t="s">
        <v>28</v>
      </c>
      <c r="E177" t="s">
        <v>24</v>
      </c>
      <c r="F177" s="1">
        <v>46230</v>
      </c>
      <c r="G177" s="1">
        <v>46262</v>
      </c>
      <c r="H177" s="1">
        <v>46263</v>
      </c>
      <c r="I177" t="s">
        <v>150</v>
      </c>
      <c r="J177" t="s">
        <v>151</v>
      </c>
      <c r="K177" t="s">
        <v>32</v>
      </c>
      <c r="L177" t="s">
        <v>152</v>
      </c>
      <c r="M177" t="s">
        <v>21</v>
      </c>
    </row>
    <row r="178" spans="1:13" hidden="1" x14ac:dyDescent="0.25">
      <c r="A178" s="1">
        <v>46248</v>
      </c>
      <c r="B178" t="s">
        <v>49</v>
      </c>
      <c r="C178" t="s">
        <v>50</v>
      </c>
      <c r="D178" t="s">
        <v>51</v>
      </c>
      <c r="E178" t="s">
        <v>36</v>
      </c>
      <c r="F178" s="1">
        <v>46241</v>
      </c>
      <c r="G178" s="1">
        <v>46366</v>
      </c>
      <c r="H178" s="1">
        <v>46367</v>
      </c>
      <c r="I178" t="s">
        <v>73</v>
      </c>
      <c r="J178" t="s">
        <v>74</v>
      </c>
      <c r="K178" t="s">
        <v>52</v>
      </c>
      <c r="L178" t="s">
        <v>75</v>
      </c>
      <c r="M178" t="s">
        <v>21</v>
      </c>
    </row>
    <row r="179" spans="1:13" hidden="1" x14ac:dyDescent="0.25">
      <c r="A179" s="1">
        <v>46248</v>
      </c>
      <c r="B179" t="s">
        <v>122</v>
      </c>
      <c r="C179" t="s">
        <v>123</v>
      </c>
      <c r="D179" t="s">
        <v>124</v>
      </c>
      <c r="E179" t="s">
        <v>16</v>
      </c>
      <c r="F179" s="1">
        <v>46246</v>
      </c>
      <c r="G179" s="1">
        <v>46254</v>
      </c>
      <c r="H179" s="1">
        <v>46255</v>
      </c>
      <c r="I179" t="s">
        <v>119</v>
      </c>
      <c r="J179" t="s">
        <v>120</v>
      </c>
      <c r="K179" t="s">
        <v>125</v>
      </c>
      <c r="L179" t="s">
        <v>121</v>
      </c>
      <c r="M179" t="s">
        <v>21</v>
      </c>
    </row>
    <row r="180" spans="1:13" hidden="1" x14ac:dyDescent="0.25">
      <c r="A180" s="1">
        <v>46248</v>
      </c>
      <c r="B180" t="s">
        <v>62</v>
      </c>
      <c r="C180" t="s">
        <v>202</v>
      </c>
      <c r="D180" t="s">
        <v>64</v>
      </c>
      <c r="E180" t="s">
        <v>16</v>
      </c>
      <c r="F180" s="1">
        <v>46219</v>
      </c>
      <c r="G180" s="1">
        <v>46248</v>
      </c>
      <c r="H180" s="1">
        <v>46249</v>
      </c>
      <c r="I180" t="s">
        <v>236</v>
      </c>
      <c r="J180" t="s">
        <v>237</v>
      </c>
      <c r="K180" t="s">
        <v>65</v>
      </c>
      <c r="L180" t="s">
        <v>239</v>
      </c>
      <c r="M180" t="s">
        <v>21</v>
      </c>
    </row>
    <row r="181" spans="1:13" hidden="1" x14ac:dyDescent="0.25">
      <c r="A181" s="1">
        <v>46248</v>
      </c>
      <c r="B181" t="s">
        <v>66</v>
      </c>
      <c r="C181" t="s">
        <v>67</v>
      </c>
      <c r="D181" t="s">
        <v>68</v>
      </c>
      <c r="E181" t="s">
        <v>24</v>
      </c>
      <c r="F181" s="1">
        <v>46240</v>
      </c>
      <c r="G181" s="1">
        <v>46265</v>
      </c>
      <c r="H181" s="1">
        <v>46266</v>
      </c>
      <c r="I181" t="s">
        <v>309</v>
      </c>
      <c r="J181" t="s">
        <v>310</v>
      </c>
      <c r="K181" t="s">
        <v>69</v>
      </c>
      <c r="L181" t="s">
        <v>311</v>
      </c>
      <c r="M181" t="s">
        <v>21</v>
      </c>
    </row>
    <row r="182" spans="1:13" hidden="1" x14ac:dyDescent="0.25">
      <c r="A182" s="1">
        <v>46248</v>
      </c>
      <c r="B182" t="s">
        <v>26</v>
      </c>
      <c r="C182" t="s">
        <v>27</v>
      </c>
      <c r="D182" t="s">
        <v>28</v>
      </c>
      <c r="E182" t="s">
        <v>16</v>
      </c>
      <c r="F182" s="1">
        <v>46226</v>
      </c>
      <c r="G182" s="1">
        <v>46255</v>
      </c>
      <c r="H182" s="1">
        <v>46256</v>
      </c>
      <c r="J182" t="s">
        <v>327</v>
      </c>
      <c r="K182" t="s">
        <v>29</v>
      </c>
      <c r="M182" t="s">
        <v>21</v>
      </c>
    </row>
    <row r="183" spans="1:13" hidden="1" x14ac:dyDescent="0.25">
      <c r="A183" s="1">
        <v>46248</v>
      </c>
      <c r="B183" t="s">
        <v>329</v>
      </c>
      <c r="C183" t="s">
        <v>330</v>
      </c>
      <c r="D183" t="s">
        <v>55</v>
      </c>
      <c r="E183" t="s">
        <v>16</v>
      </c>
      <c r="F183" s="1">
        <v>46245</v>
      </c>
      <c r="G183" s="1">
        <v>46249</v>
      </c>
      <c r="H183" s="1">
        <v>46250</v>
      </c>
      <c r="J183" t="s">
        <v>327</v>
      </c>
      <c r="K183" t="s">
        <v>331</v>
      </c>
      <c r="M183" t="s">
        <v>21</v>
      </c>
    </row>
    <row r="184" spans="1:13" hidden="1" x14ac:dyDescent="0.25">
      <c r="A184" s="1">
        <v>46248</v>
      </c>
      <c r="B184" t="s">
        <v>126</v>
      </c>
      <c r="C184" t="s">
        <v>127</v>
      </c>
      <c r="D184" t="s">
        <v>128</v>
      </c>
      <c r="E184" t="s">
        <v>16</v>
      </c>
      <c r="F184" s="1">
        <v>46242</v>
      </c>
      <c r="G184" s="1">
        <v>46272</v>
      </c>
      <c r="H184" s="1">
        <v>46273</v>
      </c>
      <c r="J184" t="s">
        <v>327</v>
      </c>
      <c r="K184" t="s">
        <v>129</v>
      </c>
      <c r="M184" t="s">
        <v>21</v>
      </c>
    </row>
    <row r="185" spans="1:13" hidden="1" x14ac:dyDescent="0.25">
      <c r="A185" s="1">
        <v>46248</v>
      </c>
      <c r="B185" t="s">
        <v>90</v>
      </c>
      <c r="C185" t="s">
        <v>91</v>
      </c>
      <c r="D185" t="s">
        <v>55</v>
      </c>
      <c r="E185" t="s">
        <v>92</v>
      </c>
      <c r="F185" s="1">
        <v>46245</v>
      </c>
      <c r="G185" s="1">
        <v>46249</v>
      </c>
      <c r="H185" s="1">
        <v>46250</v>
      </c>
      <c r="J185" t="s">
        <v>327</v>
      </c>
      <c r="K185" t="s">
        <v>93</v>
      </c>
      <c r="M185" t="s">
        <v>21</v>
      </c>
    </row>
    <row r="186" spans="1:13" hidden="1" x14ac:dyDescent="0.25">
      <c r="A186" s="1">
        <v>46248</v>
      </c>
      <c r="B186" t="s">
        <v>37</v>
      </c>
      <c r="C186" t="s">
        <v>38</v>
      </c>
      <c r="D186" t="s">
        <v>39</v>
      </c>
      <c r="E186" t="s">
        <v>36</v>
      </c>
      <c r="F186" s="1">
        <v>46217</v>
      </c>
      <c r="G186" s="1">
        <v>46342</v>
      </c>
      <c r="H186" s="1">
        <v>46343</v>
      </c>
      <c r="J186" t="s">
        <v>149</v>
      </c>
      <c r="K186" t="s">
        <v>40</v>
      </c>
      <c r="M186" t="s">
        <v>21</v>
      </c>
    </row>
    <row r="187" spans="1:13" hidden="1" x14ac:dyDescent="0.25">
      <c r="A187" s="1">
        <v>46249</v>
      </c>
      <c r="B187" t="s">
        <v>33</v>
      </c>
      <c r="C187" t="s">
        <v>34</v>
      </c>
      <c r="D187" t="s">
        <v>15</v>
      </c>
      <c r="E187" t="s">
        <v>36</v>
      </c>
      <c r="F187" s="1">
        <v>46245</v>
      </c>
      <c r="G187" s="1">
        <v>46340</v>
      </c>
      <c r="H187" s="1">
        <v>46341</v>
      </c>
      <c r="I187" t="s">
        <v>17</v>
      </c>
      <c r="J187" t="s">
        <v>18</v>
      </c>
      <c r="K187" t="s">
        <v>35</v>
      </c>
      <c r="L187" t="s">
        <v>20</v>
      </c>
      <c r="M187" t="s">
        <v>21</v>
      </c>
    </row>
    <row r="188" spans="1:13" hidden="1" x14ac:dyDescent="0.25">
      <c r="A188" s="1">
        <v>46249</v>
      </c>
      <c r="B188" t="s">
        <v>53</v>
      </c>
      <c r="C188" t="s">
        <v>88</v>
      </c>
      <c r="D188" t="s">
        <v>55</v>
      </c>
      <c r="E188" t="s">
        <v>16</v>
      </c>
      <c r="F188" s="1">
        <v>46229</v>
      </c>
      <c r="G188" s="1">
        <v>46258</v>
      </c>
      <c r="H188" s="1">
        <v>46259</v>
      </c>
      <c r="I188" t="s">
        <v>107</v>
      </c>
      <c r="J188" t="s">
        <v>108</v>
      </c>
      <c r="K188" t="s">
        <v>56</v>
      </c>
      <c r="L188" t="s">
        <v>109</v>
      </c>
      <c r="M188" t="s">
        <v>21</v>
      </c>
    </row>
    <row r="189" spans="1:13" hidden="1" x14ac:dyDescent="0.25">
      <c r="A189" s="1">
        <v>46249</v>
      </c>
      <c r="B189" t="s">
        <v>30</v>
      </c>
      <c r="C189" t="s">
        <v>61</v>
      </c>
      <c r="D189" t="s">
        <v>28</v>
      </c>
      <c r="E189" t="s">
        <v>24</v>
      </c>
      <c r="F189" s="1">
        <v>46249</v>
      </c>
      <c r="G189" s="1">
        <v>46262</v>
      </c>
      <c r="H189" s="1">
        <v>46263</v>
      </c>
      <c r="I189" t="s">
        <v>222</v>
      </c>
      <c r="J189" t="s">
        <v>223</v>
      </c>
      <c r="K189" t="s">
        <v>32</v>
      </c>
      <c r="L189" t="s">
        <v>224</v>
      </c>
      <c r="M189" t="s">
        <v>21</v>
      </c>
    </row>
    <row r="190" spans="1:13" hidden="1" x14ac:dyDescent="0.25">
      <c r="A190" s="1">
        <v>46249</v>
      </c>
      <c r="B190" t="s">
        <v>49</v>
      </c>
      <c r="C190" t="s">
        <v>50</v>
      </c>
      <c r="D190" t="s">
        <v>51</v>
      </c>
      <c r="E190" t="s">
        <v>36</v>
      </c>
      <c r="F190" s="1">
        <v>46241</v>
      </c>
      <c r="G190" s="1">
        <v>46366</v>
      </c>
      <c r="H190" s="1">
        <v>46367</v>
      </c>
      <c r="I190" t="s">
        <v>73</v>
      </c>
      <c r="J190" t="s">
        <v>74</v>
      </c>
      <c r="K190" t="s">
        <v>52</v>
      </c>
      <c r="L190" t="s">
        <v>75</v>
      </c>
      <c r="M190" t="s">
        <v>21</v>
      </c>
    </row>
    <row r="191" spans="1:13" hidden="1" x14ac:dyDescent="0.25">
      <c r="A191" s="1">
        <v>46249</v>
      </c>
      <c r="B191" t="s">
        <v>122</v>
      </c>
      <c r="C191" t="s">
        <v>123</v>
      </c>
      <c r="D191" t="s">
        <v>124</v>
      </c>
      <c r="E191" t="s">
        <v>16</v>
      </c>
      <c r="F191" s="1">
        <v>46246</v>
      </c>
      <c r="G191" s="1">
        <v>46254</v>
      </c>
      <c r="H191" s="1">
        <v>46255</v>
      </c>
      <c r="I191" t="s">
        <v>119</v>
      </c>
      <c r="J191" t="s">
        <v>120</v>
      </c>
      <c r="K191" t="s">
        <v>125</v>
      </c>
      <c r="L191" t="s">
        <v>121</v>
      </c>
      <c r="M191" t="s">
        <v>21</v>
      </c>
    </row>
    <row r="192" spans="1:13" hidden="1" x14ac:dyDescent="0.25">
      <c r="A192" s="1">
        <v>46249</v>
      </c>
      <c r="B192" t="s">
        <v>62</v>
      </c>
      <c r="C192" t="s">
        <v>202</v>
      </c>
      <c r="D192" t="s">
        <v>64</v>
      </c>
      <c r="E192" t="s">
        <v>16</v>
      </c>
      <c r="F192" s="1">
        <v>46248</v>
      </c>
      <c r="G192" s="1">
        <v>46277</v>
      </c>
      <c r="H192" s="1">
        <v>46278</v>
      </c>
      <c r="I192" t="s">
        <v>199</v>
      </c>
      <c r="J192" t="s">
        <v>200</v>
      </c>
      <c r="K192" t="s">
        <v>65</v>
      </c>
      <c r="L192" t="s">
        <v>201</v>
      </c>
      <c r="M192" t="s">
        <v>21</v>
      </c>
    </row>
    <row r="193" spans="1:13" hidden="1" x14ac:dyDescent="0.25">
      <c r="A193" s="1">
        <v>46249</v>
      </c>
      <c r="B193" t="s">
        <v>62</v>
      </c>
      <c r="C193" t="s">
        <v>63</v>
      </c>
      <c r="D193" t="s">
        <v>64</v>
      </c>
      <c r="E193" t="s">
        <v>16</v>
      </c>
      <c r="F193" s="1">
        <v>46219</v>
      </c>
      <c r="G193" s="1">
        <v>46248</v>
      </c>
      <c r="H193" s="1">
        <v>46249</v>
      </c>
      <c r="I193" t="s">
        <v>236</v>
      </c>
      <c r="J193" t="s">
        <v>237</v>
      </c>
      <c r="K193" t="s">
        <v>65</v>
      </c>
      <c r="L193" t="s">
        <v>239</v>
      </c>
      <c r="M193" t="s">
        <v>21</v>
      </c>
    </row>
    <row r="194" spans="1:13" hidden="1" x14ac:dyDescent="0.25">
      <c r="A194" s="1">
        <v>46249</v>
      </c>
      <c r="B194" t="s">
        <v>66</v>
      </c>
      <c r="C194" t="s">
        <v>84</v>
      </c>
      <c r="D194" t="s">
        <v>68</v>
      </c>
      <c r="E194" t="s">
        <v>24</v>
      </c>
      <c r="F194" s="1">
        <v>46240</v>
      </c>
      <c r="G194" s="1">
        <v>46265</v>
      </c>
      <c r="H194" s="1">
        <v>46266</v>
      </c>
      <c r="I194" t="s">
        <v>309</v>
      </c>
      <c r="J194" t="s">
        <v>310</v>
      </c>
      <c r="K194" t="s">
        <v>69</v>
      </c>
      <c r="L194" t="s">
        <v>311</v>
      </c>
      <c r="M194" t="s">
        <v>21</v>
      </c>
    </row>
    <row r="195" spans="1:13" hidden="1" x14ac:dyDescent="0.25">
      <c r="A195" s="1">
        <v>46249</v>
      </c>
      <c r="B195" t="s">
        <v>26</v>
      </c>
      <c r="C195" t="s">
        <v>27</v>
      </c>
      <c r="D195" t="s">
        <v>28</v>
      </c>
      <c r="E195" t="s">
        <v>16</v>
      </c>
      <c r="F195" s="1">
        <v>46226</v>
      </c>
      <c r="G195" s="1">
        <v>46255</v>
      </c>
      <c r="H195" s="1">
        <v>46256</v>
      </c>
      <c r="J195" t="s">
        <v>327</v>
      </c>
      <c r="K195" t="s">
        <v>29</v>
      </c>
      <c r="M195" t="s">
        <v>21</v>
      </c>
    </row>
    <row r="196" spans="1:13" hidden="1" x14ac:dyDescent="0.25">
      <c r="A196" s="1">
        <v>46249</v>
      </c>
      <c r="B196" t="s">
        <v>329</v>
      </c>
      <c r="C196" t="s">
        <v>330</v>
      </c>
      <c r="D196" t="s">
        <v>55</v>
      </c>
      <c r="E196" t="s">
        <v>16</v>
      </c>
      <c r="F196" s="1">
        <v>46245</v>
      </c>
      <c r="G196" s="1">
        <v>46249</v>
      </c>
      <c r="H196" s="1">
        <v>46250</v>
      </c>
      <c r="J196" t="s">
        <v>327</v>
      </c>
      <c r="K196" t="s">
        <v>331</v>
      </c>
      <c r="M196" t="s">
        <v>21</v>
      </c>
    </row>
    <row r="197" spans="1:13" hidden="1" x14ac:dyDescent="0.25">
      <c r="A197" s="1">
        <v>46249</v>
      </c>
      <c r="B197" t="s">
        <v>126</v>
      </c>
      <c r="C197" t="s">
        <v>127</v>
      </c>
      <c r="D197" t="s">
        <v>128</v>
      </c>
      <c r="E197" t="s">
        <v>16</v>
      </c>
      <c r="F197" s="1">
        <v>46242</v>
      </c>
      <c r="G197" s="1">
        <v>46272</v>
      </c>
      <c r="H197" s="1">
        <v>46273</v>
      </c>
      <c r="J197" t="s">
        <v>327</v>
      </c>
      <c r="K197" t="s">
        <v>129</v>
      </c>
      <c r="M197" t="s">
        <v>21</v>
      </c>
    </row>
    <row r="198" spans="1:13" hidden="1" x14ac:dyDescent="0.25">
      <c r="A198" s="1">
        <v>46249</v>
      </c>
      <c r="B198" t="s">
        <v>90</v>
      </c>
      <c r="C198" t="s">
        <v>91</v>
      </c>
      <c r="D198" t="s">
        <v>55</v>
      </c>
      <c r="E198" t="s">
        <v>92</v>
      </c>
      <c r="F198" s="1">
        <v>46245</v>
      </c>
      <c r="G198" s="1">
        <v>46249</v>
      </c>
      <c r="H198" s="1">
        <v>46250</v>
      </c>
      <c r="J198" t="s">
        <v>327</v>
      </c>
      <c r="K198" t="s">
        <v>93</v>
      </c>
      <c r="M198" t="s">
        <v>21</v>
      </c>
    </row>
    <row r="199" spans="1:13" hidden="1" x14ac:dyDescent="0.25">
      <c r="A199" s="1">
        <v>46249</v>
      </c>
      <c r="B199" t="s">
        <v>37</v>
      </c>
      <c r="C199" t="s">
        <v>38</v>
      </c>
      <c r="D199" t="s">
        <v>39</v>
      </c>
      <c r="E199" t="s">
        <v>36</v>
      </c>
      <c r="F199" s="1">
        <v>46217</v>
      </c>
      <c r="G199" s="1">
        <v>46342</v>
      </c>
      <c r="H199" s="1">
        <v>46343</v>
      </c>
      <c r="J199" t="s">
        <v>149</v>
      </c>
      <c r="K199" t="s">
        <v>40</v>
      </c>
      <c r="M199" t="s">
        <v>21</v>
      </c>
    </row>
    <row r="200" spans="1:13" hidden="1" x14ac:dyDescent="0.25">
      <c r="A200" s="1">
        <v>46252</v>
      </c>
      <c r="B200" t="s">
        <v>33</v>
      </c>
      <c r="C200" t="s">
        <v>34</v>
      </c>
      <c r="D200" t="s">
        <v>15</v>
      </c>
      <c r="E200" t="s">
        <v>36</v>
      </c>
      <c r="F200" s="1">
        <v>46245</v>
      </c>
      <c r="G200" s="1">
        <v>46340</v>
      </c>
      <c r="H200" s="1">
        <v>46341</v>
      </c>
      <c r="I200" t="s">
        <v>17</v>
      </c>
      <c r="J200" t="s">
        <v>18</v>
      </c>
      <c r="K200" t="s">
        <v>35</v>
      </c>
      <c r="L200" t="s">
        <v>20</v>
      </c>
      <c r="M200" t="s">
        <v>21</v>
      </c>
    </row>
    <row r="201" spans="1:13" hidden="1" x14ac:dyDescent="0.25">
      <c r="A201" s="1">
        <v>46252</v>
      </c>
      <c r="B201" t="s">
        <v>53</v>
      </c>
      <c r="C201" t="s">
        <v>54</v>
      </c>
      <c r="D201" t="s">
        <v>55</v>
      </c>
      <c r="E201" t="s">
        <v>16</v>
      </c>
      <c r="F201" s="1">
        <v>46229</v>
      </c>
      <c r="G201" s="1">
        <v>46258</v>
      </c>
      <c r="H201" s="1">
        <v>46259</v>
      </c>
      <c r="I201" t="s">
        <v>107</v>
      </c>
      <c r="J201" t="s">
        <v>108</v>
      </c>
      <c r="K201" t="s">
        <v>56</v>
      </c>
      <c r="L201" t="s">
        <v>109</v>
      </c>
      <c r="M201" t="s">
        <v>21</v>
      </c>
    </row>
    <row r="202" spans="1:13" hidden="1" x14ac:dyDescent="0.25">
      <c r="A202" s="1">
        <v>46252</v>
      </c>
      <c r="B202" t="s">
        <v>30</v>
      </c>
      <c r="C202" t="s">
        <v>31</v>
      </c>
      <c r="D202" t="s">
        <v>28</v>
      </c>
      <c r="E202" t="s">
        <v>24</v>
      </c>
      <c r="F202" s="1">
        <v>46249</v>
      </c>
      <c r="G202" s="1">
        <v>46262</v>
      </c>
      <c r="H202" s="1">
        <v>46263</v>
      </c>
      <c r="I202" t="s">
        <v>222</v>
      </c>
      <c r="J202" t="s">
        <v>223</v>
      </c>
      <c r="K202" t="s">
        <v>32</v>
      </c>
      <c r="L202" t="s">
        <v>224</v>
      </c>
      <c r="M202" t="s">
        <v>21</v>
      </c>
    </row>
    <row r="203" spans="1:13" hidden="1" x14ac:dyDescent="0.25">
      <c r="A203" s="1">
        <v>46252</v>
      </c>
      <c r="B203" t="s">
        <v>49</v>
      </c>
      <c r="C203" t="s">
        <v>50</v>
      </c>
      <c r="D203" t="s">
        <v>51</v>
      </c>
      <c r="E203" t="s">
        <v>36</v>
      </c>
      <c r="F203" s="1">
        <v>46241</v>
      </c>
      <c r="G203" s="1">
        <v>46366</v>
      </c>
      <c r="H203" s="1">
        <v>46367</v>
      </c>
      <c r="I203" t="s">
        <v>73</v>
      </c>
      <c r="J203" t="s">
        <v>74</v>
      </c>
      <c r="K203" t="s">
        <v>52</v>
      </c>
      <c r="L203" t="s">
        <v>75</v>
      </c>
      <c r="M203" t="s">
        <v>21</v>
      </c>
    </row>
    <row r="204" spans="1:13" hidden="1" x14ac:dyDescent="0.25">
      <c r="A204" s="1">
        <v>46252</v>
      </c>
      <c r="B204" t="s">
        <v>122</v>
      </c>
      <c r="C204" t="s">
        <v>123</v>
      </c>
      <c r="D204" t="s">
        <v>124</v>
      </c>
      <c r="E204" t="s">
        <v>16</v>
      </c>
      <c r="F204" s="1">
        <v>46246</v>
      </c>
      <c r="G204" s="1">
        <v>46254</v>
      </c>
      <c r="H204" s="1">
        <v>46255</v>
      </c>
      <c r="I204" t="s">
        <v>119</v>
      </c>
      <c r="J204" t="s">
        <v>120</v>
      </c>
      <c r="K204" t="s">
        <v>125</v>
      </c>
      <c r="L204" t="s">
        <v>121</v>
      </c>
      <c r="M204" t="s">
        <v>21</v>
      </c>
    </row>
    <row r="205" spans="1:13" hidden="1" x14ac:dyDescent="0.25">
      <c r="A205" s="1">
        <v>46252</v>
      </c>
      <c r="B205" t="s">
        <v>62</v>
      </c>
      <c r="C205" t="s">
        <v>202</v>
      </c>
      <c r="D205" t="s">
        <v>64</v>
      </c>
      <c r="E205" t="s">
        <v>16</v>
      </c>
      <c r="F205" s="1">
        <v>46248</v>
      </c>
      <c r="G205" s="1">
        <v>46277</v>
      </c>
      <c r="H205" s="1">
        <v>46278</v>
      </c>
      <c r="I205" t="s">
        <v>199</v>
      </c>
      <c r="J205" t="s">
        <v>200</v>
      </c>
      <c r="K205" t="s">
        <v>65</v>
      </c>
      <c r="L205" t="s">
        <v>201</v>
      </c>
      <c r="M205" t="s">
        <v>21</v>
      </c>
    </row>
    <row r="206" spans="1:13" hidden="1" x14ac:dyDescent="0.25">
      <c r="A206" s="1">
        <v>46252</v>
      </c>
      <c r="B206" t="s">
        <v>26</v>
      </c>
      <c r="C206" t="s">
        <v>27</v>
      </c>
      <c r="D206" t="s">
        <v>28</v>
      </c>
      <c r="E206" t="s">
        <v>16</v>
      </c>
      <c r="F206" s="1">
        <v>46226</v>
      </c>
      <c r="G206" s="1">
        <v>46255</v>
      </c>
      <c r="H206" s="1">
        <v>46256</v>
      </c>
      <c r="J206" t="s">
        <v>327</v>
      </c>
      <c r="K206" t="s">
        <v>29</v>
      </c>
      <c r="M206" t="s">
        <v>21</v>
      </c>
    </row>
    <row r="207" spans="1:13" hidden="1" x14ac:dyDescent="0.25">
      <c r="A207" s="1">
        <v>46252</v>
      </c>
      <c r="B207" t="s">
        <v>329</v>
      </c>
      <c r="C207" t="s">
        <v>330</v>
      </c>
      <c r="D207" t="s">
        <v>55</v>
      </c>
      <c r="E207" t="s">
        <v>16</v>
      </c>
      <c r="F207" s="1">
        <v>46245</v>
      </c>
      <c r="G207" s="1">
        <v>46249</v>
      </c>
      <c r="H207" s="1">
        <v>46250</v>
      </c>
      <c r="J207" t="s">
        <v>327</v>
      </c>
      <c r="K207" t="s">
        <v>331</v>
      </c>
      <c r="M207" t="s">
        <v>21</v>
      </c>
    </row>
    <row r="208" spans="1:13" hidden="1" x14ac:dyDescent="0.25">
      <c r="A208" s="1">
        <v>46252</v>
      </c>
      <c r="B208" t="s">
        <v>126</v>
      </c>
      <c r="C208" t="s">
        <v>127</v>
      </c>
      <c r="D208" t="s">
        <v>128</v>
      </c>
      <c r="E208" t="s">
        <v>16</v>
      </c>
      <c r="F208" s="1">
        <v>46242</v>
      </c>
      <c r="G208" s="1">
        <v>46272</v>
      </c>
      <c r="H208" s="1">
        <v>46273</v>
      </c>
      <c r="J208" t="s">
        <v>327</v>
      </c>
      <c r="K208" t="s">
        <v>129</v>
      </c>
      <c r="M208" t="s">
        <v>21</v>
      </c>
    </row>
    <row r="209" spans="1:13" hidden="1" x14ac:dyDescent="0.25">
      <c r="A209" s="1">
        <v>46252</v>
      </c>
      <c r="B209" t="s">
        <v>90</v>
      </c>
      <c r="C209" t="s">
        <v>91</v>
      </c>
      <c r="D209" t="s">
        <v>55</v>
      </c>
      <c r="E209" t="s">
        <v>92</v>
      </c>
      <c r="F209" s="1">
        <v>46245</v>
      </c>
      <c r="G209" s="1">
        <v>46249</v>
      </c>
      <c r="H209" s="1">
        <v>46250</v>
      </c>
      <c r="J209" t="s">
        <v>327</v>
      </c>
      <c r="K209" t="s">
        <v>93</v>
      </c>
      <c r="M209" t="s">
        <v>21</v>
      </c>
    </row>
    <row r="210" spans="1:13" hidden="1" x14ac:dyDescent="0.25">
      <c r="A210" s="1">
        <v>46253</v>
      </c>
      <c r="B210" t="s">
        <v>53</v>
      </c>
      <c r="C210" t="s">
        <v>54</v>
      </c>
      <c r="D210" t="s">
        <v>55</v>
      </c>
      <c r="E210" t="s">
        <v>16</v>
      </c>
      <c r="F210" s="1">
        <v>46229</v>
      </c>
      <c r="G210" s="1">
        <v>46258</v>
      </c>
      <c r="H210" s="1">
        <v>46259</v>
      </c>
      <c r="I210" t="s">
        <v>107</v>
      </c>
      <c r="J210" t="s">
        <v>108</v>
      </c>
      <c r="K210" t="s">
        <v>56</v>
      </c>
      <c r="L210" t="s">
        <v>109</v>
      </c>
      <c r="M210" t="s">
        <v>21</v>
      </c>
    </row>
    <row r="211" spans="1:13" hidden="1" x14ac:dyDescent="0.25">
      <c r="A211" s="1">
        <v>46253</v>
      </c>
      <c r="B211" t="s">
        <v>30</v>
      </c>
      <c r="C211" t="s">
        <v>31</v>
      </c>
      <c r="D211" t="s">
        <v>28</v>
      </c>
      <c r="E211" t="s">
        <v>24</v>
      </c>
      <c r="F211" s="1">
        <v>46249</v>
      </c>
      <c r="G211" s="1">
        <v>46262</v>
      </c>
      <c r="H211" s="1">
        <v>46263</v>
      </c>
      <c r="I211" t="s">
        <v>222</v>
      </c>
      <c r="J211" t="s">
        <v>223</v>
      </c>
      <c r="K211" t="s">
        <v>32</v>
      </c>
      <c r="L211" t="s">
        <v>224</v>
      </c>
      <c r="M211" t="s">
        <v>21</v>
      </c>
    </row>
    <row r="212" spans="1:13" hidden="1" x14ac:dyDescent="0.25">
      <c r="A212" s="1">
        <v>46253</v>
      </c>
      <c r="B212" t="s">
        <v>62</v>
      </c>
      <c r="C212" t="s">
        <v>202</v>
      </c>
      <c r="D212" t="s">
        <v>64</v>
      </c>
      <c r="E212" t="s">
        <v>16</v>
      </c>
      <c r="F212" s="1">
        <v>46249</v>
      </c>
      <c r="G212" s="1">
        <v>46278</v>
      </c>
      <c r="H212" s="1">
        <v>46279</v>
      </c>
      <c r="I212" t="s">
        <v>222</v>
      </c>
      <c r="J212" t="s">
        <v>223</v>
      </c>
      <c r="K212" t="s">
        <v>65</v>
      </c>
      <c r="L212" t="s">
        <v>224</v>
      </c>
      <c r="M212" t="s">
        <v>21</v>
      </c>
    </row>
    <row r="213" spans="1:13" hidden="1" x14ac:dyDescent="0.25">
      <c r="A213" s="1">
        <v>46253</v>
      </c>
      <c r="B213" t="s">
        <v>49</v>
      </c>
      <c r="C213" t="s">
        <v>50</v>
      </c>
      <c r="D213" t="s">
        <v>51</v>
      </c>
      <c r="E213" t="s">
        <v>36</v>
      </c>
      <c r="F213" s="1">
        <v>46241</v>
      </c>
      <c r="G213" s="1">
        <v>46366</v>
      </c>
      <c r="H213" s="1">
        <v>46367</v>
      </c>
      <c r="I213" t="s">
        <v>73</v>
      </c>
      <c r="J213" t="s">
        <v>74</v>
      </c>
      <c r="K213" t="s">
        <v>52</v>
      </c>
      <c r="L213" t="s">
        <v>75</v>
      </c>
      <c r="M213" t="s">
        <v>21</v>
      </c>
    </row>
    <row r="214" spans="1:13" hidden="1" x14ac:dyDescent="0.25">
      <c r="A214" s="1">
        <v>46253</v>
      </c>
      <c r="B214" t="s">
        <v>122</v>
      </c>
      <c r="C214" t="s">
        <v>123</v>
      </c>
      <c r="D214" t="s">
        <v>124</v>
      </c>
      <c r="E214" t="s">
        <v>16</v>
      </c>
      <c r="F214" s="1">
        <v>46246</v>
      </c>
      <c r="G214" s="1">
        <v>46254</v>
      </c>
      <c r="H214" s="1">
        <v>46255</v>
      </c>
      <c r="I214" t="s">
        <v>119</v>
      </c>
      <c r="J214" t="s">
        <v>120</v>
      </c>
      <c r="K214" t="s">
        <v>125</v>
      </c>
      <c r="L214" t="s">
        <v>121</v>
      </c>
      <c r="M214" t="s">
        <v>21</v>
      </c>
    </row>
    <row r="215" spans="1:13" hidden="1" x14ac:dyDescent="0.25">
      <c r="A215" s="1">
        <v>46253</v>
      </c>
      <c r="B215" t="s">
        <v>234</v>
      </c>
      <c r="C215" t="s">
        <v>235</v>
      </c>
      <c r="D215" t="s">
        <v>162</v>
      </c>
      <c r="E215" t="s">
        <v>16</v>
      </c>
      <c r="F215" s="1">
        <v>46251</v>
      </c>
      <c r="G215" s="1">
        <v>46255</v>
      </c>
      <c r="H215" s="1">
        <v>46256</v>
      </c>
      <c r="I215" t="s">
        <v>267</v>
      </c>
      <c r="J215" t="s">
        <v>268</v>
      </c>
      <c r="K215" t="s">
        <v>238</v>
      </c>
      <c r="L215" t="s">
        <v>269</v>
      </c>
      <c r="M215" t="s">
        <v>21</v>
      </c>
    </row>
    <row r="216" spans="1:13" hidden="1" x14ac:dyDescent="0.25">
      <c r="A216" s="1">
        <v>46253</v>
      </c>
      <c r="B216" t="s">
        <v>33</v>
      </c>
      <c r="C216" t="s">
        <v>34</v>
      </c>
      <c r="D216" t="s">
        <v>15</v>
      </c>
      <c r="E216" t="s">
        <v>36</v>
      </c>
      <c r="F216" s="1">
        <v>46244</v>
      </c>
      <c r="G216" s="1">
        <v>46393</v>
      </c>
      <c r="H216" s="1">
        <v>46394</v>
      </c>
      <c r="I216" t="s">
        <v>294</v>
      </c>
      <c r="J216" t="s">
        <v>295</v>
      </c>
      <c r="K216" t="s">
        <v>35</v>
      </c>
      <c r="L216" t="s">
        <v>296</v>
      </c>
      <c r="M216" t="s">
        <v>21</v>
      </c>
    </row>
    <row r="217" spans="1:13" hidden="1" x14ac:dyDescent="0.25">
      <c r="A217" s="1">
        <v>46253</v>
      </c>
      <c r="B217" t="s">
        <v>26</v>
      </c>
      <c r="C217" t="s">
        <v>27</v>
      </c>
      <c r="D217" t="s">
        <v>28</v>
      </c>
      <c r="E217" t="s">
        <v>16</v>
      </c>
      <c r="F217" s="1">
        <v>46226</v>
      </c>
      <c r="G217" s="1">
        <v>46255</v>
      </c>
      <c r="H217" s="1">
        <v>46256</v>
      </c>
      <c r="J217" t="s">
        <v>327</v>
      </c>
      <c r="K217" t="s">
        <v>29</v>
      </c>
      <c r="M217" t="s">
        <v>21</v>
      </c>
    </row>
    <row r="218" spans="1:13" hidden="1" x14ac:dyDescent="0.25">
      <c r="A218" s="1">
        <v>46253</v>
      </c>
      <c r="B218" t="s">
        <v>100</v>
      </c>
      <c r="C218" t="s">
        <v>101</v>
      </c>
      <c r="D218" t="s">
        <v>102</v>
      </c>
      <c r="E218" t="s">
        <v>16</v>
      </c>
      <c r="F218" s="1">
        <v>46253</v>
      </c>
      <c r="G218" s="1">
        <v>46256</v>
      </c>
      <c r="H218" s="1">
        <v>46257</v>
      </c>
      <c r="J218" t="s">
        <v>327</v>
      </c>
      <c r="K218" t="s">
        <v>105</v>
      </c>
      <c r="M218" t="s">
        <v>21</v>
      </c>
    </row>
    <row r="219" spans="1:13" hidden="1" x14ac:dyDescent="0.25">
      <c r="A219" s="1">
        <v>46253</v>
      </c>
      <c r="B219" t="s">
        <v>126</v>
      </c>
      <c r="C219" t="s">
        <v>127</v>
      </c>
      <c r="D219" t="s">
        <v>128</v>
      </c>
      <c r="E219" t="s">
        <v>16</v>
      </c>
      <c r="F219" s="1">
        <v>46242</v>
      </c>
      <c r="G219" s="1">
        <v>46272</v>
      </c>
      <c r="H219" s="1">
        <v>46273</v>
      </c>
      <c r="J219" t="s">
        <v>327</v>
      </c>
      <c r="K219" t="s">
        <v>129</v>
      </c>
      <c r="M219" t="s">
        <v>21</v>
      </c>
    </row>
    <row r="220" spans="1:13" hidden="1" x14ac:dyDescent="0.25">
      <c r="A220" s="1">
        <v>46253</v>
      </c>
      <c r="B220" t="s">
        <v>3427</v>
      </c>
      <c r="C220" t="s">
        <v>3428</v>
      </c>
      <c r="D220" t="s">
        <v>59</v>
      </c>
      <c r="E220" t="s">
        <v>24</v>
      </c>
      <c r="F220" s="1">
        <v>46253</v>
      </c>
      <c r="G220" s="1">
        <v>46265</v>
      </c>
      <c r="H220" s="1">
        <v>46266</v>
      </c>
      <c r="J220" t="s">
        <v>327</v>
      </c>
      <c r="K220" t="s">
        <v>3429</v>
      </c>
      <c r="M220" t="s">
        <v>21</v>
      </c>
    </row>
    <row r="221" spans="1:13" hidden="1" x14ac:dyDescent="0.25">
      <c r="A221" s="1">
        <v>46253</v>
      </c>
      <c r="B221" t="s">
        <v>170</v>
      </c>
      <c r="C221" t="s">
        <v>171</v>
      </c>
      <c r="D221" t="s">
        <v>172</v>
      </c>
      <c r="E221" t="s">
        <v>16</v>
      </c>
      <c r="F221" s="1">
        <v>46252</v>
      </c>
      <c r="G221" s="1">
        <v>46262</v>
      </c>
      <c r="H221" s="1">
        <v>46263</v>
      </c>
      <c r="J221" t="s">
        <v>4169</v>
      </c>
      <c r="K221" t="s">
        <v>173</v>
      </c>
      <c r="M221" t="s">
        <v>21</v>
      </c>
    </row>
    <row r="222" spans="1:13" hidden="1" x14ac:dyDescent="0.25">
      <c r="A222" s="1">
        <v>46254</v>
      </c>
      <c r="B222" t="s">
        <v>53</v>
      </c>
      <c r="C222" t="s">
        <v>54</v>
      </c>
      <c r="D222" t="s">
        <v>55</v>
      </c>
      <c r="E222" t="s">
        <v>16</v>
      </c>
      <c r="F222" s="1">
        <v>46229</v>
      </c>
      <c r="G222" s="1">
        <v>46258</v>
      </c>
      <c r="H222" s="1">
        <v>46259</v>
      </c>
      <c r="I222" t="s">
        <v>107</v>
      </c>
      <c r="J222" t="s">
        <v>108</v>
      </c>
      <c r="K222" t="s">
        <v>56</v>
      </c>
      <c r="L222" t="s">
        <v>109</v>
      </c>
      <c r="M222" t="s">
        <v>21</v>
      </c>
    </row>
    <row r="223" spans="1:13" hidden="1" x14ac:dyDescent="0.25">
      <c r="A223" s="1">
        <v>46254</v>
      </c>
      <c r="B223" t="s">
        <v>30</v>
      </c>
      <c r="C223" t="s">
        <v>31</v>
      </c>
      <c r="D223" t="s">
        <v>28</v>
      </c>
      <c r="E223" t="s">
        <v>24</v>
      </c>
      <c r="F223" s="1">
        <v>46249</v>
      </c>
      <c r="G223" s="1">
        <v>46262</v>
      </c>
      <c r="H223" s="1">
        <v>46263</v>
      </c>
      <c r="I223" t="s">
        <v>222</v>
      </c>
      <c r="J223" t="s">
        <v>223</v>
      </c>
      <c r="K223" t="s">
        <v>32</v>
      </c>
      <c r="L223" t="s">
        <v>224</v>
      </c>
      <c r="M223" t="s">
        <v>21</v>
      </c>
    </row>
    <row r="224" spans="1:13" hidden="1" x14ac:dyDescent="0.25">
      <c r="A224" s="1">
        <v>46254</v>
      </c>
      <c r="B224" t="s">
        <v>62</v>
      </c>
      <c r="C224" t="s">
        <v>202</v>
      </c>
      <c r="D224" t="s">
        <v>64</v>
      </c>
      <c r="E224" t="s">
        <v>16</v>
      </c>
      <c r="F224" s="1">
        <v>46249</v>
      </c>
      <c r="G224" s="1">
        <v>46278</v>
      </c>
      <c r="H224" s="1">
        <v>46279</v>
      </c>
      <c r="I224" t="s">
        <v>222</v>
      </c>
      <c r="J224" t="s">
        <v>223</v>
      </c>
      <c r="K224" t="s">
        <v>65</v>
      </c>
      <c r="L224" t="s">
        <v>224</v>
      </c>
      <c r="M224" t="s">
        <v>21</v>
      </c>
    </row>
    <row r="225" spans="1:13" hidden="1" x14ac:dyDescent="0.25">
      <c r="A225" s="1">
        <v>46254</v>
      </c>
      <c r="B225" t="s">
        <v>49</v>
      </c>
      <c r="C225" t="s">
        <v>50</v>
      </c>
      <c r="D225" t="s">
        <v>51</v>
      </c>
      <c r="E225" t="s">
        <v>36</v>
      </c>
      <c r="F225" s="1">
        <v>46241</v>
      </c>
      <c r="G225" s="1">
        <v>46366</v>
      </c>
      <c r="H225" s="1">
        <v>46367</v>
      </c>
      <c r="I225" t="s">
        <v>73</v>
      </c>
      <c r="J225" t="s">
        <v>74</v>
      </c>
      <c r="K225" t="s">
        <v>52</v>
      </c>
      <c r="L225" t="s">
        <v>75</v>
      </c>
      <c r="M225" t="s">
        <v>21</v>
      </c>
    </row>
    <row r="226" spans="1:13" hidden="1" x14ac:dyDescent="0.25">
      <c r="A226" s="1">
        <v>46254</v>
      </c>
      <c r="B226" t="s">
        <v>122</v>
      </c>
      <c r="C226" t="s">
        <v>123</v>
      </c>
      <c r="D226" t="s">
        <v>124</v>
      </c>
      <c r="E226" t="s">
        <v>16</v>
      </c>
      <c r="F226" s="1">
        <v>46246</v>
      </c>
      <c r="G226" s="1">
        <v>46254</v>
      </c>
      <c r="H226" s="1">
        <v>46255</v>
      </c>
      <c r="I226" t="s">
        <v>119</v>
      </c>
      <c r="J226" t="s">
        <v>120</v>
      </c>
      <c r="K226" t="s">
        <v>125</v>
      </c>
      <c r="L226" t="s">
        <v>121</v>
      </c>
      <c r="M226" t="s">
        <v>21</v>
      </c>
    </row>
    <row r="227" spans="1:13" hidden="1" x14ac:dyDescent="0.25">
      <c r="A227" s="1">
        <v>46254</v>
      </c>
      <c r="B227" t="s">
        <v>234</v>
      </c>
      <c r="C227" t="s">
        <v>235</v>
      </c>
      <c r="D227" t="s">
        <v>162</v>
      </c>
      <c r="E227" t="s">
        <v>16</v>
      </c>
      <c r="F227" s="1">
        <v>46251</v>
      </c>
      <c r="G227" s="1">
        <v>46255</v>
      </c>
      <c r="H227" s="1">
        <v>46256</v>
      </c>
      <c r="I227" t="s">
        <v>267</v>
      </c>
      <c r="J227" t="s">
        <v>268</v>
      </c>
      <c r="K227" t="s">
        <v>238</v>
      </c>
      <c r="L227" t="s">
        <v>269</v>
      </c>
      <c r="M227" t="s">
        <v>21</v>
      </c>
    </row>
    <row r="228" spans="1:13" hidden="1" x14ac:dyDescent="0.25">
      <c r="A228" s="1">
        <v>46254</v>
      </c>
      <c r="B228" t="s">
        <v>33</v>
      </c>
      <c r="C228" t="s">
        <v>34</v>
      </c>
      <c r="D228" t="s">
        <v>15</v>
      </c>
      <c r="E228" t="s">
        <v>36</v>
      </c>
      <c r="F228" s="1">
        <v>46244</v>
      </c>
      <c r="G228" s="1">
        <v>46393</v>
      </c>
      <c r="H228" s="1">
        <v>46394</v>
      </c>
      <c r="I228" t="s">
        <v>294</v>
      </c>
      <c r="J228" t="s">
        <v>295</v>
      </c>
      <c r="K228" t="s">
        <v>35</v>
      </c>
      <c r="L228" t="s">
        <v>296</v>
      </c>
      <c r="M228" t="s">
        <v>21</v>
      </c>
    </row>
    <row r="229" spans="1:13" hidden="1" x14ac:dyDescent="0.25">
      <c r="A229" s="1">
        <v>46254</v>
      </c>
      <c r="B229" t="s">
        <v>26</v>
      </c>
      <c r="C229" t="s">
        <v>27</v>
      </c>
      <c r="D229" t="s">
        <v>28</v>
      </c>
      <c r="E229" t="s">
        <v>16</v>
      </c>
      <c r="F229" s="1">
        <v>46226</v>
      </c>
      <c r="G229" s="1">
        <v>46255</v>
      </c>
      <c r="H229" s="1">
        <v>46256</v>
      </c>
      <c r="J229" t="s">
        <v>327</v>
      </c>
      <c r="K229" t="s">
        <v>29</v>
      </c>
      <c r="M229" t="s">
        <v>21</v>
      </c>
    </row>
    <row r="230" spans="1:13" hidden="1" x14ac:dyDescent="0.25">
      <c r="A230" s="1">
        <v>46254</v>
      </c>
      <c r="B230" t="s">
        <v>100</v>
      </c>
      <c r="C230" t="s">
        <v>101</v>
      </c>
      <c r="D230" t="s">
        <v>102</v>
      </c>
      <c r="E230" t="s">
        <v>16</v>
      </c>
      <c r="F230" s="1">
        <v>46253</v>
      </c>
      <c r="G230" s="1">
        <v>46256</v>
      </c>
      <c r="H230" s="1">
        <v>46257</v>
      </c>
      <c r="J230" t="s">
        <v>327</v>
      </c>
      <c r="K230" t="s">
        <v>105</v>
      </c>
      <c r="M230" t="s">
        <v>21</v>
      </c>
    </row>
    <row r="231" spans="1:13" hidden="1" x14ac:dyDescent="0.25">
      <c r="A231" s="1">
        <v>46254</v>
      </c>
      <c r="B231" t="s">
        <v>126</v>
      </c>
      <c r="C231" t="s">
        <v>127</v>
      </c>
      <c r="D231" t="s">
        <v>128</v>
      </c>
      <c r="E231" t="s">
        <v>16</v>
      </c>
      <c r="F231" s="1">
        <v>46242</v>
      </c>
      <c r="G231" s="1">
        <v>46272</v>
      </c>
      <c r="H231" s="1">
        <v>46273</v>
      </c>
      <c r="J231" t="s">
        <v>327</v>
      </c>
      <c r="K231" t="s">
        <v>129</v>
      </c>
      <c r="M231" t="s">
        <v>21</v>
      </c>
    </row>
    <row r="232" spans="1:13" hidden="1" x14ac:dyDescent="0.25">
      <c r="A232" s="1">
        <v>46254</v>
      </c>
      <c r="B232" t="s">
        <v>3427</v>
      </c>
      <c r="C232" t="s">
        <v>3428</v>
      </c>
      <c r="D232" t="s">
        <v>59</v>
      </c>
      <c r="E232" t="s">
        <v>24</v>
      </c>
      <c r="F232" s="1">
        <v>46253</v>
      </c>
      <c r="G232" s="1">
        <v>46265</v>
      </c>
      <c r="H232" s="1">
        <v>46266</v>
      </c>
      <c r="J232" t="s">
        <v>327</v>
      </c>
      <c r="K232" t="s">
        <v>3429</v>
      </c>
      <c r="M232" t="s">
        <v>21</v>
      </c>
    </row>
    <row r="233" spans="1:13" hidden="1" x14ac:dyDescent="0.25">
      <c r="A233" s="1">
        <v>46254</v>
      </c>
      <c r="B233" t="s">
        <v>145</v>
      </c>
      <c r="C233" t="s">
        <v>146</v>
      </c>
      <c r="D233" t="s">
        <v>124</v>
      </c>
      <c r="E233" t="s">
        <v>16</v>
      </c>
      <c r="F233" s="1">
        <v>46254</v>
      </c>
      <c r="G233" s="1">
        <v>46268</v>
      </c>
      <c r="H233" s="1">
        <v>46269</v>
      </c>
      <c r="J233" t="s">
        <v>327</v>
      </c>
      <c r="K233" t="s">
        <v>147</v>
      </c>
      <c r="M233" t="s">
        <v>21</v>
      </c>
    </row>
    <row r="234" spans="1:13" hidden="1" x14ac:dyDescent="0.25">
      <c r="A234" s="1">
        <v>46254</v>
      </c>
      <c r="B234" t="s">
        <v>170</v>
      </c>
      <c r="C234" t="s">
        <v>171</v>
      </c>
      <c r="D234" t="s">
        <v>172</v>
      </c>
      <c r="E234" t="s">
        <v>16</v>
      </c>
      <c r="F234" s="1">
        <v>46252</v>
      </c>
      <c r="G234" s="1">
        <v>46262</v>
      </c>
      <c r="H234" s="1">
        <v>46263</v>
      </c>
      <c r="J234" t="s">
        <v>4169</v>
      </c>
      <c r="K234" t="s">
        <v>173</v>
      </c>
      <c r="M234" t="s">
        <v>21</v>
      </c>
    </row>
    <row r="235" spans="1:13" hidden="1" x14ac:dyDescent="0.25">
      <c r="A235" s="1">
        <v>46255</v>
      </c>
      <c r="B235" t="s">
        <v>53</v>
      </c>
      <c r="C235" t="s">
        <v>54</v>
      </c>
      <c r="D235" t="s">
        <v>55</v>
      </c>
      <c r="E235" t="s">
        <v>16</v>
      </c>
      <c r="F235" s="1">
        <v>46229</v>
      </c>
      <c r="G235" s="1">
        <v>46258</v>
      </c>
      <c r="H235" s="1">
        <v>46259</v>
      </c>
      <c r="I235" t="s">
        <v>107</v>
      </c>
      <c r="J235" t="s">
        <v>108</v>
      </c>
      <c r="K235" t="s">
        <v>56</v>
      </c>
      <c r="L235" t="s">
        <v>109</v>
      </c>
      <c r="M235" t="s">
        <v>21</v>
      </c>
    </row>
    <row r="236" spans="1:13" hidden="1" x14ac:dyDescent="0.25">
      <c r="A236" s="1">
        <v>46255</v>
      </c>
      <c r="B236" t="s">
        <v>30</v>
      </c>
      <c r="C236" t="s">
        <v>31</v>
      </c>
      <c r="D236" t="s">
        <v>28</v>
      </c>
      <c r="E236" t="s">
        <v>24</v>
      </c>
      <c r="F236" s="1">
        <v>46249</v>
      </c>
      <c r="G236" s="1">
        <v>46262</v>
      </c>
      <c r="H236" s="1">
        <v>46263</v>
      </c>
      <c r="I236" t="s">
        <v>222</v>
      </c>
      <c r="J236" t="s">
        <v>223</v>
      </c>
      <c r="K236" t="s">
        <v>32</v>
      </c>
      <c r="L236" t="s">
        <v>224</v>
      </c>
      <c r="M236" t="s">
        <v>21</v>
      </c>
    </row>
    <row r="237" spans="1:13" hidden="1" x14ac:dyDescent="0.25">
      <c r="A237" s="1">
        <v>46255</v>
      </c>
      <c r="B237" t="s">
        <v>62</v>
      </c>
      <c r="C237" t="s">
        <v>202</v>
      </c>
      <c r="D237" t="s">
        <v>64</v>
      </c>
      <c r="E237" t="s">
        <v>16</v>
      </c>
      <c r="F237" s="1">
        <v>46249</v>
      </c>
      <c r="G237" s="1">
        <v>46278</v>
      </c>
      <c r="H237" s="1">
        <v>46279</v>
      </c>
      <c r="I237" t="s">
        <v>222</v>
      </c>
      <c r="J237" t="s">
        <v>223</v>
      </c>
      <c r="K237" t="s">
        <v>65</v>
      </c>
      <c r="L237" t="s">
        <v>224</v>
      </c>
      <c r="M237" t="s">
        <v>21</v>
      </c>
    </row>
    <row r="238" spans="1:13" hidden="1" x14ac:dyDescent="0.25">
      <c r="A238" s="1">
        <v>46255</v>
      </c>
      <c r="B238" t="s">
        <v>49</v>
      </c>
      <c r="C238" t="s">
        <v>50</v>
      </c>
      <c r="D238" t="s">
        <v>51</v>
      </c>
      <c r="E238" t="s">
        <v>36</v>
      </c>
      <c r="F238" s="1">
        <v>46241</v>
      </c>
      <c r="G238" s="1">
        <v>46366</v>
      </c>
      <c r="H238" s="1">
        <v>46367</v>
      </c>
      <c r="I238" t="s">
        <v>73</v>
      </c>
      <c r="J238" t="s">
        <v>74</v>
      </c>
      <c r="K238" t="s">
        <v>52</v>
      </c>
      <c r="L238" t="s">
        <v>75</v>
      </c>
      <c r="M238" t="s">
        <v>21</v>
      </c>
    </row>
    <row r="239" spans="1:13" hidden="1" x14ac:dyDescent="0.25">
      <c r="A239" s="1">
        <v>46255</v>
      </c>
      <c r="B239" t="s">
        <v>122</v>
      </c>
      <c r="C239" t="s">
        <v>123</v>
      </c>
      <c r="D239" t="s">
        <v>124</v>
      </c>
      <c r="E239" t="s">
        <v>16</v>
      </c>
      <c r="F239" s="1">
        <v>46246</v>
      </c>
      <c r="G239" s="1">
        <v>46254</v>
      </c>
      <c r="H239" s="1">
        <v>46255</v>
      </c>
      <c r="I239" t="s">
        <v>119</v>
      </c>
      <c r="J239" t="s">
        <v>120</v>
      </c>
      <c r="K239" t="s">
        <v>125</v>
      </c>
      <c r="L239" t="s">
        <v>121</v>
      </c>
      <c r="M239" t="s">
        <v>21</v>
      </c>
    </row>
    <row r="240" spans="1:13" hidden="1" x14ac:dyDescent="0.25">
      <c r="A240" s="1">
        <v>46255</v>
      </c>
      <c r="B240" t="s">
        <v>234</v>
      </c>
      <c r="C240" t="s">
        <v>235</v>
      </c>
      <c r="D240" t="s">
        <v>162</v>
      </c>
      <c r="E240" t="s">
        <v>16</v>
      </c>
      <c r="F240" s="1">
        <v>46251</v>
      </c>
      <c r="G240" s="1">
        <v>46255</v>
      </c>
      <c r="H240" s="1">
        <v>46256</v>
      </c>
      <c r="I240" t="s">
        <v>267</v>
      </c>
      <c r="J240" t="s">
        <v>268</v>
      </c>
      <c r="K240" t="s">
        <v>238</v>
      </c>
      <c r="L240" t="s">
        <v>269</v>
      </c>
      <c r="M240" t="s">
        <v>21</v>
      </c>
    </row>
    <row r="241" spans="1:13" hidden="1" x14ac:dyDescent="0.25">
      <c r="A241" s="1">
        <v>46255</v>
      </c>
      <c r="B241" t="s">
        <v>33</v>
      </c>
      <c r="C241" t="s">
        <v>34</v>
      </c>
      <c r="D241" t="s">
        <v>15</v>
      </c>
      <c r="E241" t="s">
        <v>36</v>
      </c>
      <c r="F241" s="1">
        <v>46244</v>
      </c>
      <c r="G241" s="1">
        <v>46393</v>
      </c>
      <c r="H241" s="1">
        <v>46394</v>
      </c>
      <c r="I241" t="s">
        <v>294</v>
      </c>
      <c r="J241" t="s">
        <v>295</v>
      </c>
      <c r="K241" t="s">
        <v>35</v>
      </c>
      <c r="L241" t="s">
        <v>296</v>
      </c>
      <c r="M241" t="s">
        <v>21</v>
      </c>
    </row>
    <row r="242" spans="1:13" hidden="1" x14ac:dyDescent="0.25">
      <c r="A242" s="1">
        <v>46255</v>
      </c>
      <c r="B242" t="s">
        <v>26</v>
      </c>
      <c r="C242" t="s">
        <v>27</v>
      </c>
      <c r="D242" t="s">
        <v>28</v>
      </c>
      <c r="E242" t="s">
        <v>16</v>
      </c>
      <c r="F242" s="1">
        <v>46226</v>
      </c>
      <c r="G242" s="1">
        <v>46255</v>
      </c>
      <c r="H242" s="1">
        <v>46256</v>
      </c>
      <c r="J242" t="s">
        <v>327</v>
      </c>
      <c r="K242" t="s">
        <v>29</v>
      </c>
      <c r="M242" t="s">
        <v>21</v>
      </c>
    </row>
    <row r="243" spans="1:13" hidden="1" x14ac:dyDescent="0.25">
      <c r="A243" s="1">
        <v>46255</v>
      </c>
      <c r="B243" t="s">
        <v>100</v>
      </c>
      <c r="C243" t="s">
        <v>101</v>
      </c>
      <c r="D243" t="s">
        <v>102</v>
      </c>
      <c r="E243" t="s">
        <v>16</v>
      </c>
      <c r="F243" s="1">
        <v>46253</v>
      </c>
      <c r="G243" s="1">
        <v>46256</v>
      </c>
      <c r="H243" s="1">
        <v>46257</v>
      </c>
      <c r="J243" t="s">
        <v>327</v>
      </c>
      <c r="K243" t="s">
        <v>105</v>
      </c>
      <c r="M243" t="s">
        <v>21</v>
      </c>
    </row>
    <row r="244" spans="1:13" hidden="1" x14ac:dyDescent="0.25">
      <c r="A244" s="1">
        <v>46255</v>
      </c>
      <c r="B244" t="s">
        <v>126</v>
      </c>
      <c r="C244" t="s">
        <v>127</v>
      </c>
      <c r="D244" t="s">
        <v>128</v>
      </c>
      <c r="E244" t="s">
        <v>16</v>
      </c>
      <c r="F244" s="1">
        <v>46242</v>
      </c>
      <c r="G244" s="1">
        <v>46272</v>
      </c>
      <c r="H244" s="1">
        <v>46273</v>
      </c>
      <c r="J244" t="s">
        <v>327</v>
      </c>
      <c r="K244" t="s">
        <v>129</v>
      </c>
      <c r="M244" t="s">
        <v>21</v>
      </c>
    </row>
    <row r="245" spans="1:13" hidden="1" x14ac:dyDescent="0.25">
      <c r="A245" s="1">
        <v>46255</v>
      </c>
      <c r="B245" t="s">
        <v>3427</v>
      </c>
      <c r="C245" t="s">
        <v>3428</v>
      </c>
      <c r="D245" t="s">
        <v>59</v>
      </c>
      <c r="E245" t="s">
        <v>24</v>
      </c>
      <c r="F245" s="1">
        <v>46253</v>
      </c>
      <c r="G245" s="1">
        <v>46265</v>
      </c>
      <c r="H245" s="1">
        <v>46266</v>
      </c>
      <c r="J245" t="s">
        <v>327</v>
      </c>
      <c r="K245" t="s">
        <v>3429</v>
      </c>
      <c r="M245" t="s">
        <v>21</v>
      </c>
    </row>
    <row r="246" spans="1:13" hidden="1" x14ac:dyDescent="0.25">
      <c r="A246" s="1">
        <v>46255</v>
      </c>
      <c r="B246" t="s">
        <v>145</v>
      </c>
      <c r="C246" t="s">
        <v>146</v>
      </c>
      <c r="D246" t="s">
        <v>124</v>
      </c>
      <c r="E246" t="s">
        <v>16</v>
      </c>
      <c r="F246" s="1">
        <v>46254</v>
      </c>
      <c r="G246" s="1">
        <v>46268</v>
      </c>
      <c r="H246" s="1">
        <v>46269</v>
      </c>
      <c r="J246" t="s">
        <v>327</v>
      </c>
      <c r="K246" t="s">
        <v>147</v>
      </c>
      <c r="M246" t="s">
        <v>21</v>
      </c>
    </row>
    <row r="247" spans="1:13" hidden="1" x14ac:dyDescent="0.25">
      <c r="A247" s="1">
        <v>46255</v>
      </c>
      <c r="B247" t="s">
        <v>170</v>
      </c>
      <c r="C247" t="s">
        <v>171</v>
      </c>
      <c r="D247" t="s">
        <v>172</v>
      </c>
      <c r="E247" t="s">
        <v>16</v>
      </c>
      <c r="F247" s="1">
        <v>46252</v>
      </c>
      <c r="G247" s="1">
        <v>46262</v>
      </c>
      <c r="H247" s="1">
        <v>46263</v>
      </c>
      <c r="J247" t="s">
        <v>4169</v>
      </c>
      <c r="K247" t="s">
        <v>173</v>
      </c>
      <c r="M247" t="s">
        <v>21</v>
      </c>
    </row>
    <row r="248" spans="1:13" hidden="1" x14ac:dyDescent="0.25">
      <c r="A248" s="1">
        <v>46256</v>
      </c>
      <c r="B248" t="s">
        <v>53</v>
      </c>
      <c r="C248" t="s">
        <v>54</v>
      </c>
      <c r="D248" t="s">
        <v>55</v>
      </c>
      <c r="E248" t="s">
        <v>16</v>
      </c>
      <c r="F248" s="1">
        <v>46229</v>
      </c>
      <c r="G248" s="1">
        <v>46258</v>
      </c>
      <c r="H248" s="1">
        <v>46259</v>
      </c>
      <c r="I248" t="s">
        <v>107</v>
      </c>
      <c r="J248" t="s">
        <v>108</v>
      </c>
      <c r="K248" t="s">
        <v>56</v>
      </c>
      <c r="L248" t="s">
        <v>109</v>
      </c>
      <c r="M248" t="s">
        <v>21</v>
      </c>
    </row>
    <row r="249" spans="1:13" hidden="1" x14ac:dyDescent="0.25">
      <c r="A249" s="1">
        <v>46256</v>
      </c>
      <c r="B249" t="s">
        <v>30</v>
      </c>
      <c r="C249" t="s">
        <v>31</v>
      </c>
      <c r="D249" t="s">
        <v>28</v>
      </c>
      <c r="E249" t="s">
        <v>24</v>
      </c>
      <c r="F249" s="1">
        <v>46249</v>
      </c>
      <c r="G249" s="1">
        <v>46262</v>
      </c>
      <c r="H249" s="1">
        <v>46263</v>
      </c>
      <c r="I249" t="s">
        <v>222</v>
      </c>
      <c r="J249" t="s">
        <v>223</v>
      </c>
      <c r="K249" t="s">
        <v>32</v>
      </c>
      <c r="L249" t="s">
        <v>224</v>
      </c>
      <c r="M249" t="s">
        <v>21</v>
      </c>
    </row>
    <row r="250" spans="1:13" hidden="1" x14ac:dyDescent="0.25">
      <c r="A250" s="1">
        <v>46256</v>
      </c>
      <c r="B250" t="s">
        <v>62</v>
      </c>
      <c r="C250" t="s">
        <v>202</v>
      </c>
      <c r="D250" t="s">
        <v>64</v>
      </c>
      <c r="E250" t="s">
        <v>16</v>
      </c>
      <c r="F250" s="1">
        <v>46249</v>
      </c>
      <c r="G250" s="1">
        <v>46278</v>
      </c>
      <c r="H250" s="1">
        <v>46279</v>
      </c>
      <c r="I250" t="s">
        <v>222</v>
      </c>
      <c r="J250" t="s">
        <v>223</v>
      </c>
      <c r="K250" t="s">
        <v>65</v>
      </c>
      <c r="L250" t="s">
        <v>224</v>
      </c>
      <c r="M250" t="s">
        <v>21</v>
      </c>
    </row>
    <row r="251" spans="1:13" hidden="1" x14ac:dyDescent="0.25">
      <c r="A251" s="1">
        <v>46256</v>
      </c>
      <c r="B251" t="s">
        <v>49</v>
      </c>
      <c r="C251" t="s">
        <v>50</v>
      </c>
      <c r="D251" t="s">
        <v>51</v>
      </c>
      <c r="E251" t="s">
        <v>36</v>
      </c>
      <c r="F251" s="1">
        <v>46241</v>
      </c>
      <c r="G251" s="1">
        <v>46366</v>
      </c>
      <c r="H251" s="1">
        <v>46367</v>
      </c>
      <c r="I251" t="s">
        <v>73</v>
      </c>
      <c r="J251" t="s">
        <v>74</v>
      </c>
      <c r="K251" t="s">
        <v>52</v>
      </c>
      <c r="L251" t="s">
        <v>75</v>
      </c>
      <c r="M251" t="s">
        <v>21</v>
      </c>
    </row>
    <row r="252" spans="1:13" hidden="1" x14ac:dyDescent="0.25">
      <c r="A252" s="1">
        <v>46256</v>
      </c>
      <c r="B252" t="s">
        <v>234</v>
      </c>
      <c r="C252" t="s">
        <v>235</v>
      </c>
      <c r="D252" t="s">
        <v>162</v>
      </c>
      <c r="E252" t="s">
        <v>16</v>
      </c>
      <c r="F252" s="1">
        <v>46251</v>
      </c>
      <c r="G252" s="1">
        <v>46255</v>
      </c>
      <c r="H252" s="1">
        <v>46256</v>
      </c>
      <c r="I252" t="s">
        <v>267</v>
      </c>
      <c r="J252" t="s">
        <v>268</v>
      </c>
      <c r="K252" t="s">
        <v>238</v>
      </c>
      <c r="L252" t="s">
        <v>269</v>
      </c>
      <c r="M252" t="s">
        <v>21</v>
      </c>
    </row>
    <row r="253" spans="1:13" hidden="1" x14ac:dyDescent="0.25">
      <c r="A253" s="1">
        <v>46256</v>
      </c>
      <c r="B253" t="s">
        <v>33</v>
      </c>
      <c r="C253" t="s">
        <v>34</v>
      </c>
      <c r="D253" t="s">
        <v>15</v>
      </c>
      <c r="E253" t="s">
        <v>36</v>
      </c>
      <c r="F253" s="1">
        <v>46244</v>
      </c>
      <c r="G253" s="1">
        <v>46393</v>
      </c>
      <c r="H253" s="1">
        <v>46394</v>
      </c>
      <c r="I253" t="s">
        <v>294</v>
      </c>
      <c r="J253" t="s">
        <v>295</v>
      </c>
      <c r="K253" t="s">
        <v>35</v>
      </c>
      <c r="L253" t="s">
        <v>296</v>
      </c>
      <c r="M253" t="s">
        <v>21</v>
      </c>
    </row>
    <row r="254" spans="1:13" hidden="1" x14ac:dyDescent="0.25">
      <c r="A254" s="1">
        <v>46256</v>
      </c>
      <c r="B254" t="s">
        <v>26</v>
      </c>
      <c r="C254" t="s">
        <v>27</v>
      </c>
      <c r="D254" t="s">
        <v>28</v>
      </c>
      <c r="E254" t="s">
        <v>16</v>
      </c>
      <c r="F254" s="1">
        <v>46226</v>
      </c>
      <c r="G254" s="1">
        <v>46255</v>
      </c>
      <c r="H254" s="1">
        <v>46256</v>
      </c>
      <c r="J254" t="s">
        <v>327</v>
      </c>
      <c r="K254" t="s">
        <v>29</v>
      </c>
      <c r="M254" t="s">
        <v>21</v>
      </c>
    </row>
    <row r="255" spans="1:13" hidden="1" x14ac:dyDescent="0.25">
      <c r="A255" s="1">
        <v>46256</v>
      </c>
      <c r="B255" t="s">
        <v>100</v>
      </c>
      <c r="C255" t="s">
        <v>101</v>
      </c>
      <c r="D255" t="s">
        <v>102</v>
      </c>
      <c r="E255" t="s">
        <v>16</v>
      </c>
      <c r="F255" s="1">
        <v>46253</v>
      </c>
      <c r="G255" s="1">
        <v>46256</v>
      </c>
      <c r="H255" s="1">
        <v>46257</v>
      </c>
      <c r="J255" t="s">
        <v>327</v>
      </c>
      <c r="K255" t="s">
        <v>105</v>
      </c>
      <c r="M255" t="s">
        <v>21</v>
      </c>
    </row>
    <row r="256" spans="1:13" hidden="1" x14ac:dyDescent="0.25">
      <c r="A256" s="1">
        <v>46256</v>
      </c>
      <c r="B256" t="s">
        <v>126</v>
      </c>
      <c r="C256" t="s">
        <v>127</v>
      </c>
      <c r="D256" t="s">
        <v>128</v>
      </c>
      <c r="E256" t="s">
        <v>16</v>
      </c>
      <c r="F256" s="1">
        <v>46242</v>
      </c>
      <c r="G256" s="1">
        <v>46272</v>
      </c>
      <c r="H256" s="1">
        <v>46273</v>
      </c>
      <c r="J256" t="s">
        <v>327</v>
      </c>
      <c r="K256" t="s">
        <v>129</v>
      </c>
      <c r="M256" t="s">
        <v>21</v>
      </c>
    </row>
    <row r="257" spans="1:13" hidden="1" x14ac:dyDescent="0.25">
      <c r="A257" s="1">
        <v>46256</v>
      </c>
      <c r="B257" t="s">
        <v>3427</v>
      </c>
      <c r="C257" t="s">
        <v>3428</v>
      </c>
      <c r="D257" t="s">
        <v>59</v>
      </c>
      <c r="E257" t="s">
        <v>24</v>
      </c>
      <c r="F257" s="1">
        <v>46253</v>
      </c>
      <c r="G257" s="1">
        <v>46265</v>
      </c>
      <c r="H257" s="1">
        <v>46266</v>
      </c>
      <c r="J257" t="s">
        <v>327</v>
      </c>
      <c r="K257" t="s">
        <v>3429</v>
      </c>
      <c r="M257" t="s">
        <v>21</v>
      </c>
    </row>
    <row r="258" spans="1:13" hidden="1" x14ac:dyDescent="0.25">
      <c r="A258" s="1">
        <v>46256</v>
      </c>
      <c r="B258" t="s">
        <v>145</v>
      </c>
      <c r="C258" t="s">
        <v>146</v>
      </c>
      <c r="D258" t="s">
        <v>124</v>
      </c>
      <c r="E258" t="s">
        <v>16</v>
      </c>
      <c r="F258" s="1">
        <v>46254</v>
      </c>
      <c r="G258" s="1">
        <v>46268</v>
      </c>
      <c r="H258" s="1">
        <v>46269</v>
      </c>
      <c r="J258" t="s">
        <v>327</v>
      </c>
      <c r="K258" t="s">
        <v>147</v>
      </c>
      <c r="M258" t="s">
        <v>21</v>
      </c>
    </row>
    <row r="259" spans="1:13" hidden="1" x14ac:dyDescent="0.25">
      <c r="A259" s="1">
        <v>46256</v>
      </c>
      <c r="B259" t="s">
        <v>170</v>
      </c>
      <c r="C259" t="s">
        <v>171</v>
      </c>
      <c r="D259" t="s">
        <v>172</v>
      </c>
      <c r="E259" t="s">
        <v>16</v>
      </c>
      <c r="F259" s="1">
        <v>46252</v>
      </c>
      <c r="G259" s="1">
        <v>46262</v>
      </c>
      <c r="H259" s="1">
        <v>46263</v>
      </c>
      <c r="J259" t="s">
        <v>4169</v>
      </c>
      <c r="K259" t="s">
        <v>173</v>
      </c>
      <c r="M259" t="s">
        <v>21</v>
      </c>
    </row>
    <row r="260" spans="1:13" hidden="1" x14ac:dyDescent="0.25">
      <c r="A260" s="1">
        <v>46258</v>
      </c>
      <c r="B260" t="s">
        <v>53</v>
      </c>
      <c r="C260" t="s">
        <v>88</v>
      </c>
      <c r="D260" t="s">
        <v>55</v>
      </c>
      <c r="E260" t="s">
        <v>16</v>
      </c>
      <c r="F260" s="1">
        <v>46229</v>
      </c>
      <c r="G260" s="1">
        <v>46258</v>
      </c>
      <c r="H260" s="1">
        <v>46259</v>
      </c>
      <c r="I260" t="s">
        <v>107</v>
      </c>
      <c r="J260" t="s">
        <v>108</v>
      </c>
      <c r="K260" t="s">
        <v>56</v>
      </c>
      <c r="L260" t="s">
        <v>109</v>
      </c>
      <c r="M260" t="s">
        <v>21</v>
      </c>
    </row>
    <row r="261" spans="1:13" hidden="1" x14ac:dyDescent="0.25">
      <c r="A261" s="1">
        <v>46258</v>
      </c>
      <c r="B261" t="s">
        <v>30</v>
      </c>
      <c r="C261" t="s">
        <v>31</v>
      </c>
      <c r="D261" t="s">
        <v>28</v>
      </c>
      <c r="E261" t="s">
        <v>24</v>
      </c>
      <c r="F261" s="1">
        <v>46249</v>
      </c>
      <c r="G261" s="1">
        <v>46262</v>
      </c>
      <c r="H261" s="1">
        <v>46263</v>
      </c>
      <c r="I261" t="s">
        <v>222</v>
      </c>
      <c r="J261" t="s">
        <v>223</v>
      </c>
      <c r="K261" t="s">
        <v>32</v>
      </c>
      <c r="L261" t="s">
        <v>224</v>
      </c>
      <c r="M261" t="s">
        <v>21</v>
      </c>
    </row>
    <row r="262" spans="1:13" hidden="1" x14ac:dyDescent="0.25">
      <c r="A262" s="1">
        <v>46258</v>
      </c>
      <c r="B262" t="s">
        <v>62</v>
      </c>
      <c r="C262" t="s">
        <v>63</v>
      </c>
      <c r="D262" t="s">
        <v>64</v>
      </c>
      <c r="E262" t="s">
        <v>16</v>
      </c>
      <c r="F262" s="1">
        <v>46249</v>
      </c>
      <c r="G262" s="1">
        <v>46278</v>
      </c>
      <c r="H262" s="1">
        <v>46279</v>
      </c>
      <c r="I262" t="s">
        <v>222</v>
      </c>
      <c r="J262" t="s">
        <v>223</v>
      </c>
      <c r="K262" t="s">
        <v>65</v>
      </c>
      <c r="L262" t="s">
        <v>224</v>
      </c>
      <c r="M262" t="s">
        <v>21</v>
      </c>
    </row>
    <row r="263" spans="1:13" hidden="1" x14ac:dyDescent="0.25">
      <c r="A263" s="1">
        <v>46258</v>
      </c>
      <c r="B263" t="s">
        <v>49</v>
      </c>
      <c r="C263" t="s">
        <v>50</v>
      </c>
      <c r="D263" t="s">
        <v>51</v>
      </c>
      <c r="E263" t="s">
        <v>36</v>
      </c>
      <c r="F263" s="1">
        <v>46241</v>
      </c>
      <c r="G263" s="1">
        <v>46366</v>
      </c>
      <c r="H263" s="1">
        <v>46367</v>
      </c>
      <c r="I263" t="s">
        <v>73</v>
      </c>
      <c r="J263" t="s">
        <v>74</v>
      </c>
      <c r="K263" t="s">
        <v>52</v>
      </c>
      <c r="L263" t="s">
        <v>75</v>
      </c>
      <c r="M263" t="s">
        <v>21</v>
      </c>
    </row>
    <row r="264" spans="1:13" hidden="1" x14ac:dyDescent="0.25">
      <c r="A264" s="1">
        <v>46258</v>
      </c>
      <c r="B264" t="s">
        <v>204</v>
      </c>
      <c r="C264" t="s">
        <v>205</v>
      </c>
      <c r="D264" t="s">
        <v>51</v>
      </c>
      <c r="E264" t="s">
        <v>92</v>
      </c>
      <c r="F264" s="1">
        <v>46258</v>
      </c>
      <c r="G264" s="1">
        <v>46262</v>
      </c>
      <c r="H264" s="1">
        <v>46263</v>
      </c>
      <c r="I264" t="s">
        <v>199</v>
      </c>
      <c r="J264" t="s">
        <v>200</v>
      </c>
      <c r="K264" t="s">
        <v>206</v>
      </c>
      <c r="L264" t="s">
        <v>201</v>
      </c>
      <c r="M264" t="s">
        <v>21</v>
      </c>
    </row>
    <row r="265" spans="1:13" hidden="1" x14ac:dyDescent="0.25">
      <c r="A265" s="1">
        <v>46258</v>
      </c>
      <c r="B265" t="s">
        <v>3927</v>
      </c>
      <c r="C265" t="s">
        <v>4223</v>
      </c>
      <c r="D265" t="s">
        <v>256</v>
      </c>
      <c r="E265" t="s">
        <v>16</v>
      </c>
      <c r="F265" s="1">
        <v>46258</v>
      </c>
      <c r="G265" s="1">
        <v>46259</v>
      </c>
      <c r="H265" s="1">
        <v>46260</v>
      </c>
      <c r="I265" t="s">
        <v>167</v>
      </c>
      <c r="J265" t="s">
        <v>168</v>
      </c>
      <c r="K265" t="s">
        <v>3929</v>
      </c>
      <c r="L265" t="s">
        <v>169</v>
      </c>
      <c r="M265" t="s">
        <v>4042</v>
      </c>
    </row>
    <row r="266" spans="1:13" hidden="1" x14ac:dyDescent="0.25">
      <c r="A266" s="1">
        <v>46258</v>
      </c>
      <c r="B266" t="s">
        <v>3578</v>
      </c>
      <c r="C266" t="s">
        <v>3579</v>
      </c>
      <c r="D266" t="s">
        <v>176</v>
      </c>
      <c r="E266" t="s">
        <v>4062</v>
      </c>
      <c r="F266" s="1">
        <v>46247</v>
      </c>
      <c r="G266" s="1">
        <v>46265</v>
      </c>
      <c r="H266" s="1">
        <v>46266</v>
      </c>
      <c r="I266" t="s">
        <v>251</v>
      </c>
      <c r="J266" t="s">
        <v>252</v>
      </c>
      <c r="K266" t="s">
        <v>3580</v>
      </c>
      <c r="L266" t="s">
        <v>253</v>
      </c>
      <c r="M266" t="s">
        <v>4042</v>
      </c>
    </row>
    <row r="267" spans="1:13" hidden="1" x14ac:dyDescent="0.25">
      <c r="A267" s="1">
        <v>46258</v>
      </c>
      <c r="B267" t="s">
        <v>270</v>
      </c>
      <c r="C267" t="s">
        <v>271</v>
      </c>
      <c r="D267" t="s">
        <v>272</v>
      </c>
      <c r="E267" t="s">
        <v>4065</v>
      </c>
      <c r="F267" s="1">
        <v>46238</v>
      </c>
      <c r="G267" s="1">
        <v>46295</v>
      </c>
      <c r="H267" s="1">
        <v>46296</v>
      </c>
      <c r="I267" t="s">
        <v>267</v>
      </c>
      <c r="J267" t="s">
        <v>268</v>
      </c>
      <c r="M267" t="s">
        <v>4042</v>
      </c>
    </row>
    <row r="268" spans="1:13" hidden="1" x14ac:dyDescent="0.25">
      <c r="A268" s="1">
        <v>46258</v>
      </c>
      <c r="B268" t="s">
        <v>4297</v>
      </c>
      <c r="C268" t="s">
        <v>4207</v>
      </c>
      <c r="D268" t="s">
        <v>344</v>
      </c>
      <c r="E268" t="s">
        <v>4050</v>
      </c>
      <c r="F268" s="1">
        <v>46255</v>
      </c>
      <c r="G268" s="1">
        <v>46259</v>
      </c>
      <c r="H268" s="1">
        <v>46260</v>
      </c>
      <c r="I268" t="s">
        <v>285</v>
      </c>
      <c r="J268" t="s">
        <v>286</v>
      </c>
      <c r="L268" t="s">
        <v>287</v>
      </c>
      <c r="M268" t="s">
        <v>4042</v>
      </c>
    </row>
    <row r="269" spans="1:13" hidden="1" x14ac:dyDescent="0.25">
      <c r="A269" s="1">
        <v>46258</v>
      </c>
      <c r="B269" t="s">
        <v>33</v>
      </c>
      <c r="C269" t="s">
        <v>34</v>
      </c>
      <c r="D269" t="s">
        <v>15</v>
      </c>
      <c r="E269" t="s">
        <v>36</v>
      </c>
      <c r="F269" s="1">
        <v>46244</v>
      </c>
      <c r="G269" s="1">
        <v>46393</v>
      </c>
      <c r="H269" s="1">
        <v>46394</v>
      </c>
      <c r="I269" t="s">
        <v>294</v>
      </c>
      <c r="J269" t="s">
        <v>295</v>
      </c>
      <c r="K269" t="s">
        <v>35</v>
      </c>
      <c r="L269" t="s">
        <v>296</v>
      </c>
      <c r="M269" t="s">
        <v>21</v>
      </c>
    </row>
    <row r="270" spans="1:13" hidden="1" x14ac:dyDescent="0.25">
      <c r="A270" s="1">
        <v>46258</v>
      </c>
      <c r="B270" t="s">
        <v>122</v>
      </c>
      <c r="C270" t="s">
        <v>123</v>
      </c>
      <c r="D270" t="s">
        <v>124</v>
      </c>
      <c r="E270" t="s">
        <v>158</v>
      </c>
      <c r="F270" s="1">
        <v>46254</v>
      </c>
      <c r="G270" s="1"/>
      <c r="H270" s="1"/>
      <c r="I270" t="s">
        <v>300</v>
      </c>
      <c r="J270" t="s">
        <v>301</v>
      </c>
      <c r="K270" t="s">
        <v>125</v>
      </c>
      <c r="L270" t="s">
        <v>302</v>
      </c>
      <c r="M270" t="s">
        <v>4042</v>
      </c>
    </row>
    <row r="271" spans="1:13" hidden="1" x14ac:dyDescent="0.25">
      <c r="A271" s="1">
        <v>46258</v>
      </c>
      <c r="B271" t="s">
        <v>4299</v>
      </c>
      <c r="C271" t="s">
        <v>4231</v>
      </c>
      <c r="D271" t="s">
        <v>28</v>
      </c>
      <c r="E271" t="s">
        <v>4050</v>
      </c>
      <c r="F271" s="1">
        <v>46258</v>
      </c>
      <c r="G271" s="1">
        <v>46260</v>
      </c>
      <c r="H271" s="1">
        <v>46261</v>
      </c>
      <c r="I271" t="s">
        <v>300</v>
      </c>
      <c r="J271" t="s">
        <v>301</v>
      </c>
      <c r="L271" t="s">
        <v>302</v>
      </c>
      <c r="M271" t="s">
        <v>4042</v>
      </c>
    </row>
    <row r="272" spans="1:13" hidden="1" x14ac:dyDescent="0.25">
      <c r="A272" s="1">
        <v>46258</v>
      </c>
      <c r="B272" t="s">
        <v>156</v>
      </c>
      <c r="C272" t="s">
        <v>157</v>
      </c>
      <c r="D272" t="s">
        <v>44</v>
      </c>
      <c r="E272" t="s">
        <v>158</v>
      </c>
      <c r="F272" s="1">
        <v>46249</v>
      </c>
      <c r="G272" s="1"/>
      <c r="H272" s="1"/>
      <c r="I272" t="s">
        <v>306</v>
      </c>
      <c r="J272" t="s">
        <v>307</v>
      </c>
      <c r="K272" t="s">
        <v>159</v>
      </c>
      <c r="L272" t="s">
        <v>308</v>
      </c>
      <c r="M272" t="s">
        <v>4042</v>
      </c>
    </row>
    <row r="273" spans="1:13" hidden="1" x14ac:dyDescent="0.25">
      <c r="A273" s="1">
        <v>46258</v>
      </c>
      <c r="B273" t="s">
        <v>282</v>
      </c>
      <c r="C273" t="s">
        <v>283</v>
      </c>
      <c r="D273" t="s">
        <v>256</v>
      </c>
      <c r="E273" t="s">
        <v>24</v>
      </c>
      <c r="F273" s="1">
        <v>46258</v>
      </c>
      <c r="G273" s="1">
        <v>46265</v>
      </c>
      <c r="H273" s="1">
        <v>46266</v>
      </c>
      <c r="I273" t="s">
        <v>1427</v>
      </c>
      <c r="J273" t="s">
        <v>1428</v>
      </c>
      <c r="K273" t="s">
        <v>284</v>
      </c>
      <c r="L273" t="s">
        <v>1429</v>
      </c>
      <c r="M273" t="s">
        <v>21</v>
      </c>
    </row>
    <row r="274" spans="1:13" hidden="1" x14ac:dyDescent="0.25">
      <c r="A274" s="1">
        <v>46258</v>
      </c>
      <c r="B274" t="s">
        <v>324</v>
      </c>
      <c r="C274" t="s">
        <v>325</v>
      </c>
      <c r="D274" t="s">
        <v>128</v>
      </c>
      <c r="E274" t="s">
        <v>326</v>
      </c>
      <c r="F274" s="1">
        <v>46258</v>
      </c>
      <c r="G274" s="1">
        <v>46262</v>
      </c>
      <c r="H274" s="1">
        <v>46263</v>
      </c>
      <c r="J274" t="s">
        <v>327</v>
      </c>
      <c r="K274" t="s">
        <v>328</v>
      </c>
      <c r="M274" t="s">
        <v>21</v>
      </c>
    </row>
    <row r="275" spans="1:13" hidden="1" x14ac:dyDescent="0.25">
      <c r="A275" s="1">
        <v>46258</v>
      </c>
      <c r="B275" t="s">
        <v>1958</v>
      </c>
      <c r="C275" t="s">
        <v>1959</v>
      </c>
      <c r="D275" t="s">
        <v>492</v>
      </c>
      <c r="E275" t="s">
        <v>16</v>
      </c>
      <c r="F275" s="1">
        <v>46258</v>
      </c>
      <c r="G275" s="1">
        <v>46259</v>
      </c>
      <c r="H275" s="1">
        <v>46260</v>
      </c>
      <c r="J275" t="s">
        <v>327</v>
      </c>
      <c r="K275" t="s">
        <v>1960</v>
      </c>
      <c r="M275" t="s">
        <v>4042</v>
      </c>
    </row>
    <row r="276" spans="1:13" hidden="1" x14ac:dyDescent="0.25">
      <c r="A276" s="1">
        <v>46258</v>
      </c>
      <c r="B276" t="s">
        <v>3855</v>
      </c>
      <c r="C276" t="s">
        <v>3856</v>
      </c>
      <c r="D276" t="s">
        <v>28</v>
      </c>
      <c r="E276" t="s">
        <v>16</v>
      </c>
      <c r="F276" s="1">
        <v>46258</v>
      </c>
      <c r="G276" s="1">
        <v>46258</v>
      </c>
      <c r="H276" s="1">
        <v>46259</v>
      </c>
      <c r="J276" t="s">
        <v>327</v>
      </c>
      <c r="K276" t="s">
        <v>3857</v>
      </c>
      <c r="M276" t="s">
        <v>4042</v>
      </c>
    </row>
    <row r="277" spans="1:13" hidden="1" x14ac:dyDescent="0.25">
      <c r="A277" s="1">
        <v>46258</v>
      </c>
      <c r="B277" t="s">
        <v>100</v>
      </c>
      <c r="C277" t="s">
        <v>4230</v>
      </c>
      <c r="D277" t="s">
        <v>102</v>
      </c>
      <c r="E277" t="s">
        <v>16</v>
      </c>
      <c r="F277" s="1">
        <v>46253</v>
      </c>
      <c r="G277" s="1">
        <v>46256</v>
      </c>
      <c r="H277" s="1">
        <v>46257</v>
      </c>
      <c r="J277" t="s">
        <v>327</v>
      </c>
      <c r="K277" t="s">
        <v>105</v>
      </c>
      <c r="M277" t="s">
        <v>21</v>
      </c>
    </row>
    <row r="278" spans="1:13" hidden="1" x14ac:dyDescent="0.25">
      <c r="A278" s="1">
        <v>46258</v>
      </c>
      <c r="B278" t="s">
        <v>2817</v>
      </c>
      <c r="C278" t="s">
        <v>4222</v>
      </c>
      <c r="D278" t="s">
        <v>128</v>
      </c>
      <c r="E278" t="s">
        <v>16</v>
      </c>
      <c r="F278" s="1">
        <v>46256</v>
      </c>
      <c r="G278" s="1">
        <v>46256</v>
      </c>
      <c r="H278" s="1">
        <v>46257</v>
      </c>
      <c r="J278" t="s">
        <v>327</v>
      </c>
      <c r="K278" t="s">
        <v>2819</v>
      </c>
      <c r="M278" t="s">
        <v>4042</v>
      </c>
    </row>
    <row r="279" spans="1:13" hidden="1" x14ac:dyDescent="0.25">
      <c r="A279" s="1">
        <v>46258</v>
      </c>
      <c r="B279" t="s">
        <v>3572</v>
      </c>
      <c r="C279" t="s">
        <v>4225</v>
      </c>
      <c r="D279" t="s">
        <v>139</v>
      </c>
      <c r="E279" t="s">
        <v>16</v>
      </c>
      <c r="F279" s="1">
        <v>46256</v>
      </c>
      <c r="G279" s="1">
        <v>46256</v>
      </c>
      <c r="H279" s="1">
        <v>46257</v>
      </c>
      <c r="J279" t="s">
        <v>327</v>
      </c>
      <c r="K279" t="s">
        <v>3574</v>
      </c>
      <c r="M279" t="s">
        <v>4042</v>
      </c>
    </row>
    <row r="280" spans="1:13" hidden="1" x14ac:dyDescent="0.25">
      <c r="A280" s="1">
        <v>46258</v>
      </c>
      <c r="B280" t="s">
        <v>2393</v>
      </c>
      <c r="C280" t="s">
        <v>4226</v>
      </c>
      <c r="D280" t="s">
        <v>256</v>
      </c>
      <c r="E280" t="s">
        <v>16</v>
      </c>
      <c r="F280" s="1">
        <v>46255</v>
      </c>
      <c r="G280" s="1">
        <v>46256</v>
      </c>
      <c r="H280" s="1">
        <v>46257</v>
      </c>
      <c r="J280" t="s">
        <v>327</v>
      </c>
      <c r="K280" t="s">
        <v>2395</v>
      </c>
      <c r="M280" t="s">
        <v>4042</v>
      </c>
    </row>
    <row r="281" spans="1:13" hidden="1" x14ac:dyDescent="0.25">
      <c r="A281" s="1">
        <v>46258</v>
      </c>
      <c r="B281" t="s">
        <v>547</v>
      </c>
      <c r="C281" t="s">
        <v>4227</v>
      </c>
      <c r="D281" t="s">
        <v>78</v>
      </c>
      <c r="E281" t="s">
        <v>16</v>
      </c>
      <c r="F281" s="1">
        <v>46255</v>
      </c>
      <c r="G281" s="1">
        <v>46256</v>
      </c>
      <c r="H281" s="1">
        <v>46257</v>
      </c>
      <c r="J281" t="s">
        <v>327</v>
      </c>
      <c r="K281" t="s">
        <v>549</v>
      </c>
      <c r="M281" t="s">
        <v>4042</v>
      </c>
    </row>
    <row r="282" spans="1:13" hidden="1" x14ac:dyDescent="0.25">
      <c r="A282" s="1">
        <v>46258</v>
      </c>
      <c r="B282" t="s">
        <v>2273</v>
      </c>
      <c r="C282" t="s">
        <v>2274</v>
      </c>
      <c r="D282" t="s">
        <v>39</v>
      </c>
      <c r="E282" t="s">
        <v>16</v>
      </c>
      <c r="F282" s="1">
        <v>46255</v>
      </c>
      <c r="G282" s="1">
        <v>46256</v>
      </c>
      <c r="H282" s="1">
        <v>46257</v>
      </c>
      <c r="J282" t="s">
        <v>327</v>
      </c>
      <c r="K282" t="s">
        <v>2275</v>
      </c>
      <c r="M282" t="s">
        <v>4042</v>
      </c>
    </row>
    <row r="283" spans="1:13" hidden="1" x14ac:dyDescent="0.25">
      <c r="A283" s="1">
        <v>46258</v>
      </c>
      <c r="B283" t="s">
        <v>2336</v>
      </c>
      <c r="C283" t="s">
        <v>2337</v>
      </c>
      <c r="D283" t="s">
        <v>102</v>
      </c>
      <c r="E283" t="s">
        <v>16</v>
      </c>
      <c r="F283" s="1">
        <v>46258</v>
      </c>
      <c r="G283" s="1">
        <v>46259</v>
      </c>
      <c r="H283" s="1">
        <v>46260</v>
      </c>
      <c r="J283" t="s">
        <v>327</v>
      </c>
      <c r="K283" t="s">
        <v>2338</v>
      </c>
      <c r="M283" t="s">
        <v>4042</v>
      </c>
    </row>
    <row r="284" spans="1:13" hidden="1" x14ac:dyDescent="0.25">
      <c r="A284" s="1">
        <v>46258</v>
      </c>
      <c r="B284" t="s">
        <v>126</v>
      </c>
      <c r="C284" t="s">
        <v>127</v>
      </c>
      <c r="D284" t="s">
        <v>128</v>
      </c>
      <c r="E284" t="s">
        <v>16</v>
      </c>
      <c r="F284" s="1">
        <v>46242</v>
      </c>
      <c r="G284" s="1">
        <v>46272</v>
      </c>
      <c r="H284" s="1">
        <v>46273</v>
      </c>
      <c r="J284" t="s">
        <v>327</v>
      </c>
      <c r="K284" t="s">
        <v>129</v>
      </c>
      <c r="M284" t="s">
        <v>21</v>
      </c>
    </row>
    <row r="285" spans="1:13" hidden="1" x14ac:dyDescent="0.25">
      <c r="A285" s="1">
        <v>46258</v>
      </c>
      <c r="B285" t="s">
        <v>3385</v>
      </c>
      <c r="C285" t="s">
        <v>3386</v>
      </c>
      <c r="D285" t="s">
        <v>15</v>
      </c>
      <c r="E285" t="s">
        <v>16</v>
      </c>
      <c r="F285" s="1">
        <v>46256</v>
      </c>
      <c r="G285" s="1">
        <v>46256</v>
      </c>
      <c r="H285" s="1">
        <v>46257</v>
      </c>
      <c r="J285" t="s">
        <v>327</v>
      </c>
      <c r="K285" t="s">
        <v>3387</v>
      </c>
      <c r="M285" t="s">
        <v>4042</v>
      </c>
    </row>
    <row r="286" spans="1:13" hidden="1" x14ac:dyDescent="0.25">
      <c r="A286" s="1">
        <v>46258</v>
      </c>
      <c r="B286" t="s">
        <v>3427</v>
      </c>
      <c r="C286" t="s">
        <v>3428</v>
      </c>
      <c r="D286" t="s">
        <v>59</v>
      </c>
      <c r="E286" t="s">
        <v>24</v>
      </c>
      <c r="F286" s="1">
        <v>46253</v>
      </c>
      <c r="G286" s="1">
        <v>46265</v>
      </c>
      <c r="H286" s="1">
        <v>46266</v>
      </c>
      <c r="J286" t="s">
        <v>327</v>
      </c>
      <c r="K286" t="s">
        <v>3429</v>
      </c>
      <c r="M286" t="s">
        <v>21</v>
      </c>
    </row>
    <row r="287" spans="1:13" hidden="1" x14ac:dyDescent="0.25">
      <c r="A287" s="1">
        <v>46258</v>
      </c>
      <c r="B287" t="s">
        <v>368</v>
      </c>
      <c r="C287" t="s">
        <v>2417</v>
      </c>
      <c r="D287" t="s">
        <v>39</v>
      </c>
      <c r="E287" t="s">
        <v>16</v>
      </c>
      <c r="F287" s="1">
        <v>46256</v>
      </c>
      <c r="G287" s="1">
        <v>46256</v>
      </c>
      <c r="H287" s="1">
        <v>46257</v>
      </c>
      <c r="J287" t="s">
        <v>327</v>
      </c>
      <c r="K287" t="s">
        <v>2418</v>
      </c>
      <c r="M287" t="s">
        <v>4042</v>
      </c>
    </row>
    <row r="288" spans="1:13" hidden="1" x14ac:dyDescent="0.25">
      <c r="A288" s="1">
        <v>46258</v>
      </c>
      <c r="B288" t="s">
        <v>2362</v>
      </c>
      <c r="C288" t="s">
        <v>4072</v>
      </c>
      <c r="D288" t="s">
        <v>139</v>
      </c>
      <c r="E288" t="s">
        <v>158</v>
      </c>
      <c r="F288" s="1">
        <v>46230</v>
      </c>
      <c r="G288" s="1">
        <v>46230</v>
      </c>
      <c r="H288" s="1">
        <v>46231</v>
      </c>
      <c r="J288" t="s">
        <v>327</v>
      </c>
      <c r="K288" t="s">
        <v>2364</v>
      </c>
      <c r="M288" t="s">
        <v>4042</v>
      </c>
    </row>
    <row r="289" spans="1:13" hidden="1" x14ac:dyDescent="0.25">
      <c r="A289" s="1">
        <v>46258</v>
      </c>
      <c r="B289" t="s">
        <v>3593</v>
      </c>
      <c r="C289" t="s">
        <v>4126</v>
      </c>
      <c r="D289" t="s">
        <v>82</v>
      </c>
      <c r="E289" t="s">
        <v>4087</v>
      </c>
      <c r="F289" s="1">
        <v>46256</v>
      </c>
      <c r="G289" s="1">
        <v>46256</v>
      </c>
      <c r="H289" s="1">
        <v>46257</v>
      </c>
      <c r="J289" t="s">
        <v>327</v>
      </c>
      <c r="K289" t="s">
        <v>3595</v>
      </c>
      <c r="M289" t="s">
        <v>4042</v>
      </c>
    </row>
    <row r="290" spans="1:13" hidden="1" x14ac:dyDescent="0.25">
      <c r="A290" s="1">
        <v>46258</v>
      </c>
      <c r="B290" t="s">
        <v>2984</v>
      </c>
      <c r="C290" t="s">
        <v>4217</v>
      </c>
      <c r="D290" t="s">
        <v>634</v>
      </c>
      <c r="E290" t="s">
        <v>16</v>
      </c>
      <c r="F290" s="1">
        <v>46256</v>
      </c>
      <c r="G290" s="1">
        <v>46256</v>
      </c>
      <c r="H290" s="1">
        <v>46257</v>
      </c>
      <c r="J290" t="s">
        <v>327</v>
      </c>
      <c r="K290" t="s">
        <v>2986</v>
      </c>
      <c r="M290" t="s">
        <v>4042</v>
      </c>
    </row>
    <row r="291" spans="1:13" hidden="1" x14ac:dyDescent="0.25">
      <c r="A291" s="1">
        <v>46258</v>
      </c>
      <c r="B291" t="s">
        <v>1773</v>
      </c>
      <c r="C291" t="s">
        <v>1774</v>
      </c>
      <c r="D291" t="s">
        <v>44</v>
      </c>
      <c r="E291" t="s">
        <v>16</v>
      </c>
      <c r="F291" s="1">
        <v>46255</v>
      </c>
      <c r="G291" s="1">
        <v>46256</v>
      </c>
      <c r="H291" s="1">
        <v>46257</v>
      </c>
      <c r="J291" t="s">
        <v>327</v>
      </c>
      <c r="K291" t="s">
        <v>1775</v>
      </c>
      <c r="M291" t="s">
        <v>4042</v>
      </c>
    </row>
    <row r="292" spans="1:13" hidden="1" x14ac:dyDescent="0.25">
      <c r="A292" s="1">
        <v>46258</v>
      </c>
      <c r="B292" t="s">
        <v>145</v>
      </c>
      <c r="C292" t="s">
        <v>146</v>
      </c>
      <c r="D292" t="s">
        <v>124</v>
      </c>
      <c r="E292" t="s">
        <v>16</v>
      </c>
      <c r="F292" s="1">
        <v>46254</v>
      </c>
      <c r="G292" s="1">
        <v>46268</v>
      </c>
      <c r="H292" s="1">
        <v>46269</v>
      </c>
      <c r="J292" t="s">
        <v>327</v>
      </c>
      <c r="K292" t="s">
        <v>147</v>
      </c>
      <c r="M292" t="s">
        <v>21</v>
      </c>
    </row>
    <row r="293" spans="1:13" hidden="1" x14ac:dyDescent="0.25">
      <c r="A293" s="1">
        <v>46258</v>
      </c>
      <c r="B293" t="s">
        <v>4300</v>
      </c>
      <c r="C293" t="s">
        <v>4211</v>
      </c>
      <c r="D293" t="s">
        <v>344</v>
      </c>
      <c r="E293" t="s">
        <v>4091</v>
      </c>
      <c r="F293" s="1">
        <v>46255</v>
      </c>
      <c r="G293" s="1">
        <v>46258</v>
      </c>
      <c r="H293" s="1">
        <v>46259</v>
      </c>
      <c r="J293" t="s">
        <v>327</v>
      </c>
      <c r="M293" t="s">
        <v>4042</v>
      </c>
    </row>
    <row r="294" spans="1:13" hidden="1" x14ac:dyDescent="0.25">
      <c r="A294" s="1">
        <v>46258</v>
      </c>
      <c r="B294" t="s">
        <v>1000</v>
      </c>
      <c r="C294" t="s">
        <v>1001</v>
      </c>
      <c r="D294" t="s">
        <v>64</v>
      </c>
      <c r="E294" t="s">
        <v>16</v>
      </c>
      <c r="F294" s="1">
        <v>46256</v>
      </c>
      <c r="G294" s="1">
        <v>46256</v>
      </c>
      <c r="H294" s="1">
        <v>46257</v>
      </c>
      <c r="J294" t="s">
        <v>4060</v>
      </c>
      <c r="K294" t="s">
        <v>1002</v>
      </c>
      <c r="M294" t="s">
        <v>4042</v>
      </c>
    </row>
    <row r="295" spans="1:13" hidden="1" x14ac:dyDescent="0.25">
      <c r="A295" s="1">
        <v>46258</v>
      </c>
      <c r="B295" t="s">
        <v>26</v>
      </c>
      <c r="C295" t="s">
        <v>27</v>
      </c>
      <c r="D295" t="s">
        <v>28</v>
      </c>
      <c r="E295" t="s">
        <v>4074</v>
      </c>
      <c r="F295" s="1">
        <v>46258</v>
      </c>
      <c r="G295" s="1">
        <v>46285</v>
      </c>
      <c r="H295" s="1">
        <v>46286</v>
      </c>
      <c r="J295" t="s">
        <v>4060</v>
      </c>
      <c r="K295" t="s">
        <v>29</v>
      </c>
      <c r="M295" t="s">
        <v>4042</v>
      </c>
    </row>
    <row r="296" spans="1:13" hidden="1" x14ac:dyDescent="0.25">
      <c r="A296" s="1">
        <v>46258</v>
      </c>
      <c r="B296" t="s">
        <v>3006</v>
      </c>
      <c r="C296" t="s">
        <v>3007</v>
      </c>
      <c r="D296" t="s">
        <v>78</v>
      </c>
      <c r="E296" t="s">
        <v>4074</v>
      </c>
      <c r="F296" s="1">
        <v>46258</v>
      </c>
      <c r="G296" s="1">
        <v>46267</v>
      </c>
      <c r="H296" s="1">
        <v>46268</v>
      </c>
      <c r="J296" t="s">
        <v>4060</v>
      </c>
      <c r="K296" t="s">
        <v>3008</v>
      </c>
      <c r="M296" t="s">
        <v>4042</v>
      </c>
    </row>
    <row r="297" spans="1:13" hidden="1" x14ac:dyDescent="0.25">
      <c r="A297" s="1">
        <v>46258</v>
      </c>
      <c r="B297" t="s">
        <v>2237</v>
      </c>
      <c r="C297" t="s">
        <v>2238</v>
      </c>
      <c r="D297" t="s">
        <v>39</v>
      </c>
      <c r="E297" t="s">
        <v>16</v>
      </c>
      <c r="F297" s="1">
        <v>46255</v>
      </c>
      <c r="G297" s="1">
        <v>46256</v>
      </c>
      <c r="H297" s="1">
        <v>46257</v>
      </c>
      <c r="J297" t="s">
        <v>4060</v>
      </c>
      <c r="K297" t="s">
        <v>2239</v>
      </c>
      <c r="M297" t="s">
        <v>4042</v>
      </c>
    </row>
    <row r="298" spans="1:13" hidden="1" x14ac:dyDescent="0.25">
      <c r="A298" s="1">
        <v>46258</v>
      </c>
      <c r="B298" t="s">
        <v>1391</v>
      </c>
      <c r="C298" t="s">
        <v>1392</v>
      </c>
      <c r="D298" t="s">
        <v>132</v>
      </c>
      <c r="E298" t="s">
        <v>4074</v>
      </c>
      <c r="F298" s="1">
        <v>46258</v>
      </c>
      <c r="G298" s="1">
        <v>46259</v>
      </c>
      <c r="H298" s="1">
        <v>46260</v>
      </c>
      <c r="J298" t="s">
        <v>4060</v>
      </c>
      <c r="K298" t="s">
        <v>1393</v>
      </c>
      <c r="M298" t="s">
        <v>4042</v>
      </c>
    </row>
    <row r="299" spans="1:13" hidden="1" x14ac:dyDescent="0.25">
      <c r="A299" s="1">
        <v>46258</v>
      </c>
      <c r="B299" t="s">
        <v>2062</v>
      </c>
      <c r="C299" t="s">
        <v>2063</v>
      </c>
      <c r="D299" t="s">
        <v>124</v>
      </c>
      <c r="E299" t="s">
        <v>4074</v>
      </c>
      <c r="F299" s="1">
        <v>46258</v>
      </c>
      <c r="G299" s="1">
        <v>46262</v>
      </c>
      <c r="H299" s="1">
        <v>46263</v>
      </c>
      <c r="J299" t="s">
        <v>4060</v>
      </c>
      <c r="K299" t="s">
        <v>2064</v>
      </c>
      <c r="M299" t="s">
        <v>4042</v>
      </c>
    </row>
    <row r="300" spans="1:13" hidden="1" x14ac:dyDescent="0.25">
      <c r="A300" s="1">
        <v>46258</v>
      </c>
      <c r="B300" t="s">
        <v>2312</v>
      </c>
      <c r="C300" t="s">
        <v>2313</v>
      </c>
      <c r="D300" t="s">
        <v>245</v>
      </c>
      <c r="E300" t="s">
        <v>16</v>
      </c>
      <c r="F300" s="1">
        <v>46255</v>
      </c>
      <c r="G300" s="1">
        <v>46255</v>
      </c>
      <c r="H300" s="1">
        <v>46256</v>
      </c>
      <c r="J300" t="s">
        <v>4060</v>
      </c>
      <c r="K300" t="s">
        <v>2314</v>
      </c>
      <c r="M300" t="s">
        <v>4042</v>
      </c>
    </row>
    <row r="301" spans="1:13" hidden="1" x14ac:dyDescent="0.25">
      <c r="A301" s="1">
        <v>46258</v>
      </c>
      <c r="B301" t="s">
        <v>2676</v>
      </c>
      <c r="C301" t="s">
        <v>4218</v>
      </c>
      <c r="D301" t="s">
        <v>492</v>
      </c>
      <c r="E301" t="s">
        <v>4074</v>
      </c>
      <c r="F301" s="1">
        <v>46258</v>
      </c>
      <c r="G301" s="1">
        <v>46260</v>
      </c>
      <c r="H301" s="1">
        <v>46261</v>
      </c>
      <c r="J301" t="s">
        <v>4060</v>
      </c>
      <c r="K301" t="s">
        <v>2678</v>
      </c>
      <c r="M301" t="s">
        <v>4042</v>
      </c>
    </row>
    <row r="302" spans="1:13" hidden="1" x14ac:dyDescent="0.25">
      <c r="A302" s="1">
        <v>46258</v>
      </c>
      <c r="B302" t="s">
        <v>1198</v>
      </c>
      <c r="C302" t="s">
        <v>1199</v>
      </c>
      <c r="D302" t="s">
        <v>143</v>
      </c>
      <c r="E302" t="s">
        <v>16</v>
      </c>
      <c r="F302" s="1">
        <v>46255</v>
      </c>
      <c r="G302" s="1">
        <v>46256</v>
      </c>
      <c r="H302" s="1">
        <v>46257</v>
      </c>
      <c r="J302" t="s">
        <v>4060</v>
      </c>
      <c r="K302" t="s">
        <v>1200</v>
      </c>
      <c r="M302" t="s">
        <v>4042</v>
      </c>
    </row>
    <row r="303" spans="1:13" hidden="1" x14ac:dyDescent="0.25">
      <c r="A303" s="1">
        <v>46258</v>
      </c>
      <c r="B303" t="s">
        <v>80</v>
      </c>
      <c r="C303" t="s">
        <v>81</v>
      </c>
      <c r="D303" t="s">
        <v>82</v>
      </c>
      <c r="E303" t="s">
        <v>16</v>
      </c>
      <c r="F303" s="1">
        <v>46255</v>
      </c>
      <c r="G303" s="1">
        <v>46258</v>
      </c>
      <c r="H303" s="1">
        <v>46259</v>
      </c>
      <c r="J303" t="s">
        <v>4060</v>
      </c>
      <c r="K303" t="s">
        <v>83</v>
      </c>
      <c r="M303" t="s">
        <v>21</v>
      </c>
    </row>
    <row r="304" spans="1:13" hidden="1" x14ac:dyDescent="0.25">
      <c r="A304" s="1">
        <v>46258</v>
      </c>
      <c r="B304" t="s">
        <v>2892</v>
      </c>
      <c r="C304" t="s">
        <v>4228</v>
      </c>
      <c r="D304" t="s">
        <v>256</v>
      </c>
      <c r="E304" t="s">
        <v>16</v>
      </c>
      <c r="F304" s="1">
        <v>46255</v>
      </c>
      <c r="G304" s="1">
        <v>46256</v>
      </c>
      <c r="H304" s="1">
        <v>46257</v>
      </c>
      <c r="J304" t="s">
        <v>4060</v>
      </c>
      <c r="K304" t="s">
        <v>2894</v>
      </c>
      <c r="M304" t="s">
        <v>4042</v>
      </c>
    </row>
    <row r="305" spans="1:13" hidden="1" x14ac:dyDescent="0.25">
      <c r="A305" s="1">
        <v>46258</v>
      </c>
      <c r="B305" t="s">
        <v>1705</v>
      </c>
      <c r="C305" t="s">
        <v>4229</v>
      </c>
      <c r="D305" t="s">
        <v>128</v>
      </c>
      <c r="E305" t="s">
        <v>16</v>
      </c>
      <c r="F305" s="1">
        <v>46255</v>
      </c>
      <c r="G305" s="1">
        <v>46256</v>
      </c>
      <c r="H305" s="1">
        <v>46257</v>
      </c>
      <c r="J305" t="s">
        <v>4060</v>
      </c>
      <c r="K305" t="s">
        <v>1707</v>
      </c>
      <c r="M305" t="s">
        <v>4042</v>
      </c>
    </row>
    <row r="306" spans="1:13" hidden="1" x14ac:dyDescent="0.25">
      <c r="A306" s="1">
        <v>46258</v>
      </c>
      <c r="B306" t="s">
        <v>1705</v>
      </c>
      <c r="C306" t="s">
        <v>4234</v>
      </c>
      <c r="D306" t="s">
        <v>128</v>
      </c>
      <c r="E306" t="s">
        <v>4074</v>
      </c>
      <c r="F306" s="1">
        <v>46258</v>
      </c>
      <c r="G306" s="1">
        <v>46260</v>
      </c>
      <c r="H306" s="1">
        <v>46261</v>
      </c>
      <c r="J306" t="s">
        <v>4060</v>
      </c>
      <c r="K306" t="s">
        <v>1707</v>
      </c>
      <c r="M306" t="s">
        <v>4042</v>
      </c>
    </row>
    <row r="307" spans="1:13" hidden="1" x14ac:dyDescent="0.25">
      <c r="A307" s="1">
        <v>46258</v>
      </c>
      <c r="B307" t="s">
        <v>22</v>
      </c>
      <c r="C307" t="s">
        <v>23</v>
      </c>
      <c r="D307" t="s">
        <v>15</v>
      </c>
      <c r="E307" t="s">
        <v>24</v>
      </c>
      <c r="F307" s="1">
        <v>46244</v>
      </c>
      <c r="G307" s="1">
        <v>46265</v>
      </c>
      <c r="H307" s="1">
        <v>46266</v>
      </c>
      <c r="J307" t="s">
        <v>4060</v>
      </c>
      <c r="K307" t="s">
        <v>25</v>
      </c>
      <c r="M307" t="s">
        <v>21</v>
      </c>
    </row>
    <row r="308" spans="1:13" hidden="1" x14ac:dyDescent="0.25">
      <c r="A308" s="1">
        <v>46258</v>
      </c>
      <c r="B308" t="s">
        <v>481</v>
      </c>
      <c r="C308" t="s">
        <v>483</v>
      </c>
      <c r="D308" t="s">
        <v>482</v>
      </c>
      <c r="E308" t="s">
        <v>16</v>
      </c>
      <c r="F308" s="1">
        <v>46255</v>
      </c>
      <c r="G308" s="1">
        <v>46256</v>
      </c>
      <c r="H308" s="1">
        <v>46257</v>
      </c>
      <c r="J308" t="s">
        <v>4060</v>
      </c>
      <c r="K308" t="s">
        <v>484</v>
      </c>
      <c r="M308" t="s">
        <v>4042</v>
      </c>
    </row>
    <row r="309" spans="1:13" hidden="1" x14ac:dyDescent="0.25">
      <c r="A309" s="1">
        <v>46258</v>
      </c>
      <c r="B309" t="s">
        <v>2934</v>
      </c>
      <c r="C309" t="s">
        <v>2935</v>
      </c>
      <c r="D309" t="s">
        <v>172</v>
      </c>
      <c r="E309" t="s">
        <v>4074</v>
      </c>
      <c r="F309" s="1">
        <v>46254</v>
      </c>
      <c r="G309" s="1">
        <v>46255</v>
      </c>
      <c r="H309" s="1">
        <v>46256</v>
      </c>
      <c r="J309" t="s">
        <v>4060</v>
      </c>
      <c r="K309" t="s">
        <v>2936</v>
      </c>
      <c r="M309" t="s">
        <v>4042</v>
      </c>
    </row>
    <row r="310" spans="1:13" hidden="1" x14ac:dyDescent="0.25">
      <c r="A310" s="1">
        <v>46258</v>
      </c>
      <c r="B310" t="s">
        <v>404</v>
      </c>
      <c r="C310" t="s">
        <v>405</v>
      </c>
      <c r="D310" t="s">
        <v>256</v>
      </c>
      <c r="E310" t="s">
        <v>16</v>
      </c>
      <c r="F310" s="1">
        <v>46255</v>
      </c>
      <c r="G310" s="1">
        <v>46256</v>
      </c>
      <c r="H310" s="1">
        <v>46257</v>
      </c>
      <c r="J310" t="s">
        <v>4060</v>
      </c>
      <c r="K310" t="s">
        <v>406</v>
      </c>
      <c r="M310" t="s">
        <v>4042</v>
      </c>
    </row>
    <row r="311" spans="1:13" hidden="1" x14ac:dyDescent="0.25">
      <c r="A311" s="1">
        <v>46258</v>
      </c>
      <c r="B311" t="s">
        <v>3320</v>
      </c>
      <c r="C311" t="s">
        <v>4221</v>
      </c>
      <c r="D311" t="s">
        <v>132</v>
      </c>
      <c r="E311" t="s">
        <v>16</v>
      </c>
      <c r="F311" s="1">
        <v>46256</v>
      </c>
      <c r="G311" s="1">
        <v>46256</v>
      </c>
      <c r="H311" s="1">
        <v>46257</v>
      </c>
      <c r="J311" t="s">
        <v>4060</v>
      </c>
      <c r="K311" t="s">
        <v>3322</v>
      </c>
      <c r="M311" t="s">
        <v>4042</v>
      </c>
    </row>
    <row r="312" spans="1:13" hidden="1" x14ac:dyDescent="0.25">
      <c r="A312" s="1">
        <v>46258</v>
      </c>
      <c r="B312" t="s">
        <v>1627</v>
      </c>
      <c r="C312" t="s">
        <v>1628</v>
      </c>
      <c r="D312" t="s">
        <v>421</v>
      </c>
      <c r="E312" t="s">
        <v>4074</v>
      </c>
      <c r="F312" s="1">
        <v>46258</v>
      </c>
      <c r="G312" s="1">
        <v>46258</v>
      </c>
      <c r="H312" s="1">
        <v>46259</v>
      </c>
      <c r="J312" t="s">
        <v>4060</v>
      </c>
      <c r="K312" t="s">
        <v>1629</v>
      </c>
      <c r="M312" t="s">
        <v>4042</v>
      </c>
    </row>
    <row r="313" spans="1:13" hidden="1" x14ac:dyDescent="0.25">
      <c r="A313" s="1">
        <v>46258</v>
      </c>
      <c r="B313" t="s">
        <v>1808</v>
      </c>
      <c r="C313" t="s">
        <v>1809</v>
      </c>
      <c r="D313" t="s">
        <v>256</v>
      </c>
      <c r="E313" t="s">
        <v>4074</v>
      </c>
      <c r="F313" s="1">
        <v>46258</v>
      </c>
      <c r="G313" s="1">
        <v>46260</v>
      </c>
      <c r="H313" s="1">
        <v>46261</v>
      </c>
      <c r="J313" t="s">
        <v>4060</v>
      </c>
      <c r="K313" t="s">
        <v>1810</v>
      </c>
      <c r="M313" t="s">
        <v>4042</v>
      </c>
    </row>
    <row r="314" spans="1:13" hidden="1" x14ac:dyDescent="0.25">
      <c r="A314" s="1">
        <v>46258</v>
      </c>
      <c r="B314" t="s">
        <v>3927</v>
      </c>
      <c r="C314" t="s">
        <v>4223</v>
      </c>
      <c r="D314" t="s">
        <v>256</v>
      </c>
      <c r="E314" t="s">
        <v>16</v>
      </c>
      <c r="F314" s="1">
        <v>46255</v>
      </c>
      <c r="G314" s="1">
        <v>46256</v>
      </c>
      <c r="H314" s="1">
        <v>46257</v>
      </c>
      <c r="J314" t="s">
        <v>4060</v>
      </c>
      <c r="K314" t="s">
        <v>3929</v>
      </c>
      <c r="M314" t="s">
        <v>4042</v>
      </c>
    </row>
    <row r="315" spans="1:13" hidden="1" x14ac:dyDescent="0.25">
      <c r="A315" s="1">
        <v>46258</v>
      </c>
      <c r="B315" t="s">
        <v>1590</v>
      </c>
      <c r="C315" t="s">
        <v>1591</v>
      </c>
      <c r="D315" t="s">
        <v>15</v>
      </c>
      <c r="E315" t="s">
        <v>16</v>
      </c>
      <c r="F315" s="1">
        <v>46256</v>
      </c>
      <c r="G315" s="1">
        <v>46256</v>
      </c>
      <c r="H315" s="1">
        <v>46257</v>
      </c>
      <c r="J315" t="s">
        <v>4060</v>
      </c>
      <c r="K315" t="s">
        <v>1592</v>
      </c>
      <c r="M315" t="s">
        <v>4042</v>
      </c>
    </row>
    <row r="316" spans="1:13" hidden="1" x14ac:dyDescent="0.25">
      <c r="A316" s="1">
        <v>46258</v>
      </c>
      <c r="B316" t="s">
        <v>3427</v>
      </c>
      <c r="C316" t="s">
        <v>3428</v>
      </c>
      <c r="D316" t="s">
        <v>55</v>
      </c>
      <c r="E316" t="s">
        <v>4074</v>
      </c>
      <c r="F316" s="1">
        <v>46258</v>
      </c>
      <c r="G316" s="1"/>
      <c r="H316" s="1"/>
      <c r="J316" t="s">
        <v>4060</v>
      </c>
      <c r="K316" t="s">
        <v>3429</v>
      </c>
      <c r="M316" t="s">
        <v>4042</v>
      </c>
    </row>
    <row r="317" spans="1:13" hidden="1" x14ac:dyDescent="0.25">
      <c r="A317" s="1">
        <v>46258</v>
      </c>
      <c r="B317" t="s">
        <v>3653</v>
      </c>
      <c r="C317" t="s">
        <v>3654</v>
      </c>
      <c r="D317" t="s">
        <v>51</v>
      </c>
      <c r="E317" t="s">
        <v>16</v>
      </c>
      <c r="F317" s="1">
        <v>46255</v>
      </c>
      <c r="G317" s="1">
        <v>46256</v>
      </c>
      <c r="H317" s="1">
        <v>46257</v>
      </c>
      <c r="J317" t="s">
        <v>4060</v>
      </c>
      <c r="K317" t="s">
        <v>3655</v>
      </c>
      <c r="M317" t="s">
        <v>4042</v>
      </c>
    </row>
    <row r="318" spans="1:13" hidden="1" x14ac:dyDescent="0.25">
      <c r="A318" s="1">
        <v>46258</v>
      </c>
      <c r="B318" t="s">
        <v>3052</v>
      </c>
      <c r="C318" t="s">
        <v>3053</v>
      </c>
      <c r="D318" t="s">
        <v>64</v>
      </c>
      <c r="E318" t="s">
        <v>4074</v>
      </c>
      <c r="F318" s="1">
        <v>46258</v>
      </c>
      <c r="G318" s="1">
        <v>46258</v>
      </c>
      <c r="H318" s="1">
        <v>46259</v>
      </c>
      <c r="J318" t="s">
        <v>4060</v>
      </c>
      <c r="K318" t="s">
        <v>3054</v>
      </c>
      <c r="M318" t="s">
        <v>4042</v>
      </c>
    </row>
    <row r="319" spans="1:13" hidden="1" x14ac:dyDescent="0.25">
      <c r="A319" s="1">
        <v>46258</v>
      </c>
      <c r="B319" t="s">
        <v>134</v>
      </c>
      <c r="C319" t="s">
        <v>135</v>
      </c>
      <c r="D319" t="s">
        <v>39</v>
      </c>
      <c r="E319" t="s">
        <v>16</v>
      </c>
      <c r="F319" s="1">
        <v>46237</v>
      </c>
      <c r="G319" s="1">
        <v>46276</v>
      </c>
      <c r="H319" s="1">
        <v>46277</v>
      </c>
      <c r="J319" t="s">
        <v>4060</v>
      </c>
      <c r="K319" t="s">
        <v>136</v>
      </c>
      <c r="M319" t="s">
        <v>21</v>
      </c>
    </row>
    <row r="320" spans="1:13" hidden="1" x14ac:dyDescent="0.25">
      <c r="A320" s="1">
        <v>46258</v>
      </c>
      <c r="B320" t="s">
        <v>2374</v>
      </c>
      <c r="C320" t="s">
        <v>2375</v>
      </c>
      <c r="D320" t="s">
        <v>139</v>
      </c>
      <c r="E320" t="s">
        <v>16</v>
      </c>
      <c r="F320" s="1">
        <v>46255</v>
      </c>
      <c r="G320" s="1">
        <v>46255</v>
      </c>
      <c r="H320" s="1">
        <v>46256</v>
      </c>
      <c r="J320" t="s">
        <v>4060</v>
      </c>
      <c r="K320" t="s">
        <v>2376</v>
      </c>
      <c r="M320" t="s">
        <v>4042</v>
      </c>
    </row>
    <row r="321" spans="1:13" hidden="1" x14ac:dyDescent="0.25">
      <c r="A321" s="1">
        <v>46258</v>
      </c>
      <c r="B321" t="s">
        <v>2637</v>
      </c>
      <c r="C321" t="s">
        <v>4224</v>
      </c>
      <c r="D321" t="s">
        <v>272</v>
      </c>
      <c r="E321" t="s">
        <v>16</v>
      </c>
      <c r="F321" s="1">
        <v>46255</v>
      </c>
      <c r="G321" s="1">
        <v>46256</v>
      </c>
      <c r="H321" s="1">
        <v>46257</v>
      </c>
      <c r="J321" t="s">
        <v>4060</v>
      </c>
      <c r="K321" t="s">
        <v>2639</v>
      </c>
      <c r="M321" t="s">
        <v>4042</v>
      </c>
    </row>
    <row r="322" spans="1:13" hidden="1" x14ac:dyDescent="0.25">
      <c r="A322" s="1">
        <v>46258</v>
      </c>
      <c r="B322" t="s">
        <v>137</v>
      </c>
      <c r="C322" t="s">
        <v>138</v>
      </c>
      <c r="D322" t="s">
        <v>139</v>
      </c>
      <c r="E322" t="s">
        <v>16</v>
      </c>
      <c r="F322" s="1">
        <v>46258</v>
      </c>
      <c r="G322" s="1">
        <v>46258</v>
      </c>
      <c r="H322" s="1">
        <v>46259</v>
      </c>
      <c r="J322" t="s">
        <v>4060</v>
      </c>
      <c r="K322" t="s">
        <v>140</v>
      </c>
      <c r="M322" t="s">
        <v>4042</v>
      </c>
    </row>
    <row r="323" spans="1:13" hidden="1" x14ac:dyDescent="0.25">
      <c r="A323" s="1">
        <v>46258</v>
      </c>
      <c r="B323" t="s">
        <v>216</v>
      </c>
      <c r="C323" t="s">
        <v>217</v>
      </c>
      <c r="D323" t="s">
        <v>59</v>
      </c>
      <c r="E323" t="s">
        <v>16</v>
      </c>
      <c r="F323" s="1">
        <v>46258</v>
      </c>
      <c r="G323" s="1">
        <v>46263</v>
      </c>
      <c r="H323" s="1">
        <v>46264</v>
      </c>
      <c r="J323" t="s">
        <v>4060</v>
      </c>
      <c r="K323" t="s">
        <v>218</v>
      </c>
      <c r="M323" t="s">
        <v>21</v>
      </c>
    </row>
    <row r="324" spans="1:13" hidden="1" x14ac:dyDescent="0.25">
      <c r="A324" s="1">
        <v>46258</v>
      </c>
      <c r="B324" t="s">
        <v>3839</v>
      </c>
      <c r="C324" t="s">
        <v>3840</v>
      </c>
      <c r="D324" t="s">
        <v>245</v>
      </c>
      <c r="E324" t="s">
        <v>4074</v>
      </c>
      <c r="F324" s="1">
        <v>46258</v>
      </c>
      <c r="G324" s="1">
        <v>46259</v>
      </c>
      <c r="H324" s="1">
        <v>46260</v>
      </c>
      <c r="J324" t="s">
        <v>4060</v>
      </c>
      <c r="K324" t="s">
        <v>3841</v>
      </c>
      <c r="M324" t="s">
        <v>4042</v>
      </c>
    </row>
    <row r="325" spans="1:13" hidden="1" x14ac:dyDescent="0.25">
      <c r="A325" s="1">
        <v>46258</v>
      </c>
      <c r="B325" t="s">
        <v>2190</v>
      </c>
      <c r="C325" t="s">
        <v>4216</v>
      </c>
      <c r="D325" t="s">
        <v>256</v>
      </c>
      <c r="E325" t="s">
        <v>16</v>
      </c>
      <c r="F325" s="1">
        <v>46256</v>
      </c>
      <c r="G325" s="1">
        <v>46256</v>
      </c>
      <c r="H325" s="1">
        <v>46257</v>
      </c>
      <c r="J325" t="s">
        <v>4060</v>
      </c>
      <c r="K325" t="s">
        <v>2192</v>
      </c>
      <c r="M325" t="s">
        <v>4042</v>
      </c>
    </row>
    <row r="326" spans="1:13" hidden="1" x14ac:dyDescent="0.25">
      <c r="A326" s="1">
        <v>46258</v>
      </c>
      <c r="B326" t="s">
        <v>2590</v>
      </c>
      <c r="C326" t="s">
        <v>2591</v>
      </c>
      <c r="D326" t="s">
        <v>132</v>
      </c>
      <c r="E326" t="s">
        <v>4074</v>
      </c>
      <c r="F326" s="1">
        <v>46258</v>
      </c>
      <c r="G326" s="1">
        <v>46260</v>
      </c>
      <c r="H326" s="1">
        <v>46261</v>
      </c>
      <c r="J326" t="s">
        <v>4060</v>
      </c>
      <c r="K326" t="s">
        <v>2592</v>
      </c>
      <c r="M326" t="s">
        <v>4042</v>
      </c>
    </row>
    <row r="327" spans="1:13" hidden="1" x14ac:dyDescent="0.25">
      <c r="A327" s="1">
        <v>46258</v>
      </c>
      <c r="B327" t="s">
        <v>3311</v>
      </c>
      <c r="C327" t="s">
        <v>4220</v>
      </c>
      <c r="D327" t="s">
        <v>162</v>
      </c>
      <c r="E327" t="s">
        <v>16</v>
      </c>
      <c r="F327" s="1">
        <v>46255</v>
      </c>
      <c r="G327" s="1">
        <v>46256</v>
      </c>
      <c r="H327" s="1">
        <v>46257</v>
      </c>
      <c r="J327" t="s">
        <v>4060</v>
      </c>
      <c r="K327" t="s">
        <v>3313</v>
      </c>
      <c r="M327" t="s">
        <v>4042</v>
      </c>
    </row>
    <row r="328" spans="1:13" hidden="1" x14ac:dyDescent="0.25">
      <c r="A328" s="1">
        <v>46258</v>
      </c>
      <c r="B328" t="s">
        <v>3478</v>
      </c>
      <c r="C328" t="s">
        <v>3479</v>
      </c>
      <c r="D328" t="s">
        <v>344</v>
      </c>
      <c r="E328" t="s">
        <v>4074</v>
      </c>
      <c r="F328" s="1">
        <v>46258</v>
      </c>
      <c r="G328" s="1">
        <v>46259</v>
      </c>
      <c r="H328" s="1">
        <v>46260</v>
      </c>
      <c r="J328" t="s">
        <v>4060</v>
      </c>
      <c r="M328" t="s">
        <v>4042</v>
      </c>
    </row>
    <row r="329" spans="1:13" hidden="1" x14ac:dyDescent="0.25">
      <c r="A329" s="1">
        <v>46258</v>
      </c>
      <c r="B329" t="s">
        <v>3662</v>
      </c>
      <c r="C329" t="s">
        <v>3663</v>
      </c>
      <c r="D329" t="s">
        <v>4125</v>
      </c>
      <c r="E329" t="s">
        <v>4125</v>
      </c>
      <c r="F329" s="1">
        <v>46258</v>
      </c>
      <c r="G329" s="1">
        <v>46258</v>
      </c>
      <c r="H329" s="1">
        <v>46259</v>
      </c>
      <c r="J329" t="s">
        <v>339</v>
      </c>
      <c r="K329" t="s">
        <v>3664</v>
      </c>
      <c r="M329" t="s">
        <v>4042</v>
      </c>
    </row>
    <row r="330" spans="1:13" hidden="1" x14ac:dyDescent="0.25">
      <c r="A330" s="1">
        <v>46258</v>
      </c>
      <c r="B330" t="s">
        <v>184</v>
      </c>
      <c r="C330" t="s">
        <v>185</v>
      </c>
      <c r="D330" t="s">
        <v>344</v>
      </c>
      <c r="E330" t="s">
        <v>4079</v>
      </c>
      <c r="F330" s="1">
        <v>46258</v>
      </c>
      <c r="G330" s="1">
        <v>46258</v>
      </c>
      <c r="H330" s="1">
        <v>46259</v>
      </c>
      <c r="J330" t="s">
        <v>339</v>
      </c>
      <c r="K330" t="s">
        <v>186</v>
      </c>
      <c r="M330" t="s">
        <v>4042</v>
      </c>
    </row>
    <row r="331" spans="1:13" hidden="1" x14ac:dyDescent="0.25">
      <c r="A331" s="1">
        <v>46258</v>
      </c>
      <c r="B331" t="s">
        <v>228</v>
      </c>
      <c r="C331" t="s">
        <v>229</v>
      </c>
      <c r="D331" t="s">
        <v>4078</v>
      </c>
      <c r="E331" t="s">
        <v>4079</v>
      </c>
      <c r="F331" s="1">
        <v>46258</v>
      </c>
      <c r="G331" s="1">
        <v>46258</v>
      </c>
      <c r="H331" s="1">
        <v>46259</v>
      </c>
      <c r="J331" t="s">
        <v>339</v>
      </c>
      <c r="K331" t="s">
        <v>230</v>
      </c>
      <c r="M331" t="s">
        <v>4042</v>
      </c>
    </row>
    <row r="332" spans="1:13" hidden="1" x14ac:dyDescent="0.25">
      <c r="A332" s="1">
        <v>46258</v>
      </c>
      <c r="B332" t="s">
        <v>163</v>
      </c>
      <c r="C332" t="s">
        <v>164</v>
      </c>
      <c r="D332" t="s">
        <v>344</v>
      </c>
      <c r="E332" t="s">
        <v>4073</v>
      </c>
      <c r="F332" s="1">
        <v>46258</v>
      </c>
      <c r="G332" s="1">
        <v>46259</v>
      </c>
      <c r="H332" s="1">
        <v>46260</v>
      </c>
      <c r="J332" t="s">
        <v>4233</v>
      </c>
      <c r="K332" t="s">
        <v>166</v>
      </c>
      <c r="M332" t="s">
        <v>4042</v>
      </c>
    </row>
    <row r="333" spans="1:13" hidden="1" x14ac:dyDescent="0.25">
      <c r="A333" s="1">
        <v>46258</v>
      </c>
      <c r="B333" t="s">
        <v>1431</v>
      </c>
      <c r="C333" t="s">
        <v>1432</v>
      </c>
      <c r="D333" t="s">
        <v>344</v>
      </c>
      <c r="E333" t="s">
        <v>16</v>
      </c>
      <c r="F333" s="1">
        <v>46256</v>
      </c>
      <c r="G333" s="1">
        <v>46256</v>
      </c>
      <c r="H333" s="1">
        <v>46257</v>
      </c>
      <c r="J333" t="s">
        <v>4041</v>
      </c>
      <c r="K333" t="s">
        <v>1433</v>
      </c>
      <c r="M333" t="s">
        <v>4042</v>
      </c>
    </row>
    <row r="334" spans="1:13" hidden="1" x14ac:dyDescent="0.25">
      <c r="A334" s="1">
        <v>46258</v>
      </c>
      <c r="B334" t="s">
        <v>1875</v>
      </c>
      <c r="C334" t="s">
        <v>1876</v>
      </c>
      <c r="D334" t="s">
        <v>55</v>
      </c>
      <c r="E334" t="s">
        <v>16</v>
      </c>
      <c r="F334" s="1">
        <v>46256</v>
      </c>
      <c r="G334" s="1">
        <v>46256</v>
      </c>
      <c r="H334" s="1">
        <v>46257</v>
      </c>
      <c r="J334" t="s">
        <v>4041</v>
      </c>
      <c r="K334" t="s">
        <v>1877</v>
      </c>
      <c r="M334" t="s">
        <v>4042</v>
      </c>
    </row>
    <row r="335" spans="1:13" hidden="1" x14ac:dyDescent="0.25">
      <c r="A335" s="1">
        <v>46258</v>
      </c>
      <c r="B335" t="s">
        <v>1397</v>
      </c>
      <c r="C335" t="s">
        <v>1398</v>
      </c>
      <c r="D335" t="s">
        <v>162</v>
      </c>
      <c r="E335" t="s">
        <v>4074</v>
      </c>
      <c r="F335" s="1">
        <v>46258</v>
      </c>
      <c r="G335" s="1">
        <v>46260</v>
      </c>
      <c r="H335" s="1">
        <v>46261</v>
      </c>
      <c r="J335" t="s">
        <v>4236</v>
      </c>
      <c r="K335" t="s">
        <v>1399</v>
      </c>
      <c r="M335" t="s">
        <v>4042</v>
      </c>
    </row>
    <row r="336" spans="1:13" hidden="1" x14ac:dyDescent="0.25">
      <c r="A336" s="1">
        <v>46258</v>
      </c>
      <c r="B336" t="s">
        <v>170</v>
      </c>
      <c r="C336" t="s">
        <v>171</v>
      </c>
      <c r="D336" t="s">
        <v>172</v>
      </c>
      <c r="E336" t="s">
        <v>16</v>
      </c>
      <c r="F336" s="1">
        <v>46252</v>
      </c>
      <c r="G336" s="1">
        <v>46262</v>
      </c>
      <c r="H336" s="1">
        <v>46263</v>
      </c>
      <c r="J336" t="s">
        <v>4169</v>
      </c>
      <c r="K336" t="s">
        <v>173</v>
      </c>
      <c r="M336" t="s">
        <v>21</v>
      </c>
    </row>
    <row r="337" spans="1:13" hidden="1" x14ac:dyDescent="0.25">
      <c r="A337" s="1">
        <v>46258</v>
      </c>
      <c r="B337" t="s">
        <v>3212</v>
      </c>
      <c r="C337" t="s">
        <v>3213</v>
      </c>
      <c r="D337" t="s">
        <v>176</v>
      </c>
      <c r="E337" t="s">
        <v>16</v>
      </c>
      <c r="F337" s="1">
        <v>46255</v>
      </c>
      <c r="G337" s="1">
        <v>46256</v>
      </c>
      <c r="H337" s="1">
        <v>46257</v>
      </c>
      <c r="J337" t="s">
        <v>4210</v>
      </c>
      <c r="K337" t="s">
        <v>3214</v>
      </c>
      <c r="M337" t="s">
        <v>4042</v>
      </c>
    </row>
    <row r="338" spans="1:13" hidden="1" x14ac:dyDescent="0.25">
      <c r="A338" s="1">
        <v>46258</v>
      </c>
      <c r="B338" t="s">
        <v>342</v>
      </c>
      <c r="C338" t="s">
        <v>343</v>
      </c>
      <c r="D338" t="s">
        <v>344</v>
      </c>
      <c r="E338" t="s">
        <v>16</v>
      </c>
      <c r="F338" s="1">
        <v>46254</v>
      </c>
      <c r="G338" s="1">
        <v>46268</v>
      </c>
      <c r="H338" s="1">
        <v>46269</v>
      </c>
      <c r="J338" t="s">
        <v>341</v>
      </c>
      <c r="K338" t="s">
        <v>345</v>
      </c>
      <c r="M338" t="s">
        <v>21</v>
      </c>
    </row>
    <row r="339" spans="1:13" hidden="1" x14ac:dyDescent="0.25">
      <c r="A339" s="1">
        <v>46258</v>
      </c>
      <c r="B339" t="s">
        <v>4124</v>
      </c>
      <c r="C339" t="s">
        <v>4069</v>
      </c>
      <c r="D339" t="s">
        <v>64</v>
      </c>
      <c r="E339" t="s">
        <v>4050</v>
      </c>
      <c r="F339" s="1">
        <v>46195</v>
      </c>
      <c r="G339" s="1">
        <v>46198</v>
      </c>
      <c r="H339" s="1">
        <v>46199</v>
      </c>
      <c r="J339" t="s">
        <v>341</v>
      </c>
      <c r="M339" t="s">
        <v>4042</v>
      </c>
    </row>
    <row r="340" spans="1:13" hidden="1" x14ac:dyDescent="0.25">
      <c r="A340" s="1">
        <v>46258</v>
      </c>
      <c r="B340" t="s">
        <v>336</v>
      </c>
      <c r="C340" t="s">
        <v>337</v>
      </c>
      <c r="D340" t="s">
        <v>39</v>
      </c>
      <c r="E340" t="s">
        <v>4074</v>
      </c>
      <c r="F340" s="1">
        <v>46258</v>
      </c>
      <c r="G340" s="1">
        <v>46260</v>
      </c>
      <c r="H340" s="1">
        <v>46261</v>
      </c>
      <c r="J340" t="s">
        <v>4232</v>
      </c>
      <c r="K340" t="s">
        <v>338</v>
      </c>
      <c r="M340" t="s">
        <v>4042</v>
      </c>
    </row>
    <row r="341" spans="1:13" hidden="1" x14ac:dyDescent="0.25">
      <c r="A341" s="1">
        <v>46258</v>
      </c>
      <c r="B341" t="s">
        <v>306</v>
      </c>
      <c r="C341" t="s">
        <v>307</v>
      </c>
      <c r="D341" t="s">
        <v>4078</v>
      </c>
      <c r="E341" t="s">
        <v>4074</v>
      </c>
      <c r="F341" s="1">
        <v>46258</v>
      </c>
      <c r="G341" s="1"/>
      <c r="H341" s="1"/>
      <c r="J341" t="s">
        <v>4247</v>
      </c>
      <c r="K341" t="s">
        <v>308</v>
      </c>
      <c r="M341" t="s">
        <v>4042</v>
      </c>
    </row>
    <row r="342" spans="1:13" hidden="1" x14ac:dyDescent="0.25">
      <c r="A342" s="1">
        <v>46258</v>
      </c>
      <c r="B342" t="s">
        <v>3436</v>
      </c>
      <c r="C342" t="s">
        <v>3437</v>
      </c>
      <c r="D342" t="s">
        <v>139</v>
      </c>
      <c r="E342" t="s">
        <v>16</v>
      </c>
      <c r="F342" s="1">
        <v>46258</v>
      </c>
      <c r="G342" s="1">
        <v>46259</v>
      </c>
      <c r="H342" s="1">
        <v>46260</v>
      </c>
      <c r="J342" t="s">
        <v>4235</v>
      </c>
      <c r="K342" t="s">
        <v>3438</v>
      </c>
      <c r="M342" t="s">
        <v>4042</v>
      </c>
    </row>
    <row r="343" spans="1:13" hidden="1" x14ac:dyDescent="0.25">
      <c r="A343" s="1">
        <v>46259</v>
      </c>
      <c r="B343" t="s">
        <v>53</v>
      </c>
      <c r="C343" t="s">
        <v>88</v>
      </c>
      <c r="D343" t="s">
        <v>55</v>
      </c>
      <c r="E343" t="s">
        <v>16</v>
      </c>
      <c r="F343" s="1">
        <v>46229</v>
      </c>
      <c r="G343" s="1">
        <v>46258</v>
      </c>
      <c r="H343" s="1">
        <v>46259</v>
      </c>
      <c r="I343" t="s">
        <v>107</v>
      </c>
      <c r="J343" t="s">
        <v>108</v>
      </c>
      <c r="K343" t="s">
        <v>56</v>
      </c>
      <c r="L343" t="s">
        <v>109</v>
      </c>
      <c r="M343" t="s">
        <v>21</v>
      </c>
    </row>
    <row r="344" spans="1:13" hidden="1" x14ac:dyDescent="0.25">
      <c r="A344" s="1">
        <v>46259</v>
      </c>
      <c r="B344" t="s">
        <v>4298</v>
      </c>
      <c r="C344" t="s">
        <v>4080</v>
      </c>
      <c r="D344" t="s">
        <v>482</v>
      </c>
      <c r="E344" t="s">
        <v>4073</v>
      </c>
      <c r="F344" s="1">
        <v>46259</v>
      </c>
      <c r="G344" s="1">
        <v>46261</v>
      </c>
      <c r="H344" s="1">
        <v>46262</v>
      </c>
      <c r="I344" t="s">
        <v>231</v>
      </c>
      <c r="J344" t="s">
        <v>232</v>
      </c>
      <c r="M344" t="s">
        <v>4042</v>
      </c>
    </row>
    <row r="345" spans="1:13" hidden="1" x14ac:dyDescent="0.25">
      <c r="A345" s="1">
        <v>46259</v>
      </c>
      <c r="B345" t="s">
        <v>30</v>
      </c>
      <c r="C345" t="s">
        <v>31</v>
      </c>
      <c r="D345" t="s">
        <v>28</v>
      </c>
      <c r="E345" t="s">
        <v>24</v>
      </c>
      <c r="F345" s="1">
        <v>46249</v>
      </c>
      <c r="G345" s="1">
        <v>46262</v>
      </c>
      <c r="H345" s="1">
        <v>46263</v>
      </c>
      <c r="I345" t="s">
        <v>222</v>
      </c>
      <c r="J345" t="s">
        <v>223</v>
      </c>
      <c r="K345" t="s">
        <v>32</v>
      </c>
      <c r="L345" t="s">
        <v>224</v>
      </c>
      <c r="M345" t="s">
        <v>21</v>
      </c>
    </row>
    <row r="346" spans="1:13" hidden="1" x14ac:dyDescent="0.25">
      <c r="A346" s="1">
        <v>46259</v>
      </c>
      <c r="B346" t="s">
        <v>222</v>
      </c>
      <c r="C346" t="s">
        <v>223</v>
      </c>
      <c r="D346" t="s">
        <v>4078</v>
      </c>
      <c r="E346" t="s">
        <v>4074</v>
      </c>
      <c r="F346" s="1">
        <v>46259</v>
      </c>
      <c r="G346" s="1"/>
      <c r="H346" s="1"/>
      <c r="I346" t="s">
        <v>222</v>
      </c>
      <c r="J346" t="s">
        <v>223</v>
      </c>
      <c r="K346" t="s">
        <v>224</v>
      </c>
      <c r="L346" t="s">
        <v>224</v>
      </c>
      <c r="M346" t="s">
        <v>4042</v>
      </c>
    </row>
    <row r="347" spans="1:13" hidden="1" x14ac:dyDescent="0.25">
      <c r="A347" s="1">
        <v>46259</v>
      </c>
      <c r="B347" t="s">
        <v>62</v>
      </c>
      <c r="C347" t="s">
        <v>63</v>
      </c>
      <c r="D347" t="s">
        <v>64</v>
      </c>
      <c r="E347" t="s">
        <v>16</v>
      </c>
      <c r="F347" s="1">
        <v>46249</v>
      </c>
      <c r="G347" s="1">
        <v>46278</v>
      </c>
      <c r="H347" s="1">
        <v>46279</v>
      </c>
      <c r="I347" t="s">
        <v>222</v>
      </c>
      <c r="J347" t="s">
        <v>223</v>
      </c>
      <c r="K347" t="s">
        <v>65</v>
      </c>
      <c r="L347" t="s">
        <v>224</v>
      </c>
      <c r="M347" t="s">
        <v>21</v>
      </c>
    </row>
    <row r="348" spans="1:13" hidden="1" x14ac:dyDescent="0.25">
      <c r="A348" s="1">
        <v>46259</v>
      </c>
      <c r="B348" t="s">
        <v>49</v>
      </c>
      <c r="C348" t="s">
        <v>50</v>
      </c>
      <c r="D348" t="s">
        <v>51</v>
      </c>
      <c r="E348" t="s">
        <v>36</v>
      </c>
      <c r="F348" s="1">
        <v>46241</v>
      </c>
      <c r="G348" s="1">
        <v>46366</v>
      </c>
      <c r="H348" s="1">
        <v>46367</v>
      </c>
      <c r="I348" t="s">
        <v>73</v>
      </c>
      <c r="J348" t="s">
        <v>74</v>
      </c>
      <c r="K348" t="s">
        <v>52</v>
      </c>
      <c r="L348" t="s">
        <v>75</v>
      </c>
      <c r="M348" t="s">
        <v>21</v>
      </c>
    </row>
    <row r="349" spans="1:13" hidden="1" x14ac:dyDescent="0.25">
      <c r="A349" s="1">
        <v>46259</v>
      </c>
      <c r="B349" t="s">
        <v>1735</v>
      </c>
      <c r="C349" t="s">
        <v>1736</v>
      </c>
      <c r="D349" t="s">
        <v>82</v>
      </c>
      <c r="E349" t="s">
        <v>24</v>
      </c>
      <c r="F349" s="1">
        <v>46259</v>
      </c>
      <c r="G349" s="1">
        <v>46259</v>
      </c>
      <c r="H349" s="1">
        <v>46260</v>
      </c>
      <c r="I349" t="s">
        <v>73</v>
      </c>
      <c r="J349" t="s">
        <v>74</v>
      </c>
      <c r="K349" t="s">
        <v>1737</v>
      </c>
      <c r="L349" t="s">
        <v>75</v>
      </c>
      <c r="M349" t="s">
        <v>4042</v>
      </c>
    </row>
    <row r="350" spans="1:13" hidden="1" x14ac:dyDescent="0.25">
      <c r="A350" s="1">
        <v>46259</v>
      </c>
      <c r="B350" t="s">
        <v>204</v>
      </c>
      <c r="C350" t="s">
        <v>205</v>
      </c>
      <c r="D350" t="s">
        <v>51</v>
      </c>
      <c r="E350" t="s">
        <v>92</v>
      </c>
      <c r="F350" s="1">
        <v>46258</v>
      </c>
      <c r="G350" s="1">
        <v>46262</v>
      </c>
      <c r="H350" s="1">
        <v>46263</v>
      </c>
      <c r="I350" t="s">
        <v>199</v>
      </c>
      <c r="J350" t="s">
        <v>200</v>
      </c>
      <c r="K350" t="s">
        <v>206</v>
      </c>
      <c r="L350" t="s">
        <v>201</v>
      </c>
      <c r="M350" t="s">
        <v>21</v>
      </c>
    </row>
    <row r="351" spans="1:13" hidden="1" x14ac:dyDescent="0.25">
      <c r="A351" s="1">
        <v>46259</v>
      </c>
      <c r="B351" t="s">
        <v>228</v>
      </c>
      <c r="C351" t="s">
        <v>229</v>
      </c>
      <c r="D351" t="s">
        <v>4078</v>
      </c>
      <c r="E351" t="s">
        <v>4079</v>
      </c>
      <c r="F351" s="1">
        <v>46259</v>
      </c>
      <c r="G351" s="1">
        <v>46259</v>
      </c>
      <c r="H351" s="1">
        <v>46260</v>
      </c>
      <c r="I351" t="s">
        <v>228</v>
      </c>
      <c r="J351" t="s">
        <v>229</v>
      </c>
      <c r="K351" t="s">
        <v>230</v>
      </c>
      <c r="M351" t="s">
        <v>4042</v>
      </c>
    </row>
    <row r="352" spans="1:13" hidden="1" x14ac:dyDescent="0.25">
      <c r="A352" s="1">
        <v>46259</v>
      </c>
      <c r="B352" t="s">
        <v>3927</v>
      </c>
      <c r="C352" t="s">
        <v>4223</v>
      </c>
      <c r="D352" t="s">
        <v>256</v>
      </c>
      <c r="E352" t="s">
        <v>16</v>
      </c>
      <c r="F352" s="1">
        <v>46258</v>
      </c>
      <c r="G352" s="1">
        <v>46259</v>
      </c>
      <c r="H352" s="1">
        <v>46260</v>
      </c>
      <c r="I352" t="s">
        <v>167</v>
      </c>
      <c r="J352" t="s">
        <v>168</v>
      </c>
      <c r="K352" t="s">
        <v>3929</v>
      </c>
      <c r="L352" t="s">
        <v>169</v>
      </c>
      <c r="M352" t="s">
        <v>4042</v>
      </c>
    </row>
    <row r="353" spans="1:13" hidden="1" x14ac:dyDescent="0.25">
      <c r="A353" s="1">
        <v>46259</v>
      </c>
      <c r="B353" t="s">
        <v>156</v>
      </c>
      <c r="C353" t="s">
        <v>157</v>
      </c>
      <c r="D353" t="s">
        <v>44</v>
      </c>
      <c r="E353" t="s">
        <v>16</v>
      </c>
      <c r="F353" s="1">
        <v>46258</v>
      </c>
      <c r="G353" s="1">
        <v>46287</v>
      </c>
      <c r="H353" s="1">
        <v>46288</v>
      </c>
      <c r="I353" t="s">
        <v>196</v>
      </c>
      <c r="J353" t="s">
        <v>197</v>
      </c>
      <c r="K353" t="s">
        <v>159</v>
      </c>
      <c r="L353" t="s">
        <v>198</v>
      </c>
      <c r="M353" t="s">
        <v>21</v>
      </c>
    </row>
    <row r="354" spans="1:13" hidden="1" x14ac:dyDescent="0.25">
      <c r="A354" s="1">
        <v>46259</v>
      </c>
      <c r="B354" t="s">
        <v>3578</v>
      </c>
      <c r="C354" t="s">
        <v>4196</v>
      </c>
      <c r="D354" t="s">
        <v>176</v>
      </c>
      <c r="E354" t="s">
        <v>4062</v>
      </c>
      <c r="F354" s="1">
        <v>46247</v>
      </c>
      <c r="G354" s="1">
        <v>46265</v>
      </c>
      <c r="H354" s="1">
        <v>46266</v>
      </c>
      <c r="I354" t="s">
        <v>251</v>
      </c>
      <c r="J354" t="s">
        <v>252</v>
      </c>
      <c r="K354" t="s">
        <v>3580</v>
      </c>
      <c r="L354" t="s">
        <v>253</v>
      </c>
      <c r="M354" t="s">
        <v>4042</v>
      </c>
    </row>
    <row r="355" spans="1:13" hidden="1" x14ac:dyDescent="0.25">
      <c r="A355" s="1">
        <v>46259</v>
      </c>
      <c r="B355" t="s">
        <v>270</v>
      </c>
      <c r="C355" t="s">
        <v>271</v>
      </c>
      <c r="D355" t="s">
        <v>272</v>
      </c>
      <c r="E355" t="s">
        <v>4065</v>
      </c>
      <c r="F355" s="1">
        <v>46238</v>
      </c>
      <c r="G355" s="1">
        <v>46295</v>
      </c>
      <c r="H355" s="1">
        <v>46296</v>
      </c>
      <c r="I355" t="s">
        <v>267</v>
      </c>
      <c r="J355" t="s">
        <v>268</v>
      </c>
      <c r="M355" t="s">
        <v>4042</v>
      </c>
    </row>
    <row r="356" spans="1:13" hidden="1" x14ac:dyDescent="0.25">
      <c r="A356" s="1">
        <v>46259</v>
      </c>
      <c r="B356" t="s">
        <v>282</v>
      </c>
      <c r="C356" t="s">
        <v>283</v>
      </c>
      <c r="D356" t="s">
        <v>4078</v>
      </c>
      <c r="E356" t="s">
        <v>4079</v>
      </c>
      <c r="F356" s="1">
        <v>46259</v>
      </c>
      <c r="G356" s="1">
        <v>46259</v>
      </c>
      <c r="H356" s="1">
        <v>46260</v>
      </c>
      <c r="I356" t="s">
        <v>282</v>
      </c>
      <c r="J356" t="s">
        <v>283</v>
      </c>
      <c r="K356" t="s">
        <v>284</v>
      </c>
      <c r="M356" t="s">
        <v>4042</v>
      </c>
    </row>
    <row r="357" spans="1:13" hidden="1" x14ac:dyDescent="0.25">
      <c r="A357" s="1">
        <v>46259</v>
      </c>
      <c r="B357" t="s">
        <v>4297</v>
      </c>
      <c r="C357" t="s">
        <v>4207</v>
      </c>
      <c r="D357" t="s">
        <v>344</v>
      </c>
      <c r="E357" t="s">
        <v>4050</v>
      </c>
      <c r="F357" s="1">
        <v>46255</v>
      </c>
      <c r="G357" s="1">
        <v>46259</v>
      </c>
      <c r="H357" s="1">
        <v>46260</v>
      </c>
      <c r="I357" t="s">
        <v>285</v>
      </c>
      <c r="J357" t="s">
        <v>286</v>
      </c>
      <c r="L357" t="s">
        <v>287</v>
      </c>
      <c r="M357" t="s">
        <v>4042</v>
      </c>
    </row>
    <row r="358" spans="1:13" hidden="1" x14ac:dyDescent="0.25">
      <c r="A358" s="1">
        <v>46259</v>
      </c>
      <c r="B358" t="s">
        <v>33</v>
      </c>
      <c r="C358" t="s">
        <v>34</v>
      </c>
      <c r="D358" t="s">
        <v>15</v>
      </c>
      <c r="E358" t="s">
        <v>36</v>
      </c>
      <c r="F358" s="1">
        <v>46244</v>
      </c>
      <c r="G358" s="1">
        <v>46393</v>
      </c>
      <c r="H358" s="1">
        <v>46394</v>
      </c>
      <c r="I358" t="s">
        <v>294</v>
      </c>
      <c r="J358" t="s">
        <v>295</v>
      </c>
      <c r="K358" t="s">
        <v>35</v>
      </c>
      <c r="L358" t="s">
        <v>296</v>
      </c>
      <c r="M358" t="s">
        <v>21</v>
      </c>
    </row>
    <row r="359" spans="1:13" hidden="1" x14ac:dyDescent="0.25">
      <c r="A359" s="1">
        <v>46259</v>
      </c>
      <c r="B359" t="s">
        <v>122</v>
      </c>
      <c r="C359" t="s">
        <v>123</v>
      </c>
      <c r="D359" t="s">
        <v>124</v>
      </c>
      <c r="E359" t="s">
        <v>158</v>
      </c>
      <c r="F359" s="1">
        <v>46254</v>
      </c>
      <c r="G359" s="1"/>
      <c r="H359" s="1"/>
      <c r="I359" t="s">
        <v>300</v>
      </c>
      <c r="J359" t="s">
        <v>301</v>
      </c>
      <c r="K359" t="s">
        <v>125</v>
      </c>
      <c r="L359" t="s">
        <v>302</v>
      </c>
      <c r="M359" t="s">
        <v>4042</v>
      </c>
    </row>
    <row r="360" spans="1:13" hidden="1" x14ac:dyDescent="0.25">
      <c r="A360" s="1">
        <v>46259</v>
      </c>
      <c r="B360" t="s">
        <v>4299</v>
      </c>
      <c r="C360" t="s">
        <v>4231</v>
      </c>
      <c r="D360" t="s">
        <v>28</v>
      </c>
      <c r="E360" t="s">
        <v>4050</v>
      </c>
      <c r="F360" s="1">
        <v>46258</v>
      </c>
      <c r="G360" s="1">
        <v>46260</v>
      </c>
      <c r="H360" s="1">
        <v>46261</v>
      </c>
      <c r="I360" t="s">
        <v>300</v>
      </c>
      <c r="J360" t="s">
        <v>301</v>
      </c>
      <c r="L360" t="s">
        <v>302</v>
      </c>
      <c r="M360" t="s">
        <v>4042</v>
      </c>
    </row>
    <row r="361" spans="1:13" hidden="1" x14ac:dyDescent="0.25">
      <c r="A361" s="1">
        <v>46259</v>
      </c>
      <c r="B361" t="s">
        <v>303</v>
      </c>
      <c r="C361" t="s">
        <v>304</v>
      </c>
      <c r="D361" t="s">
        <v>82</v>
      </c>
      <c r="E361" t="s">
        <v>4168</v>
      </c>
      <c r="F361" s="1">
        <v>46259</v>
      </c>
      <c r="G361" s="1">
        <v>46259</v>
      </c>
      <c r="H361" s="1">
        <v>46260</v>
      </c>
      <c r="I361" t="s">
        <v>303</v>
      </c>
      <c r="J361" t="s">
        <v>304</v>
      </c>
      <c r="K361" t="s">
        <v>305</v>
      </c>
      <c r="M361" t="s">
        <v>4042</v>
      </c>
    </row>
    <row r="362" spans="1:13" hidden="1" x14ac:dyDescent="0.25">
      <c r="A362" s="1">
        <v>46259</v>
      </c>
      <c r="B362" t="s">
        <v>306</v>
      </c>
      <c r="C362" t="s">
        <v>4238</v>
      </c>
      <c r="D362" t="s">
        <v>4078</v>
      </c>
      <c r="E362" t="s">
        <v>4074</v>
      </c>
      <c r="F362" s="1">
        <v>46257</v>
      </c>
      <c r="G362" s="1"/>
      <c r="H362" s="1"/>
      <c r="I362" t="s">
        <v>306</v>
      </c>
      <c r="J362" t="s">
        <v>307</v>
      </c>
      <c r="K362" t="s">
        <v>308</v>
      </c>
      <c r="L362" t="s">
        <v>308</v>
      </c>
      <c r="M362" t="s">
        <v>4042</v>
      </c>
    </row>
    <row r="363" spans="1:13" hidden="1" x14ac:dyDescent="0.25">
      <c r="A363" s="1">
        <v>46259</v>
      </c>
      <c r="B363" t="s">
        <v>282</v>
      </c>
      <c r="C363" t="s">
        <v>283</v>
      </c>
      <c r="D363" t="s">
        <v>256</v>
      </c>
      <c r="E363" t="s">
        <v>24</v>
      </c>
      <c r="F363" s="1">
        <v>46258</v>
      </c>
      <c r="G363" s="1">
        <v>46265</v>
      </c>
      <c r="H363" s="1">
        <v>46266</v>
      </c>
      <c r="I363" t="s">
        <v>1427</v>
      </c>
      <c r="J363" t="s">
        <v>1428</v>
      </c>
      <c r="K363" t="s">
        <v>284</v>
      </c>
      <c r="L363" t="s">
        <v>1429</v>
      </c>
      <c r="M363" t="s">
        <v>21</v>
      </c>
    </row>
    <row r="364" spans="1:13" hidden="1" x14ac:dyDescent="0.25">
      <c r="A364" s="1">
        <v>46259</v>
      </c>
      <c r="B364" t="s">
        <v>324</v>
      </c>
      <c r="C364" t="s">
        <v>325</v>
      </c>
      <c r="D364" t="s">
        <v>128</v>
      </c>
      <c r="E364" t="s">
        <v>326</v>
      </c>
      <c r="F364" s="1">
        <v>46258</v>
      </c>
      <c r="G364" s="1">
        <v>46262</v>
      </c>
      <c r="H364" s="1">
        <v>46263</v>
      </c>
      <c r="J364" t="s">
        <v>327</v>
      </c>
      <c r="K364" t="s">
        <v>328</v>
      </c>
      <c r="M364" t="s">
        <v>21</v>
      </c>
    </row>
    <row r="365" spans="1:13" hidden="1" x14ac:dyDescent="0.25">
      <c r="A365" s="1">
        <v>46259</v>
      </c>
      <c r="B365" t="s">
        <v>1958</v>
      </c>
      <c r="C365" t="s">
        <v>1959</v>
      </c>
      <c r="D365" t="s">
        <v>492</v>
      </c>
      <c r="E365" t="s">
        <v>16</v>
      </c>
      <c r="F365" s="1">
        <v>46258</v>
      </c>
      <c r="G365" s="1">
        <v>46259</v>
      </c>
      <c r="H365" s="1">
        <v>46260</v>
      </c>
      <c r="J365" t="s">
        <v>327</v>
      </c>
      <c r="K365" t="s">
        <v>1960</v>
      </c>
      <c r="M365" t="s">
        <v>4042</v>
      </c>
    </row>
    <row r="366" spans="1:13" hidden="1" x14ac:dyDescent="0.25">
      <c r="A366" s="1">
        <v>46259</v>
      </c>
      <c r="B366" t="s">
        <v>3855</v>
      </c>
      <c r="C366" t="s">
        <v>4191</v>
      </c>
      <c r="D366" t="s">
        <v>28</v>
      </c>
      <c r="E366" t="s">
        <v>16</v>
      </c>
      <c r="F366" s="1">
        <v>46258</v>
      </c>
      <c r="G366" s="1">
        <v>46258</v>
      </c>
      <c r="H366" s="1">
        <v>46259</v>
      </c>
      <c r="J366" t="s">
        <v>327</v>
      </c>
      <c r="K366" t="s">
        <v>3857</v>
      </c>
      <c r="M366" t="s">
        <v>4042</v>
      </c>
    </row>
    <row r="367" spans="1:13" hidden="1" x14ac:dyDescent="0.25">
      <c r="A367" s="1">
        <v>46259</v>
      </c>
      <c r="B367" t="s">
        <v>481</v>
      </c>
      <c r="C367" t="s">
        <v>483</v>
      </c>
      <c r="D367" t="s">
        <v>482</v>
      </c>
      <c r="E367" t="s">
        <v>16</v>
      </c>
      <c r="F367" s="1">
        <v>46259</v>
      </c>
      <c r="G367" s="1">
        <v>46262</v>
      </c>
      <c r="H367" s="1">
        <v>46263</v>
      </c>
      <c r="J367" t="s">
        <v>327</v>
      </c>
      <c r="K367" t="s">
        <v>484</v>
      </c>
      <c r="M367" t="s">
        <v>21</v>
      </c>
    </row>
    <row r="368" spans="1:13" hidden="1" x14ac:dyDescent="0.25">
      <c r="A368" s="1">
        <v>46259</v>
      </c>
      <c r="B368" t="s">
        <v>2336</v>
      </c>
      <c r="C368" t="s">
        <v>2337</v>
      </c>
      <c r="D368" t="s">
        <v>102</v>
      </c>
      <c r="E368" t="s">
        <v>16</v>
      </c>
      <c r="F368" s="1">
        <v>46258</v>
      </c>
      <c r="G368" s="1">
        <v>46259</v>
      </c>
      <c r="H368" s="1">
        <v>46260</v>
      </c>
      <c r="J368" t="s">
        <v>327</v>
      </c>
      <c r="K368" t="s">
        <v>2338</v>
      </c>
      <c r="M368" t="s">
        <v>4042</v>
      </c>
    </row>
    <row r="369" spans="1:13" hidden="1" x14ac:dyDescent="0.25">
      <c r="A369" s="1">
        <v>46259</v>
      </c>
      <c r="B369" t="s">
        <v>1162</v>
      </c>
      <c r="C369" t="s">
        <v>4146</v>
      </c>
      <c r="D369" t="s">
        <v>51</v>
      </c>
      <c r="E369" t="s">
        <v>4147</v>
      </c>
      <c r="F369" s="1">
        <v>46259</v>
      </c>
      <c r="G369" s="1">
        <v>46259</v>
      </c>
      <c r="H369" s="1">
        <v>46260</v>
      </c>
      <c r="J369" t="s">
        <v>327</v>
      </c>
      <c r="K369" t="s">
        <v>1164</v>
      </c>
      <c r="M369" t="s">
        <v>4042</v>
      </c>
    </row>
    <row r="370" spans="1:13" hidden="1" x14ac:dyDescent="0.25">
      <c r="A370" s="1">
        <v>46259</v>
      </c>
      <c r="B370" t="s">
        <v>126</v>
      </c>
      <c r="C370" t="s">
        <v>127</v>
      </c>
      <c r="D370" t="s">
        <v>128</v>
      </c>
      <c r="E370" t="s">
        <v>16</v>
      </c>
      <c r="F370" s="1">
        <v>46242</v>
      </c>
      <c r="G370" s="1">
        <v>46272</v>
      </c>
      <c r="H370" s="1">
        <v>46273</v>
      </c>
      <c r="J370" t="s">
        <v>327</v>
      </c>
      <c r="K370" t="s">
        <v>129</v>
      </c>
      <c r="M370" t="s">
        <v>21</v>
      </c>
    </row>
    <row r="371" spans="1:13" hidden="1" x14ac:dyDescent="0.25">
      <c r="A371" s="1">
        <v>46259</v>
      </c>
      <c r="B371" t="s">
        <v>2486</v>
      </c>
      <c r="C371" t="s">
        <v>2487</v>
      </c>
      <c r="D371" t="s">
        <v>28</v>
      </c>
      <c r="E371" t="s">
        <v>16</v>
      </c>
      <c r="F371" s="1">
        <v>46259</v>
      </c>
      <c r="G371" s="1">
        <v>46260</v>
      </c>
      <c r="H371" s="1">
        <v>46261</v>
      </c>
      <c r="J371" t="s">
        <v>327</v>
      </c>
      <c r="K371" t="s">
        <v>2488</v>
      </c>
      <c r="M371" t="s">
        <v>4042</v>
      </c>
    </row>
    <row r="372" spans="1:13" hidden="1" x14ac:dyDescent="0.25">
      <c r="A372" s="1">
        <v>46259</v>
      </c>
      <c r="B372" t="s">
        <v>3427</v>
      </c>
      <c r="C372" t="s">
        <v>3428</v>
      </c>
      <c r="D372" t="s">
        <v>59</v>
      </c>
      <c r="E372" t="s">
        <v>24</v>
      </c>
      <c r="F372" s="1">
        <v>46253</v>
      </c>
      <c r="G372" s="1">
        <v>46265</v>
      </c>
      <c r="H372" s="1">
        <v>46266</v>
      </c>
      <c r="J372" t="s">
        <v>327</v>
      </c>
      <c r="K372" t="s">
        <v>3429</v>
      </c>
      <c r="M372" t="s">
        <v>21</v>
      </c>
    </row>
    <row r="373" spans="1:13" hidden="1" x14ac:dyDescent="0.25">
      <c r="A373" s="1">
        <v>46259</v>
      </c>
      <c r="B373" t="s">
        <v>134</v>
      </c>
      <c r="C373" t="s">
        <v>135</v>
      </c>
      <c r="D373" t="s">
        <v>39</v>
      </c>
      <c r="E373" t="s">
        <v>16</v>
      </c>
      <c r="F373" s="1">
        <v>46245</v>
      </c>
      <c r="G373" s="1">
        <v>46276</v>
      </c>
      <c r="H373" s="1">
        <v>46277</v>
      </c>
      <c r="J373" t="s">
        <v>327</v>
      </c>
      <c r="K373" t="s">
        <v>136</v>
      </c>
      <c r="M373" t="s">
        <v>21</v>
      </c>
    </row>
    <row r="374" spans="1:13" hidden="1" x14ac:dyDescent="0.25">
      <c r="A374" s="1">
        <v>46259</v>
      </c>
      <c r="B374" t="s">
        <v>2820</v>
      </c>
      <c r="C374" t="s">
        <v>2821</v>
      </c>
      <c r="D374" t="s">
        <v>619</v>
      </c>
      <c r="E374" t="s">
        <v>16</v>
      </c>
      <c r="F374" s="1">
        <v>46259</v>
      </c>
      <c r="G374" s="1">
        <v>46259</v>
      </c>
      <c r="H374" s="1">
        <v>46260</v>
      </c>
      <c r="J374" t="s">
        <v>327</v>
      </c>
      <c r="K374" t="s">
        <v>2822</v>
      </c>
      <c r="M374" t="s">
        <v>4042</v>
      </c>
    </row>
    <row r="375" spans="1:13" hidden="1" x14ac:dyDescent="0.25">
      <c r="A375" s="1">
        <v>46259</v>
      </c>
      <c r="B375" t="s">
        <v>2362</v>
      </c>
      <c r="C375" t="s">
        <v>4072</v>
      </c>
      <c r="D375" t="s">
        <v>139</v>
      </c>
      <c r="E375" t="s">
        <v>158</v>
      </c>
      <c r="F375" s="1">
        <v>46230</v>
      </c>
      <c r="G375" s="1">
        <v>46230</v>
      </c>
      <c r="H375" s="1">
        <v>46231</v>
      </c>
      <c r="J375" t="s">
        <v>327</v>
      </c>
      <c r="K375" t="s">
        <v>2364</v>
      </c>
      <c r="M375" t="s">
        <v>4042</v>
      </c>
    </row>
    <row r="376" spans="1:13" hidden="1" x14ac:dyDescent="0.25">
      <c r="A376" s="1">
        <v>46259</v>
      </c>
      <c r="B376" t="s">
        <v>145</v>
      </c>
      <c r="C376" t="s">
        <v>146</v>
      </c>
      <c r="D376" t="s">
        <v>124</v>
      </c>
      <c r="E376" t="s">
        <v>16</v>
      </c>
      <c r="F376" s="1">
        <v>46254</v>
      </c>
      <c r="G376" s="1">
        <v>46268</v>
      </c>
      <c r="H376" s="1">
        <v>46269</v>
      </c>
      <c r="J376" t="s">
        <v>327</v>
      </c>
      <c r="K376" t="s">
        <v>147</v>
      </c>
      <c r="M376" t="s">
        <v>21</v>
      </c>
    </row>
    <row r="377" spans="1:13" hidden="1" x14ac:dyDescent="0.25">
      <c r="A377" s="1">
        <v>46259</v>
      </c>
      <c r="B377" t="s">
        <v>1708</v>
      </c>
      <c r="C377" t="s">
        <v>1709</v>
      </c>
      <c r="D377" t="s">
        <v>176</v>
      </c>
      <c r="E377" t="s">
        <v>4087</v>
      </c>
      <c r="F377" s="1">
        <v>46259</v>
      </c>
      <c r="G377" s="1">
        <v>46259</v>
      </c>
      <c r="H377" s="1">
        <v>46260</v>
      </c>
      <c r="J377" t="s">
        <v>327</v>
      </c>
      <c r="K377" t="s">
        <v>1710</v>
      </c>
      <c r="M377" t="s">
        <v>4042</v>
      </c>
    </row>
    <row r="378" spans="1:13" hidden="1" x14ac:dyDescent="0.25">
      <c r="A378" s="1">
        <v>46259</v>
      </c>
      <c r="B378" t="s">
        <v>450</v>
      </c>
      <c r="C378" t="s">
        <v>451</v>
      </c>
      <c r="D378" t="s">
        <v>139</v>
      </c>
      <c r="E378" t="s">
        <v>4074</v>
      </c>
      <c r="F378" s="1">
        <v>46259</v>
      </c>
      <c r="G378" s="1">
        <v>46260</v>
      </c>
      <c r="H378" s="1">
        <v>46261</v>
      </c>
      <c r="J378" t="s">
        <v>4060</v>
      </c>
      <c r="K378" t="s">
        <v>452</v>
      </c>
      <c r="M378" t="s">
        <v>4042</v>
      </c>
    </row>
    <row r="379" spans="1:13" hidden="1" x14ac:dyDescent="0.25">
      <c r="A379" s="1">
        <v>46259</v>
      </c>
      <c r="B379" t="s">
        <v>26</v>
      </c>
      <c r="C379" t="s">
        <v>27</v>
      </c>
      <c r="D379" t="s">
        <v>28</v>
      </c>
      <c r="E379" t="s">
        <v>16</v>
      </c>
      <c r="F379" s="1">
        <v>46258</v>
      </c>
      <c r="G379" s="1">
        <v>46285</v>
      </c>
      <c r="H379" s="1">
        <v>46286</v>
      </c>
      <c r="J379" t="s">
        <v>4060</v>
      </c>
      <c r="K379" t="s">
        <v>29</v>
      </c>
      <c r="M379" t="s">
        <v>21</v>
      </c>
    </row>
    <row r="380" spans="1:13" hidden="1" x14ac:dyDescent="0.25">
      <c r="A380" s="1">
        <v>46259</v>
      </c>
      <c r="B380" t="s">
        <v>3006</v>
      </c>
      <c r="C380" t="s">
        <v>3007</v>
      </c>
      <c r="D380" t="s">
        <v>78</v>
      </c>
      <c r="E380" t="s">
        <v>16</v>
      </c>
      <c r="F380" s="1">
        <v>46258</v>
      </c>
      <c r="G380" s="1">
        <v>46267</v>
      </c>
      <c r="H380" s="1">
        <v>46268</v>
      </c>
      <c r="J380" t="s">
        <v>4060</v>
      </c>
      <c r="K380" t="s">
        <v>3008</v>
      </c>
      <c r="M380" t="s">
        <v>21</v>
      </c>
    </row>
    <row r="381" spans="1:13" hidden="1" x14ac:dyDescent="0.25">
      <c r="A381" s="1">
        <v>46259</v>
      </c>
      <c r="B381" t="s">
        <v>3173</v>
      </c>
      <c r="C381" t="s">
        <v>3174</v>
      </c>
      <c r="D381" t="s">
        <v>28</v>
      </c>
      <c r="E381" t="s">
        <v>4074</v>
      </c>
      <c r="F381" s="1">
        <v>46259</v>
      </c>
      <c r="G381" s="1">
        <v>46259</v>
      </c>
      <c r="H381" s="1">
        <v>46260</v>
      </c>
      <c r="J381" t="s">
        <v>4060</v>
      </c>
      <c r="K381" t="s">
        <v>3175</v>
      </c>
      <c r="M381" t="s">
        <v>4042</v>
      </c>
    </row>
    <row r="382" spans="1:13" hidden="1" x14ac:dyDescent="0.25">
      <c r="A382" s="1">
        <v>46259</v>
      </c>
      <c r="B382" t="s">
        <v>1391</v>
      </c>
      <c r="C382" t="s">
        <v>1392</v>
      </c>
      <c r="D382" t="s">
        <v>132</v>
      </c>
      <c r="E382" t="s">
        <v>16</v>
      </c>
      <c r="F382" s="1">
        <v>46258</v>
      </c>
      <c r="G382" s="1">
        <v>46259</v>
      </c>
      <c r="H382" s="1">
        <v>46260</v>
      </c>
      <c r="J382" t="s">
        <v>4060</v>
      </c>
      <c r="K382" t="s">
        <v>1393</v>
      </c>
      <c r="M382" t="s">
        <v>4042</v>
      </c>
    </row>
    <row r="383" spans="1:13" hidden="1" x14ac:dyDescent="0.25">
      <c r="A383" s="1">
        <v>46259</v>
      </c>
      <c r="B383" t="s">
        <v>2062</v>
      </c>
      <c r="C383" t="s">
        <v>2063</v>
      </c>
      <c r="D383" t="s">
        <v>124</v>
      </c>
      <c r="E383" t="s">
        <v>16</v>
      </c>
      <c r="F383" s="1">
        <v>46258</v>
      </c>
      <c r="G383" s="1">
        <v>46262</v>
      </c>
      <c r="H383" s="1">
        <v>46263</v>
      </c>
      <c r="J383" t="s">
        <v>4060</v>
      </c>
      <c r="K383" t="s">
        <v>2064</v>
      </c>
      <c r="M383" t="s">
        <v>21</v>
      </c>
    </row>
    <row r="384" spans="1:13" hidden="1" x14ac:dyDescent="0.25">
      <c r="A384" s="1">
        <v>46259</v>
      </c>
      <c r="B384" t="s">
        <v>2676</v>
      </c>
      <c r="C384" t="s">
        <v>4218</v>
      </c>
      <c r="D384" t="s">
        <v>492</v>
      </c>
      <c r="E384" t="s">
        <v>4074</v>
      </c>
      <c r="F384" s="1">
        <v>46258</v>
      </c>
      <c r="G384" s="1">
        <v>46260</v>
      </c>
      <c r="H384" s="1">
        <v>46261</v>
      </c>
      <c r="J384" t="s">
        <v>4060</v>
      </c>
      <c r="K384" t="s">
        <v>2678</v>
      </c>
      <c r="M384" t="s">
        <v>4042</v>
      </c>
    </row>
    <row r="385" spans="1:13" hidden="1" x14ac:dyDescent="0.25">
      <c r="A385" s="1">
        <v>46259</v>
      </c>
      <c r="B385" t="s">
        <v>80</v>
      </c>
      <c r="C385" t="s">
        <v>81</v>
      </c>
      <c r="D385" t="s">
        <v>82</v>
      </c>
      <c r="E385" t="s">
        <v>16</v>
      </c>
      <c r="F385" s="1">
        <v>46255</v>
      </c>
      <c r="G385" s="1">
        <v>46258</v>
      </c>
      <c r="H385" s="1">
        <v>46259</v>
      </c>
      <c r="J385" t="s">
        <v>4060</v>
      </c>
      <c r="K385" t="s">
        <v>83</v>
      </c>
      <c r="M385" t="s">
        <v>21</v>
      </c>
    </row>
    <row r="386" spans="1:13" hidden="1" x14ac:dyDescent="0.25">
      <c r="A386" s="1">
        <v>46259</v>
      </c>
      <c r="B386" t="s">
        <v>1705</v>
      </c>
      <c r="C386" t="s">
        <v>4234</v>
      </c>
      <c r="D386" t="s">
        <v>128</v>
      </c>
      <c r="E386" t="s">
        <v>16</v>
      </c>
      <c r="F386" s="1">
        <v>46258</v>
      </c>
      <c r="G386" s="1">
        <v>46260</v>
      </c>
      <c r="H386" s="1">
        <v>46261</v>
      </c>
      <c r="J386" t="s">
        <v>4060</v>
      </c>
      <c r="K386" t="s">
        <v>1707</v>
      </c>
      <c r="M386" t="s">
        <v>4042</v>
      </c>
    </row>
    <row r="387" spans="1:13" hidden="1" x14ac:dyDescent="0.25">
      <c r="A387" s="1">
        <v>46259</v>
      </c>
      <c r="B387" t="s">
        <v>22</v>
      </c>
      <c r="C387" t="s">
        <v>221</v>
      </c>
      <c r="D387" t="s">
        <v>15</v>
      </c>
      <c r="E387" t="s">
        <v>24</v>
      </c>
      <c r="F387" s="1">
        <v>46244</v>
      </c>
      <c r="G387" s="1">
        <v>46265</v>
      </c>
      <c r="H387" s="1">
        <v>46266</v>
      </c>
      <c r="J387" t="s">
        <v>4060</v>
      </c>
      <c r="K387" t="s">
        <v>25</v>
      </c>
      <c r="M387" t="s">
        <v>21</v>
      </c>
    </row>
    <row r="388" spans="1:13" hidden="1" x14ac:dyDescent="0.25">
      <c r="A388" s="1">
        <v>46259</v>
      </c>
      <c r="B388" t="s">
        <v>1310</v>
      </c>
      <c r="C388" t="s">
        <v>1311</v>
      </c>
      <c r="D388" t="s">
        <v>256</v>
      </c>
      <c r="E388" t="s">
        <v>4074</v>
      </c>
      <c r="F388" s="1">
        <v>46259</v>
      </c>
      <c r="G388" s="1">
        <v>46261</v>
      </c>
      <c r="H388" s="1">
        <v>46262</v>
      </c>
      <c r="J388" t="s">
        <v>4060</v>
      </c>
      <c r="K388" t="s">
        <v>1312</v>
      </c>
      <c r="M388" t="s">
        <v>4042</v>
      </c>
    </row>
    <row r="389" spans="1:13" hidden="1" x14ac:dyDescent="0.25">
      <c r="A389" s="1">
        <v>46259</v>
      </c>
      <c r="B389" t="s">
        <v>2536</v>
      </c>
      <c r="C389" t="s">
        <v>2537</v>
      </c>
      <c r="D389" t="s">
        <v>55</v>
      </c>
      <c r="E389" t="s">
        <v>4074</v>
      </c>
      <c r="F389" s="1">
        <v>46259</v>
      </c>
      <c r="G389" s="1">
        <v>46261</v>
      </c>
      <c r="H389" s="1">
        <v>46262</v>
      </c>
      <c r="J389" t="s">
        <v>4060</v>
      </c>
      <c r="K389" t="s">
        <v>2538</v>
      </c>
      <c r="M389" t="s">
        <v>4042</v>
      </c>
    </row>
    <row r="390" spans="1:13" hidden="1" x14ac:dyDescent="0.25">
      <c r="A390" s="1">
        <v>46259</v>
      </c>
      <c r="B390" t="s">
        <v>2877</v>
      </c>
      <c r="C390" t="s">
        <v>2878</v>
      </c>
      <c r="D390" t="s">
        <v>132</v>
      </c>
      <c r="E390" t="s">
        <v>4074</v>
      </c>
      <c r="F390" s="1">
        <v>46259</v>
      </c>
      <c r="G390" s="1">
        <v>46260</v>
      </c>
      <c r="H390" s="1">
        <v>46261</v>
      </c>
      <c r="J390" t="s">
        <v>4060</v>
      </c>
      <c r="K390" t="s">
        <v>2879</v>
      </c>
      <c r="M390" t="s">
        <v>4042</v>
      </c>
    </row>
    <row r="391" spans="1:13" hidden="1" x14ac:dyDescent="0.25">
      <c r="A391" s="1">
        <v>46259</v>
      </c>
      <c r="B391" t="s">
        <v>3638</v>
      </c>
      <c r="C391" t="s">
        <v>3639</v>
      </c>
      <c r="D391" t="s">
        <v>55</v>
      </c>
      <c r="E391" t="s">
        <v>4074</v>
      </c>
      <c r="F391" s="1">
        <v>46258</v>
      </c>
      <c r="G391" s="1"/>
      <c r="H391" s="1"/>
      <c r="J391" t="s">
        <v>4060</v>
      </c>
      <c r="K391" t="s">
        <v>3640</v>
      </c>
      <c r="M391" t="s">
        <v>4042</v>
      </c>
    </row>
    <row r="392" spans="1:13" hidden="1" x14ac:dyDescent="0.25">
      <c r="A392" s="1">
        <v>46259</v>
      </c>
      <c r="B392" t="s">
        <v>472</v>
      </c>
      <c r="C392" t="s">
        <v>473</v>
      </c>
      <c r="D392" t="s">
        <v>256</v>
      </c>
      <c r="E392" t="s">
        <v>4074</v>
      </c>
      <c r="F392" s="1">
        <v>46259</v>
      </c>
      <c r="G392" s="1">
        <v>46259</v>
      </c>
      <c r="H392" s="1">
        <v>46260</v>
      </c>
      <c r="J392" t="s">
        <v>4060</v>
      </c>
      <c r="K392" t="s">
        <v>474</v>
      </c>
      <c r="M392" t="s">
        <v>4042</v>
      </c>
    </row>
    <row r="393" spans="1:13" hidden="1" x14ac:dyDescent="0.25">
      <c r="A393" s="1">
        <v>46259</v>
      </c>
      <c r="B393" t="s">
        <v>1627</v>
      </c>
      <c r="C393" t="s">
        <v>1628</v>
      </c>
      <c r="D393" t="s">
        <v>421</v>
      </c>
      <c r="E393" t="s">
        <v>16</v>
      </c>
      <c r="F393" s="1">
        <v>46258</v>
      </c>
      <c r="G393" s="1">
        <v>46258</v>
      </c>
      <c r="H393" s="1">
        <v>46259</v>
      </c>
      <c r="J393" t="s">
        <v>4060</v>
      </c>
      <c r="K393" t="s">
        <v>1629</v>
      </c>
      <c r="M393" t="s">
        <v>4042</v>
      </c>
    </row>
    <row r="394" spans="1:13" hidden="1" x14ac:dyDescent="0.25">
      <c r="A394" s="1">
        <v>46259</v>
      </c>
      <c r="B394" t="s">
        <v>1808</v>
      </c>
      <c r="C394" t="s">
        <v>1809</v>
      </c>
      <c r="D394" t="s">
        <v>256</v>
      </c>
      <c r="E394" t="s">
        <v>16</v>
      </c>
      <c r="F394" s="1">
        <v>46258</v>
      </c>
      <c r="G394" s="1">
        <v>46260</v>
      </c>
      <c r="H394" s="1">
        <v>46261</v>
      </c>
      <c r="J394" t="s">
        <v>4060</v>
      </c>
      <c r="K394" t="s">
        <v>1810</v>
      </c>
      <c r="M394" t="s">
        <v>4042</v>
      </c>
    </row>
    <row r="395" spans="1:13" hidden="1" x14ac:dyDescent="0.25">
      <c r="A395" s="1">
        <v>46259</v>
      </c>
      <c r="B395" t="s">
        <v>2539</v>
      </c>
      <c r="C395" t="s">
        <v>2540</v>
      </c>
      <c r="D395" t="s">
        <v>124</v>
      </c>
      <c r="E395" t="s">
        <v>4074</v>
      </c>
      <c r="F395" s="1">
        <v>46259</v>
      </c>
      <c r="G395" s="1">
        <v>46259</v>
      </c>
      <c r="H395" s="1">
        <v>46260</v>
      </c>
      <c r="J395" t="s">
        <v>4060</v>
      </c>
      <c r="K395" t="s">
        <v>2541</v>
      </c>
      <c r="M395" t="s">
        <v>4042</v>
      </c>
    </row>
    <row r="396" spans="1:13" hidden="1" x14ac:dyDescent="0.25">
      <c r="A396" s="1">
        <v>46259</v>
      </c>
      <c r="B396" t="s">
        <v>3427</v>
      </c>
      <c r="C396" t="s">
        <v>3428</v>
      </c>
      <c r="D396" t="s">
        <v>55</v>
      </c>
      <c r="E396" t="s">
        <v>16</v>
      </c>
      <c r="F396" s="1">
        <v>46256</v>
      </c>
      <c r="G396" s="1">
        <v>46263</v>
      </c>
      <c r="H396" s="1">
        <v>46264</v>
      </c>
      <c r="J396" t="s">
        <v>4060</v>
      </c>
      <c r="K396" t="s">
        <v>3429</v>
      </c>
      <c r="M396" t="s">
        <v>21</v>
      </c>
    </row>
    <row r="397" spans="1:13" hidden="1" x14ac:dyDescent="0.25">
      <c r="A397" s="1">
        <v>46259</v>
      </c>
      <c r="B397" t="s">
        <v>3052</v>
      </c>
      <c r="C397" t="s">
        <v>3053</v>
      </c>
      <c r="D397" t="s">
        <v>64</v>
      </c>
      <c r="E397" t="s">
        <v>16</v>
      </c>
      <c r="F397" s="1">
        <v>46258</v>
      </c>
      <c r="G397" s="1">
        <v>46258</v>
      </c>
      <c r="H397" s="1">
        <v>46259</v>
      </c>
      <c r="J397" t="s">
        <v>4060</v>
      </c>
      <c r="K397" t="s">
        <v>3054</v>
      </c>
      <c r="M397" t="s">
        <v>4042</v>
      </c>
    </row>
    <row r="398" spans="1:13" hidden="1" x14ac:dyDescent="0.25">
      <c r="A398" s="1">
        <v>46259</v>
      </c>
      <c r="B398" t="s">
        <v>734</v>
      </c>
      <c r="C398" t="s">
        <v>735</v>
      </c>
      <c r="D398" t="s">
        <v>272</v>
      </c>
      <c r="E398" t="s">
        <v>4074</v>
      </c>
      <c r="F398" s="1">
        <v>46259</v>
      </c>
      <c r="G398" s="1">
        <v>46260</v>
      </c>
      <c r="H398" s="1">
        <v>46261</v>
      </c>
      <c r="J398" t="s">
        <v>4060</v>
      </c>
      <c r="K398" t="s">
        <v>736</v>
      </c>
      <c r="M398" t="s">
        <v>4042</v>
      </c>
    </row>
    <row r="399" spans="1:13" hidden="1" x14ac:dyDescent="0.25">
      <c r="A399" s="1">
        <v>46259</v>
      </c>
      <c r="B399" t="s">
        <v>137</v>
      </c>
      <c r="C399" t="s">
        <v>138</v>
      </c>
      <c r="D399" t="s">
        <v>139</v>
      </c>
      <c r="E399" t="s">
        <v>16</v>
      </c>
      <c r="F399" s="1">
        <v>46258</v>
      </c>
      <c r="G399" s="1">
        <v>46258</v>
      </c>
      <c r="H399" s="1">
        <v>46259</v>
      </c>
      <c r="J399" t="s">
        <v>4060</v>
      </c>
      <c r="K399" t="s">
        <v>140</v>
      </c>
      <c r="M399" t="s">
        <v>4042</v>
      </c>
    </row>
    <row r="400" spans="1:13" hidden="1" x14ac:dyDescent="0.25">
      <c r="A400" s="1">
        <v>46259</v>
      </c>
      <c r="B400" t="s">
        <v>216</v>
      </c>
      <c r="C400" t="s">
        <v>217</v>
      </c>
      <c r="D400" t="s">
        <v>59</v>
      </c>
      <c r="E400" t="s">
        <v>16</v>
      </c>
      <c r="F400" s="1">
        <v>46258</v>
      </c>
      <c r="G400" s="1">
        <v>46263</v>
      </c>
      <c r="H400" s="1">
        <v>46264</v>
      </c>
      <c r="J400" t="s">
        <v>4060</v>
      </c>
      <c r="K400" t="s">
        <v>218</v>
      </c>
      <c r="M400" t="s">
        <v>21</v>
      </c>
    </row>
    <row r="401" spans="1:13" hidden="1" x14ac:dyDescent="0.25">
      <c r="A401" s="1">
        <v>46259</v>
      </c>
      <c r="B401" t="s">
        <v>3839</v>
      </c>
      <c r="C401" t="s">
        <v>3840</v>
      </c>
      <c r="D401" t="s">
        <v>245</v>
      </c>
      <c r="E401" t="s">
        <v>16</v>
      </c>
      <c r="F401" s="1">
        <v>46258</v>
      </c>
      <c r="G401" s="1">
        <v>46259</v>
      </c>
      <c r="H401" s="1">
        <v>46260</v>
      </c>
      <c r="J401" t="s">
        <v>4060</v>
      </c>
      <c r="K401" t="s">
        <v>3841</v>
      </c>
      <c r="M401" t="s">
        <v>4042</v>
      </c>
    </row>
    <row r="402" spans="1:13" hidden="1" x14ac:dyDescent="0.25">
      <c r="A402" s="1">
        <v>46259</v>
      </c>
      <c r="B402" t="s">
        <v>2590</v>
      </c>
      <c r="C402" t="s">
        <v>2591</v>
      </c>
      <c r="D402" t="s">
        <v>132</v>
      </c>
      <c r="E402" t="s">
        <v>16</v>
      </c>
      <c r="F402" s="1">
        <v>46258</v>
      </c>
      <c r="G402" s="1">
        <v>46260</v>
      </c>
      <c r="H402" s="1">
        <v>46261</v>
      </c>
      <c r="J402" t="s">
        <v>4060</v>
      </c>
      <c r="K402" t="s">
        <v>2592</v>
      </c>
      <c r="M402" t="s">
        <v>4042</v>
      </c>
    </row>
    <row r="403" spans="1:13" hidden="1" x14ac:dyDescent="0.25">
      <c r="A403" s="1">
        <v>46259</v>
      </c>
      <c r="B403" t="s">
        <v>3478</v>
      </c>
      <c r="C403" t="s">
        <v>3479</v>
      </c>
      <c r="D403" t="s">
        <v>344</v>
      </c>
      <c r="E403" t="s">
        <v>16</v>
      </c>
      <c r="F403" s="1">
        <v>46258</v>
      </c>
      <c r="G403" s="1">
        <v>46259</v>
      </c>
      <c r="H403" s="1">
        <v>46260</v>
      </c>
      <c r="J403" t="s">
        <v>4060</v>
      </c>
      <c r="M403" t="s">
        <v>4042</v>
      </c>
    </row>
    <row r="404" spans="1:13" hidden="1" x14ac:dyDescent="0.25">
      <c r="A404" s="1">
        <v>46259</v>
      </c>
      <c r="B404" t="s">
        <v>73</v>
      </c>
      <c r="C404" t="s">
        <v>74</v>
      </c>
      <c r="D404" t="s">
        <v>4078</v>
      </c>
      <c r="E404" t="s">
        <v>4099</v>
      </c>
      <c r="F404" s="1">
        <v>46259</v>
      </c>
      <c r="G404" s="1">
        <v>46259</v>
      </c>
      <c r="H404" s="1">
        <v>46260</v>
      </c>
      <c r="J404" t="s">
        <v>339</v>
      </c>
      <c r="K404" t="s">
        <v>75</v>
      </c>
      <c r="M404" t="s">
        <v>4042</v>
      </c>
    </row>
    <row r="405" spans="1:13" hidden="1" x14ac:dyDescent="0.25">
      <c r="A405" s="1">
        <v>46259</v>
      </c>
      <c r="B405" t="s">
        <v>213</v>
      </c>
      <c r="C405" t="s">
        <v>214</v>
      </c>
      <c r="D405" t="s">
        <v>4078</v>
      </c>
      <c r="E405" t="s">
        <v>4099</v>
      </c>
      <c r="F405" s="1">
        <v>46259</v>
      </c>
      <c r="G405" s="1">
        <v>46259</v>
      </c>
      <c r="H405" s="1">
        <v>46260</v>
      </c>
      <c r="J405" t="s">
        <v>339</v>
      </c>
      <c r="K405" t="s">
        <v>215</v>
      </c>
      <c r="M405" t="s">
        <v>4042</v>
      </c>
    </row>
    <row r="406" spans="1:13" hidden="1" x14ac:dyDescent="0.25">
      <c r="A406" s="1">
        <v>46259</v>
      </c>
      <c r="B406" t="s">
        <v>1431</v>
      </c>
      <c r="C406" t="s">
        <v>1432</v>
      </c>
      <c r="D406" t="s">
        <v>344</v>
      </c>
      <c r="E406" t="s">
        <v>16</v>
      </c>
      <c r="F406" s="1">
        <v>46256</v>
      </c>
      <c r="G406" s="1">
        <v>46256</v>
      </c>
      <c r="H406" s="1">
        <v>46257</v>
      </c>
      <c r="J406" t="s">
        <v>4041</v>
      </c>
      <c r="K406" t="s">
        <v>1433</v>
      </c>
      <c r="M406" t="s">
        <v>4042</v>
      </c>
    </row>
    <row r="407" spans="1:13" hidden="1" x14ac:dyDescent="0.25">
      <c r="A407" s="1">
        <v>46259</v>
      </c>
      <c r="B407" t="s">
        <v>2922</v>
      </c>
      <c r="C407" t="s">
        <v>2923</v>
      </c>
      <c r="D407" t="s">
        <v>124</v>
      </c>
      <c r="E407" t="s">
        <v>16</v>
      </c>
      <c r="F407" s="1">
        <v>46258</v>
      </c>
      <c r="G407" s="1">
        <v>46258</v>
      </c>
      <c r="H407" s="1">
        <v>46259</v>
      </c>
      <c r="J407" t="s">
        <v>4041</v>
      </c>
      <c r="K407" t="s">
        <v>2924</v>
      </c>
      <c r="M407" t="s">
        <v>4042</v>
      </c>
    </row>
    <row r="408" spans="1:13" hidden="1" x14ac:dyDescent="0.25">
      <c r="A408" s="1">
        <v>46259</v>
      </c>
      <c r="B408" t="s">
        <v>156</v>
      </c>
      <c r="C408" t="s">
        <v>157</v>
      </c>
      <c r="D408" t="s">
        <v>44</v>
      </c>
      <c r="E408" t="s">
        <v>16</v>
      </c>
      <c r="F408" s="1">
        <v>46250</v>
      </c>
      <c r="G408" s="1">
        <v>46257</v>
      </c>
      <c r="H408" s="1">
        <v>46258</v>
      </c>
      <c r="J408" t="s">
        <v>4041</v>
      </c>
      <c r="K408" t="s">
        <v>159</v>
      </c>
      <c r="M408" t="s">
        <v>21</v>
      </c>
    </row>
    <row r="409" spans="1:13" hidden="1" x14ac:dyDescent="0.25">
      <c r="A409" s="1">
        <v>46259</v>
      </c>
      <c r="B409" t="s">
        <v>1397</v>
      </c>
      <c r="C409" t="s">
        <v>1398</v>
      </c>
      <c r="D409" t="s">
        <v>162</v>
      </c>
      <c r="E409" t="s">
        <v>16</v>
      </c>
      <c r="F409" s="1">
        <v>46258</v>
      </c>
      <c r="G409" s="1">
        <v>46260</v>
      </c>
      <c r="H409" s="1">
        <v>46261</v>
      </c>
      <c r="J409" t="s">
        <v>4236</v>
      </c>
      <c r="K409" t="s">
        <v>1399</v>
      </c>
      <c r="M409" t="s">
        <v>4042</v>
      </c>
    </row>
    <row r="410" spans="1:13" hidden="1" x14ac:dyDescent="0.25">
      <c r="A410" s="1">
        <v>46259</v>
      </c>
      <c r="B410" t="s">
        <v>170</v>
      </c>
      <c r="C410" t="s">
        <v>171</v>
      </c>
      <c r="D410" t="s">
        <v>172</v>
      </c>
      <c r="E410" t="s">
        <v>16</v>
      </c>
      <c r="F410" s="1">
        <v>46252</v>
      </c>
      <c r="G410" s="1">
        <v>46262</v>
      </c>
      <c r="H410" s="1">
        <v>46263</v>
      </c>
      <c r="J410" t="s">
        <v>4169</v>
      </c>
      <c r="K410" t="s">
        <v>173</v>
      </c>
      <c r="M410" t="s">
        <v>21</v>
      </c>
    </row>
    <row r="411" spans="1:13" hidden="1" x14ac:dyDescent="0.25">
      <c r="A411" s="1">
        <v>46259</v>
      </c>
      <c r="B411" t="s">
        <v>1440</v>
      </c>
      <c r="C411" t="s">
        <v>1441</v>
      </c>
      <c r="D411" t="s">
        <v>55</v>
      </c>
      <c r="E411" t="s">
        <v>16</v>
      </c>
      <c r="F411" s="1">
        <v>46257</v>
      </c>
      <c r="G411" s="1">
        <v>46259</v>
      </c>
      <c r="H411" s="1">
        <v>46260</v>
      </c>
      <c r="J411" t="s">
        <v>341</v>
      </c>
      <c r="K411" t="s">
        <v>1442</v>
      </c>
      <c r="M411" t="s">
        <v>4042</v>
      </c>
    </row>
    <row r="412" spans="1:13" hidden="1" x14ac:dyDescent="0.25">
      <c r="A412" s="1">
        <v>46259</v>
      </c>
      <c r="B412" t="s">
        <v>4124</v>
      </c>
      <c r="C412" t="s">
        <v>4069</v>
      </c>
      <c r="D412" t="s">
        <v>64</v>
      </c>
      <c r="E412" t="s">
        <v>4050</v>
      </c>
      <c r="F412" s="1">
        <v>46195</v>
      </c>
      <c r="G412" s="1">
        <v>46198</v>
      </c>
      <c r="H412" s="1">
        <v>46199</v>
      </c>
      <c r="J412" t="s">
        <v>341</v>
      </c>
      <c r="M412" t="s">
        <v>4042</v>
      </c>
    </row>
    <row r="413" spans="1:13" hidden="1" x14ac:dyDescent="0.25">
      <c r="A413" s="1">
        <v>46259</v>
      </c>
      <c r="B413" t="s">
        <v>336</v>
      </c>
      <c r="C413" t="s">
        <v>4154</v>
      </c>
      <c r="D413" t="s">
        <v>39</v>
      </c>
      <c r="E413" t="s">
        <v>16</v>
      </c>
      <c r="F413" s="1">
        <v>46258</v>
      </c>
      <c r="G413" s="1">
        <v>46260</v>
      </c>
      <c r="H413" s="1">
        <v>46261</v>
      </c>
      <c r="J413" t="s">
        <v>4232</v>
      </c>
      <c r="K413" t="s">
        <v>338</v>
      </c>
      <c r="M413" t="s">
        <v>4042</v>
      </c>
    </row>
    <row r="414" spans="1:13" hidden="1" x14ac:dyDescent="0.25">
      <c r="A414" s="1">
        <v>46259</v>
      </c>
      <c r="B414" t="s">
        <v>646</v>
      </c>
      <c r="C414" t="s">
        <v>648</v>
      </c>
      <c r="D414" t="s">
        <v>272</v>
      </c>
      <c r="E414" t="s">
        <v>4074</v>
      </c>
      <c r="F414" s="1"/>
      <c r="G414" s="1"/>
      <c r="H414" s="1"/>
      <c r="J414" t="s">
        <v>4310</v>
      </c>
      <c r="K414" t="s">
        <v>649</v>
      </c>
      <c r="M414" t="s">
        <v>4042</v>
      </c>
    </row>
    <row r="415" spans="1:13" hidden="1" x14ac:dyDescent="0.25">
      <c r="A415" s="1">
        <v>46259</v>
      </c>
      <c r="B415" t="s">
        <v>2036</v>
      </c>
      <c r="C415" t="s">
        <v>2037</v>
      </c>
      <c r="D415" t="s">
        <v>272</v>
      </c>
      <c r="E415" t="s">
        <v>4074</v>
      </c>
      <c r="F415" s="1">
        <v>46259</v>
      </c>
      <c r="G415" s="1">
        <v>46266</v>
      </c>
      <c r="H415" s="1">
        <v>46267</v>
      </c>
      <c r="J415" t="s">
        <v>4176</v>
      </c>
      <c r="K415" t="s">
        <v>2038</v>
      </c>
      <c r="M415" t="s">
        <v>4042</v>
      </c>
    </row>
    <row r="416" spans="1:13" hidden="1" x14ac:dyDescent="0.25">
      <c r="A416" s="1">
        <v>46259</v>
      </c>
      <c r="B416" t="s">
        <v>3436</v>
      </c>
      <c r="C416" t="s">
        <v>3437</v>
      </c>
      <c r="D416" t="s">
        <v>139</v>
      </c>
      <c r="E416" t="s">
        <v>16</v>
      </c>
      <c r="F416" s="1">
        <v>46258</v>
      </c>
      <c r="G416" s="1">
        <v>46259</v>
      </c>
      <c r="H416" s="1">
        <v>46260</v>
      </c>
      <c r="J416" t="s">
        <v>4235</v>
      </c>
      <c r="K416" t="s">
        <v>3438</v>
      </c>
      <c r="M416" t="s">
        <v>4042</v>
      </c>
    </row>
    <row r="417" spans="1:13" hidden="1" x14ac:dyDescent="0.25">
      <c r="A417" s="1">
        <v>46260</v>
      </c>
      <c r="B417" t="s">
        <v>1265</v>
      </c>
      <c r="C417" t="s">
        <v>1266</v>
      </c>
      <c r="D417" t="s">
        <v>15</v>
      </c>
      <c r="E417" t="s">
        <v>4123</v>
      </c>
      <c r="F417" s="1">
        <v>46260</v>
      </c>
      <c r="G417" s="1">
        <v>46262</v>
      </c>
      <c r="H417" s="1">
        <v>46263</v>
      </c>
      <c r="I417" t="s">
        <v>17</v>
      </c>
      <c r="J417" t="s">
        <v>18</v>
      </c>
      <c r="K417" t="s">
        <v>1267</v>
      </c>
      <c r="M417" t="s">
        <v>4042</v>
      </c>
    </row>
    <row r="418" spans="1:13" hidden="1" x14ac:dyDescent="0.25">
      <c r="A418" s="1">
        <v>46260</v>
      </c>
      <c r="B418" t="s">
        <v>53</v>
      </c>
      <c r="C418" t="s">
        <v>88</v>
      </c>
      <c r="D418" t="s">
        <v>55</v>
      </c>
      <c r="E418" t="s">
        <v>16</v>
      </c>
      <c r="F418" s="1">
        <v>46229</v>
      </c>
      <c r="G418" s="1">
        <v>46258</v>
      </c>
      <c r="H418" s="1">
        <v>46259</v>
      </c>
      <c r="I418" t="s">
        <v>107</v>
      </c>
      <c r="J418" t="s">
        <v>108</v>
      </c>
      <c r="K418" t="s">
        <v>56</v>
      </c>
      <c r="L418" t="s">
        <v>109</v>
      </c>
      <c r="M418" t="s">
        <v>21</v>
      </c>
    </row>
    <row r="419" spans="1:13" hidden="1" x14ac:dyDescent="0.25">
      <c r="A419" s="1">
        <v>46260</v>
      </c>
      <c r="B419" t="s">
        <v>1244</v>
      </c>
      <c r="C419" t="s">
        <v>1245</v>
      </c>
      <c r="D419" t="s">
        <v>172</v>
      </c>
      <c r="E419" t="s">
        <v>24</v>
      </c>
      <c r="F419" s="1">
        <v>46260</v>
      </c>
      <c r="G419" s="1">
        <v>46260</v>
      </c>
      <c r="H419" s="1">
        <v>46261</v>
      </c>
      <c r="I419" t="s">
        <v>231</v>
      </c>
      <c r="J419" t="s">
        <v>232</v>
      </c>
      <c r="K419" t="s">
        <v>1246</v>
      </c>
      <c r="M419" t="s">
        <v>4042</v>
      </c>
    </row>
    <row r="420" spans="1:13" hidden="1" x14ac:dyDescent="0.25">
      <c r="A420" s="1">
        <v>46260</v>
      </c>
      <c r="B420" t="s">
        <v>30</v>
      </c>
      <c r="C420" t="s">
        <v>31</v>
      </c>
      <c r="D420" t="s">
        <v>28</v>
      </c>
      <c r="E420" t="s">
        <v>24</v>
      </c>
      <c r="F420" s="1">
        <v>46249</v>
      </c>
      <c r="G420" s="1">
        <v>46262</v>
      </c>
      <c r="H420" s="1">
        <v>46263</v>
      </c>
      <c r="I420" t="s">
        <v>222</v>
      </c>
      <c r="J420" t="s">
        <v>223</v>
      </c>
      <c r="K420" t="s">
        <v>32</v>
      </c>
      <c r="L420" t="s">
        <v>224</v>
      </c>
      <c r="M420" t="s">
        <v>21</v>
      </c>
    </row>
    <row r="421" spans="1:13" hidden="1" x14ac:dyDescent="0.25">
      <c r="A421" s="1">
        <v>46260</v>
      </c>
      <c r="B421" t="s">
        <v>62</v>
      </c>
      <c r="C421" t="s">
        <v>63</v>
      </c>
      <c r="D421" t="s">
        <v>64</v>
      </c>
      <c r="E421" t="s">
        <v>16</v>
      </c>
      <c r="F421" s="1">
        <v>46249</v>
      </c>
      <c r="G421" s="1">
        <v>46278</v>
      </c>
      <c r="H421" s="1">
        <v>46279</v>
      </c>
      <c r="I421" t="s">
        <v>222</v>
      </c>
      <c r="J421" t="s">
        <v>223</v>
      </c>
      <c r="K421" t="s">
        <v>65</v>
      </c>
      <c r="L421" t="s">
        <v>224</v>
      </c>
      <c r="M421" t="s">
        <v>21</v>
      </c>
    </row>
    <row r="422" spans="1:13" hidden="1" x14ac:dyDescent="0.25">
      <c r="A422" s="1">
        <v>46260</v>
      </c>
      <c r="B422" t="s">
        <v>49</v>
      </c>
      <c r="C422" t="s">
        <v>50</v>
      </c>
      <c r="D422" t="s">
        <v>51</v>
      </c>
      <c r="E422" t="s">
        <v>36</v>
      </c>
      <c r="F422" s="1">
        <v>46241</v>
      </c>
      <c r="G422" s="1">
        <v>46366</v>
      </c>
      <c r="H422" s="1">
        <v>46367</v>
      </c>
      <c r="I422" t="s">
        <v>73</v>
      </c>
      <c r="J422" t="s">
        <v>74</v>
      </c>
      <c r="K422" t="s">
        <v>52</v>
      </c>
      <c r="L422" t="s">
        <v>75</v>
      </c>
      <c r="M422" t="s">
        <v>21</v>
      </c>
    </row>
    <row r="423" spans="1:13" hidden="1" x14ac:dyDescent="0.25">
      <c r="A423" s="1">
        <v>46260</v>
      </c>
      <c r="B423" t="s">
        <v>1735</v>
      </c>
      <c r="C423" t="s">
        <v>1736</v>
      </c>
      <c r="D423" t="s">
        <v>78</v>
      </c>
      <c r="E423" t="s">
        <v>24</v>
      </c>
      <c r="F423" s="1">
        <v>46259</v>
      </c>
      <c r="G423" s="1">
        <v>46259</v>
      </c>
      <c r="H423" s="1">
        <v>46260</v>
      </c>
      <c r="I423" t="s">
        <v>73</v>
      </c>
      <c r="J423" t="s">
        <v>74</v>
      </c>
      <c r="K423" t="s">
        <v>1737</v>
      </c>
      <c r="L423" t="s">
        <v>75</v>
      </c>
      <c r="M423" t="s">
        <v>4042</v>
      </c>
    </row>
    <row r="424" spans="1:13" hidden="1" x14ac:dyDescent="0.25">
      <c r="A424" s="1">
        <v>46260</v>
      </c>
      <c r="B424" t="s">
        <v>3638</v>
      </c>
      <c r="C424" t="s">
        <v>4240</v>
      </c>
      <c r="D424" t="s">
        <v>55</v>
      </c>
      <c r="E424" t="s">
        <v>16</v>
      </c>
      <c r="F424" s="1">
        <v>46259</v>
      </c>
      <c r="G424" s="1">
        <v>46263</v>
      </c>
      <c r="H424" s="1">
        <v>46264</v>
      </c>
      <c r="I424" t="s">
        <v>73</v>
      </c>
      <c r="J424" t="s">
        <v>74</v>
      </c>
      <c r="K424" t="s">
        <v>3640</v>
      </c>
      <c r="L424" t="s">
        <v>75</v>
      </c>
      <c r="M424" t="s">
        <v>21</v>
      </c>
    </row>
    <row r="425" spans="1:13" hidden="1" x14ac:dyDescent="0.25">
      <c r="A425" s="1">
        <v>46260</v>
      </c>
      <c r="B425" t="s">
        <v>156</v>
      </c>
      <c r="C425" t="s">
        <v>157</v>
      </c>
      <c r="D425" t="s">
        <v>44</v>
      </c>
      <c r="E425" t="s">
        <v>16</v>
      </c>
      <c r="F425" s="1">
        <v>46258</v>
      </c>
      <c r="G425" s="1">
        <v>46287</v>
      </c>
      <c r="H425" s="1">
        <v>46288</v>
      </c>
      <c r="I425" t="s">
        <v>196</v>
      </c>
      <c r="J425" t="s">
        <v>197</v>
      </c>
      <c r="K425" t="s">
        <v>159</v>
      </c>
      <c r="L425" t="s">
        <v>198</v>
      </c>
      <c r="M425" t="s">
        <v>21</v>
      </c>
    </row>
    <row r="426" spans="1:13" hidden="1" x14ac:dyDescent="0.25">
      <c r="A426" s="1">
        <v>46260</v>
      </c>
      <c r="B426" t="s">
        <v>3656</v>
      </c>
      <c r="C426" t="s">
        <v>3657</v>
      </c>
      <c r="D426" t="s">
        <v>68</v>
      </c>
      <c r="E426" t="s">
        <v>4091</v>
      </c>
      <c r="F426" s="1">
        <v>46260</v>
      </c>
      <c r="G426" s="1">
        <v>46260</v>
      </c>
      <c r="H426" s="1">
        <v>46261</v>
      </c>
      <c r="I426" t="s">
        <v>213</v>
      </c>
      <c r="J426" t="s">
        <v>214</v>
      </c>
      <c r="K426" t="s">
        <v>3658</v>
      </c>
      <c r="M426" t="s">
        <v>4042</v>
      </c>
    </row>
    <row r="427" spans="1:13" hidden="1" x14ac:dyDescent="0.25">
      <c r="A427" s="1">
        <v>46260</v>
      </c>
      <c r="B427" t="s">
        <v>3578</v>
      </c>
      <c r="C427" t="s">
        <v>4196</v>
      </c>
      <c r="D427" t="s">
        <v>176</v>
      </c>
      <c r="E427" t="s">
        <v>4062</v>
      </c>
      <c r="F427" s="1">
        <v>46247</v>
      </c>
      <c r="G427" s="1">
        <v>46265</v>
      </c>
      <c r="H427" s="1">
        <v>46266</v>
      </c>
      <c r="I427" t="s">
        <v>251</v>
      </c>
      <c r="J427" t="s">
        <v>252</v>
      </c>
      <c r="K427" t="s">
        <v>3580</v>
      </c>
      <c r="L427" t="s">
        <v>253</v>
      </c>
      <c r="M427" t="s">
        <v>4042</v>
      </c>
    </row>
    <row r="428" spans="1:13" hidden="1" x14ac:dyDescent="0.25">
      <c r="A428" s="1">
        <v>46260</v>
      </c>
      <c r="B428" t="s">
        <v>204</v>
      </c>
      <c r="C428" t="s">
        <v>205</v>
      </c>
      <c r="D428" t="s">
        <v>51</v>
      </c>
      <c r="E428" t="s">
        <v>92</v>
      </c>
      <c r="F428" s="1">
        <v>46236</v>
      </c>
      <c r="G428" s="1">
        <v>46262</v>
      </c>
      <c r="H428" s="1">
        <v>46263</v>
      </c>
      <c r="I428" t="s">
        <v>251</v>
      </c>
      <c r="J428" t="s">
        <v>252</v>
      </c>
      <c r="K428" t="s">
        <v>206</v>
      </c>
      <c r="L428" t="s">
        <v>253</v>
      </c>
      <c r="M428" t="s">
        <v>21</v>
      </c>
    </row>
    <row r="429" spans="1:13" hidden="1" x14ac:dyDescent="0.25">
      <c r="A429" s="1">
        <v>46260</v>
      </c>
      <c r="B429" t="s">
        <v>270</v>
      </c>
      <c r="C429" t="s">
        <v>271</v>
      </c>
      <c r="D429" t="s">
        <v>272</v>
      </c>
      <c r="E429" t="s">
        <v>4065</v>
      </c>
      <c r="F429" s="1">
        <v>46238</v>
      </c>
      <c r="G429" s="1">
        <v>46295</v>
      </c>
      <c r="H429" s="1">
        <v>46296</v>
      </c>
      <c r="I429" t="s">
        <v>267</v>
      </c>
      <c r="J429" t="s">
        <v>268</v>
      </c>
      <c r="M429" t="s">
        <v>4042</v>
      </c>
    </row>
    <row r="430" spans="1:13" hidden="1" x14ac:dyDescent="0.25">
      <c r="A430" s="1">
        <v>46260</v>
      </c>
      <c r="B430" t="s">
        <v>282</v>
      </c>
      <c r="C430" t="s">
        <v>283</v>
      </c>
      <c r="D430" t="s">
        <v>4078</v>
      </c>
      <c r="E430" t="s">
        <v>4079</v>
      </c>
      <c r="F430" s="1">
        <v>46260</v>
      </c>
      <c r="G430" s="1">
        <v>46260</v>
      </c>
      <c r="H430" s="1">
        <v>46261</v>
      </c>
      <c r="I430" t="s">
        <v>282</v>
      </c>
      <c r="J430" t="s">
        <v>283</v>
      </c>
      <c r="K430" t="s">
        <v>284</v>
      </c>
      <c r="M430" t="s">
        <v>4042</v>
      </c>
    </row>
    <row r="431" spans="1:13" hidden="1" x14ac:dyDescent="0.25">
      <c r="A431" s="1">
        <v>46260</v>
      </c>
      <c r="B431" t="s">
        <v>4297</v>
      </c>
      <c r="C431" t="s">
        <v>4207</v>
      </c>
      <c r="D431" t="s">
        <v>344</v>
      </c>
      <c r="E431" t="s">
        <v>4050</v>
      </c>
      <c r="F431" s="1">
        <v>46255</v>
      </c>
      <c r="G431" s="1">
        <v>46259</v>
      </c>
      <c r="H431" s="1">
        <v>46260</v>
      </c>
      <c r="I431" t="s">
        <v>285</v>
      </c>
      <c r="J431" t="s">
        <v>286</v>
      </c>
      <c r="L431" t="s">
        <v>287</v>
      </c>
      <c r="M431" t="s">
        <v>4042</v>
      </c>
    </row>
    <row r="432" spans="1:13" hidden="1" x14ac:dyDescent="0.25">
      <c r="A432" s="1">
        <v>46260</v>
      </c>
      <c r="B432" t="s">
        <v>33</v>
      </c>
      <c r="C432" t="s">
        <v>34</v>
      </c>
      <c r="D432" t="s">
        <v>15</v>
      </c>
      <c r="E432" t="s">
        <v>36</v>
      </c>
      <c r="F432" s="1">
        <v>46244</v>
      </c>
      <c r="G432" s="1">
        <v>46393</v>
      </c>
      <c r="H432" s="1">
        <v>46394</v>
      </c>
      <c r="I432" t="s">
        <v>294</v>
      </c>
      <c r="J432" t="s">
        <v>295</v>
      </c>
      <c r="K432" t="s">
        <v>35</v>
      </c>
      <c r="L432" t="s">
        <v>296</v>
      </c>
      <c r="M432" t="s">
        <v>21</v>
      </c>
    </row>
    <row r="433" spans="1:13" hidden="1" x14ac:dyDescent="0.25">
      <c r="A433" s="1">
        <v>46260</v>
      </c>
      <c r="B433" t="s">
        <v>122</v>
      </c>
      <c r="C433" t="s">
        <v>123</v>
      </c>
      <c r="D433" t="s">
        <v>124</v>
      </c>
      <c r="E433" t="s">
        <v>158</v>
      </c>
      <c r="F433" s="1">
        <v>46254</v>
      </c>
      <c r="G433" s="1"/>
      <c r="H433" s="1"/>
      <c r="I433" t="s">
        <v>300</v>
      </c>
      <c r="J433" t="s">
        <v>301</v>
      </c>
      <c r="K433" t="s">
        <v>125</v>
      </c>
      <c r="L433" t="s">
        <v>302</v>
      </c>
      <c r="M433" t="s">
        <v>4042</v>
      </c>
    </row>
    <row r="434" spans="1:13" hidden="1" x14ac:dyDescent="0.25">
      <c r="A434" s="1">
        <v>46260</v>
      </c>
      <c r="B434" t="s">
        <v>4299</v>
      </c>
      <c r="C434" t="s">
        <v>4231</v>
      </c>
      <c r="D434" t="s">
        <v>28</v>
      </c>
      <c r="E434" t="s">
        <v>4050</v>
      </c>
      <c r="F434" s="1">
        <v>46258</v>
      </c>
      <c r="G434" s="1">
        <v>46260</v>
      </c>
      <c r="H434" s="1">
        <v>46261</v>
      </c>
      <c r="I434" t="s">
        <v>300</v>
      </c>
      <c r="J434" t="s">
        <v>301</v>
      </c>
      <c r="L434" t="s">
        <v>302</v>
      </c>
      <c r="M434" t="s">
        <v>4042</v>
      </c>
    </row>
    <row r="435" spans="1:13" hidden="1" x14ac:dyDescent="0.25">
      <c r="A435" s="1">
        <v>46260</v>
      </c>
      <c r="B435" t="s">
        <v>3890</v>
      </c>
      <c r="C435" t="s">
        <v>4245</v>
      </c>
      <c r="D435" t="s">
        <v>51</v>
      </c>
      <c r="E435" t="s">
        <v>4147</v>
      </c>
      <c r="F435" s="1">
        <v>46260</v>
      </c>
      <c r="G435" s="1">
        <v>46260</v>
      </c>
      <c r="H435" s="1">
        <v>46261</v>
      </c>
      <c r="I435" t="s">
        <v>1427</v>
      </c>
      <c r="J435" t="s">
        <v>1428</v>
      </c>
      <c r="K435" t="s">
        <v>3892</v>
      </c>
      <c r="M435" t="s">
        <v>4042</v>
      </c>
    </row>
    <row r="436" spans="1:13" hidden="1" x14ac:dyDescent="0.25">
      <c r="A436" s="1">
        <v>46260</v>
      </c>
      <c r="B436" t="s">
        <v>282</v>
      </c>
      <c r="C436" t="s">
        <v>283</v>
      </c>
      <c r="D436" t="s">
        <v>256</v>
      </c>
      <c r="E436" t="s">
        <v>24</v>
      </c>
      <c r="F436" s="1">
        <v>46258</v>
      </c>
      <c r="G436" s="1">
        <v>46265</v>
      </c>
      <c r="H436" s="1">
        <v>46266</v>
      </c>
      <c r="I436" t="s">
        <v>1427</v>
      </c>
      <c r="J436" t="s">
        <v>1428</v>
      </c>
      <c r="K436" t="s">
        <v>284</v>
      </c>
      <c r="L436" t="s">
        <v>1429</v>
      </c>
      <c r="M436" t="s">
        <v>21</v>
      </c>
    </row>
    <row r="437" spans="1:13" hidden="1" x14ac:dyDescent="0.25">
      <c r="A437" s="1">
        <v>46260</v>
      </c>
      <c r="B437" t="s">
        <v>53</v>
      </c>
      <c r="C437" t="s">
        <v>88</v>
      </c>
      <c r="D437" t="s">
        <v>55</v>
      </c>
      <c r="E437" t="s">
        <v>16</v>
      </c>
      <c r="F437" s="1">
        <v>46259</v>
      </c>
      <c r="G437" s="1">
        <v>46265</v>
      </c>
      <c r="H437" s="1">
        <v>46266</v>
      </c>
      <c r="J437" t="s">
        <v>327</v>
      </c>
      <c r="K437" t="s">
        <v>56</v>
      </c>
      <c r="M437" t="s">
        <v>21</v>
      </c>
    </row>
    <row r="438" spans="1:13" hidden="1" x14ac:dyDescent="0.25">
      <c r="A438" s="1">
        <v>46260</v>
      </c>
      <c r="B438" t="s">
        <v>324</v>
      </c>
      <c r="C438" t="s">
        <v>325</v>
      </c>
      <c r="D438" t="s">
        <v>82</v>
      </c>
      <c r="E438" t="s">
        <v>326</v>
      </c>
      <c r="F438" s="1">
        <v>46258</v>
      </c>
      <c r="G438" s="1">
        <v>46262</v>
      </c>
      <c r="H438" s="1">
        <v>46263</v>
      </c>
      <c r="J438" t="s">
        <v>327</v>
      </c>
      <c r="K438" t="s">
        <v>328</v>
      </c>
      <c r="M438" t="s">
        <v>21</v>
      </c>
    </row>
    <row r="439" spans="1:13" hidden="1" x14ac:dyDescent="0.25">
      <c r="A439" s="1">
        <v>46260</v>
      </c>
      <c r="B439" t="s">
        <v>26</v>
      </c>
      <c r="C439" t="s">
        <v>27</v>
      </c>
      <c r="D439" t="s">
        <v>28</v>
      </c>
      <c r="E439" t="s">
        <v>16</v>
      </c>
      <c r="F439" s="1">
        <v>46256</v>
      </c>
      <c r="G439" s="1">
        <v>46285</v>
      </c>
      <c r="H439" s="1">
        <v>46286</v>
      </c>
      <c r="J439" t="s">
        <v>327</v>
      </c>
      <c r="K439" t="s">
        <v>29</v>
      </c>
      <c r="M439" t="s">
        <v>21</v>
      </c>
    </row>
    <row r="440" spans="1:13" hidden="1" x14ac:dyDescent="0.25">
      <c r="A440" s="1">
        <v>46260</v>
      </c>
      <c r="B440" t="s">
        <v>1958</v>
      </c>
      <c r="C440" t="s">
        <v>1959</v>
      </c>
      <c r="D440" t="s">
        <v>492</v>
      </c>
      <c r="E440" t="s">
        <v>16</v>
      </c>
      <c r="F440" s="1">
        <v>46258</v>
      </c>
      <c r="G440" s="1">
        <v>46259</v>
      </c>
      <c r="H440" s="1">
        <v>46260</v>
      </c>
      <c r="J440" t="s">
        <v>327</v>
      </c>
      <c r="K440" t="s">
        <v>1960</v>
      </c>
      <c r="M440" t="s">
        <v>4042</v>
      </c>
    </row>
    <row r="441" spans="1:13" hidden="1" x14ac:dyDescent="0.25">
      <c r="A441" s="1">
        <v>46260</v>
      </c>
      <c r="B441" t="s">
        <v>22</v>
      </c>
      <c r="C441" t="s">
        <v>23</v>
      </c>
      <c r="D441" t="s">
        <v>421</v>
      </c>
      <c r="E441" t="s">
        <v>4087</v>
      </c>
      <c r="F441" s="1">
        <v>46260</v>
      </c>
      <c r="G441" s="1">
        <v>46260</v>
      </c>
      <c r="H441" s="1">
        <v>46261</v>
      </c>
      <c r="J441" t="s">
        <v>327</v>
      </c>
      <c r="K441" t="s">
        <v>25</v>
      </c>
      <c r="M441" t="s">
        <v>4042</v>
      </c>
    </row>
    <row r="442" spans="1:13" hidden="1" x14ac:dyDescent="0.25">
      <c r="A442" s="1">
        <v>46260</v>
      </c>
      <c r="B442" t="s">
        <v>481</v>
      </c>
      <c r="C442" t="s">
        <v>483</v>
      </c>
      <c r="D442" t="s">
        <v>482</v>
      </c>
      <c r="E442" t="s">
        <v>16</v>
      </c>
      <c r="F442" s="1">
        <v>46259</v>
      </c>
      <c r="G442" s="1">
        <v>46262</v>
      </c>
      <c r="H442" s="1">
        <v>46263</v>
      </c>
      <c r="J442" t="s">
        <v>327</v>
      </c>
      <c r="K442" t="s">
        <v>484</v>
      </c>
      <c r="M442" t="s">
        <v>21</v>
      </c>
    </row>
    <row r="443" spans="1:13" hidden="1" x14ac:dyDescent="0.25">
      <c r="A443" s="1">
        <v>46260</v>
      </c>
      <c r="B443" t="s">
        <v>2336</v>
      </c>
      <c r="C443" t="s">
        <v>2337</v>
      </c>
      <c r="D443" t="s">
        <v>102</v>
      </c>
      <c r="E443" t="s">
        <v>16</v>
      </c>
      <c r="F443" s="1">
        <v>46258</v>
      </c>
      <c r="G443" s="1">
        <v>46259</v>
      </c>
      <c r="H443" s="1">
        <v>46260</v>
      </c>
      <c r="J443" t="s">
        <v>327</v>
      </c>
      <c r="K443" t="s">
        <v>2338</v>
      </c>
      <c r="M443" t="s">
        <v>4042</v>
      </c>
    </row>
    <row r="444" spans="1:13" hidden="1" x14ac:dyDescent="0.25">
      <c r="A444" s="1">
        <v>46260</v>
      </c>
      <c r="B444" t="s">
        <v>1162</v>
      </c>
      <c r="C444" t="s">
        <v>4146</v>
      </c>
      <c r="D444" t="s">
        <v>51</v>
      </c>
      <c r="E444" t="s">
        <v>4147</v>
      </c>
      <c r="F444" s="1">
        <v>46259</v>
      </c>
      <c r="G444" s="1">
        <v>46259</v>
      </c>
      <c r="H444" s="1">
        <v>46260</v>
      </c>
      <c r="J444" t="s">
        <v>327</v>
      </c>
      <c r="K444" t="s">
        <v>1164</v>
      </c>
      <c r="M444" t="s">
        <v>4042</v>
      </c>
    </row>
    <row r="445" spans="1:13" hidden="1" x14ac:dyDescent="0.25">
      <c r="A445" s="1">
        <v>46260</v>
      </c>
      <c r="B445" t="s">
        <v>581</v>
      </c>
      <c r="C445" t="s">
        <v>582</v>
      </c>
      <c r="D445" t="s">
        <v>15</v>
      </c>
      <c r="E445" t="s">
        <v>16</v>
      </c>
      <c r="F445" s="1">
        <v>46260</v>
      </c>
      <c r="G445" s="1">
        <v>46260</v>
      </c>
      <c r="H445" s="1">
        <v>46261</v>
      </c>
      <c r="J445" t="s">
        <v>327</v>
      </c>
      <c r="K445" t="s">
        <v>583</v>
      </c>
      <c r="M445" t="s">
        <v>4042</v>
      </c>
    </row>
    <row r="446" spans="1:13" hidden="1" x14ac:dyDescent="0.25">
      <c r="A446" s="1">
        <v>46260</v>
      </c>
      <c r="B446" t="s">
        <v>126</v>
      </c>
      <c r="C446" t="s">
        <v>127</v>
      </c>
      <c r="D446" t="s">
        <v>128</v>
      </c>
      <c r="E446" t="s">
        <v>16</v>
      </c>
      <c r="F446" s="1">
        <v>46242</v>
      </c>
      <c r="G446" s="1">
        <v>46272</v>
      </c>
      <c r="H446" s="1">
        <v>46273</v>
      </c>
      <c r="J446" t="s">
        <v>327</v>
      </c>
      <c r="K446" t="s">
        <v>129</v>
      </c>
      <c r="M446" t="s">
        <v>21</v>
      </c>
    </row>
    <row r="447" spans="1:13" hidden="1" x14ac:dyDescent="0.25">
      <c r="A447" s="1">
        <v>46260</v>
      </c>
      <c r="B447" t="s">
        <v>2486</v>
      </c>
      <c r="C447" t="s">
        <v>2487</v>
      </c>
      <c r="D447" t="s">
        <v>28</v>
      </c>
      <c r="E447" t="s">
        <v>16</v>
      </c>
      <c r="F447" s="1">
        <v>46259</v>
      </c>
      <c r="G447" s="1">
        <v>46260</v>
      </c>
      <c r="H447" s="1">
        <v>46261</v>
      </c>
      <c r="J447" t="s">
        <v>327</v>
      </c>
      <c r="K447" t="s">
        <v>2488</v>
      </c>
      <c r="M447" t="s">
        <v>4042</v>
      </c>
    </row>
    <row r="448" spans="1:13" hidden="1" x14ac:dyDescent="0.25">
      <c r="A448" s="1">
        <v>46260</v>
      </c>
      <c r="B448" t="s">
        <v>3427</v>
      </c>
      <c r="C448" t="s">
        <v>3428</v>
      </c>
      <c r="D448" t="s">
        <v>59</v>
      </c>
      <c r="E448" t="s">
        <v>24</v>
      </c>
      <c r="F448" s="1">
        <v>46253</v>
      </c>
      <c r="G448" s="1">
        <v>46265</v>
      </c>
      <c r="H448" s="1">
        <v>46266</v>
      </c>
      <c r="J448" t="s">
        <v>327</v>
      </c>
      <c r="K448" t="s">
        <v>3429</v>
      </c>
      <c r="M448" t="s">
        <v>21</v>
      </c>
    </row>
    <row r="449" spans="1:13" hidden="1" x14ac:dyDescent="0.25">
      <c r="A449" s="1">
        <v>46260</v>
      </c>
      <c r="B449" t="s">
        <v>134</v>
      </c>
      <c r="C449" t="s">
        <v>135</v>
      </c>
      <c r="D449" t="s">
        <v>39</v>
      </c>
      <c r="E449" t="s">
        <v>16</v>
      </c>
      <c r="F449" s="1">
        <v>46245</v>
      </c>
      <c r="G449" s="1">
        <v>46276</v>
      </c>
      <c r="H449" s="1">
        <v>46277</v>
      </c>
      <c r="J449" t="s">
        <v>327</v>
      </c>
      <c r="K449" t="s">
        <v>136</v>
      </c>
      <c r="M449" t="s">
        <v>21</v>
      </c>
    </row>
    <row r="450" spans="1:13" hidden="1" x14ac:dyDescent="0.25">
      <c r="A450" s="1">
        <v>46260</v>
      </c>
      <c r="B450" t="s">
        <v>2820</v>
      </c>
      <c r="C450" t="s">
        <v>2821</v>
      </c>
      <c r="D450" t="s">
        <v>619</v>
      </c>
      <c r="E450" t="s">
        <v>16</v>
      </c>
      <c r="F450" s="1">
        <v>46259</v>
      </c>
      <c r="G450" s="1">
        <v>46259</v>
      </c>
      <c r="H450" s="1">
        <v>46260</v>
      </c>
      <c r="J450" t="s">
        <v>327</v>
      </c>
      <c r="K450" t="s">
        <v>2822</v>
      </c>
      <c r="M450" t="s">
        <v>4042</v>
      </c>
    </row>
    <row r="451" spans="1:13" hidden="1" x14ac:dyDescent="0.25">
      <c r="A451" s="1">
        <v>46260</v>
      </c>
      <c r="B451" t="s">
        <v>2362</v>
      </c>
      <c r="C451" t="s">
        <v>4072</v>
      </c>
      <c r="D451" t="s">
        <v>139</v>
      </c>
      <c r="E451" t="s">
        <v>158</v>
      </c>
      <c r="F451" s="1">
        <v>46230</v>
      </c>
      <c r="G451" s="1">
        <v>46230</v>
      </c>
      <c r="H451" s="1">
        <v>46231</v>
      </c>
      <c r="J451" t="s">
        <v>327</v>
      </c>
      <c r="K451" t="s">
        <v>2364</v>
      </c>
      <c r="M451" t="s">
        <v>4042</v>
      </c>
    </row>
    <row r="452" spans="1:13" hidden="1" x14ac:dyDescent="0.25">
      <c r="A452" s="1">
        <v>46260</v>
      </c>
      <c r="B452" t="s">
        <v>145</v>
      </c>
      <c r="C452" t="s">
        <v>146</v>
      </c>
      <c r="D452" t="s">
        <v>124</v>
      </c>
      <c r="E452" t="s">
        <v>16</v>
      </c>
      <c r="F452" s="1">
        <v>46254</v>
      </c>
      <c r="G452" s="1">
        <v>46268</v>
      </c>
      <c r="H452" s="1">
        <v>46269</v>
      </c>
      <c r="J452" t="s">
        <v>327</v>
      </c>
      <c r="K452" t="s">
        <v>147</v>
      </c>
      <c r="M452" t="s">
        <v>21</v>
      </c>
    </row>
    <row r="453" spans="1:13" hidden="1" x14ac:dyDescent="0.25">
      <c r="A453" s="1">
        <v>46260</v>
      </c>
      <c r="B453" t="s">
        <v>1708</v>
      </c>
      <c r="C453" t="s">
        <v>4242</v>
      </c>
      <c r="D453" t="s">
        <v>176</v>
      </c>
      <c r="E453" t="s">
        <v>4087</v>
      </c>
      <c r="F453" s="1">
        <v>46259</v>
      </c>
      <c r="G453" s="1">
        <v>46259</v>
      </c>
      <c r="H453" s="1">
        <v>46260</v>
      </c>
      <c r="J453" t="s">
        <v>327</v>
      </c>
      <c r="K453" t="s">
        <v>1710</v>
      </c>
      <c r="M453" t="s">
        <v>4042</v>
      </c>
    </row>
    <row r="454" spans="1:13" hidden="1" x14ac:dyDescent="0.25">
      <c r="A454" s="1">
        <v>46260</v>
      </c>
      <c r="B454" t="s">
        <v>1500</v>
      </c>
      <c r="C454" t="s">
        <v>1501</v>
      </c>
      <c r="D454" t="s">
        <v>128</v>
      </c>
      <c r="E454" t="s">
        <v>4050</v>
      </c>
      <c r="F454" s="1">
        <v>46260</v>
      </c>
      <c r="G454" s="1">
        <v>46262</v>
      </c>
      <c r="H454" s="1">
        <v>46263</v>
      </c>
      <c r="J454" t="s">
        <v>327</v>
      </c>
      <c r="M454" t="s">
        <v>4042</v>
      </c>
    </row>
    <row r="455" spans="1:13" hidden="1" x14ac:dyDescent="0.25">
      <c r="A455" s="1">
        <v>46260</v>
      </c>
      <c r="B455" t="s">
        <v>2593</v>
      </c>
      <c r="C455" t="s">
        <v>2594</v>
      </c>
      <c r="D455" t="s">
        <v>78</v>
      </c>
      <c r="E455" t="s">
        <v>4050</v>
      </c>
      <c r="F455" s="1">
        <v>46260</v>
      </c>
      <c r="G455" s="1">
        <v>46262</v>
      </c>
      <c r="H455" s="1">
        <v>46263</v>
      </c>
      <c r="J455" t="s">
        <v>327</v>
      </c>
      <c r="M455" t="s">
        <v>4042</v>
      </c>
    </row>
    <row r="456" spans="1:13" hidden="1" x14ac:dyDescent="0.25">
      <c r="A456" s="1">
        <v>46260</v>
      </c>
      <c r="B456" t="s">
        <v>450</v>
      </c>
      <c r="C456" t="s">
        <v>451</v>
      </c>
      <c r="D456" t="s">
        <v>139</v>
      </c>
      <c r="E456" t="s">
        <v>16</v>
      </c>
      <c r="F456" s="1">
        <v>46259</v>
      </c>
      <c r="G456" s="1">
        <v>46260</v>
      </c>
      <c r="H456" s="1">
        <v>46261</v>
      </c>
      <c r="J456" t="s">
        <v>4060</v>
      </c>
      <c r="K456" t="s">
        <v>452</v>
      </c>
      <c r="M456" t="s">
        <v>4042</v>
      </c>
    </row>
    <row r="457" spans="1:13" hidden="1" x14ac:dyDescent="0.25">
      <c r="A457" s="1">
        <v>46260</v>
      </c>
      <c r="B457" t="s">
        <v>3006</v>
      </c>
      <c r="C457" t="s">
        <v>3007</v>
      </c>
      <c r="D457" t="s">
        <v>78</v>
      </c>
      <c r="E457" t="s">
        <v>16</v>
      </c>
      <c r="F457" s="1">
        <v>46258</v>
      </c>
      <c r="G457" s="1">
        <v>46267</v>
      </c>
      <c r="H457" s="1">
        <v>46268</v>
      </c>
      <c r="J457" t="s">
        <v>4060</v>
      </c>
      <c r="K457" t="s">
        <v>3008</v>
      </c>
      <c r="M457" t="s">
        <v>21</v>
      </c>
    </row>
    <row r="458" spans="1:13" hidden="1" x14ac:dyDescent="0.25">
      <c r="A458" s="1">
        <v>46260</v>
      </c>
      <c r="B458" t="s">
        <v>3173</v>
      </c>
      <c r="C458" t="s">
        <v>3174</v>
      </c>
      <c r="D458" t="s">
        <v>28</v>
      </c>
      <c r="E458" t="s">
        <v>16</v>
      </c>
      <c r="F458" s="1">
        <v>46259</v>
      </c>
      <c r="G458" s="1">
        <v>46259</v>
      </c>
      <c r="H458" s="1">
        <v>46260</v>
      </c>
      <c r="J458" t="s">
        <v>4060</v>
      </c>
      <c r="K458" t="s">
        <v>3175</v>
      </c>
      <c r="M458" t="s">
        <v>4042</v>
      </c>
    </row>
    <row r="459" spans="1:13" hidden="1" x14ac:dyDescent="0.25">
      <c r="A459" s="1">
        <v>46260</v>
      </c>
      <c r="B459" t="s">
        <v>1391</v>
      </c>
      <c r="C459" t="s">
        <v>1392</v>
      </c>
      <c r="D459" t="s">
        <v>132</v>
      </c>
      <c r="E459" t="s">
        <v>16</v>
      </c>
      <c r="F459" s="1">
        <v>46258</v>
      </c>
      <c r="G459" s="1">
        <v>46259</v>
      </c>
      <c r="H459" s="1">
        <v>46260</v>
      </c>
      <c r="J459" t="s">
        <v>4060</v>
      </c>
      <c r="K459" t="s">
        <v>1393</v>
      </c>
      <c r="M459" t="s">
        <v>4042</v>
      </c>
    </row>
    <row r="460" spans="1:13" hidden="1" x14ac:dyDescent="0.25">
      <c r="A460" s="1">
        <v>46260</v>
      </c>
      <c r="B460" t="s">
        <v>2062</v>
      </c>
      <c r="C460" t="s">
        <v>2063</v>
      </c>
      <c r="D460" t="s">
        <v>124</v>
      </c>
      <c r="E460" t="s">
        <v>16</v>
      </c>
      <c r="F460" s="1">
        <v>46258</v>
      </c>
      <c r="G460" s="1">
        <v>46262</v>
      </c>
      <c r="H460" s="1">
        <v>46263</v>
      </c>
      <c r="J460" t="s">
        <v>4060</v>
      </c>
      <c r="K460" t="s">
        <v>2064</v>
      </c>
      <c r="M460" t="s">
        <v>21</v>
      </c>
    </row>
    <row r="461" spans="1:13" hidden="1" x14ac:dyDescent="0.25">
      <c r="A461" s="1">
        <v>46260</v>
      </c>
      <c r="B461" t="s">
        <v>2676</v>
      </c>
      <c r="C461" t="s">
        <v>4218</v>
      </c>
      <c r="D461" t="s">
        <v>492</v>
      </c>
      <c r="E461" t="s">
        <v>16</v>
      </c>
      <c r="F461" s="1">
        <v>46258</v>
      </c>
      <c r="G461" s="1">
        <v>46260</v>
      </c>
      <c r="H461" s="1">
        <v>46261</v>
      </c>
      <c r="J461" t="s">
        <v>4060</v>
      </c>
      <c r="K461" t="s">
        <v>2678</v>
      </c>
      <c r="M461" t="s">
        <v>4042</v>
      </c>
    </row>
    <row r="462" spans="1:13" hidden="1" x14ac:dyDescent="0.25">
      <c r="A462" s="1">
        <v>46260</v>
      </c>
      <c r="B462" t="s">
        <v>1705</v>
      </c>
      <c r="C462" t="s">
        <v>4229</v>
      </c>
      <c r="D462" t="s">
        <v>128</v>
      </c>
      <c r="E462" t="s">
        <v>16</v>
      </c>
      <c r="F462" s="1">
        <v>46258</v>
      </c>
      <c r="G462" s="1">
        <v>46260</v>
      </c>
      <c r="H462" s="1">
        <v>46261</v>
      </c>
      <c r="J462" t="s">
        <v>4060</v>
      </c>
      <c r="K462" t="s">
        <v>1707</v>
      </c>
      <c r="M462" t="s">
        <v>4042</v>
      </c>
    </row>
    <row r="463" spans="1:13" hidden="1" x14ac:dyDescent="0.25">
      <c r="A463" s="1">
        <v>46260</v>
      </c>
      <c r="B463" t="s">
        <v>22</v>
      </c>
      <c r="C463" t="s">
        <v>221</v>
      </c>
      <c r="D463" t="s">
        <v>15</v>
      </c>
      <c r="E463" t="s">
        <v>24</v>
      </c>
      <c r="F463" s="1">
        <v>46244</v>
      </c>
      <c r="G463" s="1">
        <v>46265</v>
      </c>
      <c r="H463" s="1">
        <v>46266</v>
      </c>
      <c r="J463" t="s">
        <v>4060</v>
      </c>
      <c r="K463" t="s">
        <v>25</v>
      </c>
      <c r="M463" t="s">
        <v>21</v>
      </c>
    </row>
    <row r="464" spans="1:13" hidden="1" x14ac:dyDescent="0.25">
      <c r="A464" s="1">
        <v>46260</v>
      </c>
      <c r="B464" t="s">
        <v>1310</v>
      </c>
      <c r="C464" t="s">
        <v>1311</v>
      </c>
      <c r="D464" t="s">
        <v>256</v>
      </c>
      <c r="E464" t="s">
        <v>16</v>
      </c>
      <c r="F464" s="1">
        <v>46259</v>
      </c>
      <c r="G464" s="1">
        <v>46261</v>
      </c>
      <c r="H464" s="1">
        <v>46262</v>
      </c>
      <c r="J464" t="s">
        <v>4060</v>
      </c>
      <c r="K464" t="s">
        <v>1312</v>
      </c>
      <c r="M464" t="s">
        <v>4042</v>
      </c>
    </row>
    <row r="465" spans="1:13" hidden="1" x14ac:dyDescent="0.25">
      <c r="A465" s="1">
        <v>46260</v>
      </c>
      <c r="B465" t="s">
        <v>2536</v>
      </c>
      <c r="C465" t="s">
        <v>2537</v>
      </c>
      <c r="D465" t="s">
        <v>55</v>
      </c>
      <c r="E465" t="s">
        <v>16</v>
      </c>
      <c r="F465" s="1">
        <v>46259</v>
      </c>
      <c r="G465" s="1">
        <v>46261</v>
      </c>
      <c r="H465" s="1">
        <v>46262</v>
      </c>
      <c r="J465" t="s">
        <v>4060</v>
      </c>
      <c r="K465" t="s">
        <v>2538</v>
      </c>
      <c r="M465" t="s">
        <v>4042</v>
      </c>
    </row>
    <row r="466" spans="1:13" hidden="1" x14ac:dyDescent="0.25">
      <c r="A466" s="1">
        <v>46260</v>
      </c>
      <c r="B466" t="s">
        <v>2877</v>
      </c>
      <c r="C466" t="s">
        <v>2878</v>
      </c>
      <c r="D466" t="s">
        <v>132</v>
      </c>
      <c r="E466" t="s">
        <v>16</v>
      </c>
      <c r="F466" s="1">
        <v>46259</v>
      </c>
      <c r="G466" s="1">
        <v>46260</v>
      </c>
      <c r="H466" s="1">
        <v>46261</v>
      </c>
      <c r="J466" t="s">
        <v>4060</v>
      </c>
      <c r="K466" t="s">
        <v>2879</v>
      </c>
      <c r="M466" t="s">
        <v>4042</v>
      </c>
    </row>
    <row r="467" spans="1:13" hidden="1" x14ac:dyDescent="0.25">
      <c r="A467" s="1">
        <v>46260</v>
      </c>
      <c r="B467" t="s">
        <v>472</v>
      </c>
      <c r="C467" t="s">
        <v>473</v>
      </c>
      <c r="D467" t="s">
        <v>256</v>
      </c>
      <c r="E467" t="s">
        <v>4074</v>
      </c>
      <c r="F467" s="1">
        <v>46259</v>
      </c>
      <c r="G467" s="1">
        <v>46259</v>
      </c>
      <c r="H467" s="1">
        <v>46260</v>
      </c>
      <c r="J467" t="s">
        <v>4060</v>
      </c>
      <c r="K467" t="s">
        <v>474</v>
      </c>
      <c r="M467" t="s">
        <v>4042</v>
      </c>
    </row>
    <row r="468" spans="1:13" hidden="1" x14ac:dyDescent="0.25">
      <c r="A468" s="1">
        <v>46260</v>
      </c>
      <c r="B468" t="s">
        <v>485</v>
      </c>
      <c r="C468" t="s">
        <v>486</v>
      </c>
      <c r="D468" t="s">
        <v>68</v>
      </c>
      <c r="E468" t="s">
        <v>4074</v>
      </c>
      <c r="F468" s="1">
        <v>46260</v>
      </c>
      <c r="G468" s="1">
        <v>46260</v>
      </c>
      <c r="H468" s="1">
        <v>46261</v>
      </c>
      <c r="J468" t="s">
        <v>4060</v>
      </c>
      <c r="K468" t="s">
        <v>487</v>
      </c>
      <c r="M468" t="s">
        <v>4042</v>
      </c>
    </row>
    <row r="469" spans="1:13" hidden="1" x14ac:dyDescent="0.25">
      <c r="A469" s="1">
        <v>46260</v>
      </c>
      <c r="B469" t="s">
        <v>1627</v>
      </c>
      <c r="C469" t="s">
        <v>1628</v>
      </c>
      <c r="D469" t="s">
        <v>421</v>
      </c>
      <c r="E469" t="s">
        <v>16</v>
      </c>
      <c r="F469" s="1">
        <v>46258</v>
      </c>
      <c r="G469" s="1">
        <v>46258</v>
      </c>
      <c r="H469" s="1">
        <v>46259</v>
      </c>
      <c r="J469" t="s">
        <v>4060</v>
      </c>
      <c r="K469" t="s">
        <v>1629</v>
      </c>
      <c r="M469" t="s">
        <v>4042</v>
      </c>
    </row>
    <row r="470" spans="1:13" hidden="1" x14ac:dyDescent="0.25">
      <c r="A470" s="1">
        <v>46260</v>
      </c>
      <c r="B470" t="s">
        <v>1808</v>
      </c>
      <c r="C470" t="s">
        <v>1809</v>
      </c>
      <c r="D470" t="s">
        <v>256</v>
      </c>
      <c r="E470" t="s">
        <v>16</v>
      </c>
      <c r="F470" s="1">
        <v>46258</v>
      </c>
      <c r="G470" s="1">
        <v>46260</v>
      </c>
      <c r="H470" s="1">
        <v>46261</v>
      </c>
      <c r="J470" t="s">
        <v>4060</v>
      </c>
      <c r="K470" t="s">
        <v>1810</v>
      </c>
      <c r="M470" t="s">
        <v>4042</v>
      </c>
    </row>
    <row r="471" spans="1:13" hidden="1" x14ac:dyDescent="0.25">
      <c r="A471" s="1">
        <v>46260</v>
      </c>
      <c r="B471" t="s">
        <v>2539</v>
      </c>
      <c r="C471" t="s">
        <v>2540</v>
      </c>
      <c r="D471" t="s">
        <v>124</v>
      </c>
      <c r="E471" t="s">
        <v>16</v>
      </c>
      <c r="F471" s="1">
        <v>46259</v>
      </c>
      <c r="G471" s="1">
        <v>46259</v>
      </c>
      <c r="H471" s="1">
        <v>46260</v>
      </c>
      <c r="J471" t="s">
        <v>4060</v>
      </c>
      <c r="K471" t="s">
        <v>2541</v>
      </c>
      <c r="M471" t="s">
        <v>4042</v>
      </c>
    </row>
    <row r="472" spans="1:13" hidden="1" x14ac:dyDescent="0.25">
      <c r="A472" s="1">
        <v>46260</v>
      </c>
      <c r="B472" t="s">
        <v>3427</v>
      </c>
      <c r="C472" t="s">
        <v>3428</v>
      </c>
      <c r="D472" t="s">
        <v>55</v>
      </c>
      <c r="E472" t="s">
        <v>16</v>
      </c>
      <c r="F472" s="1">
        <v>46256</v>
      </c>
      <c r="G472" s="1">
        <v>46263</v>
      </c>
      <c r="H472" s="1">
        <v>46264</v>
      </c>
      <c r="J472" t="s">
        <v>4060</v>
      </c>
      <c r="K472" t="s">
        <v>3429</v>
      </c>
      <c r="M472" t="s">
        <v>21</v>
      </c>
    </row>
    <row r="473" spans="1:13" hidden="1" x14ac:dyDescent="0.25">
      <c r="A473" s="1">
        <v>46260</v>
      </c>
      <c r="B473" t="s">
        <v>3052</v>
      </c>
      <c r="C473" t="s">
        <v>4244</v>
      </c>
      <c r="D473" t="s">
        <v>64</v>
      </c>
      <c r="E473" t="s">
        <v>16</v>
      </c>
      <c r="F473" s="1">
        <v>46258</v>
      </c>
      <c r="G473" s="1">
        <v>46258</v>
      </c>
      <c r="H473" s="1">
        <v>46259</v>
      </c>
      <c r="J473" t="s">
        <v>4060</v>
      </c>
      <c r="K473" t="s">
        <v>3054</v>
      </c>
      <c r="M473" t="s">
        <v>4042</v>
      </c>
    </row>
    <row r="474" spans="1:13" hidden="1" x14ac:dyDescent="0.25">
      <c r="A474" s="1">
        <v>46260</v>
      </c>
      <c r="B474" t="s">
        <v>734</v>
      </c>
      <c r="C474" t="s">
        <v>735</v>
      </c>
      <c r="D474" t="s">
        <v>272</v>
      </c>
      <c r="E474" t="s">
        <v>16</v>
      </c>
      <c r="F474" s="1">
        <v>46259</v>
      </c>
      <c r="G474" s="1">
        <v>46260</v>
      </c>
      <c r="H474" s="1">
        <v>46261</v>
      </c>
      <c r="J474" t="s">
        <v>4060</v>
      </c>
      <c r="K474" t="s">
        <v>736</v>
      </c>
      <c r="M474" t="s">
        <v>4042</v>
      </c>
    </row>
    <row r="475" spans="1:13" hidden="1" x14ac:dyDescent="0.25">
      <c r="A475" s="1">
        <v>46260</v>
      </c>
      <c r="B475" t="s">
        <v>216</v>
      </c>
      <c r="C475" t="s">
        <v>217</v>
      </c>
      <c r="D475" t="s">
        <v>59</v>
      </c>
      <c r="E475" t="s">
        <v>16</v>
      </c>
      <c r="F475" s="1">
        <v>46258</v>
      </c>
      <c r="G475" s="1">
        <v>46263</v>
      </c>
      <c r="H475" s="1">
        <v>46264</v>
      </c>
      <c r="J475" t="s">
        <v>4060</v>
      </c>
      <c r="K475" t="s">
        <v>218</v>
      </c>
      <c r="M475" t="s">
        <v>21</v>
      </c>
    </row>
    <row r="476" spans="1:13" hidden="1" x14ac:dyDescent="0.25">
      <c r="A476" s="1">
        <v>46260</v>
      </c>
      <c r="B476" t="s">
        <v>3839</v>
      </c>
      <c r="C476" t="s">
        <v>3840</v>
      </c>
      <c r="D476" t="s">
        <v>245</v>
      </c>
      <c r="E476" t="s">
        <v>16</v>
      </c>
      <c r="F476" s="1">
        <v>46258</v>
      </c>
      <c r="G476" s="1">
        <v>46259</v>
      </c>
      <c r="H476" s="1">
        <v>46260</v>
      </c>
      <c r="J476" t="s">
        <v>4060</v>
      </c>
      <c r="K476" t="s">
        <v>3841</v>
      </c>
      <c r="M476" t="s">
        <v>4042</v>
      </c>
    </row>
    <row r="477" spans="1:13" hidden="1" x14ac:dyDescent="0.25">
      <c r="A477" s="1">
        <v>46260</v>
      </c>
      <c r="B477" t="s">
        <v>2590</v>
      </c>
      <c r="C477" t="s">
        <v>2591</v>
      </c>
      <c r="D477" t="s">
        <v>132</v>
      </c>
      <c r="E477" t="s">
        <v>16</v>
      </c>
      <c r="F477" s="1">
        <v>46258</v>
      </c>
      <c r="G477" s="1">
        <v>46260</v>
      </c>
      <c r="H477" s="1">
        <v>46261</v>
      </c>
      <c r="J477" t="s">
        <v>4060</v>
      </c>
      <c r="K477" t="s">
        <v>2592</v>
      </c>
      <c r="M477" t="s">
        <v>4042</v>
      </c>
    </row>
    <row r="478" spans="1:13" hidden="1" x14ac:dyDescent="0.25">
      <c r="A478" s="1">
        <v>46260</v>
      </c>
      <c r="B478" t="s">
        <v>3478</v>
      </c>
      <c r="C478" t="s">
        <v>3479</v>
      </c>
      <c r="D478" t="s">
        <v>344</v>
      </c>
      <c r="E478" t="s">
        <v>16</v>
      </c>
      <c r="F478" s="1">
        <v>46258</v>
      </c>
      <c r="G478" s="1">
        <v>46259</v>
      </c>
      <c r="H478" s="1">
        <v>46260</v>
      </c>
      <c r="J478" t="s">
        <v>4060</v>
      </c>
      <c r="M478" t="s">
        <v>4042</v>
      </c>
    </row>
    <row r="479" spans="1:13" hidden="1" x14ac:dyDescent="0.25">
      <c r="A479" s="1">
        <v>46260</v>
      </c>
      <c r="B479" t="s">
        <v>163</v>
      </c>
      <c r="C479" t="s">
        <v>164</v>
      </c>
      <c r="D479" t="s">
        <v>4079</v>
      </c>
      <c r="E479" t="s">
        <v>4079</v>
      </c>
      <c r="F479" s="1">
        <v>46260</v>
      </c>
      <c r="G479" s="1">
        <v>46260</v>
      </c>
      <c r="H479" s="1">
        <v>46261</v>
      </c>
      <c r="J479" t="s">
        <v>339</v>
      </c>
      <c r="K479" t="s">
        <v>166</v>
      </c>
      <c r="M479" t="s">
        <v>4042</v>
      </c>
    </row>
    <row r="480" spans="1:13" hidden="1" x14ac:dyDescent="0.25">
      <c r="A480" s="1">
        <v>46260</v>
      </c>
      <c r="B480" t="s">
        <v>267</v>
      </c>
      <c r="C480" t="s">
        <v>268</v>
      </c>
      <c r="D480" t="s">
        <v>4078</v>
      </c>
      <c r="E480" t="s">
        <v>4087</v>
      </c>
      <c r="F480" s="1">
        <v>46260</v>
      </c>
      <c r="G480" s="1">
        <v>46260</v>
      </c>
      <c r="H480" s="1">
        <v>46261</v>
      </c>
      <c r="J480" t="s">
        <v>339</v>
      </c>
      <c r="K480" t="s">
        <v>269</v>
      </c>
      <c r="M480" t="s">
        <v>4042</v>
      </c>
    </row>
    <row r="481" spans="1:13" hidden="1" x14ac:dyDescent="0.25">
      <c r="A481" s="1">
        <v>46260</v>
      </c>
      <c r="B481" t="s">
        <v>2922</v>
      </c>
      <c r="C481" t="s">
        <v>2923</v>
      </c>
      <c r="D481" t="s">
        <v>124</v>
      </c>
      <c r="E481" t="s">
        <v>16</v>
      </c>
      <c r="F481" s="1">
        <v>46258</v>
      </c>
      <c r="G481" s="1">
        <v>46258</v>
      </c>
      <c r="H481" s="1">
        <v>46259</v>
      </c>
      <c r="J481" t="s">
        <v>4041</v>
      </c>
      <c r="K481" t="s">
        <v>2924</v>
      </c>
      <c r="M481" t="s">
        <v>4042</v>
      </c>
    </row>
    <row r="482" spans="1:13" hidden="1" x14ac:dyDescent="0.25">
      <c r="A482" s="1">
        <v>46260</v>
      </c>
      <c r="B482" t="s">
        <v>1440</v>
      </c>
      <c r="C482" t="s">
        <v>4243</v>
      </c>
      <c r="D482" t="s">
        <v>55</v>
      </c>
      <c r="E482" t="s">
        <v>16</v>
      </c>
      <c r="F482" s="1"/>
      <c r="G482" s="1">
        <v>46259</v>
      </c>
      <c r="H482" s="1">
        <v>46260</v>
      </c>
      <c r="J482" t="s">
        <v>4041</v>
      </c>
      <c r="K482" t="s">
        <v>1442</v>
      </c>
      <c r="M482" t="s">
        <v>4042</v>
      </c>
    </row>
    <row r="483" spans="1:13" hidden="1" x14ac:dyDescent="0.25">
      <c r="A483" s="1">
        <v>46260</v>
      </c>
      <c r="B483" t="s">
        <v>646</v>
      </c>
      <c r="C483" t="s">
        <v>648</v>
      </c>
      <c r="D483" t="s">
        <v>4241</v>
      </c>
      <c r="E483" t="s">
        <v>16</v>
      </c>
      <c r="F483" s="1">
        <v>46259</v>
      </c>
      <c r="G483" s="1">
        <v>46259</v>
      </c>
      <c r="H483" s="1">
        <v>46260</v>
      </c>
      <c r="J483" t="s">
        <v>4041</v>
      </c>
      <c r="K483" t="s">
        <v>649</v>
      </c>
      <c r="M483" t="s">
        <v>4042</v>
      </c>
    </row>
    <row r="484" spans="1:13" hidden="1" x14ac:dyDescent="0.25">
      <c r="A484" s="1">
        <v>46260</v>
      </c>
      <c r="B484" t="s">
        <v>1301</v>
      </c>
      <c r="C484" t="s">
        <v>4113</v>
      </c>
      <c r="D484" t="s">
        <v>15</v>
      </c>
      <c r="E484" t="s">
        <v>4087</v>
      </c>
      <c r="F484" s="1">
        <v>46259</v>
      </c>
      <c r="G484" s="1">
        <v>46259</v>
      </c>
      <c r="H484" s="1">
        <v>46260</v>
      </c>
      <c r="J484" t="s">
        <v>4041</v>
      </c>
      <c r="K484" t="s">
        <v>1303</v>
      </c>
      <c r="M484" t="s">
        <v>4042</v>
      </c>
    </row>
    <row r="485" spans="1:13" hidden="1" x14ac:dyDescent="0.25">
      <c r="A485" s="1">
        <v>46260</v>
      </c>
      <c r="B485" t="s">
        <v>3662</v>
      </c>
      <c r="C485" t="s">
        <v>3663</v>
      </c>
      <c r="D485" t="s">
        <v>344</v>
      </c>
      <c r="E485" t="s">
        <v>4073</v>
      </c>
      <c r="F485" s="1">
        <v>46260</v>
      </c>
      <c r="G485" s="1">
        <v>46260</v>
      </c>
      <c r="H485" s="1">
        <v>46261</v>
      </c>
      <c r="J485" t="s">
        <v>4308</v>
      </c>
      <c r="K485" t="s">
        <v>3664</v>
      </c>
      <c r="M485" t="s">
        <v>4042</v>
      </c>
    </row>
    <row r="486" spans="1:13" hidden="1" x14ac:dyDescent="0.25">
      <c r="A486" s="1">
        <v>46260</v>
      </c>
      <c r="B486" t="s">
        <v>1397</v>
      </c>
      <c r="C486" t="s">
        <v>1398</v>
      </c>
      <c r="D486" t="s">
        <v>162</v>
      </c>
      <c r="E486" t="s">
        <v>16</v>
      </c>
      <c r="F486" s="1">
        <v>46258</v>
      </c>
      <c r="G486" s="1">
        <v>46260</v>
      </c>
      <c r="H486" s="1">
        <v>46261</v>
      </c>
      <c r="J486" t="s">
        <v>4236</v>
      </c>
      <c r="K486" t="s">
        <v>1399</v>
      </c>
      <c r="M486" t="s">
        <v>4042</v>
      </c>
    </row>
    <row r="487" spans="1:13" hidden="1" x14ac:dyDescent="0.25">
      <c r="A487" s="1">
        <v>46260</v>
      </c>
      <c r="B487" t="s">
        <v>170</v>
      </c>
      <c r="C487" t="s">
        <v>171</v>
      </c>
      <c r="D487" t="s">
        <v>172</v>
      </c>
      <c r="E487" t="s">
        <v>16</v>
      </c>
      <c r="F487" s="1">
        <v>46252</v>
      </c>
      <c r="G487" s="1">
        <v>46262</v>
      </c>
      <c r="H487" s="1">
        <v>46263</v>
      </c>
      <c r="J487" t="s">
        <v>4169</v>
      </c>
      <c r="K487" t="s">
        <v>173</v>
      </c>
      <c r="M487" t="s">
        <v>21</v>
      </c>
    </row>
    <row r="488" spans="1:13" hidden="1" x14ac:dyDescent="0.25">
      <c r="A488" s="1">
        <v>46260</v>
      </c>
      <c r="B488" t="s">
        <v>4124</v>
      </c>
      <c r="C488" t="s">
        <v>4069</v>
      </c>
      <c r="D488" t="s">
        <v>64</v>
      </c>
      <c r="E488" t="s">
        <v>4050</v>
      </c>
      <c r="F488" s="1">
        <v>46195</v>
      </c>
      <c r="G488" s="1">
        <v>46198</v>
      </c>
      <c r="H488" s="1">
        <v>46199</v>
      </c>
      <c r="J488" t="s">
        <v>341</v>
      </c>
      <c r="M488" t="s">
        <v>4042</v>
      </c>
    </row>
    <row r="489" spans="1:13" hidden="1" x14ac:dyDescent="0.25">
      <c r="A489" s="1">
        <v>46260</v>
      </c>
      <c r="B489" t="s">
        <v>148</v>
      </c>
      <c r="C489" t="s">
        <v>149</v>
      </c>
      <c r="D489" t="s">
        <v>492</v>
      </c>
      <c r="E489" t="s">
        <v>4050</v>
      </c>
      <c r="F489" s="1">
        <v>46260</v>
      </c>
      <c r="G489" s="1">
        <v>46262</v>
      </c>
      <c r="H489" s="1">
        <v>46263</v>
      </c>
      <c r="J489" t="s">
        <v>341</v>
      </c>
      <c r="M489" t="s">
        <v>4042</v>
      </c>
    </row>
    <row r="490" spans="1:13" hidden="1" x14ac:dyDescent="0.25">
      <c r="A490" s="1">
        <v>46260</v>
      </c>
      <c r="B490" t="s">
        <v>336</v>
      </c>
      <c r="C490" t="s">
        <v>4154</v>
      </c>
      <c r="D490" t="s">
        <v>39</v>
      </c>
      <c r="E490" t="s">
        <v>16</v>
      </c>
      <c r="F490" s="1">
        <v>46258</v>
      </c>
      <c r="G490" s="1">
        <v>46260</v>
      </c>
      <c r="H490" s="1">
        <v>46261</v>
      </c>
      <c r="J490" t="s">
        <v>4232</v>
      </c>
      <c r="K490" t="s">
        <v>338</v>
      </c>
      <c r="M490" t="s">
        <v>4042</v>
      </c>
    </row>
    <row r="491" spans="1:13" hidden="1" x14ac:dyDescent="0.25">
      <c r="A491" s="1">
        <v>46260</v>
      </c>
      <c r="B491" t="s">
        <v>3176</v>
      </c>
      <c r="C491" t="s">
        <v>3177</v>
      </c>
      <c r="D491" t="s">
        <v>59</v>
      </c>
      <c r="E491" t="s">
        <v>4074</v>
      </c>
      <c r="F491" s="1">
        <v>46260</v>
      </c>
      <c r="G491" s="1">
        <v>46260</v>
      </c>
      <c r="H491" s="1">
        <v>46261</v>
      </c>
      <c r="J491" t="s">
        <v>4309</v>
      </c>
      <c r="K491" t="s">
        <v>3178</v>
      </c>
      <c r="M491" t="s">
        <v>4042</v>
      </c>
    </row>
    <row r="492" spans="1:13" hidden="1" x14ac:dyDescent="0.25">
      <c r="A492" s="1">
        <v>46260</v>
      </c>
      <c r="B492" t="s">
        <v>1440</v>
      </c>
      <c r="C492" t="s">
        <v>4243</v>
      </c>
      <c r="D492" t="s">
        <v>55</v>
      </c>
      <c r="E492" t="s">
        <v>4074</v>
      </c>
      <c r="F492" s="1">
        <v>46260</v>
      </c>
      <c r="G492" s="1">
        <v>46274</v>
      </c>
      <c r="H492" s="1">
        <v>46275</v>
      </c>
      <c r="J492" t="s">
        <v>4083</v>
      </c>
      <c r="K492" t="s">
        <v>1442</v>
      </c>
      <c r="M492" t="s">
        <v>4042</v>
      </c>
    </row>
    <row r="493" spans="1:13" hidden="1" x14ac:dyDescent="0.25">
      <c r="A493" s="1">
        <v>46260</v>
      </c>
      <c r="B493" t="s">
        <v>2036</v>
      </c>
      <c r="C493" t="s">
        <v>2037</v>
      </c>
      <c r="D493" t="s">
        <v>272</v>
      </c>
      <c r="E493" t="s">
        <v>16</v>
      </c>
      <c r="F493" s="1">
        <v>46259</v>
      </c>
      <c r="G493" s="1">
        <v>46266</v>
      </c>
      <c r="H493" s="1">
        <v>46267</v>
      </c>
      <c r="J493" t="s">
        <v>4176</v>
      </c>
      <c r="K493" t="s">
        <v>2038</v>
      </c>
      <c r="M493" t="s">
        <v>21</v>
      </c>
    </row>
    <row r="494" spans="1:13" hidden="1" x14ac:dyDescent="0.25">
      <c r="A494" s="1">
        <v>46260</v>
      </c>
      <c r="B494" t="s">
        <v>306</v>
      </c>
      <c r="C494" t="s">
        <v>4238</v>
      </c>
      <c r="D494" t="s">
        <v>4078</v>
      </c>
      <c r="E494" t="s">
        <v>158</v>
      </c>
      <c r="F494" s="1">
        <v>46258</v>
      </c>
      <c r="G494" s="1"/>
      <c r="H494" s="1"/>
      <c r="J494" t="s">
        <v>4247</v>
      </c>
      <c r="K494" t="s">
        <v>308</v>
      </c>
      <c r="M494" t="s">
        <v>4042</v>
      </c>
    </row>
    <row r="495" spans="1:13" hidden="1" x14ac:dyDescent="0.25">
      <c r="A495" s="1">
        <v>46260</v>
      </c>
      <c r="B495" t="s">
        <v>3436</v>
      </c>
      <c r="C495" t="s">
        <v>3437</v>
      </c>
      <c r="D495" t="s">
        <v>139</v>
      </c>
      <c r="E495" t="s">
        <v>16</v>
      </c>
      <c r="F495" s="1">
        <v>46258</v>
      </c>
      <c r="G495" s="1">
        <v>46259</v>
      </c>
      <c r="H495" s="1">
        <v>46260</v>
      </c>
      <c r="J495" t="s">
        <v>4235</v>
      </c>
      <c r="K495" t="s">
        <v>3438</v>
      </c>
      <c r="M495" t="s">
        <v>4042</v>
      </c>
    </row>
    <row r="496" spans="1:13" hidden="1" x14ac:dyDescent="0.25">
      <c r="A496" s="1">
        <v>46261</v>
      </c>
      <c r="B496" t="s">
        <v>1265</v>
      </c>
      <c r="C496" t="s">
        <v>1266</v>
      </c>
      <c r="D496" t="s">
        <v>15</v>
      </c>
      <c r="E496" t="s">
        <v>4123</v>
      </c>
      <c r="F496" s="1">
        <v>46260</v>
      </c>
      <c r="G496" s="1">
        <v>46262</v>
      </c>
      <c r="H496" s="1">
        <v>46263</v>
      </c>
      <c r="I496" t="s">
        <v>17</v>
      </c>
      <c r="J496" t="s">
        <v>18</v>
      </c>
      <c r="K496" t="s">
        <v>1267</v>
      </c>
      <c r="M496" t="s">
        <v>4042</v>
      </c>
    </row>
    <row r="497" spans="1:13" hidden="1" x14ac:dyDescent="0.25">
      <c r="A497" s="1">
        <v>46261</v>
      </c>
      <c r="B497" t="s">
        <v>1244</v>
      </c>
      <c r="C497" t="s">
        <v>1245</v>
      </c>
      <c r="D497" t="s">
        <v>172</v>
      </c>
      <c r="E497" t="s">
        <v>24</v>
      </c>
      <c r="F497" s="1">
        <v>46260</v>
      </c>
      <c r="G497" s="1">
        <v>46260</v>
      </c>
      <c r="H497" s="1">
        <v>46261</v>
      </c>
      <c r="I497" t="s">
        <v>231</v>
      </c>
      <c r="J497" t="s">
        <v>232</v>
      </c>
      <c r="K497" t="s">
        <v>1246</v>
      </c>
      <c r="M497" t="s">
        <v>4042</v>
      </c>
    </row>
    <row r="498" spans="1:13" hidden="1" x14ac:dyDescent="0.25">
      <c r="A498" s="1">
        <v>46261</v>
      </c>
      <c r="B498" t="s">
        <v>4298</v>
      </c>
      <c r="C498" t="s">
        <v>4080</v>
      </c>
      <c r="D498" t="s">
        <v>482</v>
      </c>
      <c r="E498" t="s">
        <v>4073</v>
      </c>
      <c r="F498" s="1">
        <v>46259</v>
      </c>
      <c r="G498" s="1">
        <v>46261</v>
      </c>
      <c r="H498" s="1">
        <v>46262</v>
      </c>
      <c r="I498" t="s">
        <v>231</v>
      </c>
      <c r="J498" t="s">
        <v>232</v>
      </c>
      <c r="M498" t="s">
        <v>4042</v>
      </c>
    </row>
    <row r="499" spans="1:13" hidden="1" x14ac:dyDescent="0.25">
      <c r="A499" s="1">
        <v>46261</v>
      </c>
      <c r="B499" t="s">
        <v>30</v>
      </c>
      <c r="C499" t="s">
        <v>31</v>
      </c>
      <c r="D499" t="s">
        <v>28</v>
      </c>
      <c r="E499" t="s">
        <v>24</v>
      </c>
      <c r="F499" s="1">
        <v>46249</v>
      </c>
      <c r="G499" s="1">
        <v>46262</v>
      </c>
      <c r="H499" s="1">
        <v>46263</v>
      </c>
      <c r="I499" t="s">
        <v>222</v>
      </c>
      <c r="J499" t="s">
        <v>223</v>
      </c>
      <c r="K499" t="s">
        <v>32</v>
      </c>
      <c r="L499" t="s">
        <v>224</v>
      </c>
      <c r="M499" t="s">
        <v>21</v>
      </c>
    </row>
    <row r="500" spans="1:13" hidden="1" x14ac:dyDescent="0.25">
      <c r="A500" s="1">
        <v>46261</v>
      </c>
      <c r="B500" t="s">
        <v>62</v>
      </c>
      <c r="C500" t="s">
        <v>63</v>
      </c>
      <c r="D500" t="s">
        <v>64</v>
      </c>
      <c r="E500" t="s">
        <v>16</v>
      </c>
      <c r="F500" s="1">
        <v>46249</v>
      </c>
      <c r="G500" s="1">
        <v>46278</v>
      </c>
      <c r="H500" s="1">
        <v>46279</v>
      </c>
      <c r="I500" t="s">
        <v>222</v>
      </c>
      <c r="J500" t="s">
        <v>223</v>
      </c>
      <c r="K500" t="s">
        <v>65</v>
      </c>
      <c r="L500" t="s">
        <v>224</v>
      </c>
      <c r="M500" t="s">
        <v>21</v>
      </c>
    </row>
    <row r="501" spans="1:13" hidden="1" x14ac:dyDescent="0.25">
      <c r="A501" s="1">
        <v>46261</v>
      </c>
      <c r="B501" t="s">
        <v>4006</v>
      </c>
      <c r="C501" t="s">
        <v>4007</v>
      </c>
      <c r="D501" t="s">
        <v>619</v>
      </c>
      <c r="E501" t="s">
        <v>4091</v>
      </c>
      <c r="F501" s="1">
        <v>46261</v>
      </c>
      <c r="G501" s="1">
        <v>46263</v>
      </c>
      <c r="H501" s="1">
        <v>46264</v>
      </c>
      <c r="I501" t="s">
        <v>222</v>
      </c>
      <c r="J501" t="s">
        <v>223</v>
      </c>
      <c r="M501" t="s">
        <v>4042</v>
      </c>
    </row>
    <row r="502" spans="1:13" hidden="1" x14ac:dyDescent="0.25">
      <c r="A502" s="1">
        <v>46261</v>
      </c>
      <c r="B502" t="s">
        <v>49</v>
      </c>
      <c r="C502" t="s">
        <v>50</v>
      </c>
      <c r="D502" t="s">
        <v>51</v>
      </c>
      <c r="E502" t="s">
        <v>36</v>
      </c>
      <c r="F502" s="1">
        <v>46241</v>
      </c>
      <c r="G502" s="1">
        <v>46366</v>
      </c>
      <c r="H502" s="1">
        <v>46367</v>
      </c>
      <c r="I502" t="s">
        <v>73</v>
      </c>
      <c r="J502" t="s">
        <v>74</v>
      </c>
      <c r="K502" t="s">
        <v>52</v>
      </c>
      <c r="L502" t="s">
        <v>75</v>
      </c>
      <c r="M502" t="s">
        <v>21</v>
      </c>
    </row>
    <row r="503" spans="1:13" hidden="1" x14ac:dyDescent="0.25">
      <c r="A503" s="1">
        <v>46261</v>
      </c>
      <c r="B503" t="s">
        <v>3638</v>
      </c>
      <c r="C503" t="s">
        <v>4240</v>
      </c>
      <c r="D503" t="s">
        <v>55</v>
      </c>
      <c r="E503" t="s">
        <v>16</v>
      </c>
      <c r="F503" s="1">
        <v>46259</v>
      </c>
      <c r="G503" s="1">
        <v>46263</v>
      </c>
      <c r="H503" s="1">
        <v>46264</v>
      </c>
      <c r="I503" t="s">
        <v>73</v>
      </c>
      <c r="J503" t="s">
        <v>74</v>
      </c>
      <c r="K503" t="s">
        <v>3640</v>
      </c>
      <c r="L503" t="s">
        <v>75</v>
      </c>
      <c r="M503" t="s">
        <v>21</v>
      </c>
    </row>
    <row r="504" spans="1:13" hidden="1" x14ac:dyDescent="0.25">
      <c r="A504" s="1">
        <v>46261</v>
      </c>
      <c r="B504" t="s">
        <v>3349</v>
      </c>
      <c r="C504" t="s">
        <v>3350</v>
      </c>
      <c r="D504" t="s">
        <v>162</v>
      </c>
      <c r="E504" t="s">
        <v>16</v>
      </c>
      <c r="F504" s="1">
        <v>46261</v>
      </c>
      <c r="G504" s="1">
        <v>46262</v>
      </c>
      <c r="H504" s="1">
        <v>46263</v>
      </c>
      <c r="I504" t="s">
        <v>184</v>
      </c>
      <c r="J504" t="s">
        <v>185</v>
      </c>
      <c r="K504" t="s">
        <v>3351</v>
      </c>
      <c r="M504" t="s">
        <v>4042</v>
      </c>
    </row>
    <row r="505" spans="1:13" hidden="1" x14ac:dyDescent="0.25">
      <c r="A505" s="1">
        <v>46261</v>
      </c>
      <c r="B505" t="s">
        <v>478</v>
      </c>
      <c r="C505" t="s">
        <v>479</v>
      </c>
      <c r="D505" t="s">
        <v>51</v>
      </c>
      <c r="E505" t="s">
        <v>4147</v>
      </c>
      <c r="F505" s="1">
        <v>46261</v>
      </c>
      <c r="G505" s="1">
        <v>46261</v>
      </c>
      <c r="H505" s="1">
        <v>46262</v>
      </c>
      <c r="I505" t="s">
        <v>85</v>
      </c>
      <c r="J505" t="s">
        <v>86</v>
      </c>
      <c r="K505" t="s">
        <v>480</v>
      </c>
      <c r="M505" t="s">
        <v>4042</v>
      </c>
    </row>
    <row r="506" spans="1:13" hidden="1" x14ac:dyDescent="0.25">
      <c r="A506" s="1">
        <v>46261</v>
      </c>
      <c r="B506" t="s">
        <v>1708</v>
      </c>
      <c r="C506" t="s">
        <v>1709</v>
      </c>
      <c r="D506" t="s">
        <v>176</v>
      </c>
      <c r="E506" t="s">
        <v>4087</v>
      </c>
      <c r="F506" s="1">
        <v>46261</v>
      </c>
      <c r="G506" s="1">
        <v>46261</v>
      </c>
      <c r="H506" s="1">
        <v>46262</v>
      </c>
      <c r="I506" t="s">
        <v>45</v>
      </c>
      <c r="J506" t="s">
        <v>46</v>
      </c>
      <c r="K506" t="s">
        <v>1710</v>
      </c>
      <c r="M506" t="s">
        <v>4042</v>
      </c>
    </row>
    <row r="507" spans="1:13" hidden="1" x14ac:dyDescent="0.25">
      <c r="A507" s="1">
        <v>46261</v>
      </c>
      <c r="B507" t="s">
        <v>3775</v>
      </c>
      <c r="C507" t="s">
        <v>3776</v>
      </c>
      <c r="D507" t="s">
        <v>256</v>
      </c>
      <c r="E507" t="s">
        <v>4311</v>
      </c>
      <c r="F507" s="1">
        <v>46261</v>
      </c>
      <c r="G507" s="1">
        <v>46261</v>
      </c>
      <c r="H507" s="1">
        <v>46262</v>
      </c>
      <c r="I507" t="s">
        <v>167</v>
      </c>
      <c r="J507" t="s">
        <v>168</v>
      </c>
      <c r="K507" t="s">
        <v>3777</v>
      </c>
      <c r="M507" t="s">
        <v>4042</v>
      </c>
    </row>
    <row r="508" spans="1:13" hidden="1" x14ac:dyDescent="0.25">
      <c r="A508" s="1">
        <v>46261</v>
      </c>
      <c r="B508" t="s">
        <v>156</v>
      </c>
      <c r="C508" t="s">
        <v>157</v>
      </c>
      <c r="D508" t="s">
        <v>44</v>
      </c>
      <c r="E508" t="s">
        <v>16</v>
      </c>
      <c r="F508" s="1">
        <v>46258</v>
      </c>
      <c r="G508" s="1">
        <v>46287</v>
      </c>
      <c r="H508" s="1">
        <v>46288</v>
      </c>
      <c r="I508" t="s">
        <v>196</v>
      </c>
      <c r="J508" t="s">
        <v>197</v>
      </c>
      <c r="K508" t="s">
        <v>159</v>
      </c>
      <c r="L508" t="s">
        <v>198</v>
      </c>
      <c r="M508" t="s">
        <v>21</v>
      </c>
    </row>
    <row r="509" spans="1:13" hidden="1" x14ac:dyDescent="0.25">
      <c r="A509" s="1">
        <v>46261</v>
      </c>
      <c r="B509" t="s">
        <v>3656</v>
      </c>
      <c r="C509" t="s">
        <v>3657</v>
      </c>
      <c r="D509" t="s">
        <v>68</v>
      </c>
      <c r="E509" t="s">
        <v>4091</v>
      </c>
      <c r="F509" s="1">
        <v>46260</v>
      </c>
      <c r="G509" s="1">
        <v>46260</v>
      </c>
      <c r="H509" s="1">
        <v>46261</v>
      </c>
      <c r="I509" t="s">
        <v>213</v>
      </c>
      <c r="J509" t="s">
        <v>214</v>
      </c>
      <c r="K509" t="s">
        <v>3658</v>
      </c>
      <c r="M509" t="s">
        <v>4042</v>
      </c>
    </row>
    <row r="510" spans="1:13" hidden="1" x14ac:dyDescent="0.25">
      <c r="A510" s="1">
        <v>46261</v>
      </c>
      <c r="B510" t="s">
        <v>3578</v>
      </c>
      <c r="C510" t="s">
        <v>4196</v>
      </c>
      <c r="D510" t="s">
        <v>176</v>
      </c>
      <c r="E510" t="s">
        <v>4062</v>
      </c>
      <c r="F510" s="1">
        <v>46247</v>
      </c>
      <c r="G510" s="1">
        <v>46265</v>
      </c>
      <c r="H510" s="1">
        <v>46266</v>
      </c>
      <c r="I510" t="s">
        <v>251</v>
      </c>
      <c r="J510" t="s">
        <v>252</v>
      </c>
      <c r="K510" t="s">
        <v>3580</v>
      </c>
      <c r="L510" t="s">
        <v>253</v>
      </c>
      <c r="M510" t="s">
        <v>4042</v>
      </c>
    </row>
    <row r="511" spans="1:13" hidden="1" x14ac:dyDescent="0.25">
      <c r="A511" s="1">
        <v>46261</v>
      </c>
      <c r="B511" t="s">
        <v>204</v>
      </c>
      <c r="C511" t="s">
        <v>205</v>
      </c>
      <c r="D511" t="s">
        <v>51</v>
      </c>
      <c r="E511" t="s">
        <v>92</v>
      </c>
      <c r="F511" s="1">
        <v>46236</v>
      </c>
      <c r="G511" s="1">
        <v>46262</v>
      </c>
      <c r="H511" s="1">
        <v>46263</v>
      </c>
      <c r="I511" t="s">
        <v>251</v>
      </c>
      <c r="J511" t="s">
        <v>252</v>
      </c>
      <c r="K511" t="s">
        <v>206</v>
      </c>
      <c r="L511" t="s">
        <v>253</v>
      </c>
      <c r="M511" t="s">
        <v>21</v>
      </c>
    </row>
    <row r="512" spans="1:13" hidden="1" x14ac:dyDescent="0.25">
      <c r="A512" s="1">
        <v>46261</v>
      </c>
      <c r="B512" t="s">
        <v>267</v>
      </c>
      <c r="C512" t="s">
        <v>268</v>
      </c>
      <c r="D512" t="s">
        <v>4078</v>
      </c>
      <c r="E512" t="s">
        <v>4087</v>
      </c>
      <c r="F512" s="1">
        <v>46261</v>
      </c>
      <c r="G512" s="1">
        <v>46261</v>
      </c>
      <c r="H512" s="1">
        <v>46262</v>
      </c>
      <c r="I512" t="s">
        <v>267</v>
      </c>
      <c r="J512" t="s">
        <v>268</v>
      </c>
      <c r="K512" t="s">
        <v>269</v>
      </c>
      <c r="M512" t="s">
        <v>4042</v>
      </c>
    </row>
    <row r="513" spans="1:13" hidden="1" x14ac:dyDescent="0.25">
      <c r="A513" s="1">
        <v>46261</v>
      </c>
      <c r="B513" t="s">
        <v>270</v>
      </c>
      <c r="C513" t="s">
        <v>271</v>
      </c>
      <c r="D513" t="s">
        <v>272</v>
      </c>
      <c r="E513" t="s">
        <v>4065</v>
      </c>
      <c r="F513" s="1">
        <v>46238</v>
      </c>
      <c r="G513" s="1">
        <v>46295</v>
      </c>
      <c r="H513" s="1">
        <v>46296</v>
      </c>
      <c r="I513" t="s">
        <v>267</v>
      </c>
      <c r="J513" t="s">
        <v>268</v>
      </c>
      <c r="M513" t="s">
        <v>4042</v>
      </c>
    </row>
    <row r="514" spans="1:13" hidden="1" x14ac:dyDescent="0.25">
      <c r="A514" s="1">
        <v>46261</v>
      </c>
      <c r="B514" t="s">
        <v>285</v>
      </c>
      <c r="C514" t="s">
        <v>286</v>
      </c>
      <c r="D514" t="s">
        <v>4079</v>
      </c>
      <c r="E514" t="s">
        <v>4079</v>
      </c>
      <c r="F514" s="1">
        <v>46261</v>
      </c>
      <c r="G514" s="1">
        <v>46261</v>
      </c>
      <c r="H514" s="1">
        <v>46262</v>
      </c>
      <c r="I514" t="s">
        <v>285</v>
      </c>
      <c r="J514" t="s">
        <v>286</v>
      </c>
      <c r="K514" t="s">
        <v>287</v>
      </c>
      <c r="M514" t="s">
        <v>4042</v>
      </c>
    </row>
    <row r="515" spans="1:13" hidden="1" x14ac:dyDescent="0.25">
      <c r="A515" s="1">
        <v>46261</v>
      </c>
      <c r="B515" t="s">
        <v>33</v>
      </c>
      <c r="C515" t="s">
        <v>34</v>
      </c>
      <c r="D515" t="s">
        <v>15</v>
      </c>
      <c r="E515" t="s">
        <v>36</v>
      </c>
      <c r="F515" s="1">
        <v>46244</v>
      </c>
      <c r="G515" s="1">
        <v>46393</v>
      </c>
      <c r="H515" s="1">
        <v>46394</v>
      </c>
      <c r="I515" t="s">
        <v>294</v>
      </c>
      <c r="J515" t="s">
        <v>295</v>
      </c>
      <c r="K515" t="s">
        <v>35</v>
      </c>
      <c r="L515" t="s">
        <v>296</v>
      </c>
      <c r="M515" t="s">
        <v>21</v>
      </c>
    </row>
    <row r="516" spans="1:13" hidden="1" x14ac:dyDescent="0.25">
      <c r="A516" s="1">
        <v>46261</v>
      </c>
      <c r="B516" t="s">
        <v>122</v>
      </c>
      <c r="C516" t="s">
        <v>123</v>
      </c>
      <c r="D516" t="s">
        <v>124</v>
      </c>
      <c r="E516" t="s">
        <v>158</v>
      </c>
      <c r="F516" s="1">
        <v>46254</v>
      </c>
      <c r="G516" s="1"/>
      <c r="H516" s="1"/>
      <c r="I516" t="s">
        <v>300</v>
      </c>
      <c r="J516" t="s">
        <v>301</v>
      </c>
      <c r="K516" t="s">
        <v>125</v>
      </c>
      <c r="L516" t="s">
        <v>302</v>
      </c>
      <c r="M516" t="s">
        <v>4042</v>
      </c>
    </row>
    <row r="517" spans="1:13" hidden="1" x14ac:dyDescent="0.25">
      <c r="A517" s="1">
        <v>46261</v>
      </c>
      <c r="B517" t="s">
        <v>4299</v>
      </c>
      <c r="C517" t="s">
        <v>4231</v>
      </c>
      <c r="D517" t="s">
        <v>28</v>
      </c>
      <c r="E517" t="s">
        <v>4050</v>
      </c>
      <c r="F517" s="1">
        <v>46258</v>
      </c>
      <c r="G517" s="1">
        <v>46260</v>
      </c>
      <c r="H517" s="1">
        <v>46261</v>
      </c>
      <c r="I517" t="s">
        <v>300</v>
      </c>
      <c r="J517" t="s">
        <v>301</v>
      </c>
      <c r="L517" t="s">
        <v>302</v>
      </c>
      <c r="M517" t="s">
        <v>4042</v>
      </c>
    </row>
    <row r="518" spans="1:13" hidden="1" x14ac:dyDescent="0.25">
      <c r="A518" s="1">
        <v>46261</v>
      </c>
      <c r="B518" t="s">
        <v>94</v>
      </c>
      <c r="C518" t="s">
        <v>95</v>
      </c>
      <c r="D518" t="s">
        <v>82</v>
      </c>
      <c r="E518" t="s">
        <v>24</v>
      </c>
      <c r="F518" s="1">
        <v>46261</v>
      </c>
      <c r="G518" s="1">
        <v>46262</v>
      </c>
      <c r="H518" s="1">
        <v>46263</v>
      </c>
      <c r="I518" t="s">
        <v>303</v>
      </c>
      <c r="J518" t="s">
        <v>304</v>
      </c>
      <c r="K518" t="s">
        <v>98</v>
      </c>
      <c r="M518" t="s">
        <v>4042</v>
      </c>
    </row>
    <row r="519" spans="1:13" hidden="1" x14ac:dyDescent="0.25">
      <c r="A519" s="1">
        <v>46261</v>
      </c>
      <c r="B519" t="s">
        <v>3890</v>
      </c>
      <c r="C519" t="s">
        <v>4245</v>
      </c>
      <c r="D519" t="s">
        <v>51</v>
      </c>
      <c r="E519" t="s">
        <v>4147</v>
      </c>
      <c r="F519" s="1">
        <v>46260</v>
      </c>
      <c r="G519" s="1">
        <v>46260</v>
      </c>
      <c r="H519" s="1">
        <v>46261</v>
      </c>
      <c r="I519" t="s">
        <v>1427</v>
      </c>
      <c r="J519" t="s">
        <v>1428</v>
      </c>
      <c r="K519" t="s">
        <v>3892</v>
      </c>
      <c r="M519" t="s">
        <v>4042</v>
      </c>
    </row>
    <row r="520" spans="1:13" hidden="1" x14ac:dyDescent="0.25">
      <c r="A520" s="1">
        <v>46261</v>
      </c>
      <c r="B520" t="s">
        <v>282</v>
      </c>
      <c r="C520" t="s">
        <v>283</v>
      </c>
      <c r="D520" t="s">
        <v>256</v>
      </c>
      <c r="E520" t="s">
        <v>24</v>
      </c>
      <c r="F520" s="1">
        <v>46258</v>
      </c>
      <c r="G520" s="1">
        <v>46265</v>
      </c>
      <c r="H520" s="1">
        <v>46266</v>
      </c>
      <c r="I520" t="s">
        <v>1427</v>
      </c>
      <c r="J520" t="s">
        <v>1428</v>
      </c>
      <c r="K520" t="s">
        <v>284</v>
      </c>
      <c r="L520" t="s">
        <v>1429</v>
      </c>
      <c r="M520" t="s">
        <v>21</v>
      </c>
    </row>
    <row r="521" spans="1:13" hidden="1" x14ac:dyDescent="0.25">
      <c r="A521" s="1">
        <v>46261</v>
      </c>
      <c r="B521" t="s">
        <v>53</v>
      </c>
      <c r="C521" t="s">
        <v>88</v>
      </c>
      <c r="D521" t="s">
        <v>55</v>
      </c>
      <c r="E521" t="s">
        <v>16</v>
      </c>
      <c r="F521" s="1">
        <v>46259</v>
      </c>
      <c r="G521" s="1">
        <v>46265</v>
      </c>
      <c r="H521" s="1">
        <v>46266</v>
      </c>
      <c r="J521" t="s">
        <v>327</v>
      </c>
      <c r="K521" t="s">
        <v>56</v>
      </c>
      <c r="M521" t="s">
        <v>21</v>
      </c>
    </row>
    <row r="522" spans="1:13" hidden="1" x14ac:dyDescent="0.25">
      <c r="A522" s="1">
        <v>46261</v>
      </c>
      <c r="B522" t="s">
        <v>324</v>
      </c>
      <c r="C522" t="s">
        <v>325</v>
      </c>
      <c r="D522" t="s">
        <v>82</v>
      </c>
      <c r="E522" t="s">
        <v>326</v>
      </c>
      <c r="F522" s="1">
        <v>46258</v>
      </c>
      <c r="G522" s="1">
        <v>46262</v>
      </c>
      <c r="H522" s="1">
        <v>46263</v>
      </c>
      <c r="J522" t="s">
        <v>327</v>
      </c>
      <c r="K522" t="s">
        <v>328</v>
      </c>
      <c r="M522" t="s">
        <v>21</v>
      </c>
    </row>
    <row r="523" spans="1:13" hidden="1" x14ac:dyDescent="0.25">
      <c r="A523" s="1">
        <v>46261</v>
      </c>
      <c r="B523" t="s">
        <v>3061</v>
      </c>
      <c r="C523" t="s">
        <v>3062</v>
      </c>
      <c r="D523" t="s">
        <v>132</v>
      </c>
      <c r="E523" t="s">
        <v>4050</v>
      </c>
      <c r="F523" s="1">
        <v>46261</v>
      </c>
      <c r="G523" s="1">
        <v>46263</v>
      </c>
      <c r="H523" s="1">
        <v>46264</v>
      </c>
      <c r="J523" t="s">
        <v>327</v>
      </c>
      <c r="K523" t="s">
        <v>3063</v>
      </c>
      <c r="M523" t="s">
        <v>4042</v>
      </c>
    </row>
    <row r="524" spans="1:13" hidden="1" x14ac:dyDescent="0.25">
      <c r="A524" s="1">
        <v>46261</v>
      </c>
      <c r="B524" t="s">
        <v>26</v>
      </c>
      <c r="C524" t="s">
        <v>27</v>
      </c>
      <c r="D524" t="s">
        <v>28</v>
      </c>
      <c r="E524" t="s">
        <v>16</v>
      </c>
      <c r="F524" s="1">
        <v>46256</v>
      </c>
      <c r="G524" s="1">
        <v>46285</v>
      </c>
      <c r="H524" s="1">
        <v>46286</v>
      </c>
      <c r="J524" t="s">
        <v>327</v>
      </c>
      <c r="K524" t="s">
        <v>29</v>
      </c>
      <c r="M524" t="s">
        <v>21</v>
      </c>
    </row>
    <row r="525" spans="1:13" hidden="1" x14ac:dyDescent="0.25">
      <c r="A525" s="1">
        <v>46261</v>
      </c>
      <c r="B525" t="s">
        <v>22</v>
      </c>
      <c r="C525" t="s">
        <v>23</v>
      </c>
      <c r="D525" t="s">
        <v>421</v>
      </c>
      <c r="E525" t="s">
        <v>4087</v>
      </c>
      <c r="F525" s="1">
        <v>46260</v>
      </c>
      <c r="G525" s="1">
        <v>46260</v>
      </c>
      <c r="H525" s="1">
        <v>46261</v>
      </c>
      <c r="J525" t="s">
        <v>327</v>
      </c>
      <c r="K525" t="s">
        <v>25</v>
      </c>
      <c r="M525" t="s">
        <v>4042</v>
      </c>
    </row>
    <row r="526" spans="1:13" hidden="1" x14ac:dyDescent="0.25">
      <c r="A526" s="1">
        <v>46261</v>
      </c>
      <c r="B526" t="s">
        <v>481</v>
      </c>
      <c r="C526" t="s">
        <v>483</v>
      </c>
      <c r="D526" t="s">
        <v>482</v>
      </c>
      <c r="E526" t="s">
        <v>16</v>
      </c>
      <c r="F526" s="1">
        <v>46259</v>
      </c>
      <c r="G526" s="1">
        <v>46262</v>
      </c>
      <c r="H526" s="1">
        <v>46263</v>
      </c>
      <c r="J526" t="s">
        <v>327</v>
      </c>
      <c r="K526" t="s">
        <v>484</v>
      </c>
      <c r="M526" t="s">
        <v>21</v>
      </c>
    </row>
    <row r="527" spans="1:13" hidden="1" x14ac:dyDescent="0.25">
      <c r="A527" s="1">
        <v>46261</v>
      </c>
      <c r="B527" t="s">
        <v>2333</v>
      </c>
      <c r="C527" t="s">
        <v>2334</v>
      </c>
      <c r="D527" t="s">
        <v>28</v>
      </c>
      <c r="E527" t="s">
        <v>16</v>
      </c>
      <c r="F527" s="1">
        <v>46260</v>
      </c>
      <c r="G527" s="1">
        <v>46262</v>
      </c>
      <c r="H527" s="1">
        <v>46263</v>
      </c>
      <c r="J527" t="s">
        <v>327</v>
      </c>
      <c r="K527" t="s">
        <v>2335</v>
      </c>
      <c r="M527" t="s">
        <v>4042</v>
      </c>
    </row>
    <row r="528" spans="1:13" hidden="1" x14ac:dyDescent="0.25">
      <c r="A528" s="1">
        <v>46261</v>
      </c>
      <c r="B528" t="s">
        <v>581</v>
      </c>
      <c r="C528" t="s">
        <v>582</v>
      </c>
      <c r="D528" t="s">
        <v>15</v>
      </c>
      <c r="E528" t="s">
        <v>16</v>
      </c>
      <c r="F528" s="1">
        <v>46260</v>
      </c>
      <c r="G528" s="1">
        <v>46260</v>
      </c>
      <c r="H528" s="1">
        <v>46261</v>
      </c>
      <c r="J528" t="s">
        <v>327</v>
      </c>
      <c r="K528" t="s">
        <v>583</v>
      </c>
      <c r="M528" t="s">
        <v>4042</v>
      </c>
    </row>
    <row r="529" spans="1:13" hidden="1" x14ac:dyDescent="0.25">
      <c r="A529" s="1">
        <v>46261</v>
      </c>
      <c r="B529" t="s">
        <v>1808</v>
      </c>
      <c r="C529" t="s">
        <v>1809</v>
      </c>
      <c r="D529" t="s">
        <v>256</v>
      </c>
      <c r="E529" t="s">
        <v>16</v>
      </c>
      <c r="F529" s="1">
        <v>46261</v>
      </c>
      <c r="G529" s="1">
        <v>46268</v>
      </c>
      <c r="H529" s="1">
        <v>46269</v>
      </c>
      <c r="J529" t="s">
        <v>327</v>
      </c>
      <c r="K529" t="s">
        <v>1810</v>
      </c>
      <c r="M529" t="s">
        <v>21</v>
      </c>
    </row>
    <row r="530" spans="1:13" hidden="1" x14ac:dyDescent="0.25">
      <c r="A530" s="1">
        <v>46261</v>
      </c>
      <c r="B530" t="s">
        <v>126</v>
      </c>
      <c r="C530" t="s">
        <v>127</v>
      </c>
      <c r="D530" t="s">
        <v>128</v>
      </c>
      <c r="E530" t="s">
        <v>16</v>
      </c>
      <c r="F530" s="1">
        <v>46242</v>
      </c>
      <c r="G530" s="1">
        <v>46272</v>
      </c>
      <c r="H530" s="1">
        <v>46273</v>
      </c>
      <c r="J530" t="s">
        <v>327</v>
      </c>
      <c r="K530" t="s">
        <v>129</v>
      </c>
      <c r="M530" t="s">
        <v>21</v>
      </c>
    </row>
    <row r="531" spans="1:13" hidden="1" x14ac:dyDescent="0.25">
      <c r="A531" s="1">
        <v>46261</v>
      </c>
      <c r="B531" t="s">
        <v>2486</v>
      </c>
      <c r="C531" t="s">
        <v>4303</v>
      </c>
      <c r="D531" t="s">
        <v>28</v>
      </c>
      <c r="E531" t="s">
        <v>16</v>
      </c>
      <c r="F531" s="1">
        <v>46259</v>
      </c>
      <c r="G531" s="1">
        <v>46260</v>
      </c>
      <c r="H531" s="1">
        <v>46261</v>
      </c>
      <c r="J531" t="s">
        <v>327</v>
      </c>
      <c r="K531" t="s">
        <v>2488</v>
      </c>
      <c r="M531" t="s">
        <v>4042</v>
      </c>
    </row>
    <row r="532" spans="1:13" hidden="1" x14ac:dyDescent="0.25">
      <c r="A532" s="1">
        <v>46261</v>
      </c>
      <c r="B532" t="s">
        <v>3427</v>
      </c>
      <c r="C532" t="s">
        <v>3428</v>
      </c>
      <c r="D532" t="s">
        <v>59</v>
      </c>
      <c r="E532" t="s">
        <v>24</v>
      </c>
      <c r="F532" s="1">
        <v>46253</v>
      </c>
      <c r="G532" s="1">
        <v>46265</v>
      </c>
      <c r="H532" s="1">
        <v>46266</v>
      </c>
      <c r="J532" t="s">
        <v>327</v>
      </c>
      <c r="K532" t="s">
        <v>3429</v>
      </c>
      <c r="M532" t="s">
        <v>21</v>
      </c>
    </row>
    <row r="533" spans="1:13" hidden="1" x14ac:dyDescent="0.25">
      <c r="A533" s="1">
        <v>46261</v>
      </c>
      <c r="B533" t="s">
        <v>134</v>
      </c>
      <c r="C533" t="s">
        <v>135</v>
      </c>
      <c r="D533" t="s">
        <v>39</v>
      </c>
      <c r="E533" t="s">
        <v>16</v>
      </c>
      <c r="F533" s="1">
        <v>46245</v>
      </c>
      <c r="G533" s="1">
        <v>46276</v>
      </c>
      <c r="H533" s="1">
        <v>46277</v>
      </c>
      <c r="J533" t="s">
        <v>327</v>
      </c>
      <c r="K533" t="s">
        <v>136</v>
      </c>
      <c r="M533" t="s">
        <v>21</v>
      </c>
    </row>
    <row r="534" spans="1:13" hidden="1" x14ac:dyDescent="0.25">
      <c r="A534" s="1">
        <v>46261</v>
      </c>
      <c r="B534" t="s">
        <v>2362</v>
      </c>
      <c r="C534" t="s">
        <v>4072</v>
      </c>
      <c r="D534" t="s">
        <v>139</v>
      </c>
      <c r="E534" t="s">
        <v>158</v>
      </c>
      <c r="F534" s="1">
        <v>46230</v>
      </c>
      <c r="G534" s="1">
        <v>46230</v>
      </c>
      <c r="H534" s="1">
        <v>46231</v>
      </c>
      <c r="J534" t="s">
        <v>327</v>
      </c>
      <c r="K534" t="s">
        <v>2364</v>
      </c>
      <c r="M534" t="s">
        <v>4042</v>
      </c>
    </row>
    <row r="535" spans="1:13" hidden="1" x14ac:dyDescent="0.25">
      <c r="A535" s="1">
        <v>46261</v>
      </c>
      <c r="B535" t="s">
        <v>145</v>
      </c>
      <c r="C535" t="s">
        <v>146</v>
      </c>
      <c r="D535" t="s">
        <v>124</v>
      </c>
      <c r="E535" t="s">
        <v>16</v>
      </c>
      <c r="F535" s="1">
        <v>46254</v>
      </c>
      <c r="G535" s="1">
        <v>46268</v>
      </c>
      <c r="H535" s="1">
        <v>46269</v>
      </c>
      <c r="J535" t="s">
        <v>327</v>
      </c>
      <c r="K535" t="s">
        <v>147</v>
      </c>
      <c r="M535" t="s">
        <v>21</v>
      </c>
    </row>
    <row r="536" spans="1:13" hidden="1" x14ac:dyDescent="0.25">
      <c r="A536" s="1">
        <v>46261</v>
      </c>
      <c r="B536" t="s">
        <v>874</v>
      </c>
      <c r="C536" t="s">
        <v>4304</v>
      </c>
      <c r="D536" t="s">
        <v>44</v>
      </c>
      <c r="E536" t="s">
        <v>24</v>
      </c>
      <c r="F536" s="1">
        <v>46261</v>
      </c>
      <c r="G536" s="1">
        <v>46261</v>
      </c>
      <c r="H536" s="1">
        <v>46262</v>
      </c>
      <c r="J536" t="s">
        <v>327</v>
      </c>
      <c r="K536" t="s">
        <v>876</v>
      </c>
      <c r="M536" t="s">
        <v>4042</v>
      </c>
    </row>
    <row r="537" spans="1:13" hidden="1" x14ac:dyDescent="0.25">
      <c r="A537" s="1">
        <v>46261</v>
      </c>
      <c r="B537" t="s">
        <v>3478</v>
      </c>
      <c r="C537" t="s">
        <v>3479</v>
      </c>
      <c r="D537" t="s">
        <v>344</v>
      </c>
      <c r="E537" t="s">
        <v>4050</v>
      </c>
      <c r="F537" s="1">
        <v>46260</v>
      </c>
      <c r="G537" s="1"/>
      <c r="H537" s="1"/>
      <c r="J537" t="s">
        <v>327</v>
      </c>
      <c r="M537" t="s">
        <v>4042</v>
      </c>
    </row>
    <row r="538" spans="1:13" hidden="1" x14ac:dyDescent="0.25">
      <c r="A538" s="1">
        <v>46261</v>
      </c>
      <c r="B538" t="s">
        <v>1500</v>
      </c>
      <c r="C538" t="s">
        <v>1501</v>
      </c>
      <c r="D538" t="s">
        <v>128</v>
      </c>
      <c r="E538" t="s">
        <v>24</v>
      </c>
      <c r="F538" s="1">
        <v>46260</v>
      </c>
      <c r="G538" s="1">
        <v>46262</v>
      </c>
      <c r="H538" s="1">
        <v>46263</v>
      </c>
      <c r="J538" t="s">
        <v>327</v>
      </c>
      <c r="M538" t="s">
        <v>4042</v>
      </c>
    </row>
    <row r="539" spans="1:13" hidden="1" x14ac:dyDescent="0.25">
      <c r="A539" s="1">
        <v>46261</v>
      </c>
      <c r="B539" t="s">
        <v>2593</v>
      </c>
      <c r="C539" t="s">
        <v>2594</v>
      </c>
      <c r="D539" t="s">
        <v>78</v>
      </c>
      <c r="E539" t="s">
        <v>4050</v>
      </c>
      <c r="F539" s="1">
        <v>46260</v>
      </c>
      <c r="G539" s="1">
        <v>46262</v>
      </c>
      <c r="H539" s="1">
        <v>46263</v>
      </c>
      <c r="J539" t="s">
        <v>327</v>
      </c>
      <c r="M539" t="s">
        <v>4042</v>
      </c>
    </row>
    <row r="540" spans="1:13" hidden="1" x14ac:dyDescent="0.25">
      <c r="A540" s="1">
        <v>46261</v>
      </c>
      <c r="B540" t="s">
        <v>450</v>
      </c>
      <c r="C540" t="s">
        <v>451</v>
      </c>
      <c r="D540" t="s">
        <v>139</v>
      </c>
      <c r="E540" t="s">
        <v>16</v>
      </c>
      <c r="F540" s="1">
        <v>46259</v>
      </c>
      <c r="G540" s="1">
        <v>46260</v>
      </c>
      <c r="H540" s="1">
        <v>46261</v>
      </c>
      <c r="J540" t="s">
        <v>4060</v>
      </c>
      <c r="K540" t="s">
        <v>452</v>
      </c>
      <c r="M540" t="s">
        <v>4042</v>
      </c>
    </row>
    <row r="541" spans="1:13" hidden="1" x14ac:dyDescent="0.25">
      <c r="A541" s="1">
        <v>46261</v>
      </c>
      <c r="B541" t="s">
        <v>3006</v>
      </c>
      <c r="C541" t="s">
        <v>3007</v>
      </c>
      <c r="D541" t="s">
        <v>78</v>
      </c>
      <c r="E541" t="s">
        <v>16</v>
      </c>
      <c r="F541" s="1">
        <v>46258</v>
      </c>
      <c r="G541" s="1">
        <v>46267</v>
      </c>
      <c r="H541" s="1">
        <v>46268</v>
      </c>
      <c r="J541" t="s">
        <v>4060</v>
      </c>
      <c r="K541" t="s">
        <v>3008</v>
      </c>
      <c r="M541" t="s">
        <v>21</v>
      </c>
    </row>
    <row r="542" spans="1:13" hidden="1" x14ac:dyDescent="0.25">
      <c r="A542" s="1">
        <v>46261</v>
      </c>
      <c r="B542" t="s">
        <v>3173</v>
      </c>
      <c r="C542" t="s">
        <v>3174</v>
      </c>
      <c r="D542" t="s">
        <v>28</v>
      </c>
      <c r="E542" t="s">
        <v>16</v>
      </c>
      <c r="F542" s="1">
        <v>46259</v>
      </c>
      <c r="G542" s="1">
        <v>46259</v>
      </c>
      <c r="H542" s="1">
        <v>46260</v>
      </c>
      <c r="J542" t="s">
        <v>4060</v>
      </c>
      <c r="K542" t="s">
        <v>3175</v>
      </c>
      <c r="M542" t="s">
        <v>4042</v>
      </c>
    </row>
    <row r="543" spans="1:13" hidden="1" x14ac:dyDescent="0.25">
      <c r="A543" s="1">
        <v>46261</v>
      </c>
      <c r="B543" t="s">
        <v>2062</v>
      </c>
      <c r="C543" t="s">
        <v>2063</v>
      </c>
      <c r="D543" t="s">
        <v>124</v>
      </c>
      <c r="E543" t="s">
        <v>16</v>
      </c>
      <c r="F543" s="1">
        <v>46258</v>
      </c>
      <c r="G543" s="1">
        <v>46262</v>
      </c>
      <c r="H543" s="1">
        <v>46263</v>
      </c>
      <c r="J543" t="s">
        <v>4060</v>
      </c>
      <c r="K543" t="s">
        <v>2064</v>
      </c>
      <c r="M543" t="s">
        <v>21</v>
      </c>
    </row>
    <row r="544" spans="1:13" hidden="1" x14ac:dyDescent="0.25">
      <c r="A544" s="1">
        <v>46261</v>
      </c>
      <c r="B544" t="s">
        <v>2542</v>
      </c>
      <c r="C544" t="s">
        <v>2543</v>
      </c>
      <c r="D544" t="s">
        <v>51</v>
      </c>
      <c r="E544" t="s">
        <v>4074</v>
      </c>
      <c r="F544" s="1">
        <v>46261</v>
      </c>
      <c r="G544" s="1"/>
      <c r="H544" s="1"/>
      <c r="J544" t="s">
        <v>4060</v>
      </c>
      <c r="K544" t="s">
        <v>2544</v>
      </c>
      <c r="M544" t="s">
        <v>4042</v>
      </c>
    </row>
    <row r="545" spans="1:13" hidden="1" x14ac:dyDescent="0.25">
      <c r="A545" s="1">
        <v>46261</v>
      </c>
      <c r="B545" t="s">
        <v>2676</v>
      </c>
      <c r="C545" t="s">
        <v>4218</v>
      </c>
      <c r="D545" t="s">
        <v>492</v>
      </c>
      <c r="E545" t="s">
        <v>16</v>
      </c>
      <c r="F545" s="1">
        <v>46258</v>
      </c>
      <c r="G545" s="1">
        <v>46260</v>
      </c>
      <c r="H545" s="1">
        <v>46261</v>
      </c>
      <c r="J545" t="s">
        <v>4060</v>
      </c>
      <c r="K545" t="s">
        <v>2678</v>
      </c>
      <c r="M545" t="s">
        <v>4042</v>
      </c>
    </row>
    <row r="546" spans="1:13" hidden="1" x14ac:dyDescent="0.25">
      <c r="A546" s="1">
        <v>46261</v>
      </c>
      <c r="B546" t="s">
        <v>1705</v>
      </c>
      <c r="C546" t="s">
        <v>4229</v>
      </c>
      <c r="D546" t="s">
        <v>128</v>
      </c>
      <c r="E546" t="s">
        <v>16</v>
      </c>
      <c r="F546" s="1">
        <v>46258</v>
      </c>
      <c r="G546" s="1">
        <v>46260</v>
      </c>
      <c r="H546" s="1">
        <v>46261</v>
      </c>
      <c r="J546" t="s">
        <v>4060</v>
      </c>
      <c r="K546" t="s">
        <v>1707</v>
      </c>
      <c r="M546" t="s">
        <v>4042</v>
      </c>
    </row>
    <row r="547" spans="1:13" hidden="1" x14ac:dyDescent="0.25">
      <c r="A547" s="1">
        <v>46261</v>
      </c>
      <c r="B547" t="s">
        <v>22</v>
      </c>
      <c r="C547" t="s">
        <v>221</v>
      </c>
      <c r="D547" t="s">
        <v>15</v>
      </c>
      <c r="E547" t="s">
        <v>24</v>
      </c>
      <c r="F547" s="1">
        <v>46244</v>
      </c>
      <c r="G547" s="1">
        <v>46265</v>
      </c>
      <c r="H547" s="1">
        <v>46266</v>
      </c>
      <c r="J547" t="s">
        <v>4060</v>
      </c>
      <c r="K547" t="s">
        <v>25</v>
      </c>
      <c r="M547" t="s">
        <v>21</v>
      </c>
    </row>
    <row r="548" spans="1:13" hidden="1" x14ac:dyDescent="0.25">
      <c r="A548" s="1">
        <v>46261</v>
      </c>
      <c r="B548" t="s">
        <v>336</v>
      </c>
      <c r="C548" t="s">
        <v>4154</v>
      </c>
      <c r="D548" t="s">
        <v>39</v>
      </c>
      <c r="E548" t="s">
        <v>4074</v>
      </c>
      <c r="F548" s="1">
        <v>46261</v>
      </c>
      <c r="G548" s="1">
        <v>46261</v>
      </c>
      <c r="H548" s="1">
        <v>46262</v>
      </c>
      <c r="J548" t="s">
        <v>4060</v>
      </c>
      <c r="K548" t="s">
        <v>338</v>
      </c>
      <c r="M548" t="s">
        <v>4042</v>
      </c>
    </row>
    <row r="549" spans="1:13" hidden="1" x14ac:dyDescent="0.25">
      <c r="A549" s="1">
        <v>46261</v>
      </c>
      <c r="B549" t="s">
        <v>1310</v>
      </c>
      <c r="C549" t="s">
        <v>1311</v>
      </c>
      <c r="D549" t="s">
        <v>256</v>
      </c>
      <c r="E549" t="s">
        <v>16</v>
      </c>
      <c r="F549" s="1">
        <v>46259</v>
      </c>
      <c r="G549" s="1">
        <v>46261</v>
      </c>
      <c r="H549" s="1">
        <v>46262</v>
      </c>
      <c r="J549" t="s">
        <v>4060</v>
      </c>
      <c r="K549" t="s">
        <v>1312</v>
      </c>
      <c r="M549" t="s">
        <v>4042</v>
      </c>
    </row>
    <row r="550" spans="1:13" hidden="1" x14ac:dyDescent="0.25">
      <c r="A550" s="1">
        <v>46261</v>
      </c>
      <c r="B550" t="s">
        <v>2536</v>
      </c>
      <c r="C550" t="s">
        <v>2537</v>
      </c>
      <c r="D550" t="s">
        <v>55</v>
      </c>
      <c r="E550" t="s">
        <v>16</v>
      </c>
      <c r="F550" s="1">
        <v>46259</v>
      </c>
      <c r="G550" s="1">
        <v>46261</v>
      </c>
      <c r="H550" s="1">
        <v>46262</v>
      </c>
      <c r="J550" t="s">
        <v>4060</v>
      </c>
      <c r="K550" t="s">
        <v>2538</v>
      </c>
      <c r="M550" t="s">
        <v>4042</v>
      </c>
    </row>
    <row r="551" spans="1:13" hidden="1" x14ac:dyDescent="0.25">
      <c r="A551" s="1">
        <v>46261</v>
      </c>
      <c r="B551" t="s">
        <v>2877</v>
      </c>
      <c r="C551" t="s">
        <v>2878</v>
      </c>
      <c r="D551" t="s">
        <v>132</v>
      </c>
      <c r="E551" t="s">
        <v>16</v>
      </c>
      <c r="F551" s="1">
        <v>46259</v>
      </c>
      <c r="G551" s="1">
        <v>46260</v>
      </c>
      <c r="H551" s="1">
        <v>46261</v>
      </c>
      <c r="J551" t="s">
        <v>4060</v>
      </c>
      <c r="K551" t="s">
        <v>2879</v>
      </c>
      <c r="M551" t="s">
        <v>4042</v>
      </c>
    </row>
    <row r="552" spans="1:13" hidden="1" x14ac:dyDescent="0.25">
      <c r="A552" s="1">
        <v>46261</v>
      </c>
      <c r="B552" t="s">
        <v>488</v>
      </c>
      <c r="C552" t="s">
        <v>489</v>
      </c>
      <c r="D552" t="s">
        <v>4312</v>
      </c>
      <c r="E552" t="s">
        <v>4074</v>
      </c>
      <c r="F552" s="1">
        <v>46261</v>
      </c>
      <c r="G552" s="1">
        <v>46262</v>
      </c>
      <c r="H552" s="1">
        <v>46263</v>
      </c>
      <c r="J552" t="s">
        <v>4060</v>
      </c>
      <c r="K552" t="s">
        <v>490</v>
      </c>
      <c r="M552" t="s">
        <v>4042</v>
      </c>
    </row>
    <row r="553" spans="1:13" hidden="1" x14ac:dyDescent="0.25">
      <c r="A553" s="1">
        <v>46261</v>
      </c>
      <c r="B553" t="s">
        <v>472</v>
      </c>
      <c r="C553" t="s">
        <v>473</v>
      </c>
      <c r="D553" t="s">
        <v>256</v>
      </c>
      <c r="E553" t="s">
        <v>16</v>
      </c>
      <c r="F553" s="1">
        <v>46259</v>
      </c>
      <c r="G553" s="1">
        <v>46259</v>
      </c>
      <c r="H553" s="1">
        <v>46260</v>
      </c>
      <c r="J553" t="s">
        <v>4060</v>
      </c>
      <c r="K553" t="s">
        <v>474</v>
      </c>
      <c r="M553" t="s">
        <v>4042</v>
      </c>
    </row>
    <row r="554" spans="1:13" hidden="1" x14ac:dyDescent="0.25">
      <c r="A554" s="1">
        <v>46261</v>
      </c>
      <c r="B554" t="s">
        <v>3933</v>
      </c>
      <c r="C554" t="s">
        <v>3934</v>
      </c>
      <c r="D554" t="s">
        <v>68</v>
      </c>
      <c r="E554" t="s">
        <v>4074</v>
      </c>
      <c r="F554" s="1">
        <v>46261</v>
      </c>
      <c r="G554" s="1"/>
      <c r="H554" s="1"/>
      <c r="J554" t="s">
        <v>4060</v>
      </c>
      <c r="K554" t="s">
        <v>3935</v>
      </c>
      <c r="M554" t="s">
        <v>4042</v>
      </c>
    </row>
    <row r="555" spans="1:13" hidden="1" x14ac:dyDescent="0.25">
      <c r="A555" s="1">
        <v>46261</v>
      </c>
      <c r="B555" t="s">
        <v>485</v>
      </c>
      <c r="C555" t="s">
        <v>4302</v>
      </c>
      <c r="D555" t="s">
        <v>68</v>
      </c>
      <c r="E555" t="s">
        <v>4074</v>
      </c>
      <c r="F555" s="1">
        <v>46260</v>
      </c>
      <c r="G555" s="1">
        <v>46260</v>
      </c>
      <c r="H555" s="1">
        <v>46261</v>
      </c>
      <c r="J555" t="s">
        <v>4060</v>
      </c>
      <c r="K555" t="s">
        <v>487</v>
      </c>
      <c r="M555" t="s">
        <v>4042</v>
      </c>
    </row>
    <row r="556" spans="1:13" hidden="1" x14ac:dyDescent="0.25">
      <c r="A556" s="1">
        <v>46261</v>
      </c>
      <c r="B556" t="s">
        <v>1808</v>
      </c>
      <c r="C556" t="s">
        <v>1809</v>
      </c>
      <c r="D556" t="s">
        <v>256</v>
      </c>
      <c r="E556" t="s">
        <v>16</v>
      </c>
      <c r="F556" s="1">
        <v>46258</v>
      </c>
      <c r="G556" s="1">
        <v>46260</v>
      </c>
      <c r="H556" s="1">
        <v>46261</v>
      </c>
      <c r="J556" t="s">
        <v>4060</v>
      </c>
      <c r="K556" t="s">
        <v>1810</v>
      </c>
      <c r="M556" t="s">
        <v>4042</v>
      </c>
    </row>
    <row r="557" spans="1:13" hidden="1" x14ac:dyDescent="0.25">
      <c r="A557" s="1">
        <v>46261</v>
      </c>
      <c r="B557" t="s">
        <v>2786</v>
      </c>
      <c r="C557" t="s">
        <v>2787</v>
      </c>
      <c r="D557" t="s">
        <v>256</v>
      </c>
      <c r="E557" t="s">
        <v>4074</v>
      </c>
      <c r="F557" s="1">
        <v>46261</v>
      </c>
      <c r="G557" s="1"/>
      <c r="H557" s="1"/>
      <c r="J557" t="s">
        <v>4060</v>
      </c>
      <c r="K557" t="s">
        <v>2788</v>
      </c>
      <c r="M557" t="s">
        <v>4042</v>
      </c>
    </row>
    <row r="558" spans="1:13" hidden="1" x14ac:dyDescent="0.25">
      <c r="A558" s="1">
        <v>46261</v>
      </c>
      <c r="B558" t="s">
        <v>3427</v>
      </c>
      <c r="C558" t="s">
        <v>3428</v>
      </c>
      <c r="D558" t="s">
        <v>55</v>
      </c>
      <c r="E558" t="s">
        <v>16</v>
      </c>
      <c r="F558" s="1">
        <v>46256</v>
      </c>
      <c r="G558" s="1">
        <v>46263</v>
      </c>
      <c r="H558" s="1">
        <v>46264</v>
      </c>
      <c r="J558" t="s">
        <v>4060</v>
      </c>
      <c r="K558" t="s">
        <v>3429</v>
      </c>
      <c r="M558" t="s">
        <v>21</v>
      </c>
    </row>
    <row r="559" spans="1:13" hidden="1" x14ac:dyDescent="0.25">
      <c r="A559" s="1">
        <v>46261</v>
      </c>
      <c r="B559" t="s">
        <v>1100</v>
      </c>
      <c r="C559" t="s">
        <v>1101</v>
      </c>
      <c r="D559" t="s">
        <v>124</v>
      </c>
      <c r="E559" t="s">
        <v>4074</v>
      </c>
      <c r="F559" s="1">
        <v>46261</v>
      </c>
      <c r="G559" s="1">
        <v>46262</v>
      </c>
      <c r="H559" s="1">
        <v>46263</v>
      </c>
      <c r="J559" t="s">
        <v>4060</v>
      </c>
      <c r="K559" t="s">
        <v>1102</v>
      </c>
      <c r="M559" t="s">
        <v>4042</v>
      </c>
    </row>
    <row r="560" spans="1:13" hidden="1" x14ac:dyDescent="0.25">
      <c r="A560" s="1">
        <v>46261</v>
      </c>
      <c r="B560" t="s">
        <v>1964</v>
      </c>
      <c r="C560" t="s">
        <v>1965</v>
      </c>
      <c r="D560" t="s">
        <v>82</v>
      </c>
      <c r="E560" t="s">
        <v>4074</v>
      </c>
      <c r="F560" s="1">
        <v>46261</v>
      </c>
      <c r="G560" s="1">
        <v>46261</v>
      </c>
      <c r="H560" s="1">
        <v>46262</v>
      </c>
      <c r="J560" t="s">
        <v>4060</v>
      </c>
      <c r="K560" t="s">
        <v>1966</v>
      </c>
      <c r="M560" t="s">
        <v>4042</v>
      </c>
    </row>
    <row r="561" spans="1:13" hidden="1" x14ac:dyDescent="0.25">
      <c r="A561" s="1">
        <v>46261</v>
      </c>
      <c r="B561" t="s">
        <v>734</v>
      </c>
      <c r="C561" t="s">
        <v>735</v>
      </c>
      <c r="D561" t="s">
        <v>272</v>
      </c>
      <c r="E561" t="s">
        <v>16</v>
      </c>
      <c r="F561" s="1">
        <v>46259</v>
      </c>
      <c r="G561" s="1">
        <v>46260</v>
      </c>
      <c r="H561" s="1">
        <v>46261</v>
      </c>
      <c r="J561" t="s">
        <v>4060</v>
      </c>
      <c r="K561" t="s">
        <v>736</v>
      </c>
      <c r="M561" t="s">
        <v>4042</v>
      </c>
    </row>
    <row r="562" spans="1:13" hidden="1" x14ac:dyDescent="0.25">
      <c r="A562" s="1">
        <v>46261</v>
      </c>
      <c r="B562" t="s">
        <v>216</v>
      </c>
      <c r="C562" t="s">
        <v>217</v>
      </c>
      <c r="D562" t="s">
        <v>59</v>
      </c>
      <c r="E562" t="s">
        <v>16</v>
      </c>
      <c r="F562" s="1">
        <v>46258</v>
      </c>
      <c r="G562" s="1">
        <v>46263</v>
      </c>
      <c r="H562" s="1">
        <v>46264</v>
      </c>
      <c r="J562" t="s">
        <v>4060</v>
      </c>
      <c r="K562" t="s">
        <v>218</v>
      </c>
      <c r="M562" t="s">
        <v>21</v>
      </c>
    </row>
    <row r="563" spans="1:13" hidden="1" x14ac:dyDescent="0.25">
      <c r="A563" s="1">
        <v>46261</v>
      </c>
      <c r="B563" t="s">
        <v>2913</v>
      </c>
      <c r="C563" t="s">
        <v>2914</v>
      </c>
      <c r="D563" t="s">
        <v>51</v>
      </c>
      <c r="E563" t="s">
        <v>4074</v>
      </c>
      <c r="F563" s="1">
        <v>46261</v>
      </c>
      <c r="G563" s="1"/>
      <c r="H563" s="1"/>
      <c r="J563" t="s">
        <v>4060</v>
      </c>
      <c r="K563" t="s">
        <v>2915</v>
      </c>
      <c r="M563" t="s">
        <v>4042</v>
      </c>
    </row>
    <row r="564" spans="1:13" hidden="1" x14ac:dyDescent="0.25">
      <c r="A564" s="1">
        <v>46261</v>
      </c>
      <c r="B564" t="s">
        <v>2590</v>
      </c>
      <c r="C564" t="s">
        <v>2591</v>
      </c>
      <c r="D564" t="s">
        <v>132</v>
      </c>
      <c r="E564" t="s">
        <v>16</v>
      </c>
      <c r="F564" s="1">
        <v>46258</v>
      </c>
      <c r="G564" s="1">
        <v>46260</v>
      </c>
      <c r="H564" s="1">
        <v>46261</v>
      </c>
      <c r="J564" t="s">
        <v>4060</v>
      </c>
      <c r="K564" t="s">
        <v>2592</v>
      </c>
      <c r="M564" t="s">
        <v>4042</v>
      </c>
    </row>
    <row r="565" spans="1:13" hidden="1" x14ac:dyDescent="0.25">
      <c r="A565" s="1">
        <v>46261</v>
      </c>
      <c r="B565" t="s">
        <v>2231</v>
      </c>
      <c r="C565" t="s">
        <v>2232</v>
      </c>
      <c r="D565" t="s">
        <v>256</v>
      </c>
      <c r="E565" t="s">
        <v>4074</v>
      </c>
      <c r="F565" s="1">
        <v>46261</v>
      </c>
      <c r="G565" s="1">
        <v>46262</v>
      </c>
      <c r="H565" s="1">
        <v>46263</v>
      </c>
      <c r="J565" t="s">
        <v>4060</v>
      </c>
      <c r="K565" t="s">
        <v>2233</v>
      </c>
      <c r="M565" t="s">
        <v>4042</v>
      </c>
    </row>
    <row r="566" spans="1:13" hidden="1" x14ac:dyDescent="0.25">
      <c r="A566" s="1">
        <v>46261</v>
      </c>
      <c r="B566" t="s">
        <v>3176</v>
      </c>
      <c r="C566" t="s">
        <v>3177</v>
      </c>
      <c r="D566" t="s">
        <v>59</v>
      </c>
      <c r="E566" t="s">
        <v>16</v>
      </c>
      <c r="F566" s="1">
        <v>46259</v>
      </c>
      <c r="G566" s="1">
        <v>46259</v>
      </c>
      <c r="H566" s="1">
        <v>46260</v>
      </c>
      <c r="J566" t="s">
        <v>4041</v>
      </c>
      <c r="K566" t="s">
        <v>3178</v>
      </c>
      <c r="M566" t="s">
        <v>4042</v>
      </c>
    </row>
    <row r="567" spans="1:13" hidden="1" x14ac:dyDescent="0.25">
      <c r="A567" s="1">
        <v>46261</v>
      </c>
      <c r="B567" t="s">
        <v>170</v>
      </c>
      <c r="C567" t="s">
        <v>171</v>
      </c>
      <c r="D567" t="s">
        <v>172</v>
      </c>
      <c r="E567" t="s">
        <v>16</v>
      </c>
      <c r="F567" s="1">
        <v>46252</v>
      </c>
      <c r="G567" s="1">
        <v>46262</v>
      </c>
      <c r="H567" s="1">
        <v>46263</v>
      </c>
      <c r="J567" t="s">
        <v>4169</v>
      </c>
      <c r="K567" t="s">
        <v>173</v>
      </c>
      <c r="M567" t="s">
        <v>21</v>
      </c>
    </row>
    <row r="568" spans="1:13" hidden="1" x14ac:dyDescent="0.25">
      <c r="A568" s="1">
        <v>46261</v>
      </c>
      <c r="B568" t="s">
        <v>560</v>
      </c>
      <c r="C568" t="s">
        <v>561</v>
      </c>
      <c r="D568" t="s">
        <v>2052</v>
      </c>
      <c r="E568" t="s">
        <v>4073</v>
      </c>
      <c r="F568" s="1">
        <v>46261</v>
      </c>
      <c r="G568" s="1">
        <v>46261</v>
      </c>
      <c r="H568" s="1">
        <v>46262</v>
      </c>
      <c r="J568" t="s">
        <v>4313</v>
      </c>
      <c r="K568" t="s">
        <v>562</v>
      </c>
      <c r="M568" t="s">
        <v>4042</v>
      </c>
    </row>
    <row r="569" spans="1:13" hidden="1" x14ac:dyDescent="0.25">
      <c r="A569" s="1">
        <v>46261</v>
      </c>
      <c r="B569" t="s">
        <v>4124</v>
      </c>
      <c r="C569" t="s">
        <v>4069</v>
      </c>
      <c r="D569" t="s">
        <v>64</v>
      </c>
      <c r="E569" t="s">
        <v>4050</v>
      </c>
      <c r="F569" s="1">
        <v>46195</v>
      </c>
      <c r="G569" s="1">
        <v>46198</v>
      </c>
      <c r="H569" s="1">
        <v>46199</v>
      </c>
      <c r="J569" t="s">
        <v>341</v>
      </c>
      <c r="M569" t="s">
        <v>4042</v>
      </c>
    </row>
    <row r="570" spans="1:13" hidden="1" x14ac:dyDescent="0.25">
      <c r="A570" s="1">
        <v>46261</v>
      </c>
      <c r="B570" t="s">
        <v>148</v>
      </c>
      <c r="C570" t="s">
        <v>149</v>
      </c>
      <c r="D570" t="s">
        <v>492</v>
      </c>
      <c r="E570" t="s">
        <v>4050</v>
      </c>
      <c r="F570" s="1">
        <v>46260</v>
      </c>
      <c r="G570" s="1">
        <v>46262</v>
      </c>
      <c r="H570" s="1">
        <v>46263</v>
      </c>
      <c r="J570" t="s">
        <v>341</v>
      </c>
      <c r="M570" t="s">
        <v>4042</v>
      </c>
    </row>
    <row r="571" spans="1:13" hidden="1" x14ac:dyDescent="0.25">
      <c r="A571" s="1">
        <v>46261</v>
      </c>
      <c r="B571" t="s">
        <v>336</v>
      </c>
      <c r="C571" t="s">
        <v>4154</v>
      </c>
      <c r="D571" t="s">
        <v>39</v>
      </c>
      <c r="E571" t="s">
        <v>16</v>
      </c>
      <c r="F571" s="1">
        <v>46258</v>
      </c>
      <c r="G571" s="1">
        <v>46260</v>
      </c>
      <c r="H571" s="1">
        <v>46261</v>
      </c>
      <c r="J571" t="s">
        <v>4232</v>
      </c>
      <c r="K571" t="s">
        <v>338</v>
      </c>
      <c r="M571" t="s">
        <v>4042</v>
      </c>
    </row>
    <row r="572" spans="1:13" hidden="1" x14ac:dyDescent="0.25">
      <c r="A572" s="1">
        <v>46261</v>
      </c>
      <c r="B572" t="s">
        <v>3176</v>
      </c>
      <c r="C572" t="s">
        <v>3177</v>
      </c>
      <c r="D572" t="s">
        <v>59</v>
      </c>
      <c r="E572" t="s">
        <v>16</v>
      </c>
      <c r="F572" s="1">
        <v>46260</v>
      </c>
      <c r="G572" s="1">
        <v>46260</v>
      </c>
      <c r="H572" s="1">
        <v>46261</v>
      </c>
      <c r="J572" t="s">
        <v>4309</v>
      </c>
      <c r="K572" t="s">
        <v>3178</v>
      </c>
      <c r="M572" t="s">
        <v>4042</v>
      </c>
    </row>
    <row r="573" spans="1:13" hidden="1" x14ac:dyDescent="0.25">
      <c r="A573" s="1">
        <v>46261</v>
      </c>
      <c r="B573" t="s">
        <v>1440</v>
      </c>
      <c r="C573" t="s">
        <v>1441</v>
      </c>
      <c r="D573" t="s">
        <v>55</v>
      </c>
      <c r="E573" t="s">
        <v>16</v>
      </c>
      <c r="F573" s="1">
        <v>46260</v>
      </c>
      <c r="G573" s="1">
        <v>46274</v>
      </c>
      <c r="H573" s="1">
        <v>46275</v>
      </c>
      <c r="J573" t="s">
        <v>4083</v>
      </c>
      <c r="K573" t="s">
        <v>1442</v>
      </c>
      <c r="M573" t="s">
        <v>21</v>
      </c>
    </row>
    <row r="574" spans="1:13" hidden="1" x14ac:dyDescent="0.25">
      <c r="A574" s="1">
        <v>46261</v>
      </c>
      <c r="B574" t="s">
        <v>2036</v>
      </c>
      <c r="C574" t="s">
        <v>2037</v>
      </c>
      <c r="D574" t="s">
        <v>272</v>
      </c>
      <c r="E574" t="s">
        <v>16</v>
      </c>
      <c r="F574" s="1">
        <v>46259</v>
      </c>
      <c r="G574" s="1">
        <v>46266</v>
      </c>
      <c r="H574" s="1">
        <v>46267</v>
      </c>
      <c r="J574" t="s">
        <v>4176</v>
      </c>
      <c r="K574" t="s">
        <v>2038</v>
      </c>
      <c r="M574" t="s">
        <v>21</v>
      </c>
    </row>
    <row r="575" spans="1:13" hidden="1" x14ac:dyDescent="0.25">
      <c r="A575" s="1">
        <v>46262</v>
      </c>
      <c r="B575" t="s">
        <v>1265</v>
      </c>
      <c r="C575" t="s">
        <v>1266</v>
      </c>
      <c r="D575" t="s">
        <v>15</v>
      </c>
      <c r="E575" t="s">
        <v>4123</v>
      </c>
      <c r="F575" s="1">
        <v>46260</v>
      </c>
      <c r="G575" s="1">
        <v>46262</v>
      </c>
      <c r="H575" s="1">
        <v>46263</v>
      </c>
      <c r="I575" t="s">
        <v>17</v>
      </c>
      <c r="J575" t="s">
        <v>18</v>
      </c>
      <c r="K575" t="s">
        <v>1267</v>
      </c>
      <c r="M575" t="s">
        <v>4042</v>
      </c>
    </row>
    <row r="576" spans="1:13" x14ac:dyDescent="0.25">
      <c r="A576" s="1">
        <v>46262</v>
      </c>
      <c r="B576" t="s">
        <v>30</v>
      </c>
      <c r="C576" t="s">
        <v>61</v>
      </c>
      <c r="D576" t="s">
        <v>28</v>
      </c>
      <c r="E576" t="s">
        <v>24</v>
      </c>
      <c r="F576" s="1">
        <v>46249</v>
      </c>
      <c r="G576" s="1">
        <v>46262</v>
      </c>
      <c r="H576" s="1">
        <v>46263</v>
      </c>
      <c r="I576" t="s">
        <v>222</v>
      </c>
      <c r="J576" t="s">
        <v>223</v>
      </c>
      <c r="K576" t="s">
        <v>32</v>
      </c>
      <c r="L576" t="s">
        <v>224</v>
      </c>
      <c r="M576" t="s">
        <v>21</v>
      </c>
    </row>
    <row r="577" spans="1:13" x14ac:dyDescent="0.25">
      <c r="A577" s="1">
        <v>46262</v>
      </c>
      <c r="B577" t="s">
        <v>62</v>
      </c>
      <c r="C577" t="s">
        <v>63</v>
      </c>
      <c r="D577" t="s">
        <v>64</v>
      </c>
      <c r="E577" t="s">
        <v>16</v>
      </c>
      <c r="F577" s="1">
        <v>46249</v>
      </c>
      <c r="G577" s="1">
        <v>46278</v>
      </c>
      <c r="H577" s="1">
        <v>46279</v>
      </c>
      <c r="I577" t="s">
        <v>222</v>
      </c>
      <c r="J577" t="s">
        <v>223</v>
      </c>
      <c r="K577" t="s">
        <v>65</v>
      </c>
      <c r="L577" t="s">
        <v>224</v>
      </c>
      <c r="M577" t="s">
        <v>21</v>
      </c>
    </row>
    <row r="578" spans="1:13" x14ac:dyDescent="0.25">
      <c r="A578" s="1">
        <v>46262</v>
      </c>
      <c r="B578" t="s">
        <v>49</v>
      </c>
      <c r="C578" t="s">
        <v>50</v>
      </c>
      <c r="D578" t="s">
        <v>51</v>
      </c>
      <c r="E578" t="s">
        <v>36</v>
      </c>
      <c r="F578" s="1">
        <v>46241</v>
      </c>
      <c r="G578" s="1">
        <v>46366</v>
      </c>
      <c r="H578" s="1">
        <v>46367</v>
      </c>
      <c r="I578" t="s">
        <v>73</v>
      </c>
      <c r="J578" t="s">
        <v>74</v>
      </c>
      <c r="K578" t="s">
        <v>52</v>
      </c>
      <c r="L578" t="s">
        <v>75</v>
      </c>
      <c r="M578" t="s">
        <v>21</v>
      </c>
    </row>
    <row r="579" spans="1:13" hidden="1" x14ac:dyDescent="0.25">
      <c r="A579" s="1">
        <v>46262</v>
      </c>
      <c r="B579" t="s">
        <v>3638</v>
      </c>
      <c r="C579" t="s">
        <v>4240</v>
      </c>
      <c r="D579" t="s">
        <v>55</v>
      </c>
      <c r="E579" t="s">
        <v>4074</v>
      </c>
      <c r="F579" s="1">
        <v>46259</v>
      </c>
      <c r="G579" s="1">
        <v>46263</v>
      </c>
      <c r="H579" s="1">
        <v>46264</v>
      </c>
      <c r="I579" t="s">
        <v>73</v>
      </c>
      <c r="J579" t="s">
        <v>74</v>
      </c>
      <c r="K579" t="s">
        <v>3640</v>
      </c>
      <c r="L579" t="s">
        <v>75</v>
      </c>
      <c r="M579" t="s">
        <v>4042</v>
      </c>
    </row>
    <row r="580" spans="1:13" hidden="1" x14ac:dyDescent="0.25">
      <c r="A580" s="1">
        <v>46262</v>
      </c>
      <c r="B580" t="s">
        <v>3349</v>
      </c>
      <c r="C580" t="s">
        <v>3350</v>
      </c>
      <c r="D580" t="s">
        <v>162</v>
      </c>
      <c r="E580" t="s">
        <v>16</v>
      </c>
      <c r="F580" s="1">
        <v>46261</v>
      </c>
      <c r="G580" s="1">
        <v>46262</v>
      </c>
      <c r="H580" s="1">
        <v>46263</v>
      </c>
      <c r="I580" t="s">
        <v>184</v>
      </c>
      <c r="J580" t="s">
        <v>185</v>
      </c>
      <c r="K580" t="s">
        <v>3351</v>
      </c>
      <c r="M580" t="s">
        <v>4042</v>
      </c>
    </row>
    <row r="581" spans="1:13" hidden="1" x14ac:dyDescent="0.25">
      <c r="A581" s="1">
        <v>46262</v>
      </c>
      <c r="B581" t="s">
        <v>478</v>
      </c>
      <c r="C581" t="s">
        <v>479</v>
      </c>
      <c r="D581" t="s">
        <v>51</v>
      </c>
      <c r="E581" t="s">
        <v>4147</v>
      </c>
      <c r="F581" s="1">
        <v>46261</v>
      </c>
      <c r="G581" s="1">
        <v>46261</v>
      </c>
      <c r="H581" s="1">
        <v>46262</v>
      </c>
      <c r="I581" t="s">
        <v>85</v>
      </c>
      <c r="J581" t="s">
        <v>86</v>
      </c>
      <c r="K581" t="s">
        <v>480</v>
      </c>
      <c r="M581" t="s">
        <v>4042</v>
      </c>
    </row>
    <row r="582" spans="1:13" x14ac:dyDescent="0.25">
      <c r="A582" s="1">
        <v>46262</v>
      </c>
      <c r="B582" t="s">
        <v>156</v>
      </c>
      <c r="C582" t="s">
        <v>157</v>
      </c>
      <c r="D582" t="s">
        <v>44</v>
      </c>
      <c r="E582" t="s">
        <v>16</v>
      </c>
      <c r="F582" s="1">
        <v>46258</v>
      </c>
      <c r="G582" s="1">
        <v>46287</v>
      </c>
      <c r="H582" s="1">
        <v>46288</v>
      </c>
      <c r="I582" t="s">
        <v>196</v>
      </c>
      <c r="J582" t="s">
        <v>197</v>
      </c>
      <c r="K582" t="s">
        <v>159</v>
      </c>
      <c r="L582" t="s">
        <v>198</v>
      </c>
      <c r="M582" t="s">
        <v>21</v>
      </c>
    </row>
    <row r="583" spans="1:13" hidden="1" x14ac:dyDescent="0.25">
      <c r="A583" s="1">
        <v>46262</v>
      </c>
      <c r="B583" t="s">
        <v>3656</v>
      </c>
      <c r="C583" t="s">
        <v>3657</v>
      </c>
      <c r="D583" t="s">
        <v>68</v>
      </c>
      <c r="E583" t="s">
        <v>4091</v>
      </c>
      <c r="F583" s="1">
        <v>46260</v>
      </c>
      <c r="G583" s="1">
        <v>46260</v>
      </c>
      <c r="H583" s="1">
        <v>46261</v>
      </c>
      <c r="I583" t="s">
        <v>213</v>
      </c>
      <c r="J583" t="s">
        <v>214</v>
      </c>
      <c r="K583" t="s">
        <v>3658</v>
      </c>
      <c r="M583" t="s">
        <v>4042</v>
      </c>
    </row>
    <row r="584" spans="1:13" hidden="1" x14ac:dyDescent="0.25">
      <c r="A584" s="1">
        <v>46262</v>
      </c>
      <c r="B584" t="s">
        <v>3578</v>
      </c>
      <c r="C584" t="s">
        <v>4196</v>
      </c>
      <c r="D584" t="s">
        <v>139</v>
      </c>
      <c r="E584" t="s">
        <v>4062</v>
      </c>
      <c r="F584" s="1">
        <v>46247</v>
      </c>
      <c r="G584" s="1">
        <v>46265</v>
      </c>
      <c r="H584" s="1">
        <v>46266</v>
      </c>
      <c r="I584" t="s">
        <v>251</v>
      </c>
      <c r="J584" t="s">
        <v>252</v>
      </c>
      <c r="K584" t="s">
        <v>3580</v>
      </c>
      <c r="L584" t="s">
        <v>253</v>
      </c>
      <c r="M584" t="s">
        <v>4042</v>
      </c>
    </row>
    <row r="585" spans="1:13" x14ac:dyDescent="0.25">
      <c r="A585" s="1">
        <v>46262</v>
      </c>
      <c r="B585" t="s">
        <v>204</v>
      </c>
      <c r="C585" t="s">
        <v>205</v>
      </c>
      <c r="D585" t="s">
        <v>51</v>
      </c>
      <c r="E585" t="s">
        <v>92</v>
      </c>
      <c r="F585" s="1">
        <v>46236</v>
      </c>
      <c r="G585" s="1">
        <v>46262</v>
      </c>
      <c r="H585" s="1">
        <v>46263</v>
      </c>
      <c r="I585" t="s">
        <v>251</v>
      </c>
      <c r="J585" t="s">
        <v>252</v>
      </c>
      <c r="K585" t="s">
        <v>206</v>
      </c>
      <c r="L585" t="s">
        <v>253</v>
      </c>
      <c r="M585" t="s">
        <v>21</v>
      </c>
    </row>
    <row r="586" spans="1:13" hidden="1" x14ac:dyDescent="0.25">
      <c r="A586" s="1">
        <v>46262</v>
      </c>
      <c r="B586" t="s">
        <v>270</v>
      </c>
      <c r="C586" t="s">
        <v>271</v>
      </c>
      <c r="D586" t="s">
        <v>272</v>
      </c>
      <c r="E586" t="s">
        <v>4065</v>
      </c>
      <c r="F586" s="1">
        <v>46238</v>
      </c>
      <c r="G586" s="1">
        <v>46295</v>
      </c>
      <c r="H586" s="1">
        <v>46296</v>
      </c>
      <c r="I586" t="s">
        <v>267</v>
      </c>
      <c r="J586" t="s">
        <v>268</v>
      </c>
      <c r="M586" t="s">
        <v>4042</v>
      </c>
    </row>
    <row r="587" spans="1:13" x14ac:dyDescent="0.25">
      <c r="A587" s="1">
        <v>46262</v>
      </c>
      <c r="B587" t="s">
        <v>33</v>
      </c>
      <c r="C587" t="s">
        <v>34</v>
      </c>
      <c r="D587" t="s">
        <v>128</v>
      </c>
      <c r="E587" t="s">
        <v>36</v>
      </c>
      <c r="F587" s="1">
        <v>46244</v>
      </c>
      <c r="G587" s="1">
        <v>46393</v>
      </c>
      <c r="H587" s="1">
        <v>46394</v>
      </c>
      <c r="I587" t="s">
        <v>294</v>
      </c>
      <c r="J587" t="s">
        <v>295</v>
      </c>
      <c r="K587" t="s">
        <v>35</v>
      </c>
      <c r="L587" t="s">
        <v>296</v>
      </c>
      <c r="M587" t="s">
        <v>21</v>
      </c>
    </row>
    <row r="588" spans="1:13" x14ac:dyDescent="0.25">
      <c r="A588" s="1">
        <v>46262</v>
      </c>
      <c r="B588" t="s">
        <v>282</v>
      </c>
      <c r="C588" t="s">
        <v>283</v>
      </c>
      <c r="D588" t="s">
        <v>39</v>
      </c>
      <c r="E588" t="s">
        <v>24</v>
      </c>
      <c r="F588" s="1">
        <v>46258</v>
      </c>
      <c r="G588" s="1">
        <v>46265</v>
      </c>
      <c r="H588" s="1">
        <v>46266</v>
      </c>
      <c r="I588" t="s">
        <v>1427</v>
      </c>
      <c r="J588" t="s">
        <v>1428</v>
      </c>
      <c r="K588" t="s">
        <v>284</v>
      </c>
      <c r="L588" t="s">
        <v>1429</v>
      </c>
      <c r="M588" t="s">
        <v>21</v>
      </c>
    </row>
    <row r="589" spans="1:13" x14ac:dyDescent="0.25">
      <c r="A589" s="1">
        <v>46262</v>
      </c>
      <c r="B589" t="s">
        <v>53</v>
      </c>
      <c r="C589" t="s">
        <v>88</v>
      </c>
      <c r="D589" t="s">
        <v>55</v>
      </c>
      <c r="E589" t="s">
        <v>16</v>
      </c>
      <c r="F589" s="1">
        <v>46259</v>
      </c>
      <c r="G589" s="1">
        <v>46265</v>
      </c>
      <c r="H589" s="1">
        <v>46266</v>
      </c>
      <c r="J589" t="s">
        <v>327</v>
      </c>
      <c r="K589" t="s">
        <v>56</v>
      </c>
      <c r="M589" t="s">
        <v>21</v>
      </c>
    </row>
    <row r="590" spans="1:13" x14ac:dyDescent="0.25">
      <c r="A590" s="1">
        <v>46262</v>
      </c>
      <c r="B590" t="s">
        <v>324</v>
      </c>
      <c r="C590" t="s">
        <v>325</v>
      </c>
      <c r="D590" t="s">
        <v>128</v>
      </c>
      <c r="E590" t="s">
        <v>326</v>
      </c>
      <c r="F590" s="1">
        <v>46258</v>
      </c>
      <c r="G590" s="1">
        <v>46262</v>
      </c>
      <c r="H590" s="1">
        <v>46263</v>
      </c>
      <c r="J590" t="s">
        <v>327</v>
      </c>
      <c r="K590" t="s">
        <v>328</v>
      </c>
      <c r="M590" t="s">
        <v>21</v>
      </c>
    </row>
    <row r="591" spans="1:13" hidden="1" x14ac:dyDescent="0.25">
      <c r="A591" s="1">
        <v>46262</v>
      </c>
      <c r="B591" t="s">
        <v>3061</v>
      </c>
      <c r="C591" t="s">
        <v>3062</v>
      </c>
      <c r="D591" t="s">
        <v>256</v>
      </c>
      <c r="E591" t="s">
        <v>4050</v>
      </c>
      <c r="F591" s="1">
        <v>46261</v>
      </c>
      <c r="G591" s="1">
        <v>46263</v>
      </c>
      <c r="H591" s="1">
        <v>46264</v>
      </c>
      <c r="J591" t="s">
        <v>327</v>
      </c>
      <c r="K591" t="s">
        <v>3063</v>
      </c>
      <c r="M591" t="s">
        <v>4042</v>
      </c>
    </row>
    <row r="592" spans="1:13" x14ac:dyDescent="0.25">
      <c r="A592" s="1">
        <v>46262</v>
      </c>
      <c r="B592" t="s">
        <v>26</v>
      </c>
      <c r="C592" t="s">
        <v>27</v>
      </c>
      <c r="D592" t="s">
        <v>28</v>
      </c>
      <c r="E592" t="s">
        <v>16</v>
      </c>
      <c r="F592" s="1">
        <v>46256</v>
      </c>
      <c r="G592" s="1">
        <v>46285</v>
      </c>
      <c r="H592" s="1">
        <v>46286</v>
      </c>
      <c r="J592" t="s">
        <v>327</v>
      </c>
      <c r="K592" t="s">
        <v>29</v>
      </c>
      <c r="M592" t="s">
        <v>21</v>
      </c>
    </row>
    <row r="593" spans="1:13" hidden="1" x14ac:dyDescent="0.25">
      <c r="A593" s="1">
        <v>46262</v>
      </c>
      <c r="B593" t="s">
        <v>94</v>
      </c>
      <c r="C593" t="s">
        <v>95</v>
      </c>
      <c r="D593" t="s">
        <v>82</v>
      </c>
      <c r="E593" t="s">
        <v>4074</v>
      </c>
      <c r="F593" s="1">
        <v>46238</v>
      </c>
      <c r="G593" s="1">
        <v>46262</v>
      </c>
      <c r="H593" s="1">
        <v>46263</v>
      </c>
      <c r="J593" t="s">
        <v>327</v>
      </c>
      <c r="K593" t="s">
        <v>98</v>
      </c>
      <c r="M593" t="s">
        <v>4042</v>
      </c>
    </row>
    <row r="594" spans="1:13" hidden="1" x14ac:dyDescent="0.25">
      <c r="A594" s="1">
        <v>46262</v>
      </c>
      <c r="B594" t="s">
        <v>22</v>
      </c>
      <c r="C594" t="s">
        <v>221</v>
      </c>
      <c r="D594" t="s">
        <v>15</v>
      </c>
      <c r="E594" t="s">
        <v>4087</v>
      </c>
      <c r="F594" s="1">
        <v>46260</v>
      </c>
      <c r="G594" s="1">
        <v>46260</v>
      </c>
      <c r="H594" s="1">
        <v>46261</v>
      </c>
      <c r="J594" t="s">
        <v>327</v>
      </c>
      <c r="K594" t="s">
        <v>25</v>
      </c>
      <c r="M594" t="s">
        <v>4042</v>
      </c>
    </row>
    <row r="595" spans="1:13" x14ac:dyDescent="0.25">
      <c r="A595" s="1">
        <v>46262</v>
      </c>
      <c r="B595" t="s">
        <v>481</v>
      </c>
      <c r="C595" t="s">
        <v>483</v>
      </c>
      <c r="D595" t="s">
        <v>132</v>
      </c>
      <c r="E595" t="s">
        <v>16</v>
      </c>
      <c r="F595" s="1">
        <v>46259</v>
      </c>
      <c r="G595" s="1">
        <v>46262</v>
      </c>
      <c r="H595" s="1">
        <v>46263</v>
      </c>
      <c r="J595" t="s">
        <v>327</v>
      </c>
      <c r="K595" t="s">
        <v>484</v>
      </c>
      <c r="M595" t="s">
        <v>21</v>
      </c>
    </row>
    <row r="596" spans="1:13" hidden="1" x14ac:dyDescent="0.25">
      <c r="A596" s="1">
        <v>46262</v>
      </c>
      <c r="B596" t="s">
        <v>2333</v>
      </c>
      <c r="C596" t="s">
        <v>4317</v>
      </c>
      <c r="D596" t="s">
        <v>28</v>
      </c>
      <c r="E596" t="s">
        <v>16</v>
      </c>
      <c r="F596" s="1">
        <v>46260</v>
      </c>
      <c r="G596" s="1">
        <v>46262</v>
      </c>
      <c r="H596" s="1">
        <v>46263</v>
      </c>
      <c r="J596" t="s">
        <v>327</v>
      </c>
      <c r="K596" t="s">
        <v>2335</v>
      </c>
      <c r="M596" t="s">
        <v>4042</v>
      </c>
    </row>
    <row r="597" spans="1:13" x14ac:dyDescent="0.25">
      <c r="A597" s="1">
        <v>46262</v>
      </c>
      <c r="B597" t="s">
        <v>1808</v>
      </c>
      <c r="C597" t="s">
        <v>1809</v>
      </c>
      <c r="D597" t="s">
        <v>256</v>
      </c>
      <c r="E597" t="s">
        <v>16</v>
      </c>
      <c r="F597" s="1">
        <v>46261</v>
      </c>
      <c r="G597" s="1">
        <v>46268</v>
      </c>
      <c r="H597" s="1">
        <v>46269</v>
      </c>
      <c r="J597" t="s">
        <v>327</v>
      </c>
      <c r="K597" t="s">
        <v>1810</v>
      </c>
      <c r="M597" t="s">
        <v>21</v>
      </c>
    </row>
    <row r="598" spans="1:13" x14ac:dyDescent="0.25">
      <c r="A598" s="1">
        <v>46262</v>
      </c>
      <c r="B598" t="s">
        <v>126</v>
      </c>
      <c r="C598" t="s">
        <v>127</v>
      </c>
      <c r="D598" t="s">
        <v>128</v>
      </c>
      <c r="E598" t="s">
        <v>16</v>
      </c>
      <c r="F598" s="1">
        <v>46242</v>
      </c>
      <c r="G598" s="1">
        <v>46272</v>
      </c>
      <c r="H598" s="1">
        <v>46273</v>
      </c>
      <c r="J598" t="s">
        <v>327</v>
      </c>
      <c r="K598" t="s">
        <v>129</v>
      </c>
      <c r="M598" t="s">
        <v>21</v>
      </c>
    </row>
    <row r="599" spans="1:13" x14ac:dyDescent="0.25">
      <c r="A599" s="1">
        <v>46262</v>
      </c>
      <c r="B599" t="s">
        <v>3427</v>
      </c>
      <c r="C599" t="s">
        <v>3428</v>
      </c>
      <c r="D599" t="s">
        <v>59</v>
      </c>
      <c r="E599" t="s">
        <v>24</v>
      </c>
      <c r="F599" s="1">
        <v>46253</v>
      </c>
      <c r="G599" s="1">
        <v>46265</v>
      </c>
      <c r="H599" s="1">
        <v>46266</v>
      </c>
      <c r="J599" t="s">
        <v>327</v>
      </c>
      <c r="K599" t="s">
        <v>3429</v>
      </c>
      <c r="M599" t="s">
        <v>21</v>
      </c>
    </row>
    <row r="600" spans="1:13" x14ac:dyDescent="0.25">
      <c r="A600" s="1">
        <v>46262</v>
      </c>
      <c r="B600" t="s">
        <v>134</v>
      </c>
      <c r="C600" t="s">
        <v>135</v>
      </c>
      <c r="D600" t="s">
        <v>39</v>
      </c>
      <c r="E600" t="s">
        <v>16</v>
      </c>
      <c r="F600" s="1">
        <v>46245</v>
      </c>
      <c r="G600" s="1">
        <v>46276</v>
      </c>
      <c r="H600" s="1">
        <v>46277</v>
      </c>
      <c r="J600" t="s">
        <v>327</v>
      </c>
      <c r="K600" t="s">
        <v>136</v>
      </c>
      <c r="M600" t="s">
        <v>21</v>
      </c>
    </row>
    <row r="601" spans="1:13" hidden="1" x14ac:dyDescent="0.25">
      <c r="A601" s="1">
        <v>46262</v>
      </c>
      <c r="B601" t="s">
        <v>2362</v>
      </c>
      <c r="C601" t="s">
        <v>4072</v>
      </c>
      <c r="D601" t="s">
        <v>139</v>
      </c>
      <c r="E601" t="s">
        <v>4074</v>
      </c>
      <c r="F601" s="1">
        <v>46230</v>
      </c>
      <c r="G601" s="1">
        <v>46230</v>
      </c>
      <c r="H601" s="1">
        <v>46231</v>
      </c>
      <c r="J601" t="s">
        <v>327</v>
      </c>
      <c r="K601" t="s">
        <v>2364</v>
      </c>
      <c r="M601" t="s">
        <v>4042</v>
      </c>
    </row>
    <row r="602" spans="1:13" hidden="1" x14ac:dyDescent="0.25">
      <c r="A602" s="1">
        <v>46262</v>
      </c>
      <c r="B602" t="s">
        <v>874</v>
      </c>
      <c r="C602" t="s">
        <v>4304</v>
      </c>
      <c r="D602" t="s">
        <v>44</v>
      </c>
      <c r="E602" t="s">
        <v>24</v>
      </c>
      <c r="F602" s="1">
        <v>46261</v>
      </c>
      <c r="G602" s="1">
        <v>46261</v>
      </c>
      <c r="H602" s="1">
        <v>46262</v>
      </c>
      <c r="J602" t="s">
        <v>327</v>
      </c>
      <c r="K602" t="s">
        <v>876</v>
      </c>
      <c r="M602" t="s">
        <v>4042</v>
      </c>
    </row>
    <row r="603" spans="1:13" x14ac:dyDescent="0.25">
      <c r="A603" s="1">
        <v>46262</v>
      </c>
      <c r="B603" t="s">
        <v>3006</v>
      </c>
      <c r="C603" t="s">
        <v>3007</v>
      </c>
      <c r="D603" t="s">
        <v>28</v>
      </c>
      <c r="E603" t="s">
        <v>16</v>
      </c>
      <c r="F603" s="1">
        <v>46258</v>
      </c>
      <c r="G603" s="1">
        <v>46267</v>
      </c>
      <c r="H603" s="1">
        <v>46268</v>
      </c>
      <c r="J603" t="s">
        <v>4060</v>
      </c>
      <c r="K603" t="s">
        <v>3008</v>
      </c>
      <c r="M603" t="s">
        <v>21</v>
      </c>
    </row>
    <row r="604" spans="1:13" x14ac:dyDescent="0.25">
      <c r="A604" s="1">
        <v>46262</v>
      </c>
      <c r="B604" t="s">
        <v>2062</v>
      </c>
      <c r="C604" t="s">
        <v>2063</v>
      </c>
      <c r="D604" t="s">
        <v>124</v>
      </c>
      <c r="E604" t="s">
        <v>16</v>
      </c>
      <c r="F604" s="1">
        <v>46258</v>
      </c>
      <c r="G604" s="1">
        <v>46262</v>
      </c>
      <c r="H604" s="1">
        <v>46263</v>
      </c>
      <c r="J604" t="s">
        <v>4060</v>
      </c>
      <c r="K604" t="s">
        <v>2064</v>
      </c>
      <c r="M604" t="s">
        <v>21</v>
      </c>
    </row>
    <row r="605" spans="1:13" hidden="1" x14ac:dyDescent="0.25">
      <c r="A605" s="1">
        <v>46262</v>
      </c>
      <c r="B605" t="s">
        <v>2542</v>
      </c>
      <c r="C605" t="s">
        <v>4319</v>
      </c>
      <c r="D605" t="s">
        <v>51</v>
      </c>
      <c r="E605" t="s">
        <v>4074</v>
      </c>
      <c r="F605" s="1">
        <v>46261</v>
      </c>
      <c r="G605" s="1"/>
      <c r="H605" s="1"/>
      <c r="J605" t="s">
        <v>4060</v>
      </c>
      <c r="K605" t="s">
        <v>2544</v>
      </c>
      <c r="M605" t="s">
        <v>4042</v>
      </c>
    </row>
    <row r="606" spans="1:13" x14ac:dyDescent="0.25">
      <c r="A606" s="1">
        <v>46262</v>
      </c>
      <c r="B606" t="s">
        <v>22</v>
      </c>
      <c r="C606" t="s">
        <v>221</v>
      </c>
      <c r="D606" t="s">
        <v>15</v>
      </c>
      <c r="E606" t="s">
        <v>24</v>
      </c>
      <c r="F606" s="1">
        <v>46244</v>
      </c>
      <c r="G606" s="1">
        <v>46265</v>
      </c>
      <c r="H606" s="1">
        <v>46266</v>
      </c>
      <c r="J606" t="s">
        <v>4060</v>
      </c>
      <c r="K606" t="s">
        <v>25</v>
      </c>
      <c r="M606" t="s">
        <v>21</v>
      </c>
    </row>
    <row r="607" spans="1:13" hidden="1" x14ac:dyDescent="0.25">
      <c r="A607" s="1">
        <v>46262</v>
      </c>
      <c r="B607" t="s">
        <v>336</v>
      </c>
      <c r="C607" t="s">
        <v>4154</v>
      </c>
      <c r="D607" t="s">
        <v>39</v>
      </c>
      <c r="E607" t="s">
        <v>4074</v>
      </c>
      <c r="F607" s="1">
        <v>46261</v>
      </c>
      <c r="G607" s="1">
        <v>46261</v>
      </c>
      <c r="H607" s="1">
        <v>46262</v>
      </c>
      <c r="J607" t="s">
        <v>4060</v>
      </c>
      <c r="K607" t="s">
        <v>338</v>
      </c>
      <c r="M607" t="s">
        <v>4042</v>
      </c>
    </row>
    <row r="608" spans="1:13" hidden="1" x14ac:dyDescent="0.25">
      <c r="A608" s="1">
        <v>46262</v>
      </c>
      <c r="B608" t="s">
        <v>1310</v>
      </c>
      <c r="C608" t="s">
        <v>1311</v>
      </c>
      <c r="D608" t="s">
        <v>256</v>
      </c>
      <c r="E608" t="s">
        <v>4074</v>
      </c>
      <c r="F608" s="1">
        <v>46259</v>
      </c>
      <c r="G608" s="1">
        <v>46261</v>
      </c>
      <c r="H608" s="1">
        <v>46262</v>
      </c>
      <c r="J608" t="s">
        <v>4060</v>
      </c>
      <c r="K608" t="s">
        <v>1312</v>
      </c>
      <c r="M608" t="s">
        <v>4042</v>
      </c>
    </row>
    <row r="609" spans="1:13" hidden="1" x14ac:dyDescent="0.25">
      <c r="A609" s="1">
        <v>46262</v>
      </c>
      <c r="B609" t="s">
        <v>2536</v>
      </c>
      <c r="C609" t="s">
        <v>2537</v>
      </c>
      <c r="D609" t="s">
        <v>55</v>
      </c>
      <c r="E609" t="s">
        <v>16</v>
      </c>
      <c r="F609" s="1">
        <v>46259</v>
      </c>
      <c r="G609" s="1">
        <v>46261</v>
      </c>
      <c r="H609" s="1">
        <v>46262</v>
      </c>
      <c r="J609" t="s">
        <v>4060</v>
      </c>
      <c r="K609" t="s">
        <v>2538</v>
      </c>
      <c r="M609" t="s">
        <v>4042</v>
      </c>
    </row>
    <row r="610" spans="1:13" hidden="1" x14ac:dyDescent="0.25">
      <c r="A610" s="1">
        <v>46262</v>
      </c>
      <c r="B610" t="s">
        <v>488</v>
      </c>
      <c r="C610" t="s">
        <v>489</v>
      </c>
      <c r="D610" t="s">
        <v>4316</v>
      </c>
      <c r="E610" t="s">
        <v>16</v>
      </c>
      <c r="F610" s="1">
        <v>46261</v>
      </c>
      <c r="G610" s="1">
        <v>46262</v>
      </c>
      <c r="H610" s="1">
        <v>46263</v>
      </c>
      <c r="J610" t="s">
        <v>4060</v>
      </c>
      <c r="K610" t="s">
        <v>490</v>
      </c>
      <c r="M610" t="s">
        <v>4042</v>
      </c>
    </row>
    <row r="611" spans="1:13" hidden="1" x14ac:dyDescent="0.25">
      <c r="A611" s="1">
        <v>46262</v>
      </c>
      <c r="B611" t="s">
        <v>485</v>
      </c>
      <c r="C611" t="s">
        <v>4302</v>
      </c>
      <c r="D611" t="s">
        <v>68</v>
      </c>
      <c r="E611" t="s">
        <v>16</v>
      </c>
      <c r="F611" s="1">
        <v>46260</v>
      </c>
      <c r="G611" s="1">
        <v>46260</v>
      </c>
      <c r="H611" s="1">
        <v>46261</v>
      </c>
      <c r="J611" t="s">
        <v>4060</v>
      </c>
      <c r="K611" t="s">
        <v>487</v>
      </c>
      <c r="M611" t="s">
        <v>4042</v>
      </c>
    </row>
    <row r="612" spans="1:13" hidden="1" x14ac:dyDescent="0.25">
      <c r="A612" s="1">
        <v>46262</v>
      </c>
      <c r="B612" t="s">
        <v>1808</v>
      </c>
      <c r="C612" t="s">
        <v>1809</v>
      </c>
      <c r="D612" t="s">
        <v>256</v>
      </c>
      <c r="E612" t="s">
        <v>16</v>
      </c>
      <c r="F612" s="1">
        <v>46258</v>
      </c>
      <c r="G612" s="1">
        <v>46260</v>
      </c>
      <c r="H612" s="1">
        <v>46261</v>
      </c>
      <c r="J612" t="s">
        <v>4060</v>
      </c>
      <c r="K612" t="s">
        <v>1810</v>
      </c>
      <c r="M612" t="s">
        <v>4042</v>
      </c>
    </row>
    <row r="613" spans="1:13" hidden="1" x14ac:dyDescent="0.25">
      <c r="A613" s="1">
        <v>46262</v>
      </c>
      <c r="B613" t="s">
        <v>2539</v>
      </c>
      <c r="C613" t="s">
        <v>2540</v>
      </c>
      <c r="D613" t="s">
        <v>124</v>
      </c>
      <c r="E613" t="s">
        <v>4074</v>
      </c>
      <c r="F613" s="1">
        <v>46259</v>
      </c>
      <c r="G613" s="1">
        <v>46259</v>
      </c>
      <c r="H613" s="1">
        <v>46260</v>
      </c>
      <c r="J613" t="s">
        <v>4060</v>
      </c>
      <c r="K613" t="s">
        <v>2541</v>
      </c>
      <c r="M613" t="s">
        <v>4042</v>
      </c>
    </row>
    <row r="614" spans="1:13" hidden="1" x14ac:dyDescent="0.25">
      <c r="A614" s="1">
        <v>46262</v>
      </c>
      <c r="B614" t="s">
        <v>1100</v>
      </c>
      <c r="C614" t="s">
        <v>1101</v>
      </c>
      <c r="D614" t="s">
        <v>51</v>
      </c>
      <c r="E614" t="s">
        <v>4074</v>
      </c>
      <c r="F614" s="1">
        <v>46261</v>
      </c>
      <c r="G614" s="1">
        <v>46262</v>
      </c>
      <c r="H614" s="1">
        <v>46263</v>
      </c>
      <c r="J614" t="s">
        <v>4060</v>
      </c>
      <c r="K614" t="s">
        <v>1102</v>
      </c>
      <c r="M614" t="s">
        <v>4042</v>
      </c>
    </row>
    <row r="615" spans="1:13" hidden="1" x14ac:dyDescent="0.25">
      <c r="A615" s="1">
        <v>46262</v>
      </c>
      <c r="B615" t="s">
        <v>1964</v>
      </c>
      <c r="C615" t="s">
        <v>1965</v>
      </c>
      <c r="D615" t="s">
        <v>128</v>
      </c>
      <c r="E615" t="s">
        <v>4074</v>
      </c>
      <c r="F615" s="1">
        <v>46261</v>
      </c>
      <c r="G615" s="1">
        <v>46261</v>
      </c>
      <c r="H615" s="1">
        <v>46262</v>
      </c>
      <c r="J615" t="s">
        <v>4060</v>
      </c>
      <c r="K615" t="s">
        <v>1966</v>
      </c>
      <c r="M615" t="s">
        <v>4042</v>
      </c>
    </row>
    <row r="616" spans="1:13" x14ac:dyDescent="0.25">
      <c r="A616" s="1">
        <v>46262</v>
      </c>
      <c r="B616" t="s">
        <v>216</v>
      </c>
      <c r="C616" t="s">
        <v>217</v>
      </c>
      <c r="D616" t="s">
        <v>59</v>
      </c>
      <c r="E616" t="s">
        <v>16</v>
      </c>
      <c r="F616" s="1">
        <v>46258</v>
      </c>
      <c r="G616" s="1">
        <v>46263</v>
      </c>
      <c r="H616" s="1">
        <v>46264</v>
      </c>
      <c r="J616" t="s">
        <v>4060</v>
      </c>
      <c r="K616" t="s">
        <v>218</v>
      </c>
      <c r="M616" t="s">
        <v>21</v>
      </c>
    </row>
    <row r="617" spans="1:13" hidden="1" x14ac:dyDescent="0.25">
      <c r="A617" s="1">
        <v>46262</v>
      </c>
      <c r="B617" t="s">
        <v>2913</v>
      </c>
      <c r="C617" t="s">
        <v>2914</v>
      </c>
      <c r="D617" t="s">
        <v>51</v>
      </c>
      <c r="E617" t="s">
        <v>4074</v>
      </c>
      <c r="F617" s="1">
        <v>46261</v>
      </c>
      <c r="G617" s="1"/>
      <c r="H617" s="1"/>
      <c r="J617" t="s">
        <v>4060</v>
      </c>
      <c r="K617" t="s">
        <v>2915</v>
      </c>
      <c r="M617" t="s">
        <v>4042</v>
      </c>
    </row>
    <row r="618" spans="1:13" hidden="1" x14ac:dyDescent="0.25">
      <c r="A618" s="1">
        <v>46262</v>
      </c>
      <c r="B618" t="s">
        <v>2231</v>
      </c>
      <c r="C618" t="s">
        <v>4315</v>
      </c>
      <c r="D618" t="s">
        <v>256</v>
      </c>
      <c r="E618" t="s">
        <v>16</v>
      </c>
      <c r="F618" s="1">
        <v>46261</v>
      </c>
      <c r="G618" s="1">
        <v>46262</v>
      </c>
      <c r="H618" s="1">
        <v>46263</v>
      </c>
      <c r="J618" t="s">
        <v>4060</v>
      </c>
      <c r="K618" t="s">
        <v>2233</v>
      </c>
      <c r="M618" t="s">
        <v>4042</v>
      </c>
    </row>
    <row r="619" spans="1:13" hidden="1" x14ac:dyDescent="0.25">
      <c r="A619" s="1">
        <v>46262</v>
      </c>
      <c r="B619" t="s">
        <v>3478</v>
      </c>
      <c r="C619" t="s">
        <v>3479</v>
      </c>
      <c r="D619" t="s">
        <v>344</v>
      </c>
      <c r="E619" t="s">
        <v>4091</v>
      </c>
      <c r="F619" s="1">
        <v>46261</v>
      </c>
      <c r="G619" s="1">
        <v>46295</v>
      </c>
      <c r="H619" s="1">
        <v>46296</v>
      </c>
      <c r="J619" t="s">
        <v>339</v>
      </c>
      <c r="M619" t="s">
        <v>4042</v>
      </c>
    </row>
    <row r="620" spans="1:13" hidden="1" x14ac:dyDescent="0.25">
      <c r="A620" s="1">
        <v>46262</v>
      </c>
      <c r="B620" t="s">
        <v>1500</v>
      </c>
      <c r="C620" t="s">
        <v>1501</v>
      </c>
      <c r="D620" t="s">
        <v>128</v>
      </c>
      <c r="E620" t="s">
        <v>4050</v>
      </c>
      <c r="F620" s="1">
        <v>46261</v>
      </c>
      <c r="G620" s="1">
        <v>46263</v>
      </c>
      <c r="H620" s="1">
        <v>46264</v>
      </c>
      <c r="J620" t="s">
        <v>339</v>
      </c>
      <c r="M620" t="s">
        <v>4042</v>
      </c>
    </row>
    <row r="621" spans="1:13" hidden="1" x14ac:dyDescent="0.25">
      <c r="A621" s="1">
        <v>46262</v>
      </c>
      <c r="B621" t="s">
        <v>170</v>
      </c>
      <c r="C621" t="s">
        <v>171</v>
      </c>
      <c r="D621" t="s">
        <v>102</v>
      </c>
      <c r="E621" t="s">
        <v>4074</v>
      </c>
      <c r="F621" s="1">
        <v>46252</v>
      </c>
      <c r="G621" s="1">
        <v>46262</v>
      </c>
      <c r="H621" s="1">
        <v>46263</v>
      </c>
      <c r="J621" t="s">
        <v>4169</v>
      </c>
      <c r="K621" t="s">
        <v>173</v>
      </c>
      <c r="M621" t="s">
        <v>4042</v>
      </c>
    </row>
    <row r="622" spans="1:13" hidden="1" x14ac:dyDescent="0.25">
      <c r="A622" s="1">
        <v>46262</v>
      </c>
      <c r="B622" t="s">
        <v>4124</v>
      </c>
      <c r="C622" t="s">
        <v>4069</v>
      </c>
      <c r="D622" t="s">
        <v>64</v>
      </c>
      <c r="E622" t="s">
        <v>4050</v>
      </c>
      <c r="F622" s="1">
        <v>46195</v>
      </c>
      <c r="G622" s="1">
        <v>46198</v>
      </c>
      <c r="H622" s="1">
        <v>46199</v>
      </c>
      <c r="J622" t="s">
        <v>341</v>
      </c>
      <c r="M622" t="s">
        <v>4042</v>
      </c>
    </row>
    <row r="623" spans="1:13" x14ac:dyDescent="0.25">
      <c r="A623" s="1">
        <v>46262</v>
      </c>
      <c r="B623" t="s">
        <v>1440</v>
      </c>
      <c r="C623" t="s">
        <v>4243</v>
      </c>
      <c r="D623" t="s">
        <v>55</v>
      </c>
      <c r="E623" t="s">
        <v>16</v>
      </c>
      <c r="F623" s="1">
        <v>46260</v>
      </c>
      <c r="G623" s="1">
        <v>46274</v>
      </c>
      <c r="H623" s="1">
        <v>46275</v>
      </c>
      <c r="J623" t="s">
        <v>4083</v>
      </c>
      <c r="K623" t="s">
        <v>1442</v>
      </c>
      <c r="M623" t="s">
        <v>21</v>
      </c>
    </row>
    <row r="624" spans="1:13" x14ac:dyDescent="0.25">
      <c r="A624" s="1">
        <v>46262</v>
      </c>
      <c r="B624" t="s">
        <v>2036</v>
      </c>
      <c r="C624" t="s">
        <v>2037</v>
      </c>
      <c r="D624" t="s">
        <v>4318</v>
      </c>
      <c r="E624" t="s">
        <v>16</v>
      </c>
      <c r="F624" s="1">
        <v>46259</v>
      </c>
      <c r="G624" s="1">
        <v>46266</v>
      </c>
      <c r="H624" s="1">
        <v>46267</v>
      </c>
      <c r="J624" t="s">
        <v>4176</v>
      </c>
      <c r="K624" t="s">
        <v>2038</v>
      </c>
      <c r="M624" t="s">
        <v>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28DD9-DE53-416F-B78C-2D80D4492AD6}">
  <dimension ref="A1:J14"/>
  <sheetViews>
    <sheetView workbookViewId="0">
      <selection activeCell="I12" sqref="B12:I12"/>
    </sheetView>
  </sheetViews>
  <sheetFormatPr baseColWidth="10" defaultColWidth="11.42578125" defaultRowHeight="15" x14ac:dyDescent="0.25"/>
  <cols>
    <col min="1" max="1" width="15.140625" customWidth="1"/>
    <col min="2" max="2" width="34.85546875" customWidth="1"/>
    <col min="3" max="3" width="19.140625" customWidth="1"/>
    <col min="4" max="4" width="16.140625" style="1" customWidth="1"/>
    <col min="5" max="5" width="15.7109375" style="1" customWidth="1"/>
    <col min="6" max="6" width="17.42578125" style="1" customWidth="1"/>
    <col min="7" max="7" width="20" customWidth="1"/>
    <col min="8" max="8" width="38.85546875" bestFit="1" customWidth="1"/>
    <col min="9" max="9" width="34.140625" bestFit="1" customWidth="1"/>
    <col min="10" max="10" width="38.140625" bestFit="1" customWidth="1"/>
  </cols>
  <sheetData>
    <row r="1" spans="1:10" x14ac:dyDescent="0.25">
      <c r="A1" s="5" t="s">
        <v>1</v>
      </c>
      <c r="B1" s="5" t="s">
        <v>2</v>
      </c>
      <c r="C1" s="5" t="s">
        <v>3</v>
      </c>
      <c r="D1" s="6" t="s">
        <v>5</v>
      </c>
      <c r="E1" s="6" t="s">
        <v>6</v>
      </c>
      <c r="F1" s="6" t="s">
        <v>7</v>
      </c>
      <c r="G1" s="5" t="s">
        <v>8</v>
      </c>
      <c r="H1" s="5" t="s">
        <v>9</v>
      </c>
      <c r="I1" s="5" t="s">
        <v>10</v>
      </c>
      <c r="J1" s="5" t="s">
        <v>11</v>
      </c>
    </row>
    <row r="2" spans="1:10" x14ac:dyDescent="0.25">
      <c r="A2" t="s">
        <v>347</v>
      </c>
      <c r="B2" t="str">
        <f>IFERROR(VLOOKUP(A2,'BD PERSONAL'!A:E,4,FALSE)," ")</f>
        <v>VICTOR JOSE REALES SOLANO</v>
      </c>
      <c r="C2" t="str">
        <f>IFERROR(VLOOKUP(A2,'BD PERSONAL'!A:E,2,FALSE)," ")</f>
        <v>Carepa Centro</v>
      </c>
      <c r="D2" s="1">
        <v>46230</v>
      </c>
      <c r="E2" s="1">
        <v>46247</v>
      </c>
      <c r="F2" s="1">
        <v>46248</v>
      </c>
      <c r="G2" t="s">
        <v>348</v>
      </c>
      <c r="H2" t="str">
        <f>IFERROR(VLOOKUP(Tabla10[[#This Row],[CEDULA SUPERNUMERARIO]],BD_PERSONAL[],4,FALSE)," ")</f>
        <v>LAURA SALOMME ECHAVARRIA ALVAREZ</v>
      </c>
      <c r="I2" t="str">
        <f>IFERROR(VLOOKUP(Tabla10[[#This Row],[DOCUMENTO]],BD_PERSONAL[],6,FALSE)," ")</f>
        <v>victor.reales@unionsaludvida.com</v>
      </c>
      <c r="J2" t="str">
        <f>IFERROR(VLOOKUP(Tabla10[[#This Row],[CEDULA SUPERNUMERARIO]],BD_PERSONAL[],6,FALSE)," ")</f>
        <v>salomme.echavarria@unionsaludvida.com</v>
      </c>
    </row>
    <row r="3" spans="1:10" x14ac:dyDescent="0.25">
      <c r="A3" t="s">
        <v>349</v>
      </c>
      <c r="B3" t="str">
        <f>IFERROR(VLOOKUP(A3,'BD PERSONAL'!A:E,4,FALSE)," ")</f>
        <v>JOSE ARMANDO GONZALEZ MEJIA</v>
      </c>
      <c r="C3" t="str">
        <f>IFERROR(VLOOKUP(A3,'BD PERSONAL'!A:E,2,FALSE)," ")</f>
        <v>Chigorodo Centro</v>
      </c>
      <c r="D3" s="1">
        <v>46230</v>
      </c>
      <c r="E3" s="1">
        <v>46247</v>
      </c>
      <c r="F3" s="1">
        <v>46248</v>
      </c>
      <c r="G3" t="s">
        <v>350</v>
      </c>
      <c r="H3" t="str">
        <f>IFERROR(VLOOKUP(Tabla10[[#This Row],[CEDULA SUPERNUMERARIO]],BD_PERSONAL[],4,FALSE)," ")</f>
        <v>ANGIE PIEDAD BARCO RAMIREZ</v>
      </c>
      <c r="I3" t="str">
        <f>IFERROR(VLOOKUP(Tabla10[[#This Row],[DOCUMENTO]],BD_PERSONAL[],6,FALSE)," ")</f>
        <v>jose.gonzalez@unionsaludvida.com</v>
      </c>
      <c r="J3" t="str">
        <f>IFERROR(VLOOKUP(Tabla10[[#This Row],[CEDULA SUPERNUMERARIO]],BD_PERSONAL[],6,FALSE)," ")</f>
        <v>angie.barco@unionsaludvida.com</v>
      </c>
    </row>
    <row r="4" spans="1:10" x14ac:dyDescent="0.25">
      <c r="A4" t="s">
        <v>351</v>
      </c>
      <c r="B4" t="str">
        <f>IFERROR(VLOOKUP(A4,'BD PERSONAL'!A:E,4,FALSE)," ")</f>
        <v>SARA LALINDE USUGA</v>
      </c>
      <c r="C4" t="str">
        <f>IFERROR(VLOOKUP(A4,'BD PERSONAL'!A:E,2,FALSE)," ")</f>
        <v>Caldas</v>
      </c>
      <c r="D4" s="1">
        <v>46230</v>
      </c>
      <c r="E4" s="1">
        <v>46293</v>
      </c>
      <c r="F4" s="1">
        <v>46294</v>
      </c>
      <c r="G4" t="s">
        <v>352</v>
      </c>
      <c r="H4" t="str">
        <f>IFERROR(VLOOKUP(Tabla10[[#This Row],[CEDULA SUPERNUMERARIO]],BD_PERSONAL[],4,FALSE)," ")</f>
        <v>LAURA PAULINA VALENCIA BEDOYA</v>
      </c>
      <c r="I4" t="str">
        <f>IFERROR(VLOOKUP(Tabla10[[#This Row],[DOCUMENTO]],BD_PERSONAL[],6,FALSE)," ")</f>
        <v>sara.lalinde@unionsaludvida.com</v>
      </c>
      <c r="J4" t="str">
        <f>IFERROR(VLOOKUP(Tabla10[[#This Row],[CEDULA SUPERNUMERARIO]],BD_PERSONAL[],6,FALSE)," ")</f>
        <v>laura.valencia@unionsaludvida.com</v>
      </c>
    </row>
    <row r="5" spans="1:10" x14ac:dyDescent="0.25">
      <c r="A5" t="s">
        <v>353</v>
      </c>
      <c r="B5" t="str">
        <f>IFERROR(VLOOKUP(A5,'BD PERSONAL'!A:E,4,FALSE)," ")</f>
        <v>LAURA VANESSA GARCIA QUEJADA</v>
      </c>
      <c r="C5" t="str">
        <f>IFERROR(VLOOKUP(A5,'BD PERSONAL'!A:E,2,FALSE)," ")</f>
        <v>Nueva Colonia</v>
      </c>
      <c r="D5" s="1">
        <v>46232</v>
      </c>
      <c r="E5" s="1">
        <v>46249</v>
      </c>
      <c r="F5" s="1">
        <v>46251</v>
      </c>
      <c r="G5" t="s">
        <v>354</v>
      </c>
      <c r="H5" t="str">
        <f>IFERROR(VLOOKUP(Tabla10[[#This Row],[CEDULA SUPERNUMERARIO]],BD_PERSONAL[],4,FALSE)," ")</f>
        <v>KEILYN ROSANA CANCIO ORTEGA</v>
      </c>
      <c r="I5" t="str">
        <f>IFERROR(VLOOKUP(Tabla10[[#This Row],[DOCUMENTO]],BD_PERSONAL[],6,FALSE)," ")</f>
        <v>laura.quejada@unionsaludvida.com</v>
      </c>
      <c r="J5" t="str">
        <f>IFERROR(VLOOKUP(Tabla10[[#This Row],[CEDULA SUPERNUMERARIO]],BD_PERSONAL[],6,FALSE)," ")</f>
        <v>keilyn.cancio@unionsaludvida.com</v>
      </c>
    </row>
    <row r="6" spans="1:10" x14ac:dyDescent="0.25">
      <c r="A6" t="s">
        <v>355</v>
      </c>
      <c r="B6" t="str">
        <f>IFERROR(VLOOKUP(A6,'BD PERSONAL'!A:E,4,FALSE)," ")</f>
        <v>LINA MARIA GARCIA MORENO</v>
      </c>
      <c r="C6" t="str">
        <f>IFERROR(VLOOKUP(A6,'BD PERSONAL'!A:E,2,FALSE)," ")</f>
        <v>Manrique</v>
      </c>
      <c r="D6" s="1">
        <v>46245</v>
      </c>
      <c r="E6" s="1">
        <v>46261</v>
      </c>
      <c r="F6" s="1">
        <v>46262</v>
      </c>
      <c r="G6" t="s">
        <v>356</v>
      </c>
      <c r="H6" t="str">
        <f>IFERROR(VLOOKUP(Tabla10[[#This Row],[CEDULA SUPERNUMERARIO]],BD_PERSONAL[],4,FALSE)," ")</f>
        <v>MAYRA ALEJANDRA TESILLO SOSA</v>
      </c>
      <c r="I6" t="str">
        <f>IFERROR(VLOOKUP(Tabla10[[#This Row],[DOCUMENTO]],BD_PERSONAL[],6,FALSE)," ")</f>
        <v>lina.moreno@unionsaludvida.com</v>
      </c>
      <c r="J6" t="str">
        <f>IFERROR(VLOOKUP(Tabla10[[#This Row],[CEDULA SUPERNUMERARIO]],BD_PERSONAL[],6,FALSE)," ")</f>
        <v>mayra.tesillo@unionsaludvida.com</v>
      </c>
    </row>
    <row r="7" spans="1:10" x14ac:dyDescent="0.25">
      <c r="A7" t="s">
        <v>357</v>
      </c>
      <c r="B7" t="str">
        <f>IFERROR(VLOOKUP(A7,'BD PERSONAL'!A:E,4,FALSE)," ")</f>
        <v>LEIDY VANESSA BEDOYA BEDOYA</v>
      </c>
      <c r="C7" t="str">
        <f>IFERROR(VLOOKUP(A7,'BD PERSONAL'!A:E,2,FALSE)," ")</f>
        <v>Envigado</v>
      </c>
      <c r="D7" s="1">
        <v>46245</v>
      </c>
      <c r="E7" s="1">
        <v>46314</v>
      </c>
      <c r="F7" s="1">
        <v>46315</v>
      </c>
      <c r="G7" t="s">
        <v>358</v>
      </c>
      <c r="H7" t="str">
        <f>IFERROR(VLOOKUP(Tabla10[[#This Row],[CEDULA SUPERNUMERARIO]],BD_PERSONAL[],4,FALSE)," ")</f>
        <v>OSCAR IVAN ARANGO ARANGO</v>
      </c>
      <c r="I7" t="str">
        <f>IFERROR(VLOOKUP(Tabla10[[#This Row],[DOCUMENTO]],BD_PERSONAL[],6,FALSE)," ")</f>
        <v>leidy.bedoya@unionsaludvida.com</v>
      </c>
      <c r="J7" t="str">
        <f>IFERROR(VLOOKUP(Tabla10[[#This Row],[CEDULA SUPERNUMERARIO]],BD_PERSONAL[],6,FALSE)," ")</f>
        <v>oscar.arango@unionsaludvida.com</v>
      </c>
    </row>
    <row r="8" spans="1:10" x14ac:dyDescent="0.25">
      <c r="A8" t="s">
        <v>359</v>
      </c>
      <c r="B8" t="str">
        <f>IFERROR(VLOOKUP(A8,'BD PERSONAL'!A:E,4,FALSE)," ")</f>
        <v>MARIA JOSE CASTELLANOS FUENTES</v>
      </c>
      <c r="C8" t="str">
        <f>IFERROR(VLOOKUP(A8,'BD PERSONAL'!A:E,2,FALSE)," ")</f>
        <v>Chigorodo Centro</v>
      </c>
      <c r="D8" s="1">
        <v>46248</v>
      </c>
      <c r="E8" s="1">
        <v>46266</v>
      </c>
      <c r="F8" s="1">
        <v>46267</v>
      </c>
      <c r="G8" t="s">
        <v>360</v>
      </c>
      <c r="H8" t="str">
        <f>IFERROR(VLOOKUP(Tabla10[[#This Row],[CEDULA SUPERNUMERARIO]],BD_PERSONAL[],4,FALSE)," ")</f>
        <v>ANDREA CAROLINA SUAREZ ESCORCIA</v>
      </c>
      <c r="I8" t="str">
        <f>IFERROR(VLOOKUP(Tabla10[[#This Row],[DOCUMENTO]],BD_PERSONAL[],6,FALSE)," ")</f>
        <v>maria.castellanos@unionsaludvida.com</v>
      </c>
      <c r="J8" t="str">
        <f>IFERROR(VLOOKUP(Tabla10[[#This Row],[CEDULA SUPERNUMERARIO]],BD_PERSONAL[],6,FALSE)," ")</f>
        <v>andrea.suarez@unionsaludvida.com</v>
      </c>
    </row>
    <row r="9" spans="1:10" x14ac:dyDescent="0.25">
      <c r="A9" t="s">
        <v>361</v>
      </c>
      <c r="B9" t="str">
        <f>IFERROR(VLOOKUP(A9,'BD PERSONAL'!A:E,4,FALSE)," ")</f>
        <v>LUZ GABRIELA RUIZ GARCIA</v>
      </c>
      <c r="C9" t="str">
        <f>IFERROR(VLOOKUP(A9,'BD PERSONAL'!A:E,2,FALSE)," ")</f>
        <v>Salud Plaza Apartado</v>
      </c>
      <c r="D9" s="1">
        <v>46248</v>
      </c>
      <c r="E9" s="1">
        <v>46266</v>
      </c>
      <c r="F9" s="1">
        <v>46267</v>
      </c>
      <c r="G9" t="s">
        <v>362</v>
      </c>
      <c r="H9" t="str">
        <f>IFERROR(VLOOKUP(Tabla10[[#This Row],[CEDULA SUPERNUMERARIO]],BD_PERSONAL[],4,FALSE)," ")</f>
        <v>MARIA ALEJANDRA GUTIERREZ CORREA</v>
      </c>
      <c r="I9" t="str">
        <f>IFERROR(VLOOKUP(Tabla10[[#This Row],[DOCUMENTO]],BD_PERSONAL[],6,FALSE)," ")</f>
        <v>luz.ruiz@unionsaludvida.com</v>
      </c>
      <c r="J9" t="str">
        <f>IFERROR(VLOOKUP(Tabla10[[#This Row],[CEDULA SUPERNUMERARIO]],BD_PERSONAL[],6,FALSE)," ")</f>
        <v>maria.correa@unionsaludvida.com</v>
      </c>
    </row>
    <row r="10" spans="1:10" x14ac:dyDescent="0.25">
      <c r="A10" t="s">
        <v>363</v>
      </c>
      <c r="B10" t="str">
        <f>IFERROR(VLOOKUP(A10,'BD PERSONAL'!A:E,4,FALSE)," ")</f>
        <v>EDISON ALEJANDRO JARAMILLO LONDOÑO</v>
      </c>
      <c r="C10" t="str">
        <f>IFERROR(VLOOKUP(A10,'BD PERSONAL'!A:E,2,FALSE)," ")</f>
        <v>Caldas</v>
      </c>
      <c r="D10" s="1">
        <v>46247</v>
      </c>
      <c r="E10" s="1">
        <v>46256</v>
      </c>
      <c r="F10" s="1">
        <v>46258</v>
      </c>
      <c r="G10" s="1" t="s">
        <v>364</v>
      </c>
      <c r="H10" t="str">
        <f>IFERROR(VLOOKUP(Tabla10[[#This Row],[CEDULA SUPERNUMERARIO]],BD_PERSONAL[],4,FALSE)," ")</f>
        <v>SOFIA GARCIA POSADA</v>
      </c>
      <c r="I10" t="str">
        <f>IFERROR(VLOOKUP(Tabla10[[#This Row],[DOCUMENTO]],BD_PERSONAL[],6,FALSE)," ")</f>
        <v>edison.jaramillo@unionsaludvida.com</v>
      </c>
      <c r="J10" t="str">
        <f>IFERROR(VLOOKUP(Tabla10[[#This Row],[CEDULA SUPERNUMERARIO]],BD_PERSONAL[],6,FALSE)," ")</f>
        <v>sofia.garcia@unionsaludvida.com</v>
      </c>
    </row>
    <row r="11" spans="1:10" x14ac:dyDescent="0.25">
      <c r="A11" t="s">
        <v>365</v>
      </c>
      <c r="B11" t="str">
        <f>IFERROR(VLOOKUP(A11,'BD PERSONAL'!A:E,4,FALSE)," ")</f>
        <v>DANILO ARMANDO ARGOTE BOLAÑOS</v>
      </c>
      <c r="C11" t="str">
        <f>IFERROR(VLOOKUP(A11,'BD PERSONAL'!A:E,2,FALSE)," ")</f>
        <v>Manrique</v>
      </c>
      <c r="D11" s="1">
        <v>46247</v>
      </c>
      <c r="E11" s="1">
        <v>46265</v>
      </c>
      <c r="F11" s="1">
        <v>46266</v>
      </c>
      <c r="G11" t="s">
        <v>356</v>
      </c>
      <c r="H11" t="str">
        <f>IFERROR(VLOOKUP(Tabla10[[#This Row],[CEDULA SUPERNUMERARIO]],BD_PERSONAL[],4,FALSE)," ")</f>
        <v>MAYRA ALEJANDRA TESILLO SOSA</v>
      </c>
      <c r="I11" t="str">
        <f>IFERROR(VLOOKUP(Tabla10[[#This Row],[DOCUMENTO]],BD_PERSONAL[],6,FALSE)," ")</f>
        <v>danilo.argote@unionsaludvida.com</v>
      </c>
      <c r="J11" t="str">
        <f>IFERROR(VLOOKUP(Tabla10[[#This Row],[CEDULA SUPERNUMERARIO]],BD_PERSONAL[],6,FALSE)," ")</f>
        <v>mayra.tesillo@unionsaludvida.com</v>
      </c>
    </row>
    <row r="12" spans="1:10" x14ac:dyDescent="0.25">
      <c r="A12" t="s">
        <v>37</v>
      </c>
      <c r="B12" t="str">
        <f>IFERROR(VLOOKUP(A12,'BD PERSONAL'!A:E,4,FALSE)," ")</f>
        <v>LYLIANA ARELYS BARRERA TANDIOY</v>
      </c>
      <c r="C12" t="str">
        <f>IFERROR(VLOOKUP(A12,'BD PERSONAL'!A:E,2,FALSE)," ")</f>
        <v>Sabaneta</v>
      </c>
      <c r="D12" s="1">
        <v>46258</v>
      </c>
      <c r="E12" s="1">
        <v>46342</v>
      </c>
      <c r="F12" s="1">
        <v>46343</v>
      </c>
      <c r="G12" t="s">
        <v>366</v>
      </c>
      <c r="H12" t="str">
        <f>IFERROR(VLOOKUP(Tabla10[[#This Row],[CEDULA SUPERNUMERARIO]],BD_PERSONAL[],4,FALSE)," ")</f>
        <v>ANDREA CAROLINA AMIN PUELLO</v>
      </c>
      <c r="I12" t="str">
        <f>IFERROR(VLOOKUP(Tabla10[[#This Row],[DOCUMENTO]],BD_PERSONAL[],6,FALSE)," ")</f>
        <v>lyliana.barrera@unionsaludvida.com</v>
      </c>
      <c r="J12" t="str">
        <f>IFERROR(VLOOKUP(Tabla10[[#This Row],[CEDULA SUPERNUMERARIO]],BD_PERSONAL[],6,FALSE)," ")</f>
        <v>andrea.amin@unionsaludvida.com</v>
      </c>
    </row>
    <row r="13" spans="1:10" x14ac:dyDescent="0.25">
      <c r="A13" t="s">
        <v>367</v>
      </c>
      <c r="B13" t="str">
        <f>IFERROR(VLOOKUP(A13,'BD PERSONAL'!A:E,4,FALSE)," ")</f>
        <v>ANGELICA RESTREPO RAMIREZ</v>
      </c>
      <c r="C13" t="str">
        <f>IFERROR(VLOOKUP(A13,'BD PERSONAL'!A:E,2,FALSE)," ")</f>
        <v>Sabaneta Norte</v>
      </c>
      <c r="D13" s="1">
        <v>46258</v>
      </c>
      <c r="E13" s="1">
        <v>46274</v>
      </c>
      <c r="F13" s="1">
        <v>46275</v>
      </c>
      <c r="G13" t="s">
        <v>368</v>
      </c>
      <c r="H13" t="str">
        <f>IFERROR(VLOOKUP(Tabla10[[#This Row],[CEDULA SUPERNUMERARIO]],BD_PERSONAL[],4,FALSE)," ")</f>
        <v>LAURA VANESSA RAMIREZ GOMEZ</v>
      </c>
      <c r="I13" t="str">
        <f>IFERROR(VLOOKUP(Tabla10[[#This Row],[DOCUMENTO]],BD_PERSONAL[],6,FALSE)," ")</f>
        <v>angelica.restrepo@unionsaludvida.com</v>
      </c>
      <c r="J13" t="str">
        <f>IFERROR(VLOOKUP(Tabla10[[#This Row],[CEDULA SUPERNUMERARIO]],BD_PERSONAL[],6,FALSE)," ")</f>
        <v>vanessa.ramirez@unionsaludvida.com</v>
      </c>
    </row>
    <row r="14" spans="1:10" x14ac:dyDescent="0.25">
      <c r="A14" t="s">
        <v>350</v>
      </c>
      <c r="B14" t="str">
        <f>IFERROR(VLOOKUP(A14,'BD PERSONAL'!A:E,4,FALSE)," ")</f>
        <v>ANGIE PIEDAD BARCO RAMIREZ</v>
      </c>
      <c r="C14" t="str">
        <f>IFERROR(VLOOKUP(A14,'BD PERSONAL'!A:E,2,FALSE)," ")</f>
        <v>Apartado</v>
      </c>
      <c r="D14" s="1">
        <v>46261</v>
      </c>
      <c r="E14" s="1">
        <v>46272</v>
      </c>
      <c r="F14" s="1">
        <v>46273</v>
      </c>
      <c r="G14" t="s">
        <v>1071</v>
      </c>
      <c r="H14" t="str">
        <f>IFERROR(VLOOKUP(Tabla10[[#This Row],[CEDULA SUPERNUMERARIO]],BD_PERSONAL[],4,FALSE)," ")</f>
        <v>DANIEL ESTEBAN RUIZ MESA</v>
      </c>
      <c r="I14" t="str">
        <f>IFERROR(VLOOKUP(Tabla10[[#This Row],[DOCUMENTO]],BD_PERSONAL[],6,FALSE)," ")</f>
        <v>angie.barco@unionsaludvida.com</v>
      </c>
      <c r="J14" t="str">
        <f>IFERROR(VLOOKUP(Tabla10[[#This Row],[CEDULA SUPERNUMERARIO]],BD_PERSONAL[],6,FALSE)," ")</f>
        <v>daniel.ruiz@unionsaludvida.com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4984-4FF4-4818-B774-32D4451CE6F2}">
  <dimension ref="A1:F1291"/>
  <sheetViews>
    <sheetView tabSelected="1" topLeftCell="A560" workbookViewId="0">
      <selection activeCell="D28" sqref="D28:D1279"/>
    </sheetView>
  </sheetViews>
  <sheetFormatPr baseColWidth="10" defaultColWidth="11.42578125" defaultRowHeight="15" x14ac:dyDescent="0.25"/>
  <cols>
    <col min="1" max="1" width="11" bestFit="1" customWidth="1"/>
    <col min="2" max="2" width="31.7109375" bestFit="1" customWidth="1"/>
    <col min="3" max="3" width="42.5703125" bestFit="1" customWidth="1"/>
    <col min="4" max="4" width="48.28515625" bestFit="1" customWidth="1"/>
    <col min="5" max="5" width="9.140625" bestFit="1" customWidth="1"/>
    <col min="6" max="6" width="49.42578125" bestFit="1" customWidth="1"/>
  </cols>
  <sheetData>
    <row r="1" spans="1:6" x14ac:dyDescent="0.25">
      <c r="A1" t="s">
        <v>369</v>
      </c>
      <c r="B1" t="s">
        <v>370</v>
      </c>
      <c r="C1" t="s">
        <v>371</v>
      </c>
      <c r="D1" t="s">
        <v>372</v>
      </c>
      <c r="E1" t="s">
        <v>373</v>
      </c>
      <c r="F1" t="s">
        <v>374</v>
      </c>
    </row>
    <row r="2" spans="1:6" hidden="1" x14ac:dyDescent="0.25">
      <c r="A2" t="s">
        <v>375</v>
      </c>
      <c r="B2" t="s">
        <v>15</v>
      </c>
      <c r="C2" t="s">
        <v>376</v>
      </c>
      <c r="D2" t="s">
        <v>377</v>
      </c>
      <c r="E2" t="s">
        <v>21</v>
      </c>
      <c r="F2" t="s">
        <v>378</v>
      </c>
    </row>
    <row r="3" spans="1:6" hidden="1" x14ac:dyDescent="0.25">
      <c r="A3" t="s">
        <v>379</v>
      </c>
      <c r="B3" t="s">
        <v>39</v>
      </c>
      <c r="C3" t="s">
        <v>376</v>
      </c>
      <c r="D3" t="s">
        <v>380</v>
      </c>
      <c r="E3" t="s">
        <v>21</v>
      </c>
      <c r="F3" t="s">
        <v>381</v>
      </c>
    </row>
    <row r="4" spans="1:6" hidden="1" x14ac:dyDescent="0.25">
      <c r="A4" t="s">
        <v>382</v>
      </c>
      <c r="B4" t="s">
        <v>383</v>
      </c>
      <c r="C4" t="s">
        <v>384</v>
      </c>
      <c r="D4" t="s">
        <v>385</v>
      </c>
      <c r="E4" t="s">
        <v>21</v>
      </c>
      <c r="F4" t="s">
        <v>386</v>
      </c>
    </row>
    <row r="5" spans="1:6" hidden="1" x14ac:dyDescent="0.25">
      <c r="A5" t="s">
        <v>387</v>
      </c>
      <c r="B5" t="s">
        <v>272</v>
      </c>
      <c r="C5" t="s">
        <v>376</v>
      </c>
      <c r="D5" t="s">
        <v>388</v>
      </c>
      <c r="E5" t="s">
        <v>21</v>
      </c>
      <c r="F5" t="s">
        <v>389</v>
      </c>
    </row>
    <row r="6" spans="1:6" hidden="1" x14ac:dyDescent="0.25">
      <c r="A6" t="s">
        <v>390</v>
      </c>
      <c r="B6" t="s">
        <v>391</v>
      </c>
      <c r="C6" t="s">
        <v>376</v>
      </c>
      <c r="D6" t="s">
        <v>392</v>
      </c>
      <c r="E6" t="s">
        <v>21</v>
      </c>
      <c r="F6" t="s">
        <v>393</v>
      </c>
    </row>
    <row r="7" spans="1:6" hidden="1" x14ac:dyDescent="0.25">
      <c r="A7" t="s">
        <v>394</v>
      </c>
      <c r="B7" t="s">
        <v>272</v>
      </c>
      <c r="C7" t="s">
        <v>376</v>
      </c>
      <c r="D7" t="s">
        <v>395</v>
      </c>
      <c r="E7" t="s">
        <v>21</v>
      </c>
      <c r="F7" t="s">
        <v>396</v>
      </c>
    </row>
    <row r="8" spans="1:6" hidden="1" x14ac:dyDescent="0.25">
      <c r="A8" t="s">
        <v>397</v>
      </c>
      <c r="B8" t="s">
        <v>398</v>
      </c>
      <c r="C8" t="s">
        <v>376</v>
      </c>
      <c r="D8" t="s">
        <v>399</v>
      </c>
      <c r="E8" t="s">
        <v>21</v>
      </c>
      <c r="F8" t="s">
        <v>400</v>
      </c>
    </row>
    <row r="9" spans="1:6" hidden="1" x14ac:dyDescent="0.25">
      <c r="A9" t="s">
        <v>401</v>
      </c>
      <c r="B9" t="s">
        <v>344</v>
      </c>
      <c r="C9" t="s">
        <v>376</v>
      </c>
      <c r="D9" t="s">
        <v>402</v>
      </c>
      <c r="E9" t="s">
        <v>21</v>
      </c>
      <c r="F9" t="s">
        <v>403</v>
      </c>
    </row>
    <row r="10" spans="1:6" hidden="1" x14ac:dyDescent="0.25">
      <c r="A10" t="s">
        <v>404</v>
      </c>
      <c r="B10" t="s">
        <v>256</v>
      </c>
      <c r="C10" t="s">
        <v>376</v>
      </c>
      <c r="D10" t="s">
        <v>405</v>
      </c>
      <c r="E10" t="s">
        <v>21</v>
      </c>
      <c r="F10" t="s">
        <v>406</v>
      </c>
    </row>
    <row r="11" spans="1:6" hidden="1" x14ac:dyDescent="0.25">
      <c r="A11" t="s">
        <v>407</v>
      </c>
      <c r="B11" t="s">
        <v>256</v>
      </c>
      <c r="C11" t="s">
        <v>376</v>
      </c>
      <c r="D11" t="s">
        <v>408</v>
      </c>
      <c r="E11" t="s">
        <v>21</v>
      </c>
      <c r="F11" t="s">
        <v>409</v>
      </c>
    </row>
    <row r="12" spans="1:6" hidden="1" x14ac:dyDescent="0.25">
      <c r="A12" t="s">
        <v>410</v>
      </c>
      <c r="B12" t="s">
        <v>59</v>
      </c>
      <c r="C12" t="s">
        <v>376</v>
      </c>
      <c r="D12" t="s">
        <v>411</v>
      </c>
      <c r="E12" t="s">
        <v>21</v>
      </c>
      <c r="F12" t="s">
        <v>412</v>
      </c>
    </row>
    <row r="13" spans="1:6" hidden="1" x14ac:dyDescent="0.25">
      <c r="A13" t="s">
        <v>413</v>
      </c>
      <c r="B13" t="s">
        <v>414</v>
      </c>
      <c r="C13" t="s">
        <v>376</v>
      </c>
      <c r="D13" t="s">
        <v>415</v>
      </c>
      <c r="E13" t="s">
        <v>21</v>
      </c>
      <c r="F13" t="s">
        <v>416</v>
      </c>
    </row>
    <row r="14" spans="1:6" hidden="1" x14ac:dyDescent="0.25">
      <c r="A14" t="s">
        <v>417</v>
      </c>
      <c r="B14" t="s">
        <v>68</v>
      </c>
      <c r="C14" t="s">
        <v>376</v>
      </c>
      <c r="D14" t="s">
        <v>418</v>
      </c>
      <c r="E14" t="s">
        <v>21</v>
      </c>
      <c r="F14" t="s">
        <v>419</v>
      </c>
    </row>
    <row r="15" spans="1:6" hidden="1" x14ac:dyDescent="0.25">
      <c r="A15" t="s">
        <v>420</v>
      </c>
      <c r="B15" t="s">
        <v>421</v>
      </c>
      <c r="C15" t="s">
        <v>376</v>
      </c>
      <c r="D15" t="s">
        <v>422</v>
      </c>
      <c r="E15" t="s">
        <v>21</v>
      </c>
      <c r="F15" t="s">
        <v>423</v>
      </c>
    </row>
    <row r="16" spans="1:6" hidden="1" x14ac:dyDescent="0.25">
      <c r="A16" t="s">
        <v>424</v>
      </c>
      <c r="B16" t="s">
        <v>128</v>
      </c>
      <c r="C16" t="s">
        <v>376</v>
      </c>
      <c r="D16" t="s">
        <v>425</v>
      </c>
      <c r="E16" t="s">
        <v>21</v>
      </c>
      <c r="F16" t="s">
        <v>426</v>
      </c>
    </row>
    <row r="17" spans="1:6" hidden="1" x14ac:dyDescent="0.25">
      <c r="A17" t="s">
        <v>427</v>
      </c>
      <c r="B17" t="s">
        <v>143</v>
      </c>
      <c r="C17" t="s">
        <v>376</v>
      </c>
      <c r="D17" t="s">
        <v>428</v>
      </c>
      <c r="E17" t="s">
        <v>21</v>
      </c>
      <c r="F17" t="s">
        <v>429</v>
      </c>
    </row>
    <row r="18" spans="1:6" hidden="1" x14ac:dyDescent="0.25">
      <c r="A18" t="s">
        <v>430</v>
      </c>
      <c r="B18" t="s">
        <v>245</v>
      </c>
      <c r="C18" t="s">
        <v>376</v>
      </c>
      <c r="D18" t="s">
        <v>431</v>
      </c>
      <c r="E18" t="s">
        <v>21</v>
      </c>
      <c r="F18" t="s">
        <v>432</v>
      </c>
    </row>
    <row r="19" spans="1:6" hidden="1" x14ac:dyDescent="0.25">
      <c r="A19" t="s">
        <v>433</v>
      </c>
      <c r="B19" t="s">
        <v>434</v>
      </c>
      <c r="C19" t="s">
        <v>376</v>
      </c>
      <c r="D19" t="s">
        <v>435</v>
      </c>
      <c r="E19" t="s">
        <v>21</v>
      </c>
      <c r="F19" t="s">
        <v>436</v>
      </c>
    </row>
    <row r="20" spans="1:6" hidden="1" x14ac:dyDescent="0.25">
      <c r="A20" t="s">
        <v>437</v>
      </c>
      <c r="B20" t="s">
        <v>28</v>
      </c>
      <c r="C20" t="s">
        <v>376</v>
      </c>
      <c r="D20" t="s">
        <v>438</v>
      </c>
      <c r="E20" t="s">
        <v>21</v>
      </c>
      <c r="F20" t="s">
        <v>439</v>
      </c>
    </row>
    <row r="21" spans="1:6" hidden="1" x14ac:dyDescent="0.25">
      <c r="A21" t="s">
        <v>440</v>
      </c>
      <c r="B21" t="s">
        <v>441</v>
      </c>
      <c r="C21" t="s">
        <v>384</v>
      </c>
      <c r="D21" t="s">
        <v>442</v>
      </c>
      <c r="E21" t="s">
        <v>21</v>
      </c>
      <c r="F21" t="s">
        <v>443</v>
      </c>
    </row>
    <row r="22" spans="1:6" hidden="1" x14ac:dyDescent="0.25">
      <c r="A22" t="s">
        <v>444</v>
      </c>
      <c r="B22" t="s">
        <v>28</v>
      </c>
      <c r="C22" t="s">
        <v>376</v>
      </c>
      <c r="D22" t="s">
        <v>445</v>
      </c>
      <c r="E22" t="s">
        <v>21</v>
      </c>
      <c r="F22" t="s">
        <v>446</v>
      </c>
    </row>
    <row r="23" spans="1:6" hidden="1" x14ac:dyDescent="0.25">
      <c r="A23" t="s">
        <v>447</v>
      </c>
      <c r="B23" t="s">
        <v>344</v>
      </c>
      <c r="C23" t="s">
        <v>376</v>
      </c>
      <c r="D23" t="s">
        <v>448</v>
      </c>
      <c r="E23" t="s">
        <v>21</v>
      </c>
      <c r="F23" t="s">
        <v>449</v>
      </c>
    </row>
    <row r="24" spans="1:6" hidden="1" x14ac:dyDescent="0.25">
      <c r="A24" t="s">
        <v>450</v>
      </c>
      <c r="B24" t="s">
        <v>139</v>
      </c>
      <c r="C24" t="s">
        <v>376</v>
      </c>
      <c r="D24" t="s">
        <v>451</v>
      </c>
      <c r="E24" t="s">
        <v>21</v>
      </c>
      <c r="F24" t="s">
        <v>452</v>
      </c>
    </row>
    <row r="25" spans="1:6" hidden="1" x14ac:dyDescent="0.25">
      <c r="A25" t="s">
        <v>453</v>
      </c>
      <c r="B25" t="s">
        <v>128</v>
      </c>
      <c r="C25" t="s">
        <v>376</v>
      </c>
      <c r="D25" t="s">
        <v>454</v>
      </c>
      <c r="E25" t="s">
        <v>21</v>
      </c>
      <c r="F25" t="s">
        <v>455</v>
      </c>
    </row>
    <row r="26" spans="1:6" hidden="1" x14ac:dyDescent="0.25">
      <c r="A26" t="s">
        <v>456</v>
      </c>
      <c r="B26" t="s">
        <v>457</v>
      </c>
      <c r="C26" t="s">
        <v>376</v>
      </c>
      <c r="D26" t="s">
        <v>458</v>
      </c>
      <c r="E26" t="s">
        <v>21</v>
      </c>
      <c r="F26" t="s">
        <v>459</v>
      </c>
    </row>
    <row r="27" spans="1:6" x14ac:dyDescent="0.25">
      <c r="A27" t="s">
        <v>196</v>
      </c>
      <c r="B27" t="s">
        <v>460</v>
      </c>
      <c r="C27" t="s">
        <v>461</v>
      </c>
      <c r="D27" t="s">
        <v>197</v>
      </c>
      <c r="E27" t="s">
        <v>21</v>
      </c>
      <c r="F27" t="s">
        <v>198</v>
      </c>
    </row>
    <row r="28" spans="1:6" hidden="1" x14ac:dyDescent="0.25">
      <c r="A28" t="s">
        <v>462</v>
      </c>
      <c r="B28" t="s">
        <v>256</v>
      </c>
      <c r="C28" t="s">
        <v>376</v>
      </c>
      <c r="D28" t="s">
        <v>463</v>
      </c>
      <c r="E28" t="s">
        <v>21</v>
      </c>
      <c r="F28" t="s">
        <v>464</v>
      </c>
    </row>
    <row r="29" spans="1:6" x14ac:dyDescent="0.25">
      <c r="A29" t="s">
        <v>318</v>
      </c>
      <c r="B29" t="s">
        <v>460</v>
      </c>
      <c r="C29" t="s">
        <v>461</v>
      </c>
      <c r="D29" t="s">
        <v>319</v>
      </c>
      <c r="E29" t="s">
        <v>21</v>
      </c>
      <c r="F29" t="s">
        <v>320</v>
      </c>
    </row>
    <row r="30" spans="1:6" hidden="1" x14ac:dyDescent="0.25">
      <c r="A30" t="s">
        <v>465</v>
      </c>
      <c r="B30" t="s">
        <v>272</v>
      </c>
      <c r="C30" t="s">
        <v>376</v>
      </c>
      <c r="D30" t="s">
        <v>466</v>
      </c>
      <c r="E30" t="s">
        <v>21</v>
      </c>
      <c r="F30" t="s">
        <v>467</v>
      </c>
    </row>
    <row r="31" spans="1:6" hidden="1" x14ac:dyDescent="0.25">
      <c r="A31" t="s">
        <v>468</v>
      </c>
      <c r="B31" t="s">
        <v>51</v>
      </c>
      <c r="C31" t="s">
        <v>469</v>
      </c>
      <c r="D31" t="s">
        <v>470</v>
      </c>
      <c r="E31" t="s">
        <v>21</v>
      </c>
      <c r="F31" t="s">
        <v>471</v>
      </c>
    </row>
    <row r="32" spans="1:6" hidden="1" x14ac:dyDescent="0.25">
      <c r="A32" t="s">
        <v>472</v>
      </c>
      <c r="B32" t="s">
        <v>256</v>
      </c>
      <c r="C32" t="s">
        <v>376</v>
      </c>
      <c r="D32" t="s">
        <v>473</v>
      </c>
      <c r="E32" t="s">
        <v>21</v>
      </c>
      <c r="F32" t="s">
        <v>474</v>
      </c>
    </row>
    <row r="33" spans="1:6" x14ac:dyDescent="0.25">
      <c r="A33" t="s">
        <v>475</v>
      </c>
      <c r="B33" t="s">
        <v>460</v>
      </c>
      <c r="C33" t="s">
        <v>461</v>
      </c>
      <c r="D33" t="s">
        <v>476</v>
      </c>
      <c r="E33" t="s">
        <v>21</v>
      </c>
      <c r="F33" t="s">
        <v>477</v>
      </c>
    </row>
    <row r="34" spans="1:6" hidden="1" x14ac:dyDescent="0.25">
      <c r="A34" t="s">
        <v>478</v>
      </c>
      <c r="B34" t="s">
        <v>51</v>
      </c>
      <c r="C34" t="s">
        <v>376</v>
      </c>
      <c r="D34" t="s">
        <v>479</v>
      </c>
      <c r="E34" t="s">
        <v>21</v>
      </c>
      <c r="F34" t="s">
        <v>480</v>
      </c>
    </row>
    <row r="35" spans="1:6" hidden="1" x14ac:dyDescent="0.25">
      <c r="A35" t="s">
        <v>481</v>
      </c>
      <c r="B35" t="s">
        <v>482</v>
      </c>
      <c r="C35" t="s">
        <v>376</v>
      </c>
      <c r="D35" t="s">
        <v>483</v>
      </c>
      <c r="E35" t="s">
        <v>21</v>
      </c>
      <c r="F35" t="s">
        <v>484</v>
      </c>
    </row>
    <row r="36" spans="1:6" hidden="1" x14ac:dyDescent="0.25">
      <c r="A36" t="s">
        <v>485</v>
      </c>
      <c r="B36" t="s">
        <v>68</v>
      </c>
      <c r="C36" t="s">
        <v>376</v>
      </c>
      <c r="D36" t="s">
        <v>486</v>
      </c>
      <c r="E36" t="s">
        <v>21</v>
      </c>
      <c r="F36" t="s">
        <v>487</v>
      </c>
    </row>
    <row r="37" spans="1:6" hidden="1" x14ac:dyDescent="0.25">
      <c r="A37" t="s">
        <v>488</v>
      </c>
      <c r="B37" t="s">
        <v>55</v>
      </c>
      <c r="C37" t="s">
        <v>376</v>
      </c>
      <c r="D37" t="s">
        <v>489</v>
      </c>
      <c r="E37" t="s">
        <v>21</v>
      </c>
      <c r="F37" t="s">
        <v>490</v>
      </c>
    </row>
    <row r="38" spans="1:6" hidden="1" x14ac:dyDescent="0.25">
      <c r="A38" t="s">
        <v>491</v>
      </c>
      <c r="B38" t="s">
        <v>492</v>
      </c>
      <c r="C38" t="s">
        <v>376</v>
      </c>
      <c r="D38" t="s">
        <v>493</v>
      </c>
      <c r="E38" t="s">
        <v>21</v>
      </c>
      <c r="F38" t="s">
        <v>494</v>
      </c>
    </row>
    <row r="39" spans="1:6" hidden="1" x14ac:dyDescent="0.25">
      <c r="A39" t="s">
        <v>495</v>
      </c>
      <c r="B39" t="s">
        <v>28</v>
      </c>
      <c r="C39" t="s">
        <v>376</v>
      </c>
      <c r="D39" t="s">
        <v>496</v>
      </c>
      <c r="E39" t="s">
        <v>21</v>
      </c>
      <c r="F39" t="s">
        <v>497</v>
      </c>
    </row>
    <row r="40" spans="1:6" hidden="1" x14ac:dyDescent="0.25">
      <c r="A40" t="s">
        <v>498</v>
      </c>
      <c r="B40" t="s">
        <v>499</v>
      </c>
      <c r="C40" t="s">
        <v>376</v>
      </c>
      <c r="D40" t="s">
        <v>500</v>
      </c>
      <c r="E40" t="s">
        <v>21</v>
      </c>
      <c r="F40" t="s">
        <v>501</v>
      </c>
    </row>
    <row r="41" spans="1:6" hidden="1" x14ac:dyDescent="0.25">
      <c r="A41" t="s">
        <v>502</v>
      </c>
      <c r="B41" t="s">
        <v>128</v>
      </c>
      <c r="C41" t="s">
        <v>376</v>
      </c>
      <c r="D41" t="s">
        <v>503</v>
      </c>
      <c r="E41" t="s">
        <v>21</v>
      </c>
      <c r="F41" t="s">
        <v>504</v>
      </c>
    </row>
    <row r="42" spans="1:6" hidden="1" x14ac:dyDescent="0.25">
      <c r="A42" t="s">
        <v>505</v>
      </c>
      <c r="B42" t="s">
        <v>55</v>
      </c>
      <c r="C42" t="s">
        <v>376</v>
      </c>
      <c r="D42" t="s">
        <v>506</v>
      </c>
      <c r="E42" t="s">
        <v>21</v>
      </c>
      <c r="F42" t="s">
        <v>507</v>
      </c>
    </row>
    <row r="43" spans="1:6" x14ac:dyDescent="0.25">
      <c r="A43" t="s">
        <v>508</v>
      </c>
      <c r="B43" t="s">
        <v>460</v>
      </c>
      <c r="C43" t="s">
        <v>461</v>
      </c>
      <c r="D43" t="s">
        <v>509</v>
      </c>
      <c r="E43" t="s">
        <v>21</v>
      </c>
      <c r="F43" t="s">
        <v>510</v>
      </c>
    </row>
    <row r="44" spans="1:6" hidden="1" x14ac:dyDescent="0.25">
      <c r="A44" t="s">
        <v>511</v>
      </c>
      <c r="B44" t="s">
        <v>512</v>
      </c>
      <c r="C44" t="s">
        <v>513</v>
      </c>
      <c r="D44" t="s">
        <v>514</v>
      </c>
      <c r="E44" t="s">
        <v>21</v>
      </c>
      <c r="F44" t="s">
        <v>515</v>
      </c>
    </row>
    <row r="45" spans="1:6" hidden="1" x14ac:dyDescent="0.25">
      <c r="A45" t="s">
        <v>516</v>
      </c>
      <c r="B45" t="s">
        <v>124</v>
      </c>
      <c r="C45" t="s">
        <v>376</v>
      </c>
      <c r="D45" t="s">
        <v>517</v>
      </c>
      <c r="E45" t="s">
        <v>21</v>
      </c>
      <c r="F45" t="s">
        <v>518</v>
      </c>
    </row>
    <row r="46" spans="1:6" hidden="1" x14ac:dyDescent="0.25">
      <c r="A46" t="s">
        <v>519</v>
      </c>
      <c r="B46" t="s">
        <v>421</v>
      </c>
      <c r="C46" t="s">
        <v>376</v>
      </c>
      <c r="D46" t="s">
        <v>520</v>
      </c>
      <c r="E46" t="s">
        <v>21</v>
      </c>
      <c r="F46" t="s">
        <v>521</v>
      </c>
    </row>
    <row r="47" spans="1:6" hidden="1" x14ac:dyDescent="0.25">
      <c r="A47" t="s">
        <v>522</v>
      </c>
      <c r="B47" t="s">
        <v>245</v>
      </c>
      <c r="C47" t="s">
        <v>376</v>
      </c>
      <c r="D47" t="s">
        <v>523</v>
      </c>
      <c r="E47" t="s">
        <v>21</v>
      </c>
      <c r="F47" t="s">
        <v>524</v>
      </c>
    </row>
    <row r="48" spans="1:6" hidden="1" x14ac:dyDescent="0.25">
      <c r="A48" t="s">
        <v>525</v>
      </c>
      <c r="B48" t="s">
        <v>55</v>
      </c>
      <c r="C48" t="s">
        <v>376</v>
      </c>
      <c r="D48" t="s">
        <v>526</v>
      </c>
      <c r="E48" t="s">
        <v>21</v>
      </c>
      <c r="F48" t="s">
        <v>527</v>
      </c>
    </row>
    <row r="49" spans="1:6" hidden="1" x14ac:dyDescent="0.25">
      <c r="A49" t="s">
        <v>528</v>
      </c>
      <c r="B49" t="s">
        <v>529</v>
      </c>
      <c r="C49" t="s">
        <v>376</v>
      </c>
      <c r="D49" t="s">
        <v>530</v>
      </c>
      <c r="E49" t="s">
        <v>21</v>
      </c>
      <c r="F49" t="s">
        <v>531</v>
      </c>
    </row>
    <row r="50" spans="1:6" hidden="1" x14ac:dyDescent="0.25">
      <c r="A50" t="s">
        <v>532</v>
      </c>
      <c r="B50" t="s">
        <v>64</v>
      </c>
      <c r="C50" t="s">
        <v>376</v>
      </c>
      <c r="D50" t="s">
        <v>533</v>
      </c>
      <c r="E50" t="s">
        <v>21</v>
      </c>
      <c r="F50" t="s">
        <v>534</v>
      </c>
    </row>
    <row r="51" spans="1:6" hidden="1" x14ac:dyDescent="0.25">
      <c r="A51" t="s">
        <v>535</v>
      </c>
      <c r="B51" t="s">
        <v>59</v>
      </c>
      <c r="C51" t="s">
        <v>376</v>
      </c>
      <c r="D51" t="s">
        <v>536</v>
      </c>
      <c r="E51" t="s">
        <v>21</v>
      </c>
      <c r="F51" t="s">
        <v>537</v>
      </c>
    </row>
    <row r="52" spans="1:6" hidden="1" x14ac:dyDescent="0.25">
      <c r="A52" t="s">
        <v>538</v>
      </c>
      <c r="B52" t="s">
        <v>51</v>
      </c>
      <c r="C52" t="s">
        <v>376</v>
      </c>
      <c r="D52" t="s">
        <v>539</v>
      </c>
      <c r="E52" t="s">
        <v>21</v>
      </c>
      <c r="F52" t="s">
        <v>540</v>
      </c>
    </row>
    <row r="53" spans="1:6" hidden="1" x14ac:dyDescent="0.25">
      <c r="A53" t="s">
        <v>541</v>
      </c>
      <c r="B53" t="s">
        <v>245</v>
      </c>
      <c r="C53" t="s">
        <v>376</v>
      </c>
      <c r="D53" t="s">
        <v>542</v>
      </c>
      <c r="E53" t="s">
        <v>21</v>
      </c>
      <c r="F53" t="s">
        <v>543</v>
      </c>
    </row>
    <row r="54" spans="1:6" hidden="1" x14ac:dyDescent="0.25">
      <c r="A54" t="s">
        <v>544</v>
      </c>
      <c r="B54" t="s">
        <v>344</v>
      </c>
      <c r="C54" t="s">
        <v>376</v>
      </c>
      <c r="D54" t="s">
        <v>545</v>
      </c>
      <c r="E54" t="s">
        <v>21</v>
      </c>
      <c r="F54" t="s">
        <v>546</v>
      </c>
    </row>
    <row r="55" spans="1:6" hidden="1" x14ac:dyDescent="0.25">
      <c r="A55" t="s">
        <v>547</v>
      </c>
      <c r="B55" t="s">
        <v>78</v>
      </c>
      <c r="C55" t="s">
        <v>376</v>
      </c>
      <c r="D55" t="s">
        <v>548</v>
      </c>
      <c r="E55" t="s">
        <v>21</v>
      </c>
      <c r="F55" t="s">
        <v>549</v>
      </c>
    </row>
    <row r="56" spans="1:6" hidden="1" x14ac:dyDescent="0.25">
      <c r="A56" t="s">
        <v>550</v>
      </c>
      <c r="B56" t="s">
        <v>139</v>
      </c>
      <c r="C56" t="s">
        <v>376</v>
      </c>
      <c r="D56" t="s">
        <v>551</v>
      </c>
      <c r="E56" t="s">
        <v>21</v>
      </c>
      <c r="F56" t="s">
        <v>552</v>
      </c>
    </row>
    <row r="57" spans="1:6" hidden="1" x14ac:dyDescent="0.25">
      <c r="A57" t="s">
        <v>553</v>
      </c>
      <c r="B57" t="s">
        <v>512</v>
      </c>
      <c r="C57" t="s">
        <v>554</v>
      </c>
      <c r="D57" t="s">
        <v>555</v>
      </c>
      <c r="E57" t="s">
        <v>21</v>
      </c>
      <c r="F57" t="s">
        <v>556</v>
      </c>
    </row>
    <row r="58" spans="1:6" hidden="1" x14ac:dyDescent="0.25">
      <c r="A58" t="s">
        <v>557</v>
      </c>
      <c r="B58" t="s">
        <v>15</v>
      </c>
      <c r="C58" t="s">
        <v>376</v>
      </c>
      <c r="D58" t="s">
        <v>558</v>
      </c>
      <c r="E58" t="s">
        <v>21</v>
      </c>
      <c r="F58" t="s">
        <v>559</v>
      </c>
    </row>
    <row r="59" spans="1:6" x14ac:dyDescent="0.25">
      <c r="A59" t="s">
        <v>560</v>
      </c>
      <c r="B59" t="s">
        <v>460</v>
      </c>
      <c r="C59" t="s">
        <v>461</v>
      </c>
      <c r="D59" t="s">
        <v>561</v>
      </c>
      <c r="E59" t="s">
        <v>21</v>
      </c>
      <c r="F59" t="s">
        <v>562</v>
      </c>
    </row>
    <row r="60" spans="1:6" hidden="1" x14ac:dyDescent="0.25">
      <c r="A60" t="s">
        <v>563</v>
      </c>
      <c r="B60" t="s">
        <v>421</v>
      </c>
      <c r="C60" t="s">
        <v>376</v>
      </c>
      <c r="D60" t="s">
        <v>564</v>
      </c>
      <c r="E60" t="s">
        <v>21</v>
      </c>
      <c r="F60" t="s">
        <v>565</v>
      </c>
    </row>
    <row r="61" spans="1:6" hidden="1" x14ac:dyDescent="0.25">
      <c r="A61" t="s">
        <v>566</v>
      </c>
      <c r="B61" t="s">
        <v>256</v>
      </c>
      <c r="C61" t="s">
        <v>376</v>
      </c>
      <c r="D61" t="s">
        <v>567</v>
      </c>
      <c r="E61" t="s">
        <v>21</v>
      </c>
      <c r="F61" t="s">
        <v>568</v>
      </c>
    </row>
    <row r="62" spans="1:6" hidden="1" x14ac:dyDescent="0.25">
      <c r="A62" t="s">
        <v>569</v>
      </c>
      <c r="B62" t="s">
        <v>128</v>
      </c>
      <c r="C62" t="s">
        <v>376</v>
      </c>
      <c r="D62" t="s">
        <v>570</v>
      </c>
      <c r="E62" t="s">
        <v>21</v>
      </c>
      <c r="F62" t="s">
        <v>571</v>
      </c>
    </row>
    <row r="63" spans="1:6" hidden="1" x14ac:dyDescent="0.25">
      <c r="A63" t="s">
        <v>572</v>
      </c>
      <c r="B63" t="s">
        <v>55</v>
      </c>
      <c r="C63" t="s">
        <v>376</v>
      </c>
      <c r="D63" t="s">
        <v>573</v>
      </c>
      <c r="E63" t="s">
        <v>21</v>
      </c>
      <c r="F63" t="s">
        <v>574</v>
      </c>
    </row>
    <row r="64" spans="1:6" hidden="1" x14ac:dyDescent="0.25">
      <c r="A64" t="s">
        <v>575</v>
      </c>
      <c r="B64" t="s">
        <v>512</v>
      </c>
      <c r="C64" t="s">
        <v>554</v>
      </c>
      <c r="D64" t="s">
        <v>576</v>
      </c>
      <c r="E64" t="s">
        <v>21</v>
      </c>
      <c r="F64" t="s">
        <v>577</v>
      </c>
    </row>
    <row r="65" spans="1:6" hidden="1" x14ac:dyDescent="0.25">
      <c r="A65" t="s">
        <v>578</v>
      </c>
      <c r="B65" t="s">
        <v>256</v>
      </c>
      <c r="C65" t="s">
        <v>376</v>
      </c>
      <c r="D65" t="s">
        <v>579</v>
      </c>
      <c r="E65" t="s">
        <v>21</v>
      </c>
      <c r="F65" t="s">
        <v>580</v>
      </c>
    </row>
    <row r="66" spans="1:6" hidden="1" x14ac:dyDescent="0.25">
      <c r="A66" t="s">
        <v>581</v>
      </c>
      <c r="B66" t="s">
        <v>15</v>
      </c>
      <c r="C66" t="s">
        <v>376</v>
      </c>
      <c r="D66" t="s">
        <v>582</v>
      </c>
      <c r="E66" t="s">
        <v>21</v>
      </c>
      <c r="F66" t="s">
        <v>583</v>
      </c>
    </row>
    <row r="67" spans="1:6" hidden="1" x14ac:dyDescent="0.25">
      <c r="A67" t="s">
        <v>584</v>
      </c>
      <c r="B67" t="s">
        <v>162</v>
      </c>
      <c r="C67" t="s">
        <v>376</v>
      </c>
      <c r="D67" t="s">
        <v>585</v>
      </c>
      <c r="E67" t="s">
        <v>21</v>
      </c>
      <c r="F67" t="s">
        <v>586</v>
      </c>
    </row>
    <row r="68" spans="1:6" hidden="1" x14ac:dyDescent="0.25">
      <c r="A68" t="s">
        <v>587</v>
      </c>
      <c r="B68" t="s">
        <v>28</v>
      </c>
      <c r="C68" t="s">
        <v>376</v>
      </c>
      <c r="D68" t="s">
        <v>588</v>
      </c>
      <c r="E68" t="s">
        <v>21</v>
      </c>
      <c r="F68" t="s">
        <v>589</v>
      </c>
    </row>
    <row r="69" spans="1:6" hidden="1" x14ac:dyDescent="0.25">
      <c r="A69" t="s">
        <v>590</v>
      </c>
      <c r="B69" t="s">
        <v>591</v>
      </c>
      <c r="C69" t="s">
        <v>592</v>
      </c>
      <c r="D69" t="s">
        <v>593</v>
      </c>
      <c r="E69" t="s">
        <v>21</v>
      </c>
      <c r="F69" t="s">
        <v>594</v>
      </c>
    </row>
    <row r="70" spans="1:6" hidden="1" x14ac:dyDescent="0.25">
      <c r="A70" t="s">
        <v>595</v>
      </c>
      <c r="B70" t="s">
        <v>68</v>
      </c>
      <c r="C70" t="s">
        <v>376</v>
      </c>
      <c r="D70" t="s">
        <v>596</v>
      </c>
      <c r="E70" t="s">
        <v>21</v>
      </c>
      <c r="F70" t="s">
        <v>597</v>
      </c>
    </row>
    <row r="71" spans="1:6" hidden="1" x14ac:dyDescent="0.25">
      <c r="A71" t="s">
        <v>598</v>
      </c>
      <c r="B71" t="s">
        <v>139</v>
      </c>
      <c r="C71" t="s">
        <v>376</v>
      </c>
      <c r="D71" t="s">
        <v>599</v>
      </c>
      <c r="E71" t="s">
        <v>21</v>
      </c>
      <c r="F71" t="s">
        <v>600</v>
      </c>
    </row>
    <row r="72" spans="1:6" hidden="1" x14ac:dyDescent="0.25">
      <c r="A72" t="s">
        <v>366</v>
      </c>
      <c r="B72" t="s">
        <v>39</v>
      </c>
      <c r="C72" t="s">
        <v>376</v>
      </c>
      <c r="D72" t="s">
        <v>601</v>
      </c>
      <c r="E72" t="s">
        <v>21</v>
      </c>
      <c r="F72" t="s">
        <v>602</v>
      </c>
    </row>
    <row r="73" spans="1:6" hidden="1" x14ac:dyDescent="0.25">
      <c r="A73" t="s">
        <v>603</v>
      </c>
      <c r="B73" t="s">
        <v>15</v>
      </c>
      <c r="C73" t="s">
        <v>376</v>
      </c>
      <c r="D73" t="s">
        <v>604</v>
      </c>
      <c r="E73" t="s">
        <v>21</v>
      </c>
      <c r="F73" t="s">
        <v>605</v>
      </c>
    </row>
    <row r="74" spans="1:6" hidden="1" x14ac:dyDescent="0.25">
      <c r="A74" t="s">
        <v>606</v>
      </c>
      <c r="B74" t="s">
        <v>124</v>
      </c>
      <c r="C74" t="s">
        <v>376</v>
      </c>
      <c r="D74" t="s">
        <v>607</v>
      </c>
      <c r="E74" t="s">
        <v>21</v>
      </c>
      <c r="F74" t="s">
        <v>608</v>
      </c>
    </row>
    <row r="75" spans="1:6" hidden="1" x14ac:dyDescent="0.25">
      <c r="A75" t="s">
        <v>360</v>
      </c>
      <c r="B75" t="s">
        <v>609</v>
      </c>
      <c r="C75" t="s">
        <v>376</v>
      </c>
      <c r="D75" t="s">
        <v>610</v>
      </c>
      <c r="E75" t="s">
        <v>21</v>
      </c>
      <c r="F75" t="s">
        <v>611</v>
      </c>
    </row>
    <row r="76" spans="1:6" hidden="1" x14ac:dyDescent="0.25">
      <c r="A76" t="s">
        <v>612</v>
      </c>
      <c r="B76" t="s">
        <v>55</v>
      </c>
      <c r="C76" t="s">
        <v>376</v>
      </c>
      <c r="D76" t="s">
        <v>613</v>
      </c>
      <c r="E76" t="s">
        <v>21</v>
      </c>
      <c r="F76" t="s">
        <v>614</v>
      </c>
    </row>
    <row r="77" spans="1:6" hidden="1" x14ac:dyDescent="0.25">
      <c r="A77" t="s">
        <v>615</v>
      </c>
      <c r="B77" t="s">
        <v>51</v>
      </c>
      <c r="C77" t="s">
        <v>376</v>
      </c>
      <c r="D77" t="s">
        <v>616</v>
      </c>
      <c r="E77" t="s">
        <v>21</v>
      </c>
      <c r="F77" t="s">
        <v>617</v>
      </c>
    </row>
    <row r="78" spans="1:6" hidden="1" x14ac:dyDescent="0.25">
      <c r="A78" t="s">
        <v>618</v>
      </c>
      <c r="B78" t="s">
        <v>619</v>
      </c>
      <c r="C78" t="s">
        <v>376</v>
      </c>
      <c r="D78" t="s">
        <v>620</v>
      </c>
      <c r="E78" t="s">
        <v>21</v>
      </c>
      <c r="F78" t="s">
        <v>621</v>
      </c>
    </row>
    <row r="79" spans="1:6" hidden="1" x14ac:dyDescent="0.25">
      <c r="A79" t="s">
        <v>622</v>
      </c>
      <c r="B79" t="s">
        <v>492</v>
      </c>
      <c r="C79" t="s">
        <v>376</v>
      </c>
      <c r="D79" t="s">
        <v>623</v>
      </c>
      <c r="E79" t="s">
        <v>21</v>
      </c>
      <c r="F79" t="s">
        <v>624</v>
      </c>
    </row>
    <row r="80" spans="1:6" hidden="1" x14ac:dyDescent="0.25">
      <c r="A80" t="s">
        <v>625</v>
      </c>
      <c r="B80" t="s">
        <v>626</v>
      </c>
      <c r="C80" t="s">
        <v>627</v>
      </c>
      <c r="D80" t="s">
        <v>628</v>
      </c>
      <c r="E80" t="s">
        <v>21</v>
      </c>
      <c r="F80" t="s">
        <v>629</v>
      </c>
    </row>
    <row r="81" spans="1:6" hidden="1" x14ac:dyDescent="0.25">
      <c r="A81" t="s">
        <v>630</v>
      </c>
      <c r="B81" t="s">
        <v>124</v>
      </c>
      <c r="C81" t="s">
        <v>376</v>
      </c>
      <c r="D81" t="s">
        <v>631</v>
      </c>
      <c r="E81" t="s">
        <v>21</v>
      </c>
      <c r="F81" t="s">
        <v>632</v>
      </c>
    </row>
    <row r="82" spans="1:6" hidden="1" x14ac:dyDescent="0.25">
      <c r="A82" t="s">
        <v>633</v>
      </c>
      <c r="B82" t="s">
        <v>634</v>
      </c>
      <c r="C82" t="s">
        <v>376</v>
      </c>
      <c r="D82" t="s">
        <v>635</v>
      </c>
      <c r="E82" t="s">
        <v>21</v>
      </c>
      <c r="F82" t="s">
        <v>636</v>
      </c>
    </row>
    <row r="83" spans="1:6" hidden="1" x14ac:dyDescent="0.25">
      <c r="A83" t="s">
        <v>637</v>
      </c>
      <c r="B83" t="s">
        <v>51</v>
      </c>
      <c r="C83" t="s">
        <v>376</v>
      </c>
      <c r="D83" t="s">
        <v>638</v>
      </c>
      <c r="E83" t="s">
        <v>21</v>
      </c>
      <c r="F83" t="s">
        <v>639</v>
      </c>
    </row>
    <row r="84" spans="1:6" hidden="1" x14ac:dyDescent="0.25">
      <c r="A84" t="s">
        <v>640</v>
      </c>
      <c r="B84" t="s">
        <v>421</v>
      </c>
      <c r="C84" t="s">
        <v>376</v>
      </c>
      <c r="D84" t="s">
        <v>641</v>
      </c>
      <c r="E84" t="s">
        <v>21</v>
      </c>
      <c r="F84" t="s">
        <v>642</v>
      </c>
    </row>
    <row r="85" spans="1:6" hidden="1" x14ac:dyDescent="0.25">
      <c r="A85" t="s">
        <v>643</v>
      </c>
      <c r="B85" t="s">
        <v>634</v>
      </c>
      <c r="C85" t="s">
        <v>376</v>
      </c>
      <c r="D85" t="s">
        <v>644</v>
      </c>
      <c r="E85" t="s">
        <v>21</v>
      </c>
      <c r="F85" t="s">
        <v>645</v>
      </c>
    </row>
    <row r="86" spans="1:6" hidden="1" x14ac:dyDescent="0.25">
      <c r="A86" t="s">
        <v>646</v>
      </c>
      <c r="B86" t="s">
        <v>647</v>
      </c>
      <c r="C86" t="s">
        <v>376</v>
      </c>
      <c r="D86" t="s">
        <v>648</v>
      </c>
      <c r="E86" t="s">
        <v>21</v>
      </c>
      <c r="F86" t="s">
        <v>649</v>
      </c>
    </row>
    <row r="87" spans="1:6" hidden="1" x14ac:dyDescent="0.25">
      <c r="A87" t="s">
        <v>650</v>
      </c>
      <c r="B87" t="s">
        <v>55</v>
      </c>
      <c r="C87" t="s">
        <v>376</v>
      </c>
      <c r="D87" t="s">
        <v>651</v>
      </c>
      <c r="E87" t="s">
        <v>21</v>
      </c>
      <c r="F87" t="s">
        <v>652</v>
      </c>
    </row>
    <row r="88" spans="1:6" hidden="1" x14ac:dyDescent="0.25">
      <c r="A88" t="s">
        <v>653</v>
      </c>
      <c r="B88" t="s">
        <v>421</v>
      </c>
      <c r="C88" t="s">
        <v>376</v>
      </c>
      <c r="D88" t="s">
        <v>654</v>
      </c>
      <c r="E88" t="s">
        <v>21</v>
      </c>
      <c r="F88" t="s">
        <v>655</v>
      </c>
    </row>
    <row r="89" spans="1:6" hidden="1" x14ac:dyDescent="0.25">
      <c r="A89" t="s">
        <v>656</v>
      </c>
      <c r="B89" t="s">
        <v>383</v>
      </c>
      <c r="C89" t="s">
        <v>384</v>
      </c>
      <c r="D89" t="s">
        <v>657</v>
      </c>
      <c r="E89" t="s">
        <v>21</v>
      </c>
      <c r="F89" t="s">
        <v>658</v>
      </c>
    </row>
    <row r="90" spans="1:6" hidden="1" x14ac:dyDescent="0.25">
      <c r="A90" t="s">
        <v>116</v>
      </c>
      <c r="B90" t="s">
        <v>139</v>
      </c>
      <c r="C90" t="s">
        <v>376</v>
      </c>
      <c r="D90" t="s">
        <v>117</v>
      </c>
      <c r="E90" t="s">
        <v>21</v>
      </c>
      <c r="F90" t="s">
        <v>118</v>
      </c>
    </row>
    <row r="91" spans="1:6" hidden="1" x14ac:dyDescent="0.25">
      <c r="A91" t="s">
        <v>659</v>
      </c>
      <c r="B91" t="s">
        <v>139</v>
      </c>
      <c r="C91" t="s">
        <v>376</v>
      </c>
      <c r="D91" t="s">
        <v>660</v>
      </c>
      <c r="E91" t="s">
        <v>21</v>
      </c>
      <c r="F91" t="s">
        <v>661</v>
      </c>
    </row>
    <row r="92" spans="1:6" hidden="1" x14ac:dyDescent="0.25">
      <c r="A92" t="s">
        <v>662</v>
      </c>
      <c r="B92" t="s">
        <v>132</v>
      </c>
      <c r="C92" t="s">
        <v>376</v>
      </c>
      <c r="D92" t="s">
        <v>663</v>
      </c>
      <c r="E92" t="s">
        <v>21</v>
      </c>
      <c r="F92" t="s">
        <v>664</v>
      </c>
    </row>
    <row r="93" spans="1:6" hidden="1" x14ac:dyDescent="0.25">
      <c r="A93" t="s">
        <v>665</v>
      </c>
      <c r="B93" t="s">
        <v>434</v>
      </c>
      <c r="C93" t="s">
        <v>666</v>
      </c>
      <c r="D93" t="s">
        <v>667</v>
      </c>
      <c r="E93" t="s">
        <v>21</v>
      </c>
      <c r="F93" t="s">
        <v>668</v>
      </c>
    </row>
    <row r="94" spans="1:6" hidden="1" x14ac:dyDescent="0.25">
      <c r="A94" t="s">
        <v>669</v>
      </c>
      <c r="B94" t="s">
        <v>51</v>
      </c>
      <c r="C94" t="s">
        <v>376</v>
      </c>
      <c r="D94" t="s">
        <v>670</v>
      </c>
      <c r="E94" t="s">
        <v>21</v>
      </c>
      <c r="F94" t="s">
        <v>671</v>
      </c>
    </row>
    <row r="95" spans="1:6" hidden="1" x14ac:dyDescent="0.25">
      <c r="A95" t="s">
        <v>672</v>
      </c>
      <c r="B95" t="s">
        <v>492</v>
      </c>
      <c r="C95" t="s">
        <v>376</v>
      </c>
      <c r="D95" t="s">
        <v>673</v>
      </c>
      <c r="E95" t="s">
        <v>21</v>
      </c>
      <c r="F95" t="s">
        <v>674</v>
      </c>
    </row>
    <row r="96" spans="1:6" hidden="1" x14ac:dyDescent="0.25">
      <c r="A96" t="s">
        <v>675</v>
      </c>
      <c r="B96" t="s">
        <v>132</v>
      </c>
      <c r="C96" t="s">
        <v>376</v>
      </c>
      <c r="D96" t="s">
        <v>676</v>
      </c>
      <c r="E96" t="s">
        <v>21</v>
      </c>
      <c r="F96" t="s">
        <v>677</v>
      </c>
    </row>
    <row r="97" spans="1:6" hidden="1" x14ac:dyDescent="0.25">
      <c r="A97" t="s">
        <v>678</v>
      </c>
      <c r="B97" t="s">
        <v>512</v>
      </c>
      <c r="C97" t="s">
        <v>679</v>
      </c>
      <c r="D97" t="s">
        <v>680</v>
      </c>
      <c r="E97" t="s">
        <v>21</v>
      </c>
      <c r="F97" t="s">
        <v>4296</v>
      </c>
    </row>
    <row r="98" spans="1:6" hidden="1" x14ac:dyDescent="0.25">
      <c r="A98" t="s">
        <v>681</v>
      </c>
      <c r="B98" t="s">
        <v>55</v>
      </c>
      <c r="C98" t="s">
        <v>376</v>
      </c>
      <c r="D98" t="s">
        <v>682</v>
      </c>
      <c r="E98" t="s">
        <v>21</v>
      </c>
      <c r="F98" t="s">
        <v>683</v>
      </c>
    </row>
    <row r="99" spans="1:6" hidden="1" x14ac:dyDescent="0.25">
      <c r="A99" t="s">
        <v>684</v>
      </c>
      <c r="B99" t="s">
        <v>59</v>
      </c>
      <c r="C99" t="s">
        <v>376</v>
      </c>
      <c r="D99" t="s">
        <v>685</v>
      </c>
      <c r="E99" t="s">
        <v>21</v>
      </c>
      <c r="F99" t="s">
        <v>686</v>
      </c>
    </row>
    <row r="100" spans="1:6" hidden="1" x14ac:dyDescent="0.25">
      <c r="A100" t="s">
        <v>76</v>
      </c>
      <c r="B100" t="s">
        <v>78</v>
      </c>
      <c r="C100" t="s">
        <v>376</v>
      </c>
      <c r="D100" t="s">
        <v>687</v>
      </c>
      <c r="E100" t="s">
        <v>21</v>
      </c>
      <c r="F100" t="s">
        <v>79</v>
      </c>
    </row>
    <row r="101" spans="1:6" hidden="1" x14ac:dyDescent="0.25">
      <c r="A101" t="s">
        <v>688</v>
      </c>
      <c r="B101" t="s">
        <v>143</v>
      </c>
      <c r="C101" t="s">
        <v>376</v>
      </c>
      <c r="D101" t="s">
        <v>689</v>
      </c>
      <c r="E101" t="s">
        <v>21</v>
      </c>
      <c r="F101" t="s">
        <v>690</v>
      </c>
    </row>
    <row r="102" spans="1:6" hidden="1" x14ac:dyDescent="0.25">
      <c r="A102" t="s">
        <v>691</v>
      </c>
      <c r="B102" t="s">
        <v>512</v>
      </c>
      <c r="C102" t="s">
        <v>512</v>
      </c>
      <c r="D102" t="s">
        <v>692</v>
      </c>
      <c r="E102" t="s">
        <v>21</v>
      </c>
      <c r="F102" t="s">
        <v>693</v>
      </c>
    </row>
    <row r="103" spans="1:6" hidden="1" x14ac:dyDescent="0.25">
      <c r="A103" t="s">
        <v>694</v>
      </c>
      <c r="B103" t="s">
        <v>609</v>
      </c>
      <c r="C103" t="s">
        <v>376</v>
      </c>
      <c r="D103" t="s">
        <v>695</v>
      </c>
      <c r="E103" t="s">
        <v>21</v>
      </c>
      <c r="F103" t="s">
        <v>696</v>
      </c>
    </row>
    <row r="104" spans="1:6" hidden="1" x14ac:dyDescent="0.25">
      <c r="A104" t="s">
        <v>113</v>
      </c>
      <c r="B104" t="s">
        <v>51</v>
      </c>
      <c r="C104" t="s">
        <v>376</v>
      </c>
      <c r="D104" t="s">
        <v>114</v>
      </c>
      <c r="E104" t="s">
        <v>21</v>
      </c>
      <c r="F104" t="s">
        <v>115</v>
      </c>
    </row>
    <row r="105" spans="1:6" hidden="1" x14ac:dyDescent="0.25">
      <c r="A105" t="s">
        <v>697</v>
      </c>
      <c r="B105" t="s">
        <v>634</v>
      </c>
      <c r="C105" t="s">
        <v>376</v>
      </c>
      <c r="D105" t="s">
        <v>698</v>
      </c>
      <c r="E105" t="s">
        <v>21</v>
      </c>
      <c r="F105" t="s">
        <v>699</v>
      </c>
    </row>
    <row r="106" spans="1:6" hidden="1" x14ac:dyDescent="0.25">
      <c r="A106" t="s">
        <v>700</v>
      </c>
      <c r="B106" t="s">
        <v>701</v>
      </c>
      <c r="C106" t="s">
        <v>376</v>
      </c>
      <c r="D106" t="s">
        <v>702</v>
      </c>
      <c r="E106" t="s">
        <v>21</v>
      </c>
      <c r="F106" t="s">
        <v>703</v>
      </c>
    </row>
    <row r="107" spans="1:6" hidden="1" x14ac:dyDescent="0.25">
      <c r="A107" t="s">
        <v>704</v>
      </c>
      <c r="B107" t="s">
        <v>619</v>
      </c>
      <c r="C107" t="s">
        <v>376</v>
      </c>
      <c r="D107" t="s">
        <v>705</v>
      </c>
      <c r="E107" t="s">
        <v>21</v>
      </c>
      <c r="F107" t="s">
        <v>706</v>
      </c>
    </row>
    <row r="108" spans="1:6" hidden="1" x14ac:dyDescent="0.25">
      <c r="A108" t="s">
        <v>707</v>
      </c>
      <c r="B108" t="s">
        <v>708</v>
      </c>
      <c r="C108" t="s">
        <v>376</v>
      </c>
      <c r="D108" t="s">
        <v>709</v>
      </c>
      <c r="E108" t="s">
        <v>21</v>
      </c>
      <c r="F108" t="s">
        <v>710</v>
      </c>
    </row>
    <row r="109" spans="1:6" hidden="1" x14ac:dyDescent="0.25">
      <c r="A109" t="s">
        <v>367</v>
      </c>
      <c r="B109" t="s">
        <v>64</v>
      </c>
      <c r="C109" t="s">
        <v>376</v>
      </c>
      <c r="D109" t="s">
        <v>711</v>
      </c>
      <c r="E109" t="s">
        <v>21</v>
      </c>
      <c r="F109" t="s">
        <v>712</v>
      </c>
    </row>
    <row r="110" spans="1:6" x14ac:dyDescent="0.25">
      <c r="A110" t="s">
        <v>713</v>
      </c>
      <c r="B110" t="s">
        <v>460</v>
      </c>
      <c r="C110" t="s">
        <v>461</v>
      </c>
      <c r="D110" t="s">
        <v>714</v>
      </c>
      <c r="E110" t="s">
        <v>21</v>
      </c>
      <c r="F110" t="s">
        <v>715</v>
      </c>
    </row>
    <row r="111" spans="1:6" hidden="1" x14ac:dyDescent="0.25">
      <c r="A111" t="s">
        <v>716</v>
      </c>
      <c r="B111" t="s">
        <v>139</v>
      </c>
      <c r="C111" t="s">
        <v>469</v>
      </c>
      <c r="D111" t="s">
        <v>717</v>
      </c>
      <c r="E111" t="s">
        <v>21</v>
      </c>
      <c r="F111" t="s">
        <v>718</v>
      </c>
    </row>
    <row r="112" spans="1:6" hidden="1" x14ac:dyDescent="0.25">
      <c r="A112" t="s">
        <v>719</v>
      </c>
      <c r="B112" t="s">
        <v>482</v>
      </c>
      <c r="C112" t="s">
        <v>376</v>
      </c>
      <c r="D112" t="s">
        <v>720</v>
      </c>
      <c r="E112" t="s">
        <v>21</v>
      </c>
      <c r="F112" t="s">
        <v>721</v>
      </c>
    </row>
    <row r="113" spans="1:6" hidden="1" x14ac:dyDescent="0.25">
      <c r="A113" t="s">
        <v>722</v>
      </c>
      <c r="B113" t="s">
        <v>15</v>
      </c>
      <c r="C113" t="s">
        <v>376</v>
      </c>
      <c r="D113" t="s">
        <v>723</v>
      </c>
      <c r="E113" t="s">
        <v>21</v>
      </c>
      <c r="F113" t="s">
        <v>724</v>
      </c>
    </row>
    <row r="114" spans="1:6" hidden="1" x14ac:dyDescent="0.25">
      <c r="A114" t="s">
        <v>725</v>
      </c>
      <c r="B114" t="s">
        <v>272</v>
      </c>
      <c r="C114" t="s">
        <v>376</v>
      </c>
      <c r="D114" t="s">
        <v>726</v>
      </c>
      <c r="E114" t="s">
        <v>21</v>
      </c>
      <c r="F114" t="s">
        <v>727</v>
      </c>
    </row>
    <row r="115" spans="1:6" hidden="1" x14ac:dyDescent="0.25">
      <c r="A115" t="s">
        <v>728</v>
      </c>
      <c r="B115" t="s">
        <v>256</v>
      </c>
      <c r="C115" t="s">
        <v>376</v>
      </c>
      <c r="D115" t="s">
        <v>729</v>
      </c>
      <c r="E115" t="s">
        <v>21</v>
      </c>
      <c r="F115" t="s">
        <v>730</v>
      </c>
    </row>
    <row r="116" spans="1:6" hidden="1" x14ac:dyDescent="0.25">
      <c r="A116" t="s">
        <v>731</v>
      </c>
      <c r="B116" t="s">
        <v>128</v>
      </c>
      <c r="C116" t="s">
        <v>376</v>
      </c>
      <c r="D116" t="s">
        <v>732</v>
      </c>
      <c r="E116" t="s">
        <v>21</v>
      </c>
      <c r="F116" t="s">
        <v>733</v>
      </c>
    </row>
    <row r="117" spans="1:6" hidden="1" x14ac:dyDescent="0.25">
      <c r="A117" t="s">
        <v>734</v>
      </c>
      <c r="B117" t="s">
        <v>272</v>
      </c>
      <c r="C117" t="s">
        <v>376</v>
      </c>
      <c r="D117" t="s">
        <v>735</v>
      </c>
      <c r="E117" t="s">
        <v>21</v>
      </c>
      <c r="F117" t="s">
        <v>736</v>
      </c>
    </row>
    <row r="118" spans="1:6" hidden="1" x14ac:dyDescent="0.25">
      <c r="A118" t="s">
        <v>737</v>
      </c>
      <c r="B118" t="s">
        <v>256</v>
      </c>
      <c r="C118" t="s">
        <v>376</v>
      </c>
      <c r="D118" t="s">
        <v>738</v>
      </c>
      <c r="E118" t="s">
        <v>21</v>
      </c>
      <c r="F118" t="s">
        <v>739</v>
      </c>
    </row>
    <row r="119" spans="1:6" hidden="1" x14ac:dyDescent="0.25">
      <c r="A119" t="s">
        <v>740</v>
      </c>
      <c r="B119" t="s">
        <v>128</v>
      </c>
      <c r="C119" t="s">
        <v>376</v>
      </c>
      <c r="D119" t="s">
        <v>741</v>
      </c>
      <c r="E119" t="s">
        <v>21</v>
      </c>
      <c r="F119" t="s">
        <v>742</v>
      </c>
    </row>
    <row r="120" spans="1:6" hidden="1" x14ac:dyDescent="0.25">
      <c r="A120" t="s">
        <v>243</v>
      </c>
      <c r="B120" t="s">
        <v>245</v>
      </c>
      <c r="C120" t="s">
        <v>376</v>
      </c>
      <c r="D120" t="s">
        <v>244</v>
      </c>
      <c r="E120" t="s">
        <v>21</v>
      </c>
      <c r="F120" t="s">
        <v>248</v>
      </c>
    </row>
    <row r="121" spans="1:6" hidden="1" x14ac:dyDescent="0.25">
      <c r="A121" t="s">
        <v>350</v>
      </c>
      <c r="B121" t="s">
        <v>529</v>
      </c>
      <c r="C121" t="s">
        <v>376</v>
      </c>
      <c r="D121" t="s">
        <v>743</v>
      </c>
      <c r="E121" t="s">
        <v>21</v>
      </c>
      <c r="F121" t="s">
        <v>744</v>
      </c>
    </row>
    <row r="122" spans="1:6" hidden="1" x14ac:dyDescent="0.25">
      <c r="A122" t="s">
        <v>745</v>
      </c>
      <c r="B122" t="s">
        <v>132</v>
      </c>
      <c r="C122" t="s">
        <v>376</v>
      </c>
      <c r="D122" t="s">
        <v>746</v>
      </c>
      <c r="E122" t="s">
        <v>21</v>
      </c>
      <c r="F122" t="s">
        <v>747</v>
      </c>
    </row>
    <row r="123" spans="1:6" hidden="1" x14ac:dyDescent="0.25">
      <c r="A123" t="s">
        <v>748</v>
      </c>
      <c r="B123" t="s">
        <v>51</v>
      </c>
      <c r="C123" t="s">
        <v>376</v>
      </c>
      <c r="D123" t="s">
        <v>749</v>
      </c>
      <c r="E123" t="s">
        <v>21</v>
      </c>
      <c r="F123" t="s">
        <v>750</v>
      </c>
    </row>
    <row r="124" spans="1:6" hidden="1" x14ac:dyDescent="0.25">
      <c r="A124" t="s">
        <v>751</v>
      </c>
      <c r="B124" t="s">
        <v>256</v>
      </c>
      <c r="C124" t="s">
        <v>376</v>
      </c>
      <c r="D124" t="s">
        <v>752</v>
      </c>
      <c r="E124" t="s">
        <v>21</v>
      </c>
      <c r="F124" t="s">
        <v>753</v>
      </c>
    </row>
    <row r="125" spans="1:6" hidden="1" x14ac:dyDescent="0.25">
      <c r="A125" t="s">
        <v>754</v>
      </c>
      <c r="B125" t="s">
        <v>51</v>
      </c>
      <c r="C125" t="s">
        <v>376</v>
      </c>
      <c r="D125" t="s">
        <v>755</v>
      </c>
      <c r="E125" t="s">
        <v>21</v>
      </c>
      <c r="F125" t="s">
        <v>756</v>
      </c>
    </row>
    <row r="126" spans="1:6" hidden="1" x14ac:dyDescent="0.25">
      <c r="A126" t="s">
        <v>757</v>
      </c>
      <c r="B126" t="s">
        <v>55</v>
      </c>
      <c r="C126" t="s">
        <v>376</v>
      </c>
      <c r="D126" t="s">
        <v>758</v>
      </c>
      <c r="E126" t="s">
        <v>21</v>
      </c>
      <c r="F126" t="s">
        <v>759</v>
      </c>
    </row>
    <row r="127" spans="1:6" hidden="1" x14ac:dyDescent="0.25">
      <c r="A127" t="s">
        <v>760</v>
      </c>
      <c r="B127" t="s">
        <v>128</v>
      </c>
      <c r="C127" t="s">
        <v>376</v>
      </c>
      <c r="D127" t="s">
        <v>761</v>
      </c>
      <c r="E127" t="s">
        <v>21</v>
      </c>
      <c r="F127" t="s">
        <v>762</v>
      </c>
    </row>
    <row r="128" spans="1:6" hidden="1" x14ac:dyDescent="0.25">
      <c r="A128" t="s">
        <v>763</v>
      </c>
      <c r="B128" t="s">
        <v>55</v>
      </c>
      <c r="C128" t="s">
        <v>376</v>
      </c>
      <c r="D128" t="s">
        <v>764</v>
      </c>
      <c r="E128" t="s">
        <v>21</v>
      </c>
      <c r="F128" t="s">
        <v>765</v>
      </c>
    </row>
    <row r="129" spans="1:6" hidden="1" x14ac:dyDescent="0.25">
      <c r="A129" t="s">
        <v>766</v>
      </c>
      <c r="B129" t="s">
        <v>139</v>
      </c>
      <c r="C129" t="s">
        <v>376</v>
      </c>
      <c r="D129" t="s">
        <v>767</v>
      </c>
      <c r="E129" t="s">
        <v>21</v>
      </c>
      <c r="F129" t="s">
        <v>768</v>
      </c>
    </row>
    <row r="130" spans="1:6" hidden="1" x14ac:dyDescent="0.25">
      <c r="A130" t="s">
        <v>769</v>
      </c>
      <c r="B130" t="s">
        <v>256</v>
      </c>
      <c r="C130" t="s">
        <v>376</v>
      </c>
      <c r="D130" t="s">
        <v>770</v>
      </c>
      <c r="E130" t="s">
        <v>21</v>
      </c>
      <c r="F130" t="s">
        <v>771</v>
      </c>
    </row>
    <row r="131" spans="1:6" hidden="1" x14ac:dyDescent="0.25">
      <c r="A131" t="s">
        <v>772</v>
      </c>
      <c r="B131" t="s">
        <v>272</v>
      </c>
      <c r="C131" t="s">
        <v>376</v>
      </c>
      <c r="D131" t="s">
        <v>773</v>
      </c>
      <c r="E131" t="s">
        <v>21</v>
      </c>
      <c r="F131" t="s">
        <v>774</v>
      </c>
    </row>
    <row r="132" spans="1:6" hidden="1" x14ac:dyDescent="0.25">
      <c r="A132" t="s">
        <v>775</v>
      </c>
      <c r="B132" t="s">
        <v>55</v>
      </c>
      <c r="C132" t="s">
        <v>376</v>
      </c>
      <c r="D132" t="s">
        <v>776</v>
      </c>
      <c r="E132" t="s">
        <v>21</v>
      </c>
      <c r="F132" t="s">
        <v>777</v>
      </c>
    </row>
    <row r="133" spans="1:6" hidden="1" x14ac:dyDescent="0.25">
      <c r="A133" t="s">
        <v>778</v>
      </c>
      <c r="B133" t="s">
        <v>128</v>
      </c>
      <c r="C133" t="s">
        <v>376</v>
      </c>
      <c r="D133" t="s">
        <v>779</v>
      </c>
      <c r="E133" t="s">
        <v>21</v>
      </c>
      <c r="F133" t="s">
        <v>780</v>
      </c>
    </row>
    <row r="134" spans="1:6" hidden="1" x14ac:dyDescent="0.25">
      <c r="A134" t="s">
        <v>781</v>
      </c>
      <c r="B134" t="s">
        <v>59</v>
      </c>
      <c r="C134" t="s">
        <v>376</v>
      </c>
      <c r="D134" t="s">
        <v>782</v>
      </c>
      <c r="E134" t="s">
        <v>21</v>
      </c>
      <c r="F134" t="s">
        <v>783</v>
      </c>
    </row>
    <row r="135" spans="1:6" hidden="1" x14ac:dyDescent="0.25">
      <c r="A135" t="s">
        <v>784</v>
      </c>
      <c r="B135" t="s">
        <v>701</v>
      </c>
      <c r="C135" t="s">
        <v>376</v>
      </c>
      <c r="D135" t="s">
        <v>785</v>
      </c>
      <c r="E135" t="s">
        <v>21</v>
      </c>
      <c r="F135" t="s">
        <v>786</v>
      </c>
    </row>
    <row r="136" spans="1:6" hidden="1" x14ac:dyDescent="0.25">
      <c r="A136" t="s">
        <v>787</v>
      </c>
      <c r="B136" t="s">
        <v>626</v>
      </c>
      <c r="C136" t="s">
        <v>788</v>
      </c>
      <c r="D136" t="s">
        <v>789</v>
      </c>
      <c r="E136" t="s">
        <v>21</v>
      </c>
      <c r="F136" t="s">
        <v>790</v>
      </c>
    </row>
    <row r="137" spans="1:6" hidden="1" x14ac:dyDescent="0.25">
      <c r="A137" t="s">
        <v>791</v>
      </c>
      <c r="B137" t="s">
        <v>492</v>
      </c>
      <c r="C137" t="s">
        <v>376</v>
      </c>
      <c r="D137" t="s">
        <v>792</v>
      </c>
      <c r="E137" t="s">
        <v>21</v>
      </c>
      <c r="F137" t="s">
        <v>793</v>
      </c>
    </row>
    <row r="138" spans="1:6" hidden="1" x14ac:dyDescent="0.25">
      <c r="A138" t="s">
        <v>794</v>
      </c>
      <c r="B138" t="s">
        <v>128</v>
      </c>
      <c r="C138" t="s">
        <v>376</v>
      </c>
      <c r="D138" t="s">
        <v>795</v>
      </c>
      <c r="E138" t="s">
        <v>21</v>
      </c>
      <c r="F138" t="s">
        <v>796</v>
      </c>
    </row>
    <row r="139" spans="1:6" hidden="1" x14ac:dyDescent="0.25">
      <c r="A139" t="s">
        <v>797</v>
      </c>
      <c r="B139" t="s">
        <v>344</v>
      </c>
      <c r="C139" t="s">
        <v>376</v>
      </c>
      <c r="D139" t="s">
        <v>798</v>
      </c>
      <c r="E139" t="s">
        <v>21</v>
      </c>
      <c r="F139" t="s">
        <v>799</v>
      </c>
    </row>
    <row r="140" spans="1:6" hidden="1" x14ac:dyDescent="0.25">
      <c r="A140" t="s">
        <v>800</v>
      </c>
      <c r="B140" t="s">
        <v>391</v>
      </c>
      <c r="C140" t="s">
        <v>469</v>
      </c>
      <c r="D140" t="s">
        <v>801</v>
      </c>
      <c r="E140" t="s">
        <v>21</v>
      </c>
      <c r="F140" t="s">
        <v>802</v>
      </c>
    </row>
    <row r="141" spans="1:6" hidden="1" x14ac:dyDescent="0.25">
      <c r="A141" t="s">
        <v>803</v>
      </c>
      <c r="B141" t="s">
        <v>59</v>
      </c>
      <c r="C141" t="s">
        <v>376</v>
      </c>
      <c r="D141" t="s">
        <v>804</v>
      </c>
      <c r="E141" t="s">
        <v>21</v>
      </c>
      <c r="F141" t="s">
        <v>805</v>
      </c>
    </row>
    <row r="142" spans="1:6" x14ac:dyDescent="0.25">
      <c r="A142" t="s">
        <v>806</v>
      </c>
      <c r="B142" t="s">
        <v>460</v>
      </c>
      <c r="C142" t="s">
        <v>461</v>
      </c>
      <c r="D142" t="s">
        <v>807</v>
      </c>
      <c r="E142" t="s">
        <v>21</v>
      </c>
      <c r="F142" t="s">
        <v>808</v>
      </c>
    </row>
    <row r="143" spans="1:6" hidden="1" x14ac:dyDescent="0.25">
      <c r="A143" t="s">
        <v>809</v>
      </c>
      <c r="B143" t="s">
        <v>634</v>
      </c>
      <c r="C143" t="s">
        <v>376</v>
      </c>
      <c r="D143" t="s">
        <v>810</v>
      </c>
      <c r="E143" t="s">
        <v>21</v>
      </c>
      <c r="F143" t="s">
        <v>811</v>
      </c>
    </row>
    <row r="144" spans="1:6" hidden="1" x14ac:dyDescent="0.25">
      <c r="A144" t="s">
        <v>812</v>
      </c>
      <c r="B144" t="s">
        <v>701</v>
      </c>
      <c r="C144" t="s">
        <v>469</v>
      </c>
      <c r="D144" t="s">
        <v>813</v>
      </c>
      <c r="E144" t="s">
        <v>21</v>
      </c>
      <c r="F144" t="s">
        <v>814</v>
      </c>
    </row>
    <row r="145" spans="1:6" hidden="1" x14ac:dyDescent="0.25">
      <c r="A145" t="s">
        <v>815</v>
      </c>
      <c r="B145" t="s">
        <v>51</v>
      </c>
      <c r="C145" t="s">
        <v>469</v>
      </c>
      <c r="D145" t="s">
        <v>816</v>
      </c>
      <c r="E145" t="s">
        <v>21</v>
      </c>
      <c r="F145" t="s">
        <v>817</v>
      </c>
    </row>
    <row r="146" spans="1:6" hidden="1" x14ac:dyDescent="0.25">
      <c r="A146" t="s">
        <v>818</v>
      </c>
      <c r="B146" t="s">
        <v>55</v>
      </c>
      <c r="C146" t="s">
        <v>376</v>
      </c>
      <c r="D146" t="s">
        <v>819</v>
      </c>
      <c r="E146" t="s">
        <v>21</v>
      </c>
      <c r="F146" t="s">
        <v>820</v>
      </c>
    </row>
    <row r="147" spans="1:6" hidden="1" x14ac:dyDescent="0.25">
      <c r="A147" t="s">
        <v>821</v>
      </c>
      <c r="B147" t="s">
        <v>124</v>
      </c>
      <c r="C147" t="s">
        <v>376</v>
      </c>
      <c r="D147" t="s">
        <v>822</v>
      </c>
      <c r="E147" t="s">
        <v>21</v>
      </c>
      <c r="F147" t="s">
        <v>823</v>
      </c>
    </row>
    <row r="148" spans="1:6" hidden="1" x14ac:dyDescent="0.25">
      <c r="A148" t="s">
        <v>824</v>
      </c>
      <c r="B148" t="s">
        <v>529</v>
      </c>
      <c r="C148" t="s">
        <v>376</v>
      </c>
      <c r="D148" t="s">
        <v>825</v>
      </c>
      <c r="E148" t="s">
        <v>21</v>
      </c>
      <c r="F148" t="s">
        <v>826</v>
      </c>
    </row>
    <row r="149" spans="1:6" hidden="1" x14ac:dyDescent="0.25">
      <c r="A149" t="s">
        <v>827</v>
      </c>
      <c r="B149" t="s">
        <v>272</v>
      </c>
      <c r="C149" t="s">
        <v>376</v>
      </c>
      <c r="D149" t="s">
        <v>828</v>
      </c>
      <c r="E149" t="s">
        <v>21</v>
      </c>
      <c r="F149" t="s">
        <v>829</v>
      </c>
    </row>
    <row r="150" spans="1:6" hidden="1" x14ac:dyDescent="0.25">
      <c r="A150" t="s">
        <v>53</v>
      </c>
      <c r="B150" t="s">
        <v>55</v>
      </c>
      <c r="C150" t="s">
        <v>376</v>
      </c>
      <c r="D150" t="s">
        <v>54</v>
      </c>
      <c r="E150" t="s">
        <v>21</v>
      </c>
      <c r="F150" t="s">
        <v>56</v>
      </c>
    </row>
    <row r="151" spans="1:6" hidden="1" x14ac:dyDescent="0.25">
      <c r="A151" t="s">
        <v>830</v>
      </c>
      <c r="B151" t="s">
        <v>128</v>
      </c>
      <c r="C151" t="s">
        <v>376</v>
      </c>
      <c r="D151" t="s">
        <v>831</v>
      </c>
      <c r="E151" t="s">
        <v>21</v>
      </c>
      <c r="F151" t="s">
        <v>832</v>
      </c>
    </row>
    <row r="152" spans="1:6" hidden="1" x14ac:dyDescent="0.25">
      <c r="A152" t="s">
        <v>833</v>
      </c>
      <c r="B152" t="s">
        <v>482</v>
      </c>
      <c r="C152" t="s">
        <v>666</v>
      </c>
      <c r="D152" t="s">
        <v>834</v>
      </c>
      <c r="E152" t="s">
        <v>21</v>
      </c>
      <c r="F152" t="s">
        <v>835</v>
      </c>
    </row>
    <row r="153" spans="1:6" hidden="1" x14ac:dyDescent="0.25">
      <c r="A153" t="s">
        <v>836</v>
      </c>
      <c r="B153" t="s">
        <v>837</v>
      </c>
      <c r="C153" t="s">
        <v>469</v>
      </c>
      <c r="D153" t="s">
        <v>838</v>
      </c>
      <c r="E153" t="s">
        <v>21</v>
      </c>
      <c r="F153" t="s">
        <v>839</v>
      </c>
    </row>
    <row r="154" spans="1:6" hidden="1" x14ac:dyDescent="0.25">
      <c r="A154" t="s">
        <v>840</v>
      </c>
      <c r="B154" t="s">
        <v>841</v>
      </c>
      <c r="C154" t="s">
        <v>376</v>
      </c>
      <c r="D154" t="s">
        <v>842</v>
      </c>
      <c r="E154" t="s">
        <v>21</v>
      </c>
      <c r="F154" t="s">
        <v>843</v>
      </c>
    </row>
    <row r="155" spans="1:6" hidden="1" x14ac:dyDescent="0.25">
      <c r="A155" t="s">
        <v>844</v>
      </c>
      <c r="B155" t="s">
        <v>492</v>
      </c>
      <c r="C155" t="s">
        <v>376</v>
      </c>
      <c r="D155" t="s">
        <v>845</v>
      </c>
      <c r="E155" t="s">
        <v>21</v>
      </c>
      <c r="F155" t="s">
        <v>846</v>
      </c>
    </row>
    <row r="156" spans="1:6" hidden="1" x14ac:dyDescent="0.25">
      <c r="A156" t="s">
        <v>847</v>
      </c>
      <c r="B156" t="s">
        <v>619</v>
      </c>
      <c r="C156" t="s">
        <v>376</v>
      </c>
      <c r="D156" t="s">
        <v>848</v>
      </c>
      <c r="E156" t="s">
        <v>21</v>
      </c>
      <c r="F156" t="s">
        <v>849</v>
      </c>
    </row>
    <row r="157" spans="1:6" hidden="1" x14ac:dyDescent="0.25">
      <c r="A157" t="s">
        <v>850</v>
      </c>
      <c r="B157" t="s">
        <v>28</v>
      </c>
      <c r="C157" t="s">
        <v>376</v>
      </c>
      <c r="D157" t="s">
        <v>851</v>
      </c>
      <c r="E157" t="s">
        <v>21</v>
      </c>
      <c r="F157" t="s">
        <v>852</v>
      </c>
    </row>
    <row r="158" spans="1:6" hidden="1" x14ac:dyDescent="0.25">
      <c r="A158" t="s">
        <v>853</v>
      </c>
      <c r="B158" t="s">
        <v>176</v>
      </c>
      <c r="C158" t="s">
        <v>376</v>
      </c>
      <c r="D158" t="s">
        <v>854</v>
      </c>
      <c r="E158" t="s">
        <v>21</v>
      </c>
      <c r="F158" t="s">
        <v>855</v>
      </c>
    </row>
    <row r="159" spans="1:6" hidden="1" x14ac:dyDescent="0.25">
      <c r="A159" t="s">
        <v>856</v>
      </c>
      <c r="B159" t="s">
        <v>492</v>
      </c>
      <c r="C159" t="s">
        <v>376</v>
      </c>
      <c r="D159" t="s">
        <v>857</v>
      </c>
      <c r="E159" t="s">
        <v>21</v>
      </c>
      <c r="F159" t="s">
        <v>858</v>
      </c>
    </row>
    <row r="160" spans="1:6" hidden="1" x14ac:dyDescent="0.25">
      <c r="A160" t="s">
        <v>859</v>
      </c>
      <c r="B160" t="s">
        <v>383</v>
      </c>
      <c r="C160" t="s">
        <v>384</v>
      </c>
      <c r="D160" t="s">
        <v>860</v>
      </c>
      <c r="E160" t="s">
        <v>21</v>
      </c>
      <c r="F160" t="s">
        <v>861</v>
      </c>
    </row>
    <row r="161" spans="1:6" hidden="1" x14ac:dyDescent="0.25">
      <c r="A161" t="s">
        <v>862</v>
      </c>
      <c r="B161" t="s">
        <v>51</v>
      </c>
      <c r="C161" t="s">
        <v>376</v>
      </c>
      <c r="D161" t="s">
        <v>863</v>
      </c>
      <c r="E161" t="s">
        <v>21</v>
      </c>
      <c r="F161" t="s">
        <v>864</v>
      </c>
    </row>
    <row r="162" spans="1:6" hidden="1" x14ac:dyDescent="0.25">
      <c r="A162" t="s">
        <v>865</v>
      </c>
      <c r="B162" t="s">
        <v>344</v>
      </c>
      <c r="C162" t="s">
        <v>376</v>
      </c>
      <c r="D162" t="s">
        <v>866</v>
      </c>
      <c r="E162" t="s">
        <v>21</v>
      </c>
      <c r="F162" t="s">
        <v>867</v>
      </c>
    </row>
    <row r="163" spans="1:6" hidden="1" x14ac:dyDescent="0.25">
      <c r="A163" t="s">
        <v>868</v>
      </c>
      <c r="B163" t="s">
        <v>492</v>
      </c>
      <c r="C163" t="s">
        <v>376</v>
      </c>
      <c r="D163" t="s">
        <v>869</v>
      </c>
      <c r="E163" t="s">
        <v>21</v>
      </c>
      <c r="F163" t="s">
        <v>870</v>
      </c>
    </row>
    <row r="164" spans="1:6" hidden="1" x14ac:dyDescent="0.25">
      <c r="A164" t="s">
        <v>871</v>
      </c>
      <c r="B164" t="s">
        <v>626</v>
      </c>
      <c r="C164" t="s">
        <v>788</v>
      </c>
      <c r="D164" t="s">
        <v>872</v>
      </c>
      <c r="E164" t="s">
        <v>21</v>
      </c>
      <c r="F164" t="s">
        <v>873</v>
      </c>
    </row>
    <row r="165" spans="1:6" x14ac:dyDescent="0.25">
      <c r="A165" t="s">
        <v>167</v>
      </c>
      <c r="B165" t="s">
        <v>460</v>
      </c>
      <c r="C165" t="s">
        <v>461</v>
      </c>
      <c r="D165" t="s">
        <v>168</v>
      </c>
      <c r="E165" t="s">
        <v>21</v>
      </c>
      <c r="F165" t="s">
        <v>169</v>
      </c>
    </row>
    <row r="166" spans="1:6" hidden="1" x14ac:dyDescent="0.25">
      <c r="A166" t="s">
        <v>874</v>
      </c>
      <c r="B166" t="s">
        <v>44</v>
      </c>
      <c r="C166" t="s">
        <v>376</v>
      </c>
      <c r="D166" t="s">
        <v>875</v>
      </c>
      <c r="E166" t="s">
        <v>21</v>
      </c>
      <c r="F166" t="s">
        <v>876</v>
      </c>
    </row>
    <row r="167" spans="1:6" hidden="1" x14ac:dyDescent="0.25">
      <c r="A167" t="s">
        <v>877</v>
      </c>
      <c r="B167" t="s">
        <v>492</v>
      </c>
      <c r="C167" t="s">
        <v>376</v>
      </c>
      <c r="D167" t="s">
        <v>878</v>
      </c>
      <c r="E167" t="s">
        <v>21</v>
      </c>
      <c r="F167" t="s">
        <v>879</v>
      </c>
    </row>
    <row r="168" spans="1:6" hidden="1" x14ac:dyDescent="0.25">
      <c r="A168" t="s">
        <v>880</v>
      </c>
      <c r="B168" t="s">
        <v>51</v>
      </c>
      <c r="C168" t="s">
        <v>376</v>
      </c>
      <c r="D168" t="s">
        <v>881</v>
      </c>
      <c r="E168" t="s">
        <v>21</v>
      </c>
      <c r="F168" t="s">
        <v>882</v>
      </c>
    </row>
    <row r="169" spans="1:6" x14ac:dyDescent="0.25">
      <c r="A169" t="s">
        <v>184</v>
      </c>
      <c r="B169" t="s">
        <v>460</v>
      </c>
      <c r="C169" t="s">
        <v>461</v>
      </c>
      <c r="D169" t="s">
        <v>185</v>
      </c>
      <c r="E169" t="s">
        <v>21</v>
      </c>
      <c r="F169" t="s">
        <v>186</v>
      </c>
    </row>
    <row r="170" spans="1:6" hidden="1" x14ac:dyDescent="0.25">
      <c r="A170" t="s">
        <v>883</v>
      </c>
      <c r="B170" t="s">
        <v>344</v>
      </c>
      <c r="C170" t="s">
        <v>376</v>
      </c>
      <c r="D170" t="s">
        <v>884</v>
      </c>
      <c r="E170" t="s">
        <v>21</v>
      </c>
      <c r="F170" t="s">
        <v>885</v>
      </c>
    </row>
    <row r="171" spans="1:6" hidden="1" x14ac:dyDescent="0.25">
      <c r="A171" t="s">
        <v>153</v>
      </c>
      <c r="B171" t="s">
        <v>28</v>
      </c>
      <c r="C171" t="s">
        <v>376</v>
      </c>
      <c r="D171" t="s">
        <v>154</v>
      </c>
      <c r="E171" t="s">
        <v>21</v>
      </c>
      <c r="F171" t="s">
        <v>155</v>
      </c>
    </row>
    <row r="172" spans="1:6" hidden="1" x14ac:dyDescent="0.25">
      <c r="A172" t="s">
        <v>886</v>
      </c>
      <c r="B172" t="s">
        <v>59</v>
      </c>
      <c r="C172" t="s">
        <v>376</v>
      </c>
      <c r="D172" t="s">
        <v>887</v>
      </c>
      <c r="E172" t="s">
        <v>21</v>
      </c>
      <c r="F172" t="s">
        <v>888</v>
      </c>
    </row>
    <row r="173" spans="1:6" hidden="1" x14ac:dyDescent="0.25">
      <c r="A173" t="s">
        <v>889</v>
      </c>
      <c r="B173" t="s">
        <v>512</v>
      </c>
      <c r="C173" t="s">
        <v>679</v>
      </c>
      <c r="D173" t="s">
        <v>890</v>
      </c>
      <c r="E173" t="s">
        <v>21</v>
      </c>
      <c r="F173" t="s">
        <v>891</v>
      </c>
    </row>
    <row r="174" spans="1:6" hidden="1" x14ac:dyDescent="0.25">
      <c r="A174" t="s">
        <v>892</v>
      </c>
      <c r="B174" t="s">
        <v>55</v>
      </c>
      <c r="C174" t="s">
        <v>376</v>
      </c>
      <c r="D174" t="s">
        <v>893</v>
      </c>
      <c r="E174" t="s">
        <v>21</v>
      </c>
      <c r="F174" t="s">
        <v>894</v>
      </c>
    </row>
    <row r="175" spans="1:6" hidden="1" x14ac:dyDescent="0.25">
      <c r="A175" t="s">
        <v>895</v>
      </c>
      <c r="B175" t="s">
        <v>441</v>
      </c>
      <c r="C175" t="s">
        <v>788</v>
      </c>
      <c r="D175" t="s">
        <v>896</v>
      </c>
      <c r="E175" t="s">
        <v>21</v>
      </c>
      <c r="F175" t="s">
        <v>897</v>
      </c>
    </row>
    <row r="176" spans="1:6" hidden="1" x14ac:dyDescent="0.25">
      <c r="A176" t="s">
        <v>898</v>
      </c>
      <c r="B176" t="s">
        <v>512</v>
      </c>
      <c r="C176" t="s">
        <v>679</v>
      </c>
      <c r="D176" t="s">
        <v>899</v>
      </c>
      <c r="E176" t="s">
        <v>21</v>
      </c>
      <c r="F176" t="s">
        <v>900</v>
      </c>
    </row>
    <row r="177" spans="1:6" hidden="1" x14ac:dyDescent="0.25">
      <c r="A177" t="s">
        <v>901</v>
      </c>
      <c r="B177" t="s">
        <v>837</v>
      </c>
      <c r="C177" t="s">
        <v>469</v>
      </c>
      <c r="D177" t="s">
        <v>902</v>
      </c>
      <c r="E177" t="s">
        <v>21</v>
      </c>
      <c r="F177" t="s">
        <v>903</v>
      </c>
    </row>
    <row r="178" spans="1:6" hidden="1" x14ac:dyDescent="0.25">
      <c r="A178" t="s">
        <v>904</v>
      </c>
      <c r="B178" t="s">
        <v>344</v>
      </c>
      <c r="C178" t="s">
        <v>376</v>
      </c>
      <c r="D178" t="s">
        <v>905</v>
      </c>
      <c r="E178" t="s">
        <v>21</v>
      </c>
      <c r="F178" t="s">
        <v>906</v>
      </c>
    </row>
    <row r="179" spans="1:6" hidden="1" x14ac:dyDescent="0.25">
      <c r="A179" t="s">
        <v>907</v>
      </c>
      <c r="B179" t="s">
        <v>128</v>
      </c>
      <c r="C179" t="s">
        <v>376</v>
      </c>
      <c r="D179" t="s">
        <v>908</v>
      </c>
      <c r="E179" t="s">
        <v>21</v>
      </c>
      <c r="F179" t="s">
        <v>909</v>
      </c>
    </row>
    <row r="180" spans="1:6" hidden="1" x14ac:dyDescent="0.25">
      <c r="A180" t="s">
        <v>910</v>
      </c>
      <c r="B180" t="s">
        <v>626</v>
      </c>
      <c r="C180" t="s">
        <v>627</v>
      </c>
      <c r="D180" t="s">
        <v>911</v>
      </c>
      <c r="E180" t="s">
        <v>21</v>
      </c>
      <c r="F180" t="s">
        <v>912</v>
      </c>
    </row>
    <row r="181" spans="1:6" hidden="1" x14ac:dyDescent="0.25">
      <c r="A181" t="s">
        <v>913</v>
      </c>
      <c r="B181" t="s">
        <v>1019</v>
      </c>
      <c r="C181" t="s">
        <v>376</v>
      </c>
      <c r="D181" t="s">
        <v>914</v>
      </c>
      <c r="E181" t="s">
        <v>21</v>
      </c>
      <c r="F181" t="s">
        <v>915</v>
      </c>
    </row>
    <row r="182" spans="1:6" hidden="1" x14ac:dyDescent="0.25">
      <c r="A182" t="s">
        <v>916</v>
      </c>
      <c r="B182" t="s">
        <v>59</v>
      </c>
      <c r="C182" t="s">
        <v>376</v>
      </c>
      <c r="D182" t="s">
        <v>917</v>
      </c>
      <c r="E182" t="s">
        <v>21</v>
      </c>
      <c r="F182" t="s">
        <v>918</v>
      </c>
    </row>
    <row r="183" spans="1:6" hidden="1" x14ac:dyDescent="0.25">
      <c r="A183" t="s">
        <v>919</v>
      </c>
      <c r="B183" t="s">
        <v>28</v>
      </c>
      <c r="C183" t="s">
        <v>376</v>
      </c>
      <c r="D183" t="s">
        <v>920</v>
      </c>
      <c r="E183" t="s">
        <v>21</v>
      </c>
      <c r="F183" t="s">
        <v>921</v>
      </c>
    </row>
    <row r="184" spans="1:6" hidden="1" x14ac:dyDescent="0.25">
      <c r="A184" t="s">
        <v>922</v>
      </c>
      <c r="B184" t="s">
        <v>139</v>
      </c>
      <c r="C184" t="s">
        <v>376</v>
      </c>
      <c r="D184" t="s">
        <v>923</v>
      </c>
      <c r="E184" t="s">
        <v>21</v>
      </c>
      <c r="F184" t="s">
        <v>924</v>
      </c>
    </row>
    <row r="185" spans="1:6" hidden="1" x14ac:dyDescent="0.25">
      <c r="A185" t="s">
        <v>925</v>
      </c>
      <c r="B185" t="s">
        <v>28</v>
      </c>
      <c r="C185" t="s">
        <v>376</v>
      </c>
      <c r="D185" t="s">
        <v>926</v>
      </c>
      <c r="E185" t="s">
        <v>21</v>
      </c>
      <c r="F185" t="s">
        <v>927</v>
      </c>
    </row>
    <row r="186" spans="1:6" hidden="1" x14ac:dyDescent="0.25">
      <c r="A186" t="s">
        <v>928</v>
      </c>
      <c r="B186" t="s">
        <v>344</v>
      </c>
      <c r="C186" t="s">
        <v>376</v>
      </c>
      <c r="D186" t="s">
        <v>929</v>
      </c>
      <c r="E186" t="s">
        <v>21</v>
      </c>
      <c r="F186" t="s">
        <v>930</v>
      </c>
    </row>
    <row r="187" spans="1:6" hidden="1" x14ac:dyDescent="0.25">
      <c r="A187" t="s">
        <v>931</v>
      </c>
      <c r="B187" t="s">
        <v>626</v>
      </c>
      <c r="C187" t="s">
        <v>627</v>
      </c>
      <c r="D187" t="s">
        <v>932</v>
      </c>
      <c r="E187" t="s">
        <v>21</v>
      </c>
      <c r="F187" t="s">
        <v>933</v>
      </c>
    </row>
    <row r="188" spans="1:6" hidden="1" x14ac:dyDescent="0.25">
      <c r="A188" t="s">
        <v>934</v>
      </c>
      <c r="B188" t="s">
        <v>59</v>
      </c>
      <c r="C188" t="s">
        <v>376</v>
      </c>
      <c r="D188" t="s">
        <v>935</v>
      </c>
      <c r="E188" t="s">
        <v>21</v>
      </c>
      <c r="F188" t="s">
        <v>936</v>
      </c>
    </row>
    <row r="189" spans="1:6" hidden="1" x14ac:dyDescent="0.25">
      <c r="A189" t="s">
        <v>937</v>
      </c>
      <c r="B189" t="s">
        <v>938</v>
      </c>
      <c r="C189" t="s">
        <v>376</v>
      </c>
      <c r="D189" t="s">
        <v>939</v>
      </c>
      <c r="E189" t="s">
        <v>21</v>
      </c>
      <c r="F189" t="s">
        <v>940</v>
      </c>
    </row>
    <row r="190" spans="1:6" hidden="1" x14ac:dyDescent="0.25">
      <c r="A190" t="s">
        <v>941</v>
      </c>
      <c r="B190" t="s">
        <v>245</v>
      </c>
      <c r="C190" t="s">
        <v>376</v>
      </c>
      <c r="D190" t="s">
        <v>942</v>
      </c>
      <c r="E190" t="s">
        <v>21</v>
      </c>
      <c r="F190" t="s">
        <v>943</v>
      </c>
    </row>
    <row r="191" spans="1:6" hidden="1" x14ac:dyDescent="0.25">
      <c r="A191" t="s">
        <v>944</v>
      </c>
      <c r="B191" t="s">
        <v>434</v>
      </c>
      <c r="C191" t="s">
        <v>376</v>
      </c>
      <c r="D191" t="s">
        <v>945</v>
      </c>
      <c r="E191" t="s">
        <v>21</v>
      </c>
      <c r="F191" t="s">
        <v>946</v>
      </c>
    </row>
    <row r="192" spans="1:6" hidden="1" x14ac:dyDescent="0.25">
      <c r="A192" t="s">
        <v>947</v>
      </c>
      <c r="B192" t="s">
        <v>132</v>
      </c>
      <c r="C192" t="s">
        <v>376</v>
      </c>
      <c r="D192" t="s">
        <v>948</v>
      </c>
      <c r="E192" t="s">
        <v>21</v>
      </c>
      <c r="F192" t="s">
        <v>949</v>
      </c>
    </row>
    <row r="193" spans="1:6" hidden="1" x14ac:dyDescent="0.25">
      <c r="A193" t="s">
        <v>950</v>
      </c>
      <c r="B193" t="s">
        <v>256</v>
      </c>
      <c r="C193" t="s">
        <v>376</v>
      </c>
      <c r="D193" t="s">
        <v>951</v>
      </c>
      <c r="E193" t="s">
        <v>21</v>
      </c>
      <c r="F193" t="s">
        <v>952</v>
      </c>
    </row>
    <row r="194" spans="1:6" hidden="1" x14ac:dyDescent="0.25">
      <c r="A194" t="s">
        <v>953</v>
      </c>
      <c r="B194" t="s">
        <v>434</v>
      </c>
      <c r="C194" t="s">
        <v>376</v>
      </c>
      <c r="D194" t="s">
        <v>954</v>
      </c>
      <c r="E194" t="s">
        <v>21</v>
      </c>
      <c r="F194" t="s">
        <v>955</v>
      </c>
    </row>
    <row r="195" spans="1:6" hidden="1" x14ac:dyDescent="0.25">
      <c r="A195" t="s">
        <v>956</v>
      </c>
      <c r="B195" t="s">
        <v>272</v>
      </c>
      <c r="C195" t="s">
        <v>376</v>
      </c>
      <c r="D195" t="s">
        <v>957</v>
      </c>
      <c r="E195" t="s">
        <v>21</v>
      </c>
      <c r="F195" t="s">
        <v>958</v>
      </c>
    </row>
    <row r="196" spans="1:6" hidden="1" x14ac:dyDescent="0.25">
      <c r="A196" t="s">
        <v>959</v>
      </c>
      <c r="B196" t="s">
        <v>529</v>
      </c>
      <c r="C196" t="s">
        <v>376</v>
      </c>
      <c r="D196" t="s">
        <v>960</v>
      </c>
      <c r="E196" t="s">
        <v>21</v>
      </c>
      <c r="F196" t="s">
        <v>961</v>
      </c>
    </row>
    <row r="197" spans="1:6" hidden="1" x14ac:dyDescent="0.25">
      <c r="A197" t="s">
        <v>962</v>
      </c>
      <c r="B197" t="s">
        <v>272</v>
      </c>
      <c r="C197" t="s">
        <v>376</v>
      </c>
      <c r="D197" t="s">
        <v>963</v>
      </c>
      <c r="E197" t="s">
        <v>21</v>
      </c>
      <c r="F197" t="s">
        <v>964</v>
      </c>
    </row>
    <row r="198" spans="1:6" hidden="1" x14ac:dyDescent="0.25">
      <c r="A198" t="s">
        <v>965</v>
      </c>
      <c r="B198" t="s">
        <v>512</v>
      </c>
      <c r="C198" t="s">
        <v>554</v>
      </c>
      <c r="D198" t="s">
        <v>966</v>
      </c>
      <c r="E198" t="s">
        <v>21</v>
      </c>
      <c r="F198" t="s">
        <v>967</v>
      </c>
    </row>
    <row r="199" spans="1:6" hidden="1" x14ac:dyDescent="0.25">
      <c r="A199" t="s">
        <v>968</v>
      </c>
      <c r="B199" t="s">
        <v>512</v>
      </c>
      <c r="C199" t="s">
        <v>679</v>
      </c>
      <c r="D199" t="s">
        <v>969</v>
      </c>
      <c r="E199" t="s">
        <v>21</v>
      </c>
      <c r="F199" t="s">
        <v>970</v>
      </c>
    </row>
    <row r="200" spans="1:6" hidden="1" x14ac:dyDescent="0.25">
      <c r="A200" t="s">
        <v>971</v>
      </c>
      <c r="B200" t="s">
        <v>634</v>
      </c>
      <c r="C200" t="s">
        <v>376</v>
      </c>
      <c r="D200" t="s">
        <v>972</v>
      </c>
      <c r="E200" t="s">
        <v>21</v>
      </c>
      <c r="F200" t="s">
        <v>973</v>
      </c>
    </row>
    <row r="201" spans="1:6" x14ac:dyDescent="0.25">
      <c r="A201" t="s">
        <v>342</v>
      </c>
      <c r="B201" t="s">
        <v>460</v>
      </c>
      <c r="C201" t="s">
        <v>461</v>
      </c>
      <c r="D201" t="s">
        <v>343</v>
      </c>
      <c r="E201" t="s">
        <v>21</v>
      </c>
      <c r="F201" t="s">
        <v>345</v>
      </c>
    </row>
    <row r="202" spans="1:6" hidden="1" x14ac:dyDescent="0.25">
      <c r="A202" t="s">
        <v>974</v>
      </c>
      <c r="B202" t="s">
        <v>55</v>
      </c>
      <c r="C202" t="s">
        <v>376</v>
      </c>
      <c r="D202" t="s">
        <v>975</v>
      </c>
      <c r="E202" t="s">
        <v>21</v>
      </c>
      <c r="F202" t="s">
        <v>976</v>
      </c>
    </row>
    <row r="203" spans="1:6" hidden="1" x14ac:dyDescent="0.25">
      <c r="A203" t="s">
        <v>977</v>
      </c>
      <c r="B203" t="s">
        <v>51</v>
      </c>
      <c r="C203" t="s">
        <v>376</v>
      </c>
      <c r="D203" t="s">
        <v>978</v>
      </c>
      <c r="E203" t="s">
        <v>21</v>
      </c>
      <c r="F203" t="s">
        <v>979</v>
      </c>
    </row>
    <row r="204" spans="1:6" hidden="1" x14ac:dyDescent="0.25">
      <c r="A204" t="s">
        <v>980</v>
      </c>
      <c r="B204" t="s">
        <v>482</v>
      </c>
      <c r="C204" t="s">
        <v>376</v>
      </c>
      <c r="D204" t="s">
        <v>981</v>
      </c>
      <c r="E204" t="s">
        <v>21</v>
      </c>
      <c r="F204" t="s">
        <v>982</v>
      </c>
    </row>
    <row r="205" spans="1:6" hidden="1" x14ac:dyDescent="0.25">
      <c r="A205" t="s">
        <v>983</v>
      </c>
      <c r="B205" t="s">
        <v>626</v>
      </c>
      <c r="C205" t="s">
        <v>627</v>
      </c>
      <c r="D205" t="s">
        <v>984</v>
      </c>
      <c r="E205" t="s">
        <v>21</v>
      </c>
      <c r="F205" t="s">
        <v>985</v>
      </c>
    </row>
    <row r="206" spans="1:6" hidden="1" x14ac:dyDescent="0.25">
      <c r="A206" t="s">
        <v>986</v>
      </c>
      <c r="B206" t="s">
        <v>492</v>
      </c>
      <c r="C206" t="s">
        <v>376</v>
      </c>
      <c r="D206" t="s">
        <v>987</v>
      </c>
      <c r="E206" t="s">
        <v>21</v>
      </c>
      <c r="F206" t="s">
        <v>988</v>
      </c>
    </row>
    <row r="207" spans="1:6" hidden="1" x14ac:dyDescent="0.25">
      <c r="A207" t="s">
        <v>989</v>
      </c>
      <c r="B207" t="s">
        <v>701</v>
      </c>
      <c r="C207" t="s">
        <v>990</v>
      </c>
      <c r="D207" t="s">
        <v>991</v>
      </c>
      <c r="E207" t="s">
        <v>21</v>
      </c>
      <c r="F207" t="s">
        <v>992</v>
      </c>
    </row>
    <row r="208" spans="1:6" hidden="1" x14ac:dyDescent="0.25">
      <c r="A208" t="s">
        <v>993</v>
      </c>
      <c r="B208" t="s">
        <v>59</v>
      </c>
      <c r="C208" t="s">
        <v>376</v>
      </c>
      <c r="D208" t="s">
        <v>994</v>
      </c>
      <c r="E208" t="s">
        <v>21</v>
      </c>
      <c r="F208" t="s">
        <v>995</v>
      </c>
    </row>
    <row r="209" spans="1:6" hidden="1" x14ac:dyDescent="0.25">
      <c r="A209" t="s">
        <v>996</v>
      </c>
      <c r="B209" t="s">
        <v>997</v>
      </c>
      <c r="C209" t="s">
        <v>469</v>
      </c>
      <c r="D209" t="s">
        <v>998</v>
      </c>
      <c r="E209" t="s">
        <v>21</v>
      </c>
      <c r="F209" t="s">
        <v>999</v>
      </c>
    </row>
    <row r="210" spans="1:6" hidden="1" x14ac:dyDescent="0.25">
      <c r="A210" t="s">
        <v>1000</v>
      </c>
      <c r="B210" t="s">
        <v>64</v>
      </c>
      <c r="C210" t="s">
        <v>376</v>
      </c>
      <c r="D210" t="s">
        <v>1001</v>
      </c>
      <c r="E210" t="s">
        <v>21</v>
      </c>
      <c r="F210" t="s">
        <v>1002</v>
      </c>
    </row>
    <row r="211" spans="1:6" hidden="1" x14ac:dyDescent="0.25">
      <c r="A211" t="s">
        <v>187</v>
      </c>
      <c r="B211" t="s">
        <v>55</v>
      </c>
      <c r="C211" t="s">
        <v>376</v>
      </c>
      <c r="D211" t="s">
        <v>188</v>
      </c>
      <c r="E211" t="s">
        <v>21</v>
      </c>
      <c r="F211" t="s">
        <v>191</v>
      </c>
    </row>
    <row r="212" spans="1:6" hidden="1" x14ac:dyDescent="0.25">
      <c r="A212" t="s">
        <v>1003</v>
      </c>
      <c r="B212" t="s">
        <v>421</v>
      </c>
      <c r="C212" t="s">
        <v>376</v>
      </c>
      <c r="D212" t="s">
        <v>1004</v>
      </c>
      <c r="E212" t="s">
        <v>21</v>
      </c>
      <c r="F212" t="s">
        <v>1005</v>
      </c>
    </row>
    <row r="213" spans="1:6" hidden="1" x14ac:dyDescent="0.25">
      <c r="A213" t="s">
        <v>1006</v>
      </c>
      <c r="B213" t="s">
        <v>626</v>
      </c>
      <c r="C213" t="s">
        <v>627</v>
      </c>
      <c r="D213" t="s">
        <v>1007</v>
      </c>
      <c r="E213" t="s">
        <v>21</v>
      </c>
      <c r="F213" t="s">
        <v>1008</v>
      </c>
    </row>
    <row r="214" spans="1:6" hidden="1" x14ac:dyDescent="0.25">
      <c r="A214" t="s">
        <v>1009</v>
      </c>
      <c r="B214" t="s">
        <v>512</v>
      </c>
      <c r="C214" t="s">
        <v>554</v>
      </c>
      <c r="D214" t="s">
        <v>1010</v>
      </c>
      <c r="E214" t="s">
        <v>21</v>
      </c>
      <c r="F214" t="s">
        <v>1011</v>
      </c>
    </row>
    <row r="215" spans="1:6" hidden="1" x14ac:dyDescent="0.25">
      <c r="A215" t="s">
        <v>1012</v>
      </c>
      <c r="B215" t="s">
        <v>143</v>
      </c>
      <c r="C215" t="s">
        <v>376</v>
      </c>
      <c r="D215" t="s">
        <v>1013</v>
      </c>
      <c r="E215" t="s">
        <v>21</v>
      </c>
      <c r="F215" t="s">
        <v>1014</v>
      </c>
    </row>
    <row r="216" spans="1:6" hidden="1" x14ac:dyDescent="0.25">
      <c r="A216" t="s">
        <v>1015</v>
      </c>
      <c r="B216" t="s">
        <v>139</v>
      </c>
      <c r="C216" t="s">
        <v>376</v>
      </c>
      <c r="D216" t="s">
        <v>1016</v>
      </c>
      <c r="E216" t="s">
        <v>21</v>
      </c>
      <c r="F216" t="s">
        <v>1017</v>
      </c>
    </row>
    <row r="217" spans="1:6" hidden="1" x14ac:dyDescent="0.25">
      <c r="A217" t="s">
        <v>1018</v>
      </c>
      <c r="B217" t="s">
        <v>1019</v>
      </c>
      <c r="C217" t="s">
        <v>376</v>
      </c>
      <c r="D217" t="s">
        <v>1020</v>
      </c>
      <c r="E217" t="s">
        <v>21</v>
      </c>
      <c r="F217" t="s">
        <v>1021</v>
      </c>
    </row>
    <row r="218" spans="1:6" hidden="1" x14ac:dyDescent="0.25">
      <c r="A218" t="s">
        <v>1022</v>
      </c>
      <c r="B218" t="s">
        <v>457</v>
      </c>
      <c r="C218" t="s">
        <v>376</v>
      </c>
      <c r="D218" t="s">
        <v>1023</v>
      </c>
      <c r="E218" t="s">
        <v>21</v>
      </c>
      <c r="F218" t="s">
        <v>1024</v>
      </c>
    </row>
    <row r="219" spans="1:6" hidden="1" x14ac:dyDescent="0.25">
      <c r="A219" t="s">
        <v>1025</v>
      </c>
      <c r="B219" t="s">
        <v>647</v>
      </c>
      <c r="C219" t="s">
        <v>666</v>
      </c>
      <c r="D219" t="s">
        <v>1026</v>
      </c>
      <c r="E219" t="s">
        <v>21</v>
      </c>
      <c r="F219" t="s">
        <v>1027</v>
      </c>
    </row>
    <row r="220" spans="1:6" hidden="1" x14ac:dyDescent="0.25">
      <c r="A220" t="s">
        <v>1028</v>
      </c>
      <c r="B220" t="s">
        <v>619</v>
      </c>
      <c r="C220" t="s">
        <v>376</v>
      </c>
      <c r="D220" t="s">
        <v>1029</v>
      </c>
      <c r="E220" t="s">
        <v>21</v>
      </c>
      <c r="F220" t="s">
        <v>1030</v>
      </c>
    </row>
    <row r="221" spans="1:6" hidden="1" x14ac:dyDescent="0.25">
      <c r="A221" t="s">
        <v>1031</v>
      </c>
      <c r="B221" t="s">
        <v>59</v>
      </c>
      <c r="C221" t="s">
        <v>376</v>
      </c>
      <c r="D221" t="s">
        <v>1032</v>
      </c>
      <c r="E221" t="s">
        <v>21</v>
      </c>
      <c r="F221" t="s">
        <v>1033</v>
      </c>
    </row>
    <row r="222" spans="1:6" x14ac:dyDescent="0.25">
      <c r="A222" t="s">
        <v>303</v>
      </c>
      <c r="B222" t="s">
        <v>460</v>
      </c>
      <c r="C222" t="s">
        <v>461</v>
      </c>
      <c r="D222" t="s">
        <v>304</v>
      </c>
      <c r="E222" t="s">
        <v>21</v>
      </c>
      <c r="F222" t="s">
        <v>305</v>
      </c>
    </row>
    <row r="223" spans="1:6" hidden="1" x14ac:dyDescent="0.25">
      <c r="A223" t="s">
        <v>1034</v>
      </c>
      <c r="B223" t="s">
        <v>44</v>
      </c>
      <c r="C223" t="s">
        <v>666</v>
      </c>
      <c r="D223" t="s">
        <v>1035</v>
      </c>
      <c r="E223" t="s">
        <v>21</v>
      </c>
      <c r="F223" t="s">
        <v>1036</v>
      </c>
    </row>
    <row r="224" spans="1:6" hidden="1" x14ac:dyDescent="0.25">
      <c r="A224" t="s">
        <v>1037</v>
      </c>
      <c r="B224" t="s">
        <v>512</v>
      </c>
      <c r="C224" t="s">
        <v>679</v>
      </c>
      <c r="D224" t="s">
        <v>1038</v>
      </c>
      <c r="E224" t="s">
        <v>21</v>
      </c>
      <c r="F224" t="s">
        <v>1039</v>
      </c>
    </row>
    <row r="225" spans="1:6" hidden="1" x14ac:dyDescent="0.25">
      <c r="A225" t="s">
        <v>1040</v>
      </c>
      <c r="B225" t="s">
        <v>841</v>
      </c>
      <c r="C225" t="s">
        <v>376</v>
      </c>
      <c r="D225" t="s">
        <v>1041</v>
      </c>
      <c r="E225" t="s">
        <v>21</v>
      </c>
      <c r="F225" t="s">
        <v>1042</v>
      </c>
    </row>
    <row r="226" spans="1:6" hidden="1" x14ac:dyDescent="0.25">
      <c r="A226" t="s">
        <v>1043</v>
      </c>
      <c r="B226" t="s">
        <v>421</v>
      </c>
      <c r="C226" t="s">
        <v>376</v>
      </c>
      <c r="D226" t="s">
        <v>1044</v>
      </c>
      <c r="E226" t="s">
        <v>21</v>
      </c>
      <c r="F226" t="s">
        <v>1045</v>
      </c>
    </row>
    <row r="227" spans="1:6" hidden="1" x14ac:dyDescent="0.25">
      <c r="A227" t="s">
        <v>1046</v>
      </c>
      <c r="B227" t="s">
        <v>626</v>
      </c>
      <c r="C227" t="s">
        <v>627</v>
      </c>
      <c r="D227" t="s">
        <v>1047</v>
      </c>
      <c r="E227" t="s">
        <v>21</v>
      </c>
      <c r="F227" t="s">
        <v>1048</v>
      </c>
    </row>
    <row r="228" spans="1:6" hidden="1" x14ac:dyDescent="0.25">
      <c r="A228" t="s">
        <v>1049</v>
      </c>
      <c r="B228" t="s">
        <v>143</v>
      </c>
      <c r="C228" t="s">
        <v>376</v>
      </c>
      <c r="D228" t="s">
        <v>1050</v>
      </c>
      <c r="E228" t="s">
        <v>21</v>
      </c>
      <c r="F228" t="s">
        <v>1051</v>
      </c>
    </row>
    <row r="229" spans="1:6" hidden="1" x14ac:dyDescent="0.25">
      <c r="A229" t="s">
        <v>1052</v>
      </c>
      <c r="B229" t="s">
        <v>441</v>
      </c>
      <c r="C229" t="s">
        <v>1053</v>
      </c>
      <c r="D229" t="s">
        <v>1054</v>
      </c>
      <c r="E229" t="s">
        <v>21</v>
      </c>
      <c r="F229" t="s">
        <v>1055</v>
      </c>
    </row>
    <row r="230" spans="1:6" hidden="1" x14ac:dyDescent="0.25">
      <c r="A230" t="s">
        <v>1056</v>
      </c>
      <c r="B230" t="s">
        <v>626</v>
      </c>
      <c r="C230" t="s">
        <v>788</v>
      </c>
      <c r="D230" t="s">
        <v>1057</v>
      </c>
      <c r="E230" t="s">
        <v>21</v>
      </c>
      <c r="F230" t="s">
        <v>1058</v>
      </c>
    </row>
    <row r="231" spans="1:6" hidden="1" x14ac:dyDescent="0.25">
      <c r="A231" t="s">
        <v>1059</v>
      </c>
      <c r="B231" t="s">
        <v>55</v>
      </c>
      <c r="C231" t="s">
        <v>376</v>
      </c>
      <c r="D231" t="s">
        <v>1060</v>
      </c>
      <c r="E231" t="s">
        <v>21</v>
      </c>
      <c r="F231" t="s">
        <v>1061</v>
      </c>
    </row>
    <row r="232" spans="1:6" hidden="1" x14ac:dyDescent="0.25">
      <c r="A232" t="s">
        <v>1062</v>
      </c>
      <c r="B232" t="s">
        <v>55</v>
      </c>
      <c r="C232" t="s">
        <v>376</v>
      </c>
      <c r="D232" t="s">
        <v>1063</v>
      </c>
      <c r="E232" t="s">
        <v>21</v>
      </c>
      <c r="F232" t="s">
        <v>1064</v>
      </c>
    </row>
    <row r="233" spans="1:6" hidden="1" x14ac:dyDescent="0.25">
      <c r="A233" t="s">
        <v>1065</v>
      </c>
      <c r="B233" t="s">
        <v>128</v>
      </c>
      <c r="C233" t="s">
        <v>376</v>
      </c>
      <c r="D233" t="s">
        <v>1066</v>
      </c>
      <c r="E233" t="s">
        <v>21</v>
      </c>
      <c r="F233" t="s">
        <v>1067</v>
      </c>
    </row>
    <row r="234" spans="1:6" hidden="1" x14ac:dyDescent="0.25">
      <c r="A234" t="s">
        <v>1068</v>
      </c>
      <c r="B234" t="s">
        <v>55</v>
      </c>
      <c r="C234" t="s">
        <v>376</v>
      </c>
      <c r="D234" t="s">
        <v>1069</v>
      </c>
      <c r="E234" t="s">
        <v>21</v>
      </c>
      <c r="F234" t="s">
        <v>1070</v>
      </c>
    </row>
    <row r="235" spans="1:6" x14ac:dyDescent="0.25">
      <c r="A235" t="s">
        <v>1071</v>
      </c>
      <c r="B235" t="s">
        <v>460</v>
      </c>
      <c r="C235" t="s">
        <v>461</v>
      </c>
      <c r="D235" t="s">
        <v>1072</v>
      </c>
      <c r="E235" t="s">
        <v>21</v>
      </c>
      <c r="F235" t="s">
        <v>1073</v>
      </c>
    </row>
    <row r="236" spans="1:6" hidden="1" x14ac:dyDescent="0.25">
      <c r="A236" t="s">
        <v>1074</v>
      </c>
      <c r="B236" t="s">
        <v>256</v>
      </c>
      <c r="C236" t="s">
        <v>376</v>
      </c>
      <c r="D236" t="s">
        <v>1075</v>
      </c>
      <c r="E236" t="s">
        <v>21</v>
      </c>
      <c r="F236" t="s">
        <v>1076</v>
      </c>
    </row>
    <row r="237" spans="1:6" hidden="1" x14ac:dyDescent="0.25">
      <c r="A237" t="s">
        <v>1077</v>
      </c>
      <c r="B237" t="s">
        <v>1078</v>
      </c>
      <c r="C237" t="s">
        <v>1079</v>
      </c>
      <c r="D237" t="s">
        <v>1080</v>
      </c>
      <c r="E237" t="s">
        <v>21</v>
      </c>
      <c r="F237" t="s">
        <v>1081</v>
      </c>
    </row>
    <row r="238" spans="1:6" hidden="1" x14ac:dyDescent="0.25">
      <c r="A238" t="s">
        <v>1082</v>
      </c>
      <c r="B238" t="s">
        <v>256</v>
      </c>
      <c r="C238" t="s">
        <v>376</v>
      </c>
      <c r="D238" t="s">
        <v>1083</v>
      </c>
      <c r="E238" t="s">
        <v>21</v>
      </c>
      <c r="F238" t="s">
        <v>1084</v>
      </c>
    </row>
    <row r="239" spans="1:6" hidden="1" x14ac:dyDescent="0.25">
      <c r="A239" t="s">
        <v>1085</v>
      </c>
      <c r="B239" t="s">
        <v>619</v>
      </c>
      <c r="C239" t="s">
        <v>376</v>
      </c>
      <c r="D239" t="s">
        <v>1086</v>
      </c>
      <c r="E239" t="s">
        <v>21</v>
      </c>
      <c r="F239" t="s">
        <v>1087</v>
      </c>
    </row>
    <row r="240" spans="1:6" hidden="1" x14ac:dyDescent="0.25">
      <c r="A240" t="s">
        <v>1088</v>
      </c>
      <c r="B240" t="s">
        <v>529</v>
      </c>
      <c r="C240" t="s">
        <v>376</v>
      </c>
      <c r="D240" t="s">
        <v>1089</v>
      </c>
      <c r="E240" t="s">
        <v>21</v>
      </c>
      <c r="F240" t="s">
        <v>1090</v>
      </c>
    </row>
    <row r="241" spans="1:6" hidden="1" x14ac:dyDescent="0.25">
      <c r="A241" t="s">
        <v>1091</v>
      </c>
      <c r="B241" t="s">
        <v>457</v>
      </c>
      <c r="C241" t="s">
        <v>376</v>
      </c>
      <c r="D241" t="s">
        <v>1092</v>
      </c>
      <c r="E241" t="s">
        <v>21</v>
      </c>
      <c r="F241" t="s">
        <v>1093</v>
      </c>
    </row>
    <row r="242" spans="1:6" hidden="1" x14ac:dyDescent="0.25">
      <c r="A242" t="s">
        <v>1094</v>
      </c>
      <c r="B242" t="s">
        <v>344</v>
      </c>
      <c r="C242" t="s">
        <v>469</v>
      </c>
      <c r="D242" t="s">
        <v>1095</v>
      </c>
      <c r="E242" t="s">
        <v>21</v>
      </c>
      <c r="F242" t="s">
        <v>1096</v>
      </c>
    </row>
    <row r="243" spans="1:6" hidden="1" x14ac:dyDescent="0.25">
      <c r="A243" t="s">
        <v>209</v>
      </c>
      <c r="B243" t="s">
        <v>28</v>
      </c>
      <c r="C243" t="s">
        <v>376</v>
      </c>
      <c r="D243" t="s">
        <v>210</v>
      </c>
      <c r="E243" t="s">
        <v>21</v>
      </c>
      <c r="F243" t="s">
        <v>212</v>
      </c>
    </row>
    <row r="244" spans="1:6" hidden="1" x14ac:dyDescent="0.25">
      <c r="A244" t="s">
        <v>1097</v>
      </c>
      <c r="B244" t="s">
        <v>59</v>
      </c>
      <c r="C244" t="s">
        <v>376</v>
      </c>
      <c r="D244" t="s">
        <v>1098</v>
      </c>
      <c r="E244" t="s">
        <v>21</v>
      </c>
      <c r="F244" t="s">
        <v>1099</v>
      </c>
    </row>
    <row r="245" spans="1:6" hidden="1" x14ac:dyDescent="0.25">
      <c r="A245" t="s">
        <v>1100</v>
      </c>
      <c r="B245" t="s">
        <v>124</v>
      </c>
      <c r="C245" t="s">
        <v>376</v>
      </c>
      <c r="D245" t="s">
        <v>1101</v>
      </c>
      <c r="E245" t="s">
        <v>21</v>
      </c>
      <c r="F245" t="s">
        <v>1102</v>
      </c>
    </row>
    <row r="246" spans="1:6" hidden="1" x14ac:dyDescent="0.25">
      <c r="A246" t="s">
        <v>1103</v>
      </c>
      <c r="B246" t="s">
        <v>51</v>
      </c>
      <c r="C246" t="s">
        <v>376</v>
      </c>
      <c r="D246" t="s">
        <v>1104</v>
      </c>
      <c r="E246" t="s">
        <v>21</v>
      </c>
      <c r="F246" t="s">
        <v>1105</v>
      </c>
    </row>
    <row r="247" spans="1:6" hidden="1" x14ac:dyDescent="0.25">
      <c r="A247" t="s">
        <v>1106</v>
      </c>
      <c r="B247" t="s">
        <v>59</v>
      </c>
      <c r="C247" t="s">
        <v>376</v>
      </c>
      <c r="D247" t="s">
        <v>1107</v>
      </c>
      <c r="E247" t="s">
        <v>21</v>
      </c>
      <c r="F247" t="s">
        <v>1108</v>
      </c>
    </row>
    <row r="248" spans="1:6" hidden="1" x14ac:dyDescent="0.25">
      <c r="A248" t="s">
        <v>1109</v>
      </c>
      <c r="B248" t="s">
        <v>619</v>
      </c>
      <c r="C248" t="s">
        <v>376</v>
      </c>
      <c r="D248" t="s">
        <v>1110</v>
      </c>
      <c r="E248" t="s">
        <v>21</v>
      </c>
      <c r="F248" t="s">
        <v>1111</v>
      </c>
    </row>
    <row r="249" spans="1:6" hidden="1" x14ac:dyDescent="0.25">
      <c r="A249" t="s">
        <v>1112</v>
      </c>
      <c r="B249" t="s">
        <v>143</v>
      </c>
      <c r="C249" t="s">
        <v>376</v>
      </c>
      <c r="D249" t="s">
        <v>1113</v>
      </c>
      <c r="E249" t="s">
        <v>21</v>
      </c>
      <c r="F249" t="s">
        <v>1114</v>
      </c>
    </row>
    <row r="250" spans="1:6" hidden="1" x14ac:dyDescent="0.25">
      <c r="A250" t="s">
        <v>1115</v>
      </c>
      <c r="B250" t="s">
        <v>128</v>
      </c>
      <c r="C250" t="s">
        <v>376</v>
      </c>
      <c r="D250" t="s">
        <v>1116</v>
      </c>
      <c r="E250" t="s">
        <v>21</v>
      </c>
      <c r="F250" t="s">
        <v>1117</v>
      </c>
    </row>
    <row r="251" spans="1:6" hidden="1" x14ac:dyDescent="0.25">
      <c r="A251" t="s">
        <v>1118</v>
      </c>
      <c r="B251" t="s">
        <v>132</v>
      </c>
      <c r="C251" t="s">
        <v>376</v>
      </c>
      <c r="D251" t="s">
        <v>1119</v>
      </c>
      <c r="E251" t="s">
        <v>21</v>
      </c>
      <c r="F251" t="s">
        <v>1120</v>
      </c>
    </row>
    <row r="252" spans="1:6" hidden="1" x14ac:dyDescent="0.25">
      <c r="A252" t="s">
        <v>1121</v>
      </c>
      <c r="B252" t="s">
        <v>482</v>
      </c>
      <c r="C252" t="s">
        <v>376</v>
      </c>
      <c r="D252" t="s">
        <v>1122</v>
      </c>
      <c r="E252" t="s">
        <v>21</v>
      </c>
      <c r="F252" t="s">
        <v>1123</v>
      </c>
    </row>
    <row r="253" spans="1:6" hidden="1" x14ac:dyDescent="0.25">
      <c r="A253" t="s">
        <v>1124</v>
      </c>
      <c r="B253" t="s">
        <v>272</v>
      </c>
      <c r="C253" t="s">
        <v>376</v>
      </c>
      <c r="D253" t="s">
        <v>1125</v>
      </c>
      <c r="E253" t="s">
        <v>21</v>
      </c>
      <c r="F253" t="s">
        <v>1126</v>
      </c>
    </row>
    <row r="254" spans="1:6" hidden="1" x14ac:dyDescent="0.25">
      <c r="A254" t="s">
        <v>1127</v>
      </c>
      <c r="B254" t="s">
        <v>626</v>
      </c>
      <c r="C254" t="s">
        <v>788</v>
      </c>
      <c r="D254" t="s">
        <v>1128</v>
      </c>
      <c r="E254" t="s">
        <v>21</v>
      </c>
      <c r="F254" t="s">
        <v>1129</v>
      </c>
    </row>
    <row r="255" spans="1:6" hidden="1" x14ac:dyDescent="0.25">
      <c r="A255" t="s">
        <v>1130</v>
      </c>
      <c r="B255" t="s">
        <v>51</v>
      </c>
      <c r="C255" t="s">
        <v>376</v>
      </c>
      <c r="D255" t="s">
        <v>1131</v>
      </c>
      <c r="E255" t="s">
        <v>21</v>
      </c>
      <c r="F255" t="s">
        <v>1132</v>
      </c>
    </row>
    <row r="256" spans="1:6" hidden="1" x14ac:dyDescent="0.25">
      <c r="A256" t="s">
        <v>1133</v>
      </c>
      <c r="B256" t="s">
        <v>132</v>
      </c>
      <c r="C256" t="s">
        <v>376</v>
      </c>
      <c r="D256" t="s">
        <v>1134</v>
      </c>
      <c r="E256" t="s">
        <v>21</v>
      </c>
      <c r="F256" t="s">
        <v>1135</v>
      </c>
    </row>
    <row r="257" spans="1:6" hidden="1" x14ac:dyDescent="0.25">
      <c r="A257" t="s">
        <v>1136</v>
      </c>
      <c r="B257" t="s">
        <v>15</v>
      </c>
      <c r="C257" t="s">
        <v>376</v>
      </c>
      <c r="D257" t="s">
        <v>1137</v>
      </c>
      <c r="E257" t="s">
        <v>21</v>
      </c>
      <c r="F257" t="s">
        <v>1138</v>
      </c>
    </row>
    <row r="258" spans="1:6" hidden="1" x14ac:dyDescent="0.25">
      <c r="A258" t="s">
        <v>1139</v>
      </c>
      <c r="B258" t="s">
        <v>626</v>
      </c>
      <c r="C258" t="s">
        <v>1140</v>
      </c>
      <c r="D258" t="s">
        <v>1141</v>
      </c>
      <c r="E258" t="s">
        <v>21</v>
      </c>
      <c r="F258" t="s">
        <v>1142</v>
      </c>
    </row>
    <row r="259" spans="1:6" hidden="1" x14ac:dyDescent="0.25">
      <c r="A259" t="s">
        <v>1143</v>
      </c>
      <c r="B259" t="s">
        <v>591</v>
      </c>
      <c r="C259" t="s">
        <v>1144</v>
      </c>
      <c r="D259" t="s">
        <v>1145</v>
      </c>
      <c r="E259" t="s">
        <v>21</v>
      </c>
      <c r="F259" t="s">
        <v>1146</v>
      </c>
    </row>
    <row r="260" spans="1:6" hidden="1" x14ac:dyDescent="0.25">
      <c r="A260" t="s">
        <v>1147</v>
      </c>
      <c r="B260" t="s">
        <v>64</v>
      </c>
      <c r="C260" t="s">
        <v>376</v>
      </c>
      <c r="D260" t="s">
        <v>1148</v>
      </c>
      <c r="E260" t="s">
        <v>21</v>
      </c>
      <c r="F260" t="s">
        <v>1149</v>
      </c>
    </row>
    <row r="261" spans="1:6" hidden="1" x14ac:dyDescent="0.25">
      <c r="A261" t="s">
        <v>1150</v>
      </c>
      <c r="B261" t="s">
        <v>55</v>
      </c>
      <c r="C261" t="s">
        <v>376</v>
      </c>
      <c r="D261" t="s">
        <v>1151</v>
      </c>
      <c r="E261" t="s">
        <v>21</v>
      </c>
      <c r="F261" t="s">
        <v>1152</v>
      </c>
    </row>
    <row r="262" spans="1:6" hidden="1" x14ac:dyDescent="0.25">
      <c r="A262" t="s">
        <v>1153</v>
      </c>
      <c r="B262" t="s">
        <v>344</v>
      </c>
      <c r="C262" t="s">
        <v>376</v>
      </c>
      <c r="D262" t="s">
        <v>1154</v>
      </c>
      <c r="E262" t="s">
        <v>21</v>
      </c>
      <c r="F262" t="s">
        <v>1155</v>
      </c>
    </row>
    <row r="263" spans="1:6" hidden="1" x14ac:dyDescent="0.25">
      <c r="A263" t="s">
        <v>1156</v>
      </c>
      <c r="B263" t="s">
        <v>344</v>
      </c>
      <c r="C263" t="s">
        <v>376</v>
      </c>
      <c r="D263" t="s">
        <v>1157</v>
      </c>
      <c r="E263" t="s">
        <v>21</v>
      </c>
      <c r="F263" t="s">
        <v>1158</v>
      </c>
    </row>
    <row r="264" spans="1:6" hidden="1" x14ac:dyDescent="0.25">
      <c r="A264" t="s">
        <v>1159</v>
      </c>
      <c r="B264" t="s">
        <v>128</v>
      </c>
      <c r="C264" t="s">
        <v>376</v>
      </c>
      <c r="D264" t="s">
        <v>1160</v>
      </c>
      <c r="E264" t="s">
        <v>21</v>
      </c>
      <c r="F264" t="s">
        <v>1161</v>
      </c>
    </row>
    <row r="265" spans="1:6" hidden="1" x14ac:dyDescent="0.25">
      <c r="A265" t="s">
        <v>156</v>
      </c>
      <c r="B265" t="s">
        <v>44</v>
      </c>
      <c r="C265" t="s">
        <v>376</v>
      </c>
      <c r="D265" t="s">
        <v>203</v>
      </c>
      <c r="E265" t="s">
        <v>21</v>
      </c>
      <c r="F265" t="s">
        <v>159</v>
      </c>
    </row>
    <row r="266" spans="1:6" hidden="1" x14ac:dyDescent="0.25">
      <c r="A266" t="s">
        <v>1162</v>
      </c>
      <c r="B266" t="s">
        <v>51</v>
      </c>
      <c r="C266" t="s">
        <v>376</v>
      </c>
      <c r="D266" t="s">
        <v>1163</v>
      </c>
      <c r="E266" t="s">
        <v>21</v>
      </c>
      <c r="F266" t="s">
        <v>1164</v>
      </c>
    </row>
    <row r="267" spans="1:6" hidden="1" x14ac:dyDescent="0.25">
      <c r="A267" t="s">
        <v>1165</v>
      </c>
      <c r="B267" t="s">
        <v>143</v>
      </c>
      <c r="C267" t="s">
        <v>376</v>
      </c>
      <c r="D267" t="s">
        <v>1166</v>
      </c>
      <c r="E267" t="s">
        <v>21</v>
      </c>
      <c r="F267" t="s">
        <v>1167</v>
      </c>
    </row>
    <row r="268" spans="1:6" hidden="1" x14ac:dyDescent="0.25">
      <c r="A268" t="s">
        <v>1168</v>
      </c>
      <c r="B268" t="s">
        <v>837</v>
      </c>
      <c r="C268" t="s">
        <v>469</v>
      </c>
      <c r="D268" t="s">
        <v>1169</v>
      </c>
      <c r="E268" t="s">
        <v>21</v>
      </c>
      <c r="F268" t="s">
        <v>1170</v>
      </c>
    </row>
    <row r="269" spans="1:6" hidden="1" x14ac:dyDescent="0.25">
      <c r="A269" t="s">
        <v>1171</v>
      </c>
      <c r="B269" t="s">
        <v>701</v>
      </c>
      <c r="C269" t="s">
        <v>376</v>
      </c>
      <c r="D269" t="s">
        <v>1172</v>
      </c>
      <c r="E269" t="s">
        <v>21</v>
      </c>
      <c r="F269" t="s">
        <v>1173</v>
      </c>
    </row>
    <row r="270" spans="1:6" hidden="1" x14ac:dyDescent="0.25">
      <c r="A270" t="s">
        <v>1174</v>
      </c>
      <c r="B270" t="s">
        <v>492</v>
      </c>
      <c r="C270" t="s">
        <v>376</v>
      </c>
      <c r="D270" t="s">
        <v>1175</v>
      </c>
      <c r="E270" t="s">
        <v>21</v>
      </c>
      <c r="F270" t="s">
        <v>1176</v>
      </c>
    </row>
    <row r="271" spans="1:6" hidden="1" x14ac:dyDescent="0.25">
      <c r="A271" t="s">
        <v>1177</v>
      </c>
      <c r="B271" t="s">
        <v>512</v>
      </c>
      <c r="C271" t="s">
        <v>554</v>
      </c>
      <c r="D271" t="s">
        <v>1178</v>
      </c>
      <c r="E271" t="s">
        <v>21</v>
      </c>
      <c r="F271" t="s">
        <v>1179</v>
      </c>
    </row>
    <row r="272" spans="1:6" hidden="1" x14ac:dyDescent="0.25">
      <c r="A272" t="s">
        <v>1180</v>
      </c>
      <c r="B272" t="s">
        <v>143</v>
      </c>
      <c r="C272" t="s">
        <v>376</v>
      </c>
      <c r="D272" t="s">
        <v>1181</v>
      </c>
      <c r="E272" t="s">
        <v>21</v>
      </c>
      <c r="F272" t="s">
        <v>1182</v>
      </c>
    </row>
    <row r="273" spans="1:6" hidden="1" x14ac:dyDescent="0.25">
      <c r="A273" t="s">
        <v>1183</v>
      </c>
      <c r="B273" t="s">
        <v>162</v>
      </c>
      <c r="C273" t="s">
        <v>376</v>
      </c>
      <c r="D273" t="s">
        <v>1184</v>
      </c>
      <c r="E273" t="s">
        <v>21</v>
      </c>
      <c r="F273" t="s">
        <v>1185</v>
      </c>
    </row>
    <row r="274" spans="1:6" hidden="1" x14ac:dyDescent="0.25">
      <c r="A274" t="s">
        <v>207</v>
      </c>
      <c r="B274" t="s">
        <v>28</v>
      </c>
      <c r="C274" t="s">
        <v>376</v>
      </c>
      <c r="D274" t="s">
        <v>208</v>
      </c>
      <c r="E274" t="s">
        <v>21</v>
      </c>
      <c r="F274" t="s">
        <v>211</v>
      </c>
    </row>
    <row r="275" spans="1:6" hidden="1" x14ac:dyDescent="0.25">
      <c r="A275" t="s">
        <v>1186</v>
      </c>
      <c r="B275" t="s">
        <v>132</v>
      </c>
      <c r="C275" t="s">
        <v>376</v>
      </c>
      <c r="D275" t="s">
        <v>1187</v>
      </c>
      <c r="E275" t="s">
        <v>21</v>
      </c>
      <c r="F275" t="s">
        <v>1188</v>
      </c>
    </row>
    <row r="276" spans="1:6" hidden="1" x14ac:dyDescent="0.25">
      <c r="A276" t="s">
        <v>1189</v>
      </c>
      <c r="B276" t="s">
        <v>28</v>
      </c>
      <c r="C276" t="s">
        <v>376</v>
      </c>
      <c r="D276" t="s">
        <v>1190</v>
      </c>
      <c r="E276" t="s">
        <v>21</v>
      </c>
      <c r="F276" t="s">
        <v>1191</v>
      </c>
    </row>
    <row r="277" spans="1:6" hidden="1" x14ac:dyDescent="0.25">
      <c r="A277" t="s">
        <v>1192</v>
      </c>
      <c r="B277" t="s">
        <v>59</v>
      </c>
      <c r="C277" t="s">
        <v>376</v>
      </c>
      <c r="D277" t="s">
        <v>1193</v>
      </c>
      <c r="E277" t="s">
        <v>21</v>
      </c>
      <c r="F277" t="s">
        <v>1194</v>
      </c>
    </row>
    <row r="278" spans="1:6" hidden="1" x14ac:dyDescent="0.25">
      <c r="A278" t="s">
        <v>1195</v>
      </c>
      <c r="B278" t="s">
        <v>634</v>
      </c>
      <c r="C278" t="s">
        <v>469</v>
      </c>
      <c r="D278" t="s">
        <v>1196</v>
      </c>
      <c r="E278" t="s">
        <v>21</v>
      </c>
      <c r="F278" t="s">
        <v>1197</v>
      </c>
    </row>
    <row r="279" spans="1:6" hidden="1" x14ac:dyDescent="0.25">
      <c r="A279" t="s">
        <v>1198</v>
      </c>
      <c r="B279" t="s">
        <v>143</v>
      </c>
      <c r="C279" t="s">
        <v>376</v>
      </c>
      <c r="D279" t="s">
        <v>1199</v>
      </c>
      <c r="E279" t="s">
        <v>21</v>
      </c>
      <c r="F279" t="s">
        <v>1200</v>
      </c>
    </row>
    <row r="280" spans="1:6" hidden="1" x14ac:dyDescent="0.25">
      <c r="A280" t="s">
        <v>1201</v>
      </c>
      <c r="B280" t="s">
        <v>634</v>
      </c>
      <c r="C280" t="s">
        <v>376</v>
      </c>
      <c r="D280" t="s">
        <v>1202</v>
      </c>
      <c r="E280" t="s">
        <v>21</v>
      </c>
      <c r="F280" t="s">
        <v>1203</v>
      </c>
    </row>
    <row r="281" spans="1:6" hidden="1" x14ac:dyDescent="0.25">
      <c r="A281" t="s">
        <v>1204</v>
      </c>
      <c r="B281" t="s">
        <v>256</v>
      </c>
      <c r="C281" t="s">
        <v>376</v>
      </c>
      <c r="D281" t="s">
        <v>1205</v>
      </c>
      <c r="E281" t="s">
        <v>21</v>
      </c>
      <c r="F281" t="s">
        <v>1206</v>
      </c>
    </row>
    <row r="282" spans="1:6" hidden="1" x14ac:dyDescent="0.25">
      <c r="A282" t="s">
        <v>1207</v>
      </c>
      <c r="B282" t="s">
        <v>55</v>
      </c>
      <c r="C282" t="s">
        <v>376</v>
      </c>
      <c r="D282" t="s">
        <v>1208</v>
      </c>
      <c r="E282" t="s">
        <v>21</v>
      </c>
      <c r="F282" t="s">
        <v>1209</v>
      </c>
    </row>
    <row r="283" spans="1:6" hidden="1" x14ac:dyDescent="0.25">
      <c r="A283" t="s">
        <v>365</v>
      </c>
      <c r="B283" t="s">
        <v>59</v>
      </c>
      <c r="C283" t="s">
        <v>376</v>
      </c>
      <c r="D283" t="s">
        <v>1210</v>
      </c>
      <c r="E283" t="s">
        <v>21</v>
      </c>
      <c r="F283" t="s">
        <v>1211</v>
      </c>
    </row>
    <row r="284" spans="1:6" x14ac:dyDescent="0.25">
      <c r="A284" t="s">
        <v>150</v>
      </c>
      <c r="B284" t="s">
        <v>460</v>
      </c>
      <c r="C284" t="s">
        <v>461</v>
      </c>
      <c r="D284" t="s">
        <v>151</v>
      </c>
      <c r="E284" t="s">
        <v>21</v>
      </c>
      <c r="F284" t="s">
        <v>152</v>
      </c>
    </row>
    <row r="285" spans="1:6" hidden="1" x14ac:dyDescent="0.25">
      <c r="A285" t="s">
        <v>160</v>
      </c>
      <c r="B285" t="s">
        <v>162</v>
      </c>
      <c r="C285" t="s">
        <v>376</v>
      </c>
      <c r="D285" t="s">
        <v>161</v>
      </c>
      <c r="E285" t="s">
        <v>21</v>
      </c>
      <c r="F285" t="s">
        <v>165</v>
      </c>
    </row>
    <row r="286" spans="1:6" hidden="1" x14ac:dyDescent="0.25">
      <c r="A286" t="s">
        <v>1212</v>
      </c>
      <c r="B286" t="s">
        <v>421</v>
      </c>
      <c r="C286" t="s">
        <v>376</v>
      </c>
      <c r="D286" t="s">
        <v>1213</v>
      </c>
      <c r="E286" t="s">
        <v>21</v>
      </c>
      <c r="F286" t="s">
        <v>1214</v>
      </c>
    </row>
    <row r="287" spans="1:6" hidden="1" x14ac:dyDescent="0.25">
      <c r="A287" t="s">
        <v>1215</v>
      </c>
      <c r="B287" t="s">
        <v>39</v>
      </c>
      <c r="C287" t="s">
        <v>376</v>
      </c>
      <c r="D287" t="s">
        <v>1216</v>
      </c>
      <c r="E287" t="s">
        <v>21</v>
      </c>
      <c r="F287" t="s">
        <v>1217</v>
      </c>
    </row>
    <row r="288" spans="1:6" hidden="1" x14ac:dyDescent="0.25">
      <c r="A288" t="s">
        <v>1218</v>
      </c>
      <c r="B288" t="s">
        <v>55</v>
      </c>
      <c r="C288" t="s">
        <v>376</v>
      </c>
      <c r="D288" t="s">
        <v>1219</v>
      </c>
      <c r="E288" t="s">
        <v>21</v>
      </c>
      <c r="F288" t="s">
        <v>1220</v>
      </c>
    </row>
    <row r="289" spans="1:6" hidden="1" x14ac:dyDescent="0.25">
      <c r="A289" t="s">
        <v>1221</v>
      </c>
      <c r="B289" t="s">
        <v>434</v>
      </c>
      <c r="C289" t="s">
        <v>376</v>
      </c>
      <c r="D289" t="s">
        <v>1222</v>
      </c>
      <c r="E289" t="s">
        <v>21</v>
      </c>
      <c r="F289" t="s">
        <v>1223</v>
      </c>
    </row>
    <row r="290" spans="1:6" hidden="1" x14ac:dyDescent="0.25">
      <c r="A290" t="s">
        <v>1224</v>
      </c>
      <c r="B290" t="s">
        <v>64</v>
      </c>
      <c r="C290" t="s">
        <v>376</v>
      </c>
      <c r="D290" t="s">
        <v>1225</v>
      </c>
      <c r="E290" t="s">
        <v>21</v>
      </c>
      <c r="F290" t="s">
        <v>1226</v>
      </c>
    </row>
    <row r="291" spans="1:6" hidden="1" x14ac:dyDescent="0.25">
      <c r="A291" t="s">
        <v>1227</v>
      </c>
      <c r="B291" t="s">
        <v>143</v>
      </c>
      <c r="C291" t="s">
        <v>376</v>
      </c>
      <c r="D291" t="s">
        <v>1228</v>
      </c>
      <c r="E291" t="s">
        <v>21</v>
      </c>
      <c r="F291" t="s">
        <v>1229</v>
      </c>
    </row>
    <row r="292" spans="1:6" hidden="1" x14ac:dyDescent="0.25">
      <c r="A292" t="s">
        <v>1230</v>
      </c>
      <c r="B292" t="s">
        <v>68</v>
      </c>
      <c r="C292" t="s">
        <v>376</v>
      </c>
      <c r="D292" t="s">
        <v>1231</v>
      </c>
      <c r="E292" t="s">
        <v>21</v>
      </c>
      <c r="F292" t="s">
        <v>1232</v>
      </c>
    </row>
    <row r="293" spans="1:6" hidden="1" x14ac:dyDescent="0.25">
      <c r="A293" t="s">
        <v>1233</v>
      </c>
      <c r="B293" t="s">
        <v>55</v>
      </c>
      <c r="C293" t="s">
        <v>376</v>
      </c>
      <c r="D293" t="s">
        <v>1234</v>
      </c>
      <c r="E293" t="s">
        <v>21</v>
      </c>
      <c r="F293" t="s">
        <v>1235</v>
      </c>
    </row>
    <row r="294" spans="1:6" hidden="1" x14ac:dyDescent="0.25">
      <c r="A294" t="s">
        <v>1236</v>
      </c>
      <c r="B294" t="s">
        <v>68</v>
      </c>
      <c r="C294" t="s">
        <v>376</v>
      </c>
      <c r="D294" t="s">
        <v>1237</v>
      </c>
      <c r="E294" t="s">
        <v>21</v>
      </c>
      <c r="F294" t="s">
        <v>1238</v>
      </c>
    </row>
    <row r="295" spans="1:6" hidden="1" x14ac:dyDescent="0.25">
      <c r="A295" t="s">
        <v>1239</v>
      </c>
      <c r="B295" t="s">
        <v>1240</v>
      </c>
      <c r="C295" t="s">
        <v>1241</v>
      </c>
      <c r="D295" t="s">
        <v>1242</v>
      </c>
      <c r="E295" t="s">
        <v>21</v>
      </c>
      <c r="F295" t="s">
        <v>1243</v>
      </c>
    </row>
    <row r="296" spans="1:6" hidden="1" x14ac:dyDescent="0.25">
      <c r="A296" t="s">
        <v>1244</v>
      </c>
      <c r="B296" t="s">
        <v>457</v>
      </c>
      <c r="C296" t="s">
        <v>376</v>
      </c>
      <c r="D296" t="s">
        <v>1245</v>
      </c>
      <c r="E296" t="s">
        <v>21</v>
      </c>
      <c r="F296" t="s">
        <v>1246</v>
      </c>
    </row>
    <row r="297" spans="1:6" hidden="1" x14ac:dyDescent="0.25">
      <c r="A297" t="s">
        <v>1247</v>
      </c>
      <c r="B297" t="s">
        <v>28</v>
      </c>
      <c r="C297" t="s">
        <v>376</v>
      </c>
      <c r="D297" t="s">
        <v>1248</v>
      </c>
      <c r="E297" t="s">
        <v>21</v>
      </c>
      <c r="F297" t="s">
        <v>1249</v>
      </c>
    </row>
    <row r="298" spans="1:6" hidden="1" x14ac:dyDescent="0.25">
      <c r="A298" t="s">
        <v>1250</v>
      </c>
      <c r="B298" t="s">
        <v>44</v>
      </c>
      <c r="C298" t="s">
        <v>376</v>
      </c>
      <c r="D298" t="s">
        <v>1251</v>
      </c>
      <c r="E298" t="s">
        <v>21</v>
      </c>
      <c r="F298" t="s">
        <v>1252</v>
      </c>
    </row>
    <row r="299" spans="1:6" hidden="1" x14ac:dyDescent="0.25">
      <c r="A299" t="s">
        <v>1253</v>
      </c>
      <c r="B299" t="s">
        <v>529</v>
      </c>
      <c r="C299" t="s">
        <v>376</v>
      </c>
      <c r="D299" t="s">
        <v>1254</v>
      </c>
      <c r="E299" t="s">
        <v>21</v>
      </c>
      <c r="F299" t="s">
        <v>1255</v>
      </c>
    </row>
    <row r="300" spans="1:6" hidden="1" x14ac:dyDescent="0.25">
      <c r="A300" t="s">
        <v>1256</v>
      </c>
      <c r="B300" t="s">
        <v>398</v>
      </c>
      <c r="C300" t="s">
        <v>376</v>
      </c>
      <c r="D300" t="s">
        <v>1257</v>
      </c>
      <c r="E300" t="s">
        <v>21</v>
      </c>
      <c r="F300" t="s">
        <v>1258</v>
      </c>
    </row>
    <row r="301" spans="1:6" hidden="1" x14ac:dyDescent="0.25">
      <c r="A301" t="s">
        <v>1259</v>
      </c>
      <c r="B301" t="s">
        <v>28</v>
      </c>
      <c r="C301" t="s">
        <v>376</v>
      </c>
      <c r="D301" t="s">
        <v>1260</v>
      </c>
      <c r="E301" t="s">
        <v>21</v>
      </c>
      <c r="F301" t="s">
        <v>1261</v>
      </c>
    </row>
    <row r="302" spans="1:6" x14ac:dyDescent="0.25">
      <c r="A302" t="s">
        <v>240</v>
      </c>
      <c r="B302" t="s">
        <v>460</v>
      </c>
      <c r="C302" t="s">
        <v>461</v>
      </c>
      <c r="D302" t="s">
        <v>241</v>
      </c>
      <c r="E302" t="s">
        <v>21</v>
      </c>
      <c r="F302" t="s">
        <v>242</v>
      </c>
    </row>
    <row r="303" spans="1:6" hidden="1" x14ac:dyDescent="0.25">
      <c r="A303" t="s">
        <v>1262</v>
      </c>
      <c r="B303" t="s">
        <v>421</v>
      </c>
      <c r="C303" t="s">
        <v>376</v>
      </c>
      <c r="D303" t="s">
        <v>1263</v>
      </c>
      <c r="E303" t="s">
        <v>21</v>
      </c>
      <c r="F303" t="s">
        <v>1264</v>
      </c>
    </row>
    <row r="304" spans="1:6" hidden="1" x14ac:dyDescent="0.25">
      <c r="A304" t="s">
        <v>1265</v>
      </c>
      <c r="B304" t="s">
        <v>15</v>
      </c>
      <c r="C304" t="s">
        <v>376</v>
      </c>
      <c r="D304" t="s">
        <v>1266</v>
      </c>
      <c r="E304" t="s">
        <v>21</v>
      </c>
      <c r="F304" t="s">
        <v>1267</v>
      </c>
    </row>
    <row r="305" spans="1:6" hidden="1" x14ac:dyDescent="0.25">
      <c r="A305" t="s">
        <v>1268</v>
      </c>
      <c r="B305" t="s">
        <v>55</v>
      </c>
      <c r="C305" t="s">
        <v>376</v>
      </c>
      <c r="D305" t="s">
        <v>1269</v>
      </c>
      <c r="E305" t="s">
        <v>21</v>
      </c>
      <c r="F305" t="s">
        <v>1270</v>
      </c>
    </row>
    <row r="306" spans="1:6" hidden="1" x14ac:dyDescent="0.25">
      <c r="A306" t="s">
        <v>1271</v>
      </c>
      <c r="B306" t="s">
        <v>245</v>
      </c>
      <c r="C306" t="s">
        <v>376</v>
      </c>
      <c r="D306" t="s">
        <v>1272</v>
      </c>
      <c r="E306" t="s">
        <v>21</v>
      </c>
      <c r="F306" t="s">
        <v>1273</v>
      </c>
    </row>
    <row r="307" spans="1:6" hidden="1" x14ac:dyDescent="0.25">
      <c r="A307" t="s">
        <v>1274</v>
      </c>
      <c r="B307" t="s">
        <v>124</v>
      </c>
      <c r="C307" t="s">
        <v>376</v>
      </c>
      <c r="D307" t="s">
        <v>1275</v>
      </c>
      <c r="E307" t="s">
        <v>21</v>
      </c>
      <c r="F307" t="s">
        <v>1276</v>
      </c>
    </row>
    <row r="308" spans="1:6" hidden="1" x14ac:dyDescent="0.25">
      <c r="A308" t="s">
        <v>1277</v>
      </c>
      <c r="B308" t="s">
        <v>512</v>
      </c>
      <c r="C308" t="s">
        <v>554</v>
      </c>
      <c r="D308" t="s">
        <v>1278</v>
      </c>
      <c r="E308" t="s">
        <v>21</v>
      </c>
      <c r="F308" t="s">
        <v>1279</v>
      </c>
    </row>
    <row r="309" spans="1:6" hidden="1" x14ac:dyDescent="0.25">
      <c r="A309" t="s">
        <v>1280</v>
      </c>
      <c r="B309" t="s">
        <v>701</v>
      </c>
      <c r="C309" t="s">
        <v>376</v>
      </c>
      <c r="D309" t="s">
        <v>1281</v>
      </c>
      <c r="E309" t="s">
        <v>21</v>
      </c>
      <c r="F309" t="s">
        <v>1282</v>
      </c>
    </row>
    <row r="310" spans="1:6" hidden="1" x14ac:dyDescent="0.25">
      <c r="A310" t="s">
        <v>1283</v>
      </c>
      <c r="B310" t="s">
        <v>256</v>
      </c>
      <c r="C310" t="s">
        <v>376</v>
      </c>
      <c r="D310" t="s">
        <v>1284</v>
      </c>
      <c r="E310" t="s">
        <v>21</v>
      </c>
      <c r="F310" t="s">
        <v>1285</v>
      </c>
    </row>
    <row r="311" spans="1:6" hidden="1" x14ac:dyDescent="0.25">
      <c r="A311" t="s">
        <v>1286</v>
      </c>
      <c r="B311" t="s">
        <v>51</v>
      </c>
      <c r="C311" t="s">
        <v>376</v>
      </c>
      <c r="D311" t="s">
        <v>1287</v>
      </c>
      <c r="E311" t="s">
        <v>21</v>
      </c>
      <c r="F311" t="s">
        <v>1288</v>
      </c>
    </row>
    <row r="312" spans="1:6" hidden="1" x14ac:dyDescent="0.25">
      <c r="A312" t="s">
        <v>1289</v>
      </c>
      <c r="B312" t="s">
        <v>15</v>
      </c>
      <c r="C312" t="s">
        <v>376</v>
      </c>
      <c r="D312" t="s">
        <v>1290</v>
      </c>
      <c r="E312" t="s">
        <v>21</v>
      </c>
      <c r="F312" t="s">
        <v>1291</v>
      </c>
    </row>
    <row r="313" spans="1:6" hidden="1" x14ac:dyDescent="0.25">
      <c r="A313" t="s">
        <v>1292</v>
      </c>
      <c r="B313" t="s">
        <v>51</v>
      </c>
      <c r="C313" t="s">
        <v>376</v>
      </c>
      <c r="D313" t="s">
        <v>1293</v>
      </c>
      <c r="E313" t="s">
        <v>21</v>
      </c>
      <c r="F313" t="s">
        <v>1294</v>
      </c>
    </row>
    <row r="314" spans="1:6" hidden="1" x14ac:dyDescent="0.25">
      <c r="A314" t="s">
        <v>1295</v>
      </c>
      <c r="B314" t="s">
        <v>256</v>
      </c>
      <c r="C314" t="s">
        <v>376</v>
      </c>
      <c r="D314" t="s">
        <v>1296</v>
      </c>
      <c r="E314" t="s">
        <v>21</v>
      </c>
      <c r="F314" t="s">
        <v>1297</v>
      </c>
    </row>
    <row r="315" spans="1:6" hidden="1" x14ac:dyDescent="0.25">
      <c r="A315" t="s">
        <v>1298</v>
      </c>
      <c r="B315" t="s">
        <v>55</v>
      </c>
      <c r="C315" t="s">
        <v>376</v>
      </c>
      <c r="D315" t="s">
        <v>1299</v>
      </c>
      <c r="E315" t="s">
        <v>21</v>
      </c>
      <c r="F315" t="s">
        <v>1300</v>
      </c>
    </row>
    <row r="316" spans="1:6" hidden="1" x14ac:dyDescent="0.25">
      <c r="A316" t="s">
        <v>1301</v>
      </c>
      <c r="B316" t="s">
        <v>15</v>
      </c>
      <c r="C316" t="s">
        <v>376</v>
      </c>
      <c r="D316" t="s">
        <v>1302</v>
      </c>
      <c r="E316" t="s">
        <v>21</v>
      </c>
      <c r="F316" t="s">
        <v>1303</v>
      </c>
    </row>
    <row r="317" spans="1:6" hidden="1" x14ac:dyDescent="0.25">
      <c r="A317" t="s">
        <v>1304</v>
      </c>
      <c r="B317" t="s">
        <v>344</v>
      </c>
      <c r="C317" t="s">
        <v>376</v>
      </c>
      <c r="D317" t="s">
        <v>1305</v>
      </c>
      <c r="E317" t="s">
        <v>21</v>
      </c>
      <c r="F317" t="s">
        <v>1306</v>
      </c>
    </row>
    <row r="318" spans="1:6" hidden="1" x14ac:dyDescent="0.25">
      <c r="A318" t="s">
        <v>1307</v>
      </c>
      <c r="B318" t="s">
        <v>421</v>
      </c>
      <c r="C318" t="s">
        <v>376</v>
      </c>
      <c r="D318" t="s">
        <v>1308</v>
      </c>
      <c r="E318" t="s">
        <v>21</v>
      </c>
      <c r="F318" t="s">
        <v>1309</v>
      </c>
    </row>
    <row r="319" spans="1:6" hidden="1" x14ac:dyDescent="0.25">
      <c r="A319" t="s">
        <v>1310</v>
      </c>
      <c r="B319" t="s">
        <v>256</v>
      </c>
      <c r="C319" t="s">
        <v>376</v>
      </c>
      <c r="D319" t="s">
        <v>1311</v>
      </c>
      <c r="E319" t="s">
        <v>21</v>
      </c>
      <c r="F319" t="s">
        <v>1312</v>
      </c>
    </row>
    <row r="320" spans="1:6" hidden="1" x14ac:dyDescent="0.25">
      <c r="A320" t="s">
        <v>1313</v>
      </c>
      <c r="B320" t="s">
        <v>512</v>
      </c>
      <c r="C320" t="s">
        <v>554</v>
      </c>
      <c r="D320" t="s">
        <v>1314</v>
      </c>
      <c r="E320" t="s">
        <v>21</v>
      </c>
      <c r="F320" t="s">
        <v>1315</v>
      </c>
    </row>
    <row r="321" spans="1:6" hidden="1" x14ac:dyDescent="0.25">
      <c r="A321" t="s">
        <v>145</v>
      </c>
      <c r="B321" t="s">
        <v>124</v>
      </c>
      <c r="C321" t="s">
        <v>376</v>
      </c>
      <c r="D321" t="s">
        <v>146</v>
      </c>
      <c r="E321" t="s">
        <v>21</v>
      </c>
      <c r="F321" t="s">
        <v>147</v>
      </c>
    </row>
    <row r="322" spans="1:6" hidden="1" x14ac:dyDescent="0.25">
      <c r="A322" t="s">
        <v>1316</v>
      </c>
      <c r="B322" t="s">
        <v>626</v>
      </c>
      <c r="C322" t="s">
        <v>627</v>
      </c>
      <c r="D322" t="s">
        <v>1317</v>
      </c>
      <c r="E322" t="s">
        <v>21</v>
      </c>
      <c r="F322" t="s">
        <v>1318</v>
      </c>
    </row>
    <row r="323" spans="1:6" hidden="1" x14ac:dyDescent="0.25">
      <c r="A323" t="s">
        <v>1319</v>
      </c>
      <c r="B323" t="s">
        <v>132</v>
      </c>
      <c r="C323" t="s">
        <v>376</v>
      </c>
      <c r="D323" t="s">
        <v>1320</v>
      </c>
      <c r="E323" t="s">
        <v>21</v>
      </c>
      <c r="F323" t="s">
        <v>1321</v>
      </c>
    </row>
    <row r="324" spans="1:6" hidden="1" x14ac:dyDescent="0.25">
      <c r="A324" t="s">
        <v>1322</v>
      </c>
      <c r="B324" t="s">
        <v>64</v>
      </c>
      <c r="C324" t="s">
        <v>376</v>
      </c>
      <c r="D324" t="s">
        <v>1323</v>
      </c>
      <c r="E324" t="s">
        <v>21</v>
      </c>
      <c r="F324" t="s">
        <v>1324</v>
      </c>
    </row>
    <row r="325" spans="1:6" hidden="1" x14ac:dyDescent="0.25">
      <c r="A325" t="s">
        <v>321</v>
      </c>
      <c r="B325" t="s">
        <v>344</v>
      </c>
      <c r="C325" t="s">
        <v>376</v>
      </c>
      <c r="D325" t="s">
        <v>322</v>
      </c>
      <c r="E325" t="s">
        <v>21</v>
      </c>
      <c r="F325" t="s">
        <v>323</v>
      </c>
    </row>
    <row r="326" spans="1:6" hidden="1" x14ac:dyDescent="0.25">
      <c r="A326" t="s">
        <v>1325</v>
      </c>
      <c r="B326" t="s">
        <v>15</v>
      </c>
      <c r="C326" t="s">
        <v>376</v>
      </c>
      <c r="D326" t="s">
        <v>1326</v>
      </c>
      <c r="E326" t="s">
        <v>21</v>
      </c>
      <c r="F326" t="s">
        <v>1327</v>
      </c>
    </row>
    <row r="327" spans="1:6" hidden="1" x14ac:dyDescent="0.25">
      <c r="A327" t="s">
        <v>1328</v>
      </c>
      <c r="B327" t="s">
        <v>124</v>
      </c>
      <c r="C327" t="s">
        <v>376</v>
      </c>
      <c r="D327" t="s">
        <v>1329</v>
      </c>
      <c r="E327" t="s">
        <v>21</v>
      </c>
      <c r="F327" t="s">
        <v>1330</v>
      </c>
    </row>
    <row r="328" spans="1:6" hidden="1" x14ac:dyDescent="0.25">
      <c r="A328" t="s">
        <v>1331</v>
      </c>
      <c r="B328" t="s">
        <v>626</v>
      </c>
      <c r="C328" t="s">
        <v>788</v>
      </c>
      <c r="D328" t="s">
        <v>1332</v>
      </c>
      <c r="E328" t="s">
        <v>21</v>
      </c>
      <c r="F328" t="s">
        <v>1333</v>
      </c>
    </row>
    <row r="329" spans="1:6" hidden="1" x14ac:dyDescent="0.25">
      <c r="A329" t="s">
        <v>1334</v>
      </c>
      <c r="B329" t="s">
        <v>78</v>
      </c>
      <c r="C329" t="s">
        <v>376</v>
      </c>
      <c r="D329" t="s">
        <v>1335</v>
      </c>
      <c r="E329" t="s">
        <v>21</v>
      </c>
      <c r="F329" t="s">
        <v>1336</v>
      </c>
    </row>
    <row r="330" spans="1:6" hidden="1" x14ac:dyDescent="0.25">
      <c r="A330" t="s">
        <v>1337</v>
      </c>
      <c r="B330" t="s">
        <v>256</v>
      </c>
      <c r="C330" t="s">
        <v>376</v>
      </c>
      <c r="D330" t="s">
        <v>1338</v>
      </c>
      <c r="E330" t="s">
        <v>21</v>
      </c>
      <c r="F330" t="s">
        <v>1339</v>
      </c>
    </row>
    <row r="331" spans="1:6" hidden="1" x14ac:dyDescent="0.25">
      <c r="A331" t="s">
        <v>1340</v>
      </c>
      <c r="B331" t="s">
        <v>55</v>
      </c>
      <c r="C331" t="s">
        <v>376</v>
      </c>
      <c r="D331" t="s">
        <v>1341</v>
      </c>
      <c r="E331" t="s">
        <v>21</v>
      </c>
      <c r="F331" t="s">
        <v>1342</v>
      </c>
    </row>
    <row r="332" spans="1:6" hidden="1" x14ac:dyDescent="0.25">
      <c r="A332" t="s">
        <v>1343</v>
      </c>
      <c r="B332" t="s">
        <v>626</v>
      </c>
      <c r="C332" t="s">
        <v>788</v>
      </c>
      <c r="D332" t="s">
        <v>1344</v>
      </c>
      <c r="E332" t="s">
        <v>21</v>
      </c>
      <c r="F332" t="s">
        <v>1345</v>
      </c>
    </row>
    <row r="333" spans="1:6" hidden="1" x14ac:dyDescent="0.25">
      <c r="A333" t="s">
        <v>1346</v>
      </c>
      <c r="B333" t="s">
        <v>626</v>
      </c>
      <c r="C333" t="s">
        <v>1053</v>
      </c>
      <c r="D333" t="s">
        <v>1347</v>
      </c>
      <c r="E333" t="s">
        <v>21</v>
      </c>
      <c r="F333" t="s">
        <v>1348</v>
      </c>
    </row>
    <row r="334" spans="1:6" hidden="1" x14ac:dyDescent="0.25">
      <c r="A334" t="s">
        <v>1349</v>
      </c>
      <c r="B334" t="s">
        <v>529</v>
      </c>
      <c r="C334" t="s">
        <v>376</v>
      </c>
      <c r="D334" t="s">
        <v>1350</v>
      </c>
      <c r="E334" t="s">
        <v>21</v>
      </c>
      <c r="F334" t="s">
        <v>1351</v>
      </c>
    </row>
    <row r="335" spans="1:6" hidden="1" x14ac:dyDescent="0.25">
      <c r="A335" t="s">
        <v>1352</v>
      </c>
      <c r="B335" t="s">
        <v>256</v>
      </c>
      <c r="C335" t="s">
        <v>376</v>
      </c>
      <c r="D335" t="s">
        <v>1353</v>
      </c>
      <c r="E335" t="s">
        <v>21</v>
      </c>
      <c r="F335" t="s">
        <v>1354</v>
      </c>
    </row>
    <row r="336" spans="1:6" hidden="1" x14ac:dyDescent="0.25">
      <c r="A336" t="s">
        <v>1355</v>
      </c>
      <c r="B336" t="s">
        <v>15</v>
      </c>
      <c r="C336" t="s">
        <v>376</v>
      </c>
      <c r="D336" t="s">
        <v>1356</v>
      </c>
      <c r="E336" t="s">
        <v>21</v>
      </c>
      <c r="F336" t="s">
        <v>1357</v>
      </c>
    </row>
    <row r="337" spans="1:6" hidden="1" x14ac:dyDescent="0.25">
      <c r="A337" t="s">
        <v>1358</v>
      </c>
      <c r="B337" t="s">
        <v>15</v>
      </c>
      <c r="C337" t="s">
        <v>376</v>
      </c>
      <c r="D337" t="s">
        <v>1359</v>
      </c>
      <c r="E337" t="s">
        <v>21</v>
      </c>
      <c r="F337" t="s">
        <v>1360</v>
      </c>
    </row>
    <row r="338" spans="1:6" hidden="1" x14ac:dyDescent="0.25">
      <c r="A338" t="s">
        <v>1361</v>
      </c>
      <c r="B338" t="s">
        <v>51</v>
      </c>
      <c r="C338" t="s">
        <v>376</v>
      </c>
      <c r="D338" t="s">
        <v>1362</v>
      </c>
      <c r="E338" t="s">
        <v>21</v>
      </c>
      <c r="F338" t="s">
        <v>1363</v>
      </c>
    </row>
    <row r="339" spans="1:6" hidden="1" x14ac:dyDescent="0.25">
      <c r="A339" t="s">
        <v>1364</v>
      </c>
      <c r="B339" t="s">
        <v>626</v>
      </c>
      <c r="C339" t="s">
        <v>788</v>
      </c>
      <c r="D339" t="s">
        <v>1365</v>
      </c>
      <c r="E339" t="s">
        <v>21</v>
      </c>
      <c r="F339" t="s">
        <v>1366</v>
      </c>
    </row>
    <row r="340" spans="1:6" hidden="1" x14ac:dyDescent="0.25">
      <c r="A340" t="s">
        <v>1367</v>
      </c>
      <c r="B340" t="s">
        <v>626</v>
      </c>
      <c r="C340" t="s">
        <v>627</v>
      </c>
      <c r="D340" t="s">
        <v>1368</v>
      </c>
      <c r="E340" t="s">
        <v>21</v>
      </c>
      <c r="F340" t="s">
        <v>1369</v>
      </c>
    </row>
    <row r="341" spans="1:6" hidden="1" x14ac:dyDescent="0.25">
      <c r="A341" t="s">
        <v>363</v>
      </c>
      <c r="B341" t="s">
        <v>15</v>
      </c>
      <c r="C341" t="s">
        <v>376</v>
      </c>
      <c r="D341" t="s">
        <v>1370</v>
      </c>
      <c r="E341" t="s">
        <v>21</v>
      </c>
      <c r="F341" t="s">
        <v>1371</v>
      </c>
    </row>
    <row r="342" spans="1:6" hidden="1" x14ac:dyDescent="0.25">
      <c r="A342" t="s">
        <v>1372</v>
      </c>
      <c r="B342" t="s">
        <v>626</v>
      </c>
      <c r="C342" t="s">
        <v>627</v>
      </c>
      <c r="D342" t="s">
        <v>1373</v>
      </c>
      <c r="E342" t="s">
        <v>21</v>
      </c>
      <c r="F342" t="s">
        <v>1374</v>
      </c>
    </row>
    <row r="343" spans="1:6" hidden="1" x14ac:dyDescent="0.25">
      <c r="A343" t="s">
        <v>1375</v>
      </c>
      <c r="B343" t="s">
        <v>162</v>
      </c>
      <c r="C343" t="s">
        <v>376</v>
      </c>
      <c r="D343" t="s">
        <v>1376</v>
      </c>
      <c r="E343" t="s">
        <v>21</v>
      </c>
      <c r="F343" t="s">
        <v>1377</v>
      </c>
    </row>
    <row r="344" spans="1:6" hidden="1" x14ac:dyDescent="0.25">
      <c r="A344" t="s">
        <v>257</v>
      </c>
      <c r="B344" t="s">
        <v>139</v>
      </c>
      <c r="C344" t="s">
        <v>376</v>
      </c>
      <c r="D344" t="s">
        <v>258</v>
      </c>
      <c r="E344" t="s">
        <v>21</v>
      </c>
      <c r="F344" t="s">
        <v>260</v>
      </c>
    </row>
    <row r="345" spans="1:6" hidden="1" x14ac:dyDescent="0.25">
      <c r="A345" t="s">
        <v>1378</v>
      </c>
      <c r="B345" t="s">
        <v>1078</v>
      </c>
      <c r="C345" t="s">
        <v>1379</v>
      </c>
      <c r="D345" t="s">
        <v>1380</v>
      </c>
      <c r="E345" t="s">
        <v>21</v>
      </c>
      <c r="F345" t="s">
        <v>1381</v>
      </c>
    </row>
    <row r="346" spans="1:6" hidden="1" x14ac:dyDescent="0.25">
      <c r="A346" t="s">
        <v>1382</v>
      </c>
      <c r="B346" t="s">
        <v>68</v>
      </c>
      <c r="C346" t="s">
        <v>376</v>
      </c>
      <c r="D346" t="s">
        <v>1383</v>
      </c>
      <c r="E346" t="s">
        <v>21</v>
      </c>
      <c r="F346" t="s">
        <v>1384</v>
      </c>
    </row>
    <row r="347" spans="1:6" hidden="1" x14ac:dyDescent="0.25">
      <c r="A347" t="s">
        <v>1385</v>
      </c>
      <c r="B347" t="s">
        <v>55</v>
      </c>
      <c r="C347" t="s">
        <v>376</v>
      </c>
      <c r="D347" t="s">
        <v>1386</v>
      </c>
      <c r="E347" t="s">
        <v>21</v>
      </c>
      <c r="F347" t="s">
        <v>1387</v>
      </c>
    </row>
    <row r="348" spans="1:6" hidden="1" x14ac:dyDescent="0.25">
      <c r="A348" t="s">
        <v>1388</v>
      </c>
      <c r="B348" t="s">
        <v>128</v>
      </c>
      <c r="C348" t="s">
        <v>376</v>
      </c>
      <c r="D348" t="s">
        <v>1389</v>
      </c>
      <c r="E348" t="s">
        <v>21</v>
      </c>
      <c r="F348" t="s">
        <v>1390</v>
      </c>
    </row>
    <row r="349" spans="1:6" hidden="1" x14ac:dyDescent="0.25">
      <c r="A349" t="s">
        <v>1391</v>
      </c>
      <c r="B349" t="s">
        <v>132</v>
      </c>
      <c r="C349" t="s">
        <v>376</v>
      </c>
      <c r="D349" t="s">
        <v>1392</v>
      </c>
      <c r="E349" t="s">
        <v>21</v>
      </c>
      <c r="F349" t="s">
        <v>1393</v>
      </c>
    </row>
    <row r="350" spans="1:6" hidden="1" x14ac:dyDescent="0.25">
      <c r="A350" t="s">
        <v>1394</v>
      </c>
      <c r="B350" t="s">
        <v>132</v>
      </c>
      <c r="C350" t="s">
        <v>469</v>
      </c>
      <c r="D350" t="s">
        <v>1395</v>
      </c>
      <c r="E350" t="s">
        <v>21</v>
      </c>
      <c r="F350" t="s">
        <v>1396</v>
      </c>
    </row>
    <row r="351" spans="1:6" hidden="1" x14ac:dyDescent="0.25">
      <c r="A351" t="s">
        <v>1397</v>
      </c>
      <c r="B351" t="s">
        <v>162</v>
      </c>
      <c r="C351" t="s">
        <v>376</v>
      </c>
      <c r="D351" t="s">
        <v>1398</v>
      </c>
      <c r="E351" t="s">
        <v>21</v>
      </c>
      <c r="F351" t="s">
        <v>1399</v>
      </c>
    </row>
    <row r="352" spans="1:6" hidden="1" x14ac:dyDescent="0.25">
      <c r="A352" t="s">
        <v>1400</v>
      </c>
      <c r="B352" t="s">
        <v>1401</v>
      </c>
      <c r="C352" t="s">
        <v>376</v>
      </c>
      <c r="D352" t="s">
        <v>1402</v>
      </c>
      <c r="E352" t="s">
        <v>21</v>
      </c>
      <c r="F352" t="s">
        <v>1403</v>
      </c>
    </row>
    <row r="353" spans="1:6" hidden="1" x14ac:dyDescent="0.25">
      <c r="A353" t="s">
        <v>1404</v>
      </c>
      <c r="B353" t="s">
        <v>59</v>
      </c>
      <c r="C353" t="s">
        <v>376</v>
      </c>
      <c r="D353" t="s">
        <v>1405</v>
      </c>
      <c r="E353" t="s">
        <v>21</v>
      </c>
      <c r="F353" t="s">
        <v>1406</v>
      </c>
    </row>
    <row r="354" spans="1:6" hidden="1" x14ac:dyDescent="0.25">
      <c r="A354" t="s">
        <v>1407</v>
      </c>
      <c r="B354" t="s">
        <v>256</v>
      </c>
      <c r="C354" t="s">
        <v>376</v>
      </c>
      <c r="D354" t="s">
        <v>1408</v>
      </c>
      <c r="E354" t="s">
        <v>21</v>
      </c>
      <c r="F354" t="s">
        <v>1409</v>
      </c>
    </row>
    <row r="355" spans="1:6" hidden="1" x14ac:dyDescent="0.25">
      <c r="A355" t="s">
        <v>1410</v>
      </c>
      <c r="B355" t="s">
        <v>609</v>
      </c>
      <c r="C355" t="s">
        <v>376</v>
      </c>
      <c r="D355" t="s">
        <v>1411</v>
      </c>
      <c r="E355" t="s">
        <v>21</v>
      </c>
      <c r="F355" t="s">
        <v>1412</v>
      </c>
    </row>
    <row r="356" spans="1:6" hidden="1" x14ac:dyDescent="0.25">
      <c r="A356" t="s">
        <v>1413</v>
      </c>
      <c r="B356" t="s">
        <v>143</v>
      </c>
      <c r="C356" t="s">
        <v>376</v>
      </c>
      <c r="D356" t="s">
        <v>1414</v>
      </c>
      <c r="E356" t="s">
        <v>21</v>
      </c>
      <c r="F356" t="s">
        <v>1415</v>
      </c>
    </row>
    <row r="357" spans="1:6" hidden="1" x14ac:dyDescent="0.25">
      <c r="A357" t="s">
        <v>1416</v>
      </c>
      <c r="B357" t="s">
        <v>1417</v>
      </c>
      <c r="C357" t="s">
        <v>1418</v>
      </c>
      <c r="D357" t="s">
        <v>1419</v>
      </c>
      <c r="E357" t="s">
        <v>21</v>
      </c>
      <c r="F357" t="s">
        <v>1420</v>
      </c>
    </row>
    <row r="358" spans="1:6" hidden="1" x14ac:dyDescent="0.25">
      <c r="A358" t="s">
        <v>1421</v>
      </c>
      <c r="B358" t="s">
        <v>256</v>
      </c>
      <c r="C358" t="s">
        <v>376</v>
      </c>
      <c r="D358" t="s">
        <v>1422</v>
      </c>
      <c r="E358" t="s">
        <v>21</v>
      </c>
      <c r="F358" t="s">
        <v>1423</v>
      </c>
    </row>
    <row r="359" spans="1:6" hidden="1" x14ac:dyDescent="0.25">
      <c r="A359" t="s">
        <v>1424</v>
      </c>
      <c r="B359" t="s">
        <v>28</v>
      </c>
      <c r="C359" t="s">
        <v>376</v>
      </c>
      <c r="D359" t="s">
        <v>1425</v>
      </c>
      <c r="E359" t="s">
        <v>21</v>
      </c>
      <c r="F359" t="s">
        <v>1426</v>
      </c>
    </row>
    <row r="360" spans="1:6" hidden="1" x14ac:dyDescent="0.25">
      <c r="A360" t="s">
        <v>1427</v>
      </c>
      <c r="B360" t="s">
        <v>256</v>
      </c>
      <c r="C360" t="s">
        <v>376</v>
      </c>
      <c r="D360" t="s">
        <v>1428</v>
      </c>
      <c r="E360" t="s">
        <v>21</v>
      </c>
      <c r="F360" t="s">
        <v>1429</v>
      </c>
    </row>
    <row r="361" spans="1:6" hidden="1" x14ac:dyDescent="0.25">
      <c r="A361" t="s">
        <v>100</v>
      </c>
      <c r="B361" t="s">
        <v>1430</v>
      </c>
      <c r="C361" t="s">
        <v>376</v>
      </c>
      <c r="D361" t="s">
        <v>101</v>
      </c>
      <c r="E361" t="s">
        <v>21</v>
      </c>
      <c r="F361" t="s">
        <v>105</v>
      </c>
    </row>
    <row r="362" spans="1:6" hidden="1" x14ac:dyDescent="0.25">
      <c r="A362" t="s">
        <v>1431</v>
      </c>
      <c r="B362" t="s">
        <v>344</v>
      </c>
      <c r="C362" t="s">
        <v>376</v>
      </c>
      <c r="D362" t="s">
        <v>1432</v>
      </c>
      <c r="E362" t="s">
        <v>21</v>
      </c>
      <c r="F362" t="s">
        <v>1433</v>
      </c>
    </row>
    <row r="363" spans="1:6" hidden="1" x14ac:dyDescent="0.25">
      <c r="A363" t="s">
        <v>1434</v>
      </c>
      <c r="B363" t="s">
        <v>256</v>
      </c>
      <c r="C363" t="s">
        <v>376</v>
      </c>
      <c r="D363" t="s">
        <v>1435</v>
      </c>
      <c r="E363" t="s">
        <v>21</v>
      </c>
      <c r="F363" t="s">
        <v>1436</v>
      </c>
    </row>
    <row r="364" spans="1:6" hidden="1" x14ac:dyDescent="0.25">
      <c r="A364" t="s">
        <v>1437</v>
      </c>
      <c r="B364" t="s">
        <v>55</v>
      </c>
      <c r="C364" t="s">
        <v>376</v>
      </c>
      <c r="D364" t="s">
        <v>1438</v>
      </c>
      <c r="E364" t="s">
        <v>21</v>
      </c>
      <c r="F364" t="s">
        <v>1439</v>
      </c>
    </row>
    <row r="365" spans="1:6" hidden="1" x14ac:dyDescent="0.25">
      <c r="A365" t="s">
        <v>1440</v>
      </c>
      <c r="B365" t="s">
        <v>55</v>
      </c>
      <c r="C365" t="s">
        <v>376</v>
      </c>
      <c r="D365" t="s">
        <v>1441</v>
      </c>
      <c r="E365" t="s">
        <v>21</v>
      </c>
      <c r="F365" t="s">
        <v>1442</v>
      </c>
    </row>
    <row r="366" spans="1:6" hidden="1" x14ac:dyDescent="0.25">
      <c r="A366" t="s">
        <v>1443</v>
      </c>
      <c r="B366" t="s">
        <v>128</v>
      </c>
      <c r="C366" t="s">
        <v>376</v>
      </c>
      <c r="D366" t="s">
        <v>1444</v>
      </c>
      <c r="E366" t="s">
        <v>21</v>
      </c>
      <c r="F366" t="s">
        <v>1445</v>
      </c>
    </row>
    <row r="367" spans="1:6" hidden="1" x14ac:dyDescent="0.25">
      <c r="A367" t="s">
        <v>1446</v>
      </c>
      <c r="B367" t="s">
        <v>55</v>
      </c>
      <c r="C367" t="s">
        <v>376</v>
      </c>
      <c r="D367" t="s">
        <v>1447</v>
      </c>
      <c r="E367" t="s">
        <v>21</v>
      </c>
      <c r="F367" t="s">
        <v>1448</v>
      </c>
    </row>
    <row r="368" spans="1:6" hidden="1" x14ac:dyDescent="0.25">
      <c r="A368" t="s">
        <v>1449</v>
      </c>
      <c r="B368" t="s">
        <v>51</v>
      </c>
      <c r="C368" t="s">
        <v>376</v>
      </c>
      <c r="D368" t="s">
        <v>1450</v>
      </c>
      <c r="E368" t="s">
        <v>21</v>
      </c>
      <c r="F368" t="s">
        <v>1451</v>
      </c>
    </row>
    <row r="369" spans="1:6" hidden="1" x14ac:dyDescent="0.25">
      <c r="A369" t="s">
        <v>1452</v>
      </c>
      <c r="B369" t="s">
        <v>421</v>
      </c>
      <c r="C369" t="s">
        <v>376</v>
      </c>
      <c r="D369" t="s">
        <v>1453</v>
      </c>
      <c r="E369" t="s">
        <v>21</v>
      </c>
      <c r="F369" t="s">
        <v>1454</v>
      </c>
    </row>
    <row r="370" spans="1:6" hidden="1" x14ac:dyDescent="0.25">
      <c r="A370" t="s">
        <v>1455</v>
      </c>
      <c r="B370" t="s">
        <v>28</v>
      </c>
      <c r="C370" t="s">
        <v>376</v>
      </c>
      <c r="D370" t="s">
        <v>1456</v>
      </c>
      <c r="E370" t="s">
        <v>21</v>
      </c>
      <c r="F370" t="s">
        <v>1457</v>
      </c>
    </row>
    <row r="371" spans="1:6" hidden="1" x14ac:dyDescent="0.25">
      <c r="A371" t="s">
        <v>1458</v>
      </c>
      <c r="B371" t="s">
        <v>512</v>
      </c>
      <c r="C371" t="s">
        <v>554</v>
      </c>
      <c r="D371" t="s">
        <v>1459</v>
      </c>
      <c r="E371" t="s">
        <v>21</v>
      </c>
      <c r="F371" t="s">
        <v>1460</v>
      </c>
    </row>
    <row r="372" spans="1:6" hidden="1" x14ac:dyDescent="0.25">
      <c r="A372" t="s">
        <v>1461</v>
      </c>
      <c r="B372" t="s">
        <v>28</v>
      </c>
      <c r="C372" t="s">
        <v>376</v>
      </c>
      <c r="D372" t="s">
        <v>1462</v>
      </c>
      <c r="E372" t="s">
        <v>21</v>
      </c>
      <c r="F372" t="s">
        <v>1463</v>
      </c>
    </row>
    <row r="373" spans="1:6" x14ac:dyDescent="0.25">
      <c r="A373" t="s">
        <v>103</v>
      </c>
      <c r="B373" t="s">
        <v>460</v>
      </c>
      <c r="C373" t="s">
        <v>461</v>
      </c>
      <c r="D373" t="s">
        <v>104</v>
      </c>
      <c r="E373" t="s">
        <v>21</v>
      </c>
      <c r="F373" t="s">
        <v>106</v>
      </c>
    </row>
    <row r="374" spans="1:6" hidden="1" x14ac:dyDescent="0.25">
      <c r="A374" t="s">
        <v>1464</v>
      </c>
      <c r="B374" t="s">
        <v>51</v>
      </c>
      <c r="C374" t="s">
        <v>376</v>
      </c>
      <c r="D374" t="s">
        <v>1465</v>
      </c>
      <c r="E374" t="s">
        <v>21</v>
      </c>
      <c r="F374" t="s">
        <v>1466</v>
      </c>
    </row>
    <row r="375" spans="1:6" hidden="1" x14ac:dyDescent="0.25">
      <c r="A375" t="s">
        <v>1467</v>
      </c>
      <c r="B375" t="s">
        <v>245</v>
      </c>
      <c r="C375" t="s">
        <v>376</v>
      </c>
      <c r="D375" t="s">
        <v>1468</v>
      </c>
      <c r="E375" t="s">
        <v>21</v>
      </c>
      <c r="F375" t="s">
        <v>1469</v>
      </c>
    </row>
    <row r="376" spans="1:6" hidden="1" x14ac:dyDescent="0.25">
      <c r="A376" t="s">
        <v>1470</v>
      </c>
      <c r="B376" t="s">
        <v>256</v>
      </c>
      <c r="C376" t="s">
        <v>376</v>
      </c>
      <c r="D376" t="s">
        <v>1471</v>
      </c>
      <c r="E376" t="s">
        <v>21</v>
      </c>
      <c r="F376" t="s">
        <v>1472</v>
      </c>
    </row>
    <row r="377" spans="1:6" hidden="1" x14ac:dyDescent="0.25">
      <c r="A377" t="s">
        <v>1473</v>
      </c>
      <c r="B377" t="s">
        <v>272</v>
      </c>
      <c r="C377" t="s">
        <v>469</v>
      </c>
      <c r="D377" t="s">
        <v>1474</v>
      </c>
      <c r="E377" t="s">
        <v>21</v>
      </c>
      <c r="F377" t="s">
        <v>1475</v>
      </c>
    </row>
    <row r="378" spans="1:6" hidden="1" x14ac:dyDescent="0.25">
      <c r="A378" t="s">
        <v>1476</v>
      </c>
      <c r="B378" t="s">
        <v>78</v>
      </c>
      <c r="C378" t="s">
        <v>376</v>
      </c>
      <c r="D378" t="s">
        <v>1477</v>
      </c>
      <c r="E378" t="s">
        <v>21</v>
      </c>
      <c r="F378" t="s">
        <v>1478</v>
      </c>
    </row>
    <row r="379" spans="1:6" hidden="1" x14ac:dyDescent="0.25">
      <c r="A379" t="s">
        <v>1479</v>
      </c>
      <c r="B379" t="s">
        <v>997</v>
      </c>
      <c r="C379" t="s">
        <v>469</v>
      </c>
      <c r="D379" t="s">
        <v>1480</v>
      </c>
      <c r="E379" t="s">
        <v>21</v>
      </c>
      <c r="F379" t="s">
        <v>1481</v>
      </c>
    </row>
    <row r="380" spans="1:6" hidden="1" x14ac:dyDescent="0.25">
      <c r="A380" t="s">
        <v>1482</v>
      </c>
      <c r="B380" t="s">
        <v>124</v>
      </c>
      <c r="C380" t="s">
        <v>376</v>
      </c>
      <c r="D380" t="s">
        <v>1483</v>
      </c>
      <c r="E380" t="s">
        <v>21</v>
      </c>
      <c r="F380" t="s">
        <v>1484</v>
      </c>
    </row>
    <row r="381" spans="1:6" hidden="1" x14ac:dyDescent="0.25">
      <c r="A381" t="s">
        <v>1485</v>
      </c>
      <c r="B381" t="s">
        <v>272</v>
      </c>
      <c r="C381" t="s">
        <v>376</v>
      </c>
      <c r="D381" t="s">
        <v>1486</v>
      </c>
      <c r="E381" t="s">
        <v>21</v>
      </c>
      <c r="F381" t="s">
        <v>1487</v>
      </c>
    </row>
    <row r="382" spans="1:6" hidden="1" x14ac:dyDescent="0.25">
      <c r="A382" t="s">
        <v>1488</v>
      </c>
      <c r="B382" t="s">
        <v>626</v>
      </c>
      <c r="C382" t="s">
        <v>788</v>
      </c>
      <c r="D382" t="s">
        <v>1489</v>
      </c>
      <c r="E382" t="s">
        <v>21</v>
      </c>
      <c r="F382" t="s">
        <v>1490</v>
      </c>
    </row>
    <row r="383" spans="1:6" hidden="1" x14ac:dyDescent="0.25">
      <c r="A383" t="s">
        <v>1491</v>
      </c>
      <c r="B383" t="s">
        <v>492</v>
      </c>
      <c r="C383" t="s">
        <v>376</v>
      </c>
      <c r="D383" t="s">
        <v>1492</v>
      </c>
      <c r="E383" t="s">
        <v>21</v>
      </c>
      <c r="F383" t="s">
        <v>1493</v>
      </c>
    </row>
    <row r="384" spans="1:6" hidden="1" x14ac:dyDescent="0.25">
      <c r="A384" t="s">
        <v>1494</v>
      </c>
      <c r="B384" t="s">
        <v>626</v>
      </c>
      <c r="C384" t="s">
        <v>788</v>
      </c>
      <c r="D384" t="s">
        <v>1495</v>
      </c>
      <c r="E384" t="s">
        <v>21</v>
      </c>
      <c r="F384" t="s">
        <v>1496</v>
      </c>
    </row>
    <row r="385" spans="1:6" hidden="1" x14ac:dyDescent="0.25">
      <c r="A385" t="s">
        <v>1497</v>
      </c>
      <c r="B385" t="s">
        <v>441</v>
      </c>
      <c r="C385" t="s">
        <v>627</v>
      </c>
      <c r="D385" t="s">
        <v>1498</v>
      </c>
      <c r="E385" t="s">
        <v>21</v>
      </c>
      <c r="F385" t="s">
        <v>1499</v>
      </c>
    </row>
    <row r="386" spans="1:6" hidden="1" x14ac:dyDescent="0.25">
      <c r="A386" t="s">
        <v>1502</v>
      </c>
      <c r="B386" t="s">
        <v>1430</v>
      </c>
      <c r="C386" t="s">
        <v>376</v>
      </c>
      <c r="D386" t="s">
        <v>1503</v>
      </c>
      <c r="E386" t="s">
        <v>21</v>
      </c>
      <c r="F386" t="s">
        <v>1504</v>
      </c>
    </row>
    <row r="387" spans="1:6" hidden="1" x14ac:dyDescent="0.25">
      <c r="A387" t="s">
        <v>1505</v>
      </c>
      <c r="B387" t="s">
        <v>51</v>
      </c>
      <c r="C387" t="s">
        <v>376</v>
      </c>
      <c r="D387" t="s">
        <v>1506</v>
      </c>
      <c r="E387" t="s">
        <v>21</v>
      </c>
      <c r="F387" t="s">
        <v>1507</v>
      </c>
    </row>
    <row r="388" spans="1:6" hidden="1" x14ac:dyDescent="0.25">
      <c r="A388" t="s">
        <v>1508</v>
      </c>
      <c r="B388" t="s">
        <v>132</v>
      </c>
      <c r="C388" t="s">
        <v>376</v>
      </c>
      <c r="D388" t="s">
        <v>1509</v>
      </c>
      <c r="E388" t="s">
        <v>21</v>
      </c>
      <c r="F388" t="s">
        <v>1510</v>
      </c>
    </row>
    <row r="389" spans="1:6" hidden="1" x14ac:dyDescent="0.25">
      <c r="A389" t="s">
        <v>1511</v>
      </c>
      <c r="B389" t="s">
        <v>59</v>
      </c>
      <c r="C389" t="s">
        <v>376</v>
      </c>
      <c r="D389" t="s">
        <v>1512</v>
      </c>
      <c r="E389" t="s">
        <v>21</v>
      </c>
      <c r="F389" t="s">
        <v>1513</v>
      </c>
    </row>
    <row r="390" spans="1:6" hidden="1" x14ac:dyDescent="0.25">
      <c r="A390" t="s">
        <v>1514</v>
      </c>
      <c r="B390" t="s">
        <v>44</v>
      </c>
      <c r="C390" t="s">
        <v>376</v>
      </c>
      <c r="D390" t="s">
        <v>1515</v>
      </c>
      <c r="E390" t="s">
        <v>21</v>
      </c>
      <c r="F390" t="s">
        <v>1516</v>
      </c>
    </row>
    <row r="391" spans="1:6" hidden="1" x14ac:dyDescent="0.25">
      <c r="A391" t="s">
        <v>1517</v>
      </c>
      <c r="B391" t="s">
        <v>139</v>
      </c>
      <c r="C391" t="s">
        <v>376</v>
      </c>
      <c r="D391" t="s">
        <v>1518</v>
      </c>
      <c r="E391" t="s">
        <v>21</v>
      </c>
      <c r="F391" t="s">
        <v>1519</v>
      </c>
    </row>
    <row r="392" spans="1:6" hidden="1" x14ac:dyDescent="0.25">
      <c r="A392" t="s">
        <v>1520</v>
      </c>
      <c r="B392" t="s">
        <v>256</v>
      </c>
      <c r="C392" t="s">
        <v>376</v>
      </c>
      <c r="D392" t="s">
        <v>1521</v>
      </c>
      <c r="E392" t="s">
        <v>21</v>
      </c>
      <c r="F392" t="s">
        <v>1522</v>
      </c>
    </row>
    <row r="393" spans="1:6" hidden="1" x14ac:dyDescent="0.25">
      <c r="A393" t="s">
        <v>1523</v>
      </c>
      <c r="B393" t="s">
        <v>51</v>
      </c>
      <c r="C393" t="s">
        <v>376</v>
      </c>
      <c r="D393" t="s">
        <v>1524</v>
      </c>
      <c r="E393" t="s">
        <v>21</v>
      </c>
      <c r="F393" t="s">
        <v>1525</v>
      </c>
    </row>
    <row r="394" spans="1:6" hidden="1" x14ac:dyDescent="0.25">
      <c r="A394" t="s">
        <v>1526</v>
      </c>
      <c r="B394" t="s">
        <v>626</v>
      </c>
      <c r="C394" t="s">
        <v>1140</v>
      </c>
      <c r="D394" t="s">
        <v>1527</v>
      </c>
      <c r="E394" t="s">
        <v>21</v>
      </c>
      <c r="F394" t="s">
        <v>1528</v>
      </c>
    </row>
    <row r="395" spans="1:6" hidden="1" x14ac:dyDescent="0.25">
      <c r="A395" t="s">
        <v>1529</v>
      </c>
      <c r="B395" t="s">
        <v>591</v>
      </c>
      <c r="C395" t="s">
        <v>1530</v>
      </c>
      <c r="D395" t="s">
        <v>1531</v>
      </c>
      <c r="E395" t="s">
        <v>21</v>
      </c>
      <c r="F395" t="s">
        <v>1532</v>
      </c>
    </row>
    <row r="396" spans="1:6" hidden="1" x14ac:dyDescent="0.25">
      <c r="A396" t="s">
        <v>1533</v>
      </c>
      <c r="B396" t="s">
        <v>68</v>
      </c>
      <c r="C396" t="s">
        <v>376</v>
      </c>
      <c r="D396" t="s">
        <v>1534</v>
      </c>
      <c r="E396" t="s">
        <v>21</v>
      </c>
      <c r="F396" t="s">
        <v>1535</v>
      </c>
    </row>
    <row r="397" spans="1:6" hidden="1" x14ac:dyDescent="0.25">
      <c r="A397" t="s">
        <v>1536</v>
      </c>
      <c r="B397" t="s">
        <v>132</v>
      </c>
      <c r="C397" t="s">
        <v>376</v>
      </c>
      <c r="D397" t="s">
        <v>1537</v>
      </c>
      <c r="E397" t="s">
        <v>21</v>
      </c>
      <c r="F397" t="s">
        <v>1538</v>
      </c>
    </row>
    <row r="398" spans="1:6" hidden="1" x14ac:dyDescent="0.25">
      <c r="A398" t="s">
        <v>1539</v>
      </c>
      <c r="B398" t="s">
        <v>609</v>
      </c>
      <c r="C398" t="s">
        <v>376</v>
      </c>
      <c r="D398" t="s">
        <v>1540</v>
      </c>
      <c r="E398" t="s">
        <v>21</v>
      </c>
      <c r="F398" t="s">
        <v>1541</v>
      </c>
    </row>
    <row r="399" spans="1:6" hidden="1" x14ac:dyDescent="0.25">
      <c r="A399" t="s">
        <v>1542</v>
      </c>
      <c r="B399" t="s">
        <v>383</v>
      </c>
      <c r="C399" t="s">
        <v>384</v>
      </c>
      <c r="D399" t="s">
        <v>1543</v>
      </c>
      <c r="E399" t="s">
        <v>21</v>
      </c>
      <c r="F399" t="s">
        <v>1544</v>
      </c>
    </row>
    <row r="400" spans="1:6" hidden="1" x14ac:dyDescent="0.25">
      <c r="A400" t="s">
        <v>1545</v>
      </c>
      <c r="B400" t="s">
        <v>15</v>
      </c>
      <c r="C400" t="s">
        <v>376</v>
      </c>
      <c r="D400" t="s">
        <v>1546</v>
      </c>
      <c r="E400" t="s">
        <v>21</v>
      </c>
      <c r="F400" t="s">
        <v>1547</v>
      </c>
    </row>
    <row r="401" spans="1:6" hidden="1" x14ac:dyDescent="0.25">
      <c r="A401" t="s">
        <v>130</v>
      </c>
      <c r="B401" t="s">
        <v>132</v>
      </c>
      <c r="C401" t="s">
        <v>376</v>
      </c>
      <c r="D401" t="s">
        <v>131</v>
      </c>
      <c r="E401" t="s">
        <v>21</v>
      </c>
      <c r="F401" t="s">
        <v>133</v>
      </c>
    </row>
    <row r="402" spans="1:6" hidden="1" x14ac:dyDescent="0.25">
      <c r="A402" t="s">
        <v>1548</v>
      </c>
      <c r="B402" t="s">
        <v>482</v>
      </c>
      <c r="C402" t="s">
        <v>376</v>
      </c>
      <c r="D402" t="s">
        <v>1549</v>
      </c>
      <c r="E402" t="s">
        <v>21</v>
      </c>
      <c r="F402" t="s">
        <v>1550</v>
      </c>
    </row>
    <row r="403" spans="1:6" hidden="1" x14ac:dyDescent="0.25">
      <c r="A403" t="s">
        <v>1551</v>
      </c>
      <c r="B403" t="s">
        <v>529</v>
      </c>
      <c r="C403" t="s">
        <v>376</v>
      </c>
      <c r="D403" t="s">
        <v>1552</v>
      </c>
      <c r="E403" t="s">
        <v>21</v>
      </c>
      <c r="F403" t="s">
        <v>1553</v>
      </c>
    </row>
    <row r="404" spans="1:6" hidden="1" x14ac:dyDescent="0.25">
      <c r="A404" t="s">
        <v>1554</v>
      </c>
      <c r="B404" t="s">
        <v>143</v>
      </c>
      <c r="C404" t="s">
        <v>376</v>
      </c>
      <c r="D404" t="s">
        <v>1555</v>
      </c>
      <c r="E404" t="s">
        <v>21</v>
      </c>
      <c r="F404" t="s">
        <v>1556</v>
      </c>
    </row>
    <row r="405" spans="1:6" hidden="1" x14ac:dyDescent="0.25">
      <c r="A405" t="s">
        <v>1557</v>
      </c>
      <c r="B405" t="s">
        <v>55</v>
      </c>
      <c r="C405" t="s">
        <v>376</v>
      </c>
      <c r="D405" t="s">
        <v>1558</v>
      </c>
      <c r="E405" t="s">
        <v>21</v>
      </c>
      <c r="F405" t="s">
        <v>1559</v>
      </c>
    </row>
    <row r="406" spans="1:6" hidden="1" x14ac:dyDescent="0.25">
      <c r="A406" t="s">
        <v>45</v>
      </c>
      <c r="B406" t="s">
        <v>619</v>
      </c>
      <c r="C406" t="s">
        <v>376</v>
      </c>
      <c r="D406" t="s">
        <v>46</v>
      </c>
      <c r="E406" t="s">
        <v>21</v>
      </c>
      <c r="F406" t="s">
        <v>48</v>
      </c>
    </row>
    <row r="407" spans="1:6" hidden="1" x14ac:dyDescent="0.25">
      <c r="A407" t="s">
        <v>1560</v>
      </c>
      <c r="B407" t="s">
        <v>28</v>
      </c>
      <c r="C407" t="s">
        <v>376</v>
      </c>
      <c r="D407" t="s">
        <v>1561</v>
      </c>
      <c r="E407" t="s">
        <v>21</v>
      </c>
      <c r="F407" t="s">
        <v>1562</v>
      </c>
    </row>
    <row r="408" spans="1:6" hidden="1" x14ac:dyDescent="0.25">
      <c r="A408" t="s">
        <v>1563</v>
      </c>
      <c r="B408" t="s">
        <v>609</v>
      </c>
      <c r="C408" t="s">
        <v>376</v>
      </c>
      <c r="D408" t="s">
        <v>1564</v>
      </c>
      <c r="E408" t="s">
        <v>21</v>
      </c>
      <c r="F408" t="s">
        <v>1565</v>
      </c>
    </row>
    <row r="409" spans="1:6" hidden="1" x14ac:dyDescent="0.25">
      <c r="A409" t="s">
        <v>1566</v>
      </c>
      <c r="B409" t="s">
        <v>143</v>
      </c>
      <c r="C409" t="s">
        <v>376</v>
      </c>
      <c r="D409" t="s">
        <v>1567</v>
      </c>
      <c r="E409" t="s">
        <v>21</v>
      </c>
      <c r="F409" t="s">
        <v>1568</v>
      </c>
    </row>
    <row r="410" spans="1:6" hidden="1" x14ac:dyDescent="0.25">
      <c r="A410" t="s">
        <v>1569</v>
      </c>
      <c r="B410" t="s">
        <v>176</v>
      </c>
      <c r="C410" t="s">
        <v>376</v>
      </c>
      <c r="D410" t="s">
        <v>1570</v>
      </c>
      <c r="E410" t="s">
        <v>21</v>
      </c>
      <c r="F410" t="s">
        <v>1571</v>
      </c>
    </row>
    <row r="411" spans="1:6" hidden="1" x14ac:dyDescent="0.25">
      <c r="A411" t="s">
        <v>1572</v>
      </c>
      <c r="B411" t="s">
        <v>256</v>
      </c>
      <c r="C411" t="s">
        <v>376</v>
      </c>
      <c r="D411" t="s">
        <v>1573</v>
      </c>
      <c r="E411" t="s">
        <v>21</v>
      </c>
      <c r="F411" t="s">
        <v>1574</v>
      </c>
    </row>
    <row r="412" spans="1:6" hidden="1" x14ac:dyDescent="0.25">
      <c r="A412" t="s">
        <v>1575</v>
      </c>
      <c r="B412" t="s">
        <v>708</v>
      </c>
      <c r="C412" t="s">
        <v>376</v>
      </c>
      <c r="D412" t="s">
        <v>1576</v>
      </c>
      <c r="E412" t="s">
        <v>21</v>
      </c>
      <c r="F412" t="s">
        <v>1577</v>
      </c>
    </row>
    <row r="413" spans="1:6" hidden="1" x14ac:dyDescent="0.25">
      <c r="A413" t="s">
        <v>1578</v>
      </c>
      <c r="B413" t="s">
        <v>609</v>
      </c>
      <c r="C413" t="s">
        <v>376</v>
      </c>
      <c r="D413" t="s">
        <v>1579</v>
      </c>
      <c r="E413" t="s">
        <v>21</v>
      </c>
      <c r="F413" t="s">
        <v>1580</v>
      </c>
    </row>
    <row r="414" spans="1:6" hidden="1" x14ac:dyDescent="0.25">
      <c r="A414" t="s">
        <v>1581</v>
      </c>
      <c r="B414" t="s">
        <v>1430</v>
      </c>
      <c r="C414" t="s">
        <v>376</v>
      </c>
      <c r="D414" t="s">
        <v>1582</v>
      </c>
      <c r="E414" t="s">
        <v>21</v>
      </c>
      <c r="F414" t="s">
        <v>1583</v>
      </c>
    </row>
    <row r="415" spans="1:6" hidden="1" x14ac:dyDescent="0.25">
      <c r="A415" t="s">
        <v>1584</v>
      </c>
      <c r="B415" t="s">
        <v>55</v>
      </c>
      <c r="C415" t="s">
        <v>376</v>
      </c>
      <c r="D415" t="s">
        <v>1585</v>
      </c>
      <c r="E415" t="s">
        <v>21</v>
      </c>
      <c r="F415" t="s">
        <v>1586</v>
      </c>
    </row>
    <row r="416" spans="1:6" hidden="1" x14ac:dyDescent="0.25">
      <c r="A416" t="s">
        <v>1587</v>
      </c>
      <c r="B416" t="s">
        <v>512</v>
      </c>
      <c r="C416" t="s">
        <v>554</v>
      </c>
      <c r="D416" t="s">
        <v>1588</v>
      </c>
      <c r="E416" t="s">
        <v>21</v>
      </c>
      <c r="F416" t="s">
        <v>1589</v>
      </c>
    </row>
    <row r="417" spans="1:6" hidden="1" x14ac:dyDescent="0.25">
      <c r="A417" t="s">
        <v>1590</v>
      </c>
      <c r="B417" t="s">
        <v>15</v>
      </c>
      <c r="C417" t="s">
        <v>666</v>
      </c>
      <c r="D417" t="s">
        <v>1591</v>
      </c>
      <c r="E417" t="s">
        <v>21</v>
      </c>
      <c r="F417" t="s">
        <v>1592</v>
      </c>
    </row>
    <row r="418" spans="1:6" hidden="1" x14ac:dyDescent="0.25">
      <c r="A418" t="s">
        <v>1593</v>
      </c>
      <c r="B418" t="s">
        <v>391</v>
      </c>
      <c r="C418" t="s">
        <v>376</v>
      </c>
      <c r="D418" t="s">
        <v>1594</v>
      </c>
      <c r="E418" t="s">
        <v>21</v>
      </c>
      <c r="F418" t="s">
        <v>1595</v>
      </c>
    </row>
    <row r="419" spans="1:6" hidden="1" x14ac:dyDescent="0.25">
      <c r="A419" t="s">
        <v>1596</v>
      </c>
      <c r="B419" t="s">
        <v>626</v>
      </c>
      <c r="C419" t="s">
        <v>788</v>
      </c>
      <c r="D419" t="s">
        <v>1597</v>
      </c>
      <c r="E419" t="s">
        <v>21</v>
      </c>
      <c r="F419" t="s">
        <v>1598</v>
      </c>
    </row>
    <row r="420" spans="1:6" hidden="1" x14ac:dyDescent="0.25">
      <c r="A420" t="s">
        <v>1599</v>
      </c>
      <c r="B420" t="s">
        <v>272</v>
      </c>
      <c r="C420" t="s">
        <v>376</v>
      </c>
      <c r="D420" t="s">
        <v>1600</v>
      </c>
      <c r="E420" t="s">
        <v>21</v>
      </c>
      <c r="F420" t="s">
        <v>1601</v>
      </c>
    </row>
    <row r="421" spans="1:6" hidden="1" x14ac:dyDescent="0.25">
      <c r="A421" t="s">
        <v>1602</v>
      </c>
      <c r="B421" t="s">
        <v>626</v>
      </c>
      <c r="C421" t="s">
        <v>627</v>
      </c>
      <c r="D421" t="s">
        <v>1603</v>
      </c>
      <c r="E421" t="s">
        <v>21</v>
      </c>
      <c r="F421" t="s">
        <v>1604</v>
      </c>
    </row>
    <row r="422" spans="1:6" hidden="1" x14ac:dyDescent="0.25">
      <c r="A422" t="s">
        <v>1605</v>
      </c>
      <c r="B422" t="s">
        <v>626</v>
      </c>
      <c r="C422" t="s">
        <v>627</v>
      </c>
      <c r="D422" t="s">
        <v>1606</v>
      </c>
      <c r="E422" t="s">
        <v>21</v>
      </c>
      <c r="F422" t="s">
        <v>1607</v>
      </c>
    </row>
    <row r="423" spans="1:6" hidden="1" x14ac:dyDescent="0.25">
      <c r="A423" t="s">
        <v>1608</v>
      </c>
      <c r="B423" t="s">
        <v>512</v>
      </c>
      <c r="C423" t="s">
        <v>554</v>
      </c>
      <c r="D423" t="s">
        <v>1609</v>
      </c>
      <c r="E423" t="s">
        <v>21</v>
      </c>
      <c r="F423" t="s">
        <v>1610</v>
      </c>
    </row>
    <row r="424" spans="1:6" hidden="1" x14ac:dyDescent="0.25">
      <c r="A424" t="s">
        <v>1611</v>
      </c>
      <c r="B424" t="s">
        <v>634</v>
      </c>
      <c r="C424" t="s">
        <v>376</v>
      </c>
      <c r="D424" t="s">
        <v>1612</v>
      </c>
      <c r="E424" t="s">
        <v>21</v>
      </c>
      <c r="F424" t="s">
        <v>1613</v>
      </c>
    </row>
    <row r="425" spans="1:6" hidden="1" x14ac:dyDescent="0.25">
      <c r="A425" t="s">
        <v>1614</v>
      </c>
      <c r="B425" t="s">
        <v>44</v>
      </c>
      <c r="C425" t="s">
        <v>376</v>
      </c>
      <c r="D425" t="s">
        <v>1615</v>
      </c>
      <c r="E425" t="s">
        <v>21</v>
      </c>
      <c r="F425" t="s">
        <v>1616</v>
      </c>
    </row>
    <row r="426" spans="1:6" hidden="1" x14ac:dyDescent="0.25">
      <c r="A426" t="s">
        <v>1617</v>
      </c>
      <c r="B426" t="s">
        <v>162</v>
      </c>
      <c r="C426" t="s">
        <v>376</v>
      </c>
      <c r="D426" t="s">
        <v>1618</v>
      </c>
      <c r="E426" t="s">
        <v>21</v>
      </c>
      <c r="F426" t="s">
        <v>1619</v>
      </c>
    </row>
    <row r="427" spans="1:6" hidden="1" x14ac:dyDescent="0.25">
      <c r="A427" t="s">
        <v>1620</v>
      </c>
      <c r="B427" t="s">
        <v>55</v>
      </c>
      <c r="C427" t="s">
        <v>376</v>
      </c>
      <c r="D427" t="s">
        <v>1621</v>
      </c>
      <c r="E427" t="s">
        <v>21</v>
      </c>
      <c r="F427" t="s">
        <v>1622</v>
      </c>
    </row>
    <row r="428" spans="1:6" hidden="1" x14ac:dyDescent="0.25">
      <c r="A428" t="s">
        <v>1624</v>
      </c>
      <c r="B428" t="s">
        <v>626</v>
      </c>
      <c r="C428" t="s">
        <v>627</v>
      </c>
      <c r="D428" t="s">
        <v>1625</v>
      </c>
      <c r="E428" t="s">
        <v>21</v>
      </c>
      <c r="F428" t="s">
        <v>1626</v>
      </c>
    </row>
    <row r="429" spans="1:6" hidden="1" x14ac:dyDescent="0.25">
      <c r="A429" t="s">
        <v>1627</v>
      </c>
      <c r="B429" t="s">
        <v>421</v>
      </c>
      <c r="C429" t="s">
        <v>376</v>
      </c>
      <c r="D429" t="s">
        <v>1628</v>
      </c>
      <c r="E429" t="s">
        <v>21</v>
      </c>
      <c r="F429" t="s">
        <v>1629</v>
      </c>
    </row>
    <row r="430" spans="1:6" hidden="1" x14ac:dyDescent="0.25">
      <c r="A430" t="s">
        <v>1630</v>
      </c>
      <c r="B430" t="s">
        <v>15</v>
      </c>
      <c r="C430" t="s">
        <v>376</v>
      </c>
      <c r="D430" t="s">
        <v>1631</v>
      </c>
      <c r="E430" t="s">
        <v>21</v>
      </c>
      <c r="F430" t="s">
        <v>1632</v>
      </c>
    </row>
    <row r="431" spans="1:6" hidden="1" x14ac:dyDescent="0.25">
      <c r="A431" t="s">
        <v>1633</v>
      </c>
      <c r="B431" t="s">
        <v>55</v>
      </c>
      <c r="C431" t="s">
        <v>376</v>
      </c>
      <c r="D431" t="s">
        <v>1634</v>
      </c>
      <c r="E431" t="s">
        <v>21</v>
      </c>
      <c r="F431" t="s">
        <v>1635</v>
      </c>
    </row>
    <row r="432" spans="1:6" hidden="1" x14ac:dyDescent="0.25">
      <c r="A432" t="s">
        <v>1636</v>
      </c>
      <c r="B432" t="s">
        <v>176</v>
      </c>
      <c r="C432" t="s">
        <v>376</v>
      </c>
      <c r="D432" t="s">
        <v>1637</v>
      </c>
      <c r="E432" t="s">
        <v>21</v>
      </c>
      <c r="F432" t="s">
        <v>1638</v>
      </c>
    </row>
    <row r="433" spans="1:6" hidden="1" x14ac:dyDescent="0.25">
      <c r="A433" t="s">
        <v>1639</v>
      </c>
      <c r="B433" t="s">
        <v>55</v>
      </c>
      <c r="C433" t="s">
        <v>376</v>
      </c>
      <c r="D433" t="s">
        <v>1640</v>
      </c>
      <c r="E433" t="s">
        <v>21</v>
      </c>
      <c r="F433" t="s">
        <v>1641</v>
      </c>
    </row>
    <row r="434" spans="1:6" hidden="1" x14ac:dyDescent="0.25">
      <c r="A434" t="s">
        <v>1642</v>
      </c>
      <c r="B434" t="s">
        <v>139</v>
      </c>
      <c r="C434" t="s">
        <v>376</v>
      </c>
      <c r="D434" t="s">
        <v>1643</v>
      </c>
      <c r="E434" t="s">
        <v>21</v>
      </c>
      <c r="F434" t="s">
        <v>1644</v>
      </c>
    </row>
    <row r="435" spans="1:6" hidden="1" x14ac:dyDescent="0.25">
      <c r="A435" t="s">
        <v>66</v>
      </c>
      <c r="B435" t="s">
        <v>256</v>
      </c>
      <c r="C435" t="s">
        <v>376</v>
      </c>
      <c r="D435" t="s">
        <v>67</v>
      </c>
      <c r="E435" t="s">
        <v>21</v>
      </c>
      <c r="F435" t="s">
        <v>69</v>
      </c>
    </row>
    <row r="436" spans="1:6" hidden="1" x14ac:dyDescent="0.25">
      <c r="A436" t="s">
        <v>1645</v>
      </c>
      <c r="B436" t="s">
        <v>256</v>
      </c>
      <c r="C436" t="s">
        <v>376</v>
      </c>
      <c r="D436" t="s">
        <v>1646</v>
      </c>
      <c r="E436" t="s">
        <v>21</v>
      </c>
      <c r="F436" t="s">
        <v>1647</v>
      </c>
    </row>
    <row r="437" spans="1:6" hidden="1" x14ac:dyDescent="0.25">
      <c r="A437" t="s">
        <v>1648</v>
      </c>
      <c r="B437" t="s">
        <v>529</v>
      </c>
      <c r="C437" t="s">
        <v>666</v>
      </c>
      <c r="D437" t="s">
        <v>1649</v>
      </c>
      <c r="E437" t="s">
        <v>21</v>
      </c>
      <c r="F437" t="s">
        <v>1650</v>
      </c>
    </row>
    <row r="438" spans="1:6" hidden="1" x14ac:dyDescent="0.25">
      <c r="A438" t="s">
        <v>1651</v>
      </c>
      <c r="B438" t="s">
        <v>344</v>
      </c>
      <c r="C438" t="s">
        <v>376</v>
      </c>
      <c r="D438" t="s">
        <v>1652</v>
      </c>
      <c r="E438" t="s">
        <v>21</v>
      </c>
      <c r="F438" t="s">
        <v>1653</v>
      </c>
    </row>
    <row r="439" spans="1:6" hidden="1" x14ac:dyDescent="0.25">
      <c r="A439" t="s">
        <v>1654</v>
      </c>
      <c r="B439" t="s">
        <v>626</v>
      </c>
      <c r="C439" t="s">
        <v>627</v>
      </c>
      <c r="D439" t="s">
        <v>1655</v>
      </c>
      <c r="E439" t="s">
        <v>21</v>
      </c>
      <c r="F439" t="s">
        <v>1656</v>
      </c>
    </row>
    <row r="440" spans="1:6" hidden="1" x14ac:dyDescent="0.25">
      <c r="A440" t="s">
        <v>1657</v>
      </c>
      <c r="B440" t="s">
        <v>51</v>
      </c>
      <c r="C440" t="s">
        <v>376</v>
      </c>
      <c r="D440" t="s">
        <v>1658</v>
      </c>
      <c r="E440" t="s">
        <v>21</v>
      </c>
      <c r="F440" t="s">
        <v>1659</v>
      </c>
    </row>
    <row r="441" spans="1:6" hidden="1" x14ac:dyDescent="0.25">
      <c r="A441" t="s">
        <v>1660</v>
      </c>
      <c r="B441" t="s">
        <v>512</v>
      </c>
      <c r="C441" t="s">
        <v>554</v>
      </c>
      <c r="D441" t="s">
        <v>1661</v>
      </c>
      <c r="E441" t="s">
        <v>21</v>
      </c>
      <c r="F441" t="s">
        <v>1662</v>
      </c>
    </row>
    <row r="442" spans="1:6" hidden="1" x14ac:dyDescent="0.25">
      <c r="A442" t="s">
        <v>1663</v>
      </c>
      <c r="B442" t="s">
        <v>626</v>
      </c>
      <c r="C442" t="s">
        <v>1140</v>
      </c>
      <c r="D442" t="s">
        <v>1664</v>
      </c>
      <c r="E442" t="s">
        <v>21</v>
      </c>
      <c r="F442" t="s">
        <v>1665</v>
      </c>
    </row>
    <row r="443" spans="1:6" hidden="1" x14ac:dyDescent="0.25">
      <c r="A443" t="s">
        <v>1666</v>
      </c>
      <c r="B443" t="s">
        <v>139</v>
      </c>
      <c r="C443" t="s">
        <v>376</v>
      </c>
      <c r="D443" t="s">
        <v>1667</v>
      </c>
      <c r="E443" t="s">
        <v>21</v>
      </c>
      <c r="F443" t="s">
        <v>1668</v>
      </c>
    </row>
    <row r="444" spans="1:6" hidden="1" x14ac:dyDescent="0.25">
      <c r="A444" t="s">
        <v>1669</v>
      </c>
      <c r="B444" t="s">
        <v>51</v>
      </c>
      <c r="C444" t="s">
        <v>376</v>
      </c>
      <c r="D444" t="s">
        <v>1670</v>
      </c>
      <c r="E444" t="s">
        <v>21</v>
      </c>
      <c r="F444" t="s">
        <v>1671</v>
      </c>
    </row>
    <row r="445" spans="1:6" hidden="1" x14ac:dyDescent="0.25">
      <c r="A445" t="s">
        <v>1672</v>
      </c>
      <c r="B445" t="s">
        <v>626</v>
      </c>
      <c r="C445" t="s">
        <v>1053</v>
      </c>
      <c r="D445" t="s">
        <v>1673</v>
      </c>
      <c r="E445" t="s">
        <v>21</v>
      </c>
      <c r="F445" t="s">
        <v>1674</v>
      </c>
    </row>
    <row r="446" spans="1:6" hidden="1" x14ac:dyDescent="0.25">
      <c r="A446" t="s">
        <v>1675</v>
      </c>
      <c r="B446" t="s">
        <v>124</v>
      </c>
      <c r="C446" t="s">
        <v>469</v>
      </c>
      <c r="D446" t="s">
        <v>1676</v>
      </c>
      <c r="E446" t="s">
        <v>21</v>
      </c>
      <c r="F446" t="s">
        <v>1677</v>
      </c>
    </row>
    <row r="447" spans="1:6" hidden="1" x14ac:dyDescent="0.25">
      <c r="A447" t="s">
        <v>1678</v>
      </c>
      <c r="B447" t="s">
        <v>634</v>
      </c>
      <c r="C447" t="s">
        <v>376</v>
      </c>
      <c r="D447" t="s">
        <v>1679</v>
      </c>
      <c r="E447" t="s">
        <v>21</v>
      </c>
      <c r="F447" t="s">
        <v>1680</v>
      </c>
    </row>
    <row r="448" spans="1:6" hidden="1" x14ac:dyDescent="0.25">
      <c r="A448" t="s">
        <v>306</v>
      </c>
      <c r="B448" t="s">
        <v>619</v>
      </c>
      <c r="C448" t="s">
        <v>376</v>
      </c>
      <c r="D448" t="s">
        <v>307</v>
      </c>
      <c r="E448" t="s">
        <v>21</v>
      </c>
      <c r="F448" t="s">
        <v>308</v>
      </c>
    </row>
    <row r="449" spans="1:6" hidden="1" x14ac:dyDescent="0.25">
      <c r="A449" t="s">
        <v>1681</v>
      </c>
      <c r="B449" t="s">
        <v>344</v>
      </c>
      <c r="C449" t="s">
        <v>376</v>
      </c>
      <c r="D449" t="s">
        <v>1682</v>
      </c>
      <c r="E449" t="s">
        <v>21</v>
      </c>
      <c r="F449" t="s">
        <v>1683</v>
      </c>
    </row>
    <row r="450" spans="1:6" hidden="1" x14ac:dyDescent="0.25">
      <c r="A450" t="s">
        <v>1684</v>
      </c>
      <c r="B450" t="s">
        <v>28</v>
      </c>
      <c r="C450" t="s">
        <v>376</v>
      </c>
      <c r="D450" t="s">
        <v>1685</v>
      </c>
      <c r="E450" t="s">
        <v>21</v>
      </c>
      <c r="F450" t="s">
        <v>1686</v>
      </c>
    </row>
    <row r="451" spans="1:6" hidden="1" x14ac:dyDescent="0.25">
      <c r="A451" t="s">
        <v>1687</v>
      </c>
      <c r="B451" t="s">
        <v>421</v>
      </c>
      <c r="C451" t="s">
        <v>469</v>
      </c>
      <c r="D451" t="s">
        <v>1688</v>
      </c>
      <c r="E451" t="s">
        <v>21</v>
      </c>
      <c r="F451" t="s">
        <v>1689</v>
      </c>
    </row>
    <row r="452" spans="1:6" hidden="1" x14ac:dyDescent="0.25">
      <c r="A452" t="s">
        <v>1690</v>
      </c>
      <c r="B452" t="s">
        <v>162</v>
      </c>
      <c r="C452" t="s">
        <v>376</v>
      </c>
      <c r="D452" t="s">
        <v>1691</v>
      </c>
      <c r="E452" t="s">
        <v>21</v>
      </c>
      <c r="F452" t="s">
        <v>1692</v>
      </c>
    </row>
    <row r="453" spans="1:6" hidden="1" x14ac:dyDescent="0.25">
      <c r="A453" t="s">
        <v>1693</v>
      </c>
      <c r="B453" t="s">
        <v>492</v>
      </c>
      <c r="C453" t="s">
        <v>376</v>
      </c>
      <c r="D453" t="s">
        <v>1694</v>
      </c>
      <c r="E453" t="s">
        <v>21</v>
      </c>
      <c r="F453" t="s">
        <v>1695</v>
      </c>
    </row>
    <row r="454" spans="1:6" hidden="1" x14ac:dyDescent="0.25">
      <c r="A454" t="s">
        <v>1696</v>
      </c>
      <c r="B454" t="s">
        <v>15</v>
      </c>
      <c r="C454" t="s">
        <v>376</v>
      </c>
      <c r="D454" t="s">
        <v>1697</v>
      </c>
      <c r="E454" t="s">
        <v>21</v>
      </c>
      <c r="F454" t="s">
        <v>1698</v>
      </c>
    </row>
    <row r="455" spans="1:6" hidden="1" x14ac:dyDescent="0.25">
      <c r="A455" t="s">
        <v>1699</v>
      </c>
      <c r="B455" t="s">
        <v>55</v>
      </c>
      <c r="C455" t="s">
        <v>376</v>
      </c>
      <c r="D455" t="s">
        <v>1700</v>
      </c>
      <c r="E455" t="s">
        <v>21</v>
      </c>
      <c r="F455" t="s">
        <v>1701</v>
      </c>
    </row>
    <row r="456" spans="1:6" hidden="1" x14ac:dyDescent="0.25">
      <c r="A456" t="s">
        <v>1702</v>
      </c>
      <c r="B456" t="s">
        <v>39</v>
      </c>
      <c r="C456" t="s">
        <v>376</v>
      </c>
      <c r="D456" t="s">
        <v>1703</v>
      </c>
      <c r="E456" t="s">
        <v>21</v>
      </c>
      <c r="F456" t="s">
        <v>1704</v>
      </c>
    </row>
    <row r="457" spans="1:6" hidden="1" x14ac:dyDescent="0.25">
      <c r="A457" t="s">
        <v>1705</v>
      </c>
      <c r="B457" t="s">
        <v>128</v>
      </c>
      <c r="C457" t="s">
        <v>376</v>
      </c>
      <c r="D457" t="s">
        <v>1706</v>
      </c>
      <c r="E457" t="s">
        <v>21</v>
      </c>
      <c r="F457" t="s">
        <v>1707</v>
      </c>
    </row>
    <row r="458" spans="1:6" hidden="1" x14ac:dyDescent="0.25">
      <c r="A458" t="s">
        <v>1708</v>
      </c>
      <c r="B458" t="s">
        <v>176</v>
      </c>
      <c r="C458" t="s">
        <v>376</v>
      </c>
      <c r="D458" t="s">
        <v>1709</v>
      </c>
      <c r="E458" t="s">
        <v>21</v>
      </c>
      <c r="F458" t="s">
        <v>1710</v>
      </c>
    </row>
    <row r="459" spans="1:6" hidden="1" x14ac:dyDescent="0.25">
      <c r="A459" t="s">
        <v>1711</v>
      </c>
      <c r="B459" t="s">
        <v>619</v>
      </c>
      <c r="C459" t="s">
        <v>376</v>
      </c>
      <c r="D459" t="s">
        <v>1712</v>
      </c>
      <c r="E459" t="s">
        <v>21</v>
      </c>
      <c r="F459" t="s">
        <v>1713</v>
      </c>
    </row>
    <row r="460" spans="1:6" hidden="1" x14ac:dyDescent="0.25">
      <c r="A460" t="s">
        <v>1714</v>
      </c>
      <c r="B460" t="s">
        <v>15</v>
      </c>
      <c r="C460" t="s">
        <v>376</v>
      </c>
      <c r="D460" t="s">
        <v>1715</v>
      </c>
      <c r="E460" t="s">
        <v>21</v>
      </c>
      <c r="F460" t="s">
        <v>1716</v>
      </c>
    </row>
    <row r="461" spans="1:6" hidden="1" x14ac:dyDescent="0.25">
      <c r="A461" t="s">
        <v>1717</v>
      </c>
      <c r="B461" t="s">
        <v>28</v>
      </c>
      <c r="C461" t="s">
        <v>376</v>
      </c>
      <c r="D461" t="s">
        <v>1718</v>
      </c>
      <c r="E461" t="s">
        <v>21</v>
      </c>
      <c r="F461" t="s">
        <v>1719</v>
      </c>
    </row>
    <row r="462" spans="1:6" hidden="1" x14ac:dyDescent="0.25">
      <c r="A462" t="s">
        <v>1720</v>
      </c>
      <c r="B462" t="s">
        <v>482</v>
      </c>
      <c r="C462" t="s">
        <v>376</v>
      </c>
      <c r="D462" t="s">
        <v>1721</v>
      </c>
      <c r="E462" t="s">
        <v>21</v>
      </c>
      <c r="F462" t="s">
        <v>1722</v>
      </c>
    </row>
    <row r="463" spans="1:6" hidden="1" x14ac:dyDescent="0.25">
      <c r="A463" t="s">
        <v>1723</v>
      </c>
      <c r="B463" t="s">
        <v>128</v>
      </c>
      <c r="C463" t="s">
        <v>376</v>
      </c>
      <c r="D463" t="s">
        <v>1724</v>
      </c>
      <c r="E463" t="s">
        <v>21</v>
      </c>
      <c r="F463" t="s">
        <v>1725</v>
      </c>
    </row>
    <row r="464" spans="1:6" hidden="1" x14ac:dyDescent="0.25">
      <c r="A464" t="s">
        <v>1726</v>
      </c>
      <c r="B464" t="s">
        <v>256</v>
      </c>
      <c r="C464" t="s">
        <v>376</v>
      </c>
      <c r="D464" t="s">
        <v>1727</v>
      </c>
      <c r="E464" t="s">
        <v>21</v>
      </c>
      <c r="F464" t="s">
        <v>1728</v>
      </c>
    </row>
    <row r="465" spans="1:6" hidden="1" x14ac:dyDescent="0.25">
      <c r="A465" t="s">
        <v>1729</v>
      </c>
      <c r="B465" t="s">
        <v>256</v>
      </c>
      <c r="C465" t="s">
        <v>376</v>
      </c>
      <c r="D465" t="s">
        <v>1730</v>
      </c>
      <c r="E465" t="s">
        <v>21</v>
      </c>
      <c r="F465" t="s">
        <v>1731</v>
      </c>
    </row>
    <row r="466" spans="1:6" hidden="1" x14ac:dyDescent="0.25">
      <c r="A466" t="s">
        <v>70</v>
      </c>
      <c r="B466" t="s">
        <v>55</v>
      </c>
      <c r="C466" t="s">
        <v>376</v>
      </c>
      <c r="D466" t="s">
        <v>71</v>
      </c>
      <c r="E466" t="s">
        <v>21</v>
      </c>
      <c r="F466" t="s">
        <v>72</v>
      </c>
    </row>
    <row r="467" spans="1:6" hidden="1" x14ac:dyDescent="0.25">
      <c r="A467" t="s">
        <v>1732</v>
      </c>
      <c r="B467" t="s">
        <v>626</v>
      </c>
      <c r="C467" t="s">
        <v>627</v>
      </c>
      <c r="D467" t="s">
        <v>1733</v>
      </c>
      <c r="E467" t="s">
        <v>21</v>
      </c>
      <c r="F467" t="s">
        <v>1734</v>
      </c>
    </row>
    <row r="468" spans="1:6" hidden="1" x14ac:dyDescent="0.25">
      <c r="A468" t="s">
        <v>1735</v>
      </c>
      <c r="B468" t="s">
        <v>512</v>
      </c>
      <c r="C468" t="s">
        <v>679</v>
      </c>
      <c r="D468" t="s">
        <v>1736</v>
      </c>
      <c r="E468" t="s">
        <v>21</v>
      </c>
      <c r="F468" t="s">
        <v>1737</v>
      </c>
    </row>
    <row r="469" spans="1:6" hidden="1" x14ac:dyDescent="0.25">
      <c r="A469" t="s">
        <v>1738</v>
      </c>
      <c r="B469" t="s">
        <v>647</v>
      </c>
      <c r="C469" t="s">
        <v>376</v>
      </c>
      <c r="D469" t="s">
        <v>1739</v>
      </c>
      <c r="E469" t="s">
        <v>21</v>
      </c>
      <c r="F469" t="s">
        <v>1740</v>
      </c>
    </row>
    <row r="470" spans="1:6" hidden="1" x14ac:dyDescent="0.25">
      <c r="A470" t="s">
        <v>1741</v>
      </c>
      <c r="B470" t="s">
        <v>51</v>
      </c>
      <c r="C470" t="s">
        <v>376</v>
      </c>
      <c r="D470" t="s">
        <v>1742</v>
      </c>
      <c r="E470" t="s">
        <v>21</v>
      </c>
      <c r="F470" t="s">
        <v>1743</v>
      </c>
    </row>
    <row r="471" spans="1:6" hidden="1" x14ac:dyDescent="0.25">
      <c r="A471" t="s">
        <v>1744</v>
      </c>
      <c r="B471" t="s">
        <v>132</v>
      </c>
      <c r="C471" t="s">
        <v>376</v>
      </c>
      <c r="D471" t="s">
        <v>1745</v>
      </c>
      <c r="E471" t="s">
        <v>21</v>
      </c>
      <c r="F471" t="s">
        <v>1746</v>
      </c>
    </row>
    <row r="472" spans="1:6" hidden="1" x14ac:dyDescent="0.25">
      <c r="A472" t="s">
        <v>1747</v>
      </c>
      <c r="B472" t="s">
        <v>482</v>
      </c>
      <c r="C472" t="s">
        <v>376</v>
      </c>
      <c r="D472" t="s">
        <v>1748</v>
      </c>
      <c r="E472" t="s">
        <v>21</v>
      </c>
      <c r="F472" t="s">
        <v>1749</v>
      </c>
    </row>
    <row r="473" spans="1:6" hidden="1" x14ac:dyDescent="0.25">
      <c r="A473" t="s">
        <v>1750</v>
      </c>
      <c r="B473" t="s">
        <v>512</v>
      </c>
      <c r="C473" t="s">
        <v>679</v>
      </c>
      <c r="D473" t="s">
        <v>1751</v>
      </c>
      <c r="E473" t="s">
        <v>21</v>
      </c>
      <c r="F473" t="s">
        <v>1752</v>
      </c>
    </row>
    <row r="474" spans="1:6" hidden="1" x14ac:dyDescent="0.25">
      <c r="A474" t="s">
        <v>276</v>
      </c>
      <c r="B474" t="s">
        <v>55</v>
      </c>
      <c r="C474" t="s">
        <v>376</v>
      </c>
      <c r="D474" t="s">
        <v>277</v>
      </c>
      <c r="E474" t="s">
        <v>21</v>
      </c>
      <c r="F474" t="s">
        <v>278</v>
      </c>
    </row>
    <row r="475" spans="1:6" hidden="1" x14ac:dyDescent="0.25">
      <c r="A475" t="s">
        <v>1753</v>
      </c>
      <c r="B475" t="s">
        <v>1754</v>
      </c>
      <c r="C475" t="s">
        <v>376</v>
      </c>
      <c r="D475" t="s">
        <v>1755</v>
      </c>
      <c r="E475" t="s">
        <v>21</v>
      </c>
      <c r="F475" t="s">
        <v>1756</v>
      </c>
    </row>
    <row r="476" spans="1:6" hidden="1" x14ac:dyDescent="0.25">
      <c r="A476" t="s">
        <v>1757</v>
      </c>
      <c r="B476" t="s">
        <v>626</v>
      </c>
      <c r="C476" t="s">
        <v>788</v>
      </c>
      <c r="D476" t="s">
        <v>1758</v>
      </c>
      <c r="E476" t="s">
        <v>21</v>
      </c>
      <c r="F476" t="s">
        <v>1759</v>
      </c>
    </row>
    <row r="477" spans="1:6" hidden="1" x14ac:dyDescent="0.25">
      <c r="A477" t="s">
        <v>1760</v>
      </c>
      <c r="B477" t="s">
        <v>55</v>
      </c>
      <c r="C477" t="s">
        <v>376</v>
      </c>
      <c r="D477" t="s">
        <v>1761</v>
      </c>
      <c r="E477" t="s">
        <v>21</v>
      </c>
      <c r="F477" t="s">
        <v>1762</v>
      </c>
    </row>
    <row r="478" spans="1:6" hidden="1" x14ac:dyDescent="0.25">
      <c r="A478" t="s">
        <v>1763</v>
      </c>
      <c r="B478" t="s">
        <v>1764</v>
      </c>
      <c r="C478" t="s">
        <v>376</v>
      </c>
      <c r="D478" t="s">
        <v>1765</v>
      </c>
      <c r="E478" t="s">
        <v>21</v>
      </c>
      <c r="F478" t="s">
        <v>1766</v>
      </c>
    </row>
    <row r="479" spans="1:6" hidden="1" x14ac:dyDescent="0.25">
      <c r="A479" t="s">
        <v>1767</v>
      </c>
      <c r="B479" t="s">
        <v>482</v>
      </c>
      <c r="C479" t="s">
        <v>376</v>
      </c>
      <c r="D479" t="s">
        <v>1768</v>
      </c>
      <c r="E479" t="s">
        <v>21</v>
      </c>
      <c r="F479" t="s">
        <v>1769</v>
      </c>
    </row>
    <row r="480" spans="1:6" hidden="1" x14ac:dyDescent="0.25">
      <c r="A480" t="s">
        <v>1770</v>
      </c>
      <c r="B480" t="s">
        <v>512</v>
      </c>
      <c r="C480" t="s">
        <v>554</v>
      </c>
      <c r="D480" t="s">
        <v>1771</v>
      </c>
      <c r="E480" t="s">
        <v>21</v>
      </c>
      <c r="F480" t="s">
        <v>1772</v>
      </c>
    </row>
    <row r="481" spans="1:6" hidden="1" x14ac:dyDescent="0.25">
      <c r="A481" t="s">
        <v>1773</v>
      </c>
      <c r="B481" t="s">
        <v>44</v>
      </c>
      <c r="C481" t="s">
        <v>376</v>
      </c>
      <c r="D481" t="s">
        <v>1774</v>
      </c>
      <c r="E481" t="s">
        <v>21</v>
      </c>
      <c r="F481" t="s">
        <v>1775</v>
      </c>
    </row>
    <row r="482" spans="1:6" hidden="1" x14ac:dyDescent="0.25">
      <c r="A482" t="s">
        <v>1776</v>
      </c>
      <c r="B482" t="s">
        <v>15</v>
      </c>
      <c r="C482" t="s">
        <v>376</v>
      </c>
      <c r="D482" t="s">
        <v>1777</v>
      </c>
      <c r="E482" t="s">
        <v>21</v>
      </c>
      <c r="F482" t="s">
        <v>1778</v>
      </c>
    </row>
    <row r="483" spans="1:6" hidden="1" x14ac:dyDescent="0.25">
      <c r="A483" t="s">
        <v>1779</v>
      </c>
      <c r="B483" t="s">
        <v>44</v>
      </c>
      <c r="C483" t="s">
        <v>376</v>
      </c>
      <c r="D483" t="s">
        <v>1780</v>
      </c>
      <c r="E483" t="s">
        <v>21</v>
      </c>
      <c r="F483" t="s">
        <v>1781</v>
      </c>
    </row>
    <row r="484" spans="1:6" hidden="1" x14ac:dyDescent="0.25">
      <c r="A484" t="s">
        <v>1782</v>
      </c>
      <c r="B484" t="s">
        <v>128</v>
      </c>
      <c r="C484" t="s">
        <v>376</v>
      </c>
      <c r="D484" t="s">
        <v>1783</v>
      </c>
      <c r="E484" t="s">
        <v>21</v>
      </c>
      <c r="F484" t="s">
        <v>1784</v>
      </c>
    </row>
    <row r="485" spans="1:6" hidden="1" x14ac:dyDescent="0.25">
      <c r="A485" t="s">
        <v>1785</v>
      </c>
      <c r="B485" t="s">
        <v>15</v>
      </c>
      <c r="C485" t="s">
        <v>376</v>
      </c>
      <c r="D485" t="s">
        <v>1786</v>
      </c>
      <c r="E485" t="s">
        <v>21</v>
      </c>
      <c r="F485" t="s">
        <v>1787</v>
      </c>
    </row>
    <row r="486" spans="1:6" hidden="1" x14ac:dyDescent="0.25">
      <c r="A486" t="s">
        <v>1788</v>
      </c>
      <c r="B486" t="s">
        <v>256</v>
      </c>
      <c r="C486" t="s">
        <v>376</v>
      </c>
      <c r="D486" t="s">
        <v>1789</v>
      </c>
      <c r="E486" t="s">
        <v>21</v>
      </c>
      <c r="F486" t="s">
        <v>1790</v>
      </c>
    </row>
    <row r="487" spans="1:6" hidden="1" x14ac:dyDescent="0.25">
      <c r="A487" t="s">
        <v>1791</v>
      </c>
      <c r="B487" t="s">
        <v>51</v>
      </c>
      <c r="C487" t="s">
        <v>376</v>
      </c>
      <c r="D487" t="s">
        <v>1792</v>
      </c>
      <c r="E487" t="s">
        <v>21</v>
      </c>
      <c r="F487" t="s">
        <v>1793</v>
      </c>
    </row>
    <row r="488" spans="1:6" hidden="1" x14ac:dyDescent="0.25">
      <c r="A488" t="s">
        <v>1794</v>
      </c>
      <c r="B488" t="s">
        <v>143</v>
      </c>
      <c r="C488" t="s">
        <v>469</v>
      </c>
      <c r="D488" t="s">
        <v>1795</v>
      </c>
      <c r="E488" t="s">
        <v>21</v>
      </c>
      <c r="F488" t="s">
        <v>1796</v>
      </c>
    </row>
    <row r="489" spans="1:6" hidden="1" x14ac:dyDescent="0.25">
      <c r="A489" t="s">
        <v>1797</v>
      </c>
      <c r="B489" t="s">
        <v>512</v>
      </c>
      <c r="C489" t="s">
        <v>554</v>
      </c>
      <c r="D489" t="s">
        <v>1798</v>
      </c>
      <c r="E489" t="s">
        <v>21</v>
      </c>
      <c r="F489" t="s">
        <v>1460</v>
      </c>
    </row>
    <row r="490" spans="1:6" hidden="1" x14ac:dyDescent="0.25">
      <c r="A490" t="s">
        <v>1799</v>
      </c>
      <c r="B490" t="s">
        <v>529</v>
      </c>
      <c r="C490" t="s">
        <v>376</v>
      </c>
      <c r="D490" t="s">
        <v>1800</v>
      </c>
      <c r="E490" t="s">
        <v>21</v>
      </c>
      <c r="F490" t="s">
        <v>1801</v>
      </c>
    </row>
    <row r="491" spans="1:6" hidden="1" x14ac:dyDescent="0.25">
      <c r="A491" t="s">
        <v>1802</v>
      </c>
      <c r="B491" t="s">
        <v>434</v>
      </c>
      <c r="C491" t="s">
        <v>376</v>
      </c>
      <c r="D491" t="s">
        <v>1803</v>
      </c>
      <c r="E491" t="s">
        <v>21</v>
      </c>
      <c r="F491" t="s">
        <v>1804</v>
      </c>
    </row>
    <row r="492" spans="1:6" hidden="1" x14ac:dyDescent="0.25">
      <c r="A492" t="s">
        <v>1805</v>
      </c>
      <c r="B492" t="s">
        <v>28</v>
      </c>
      <c r="C492" t="s">
        <v>376</v>
      </c>
      <c r="D492" t="s">
        <v>1806</v>
      </c>
      <c r="E492" t="s">
        <v>21</v>
      </c>
      <c r="F492" t="s">
        <v>1807</v>
      </c>
    </row>
    <row r="493" spans="1:6" hidden="1" x14ac:dyDescent="0.25">
      <c r="A493" t="s">
        <v>264</v>
      </c>
      <c r="B493" t="s">
        <v>128</v>
      </c>
      <c r="C493" t="s">
        <v>376</v>
      </c>
      <c r="D493" t="s">
        <v>265</v>
      </c>
      <c r="E493" t="s">
        <v>21</v>
      </c>
      <c r="F493" t="s">
        <v>266</v>
      </c>
    </row>
    <row r="494" spans="1:6" hidden="1" x14ac:dyDescent="0.25">
      <c r="A494" t="s">
        <v>1808</v>
      </c>
      <c r="B494" t="s">
        <v>256</v>
      </c>
      <c r="C494" t="s">
        <v>376</v>
      </c>
      <c r="D494" t="s">
        <v>1809</v>
      </c>
      <c r="E494" t="s">
        <v>21</v>
      </c>
      <c r="F494" t="s">
        <v>1810</v>
      </c>
    </row>
    <row r="495" spans="1:6" hidden="1" x14ac:dyDescent="0.25">
      <c r="A495" t="s">
        <v>1811</v>
      </c>
      <c r="B495" t="s">
        <v>162</v>
      </c>
      <c r="C495" t="s">
        <v>376</v>
      </c>
      <c r="D495" t="s">
        <v>1812</v>
      </c>
      <c r="E495" t="s">
        <v>21</v>
      </c>
      <c r="F495" t="s">
        <v>1813</v>
      </c>
    </row>
    <row r="496" spans="1:6" hidden="1" x14ac:dyDescent="0.25">
      <c r="A496" t="s">
        <v>1814</v>
      </c>
      <c r="B496" t="s">
        <v>421</v>
      </c>
      <c r="C496" t="s">
        <v>376</v>
      </c>
      <c r="D496" t="s">
        <v>1815</v>
      </c>
      <c r="E496" t="s">
        <v>21</v>
      </c>
      <c r="F496" t="s">
        <v>1816</v>
      </c>
    </row>
    <row r="497" spans="1:6" hidden="1" x14ac:dyDescent="0.25">
      <c r="A497" t="s">
        <v>1817</v>
      </c>
      <c r="B497" t="s">
        <v>55</v>
      </c>
      <c r="C497" t="s">
        <v>376</v>
      </c>
      <c r="D497" t="s">
        <v>1818</v>
      </c>
      <c r="E497" t="s">
        <v>21</v>
      </c>
      <c r="F497" t="s">
        <v>1819</v>
      </c>
    </row>
    <row r="498" spans="1:6" hidden="1" x14ac:dyDescent="0.25">
      <c r="A498" t="s">
        <v>1820</v>
      </c>
      <c r="B498" t="s">
        <v>256</v>
      </c>
      <c r="C498" t="s">
        <v>469</v>
      </c>
      <c r="D498" t="s">
        <v>1821</v>
      </c>
      <c r="E498" t="s">
        <v>21</v>
      </c>
      <c r="F498" t="s">
        <v>1822</v>
      </c>
    </row>
    <row r="499" spans="1:6" hidden="1" x14ac:dyDescent="0.25">
      <c r="A499" t="s">
        <v>1823</v>
      </c>
      <c r="B499" t="s">
        <v>44</v>
      </c>
      <c r="C499" t="s">
        <v>376</v>
      </c>
      <c r="D499" t="s">
        <v>1824</v>
      </c>
      <c r="E499" t="s">
        <v>21</v>
      </c>
      <c r="F499" t="s">
        <v>1825</v>
      </c>
    </row>
    <row r="500" spans="1:6" hidden="1" x14ac:dyDescent="0.25">
      <c r="A500" t="s">
        <v>1826</v>
      </c>
      <c r="B500" t="s">
        <v>15</v>
      </c>
      <c r="C500" t="s">
        <v>376</v>
      </c>
      <c r="D500" t="s">
        <v>1827</v>
      </c>
      <c r="E500" t="s">
        <v>21</v>
      </c>
      <c r="F500" t="s">
        <v>1828</v>
      </c>
    </row>
    <row r="501" spans="1:6" hidden="1" x14ac:dyDescent="0.25">
      <c r="A501" t="s">
        <v>1829</v>
      </c>
      <c r="B501" t="s">
        <v>162</v>
      </c>
      <c r="C501" t="s">
        <v>376</v>
      </c>
      <c r="D501" t="s">
        <v>1830</v>
      </c>
      <c r="E501" t="s">
        <v>21</v>
      </c>
      <c r="F501" t="s">
        <v>1831</v>
      </c>
    </row>
    <row r="502" spans="1:6" hidden="1" x14ac:dyDescent="0.25">
      <c r="A502" t="s">
        <v>1832</v>
      </c>
      <c r="B502" t="s">
        <v>626</v>
      </c>
      <c r="C502" t="s">
        <v>788</v>
      </c>
      <c r="D502" t="s">
        <v>1833</v>
      </c>
      <c r="E502" t="s">
        <v>21</v>
      </c>
      <c r="F502" t="s">
        <v>1834</v>
      </c>
    </row>
    <row r="503" spans="1:6" hidden="1" x14ac:dyDescent="0.25">
      <c r="A503" t="s">
        <v>1835</v>
      </c>
      <c r="B503" t="s">
        <v>176</v>
      </c>
      <c r="C503" t="s">
        <v>376</v>
      </c>
      <c r="D503" t="s">
        <v>1836</v>
      </c>
      <c r="E503" t="s">
        <v>21</v>
      </c>
      <c r="F503" t="s">
        <v>1837</v>
      </c>
    </row>
    <row r="504" spans="1:6" hidden="1" x14ac:dyDescent="0.25">
      <c r="A504" t="s">
        <v>1838</v>
      </c>
      <c r="B504" t="s">
        <v>132</v>
      </c>
      <c r="C504" t="s">
        <v>376</v>
      </c>
      <c r="D504" t="s">
        <v>1839</v>
      </c>
      <c r="E504" t="s">
        <v>21</v>
      </c>
      <c r="F504" t="s">
        <v>1840</v>
      </c>
    </row>
    <row r="505" spans="1:6" hidden="1" x14ac:dyDescent="0.25">
      <c r="A505" t="s">
        <v>1841</v>
      </c>
      <c r="B505" t="s">
        <v>39</v>
      </c>
      <c r="C505" t="s">
        <v>376</v>
      </c>
      <c r="D505" t="s">
        <v>1842</v>
      </c>
      <c r="E505" t="s">
        <v>21</v>
      </c>
      <c r="F505" t="s">
        <v>1843</v>
      </c>
    </row>
    <row r="506" spans="1:6" hidden="1" x14ac:dyDescent="0.25">
      <c r="A506" t="s">
        <v>1844</v>
      </c>
      <c r="B506" t="s">
        <v>28</v>
      </c>
      <c r="C506" t="s">
        <v>376</v>
      </c>
      <c r="D506" t="s">
        <v>1845</v>
      </c>
      <c r="E506" t="s">
        <v>21</v>
      </c>
      <c r="F506" t="s">
        <v>1846</v>
      </c>
    </row>
    <row r="507" spans="1:6" hidden="1" x14ac:dyDescent="0.25">
      <c r="A507" t="s">
        <v>1847</v>
      </c>
      <c r="B507" t="s">
        <v>1848</v>
      </c>
      <c r="C507" t="s">
        <v>376</v>
      </c>
      <c r="D507" t="s">
        <v>1849</v>
      </c>
      <c r="E507" t="s">
        <v>21</v>
      </c>
      <c r="F507" t="s">
        <v>1850</v>
      </c>
    </row>
    <row r="508" spans="1:6" hidden="1" x14ac:dyDescent="0.25">
      <c r="A508" t="s">
        <v>1851</v>
      </c>
      <c r="B508" t="s">
        <v>55</v>
      </c>
      <c r="C508" t="s">
        <v>376</v>
      </c>
      <c r="D508" t="s">
        <v>1852</v>
      </c>
      <c r="E508" t="s">
        <v>21</v>
      </c>
      <c r="F508" t="s">
        <v>1853</v>
      </c>
    </row>
    <row r="509" spans="1:6" hidden="1" x14ac:dyDescent="0.25">
      <c r="A509" t="s">
        <v>1854</v>
      </c>
      <c r="B509" t="s">
        <v>245</v>
      </c>
      <c r="C509" t="s">
        <v>376</v>
      </c>
      <c r="D509" t="s">
        <v>1855</v>
      </c>
      <c r="E509" t="s">
        <v>21</v>
      </c>
      <c r="F509" t="s">
        <v>1856</v>
      </c>
    </row>
    <row r="510" spans="1:6" hidden="1" x14ac:dyDescent="0.25">
      <c r="A510" t="s">
        <v>1857</v>
      </c>
      <c r="B510" t="s">
        <v>128</v>
      </c>
      <c r="C510" t="s">
        <v>469</v>
      </c>
      <c r="D510" t="s">
        <v>1858</v>
      </c>
      <c r="E510" t="s">
        <v>21</v>
      </c>
      <c r="F510" t="s">
        <v>1859</v>
      </c>
    </row>
    <row r="511" spans="1:6" hidden="1" x14ac:dyDescent="0.25">
      <c r="A511" t="s">
        <v>1860</v>
      </c>
      <c r="B511" t="s">
        <v>55</v>
      </c>
      <c r="C511" t="s">
        <v>376</v>
      </c>
      <c r="D511" t="s">
        <v>1861</v>
      </c>
      <c r="E511" t="s">
        <v>21</v>
      </c>
      <c r="F511" t="s">
        <v>1862</v>
      </c>
    </row>
    <row r="512" spans="1:6" hidden="1" x14ac:dyDescent="0.25">
      <c r="A512" t="s">
        <v>1863</v>
      </c>
      <c r="B512" t="s">
        <v>619</v>
      </c>
      <c r="C512" t="s">
        <v>376</v>
      </c>
      <c r="D512" t="s">
        <v>1864</v>
      </c>
      <c r="E512" t="s">
        <v>21</v>
      </c>
      <c r="F512" t="s">
        <v>1865</v>
      </c>
    </row>
    <row r="513" spans="1:6" hidden="1" x14ac:dyDescent="0.25">
      <c r="A513" t="s">
        <v>1866</v>
      </c>
      <c r="B513" t="s">
        <v>634</v>
      </c>
      <c r="C513" t="s">
        <v>376</v>
      </c>
      <c r="D513" t="s">
        <v>1867</v>
      </c>
      <c r="E513" t="s">
        <v>21</v>
      </c>
      <c r="F513" t="s">
        <v>1868</v>
      </c>
    </row>
    <row r="514" spans="1:6" hidden="1" x14ac:dyDescent="0.25">
      <c r="A514" t="s">
        <v>1869</v>
      </c>
      <c r="B514" t="s">
        <v>139</v>
      </c>
      <c r="C514" t="s">
        <v>376</v>
      </c>
      <c r="D514" t="s">
        <v>1870</v>
      </c>
      <c r="E514" t="s">
        <v>21</v>
      </c>
      <c r="F514" t="s">
        <v>1871</v>
      </c>
    </row>
    <row r="515" spans="1:6" hidden="1" x14ac:dyDescent="0.25">
      <c r="A515" t="s">
        <v>1872</v>
      </c>
      <c r="B515" t="s">
        <v>132</v>
      </c>
      <c r="C515" t="s">
        <v>376</v>
      </c>
      <c r="D515" t="s">
        <v>1873</v>
      </c>
      <c r="E515" t="s">
        <v>21</v>
      </c>
      <c r="F515" t="s">
        <v>1874</v>
      </c>
    </row>
    <row r="516" spans="1:6" hidden="1" x14ac:dyDescent="0.25">
      <c r="A516" t="s">
        <v>1875</v>
      </c>
      <c r="B516" t="s">
        <v>55</v>
      </c>
      <c r="C516" t="s">
        <v>376</v>
      </c>
      <c r="D516" t="s">
        <v>1876</v>
      </c>
      <c r="E516" t="s">
        <v>21</v>
      </c>
      <c r="F516" t="s">
        <v>1877</v>
      </c>
    </row>
    <row r="517" spans="1:6" hidden="1" x14ac:dyDescent="0.25">
      <c r="A517" t="s">
        <v>1878</v>
      </c>
      <c r="B517" t="s">
        <v>272</v>
      </c>
      <c r="C517" t="s">
        <v>376</v>
      </c>
      <c r="D517" t="s">
        <v>1879</v>
      </c>
      <c r="E517" t="s">
        <v>21</v>
      </c>
      <c r="F517" t="s">
        <v>1880</v>
      </c>
    </row>
    <row r="518" spans="1:6" hidden="1" x14ac:dyDescent="0.25">
      <c r="A518" t="s">
        <v>1881</v>
      </c>
      <c r="B518" t="s">
        <v>51</v>
      </c>
      <c r="C518" t="s">
        <v>376</v>
      </c>
      <c r="D518" t="s">
        <v>1882</v>
      </c>
      <c r="E518" t="s">
        <v>21</v>
      </c>
      <c r="F518" t="s">
        <v>1883</v>
      </c>
    </row>
    <row r="519" spans="1:6" hidden="1" x14ac:dyDescent="0.25">
      <c r="A519" t="s">
        <v>1884</v>
      </c>
      <c r="B519" t="s">
        <v>626</v>
      </c>
      <c r="C519" t="s">
        <v>788</v>
      </c>
      <c r="D519" t="s">
        <v>1885</v>
      </c>
      <c r="E519" t="s">
        <v>21</v>
      </c>
      <c r="F519" t="s">
        <v>1886</v>
      </c>
    </row>
    <row r="520" spans="1:6" hidden="1" x14ac:dyDescent="0.25">
      <c r="A520" t="s">
        <v>1887</v>
      </c>
      <c r="B520" t="s">
        <v>499</v>
      </c>
      <c r="C520" t="s">
        <v>376</v>
      </c>
      <c r="D520" t="s">
        <v>1888</v>
      </c>
      <c r="E520" t="s">
        <v>21</v>
      </c>
      <c r="F520" t="s">
        <v>1889</v>
      </c>
    </row>
    <row r="521" spans="1:6" hidden="1" x14ac:dyDescent="0.25">
      <c r="A521" t="s">
        <v>1890</v>
      </c>
      <c r="B521" t="s">
        <v>256</v>
      </c>
      <c r="C521" t="s">
        <v>376</v>
      </c>
      <c r="D521" t="s">
        <v>1891</v>
      </c>
      <c r="E521" t="s">
        <v>21</v>
      </c>
      <c r="F521" t="s">
        <v>1892</v>
      </c>
    </row>
    <row r="522" spans="1:6" hidden="1" x14ac:dyDescent="0.25">
      <c r="A522" t="s">
        <v>1893</v>
      </c>
      <c r="B522" t="s">
        <v>139</v>
      </c>
      <c r="C522" t="s">
        <v>376</v>
      </c>
      <c r="D522" t="s">
        <v>1894</v>
      </c>
      <c r="E522" t="s">
        <v>21</v>
      </c>
      <c r="F522" t="s">
        <v>1895</v>
      </c>
    </row>
    <row r="523" spans="1:6" hidden="1" x14ac:dyDescent="0.25">
      <c r="A523" t="s">
        <v>1896</v>
      </c>
      <c r="B523" t="s">
        <v>55</v>
      </c>
      <c r="C523" t="s">
        <v>376</v>
      </c>
      <c r="D523" t="s">
        <v>1897</v>
      </c>
      <c r="E523" t="s">
        <v>21</v>
      </c>
      <c r="F523" t="s">
        <v>1898</v>
      </c>
    </row>
    <row r="524" spans="1:6" hidden="1" x14ac:dyDescent="0.25">
      <c r="A524" t="s">
        <v>1899</v>
      </c>
      <c r="B524" t="s">
        <v>124</v>
      </c>
      <c r="C524" t="s">
        <v>376</v>
      </c>
      <c r="D524" t="s">
        <v>1900</v>
      </c>
      <c r="E524" t="s">
        <v>21</v>
      </c>
      <c r="F524" t="s">
        <v>1901</v>
      </c>
    </row>
    <row r="525" spans="1:6" hidden="1" x14ac:dyDescent="0.25">
      <c r="A525" t="s">
        <v>1902</v>
      </c>
      <c r="B525" t="s">
        <v>28</v>
      </c>
      <c r="C525" t="s">
        <v>376</v>
      </c>
      <c r="D525" t="s">
        <v>1903</v>
      </c>
      <c r="E525" t="s">
        <v>21</v>
      </c>
      <c r="F525" t="s">
        <v>1904</v>
      </c>
    </row>
    <row r="526" spans="1:6" hidden="1" x14ac:dyDescent="0.25">
      <c r="A526" t="s">
        <v>349</v>
      </c>
      <c r="B526" t="s">
        <v>1764</v>
      </c>
      <c r="C526" t="s">
        <v>376</v>
      </c>
      <c r="D526" t="s">
        <v>1905</v>
      </c>
      <c r="E526" t="s">
        <v>21</v>
      </c>
      <c r="F526" t="s">
        <v>1906</v>
      </c>
    </row>
    <row r="527" spans="1:6" x14ac:dyDescent="0.25">
      <c r="A527" t="s">
        <v>251</v>
      </c>
      <c r="B527" t="s">
        <v>460</v>
      </c>
      <c r="C527" t="s">
        <v>461</v>
      </c>
      <c r="D527" t="s">
        <v>252</v>
      </c>
      <c r="E527" t="s">
        <v>21</v>
      </c>
      <c r="F527" t="s">
        <v>253</v>
      </c>
    </row>
    <row r="528" spans="1:6" hidden="1" x14ac:dyDescent="0.25">
      <c r="A528" t="s">
        <v>1907</v>
      </c>
      <c r="B528" t="s">
        <v>44</v>
      </c>
      <c r="C528" t="s">
        <v>376</v>
      </c>
      <c r="D528" t="s">
        <v>1908</v>
      </c>
      <c r="E528" t="s">
        <v>21</v>
      </c>
      <c r="F528" t="s">
        <v>1909</v>
      </c>
    </row>
    <row r="529" spans="1:6" hidden="1" x14ac:dyDescent="0.25">
      <c r="A529" t="s">
        <v>1910</v>
      </c>
      <c r="B529" t="s">
        <v>492</v>
      </c>
      <c r="C529" t="s">
        <v>376</v>
      </c>
      <c r="D529" t="s">
        <v>1911</v>
      </c>
      <c r="E529" t="s">
        <v>21</v>
      </c>
      <c r="F529" t="s">
        <v>1912</v>
      </c>
    </row>
    <row r="530" spans="1:6" hidden="1" x14ac:dyDescent="0.25">
      <c r="A530" t="s">
        <v>1913</v>
      </c>
      <c r="B530" t="s">
        <v>51</v>
      </c>
      <c r="C530" t="s">
        <v>376</v>
      </c>
      <c r="D530" t="s">
        <v>1914</v>
      </c>
      <c r="E530" t="s">
        <v>21</v>
      </c>
      <c r="F530" t="s">
        <v>1915</v>
      </c>
    </row>
    <row r="531" spans="1:6" hidden="1" x14ac:dyDescent="0.25">
      <c r="A531" t="s">
        <v>193</v>
      </c>
      <c r="B531" t="s">
        <v>132</v>
      </c>
      <c r="C531" t="s">
        <v>376</v>
      </c>
      <c r="D531" t="s">
        <v>194</v>
      </c>
      <c r="E531" t="s">
        <v>21</v>
      </c>
      <c r="F531" t="s">
        <v>195</v>
      </c>
    </row>
    <row r="532" spans="1:6" hidden="1" x14ac:dyDescent="0.25">
      <c r="A532" t="s">
        <v>1916</v>
      </c>
      <c r="B532" t="s">
        <v>55</v>
      </c>
      <c r="C532" t="s">
        <v>376</v>
      </c>
      <c r="D532" t="s">
        <v>1917</v>
      </c>
      <c r="E532" t="s">
        <v>21</v>
      </c>
      <c r="F532" t="s">
        <v>1918</v>
      </c>
    </row>
    <row r="533" spans="1:6" hidden="1" x14ac:dyDescent="0.25">
      <c r="A533" t="s">
        <v>1919</v>
      </c>
      <c r="B533" t="s">
        <v>512</v>
      </c>
      <c r="C533" t="s">
        <v>376</v>
      </c>
      <c r="D533" t="s">
        <v>1920</v>
      </c>
      <c r="E533" t="s">
        <v>21</v>
      </c>
      <c r="F533" t="s">
        <v>1921</v>
      </c>
    </row>
    <row r="534" spans="1:6" hidden="1" x14ac:dyDescent="0.25">
      <c r="A534" t="s">
        <v>1922</v>
      </c>
      <c r="B534" t="s">
        <v>59</v>
      </c>
      <c r="C534" t="s">
        <v>376</v>
      </c>
      <c r="D534" t="s">
        <v>1923</v>
      </c>
      <c r="E534" t="s">
        <v>21</v>
      </c>
      <c r="F534" t="s">
        <v>1924</v>
      </c>
    </row>
    <row r="535" spans="1:6" hidden="1" x14ac:dyDescent="0.25">
      <c r="A535" t="s">
        <v>1925</v>
      </c>
      <c r="B535" t="s">
        <v>626</v>
      </c>
      <c r="C535" t="s">
        <v>788</v>
      </c>
      <c r="D535" t="s">
        <v>1926</v>
      </c>
      <c r="E535" t="s">
        <v>21</v>
      </c>
      <c r="F535" t="s">
        <v>1927</v>
      </c>
    </row>
    <row r="536" spans="1:6" hidden="1" x14ac:dyDescent="0.25">
      <c r="A536" t="s">
        <v>225</v>
      </c>
      <c r="B536" t="s">
        <v>434</v>
      </c>
      <c r="C536" t="s">
        <v>376</v>
      </c>
      <c r="D536" t="s">
        <v>226</v>
      </c>
      <c r="E536" t="s">
        <v>21</v>
      </c>
      <c r="F536" t="s">
        <v>227</v>
      </c>
    </row>
    <row r="537" spans="1:6" hidden="1" x14ac:dyDescent="0.25">
      <c r="A537" t="s">
        <v>1928</v>
      </c>
      <c r="B537" t="s">
        <v>626</v>
      </c>
      <c r="C537" t="s">
        <v>627</v>
      </c>
      <c r="D537" t="s">
        <v>1929</v>
      </c>
      <c r="E537" t="s">
        <v>21</v>
      </c>
      <c r="F537" t="s">
        <v>1930</v>
      </c>
    </row>
    <row r="538" spans="1:6" hidden="1" x14ac:dyDescent="0.25">
      <c r="A538" t="s">
        <v>1931</v>
      </c>
      <c r="B538" t="s">
        <v>59</v>
      </c>
      <c r="C538" t="s">
        <v>376</v>
      </c>
      <c r="D538" t="s">
        <v>1932</v>
      </c>
      <c r="E538" t="s">
        <v>21</v>
      </c>
      <c r="F538" t="s">
        <v>1933</v>
      </c>
    </row>
    <row r="539" spans="1:6" hidden="1" x14ac:dyDescent="0.25">
      <c r="A539" t="s">
        <v>1934</v>
      </c>
      <c r="B539" t="s">
        <v>256</v>
      </c>
      <c r="C539" t="s">
        <v>376</v>
      </c>
      <c r="D539" t="s">
        <v>1935</v>
      </c>
      <c r="E539" t="s">
        <v>21</v>
      </c>
      <c r="F539" t="s">
        <v>1936</v>
      </c>
    </row>
    <row r="540" spans="1:6" x14ac:dyDescent="0.25">
      <c r="A540" t="s">
        <v>1937</v>
      </c>
      <c r="B540" t="s">
        <v>460</v>
      </c>
      <c r="C540" t="s">
        <v>461</v>
      </c>
      <c r="D540" t="s">
        <v>1938</v>
      </c>
      <c r="E540" t="s">
        <v>21</v>
      </c>
      <c r="F540" t="s">
        <v>1939</v>
      </c>
    </row>
    <row r="541" spans="1:6" hidden="1" x14ac:dyDescent="0.25">
      <c r="A541" t="s">
        <v>1940</v>
      </c>
      <c r="B541" t="s">
        <v>245</v>
      </c>
      <c r="C541" t="s">
        <v>376</v>
      </c>
      <c r="D541" t="s">
        <v>1941</v>
      </c>
      <c r="E541" t="s">
        <v>21</v>
      </c>
      <c r="F541" t="s">
        <v>1942</v>
      </c>
    </row>
    <row r="542" spans="1:6" hidden="1" x14ac:dyDescent="0.25">
      <c r="A542" t="s">
        <v>1943</v>
      </c>
      <c r="B542" t="s">
        <v>626</v>
      </c>
      <c r="C542" t="s">
        <v>788</v>
      </c>
      <c r="D542" t="s">
        <v>1944</v>
      </c>
      <c r="E542" t="s">
        <v>21</v>
      </c>
      <c r="F542" t="s">
        <v>1945</v>
      </c>
    </row>
    <row r="543" spans="1:6" hidden="1" x14ac:dyDescent="0.25">
      <c r="A543" t="s">
        <v>1946</v>
      </c>
      <c r="B543" t="s">
        <v>124</v>
      </c>
      <c r="C543" t="s">
        <v>666</v>
      </c>
      <c r="D543" t="s">
        <v>1947</v>
      </c>
      <c r="E543" t="s">
        <v>21</v>
      </c>
      <c r="F543" t="s">
        <v>1948</v>
      </c>
    </row>
    <row r="544" spans="1:6" hidden="1" x14ac:dyDescent="0.25">
      <c r="A544" t="s">
        <v>1949</v>
      </c>
      <c r="B544" t="s">
        <v>55</v>
      </c>
      <c r="C544" t="s">
        <v>376</v>
      </c>
      <c r="D544" t="s">
        <v>1950</v>
      </c>
      <c r="E544" t="s">
        <v>21</v>
      </c>
      <c r="F544" t="s">
        <v>1951</v>
      </c>
    </row>
    <row r="545" spans="1:6" hidden="1" x14ac:dyDescent="0.25">
      <c r="A545" t="s">
        <v>1952</v>
      </c>
      <c r="B545" t="s">
        <v>55</v>
      </c>
      <c r="C545" t="s">
        <v>376</v>
      </c>
      <c r="D545" t="s">
        <v>1953</v>
      </c>
      <c r="E545" t="s">
        <v>21</v>
      </c>
      <c r="F545" t="s">
        <v>1954</v>
      </c>
    </row>
    <row r="546" spans="1:6" hidden="1" x14ac:dyDescent="0.25">
      <c r="A546" t="s">
        <v>234</v>
      </c>
      <c r="B546" t="s">
        <v>162</v>
      </c>
      <c r="C546" t="s">
        <v>376</v>
      </c>
      <c r="D546" t="s">
        <v>235</v>
      </c>
      <c r="E546" t="s">
        <v>21</v>
      </c>
      <c r="F546" t="s">
        <v>238</v>
      </c>
    </row>
    <row r="547" spans="1:6" hidden="1" x14ac:dyDescent="0.25">
      <c r="A547" t="s">
        <v>1955</v>
      </c>
      <c r="B547" t="s">
        <v>59</v>
      </c>
      <c r="C547" t="s">
        <v>376</v>
      </c>
      <c r="D547" t="s">
        <v>1956</v>
      </c>
      <c r="E547" t="s">
        <v>21</v>
      </c>
      <c r="F547" t="s">
        <v>1957</v>
      </c>
    </row>
    <row r="548" spans="1:6" hidden="1" x14ac:dyDescent="0.25">
      <c r="A548" t="s">
        <v>1958</v>
      </c>
      <c r="B548" t="s">
        <v>492</v>
      </c>
      <c r="C548" t="s">
        <v>376</v>
      </c>
      <c r="D548" t="s">
        <v>1959</v>
      </c>
      <c r="E548" t="s">
        <v>21</v>
      </c>
      <c r="F548" t="s">
        <v>1960</v>
      </c>
    </row>
    <row r="549" spans="1:6" hidden="1" x14ac:dyDescent="0.25">
      <c r="A549" t="s">
        <v>1961</v>
      </c>
      <c r="B549" t="s">
        <v>634</v>
      </c>
      <c r="C549" t="s">
        <v>376</v>
      </c>
      <c r="D549" t="s">
        <v>1962</v>
      </c>
      <c r="E549" t="s">
        <v>21</v>
      </c>
      <c r="F549" t="s">
        <v>1963</v>
      </c>
    </row>
    <row r="550" spans="1:6" hidden="1" x14ac:dyDescent="0.25">
      <c r="A550" t="s">
        <v>1964</v>
      </c>
      <c r="B550" t="s">
        <v>434</v>
      </c>
      <c r="C550" t="s">
        <v>376</v>
      </c>
      <c r="D550" t="s">
        <v>1965</v>
      </c>
      <c r="E550" t="s">
        <v>21</v>
      </c>
      <c r="F550" t="s">
        <v>1966</v>
      </c>
    </row>
    <row r="551" spans="1:6" hidden="1" x14ac:dyDescent="0.25">
      <c r="A551" t="s">
        <v>1967</v>
      </c>
      <c r="B551" t="s">
        <v>124</v>
      </c>
      <c r="C551" t="s">
        <v>376</v>
      </c>
      <c r="D551" t="s">
        <v>1968</v>
      </c>
      <c r="E551" t="s">
        <v>21</v>
      </c>
      <c r="F551" t="s">
        <v>1969</v>
      </c>
    </row>
    <row r="552" spans="1:6" hidden="1" x14ac:dyDescent="0.25">
      <c r="A552" t="s">
        <v>1970</v>
      </c>
      <c r="B552" t="s">
        <v>482</v>
      </c>
      <c r="C552" t="s">
        <v>376</v>
      </c>
      <c r="D552" t="s">
        <v>1971</v>
      </c>
      <c r="E552" t="s">
        <v>21</v>
      </c>
      <c r="F552" t="s">
        <v>1972</v>
      </c>
    </row>
    <row r="553" spans="1:6" hidden="1" x14ac:dyDescent="0.25">
      <c r="A553" t="s">
        <v>1973</v>
      </c>
      <c r="B553" t="s">
        <v>28</v>
      </c>
      <c r="C553" t="s">
        <v>376</v>
      </c>
      <c r="D553" t="s">
        <v>1974</v>
      </c>
      <c r="E553" t="s">
        <v>21</v>
      </c>
      <c r="F553" t="s">
        <v>1975</v>
      </c>
    </row>
    <row r="554" spans="1:6" hidden="1" x14ac:dyDescent="0.25">
      <c r="A554" t="s">
        <v>1976</v>
      </c>
      <c r="B554" t="s">
        <v>626</v>
      </c>
      <c r="C554" t="s">
        <v>627</v>
      </c>
      <c r="D554" t="s">
        <v>1977</v>
      </c>
      <c r="E554" t="s">
        <v>21</v>
      </c>
      <c r="F554" t="s">
        <v>1978</v>
      </c>
    </row>
    <row r="555" spans="1:6" hidden="1" x14ac:dyDescent="0.25">
      <c r="A555" t="s">
        <v>1979</v>
      </c>
      <c r="B555" t="s">
        <v>272</v>
      </c>
      <c r="C555" t="s">
        <v>376</v>
      </c>
      <c r="D555" t="s">
        <v>1980</v>
      </c>
      <c r="E555" t="s">
        <v>21</v>
      </c>
      <c r="F555" t="s">
        <v>1981</v>
      </c>
    </row>
    <row r="556" spans="1:6" hidden="1" x14ac:dyDescent="0.25">
      <c r="A556" t="s">
        <v>1982</v>
      </c>
      <c r="B556" t="s">
        <v>68</v>
      </c>
      <c r="C556" t="s">
        <v>376</v>
      </c>
      <c r="D556" t="s">
        <v>1983</v>
      </c>
      <c r="E556" t="s">
        <v>21</v>
      </c>
      <c r="F556" t="s">
        <v>1984</v>
      </c>
    </row>
    <row r="557" spans="1:6" hidden="1" x14ac:dyDescent="0.25">
      <c r="A557" t="s">
        <v>1985</v>
      </c>
      <c r="B557" t="s">
        <v>626</v>
      </c>
      <c r="C557" t="s">
        <v>788</v>
      </c>
      <c r="D557" t="s">
        <v>1986</v>
      </c>
      <c r="E557" t="s">
        <v>21</v>
      </c>
      <c r="F557" t="s">
        <v>1987</v>
      </c>
    </row>
    <row r="558" spans="1:6" hidden="1" x14ac:dyDescent="0.25">
      <c r="A558" t="s">
        <v>314</v>
      </c>
      <c r="B558" t="s">
        <v>492</v>
      </c>
      <c r="C558" t="s">
        <v>376</v>
      </c>
      <c r="D558" t="s">
        <v>315</v>
      </c>
      <c r="E558" t="s">
        <v>21</v>
      </c>
      <c r="F558" t="s">
        <v>317</v>
      </c>
    </row>
    <row r="559" spans="1:6" hidden="1" x14ac:dyDescent="0.25">
      <c r="A559" t="s">
        <v>1988</v>
      </c>
      <c r="B559" t="s">
        <v>256</v>
      </c>
      <c r="C559" t="s">
        <v>376</v>
      </c>
      <c r="D559" t="s">
        <v>1989</v>
      </c>
      <c r="E559" t="s">
        <v>21</v>
      </c>
      <c r="F559" t="s">
        <v>1990</v>
      </c>
    </row>
    <row r="560" spans="1:6" x14ac:dyDescent="0.25">
      <c r="A560" t="s">
        <v>294</v>
      </c>
      <c r="B560" t="s">
        <v>460</v>
      </c>
      <c r="C560" t="s">
        <v>461</v>
      </c>
      <c r="D560" t="s">
        <v>295</v>
      </c>
      <c r="E560" t="s">
        <v>21</v>
      </c>
      <c r="F560" t="s">
        <v>296</v>
      </c>
    </row>
    <row r="561" spans="1:6" hidden="1" x14ac:dyDescent="0.25">
      <c r="A561" t="s">
        <v>1991</v>
      </c>
      <c r="B561" t="s">
        <v>441</v>
      </c>
      <c r="C561" t="s">
        <v>1140</v>
      </c>
      <c r="D561" t="s">
        <v>1992</v>
      </c>
      <c r="E561" t="s">
        <v>21</v>
      </c>
      <c r="F561" t="s">
        <v>1993</v>
      </c>
    </row>
    <row r="562" spans="1:6" hidden="1" x14ac:dyDescent="0.25">
      <c r="A562" t="s">
        <v>1994</v>
      </c>
      <c r="B562" t="s">
        <v>256</v>
      </c>
      <c r="C562" t="s">
        <v>376</v>
      </c>
      <c r="D562" t="s">
        <v>1995</v>
      </c>
      <c r="E562" t="s">
        <v>21</v>
      </c>
      <c r="F562" t="s">
        <v>1996</v>
      </c>
    </row>
    <row r="563" spans="1:6" hidden="1" x14ac:dyDescent="0.25">
      <c r="A563" t="s">
        <v>1997</v>
      </c>
      <c r="B563" t="s">
        <v>344</v>
      </c>
      <c r="C563" t="s">
        <v>376</v>
      </c>
      <c r="D563" t="s">
        <v>1998</v>
      </c>
      <c r="E563" t="s">
        <v>21</v>
      </c>
      <c r="F563" t="s">
        <v>1999</v>
      </c>
    </row>
    <row r="564" spans="1:6" hidden="1" x14ac:dyDescent="0.25">
      <c r="A564" t="s">
        <v>2000</v>
      </c>
      <c r="B564" t="s">
        <v>128</v>
      </c>
      <c r="C564" t="s">
        <v>376</v>
      </c>
      <c r="D564" t="s">
        <v>2001</v>
      </c>
      <c r="E564" t="s">
        <v>21</v>
      </c>
      <c r="F564" t="s">
        <v>2002</v>
      </c>
    </row>
    <row r="565" spans="1:6" hidden="1" x14ac:dyDescent="0.25">
      <c r="A565" t="s">
        <v>2003</v>
      </c>
      <c r="B565" t="s">
        <v>55</v>
      </c>
      <c r="C565" t="s">
        <v>666</v>
      </c>
      <c r="D565" t="s">
        <v>2004</v>
      </c>
      <c r="E565" t="s">
        <v>21</v>
      </c>
      <c r="F565" t="s">
        <v>2005</v>
      </c>
    </row>
    <row r="566" spans="1:6" hidden="1" x14ac:dyDescent="0.25">
      <c r="A566" t="s">
        <v>26</v>
      </c>
      <c r="B566" t="s">
        <v>28</v>
      </c>
      <c r="C566" t="s">
        <v>376</v>
      </c>
      <c r="D566" t="s">
        <v>27</v>
      </c>
      <c r="E566" t="s">
        <v>21</v>
      </c>
      <c r="F566" t="s">
        <v>29</v>
      </c>
    </row>
    <row r="567" spans="1:6" hidden="1" x14ac:dyDescent="0.25">
      <c r="A567" t="s">
        <v>2006</v>
      </c>
      <c r="B567" t="s">
        <v>421</v>
      </c>
      <c r="C567" t="s">
        <v>376</v>
      </c>
      <c r="D567" t="s">
        <v>2007</v>
      </c>
      <c r="E567" t="s">
        <v>21</v>
      </c>
      <c r="F567" t="s">
        <v>2008</v>
      </c>
    </row>
    <row r="568" spans="1:6" hidden="1" x14ac:dyDescent="0.25">
      <c r="A568" t="s">
        <v>2009</v>
      </c>
      <c r="B568" t="s">
        <v>421</v>
      </c>
      <c r="C568" t="s">
        <v>376</v>
      </c>
      <c r="D568" t="s">
        <v>2010</v>
      </c>
      <c r="E568" t="s">
        <v>21</v>
      </c>
      <c r="F568" t="s">
        <v>2011</v>
      </c>
    </row>
    <row r="569" spans="1:6" hidden="1" x14ac:dyDescent="0.25">
      <c r="A569" t="s">
        <v>2012</v>
      </c>
      <c r="B569" t="s">
        <v>78</v>
      </c>
      <c r="C569" t="s">
        <v>376</v>
      </c>
      <c r="D569" t="s">
        <v>2013</v>
      </c>
      <c r="E569" t="s">
        <v>21</v>
      </c>
      <c r="F569" t="s">
        <v>2014</v>
      </c>
    </row>
    <row r="570" spans="1:6" x14ac:dyDescent="0.25">
      <c r="A570" t="s">
        <v>300</v>
      </c>
      <c r="B570" t="s">
        <v>460</v>
      </c>
      <c r="C570" t="s">
        <v>461</v>
      </c>
      <c r="D570" t="s">
        <v>301</v>
      </c>
      <c r="E570" t="s">
        <v>21</v>
      </c>
      <c r="F570" t="s">
        <v>302</v>
      </c>
    </row>
    <row r="571" spans="1:6" x14ac:dyDescent="0.25">
      <c r="A571" t="s">
        <v>2015</v>
      </c>
      <c r="B571" t="s">
        <v>460</v>
      </c>
      <c r="C571" t="s">
        <v>461</v>
      </c>
      <c r="D571" t="s">
        <v>2016</v>
      </c>
      <c r="E571" t="s">
        <v>21</v>
      </c>
      <c r="F571" t="s">
        <v>2017</v>
      </c>
    </row>
    <row r="572" spans="1:6" hidden="1" x14ac:dyDescent="0.25">
      <c r="A572" t="s">
        <v>2018</v>
      </c>
      <c r="B572" t="s">
        <v>68</v>
      </c>
      <c r="C572" t="s">
        <v>376</v>
      </c>
      <c r="D572" t="s">
        <v>2019</v>
      </c>
      <c r="E572" t="s">
        <v>21</v>
      </c>
      <c r="F572" t="s">
        <v>2020</v>
      </c>
    </row>
    <row r="573" spans="1:6" hidden="1" x14ac:dyDescent="0.25">
      <c r="A573" t="s">
        <v>2021</v>
      </c>
      <c r="B573" t="s">
        <v>837</v>
      </c>
      <c r="C573" t="s">
        <v>469</v>
      </c>
      <c r="D573" t="s">
        <v>2022</v>
      </c>
      <c r="E573" t="s">
        <v>21</v>
      </c>
      <c r="F573" t="s">
        <v>2023</v>
      </c>
    </row>
    <row r="574" spans="1:6" hidden="1" x14ac:dyDescent="0.25">
      <c r="A574" t="s">
        <v>2024</v>
      </c>
      <c r="B574" t="s">
        <v>15</v>
      </c>
      <c r="C574" t="s">
        <v>376</v>
      </c>
      <c r="D574" t="s">
        <v>2025</v>
      </c>
      <c r="E574" t="s">
        <v>21</v>
      </c>
      <c r="F574" t="s">
        <v>2026</v>
      </c>
    </row>
    <row r="575" spans="1:6" hidden="1" x14ac:dyDescent="0.25">
      <c r="A575" t="s">
        <v>2027</v>
      </c>
      <c r="B575" t="s">
        <v>132</v>
      </c>
      <c r="C575" t="s">
        <v>376</v>
      </c>
      <c r="D575" t="s">
        <v>2028</v>
      </c>
      <c r="E575" t="s">
        <v>21</v>
      </c>
      <c r="F575" t="s">
        <v>2029</v>
      </c>
    </row>
    <row r="576" spans="1:6" hidden="1" x14ac:dyDescent="0.25">
      <c r="A576" t="s">
        <v>2030</v>
      </c>
      <c r="B576" t="s">
        <v>143</v>
      </c>
      <c r="C576" t="s">
        <v>376</v>
      </c>
      <c r="D576" t="s">
        <v>2031</v>
      </c>
      <c r="E576" t="s">
        <v>21</v>
      </c>
      <c r="F576" t="s">
        <v>2032</v>
      </c>
    </row>
    <row r="577" spans="1:6" hidden="1" x14ac:dyDescent="0.25">
      <c r="A577" t="s">
        <v>2033</v>
      </c>
      <c r="B577" t="s">
        <v>128</v>
      </c>
      <c r="C577" t="s">
        <v>376</v>
      </c>
      <c r="D577" t="s">
        <v>2034</v>
      </c>
      <c r="E577" t="s">
        <v>21</v>
      </c>
      <c r="F577" t="s">
        <v>2035</v>
      </c>
    </row>
    <row r="578" spans="1:6" hidden="1" x14ac:dyDescent="0.25">
      <c r="A578" t="s">
        <v>2036</v>
      </c>
      <c r="B578" t="s">
        <v>272</v>
      </c>
      <c r="C578" t="s">
        <v>376</v>
      </c>
      <c r="D578" t="s">
        <v>2037</v>
      </c>
      <c r="E578" t="s">
        <v>21</v>
      </c>
      <c r="F578" t="s">
        <v>2038</v>
      </c>
    </row>
    <row r="579" spans="1:6" hidden="1" x14ac:dyDescent="0.25">
      <c r="A579" t="s">
        <v>2039</v>
      </c>
      <c r="B579" t="s">
        <v>609</v>
      </c>
      <c r="C579" t="s">
        <v>376</v>
      </c>
      <c r="D579" t="s">
        <v>2040</v>
      </c>
      <c r="E579" t="s">
        <v>21</v>
      </c>
      <c r="F579" t="s">
        <v>2041</v>
      </c>
    </row>
    <row r="580" spans="1:6" x14ac:dyDescent="0.25">
      <c r="A580" t="s">
        <v>228</v>
      </c>
      <c r="B580" t="s">
        <v>460</v>
      </c>
      <c r="C580" t="s">
        <v>461</v>
      </c>
      <c r="D580" t="s">
        <v>229</v>
      </c>
      <c r="E580" t="s">
        <v>21</v>
      </c>
      <c r="F580" t="s">
        <v>230</v>
      </c>
    </row>
    <row r="581" spans="1:6" hidden="1" x14ac:dyDescent="0.25">
      <c r="A581" t="s">
        <v>2042</v>
      </c>
      <c r="B581" t="s">
        <v>512</v>
      </c>
      <c r="C581" t="s">
        <v>554</v>
      </c>
      <c r="D581" t="s">
        <v>2043</v>
      </c>
      <c r="E581" t="s">
        <v>21</v>
      </c>
      <c r="F581" t="s">
        <v>2044</v>
      </c>
    </row>
    <row r="582" spans="1:6" hidden="1" x14ac:dyDescent="0.25">
      <c r="A582" t="s">
        <v>2045</v>
      </c>
      <c r="B582" t="s">
        <v>28</v>
      </c>
      <c r="C582" t="s">
        <v>376</v>
      </c>
      <c r="D582" t="s">
        <v>2046</v>
      </c>
      <c r="E582" t="s">
        <v>21</v>
      </c>
      <c r="F582" t="s">
        <v>2047</v>
      </c>
    </row>
    <row r="583" spans="1:6" hidden="1" x14ac:dyDescent="0.25">
      <c r="A583" t="s">
        <v>2048</v>
      </c>
      <c r="B583" t="s">
        <v>391</v>
      </c>
      <c r="C583" t="s">
        <v>376</v>
      </c>
      <c r="D583" t="s">
        <v>2049</v>
      </c>
      <c r="E583" t="s">
        <v>21</v>
      </c>
      <c r="F583" t="s">
        <v>2050</v>
      </c>
    </row>
    <row r="584" spans="1:6" hidden="1" x14ac:dyDescent="0.25">
      <c r="A584" t="s">
        <v>2051</v>
      </c>
      <c r="B584" t="s">
        <v>2052</v>
      </c>
      <c r="C584" t="s">
        <v>376</v>
      </c>
      <c r="D584" t="s">
        <v>2053</v>
      </c>
      <c r="E584" t="s">
        <v>21</v>
      </c>
      <c r="F584" t="s">
        <v>2054</v>
      </c>
    </row>
    <row r="585" spans="1:6" hidden="1" x14ac:dyDescent="0.25">
      <c r="A585" t="s">
        <v>2055</v>
      </c>
      <c r="B585" t="s">
        <v>1240</v>
      </c>
      <c r="C585" t="s">
        <v>2056</v>
      </c>
      <c r="D585" t="s">
        <v>2057</v>
      </c>
      <c r="E585" t="s">
        <v>21</v>
      </c>
      <c r="F585" t="s">
        <v>2058</v>
      </c>
    </row>
    <row r="586" spans="1:6" hidden="1" x14ac:dyDescent="0.25">
      <c r="A586" t="s">
        <v>2059</v>
      </c>
      <c r="B586" t="s">
        <v>51</v>
      </c>
      <c r="C586" t="s">
        <v>376</v>
      </c>
      <c r="D586" t="s">
        <v>2060</v>
      </c>
      <c r="E586" t="s">
        <v>21</v>
      </c>
      <c r="F586" t="s">
        <v>2061</v>
      </c>
    </row>
    <row r="587" spans="1:6" hidden="1" x14ac:dyDescent="0.25">
      <c r="A587" t="s">
        <v>2062</v>
      </c>
      <c r="B587" t="s">
        <v>124</v>
      </c>
      <c r="C587" t="s">
        <v>376</v>
      </c>
      <c r="D587" t="s">
        <v>2063</v>
      </c>
      <c r="E587" t="s">
        <v>21</v>
      </c>
      <c r="F587" t="s">
        <v>2064</v>
      </c>
    </row>
    <row r="588" spans="1:6" hidden="1" x14ac:dyDescent="0.25">
      <c r="A588" t="s">
        <v>2065</v>
      </c>
      <c r="B588" t="s">
        <v>128</v>
      </c>
      <c r="C588" t="s">
        <v>376</v>
      </c>
      <c r="D588" t="s">
        <v>2066</v>
      </c>
      <c r="E588" t="s">
        <v>21</v>
      </c>
      <c r="F588" t="s">
        <v>2067</v>
      </c>
    </row>
    <row r="589" spans="1:6" hidden="1" x14ac:dyDescent="0.25">
      <c r="A589" t="s">
        <v>2068</v>
      </c>
      <c r="B589" t="s">
        <v>2069</v>
      </c>
      <c r="C589" t="s">
        <v>376</v>
      </c>
      <c r="D589" t="s">
        <v>2070</v>
      </c>
      <c r="E589" t="s">
        <v>21</v>
      </c>
      <c r="F589" t="s">
        <v>2071</v>
      </c>
    </row>
    <row r="590" spans="1:6" hidden="1" x14ac:dyDescent="0.25">
      <c r="A590" t="s">
        <v>2072</v>
      </c>
      <c r="B590" t="s">
        <v>344</v>
      </c>
      <c r="C590" t="s">
        <v>376</v>
      </c>
      <c r="D590" t="s">
        <v>2073</v>
      </c>
      <c r="E590" t="s">
        <v>21</v>
      </c>
      <c r="F590" t="s">
        <v>2074</v>
      </c>
    </row>
    <row r="591" spans="1:6" hidden="1" x14ac:dyDescent="0.25">
      <c r="A591" t="s">
        <v>2075</v>
      </c>
      <c r="B591" t="s">
        <v>128</v>
      </c>
      <c r="C591" t="s">
        <v>376</v>
      </c>
      <c r="D591" t="s">
        <v>2076</v>
      </c>
      <c r="E591" t="s">
        <v>21</v>
      </c>
      <c r="F591" t="s">
        <v>2077</v>
      </c>
    </row>
    <row r="592" spans="1:6" hidden="1" x14ac:dyDescent="0.25">
      <c r="A592" t="s">
        <v>2078</v>
      </c>
      <c r="B592" t="s">
        <v>245</v>
      </c>
      <c r="C592" t="s">
        <v>376</v>
      </c>
      <c r="D592" t="s">
        <v>2079</v>
      </c>
      <c r="E592" t="s">
        <v>21</v>
      </c>
      <c r="F592" t="s">
        <v>2080</v>
      </c>
    </row>
    <row r="593" spans="1:6" hidden="1" x14ac:dyDescent="0.25">
      <c r="A593" t="s">
        <v>2081</v>
      </c>
      <c r="B593" t="s">
        <v>28</v>
      </c>
      <c r="C593" t="s">
        <v>376</v>
      </c>
      <c r="D593" t="s">
        <v>2082</v>
      </c>
      <c r="E593" t="s">
        <v>21</v>
      </c>
      <c r="F593" t="s">
        <v>2083</v>
      </c>
    </row>
    <row r="594" spans="1:6" hidden="1" x14ac:dyDescent="0.25">
      <c r="A594" t="s">
        <v>2084</v>
      </c>
      <c r="B594" t="s">
        <v>59</v>
      </c>
      <c r="C594" t="s">
        <v>376</v>
      </c>
      <c r="D594" t="s">
        <v>2085</v>
      </c>
      <c r="E594" t="s">
        <v>21</v>
      </c>
      <c r="F594" t="s">
        <v>2086</v>
      </c>
    </row>
    <row r="595" spans="1:6" hidden="1" x14ac:dyDescent="0.25">
      <c r="A595" t="s">
        <v>2087</v>
      </c>
      <c r="B595" t="s">
        <v>143</v>
      </c>
      <c r="C595" t="s">
        <v>376</v>
      </c>
      <c r="D595" t="s">
        <v>2088</v>
      </c>
      <c r="E595" t="s">
        <v>21</v>
      </c>
      <c r="F595" t="s">
        <v>2089</v>
      </c>
    </row>
    <row r="596" spans="1:6" hidden="1" x14ac:dyDescent="0.25">
      <c r="A596" t="s">
        <v>2090</v>
      </c>
      <c r="B596" t="s">
        <v>55</v>
      </c>
      <c r="C596" t="s">
        <v>376</v>
      </c>
      <c r="D596" t="s">
        <v>2091</v>
      </c>
      <c r="E596" t="s">
        <v>21</v>
      </c>
      <c r="F596" t="s">
        <v>2092</v>
      </c>
    </row>
    <row r="597" spans="1:6" hidden="1" x14ac:dyDescent="0.25">
      <c r="A597" t="s">
        <v>2093</v>
      </c>
      <c r="B597" t="s">
        <v>434</v>
      </c>
      <c r="C597" t="s">
        <v>376</v>
      </c>
      <c r="D597" t="s">
        <v>2094</v>
      </c>
      <c r="E597" t="s">
        <v>21</v>
      </c>
      <c r="F597" t="s">
        <v>2095</v>
      </c>
    </row>
    <row r="598" spans="1:6" hidden="1" x14ac:dyDescent="0.25">
      <c r="A598" t="s">
        <v>2096</v>
      </c>
      <c r="B598" t="s">
        <v>139</v>
      </c>
      <c r="C598" t="s">
        <v>376</v>
      </c>
      <c r="D598" t="s">
        <v>2097</v>
      </c>
      <c r="E598" t="s">
        <v>21</v>
      </c>
      <c r="F598" t="s">
        <v>2098</v>
      </c>
    </row>
    <row r="599" spans="1:6" hidden="1" x14ac:dyDescent="0.25">
      <c r="A599" t="s">
        <v>110</v>
      </c>
      <c r="B599" t="s">
        <v>55</v>
      </c>
      <c r="C599" t="s">
        <v>376</v>
      </c>
      <c r="D599" t="s">
        <v>111</v>
      </c>
      <c r="E599" t="s">
        <v>21</v>
      </c>
      <c r="F599" t="s">
        <v>112</v>
      </c>
    </row>
    <row r="600" spans="1:6" hidden="1" x14ac:dyDescent="0.25">
      <c r="A600" t="s">
        <v>2099</v>
      </c>
      <c r="B600" t="s">
        <v>529</v>
      </c>
      <c r="C600" t="s">
        <v>469</v>
      </c>
      <c r="D600" t="s">
        <v>2100</v>
      </c>
      <c r="E600" t="s">
        <v>21</v>
      </c>
      <c r="F600" t="s">
        <v>2101</v>
      </c>
    </row>
    <row r="601" spans="1:6" hidden="1" x14ac:dyDescent="0.25">
      <c r="A601" t="s">
        <v>2102</v>
      </c>
      <c r="B601" t="s">
        <v>591</v>
      </c>
      <c r="C601" t="s">
        <v>2103</v>
      </c>
      <c r="D601" t="s">
        <v>2104</v>
      </c>
      <c r="E601" t="s">
        <v>21</v>
      </c>
      <c r="F601" t="s">
        <v>2105</v>
      </c>
    </row>
    <row r="602" spans="1:6" hidden="1" x14ac:dyDescent="0.25">
      <c r="A602" t="s">
        <v>2106</v>
      </c>
      <c r="B602" t="s">
        <v>837</v>
      </c>
      <c r="C602" t="s">
        <v>469</v>
      </c>
      <c r="D602" t="s">
        <v>2107</v>
      </c>
      <c r="E602" t="s">
        <v>21</v>
      </c>
      <c r="F602" t="s">
        <v>2108</v>
      </c>
    </row>
    <row r="603" spans="1:6" hidden="1" x14ac:dyDescent="0.25">
      <c r="A603" t="s">
        <v>2109</v>
      </c>
      <c r="B603" t="s">
        <v>344</v>
      </c>
      <c r="C603" t="s">
        <v>376</v>
      </c>
      <c r="D603" t="s">
        <v>2110</v>
      </c>
      <c r="E603" t="s">
        <v>21</v>
      </c>
      <c r="F603" t="s">
        <v>2111</v>
      </c>
    </row>
    <row r="604" spans="1:6" hidden="1" x14ac:dyDescent="0.25">
      <c r="A604" t="s">
        <v>2112</v>
      </c>
      <c r="B604" t="s">
        <v>128</v>
      </c>
      <c r="C604" t="s">
        <v>376</v>
      </c>
      <c r="D604" t="s">
        <v>2113</v>
      </c>
      <c r="E604" t="s">
        <v>21</v>
      </c>
      <c r="F604" t="s">
        <v>2114</v>
      </c>
    </row>
    <row r="605" spans="1:6" hidden="1" x14ac:dyDescent="0.25">
      <c r="A605" t="s">
        <v>2115</v>
      </c>
      <c r="B605" t="s">
        <v>55</v>
      </c>
      <c r="C605" t="s">
        <v>376</v>
      </c>
      <c r="D605" t="s">
        <v>2116</v>
      </c>
      <c r="E605" t="s">
        <v>21</v>
      </c>
      <c r="F605" t="s">
        <v>2117</v>
      </c>
    </row>
    <row r="606" spans="1:6" hidden="1" x14ac:dyDescent="0.25">
      <c r="A606" t="s">
        <v>2118</v>
      </c>
      <c r="B606" t="s">
        <v>256</v>
      </c>
      <c r="C606" t="s">
        <v>376</v>
      </c>
      <c r="D606" t="s">
        <v>2119</v>
      </c>
      <c r="E606" t="s">
        <v>21</v>
      </c>
      <c r="F606" t="s">
        <v>2120</v>
      </c>
    </row>
    <row r="607" spans="1:6" hidden="1" x14ac:dyDescent="0.25">
      <c r="A607" t="s">
        <v>2121</v>
      </c>
      <c r="B607" t="s">
        <v>132</v>
      </c>
      <c r="C607" t="s">
        <v>376</v>
      </c>
      <c r="D607" t="s">
        <v>2122</v>
      </c>
      <c r="E607" t="s">
        <v>21</v>
      </c>
      <c r="F607" t="s">
        <v>2123</v>
      </c>
    </row>
    <row r="608" spans="1:6" hidden="1" x14ac:dyDescent="0.25">
      <c r="A608" t="s">
        <v>2124</v>
      </c>
      <c r="B608" t="s">
        <v>512</v>
      </c>
      <c r="C608" t="s">
        <v>679</v>
      </c>
      <c r="D608" t="s">
        <v>2125</v>
      </c>
      <c r="E608" t="s">
        <v>21</v>
      </c>
      <c r="F608" t="s">
        <v>2126</v>
      </c>
    </row>
    <row r="609" spans="1:6" hidden="1" x14ac:dyDescent="0.25">
      <c r="A609" t="s">
        <v>2127</v>
      </c>
      <c r="B609" t="s">
        <v>256</v>
      </c>
      <c r="C609" t="s">
        <v>376</v>
      </c>
      <c r="D609" t="s">
        <v>2128</v>
      </c>
      <c r="E609" t="s">
        <v>21</v>
      </c>
      <c r="F609" t="s">
        <v>2129</v>
      </c>
    </row>
    <row r="610" spans="1:6" hidden="1" x14ac:dyDescent="0.25">
      <c r="A610" t="s">
        <v>2130</v>
      </c>
      <c r="B610" t="s">
        <v>15</v>
      </c>
      <c r="C610" t="s">
        <v>376</v>
      </c>
      <c r="D610" t="s">
        <v>2131</v>
      </c>
      <c r="E610" t="s">
        <v>21</v>
      </c>
      <c r="F610" t="s">
        <v>2132</v>
      </c>
    </row>
    <row r="611" spans="1:6" hidden="1" x14ac:dyDescent="0.25">
      <c r="A611" t="s">
        <v>2133</v>
      </c>
      <c r="B611" t="s">
        <v>492</v>
      </c>
      <c r="C611" t="s">
        <v>376</v>
      </c>
      <c r="D611" t="s">
        <v>2134</v>
      </c>
      <c r="E611" t="s">
        <v>21</v>
      </c>
      <c r="F611" t="s">
        <v>2135</v>
      </c>
    </row>
    <row r="612" spans="1:6" x14ac:dyDescent="0.25">
      <c r="A612" t="s">
        <v>2136</v>
      </c>
      <c r="B612" t="s">
        <v>460</v>
      </c>
      <c r="C612" t="s">
        <v>461</v>
      </c>
      <c r="D612" t="s">
        <v>2137</v>
      </c>
      <c r="E612" t="s">
        <v>21</v>
      </c>
      <c r="F612" t="s">
        <v>2138</v>
      </c>
    </row>
    <row r="613" spans="1:6" hidden="1" x14ac:dyDescent="0.25">
      <c r="A613" t="s">
        <v>2139</v>
      </c>
      <c r="B613" t="s">
        <v>626</v>
      </c>
      <c r="C613" t="s">
        <v>627</v>
      </c>
      <c r="D613" t="s">
        <v>2140</v>
      </c>
      <c r="E613" t="s">
        <v>21</v>
      </c>
      <c r="F613" t="s">
        <v>2141</v>
      </c>
    </row>
    <row r="614" spans="1:6" hidden="1" x14ac:dyDescent="0.25">
      <c r="A614" t="s">
        <v>2142</v>
      </c>
      <c r="B614" t="s">
        <v>701</v>
      </c>
      <c r="C614" t="s">
        <v>376</v>
      </c>
      <c r="D614" t="s">
        <v>2143</v>
      </c>
      <c r="E614" t="s">
        <v>21</v>
      </c>
      <c r="F614" t="s">
        <v>2144</v>
      </c>
    </row>
    <row r="615" spans="1:6" hidden="1" x14ac:dyDescent="0.25">
      <c r="A615" t="s">
        <v>2145</v>
      </c>
      <c r="B615" t="s">
        <v>256</v>
      </c>
      <c r="C615" t="s">
        <v>376</v>
      </c>
      <c r="D615" t="s">
        <v>2146</v>
      </c>
      <c r="E615" t="s">
        <v>21</v>
      </c>
      <c r="F615" t="s">
        <v>2147</v>
      </c>
    </row>
    <row r="616" spans="1:6" hidden="1" x14ac:dyDescent="0.25">
      <c r="A616" t="s">
        <v>2148</v>
      </c>
      <c r="B616" t="s">
        <v>841</v>
      </c>
      <c r="C616" t="s">
        <v>376</v>
      </c>
      <c r="D616" t="s">
        <v>2149</v>
      </c>
      <c r="E616" t="s">
        <v>21</v>
      </c>
      <c r="F616" t="s">
        <v>2150</v>
      </c>
    </row>
    <row r="617" spans="1:6" hidden="1" x14ac:dyDescent="0.25">
      <c r="A617" t="s">
        <v>2151</v>
      </c>
      <c r="B617" t="s">
        <v>15</v>
      </c>
      <c r="C617" t="s">
        <v>376</v>
      </c>
      <c r="D617" t="s">
        <v>2152</v>
      </c>
      <c r="E617" t="s">
        <v>21</v>
      </c>
      <c r="F617" t="s">
        <v>2153</v>
      </c>
    </row>
    <row r="618" spans="1:6" hidden="1" x14ac:dyDescent="0.25">
      <c r="A618" t="s">
        <v>2154</v>
      </c>
      <c r="B618" t="s">
        <v>256</v>
      </c>
      <c r="C618" t="s">
        <v>376</v>
      </c>
      <c r="D618" t="s">
        <v>2155</v>
      </c>
      <c r="E618" t="s">
        <v>21</v>
      </c>
      <c r="F618" t="s">
        <v>2156</v>
      </c>
    </row>
    <row r="619" spans="1:6" hidden="1" x14ac:dyDescent="0.25">
      <c r="A619" t="s">
        <v>2157</v>
      </c>
      <c r="B619" t="s">
        <v>344</v>
      </c>
      <c r="C619" t="s">
        <v>376</v>
      </c>
      <c r="D619" t="s">
        <v>2158</v>
      </c>
      <c r="E619" t="s">
        <v>21</v>
      </c>
      <c r="F619" t="s">
        <v>2159</v>
      </c>
    </row>
    <row r="620" spans="1:6" hidden="1" x14ac:dyDescent="0.25">
      <c r="A620" t="s">
        <v>2160</v>
      </c>
      <c r="B620" t="s">
        <v>39</v>
      </c>
      <c r="C620" t="s">
        <v>376</v>
      </c>
      <c r="D620" t="s">
        <v>2161</v>
      </c>
      <c r="E620" t="s">
        <v>21</v>
      </c>
      <c r="F620" t="s">
        <v>2162</v>
      </c>
    </row>
    <row r="621" spans="1:6" hidden="1" x14ac:dyDescent="0.25">
      <c r="A621" t="s">
        <v>2163</v>
      </c>
      <c r="B621" t="s">
        <v>59</v>
      </c>
      <c r="C621" t="s">
        <v>376</v>
      </c>
      <c r="D621" t="s">
        <v>2164</v>
      </c>
      <c r="E621" t="s">
        <v>21</v>
      </c>
      <c r="F621" t="s">
        <v>2165</v>
      </c>
    </row>
    <row r="622" spans="1:6" hidden="1" x14ac:dyDescent="0.25">
      <c r="A622" t="s">
        <v>2166</v>
      </c>
      <c r="B622" t="s">
        <v>39</v>
      </c>
      <c r="C622" t="s">
        <v>376</v>
      </c>
      <c r="D622" t="s">
        <v>2167</v>
      </c>
      <c r="E622" t="s">
        <v>21</v>
      </c>
      <c r="F622" t="s">
        <v>2168</v>
      </c>
    </row>
    <row r="623" spans="1:6" hidden="1" x14ac:dyDescent="0.25">
      <c r="A623" t="s">
        <v>2169</v>
      </c>
      <c r="B623" t="s">
        <v>124</v>
      </c>
      <c r="C623" t="s">
        <v>376</v>
      </c>
      <c r="D623" t="s">
        <v>2170</v>
      </c>
      <c r="E623" t="s">
        <v>21</v>
      </c>
      <c r="F623" t="s">
        <v>2171</v>
      </c>
    </row>
    <row r="624" spans="1:6" hidden="1" x14ac:dyDescent="0.25">
      <c r="A624" t="s">
        <v>2172</v>
      </c>
      <c r="B624" t="s">
        <v>59</v>
      </c>
      <c r="C624" t="s">
        <v>376</v>
      </c>
      <c r="D624" t="s">
        <v>2173</v>
      </c>
      <c r="E624" t="s">
        <v>21</v>
      </c>
      <c r="F624" t="s">
        <v>2174</v>
      </c>
    </row>
    <row r="625" spans="1:6" x14ac:dyDescent="0.25">
      <c r="A625" t="s">
        <v>2175</v>
      </c>
      <c r="B625" t="s">
        <v>460</v>
      </c>
      <c r="C625" t="s">
        <v>461</v>
      </c>
      <c r="D625" t="s">
        <v>2176</v>
      </c>
      <c r="E625" t="s">
        <v>21</v>
      </c>
      <c r="F625" t="s">
        <v>2177</v>
      </c>
    </row>
    <row r="626" spans="1:6" hidden="1" x14ac:dyDescent="0.25">
      <c r="A626" t="s">
        <v>2178</v>
      </c>
      <c r="B626" t="s">
        <v>162</v>
      </c>
      <c r="C626" t="s">
        <v>376</v>
      </c>
      <c r="D626" t="s">
        <v>2179</v>
      </c>
      <c r="E626" t="s">
        <v>21</v>
      </c>
      <c r="F626" t="s">
        <v>2180</v>
      </c>
    </row>
    <row r="627" spans="1:6" hidden="1" x14ac:dyDescent="0.25">
      <c r="A627" t="s">
        <v>2181</v>
      </c>
      <c r="B627" t="s">
        <v>708</v>
      </c>
      <c r="C627" t="s">
        <v>376</v>
      </c>
      <c r="D627" t="s">
        <v>2182</v>
      </c>
      <c r="E627" t="s">
        <v>21</v>
      </c>
      <c r="F627" t="s">
        <v>2183</v>
      </c>
    </row>
    <row r="628" spans="1:6" hidden="1" x14ac:dyDescent="0.25">
      <c r="A628" t="s">
        <v>2184</v>
      </c>
      <c r="B628" t="s">
        <v>626</v>
      </c>
      <c r="C628" t="s">
        <v>788</v>
      </c>
      <c r="D628" t="s">
        <v>2185</v>
      </c>
      <c r="E628" t="s">
        <v>21</v>
      </c>
      <c r="F628" t="s">
        <v>2186</v>
      </c>
    </row>
    <row r="629" spans="1:6" hidden="1" x14ac:dyDescent="0.25">
      <c r="A629" t="s">
        <v>2187</v>
      </c>
      <c r="B629" t="s">
        <v>434</v>
      </c>
      <c r="C629" t="s">
        <v>376</v>
      </c>
      <c r="D629" t="s">
        <v>2188</v>
      </c>
      <c r="E629" t="s">
        <v>21</v>
      </c>
      <c r="F629" t="s">
        <v>2189</v>
      </c>
    </row>
    <row r="630" spans="1:6" hidden="1" x14ac:dyDescent="0.25">
      <c r="A630" t="s">
        <v>309</v>
      </c>
      <c r="B630" t="s">
        <v>68</v>
      </c>
      <c r="C630" t="s">
        <v>376</v>
      </c>
      <c r="D630" t="s">
        <v>310</v>
      </c>
      <c r="E630" t="s">
        <v>21</v>
      </c>
      <c r="F630" t="s">
        <v>311</v>
      </c>
    </row>
    <row r="631" spans="1:6" hidden="1" x14ac:dyDescent="0.25">
      <c r="A631" t="s">
        <v>122</v>
      </c>
      <c r="B631" t="s">
        <v>124</v>
      </c>
      <c r="C631" t="s">
        <v>376</v>
      </c>
      <c r="D631" t="s">
        <v>123</v>
      </c>
      <c r="E631" t="s">
        <v>21</v>
      </c>
      <c r="F631" t="s">
        <v>125</v>
      </c>
    </row>
    <row r="632" spans="1:6" hidden="1" x14ac:dyDescent="0.25">
      <c r="A632" t="s">
        <v>2190</v>
      </c>
      <c r="B632" t="s">
        <v>256</v>
      </c>
      <c r="C632" t="s">
        <v>376</v>
      </c>
      <c r="D632" t="s">
        <v>2191</v>
      </c>
      <c r="E632" t="s">
        <v>21</v>
      </c>
      <c r="F632" t="s">
        <v>2192</v>
      </c>
    </row>
    <row r="633" spans="1:6" hidden="1" x14ac:dyDescent="0.25">
      <c r="A633" t="s">
        <v>2193</v>
      </c>
      <c r="B633" t="s">
        <v>39</v>
      </c>
      <c r="C633" t="s">
        <v>376</v>
      </c>
      <c r="D633" t="s">
        <v>2194</v>
      </c>
      <c r="E633" t="s">
        <v>21</v>
      </c>
      <c r="F633" t="s">
        <v>2195</v>
      </c>
    </row>
    <row r="634" spans="1:6" hidden="1" x14ac:dyDescent="0.25">
      <c r="A634" t="s">
        <v>2196</v>
      </c>
      <c r="B634" t="s">
        <v>15</v>
      </c>
      <c r="C634" t="s">
        <v>376</v>
      </c>
      <c r="D634" t="s">
        <v>2197</v>
      </c>
      <c r="E634" t="s">
        <v>21</v>
      </c>
      <c r="F634" t="s">
        <v>2198</v>
      </c>
    </row>
    <row r="635" spans="1:6" hidden="1" x14ac:dyDescent="0.25">
      <c r="A635" t="s">
        <v>2199</v>
      </c>
      <c r="B635" t="s">
        <v>28</v>
      </c>
      <c r="C635" t="s">
        <v>469</v>
      </c>
      <c r="D635" t="s">
        <v>2200</v>
      </c>
      <c r="E635" t="s">
        <v>21</v>
      </c>
      <c r="F635" t="s">
        <v>2201</v>
      </c>
    </row>
    <row r="636" spans="1:6" hidden="1" x14ac:dyDescent="0.25">
      <c r="A636" t="s">
        <v>2202</v>
      </c>
      <c r="B636" t="s">
        <v>55</v>
      </c>
      <c r="C636" t="s">
        <v>376</v>
      </c>
      <c r="D636" t="s">
        <v>2203</v>
      </c>
      <c r="E636" t="s">
        <v>21</v>
      </c>
      <c r="F636" t="s">
        <v>2204</v>
      </c>
    </row>
    <row r="637" spans="1:6" hidden="1" x14ac:dyDescent="0.25">
      <c r="A637" t="s">
        <v>2205</v>
      </c>
      <c r="B637" t="s">
        <v>344</v>
      </c>
      <c r="C637" t="s">
        <v>376</v>
      </c>
      <c r="D637" t="s">
        <v>2206</v>
      </c>
      <c r="E637" t="s">
        <v>21</v>
      </c>
      <c r="F637" t="s">
        <v>2207</v>
      </c>
    </row>
    <row r="638" spans="1:6" hidden="1" x14ac:dyDescent="0.25">
      <c r="A638" t="s">
        <v>2208</v>
      </c>
      <c r="B638" t="s">
        <v>619</v>
      </c>
      <c r="C638" t="s">
        <v>376</v>
      </c>
      <c r="D638" t="s">
        <v>2209</v>
      </c>
      <c r="E638" t="s">
        <v>21</v>
      </c>
      <c r="F638" t="s">
        <v>2210</v>
      </c>
    </row>
    <row r="639" spans="1:6" hidden="1" x14ac:dyDescent="0.25">
      <c r="A639" t="s">
        <v>2211</v>
      </c>
      <c r="B639" t="s">
        <v>421</v>
      </c>
      <c r="C639" t="s">
        <v>376</v>
      </c>
      <c r="D639" t="s">
        <v>2212</v>
      </c>
      <c r="E639" t="s">
        <v>21</v>
      </c>
      <c r="F639" t="s">
        <v>2213</v>
      </c>
    </row>
    <row r="640" spans="1:6" hidden="1" x14ac:dyDescent="0.25">
      <c r="A640" t="s">
        <v>2214</v>
      </c>
      <c r="B640" t="s">
        <v>609</v>
      </c>
      <c r="C640" t="s">
        <v>376</v>
      </c>
      <c r="D640" t="s">
        <v>2215</v>
      </c>
      <c r="E640" t="s">
        <v>21</v>
      </c>
      <c r="F640" t="s">
        <v>2216</v>
      </c>
    </row>
    <row r="641" spans="1:6" hidden="1" x14ac:dyDescent="0.25">
      <c r="A641" t="s">
        <v>2217</v>
      </c>
      <c r="B641" t="s">
        <v>626</v>
      </c>
      <c r="C641" t="s">
        <v>1140</v>
      </c>
      <c r="D641" t="s">
        <v>2218</v>
      </c>
      <c r="E641" t="s">
        <v>21</v>
      </c>
      <c r="F641" t="s">
        <v>2219</v>
      </c>
    </row>
    <row r="642" spans="1:6" hidden="1" x14ac:dyDescent="0.25">
      <c r="A642" t="s">
        <v>2220</v>
      </c>
      <c r="B642" t="s">
        <v>626</v>
      </c>
      <c r="C642" t="s">
        <v>627</v>
      </c>
      <c r="D642" t="s">
        <v>2221</v>
      </c>
      <c r="E642" t="s">
        <v>21</v>
      </c>
      <c r="F642" t="s">
        <v>2222</v>
      </c>
    </row>
    <row r="643" spans="1:6" hidden="1" x14ac:dyDescent="0.25">
      <c r="A643" t="s">
        <v>354</v>
      </c>
      <c r="B643" t="s">
        <v>841</v>
      </c>
      <c r="C643" t="s">
        <v>376</v>
      </c>
      <c r="D643" t="s">
        <v>2223</v>
      </c>
      <c r="E643" t="s">
        <v>21</v>
      </c>
      <c r="F643" t="s">
        <v>2224</v>
      </c>
    </row>
    <row r="644" spans="1:6" hidden="1" x14ac:dyDescent="0.25">
      <c r="A644" t="s">
        <v>2225</v>
      </c>
      <c r="B644" t="s">
        <v>55</v>
      </c>
      <c r="C644" t="s">
        <v>376</v>
      </c>
      <c r="D644" t="s">
        <v>2226</v>
      </c>
      <c r="E644" t="s">
        <v>21</v>
      </c>
      <c r="F644" t="s">
        <v>2227</v>
      </c>
    </row>
    <row r="645" spans="1:6" hidden="1" x14ac:dyDescent="0.25">
      <c r="A645" t="s">
        <v>2228</v>
      </c>
      <c r="B645" t="s">
        <v>609</v>
      </c>
      <c r="C645" t="s">
        <v>376</v>
      </c>
      <c r="D645" t="s">
        <v>2229</v>
      </c>
      <c r="E645" t="s">
        <v>21</v>
      </c>
      <c r="F645" t="s">
        <v>2230</v>
      </c>
    </row>
    <row r="646" spans="1:6" hidden="1" x14ac:dyDescent="0.25">
      <c r="A646" t="s">
        <v>2231</v>
      </c>
      <c r="B646" t="s">
        <v>256</v>
      </c>
      <c r="C646" t="s">
        <v>376</v>
      </c>
      <c r="D646" t="s">
        <v>2232</v>
      </c>
      <c r="E646" t="s">
        <v>21</v>
      </c>
      <c r="F646" t="s">
        <v>2233</v>
      </c>
    </row>
    <row r="647" spans="1:6" hidden="1" x14ac:dyDescent="0.25">
      <c r="A647" t="s">
        <v>2234</v>
      </c>
      <c r="B647" t="s">
        <v>512</v>
      </c>
      <c r="C647" t="s">
        <v>679</v>
      </c>
      <c r="D647" t="s">
        <v>2235</v>
      </c>
      <c r="E647" t="s">
        <v>21</v>
      </c>
      <c r="F647" t="s">
        <v>2236</v>
      </c>
    </row>
    <row r="648" spans="1:6" hidden="1" x14ac:dyDescent="0.25">
      <c r="A648" t="s">
        <v>2237</v>
      </c>
      <c r="B648" t="s">
        <v>39</v>
      </c>
      <c r="C648" t="s">
        <v>376</v>
      </c>
      <c r="D648" t="s">
        <v>2238</v>
      </c>
      <c r="E648" t="s">
        <v>21</v>
      </c>
      <c r="F648" t="s">
        <v>2239</v>
      </c>
    </row>
    <row r="649" spans="1:6" hidden="1" x14ac:dyDescent="0.25">
      <c r="A649" t="s">
        <v>2240</v>
      </c>
      <c r="B649" t="s">
        <v>997</v>
      </c>
      <c r="C649" t="s">
        <v>469</v>
      </c>
      <c r="D649" t="s">
        <v>2241</v>
      </c>
      <c r="E649" t="s">
        <v>21</v>
      </c>
      <c r="F649" t="s">
        <v>2242</v>
      </c>
    </row>
    <row r="650" spans="1:6" hidden="1" x14ac:dyDescent="0.25">
      <c r="A650" t="s">
        <v>2243</v>
      </c>
      <c r="B650" t="s">
        <v>55</v>
      </c>
      <c r="C650" t="s">
        <v>376</v>
      </c>
      <c r="D650" t="s">
        <v>2244</v>
      </c>
      <c r="E650" t="s">
        <v>21</v>
      </c>
      <c r="F650" t="s">
        <v>2245</v>
      </c>
    </row>
    <row r="651" spans="1:6" hidden="1" x14ac:dyDescent="0.25">
      <c r="A651" t="s">
        <v>2246</v>
      </c>
      <c r="B651" t="s">
        <v>482</v>
      </c>
      <c r="C651" t="s">
        <v>376</v>
      </c>
      <c r="D651" t="s">
        <v>2247</v>
      </c>
      <c r="E651" t="s">
        <v>21</v>
      </c>
      <c r="F651" t="s">
        <v>2248</v>
      </c>
    </row>
    <row r="652" spans="1:6" hidden="1" x14ac:dyDescent="0.25">
      <c r="A652" t="s">
        <v>2249</v>
      </c>
      <c r="B652" t="s">
        <v>162</v>
      </c>
      <c r="C652" t="s">
        <v>376</v>
      </c>
      <c r="D652" t="s">
        <v>2250</v>
      </c>
      <c r="E652" t="s">
        <v>21</v>
      </c>
      <c r="F652" t="s">
        <v>2251</v>
      </c>
    </row>
    <row r="653" spans="1:6" hidden="1" x14ac:dyDescent="0.25">
      <c r="A653" t="s">
        <v>2252</v>
      </c>
      <c r="B653" t="s">
        <v>512</v>
      </c>
      <c r="C653" t="s">
        <v>679</v>
      </c>
      <c r="D653" t="s">
        <v>2253</v>
      </c>
      <c r="E653" t="s">
        <v>21</v>
      </c>
      <c r="F653" t="s">
        <v>2254</v>
      </c>
    </row>
    <row r="654" spans="1:6" hidden="1" x14ac:dyDescent="0.25">
      <c r="A654" t="s">
        <v>2255</v>
      </c>
      <c r="B654" t="s">
        <v>55</v>
      </c>
      <c r="C654" t="s">
        <v>376</v>
      </c>
      <c r="D654" t="s">
        <v>2256</v>
      </c>
      <c r="E654" t="s">
        <v>21</v>
      </c>
      <c r="F654" t="s">
        <v>2257</v>
      </c>
    </row>
    <row r="655" spans="1:6" hidden="1" x14ac:dyDescent="0.25">
      <c r="A655" t="s">
        <v>2258</v>
      </c>
      <c r="B655" t="s">
        <v>64</v>
      </c>
      <c r="C655" t="s">
        <v>376</v>
      </c>
      <c r="D655" t="s">
        <v>2259</v>
      </c>
      <c r="E655" t="s">
        <v>21</v>
      </c>
      <c r="F655" t="s">
        <v>2260</v>
      </c>
    </row>
    <row r="656" spans="1:6" hidden="1" x14ac:dyDescent="0.25">
      <c r="A656" t="s">
        <v>2261</v>
      </c>
      <c r="B656" t="s">
        <v>55</v>
      </c>
      <c r="C656" t="s">
        <v>376</v>
      </c>
      <c r="D656" t="s">
        <v>2262</v>
      </c>
      <c r="E656" t="s">
        <v>21</v>
      </c>
      <c r="F656" t="s">
        <v>2263</v>
      </c>
    </row>
    <row r="657" spans="1:6" hidden="1" x14ac:dyDescent="0.25">
      <c r="A657" t="s">
        <v>2264</v>
      </c>
      <c r="B657" t="s">
        <v>626</v>
      </c>
      <c r="C657" t="s">
        <v>1053</v>
      </c>
      <c r="D657" t="s">
        <v>2265</v>
      </c>
      <c r="E657" t="s">
        <v>21</v>
      </c>
      <c r="F657" t="s">
        <v>2266</v>
      </c>
    </row>
    <row r="658" spans="1:6" hidden="1" x14ac:dyDescent="0.25">
      <c r="A658" t="s">
        <v>2267</v>
      </c>
      <c r="B658" t="s">
        <v>124</v>
      </c>
      <c r="C658" t="s">
        <v>376</v>
      </c>
      <c r="D658" t="s">
        <v>2268</v>
      </c>
      <c r="E658" t="s">
        <v>21</v>
      </c>
      <c r="F658" t="s">
        <v>2269</v>
      </c>
    </row>
    <row r="659" spans="1:6" hidden="1" x14ac:dyDescent="0.25">
      <c r="A659" t="s">
        <v>2270</v>
      </c>
      <c r="B659" t="s">
        <v>529</v>
      </c>
      <c r="C659" t="s">
        <v>376</v>
      </c>
      <c r="D659" t="s">
        <v>2271</v>
      </c>
      <c r="E659" t="s">
        <v>21</v>
      </c>
      <c r="F659" t="s">
        <v>2272</v>
      </c>
    </row>
    <row r="660" spans="1:6" hidden="1" x14ac:dyDescent="0.25">
      <c r="A660" t="s">
        <v>2273</v>
      </c>
      <c r="B660" t="s">
        <v>39</v>
      </c>
      <c r="C660" t="s">
        <v>376</v>
      </c>
      <c r="D660" t="s">
        <v>2274</v>
      </c>
      <c r="E660" t="s">
        <v>21</v>
      </c>
      <c r="F660" t="s">
        <v>2275</v>
      </c>
    </row>
    <row r="661" spans="1:6" hidden="1" x14ac:dyDescent="0.25">
      <c r="A661" t="s">
        <v>2276</v>
      </c>
      <c r="B661" t="s">
        <v>499</v>
      </c>
      <c r="C661" t="s">
        <v>376</v>
      </c>
      <c r="D661" t="s">
        <v>2277</v>
      </c>
      <c r="E661" t="s">
        <v>21</v>
      </c>
      <c r="F661" t="s">
        <v>2278</v>
      </c>
    </row>
    <row r="662" spans="1:6" hidden="1" x14ac:dyDescent="0.25">
      <c r="A662" t="s">
        <v>2279</v>
      </c>
      <c r="B662" t="s">
        <v>245</v>
      </c>
      <c r="C662" t="s">
        <v>376</v>
      </c>
      <c r="D662" t="s">
        <v>2280</v>
      </c>
      <c r="E662" t="s">
        <v>21</v>
      </c>
      <c r="F662" t="s">
        <v>2281</v>
      </c>
    </row>
    <row r="663" spans="1:6" hidden="1" x14ac:dyDescent="0.25">
      <c r="A663" t="s">
        <v>2282</v>
      </c>
      <c r="B663" t="s">
        <v>162</v>
      </c>
      <c r="C663" t="s">
        <v>376</v>
      </c>
      <c r="D663" t="s">
        <v>2283</v>
      </c>
      <c r="E663" t="s">
        <v>21</v>
      </c>
      <c r="F663" t="s">
        <v>2284</v>
      </c>
    </row>
    <row r="664" spans="1:6" hidden="1" x14ac:dyDescent="0.25">
      <c r="A664" t="s">
        <v>2285</v>
      </c>
      <c r="B664" t="s">
        <v>256</v>
      </c>
      <c r="C664" t="s">
        <v>376</v>
      </c>
      <c r="D664" t="s">
        <v>2286</v>
      </c>
      <c r="E664" t="s">
        <v>21</v>
      </c>
      <c r="F664" t="s">
        <v>2287</v>
      </c>
    </row>
    <row r="665" spans="1:6" hidden="1" x14ac:dyDescent="0.25">
      <c r="A665" t="s">
        <v>2288</v>
      </c>
      <c r="B665" t="s">
        <v>55</v>
      </c>
      <c r="C665" t="s">
        <v>376</v>
      </c>
      <c r="D665" t="s">
        <v>2289</v>
      </c>
      <c r="E665" t="s">
        <v>21</v>
      </c>
      <c r="F665" t="s">
        <v>2290</v>
      </c>
    </row>
    <row r="666" spans="1:6" hidden="1" x14ac:dyDescent="0.25">
      <c r="A666" t="s">
        <v>30</v>
      </c>
      <c r="B666" t="s">
        <v>28</v>
      </c>
      <c r="C666" t="s">
        <v>376</v>
      </c>
      <c r="D666" t="s">
        <v>31</v>
      </c>
      <c r="E666" t="s">
        <v>21</v>
      </c>
      <c r="F666" t="s">
        <v>32</v>
      </c>
    </row>
    <row r="667" spans="1:6" hidden="1" x14ac:dyDescent="0.25">
      <c r="A667" t="s">
        <v>2291</v>
      </c>
      <c r="B667" t="s">
        <v>39</v>
      </c>
      <c r="C667" t="s">
        <v>376</v>
      </c>
      <c r="D667" t="s">
        <v>2292</v>
      </c>
      <c r="E667" t="s">
        <v>21</v>
      </c>
      <c r="F667" t="s">
        <v>2293</v>
      </c>
    </row>
    <row r="668" spans="1:6" hidden="1" x14ac:dyDescent="0.25">
      <c r="A668" t="s">
        <v>2294</v>
      </c>
      <c r="B668" t="s">
        <v>128</v>
      </c>
      <c r="C668" t="s">
        <v>376</v>
      </c>
      <c r="D668" t="s">
        <v>2295</v>
      </c>
      <c r="E668" t="s">
        <v>21</v>
      </c>
      <c r="F668" t="s">
        <v>2296</v>
      </c>
    </row>
    <row r="669" spans="1:6" hidden="1" x14ac:dyDescent="0.25">
      <c r="A669" t="s">
        <v>2297</v>
      </c>
      <c r="B669" t="s">
        <v>39</v>
      </c>
      <c r="C669" t="s">
        <v>376</v>
      </c>
      <c r="D669" t="s">
        <v>2298</v>
      </c>
      <c r="E669" t="s">
        <v>21</v>
      </c>
      <c r="F669" t="s">
        <v>2299</v>
      </c>
    </row>
    <row r="670" spans="1:6" hidden="1" x14ac:dyDescent="0.25">
      <c r="A670" t="s">
        <v>2300</v>
      </c>
      <c r="B670" t="s">
        <v>55</v>
      </c>
      <c r="C670" t="s">
        <v>376</v>
      </c>
      <c r="D670" t="s">
        <v>2301</v>
      </c>
      <c r="E670" t="s">
        <v>21</v>
      </c>
      <c r="F670" t="s">
        <v>2302</v>
      </c>
    </row>
    <row r="671" spans="1:6" hidden="1" x14ac:dyDescent="0.25">
      <c r="A671" t="s">
        <v>2303</v>
      </c>
      <c r="B671" t="s">
        <v>124</v>
      </c>
      <c r="C671" t="s">
        <v>376</v>
      </c>
      <c r="D671" t="s">
        <v>2304</v>
      </c>
      <c r="E671" t="s">
        <v>21</v>
      </c>
      <c r="F671" t="s">
        <v>2305</v>
      </c>
    </row>
    <row r="672" spans="1:6" hidden="1" x14ac:dyDescent="0.25">
      <c r="A672" t="s">
        <v>2306</v>
      </c>
      <c r="B672" t="s">
        <v>701</v>
      </c>
      <c r="C672" t="s">
        <v>376</v>
      </c>
      <c r="D672" t="s">
        <v>2307</v>
      </c>
      <c r="E672" t="s">
        <v>21</v>
      </c>
      <c r="F672" t="s">
        <v>2308</v>
      </c>
    </row>
    <row r="673" spans="1:6" hidden="1" x14ac:dyDescent="0.25">
      <c r="A673" t="s">
        <v>2309</v>
      </c>
      <c r="B673" t="s">
        <v>132</v>
      </c>
      <c r="C673" t="s">
        <v>376</v>
      </c>
      <c r="D673" t="s">
        <v>2310</v>
      </c>
      <c r="E673" t="s">
        <v>21</v>
      </c>
      <c r="F673" t="s">
        <v>2311</v>
      </c>
    </row>
    <row r="674" spans="1:6" hidden="1" x14ac:dyDescent="0.25">
      <c r="A674" t="s">
        <v>137</v>
      </c>
      <c r="B674" t="s">
        <v>139</v>
      </c>
      <c r="C674" t="s">
        <v>376</v>
      </c>
      <c r="D674" t="s">
        <v>138</v>
      </c>
      <c r="E674" t="s">
        <v>21</v>
      </c>
      <c r="F674" t="s">
        <v>140</v>
      </c>
    </row>
    <row r="675" spans="1:6" hidden="1" x14ac:dyDescent="0.25">
      <c r="A675" t="s">
        <v>2312</v>
      </c>
      <c r="B675" t="s">
        <v>245</v>
      </c>
      <c r="C675" t="s">
        <v>376</v>
      </c>
      <c r="D675" t="s">
        <v>2313</v>
      </c>
      <c r="E675" t="s">
        <v>21</v>
      </c>
      <c r="F675" t="s">
        <v>2314</v>
      </c>
    </row>
    <row r="676" spans="1:6" hidden="1" x14ac:dyDescent="0.25">
      <c r="A676" t="s">
        <v>2315</v>
      </c>
      <c r="B676" t="s">
        <v>1430</v>
      </c>
      <c r="C676" t="s">
        <v>376</v>
      </c>
      <c r="D676" t="s">
        <v>2316</v>
      </c>
      <c r="E676" t="s">
        <v>21</v>
      </c>
      <c r="F676" t="s">
        <v>2317</v>
      </c>
    </row>
    <row r="677" spans="1:6" hidden="1" x14ac:dyDescent="0.25">
      <c r="A677" t="s">
        <v>2318</v>
      </c>
      <c r="B677" t="s">
        <v>55</v>
      </c>
      <c r="C677" t="s">
        <v>376</v>
      </c>
      <c r="D677" t="s">
        <v>2319</v>
      </c>
      <c r="E677" t="s">
        <v>21</v>
      </c>
      <c r="F677" t="s">
        <v>2320</v>
      </c>
    </row>
    <row r="678" spans="1:6" hidden="1" x14ac:dyDescent="0.25">
      <c r="A678" t="s">
        <v>2321</v>
      </c>
      <c r="B678" t="s">
        <v>272</v>
      </c>
      <c r="C678" t="s">
        <v>376</v>
      </c>
      <c r="D678" t="s">
        <v>2322</v>
      </c>
      <c r="E678" t="s">
        <v>21</v>
      </c>
      <c r="F678" t="s">
        <v>2323</v>
      </c>
    </row>
    <row r="679" spans="1:6" hidden="1" x14ac:dyDescent="0.25">
      <c r="A679" t="s">
        <v>2324</v>
      </c>
      <c r="B679" t="s">
        <v>512</v>
      </c>
      <c r="C679" t="s">
        <v>554</v>
      </c>
      <c r="D679" t="s">
        <v>2325</v>
      </c>
      <c r="E679" t="s">
        <v>21</v>
      </c>
      <c r="F679" t="s">
        <v>2326</v>
      </c>
    </row>
    <row r="680" spans="1:6" hidden="1" x14ac:dyDescent="0.25">
      <c r="A680" t="s">
        <v>2327</v>
      </c>
      <c r="B680" t="s">
        <v>139</v>
      </c>
      <c r="C680" t="s">
        <v>376</v>
      </c>
      <c r="D680" t="s">
        <v>2328</v>
      </c>
      <c r="E680" t="s">
        <v>21</v>
      </c>
      <c r="F680" t="s">
        <v>2329</v>
      </c>
    </row>
    <row r="681" spans="1:6" hidden="1" x14ac:dyDescent="0.25">
      <c r="A681" t="s">
        <v>2330</v>
      </c>
      <c r="B681" t="s">
        <v>272</v>
      </c>
      <c r="C681" t="s">
        <v>376</v>
      </c>
      <c r="D681" t="s">
        <v>2331</v>
      </c>
      <c r="E681" t="s">
        <v>21</v>
      </c>
      <c r="F681" t="s">
        <v>2332</v>
      </c>
    </row>
    <row r="682" spans="1:6" hidden="1" x14ac:dyDescent="0.25">
      <c r="A682" t="s">
        <v>2333</v>
      </c>
      <c r="B682" t="s">
        <v>28</v>
      </c>
      <c r="C682" t="s">
        <v>376</v>
      </c>
      <c r="D682" t="s">
        <v>2334</v>
      </c>
      <c r="E682" t="s">
        <v>21</v>
      </c>
      <c r="F682" t="s">
        <v>2335</v>
      </c>
    </row>
    <row r="683" spans="1:6" hidden="1" x14ac:dyDescent="0.25">
      <c r="A683" t="s">
        <v>2336</v>
      </c>
      <c r="B683" t="s">
        <v>1430</v>
      </c>
      <c r="C683" t="s">
        <v>376</v>
      </c>
      <c r="D683" t="s">
        <v>2337</v>
      </c>
      <c r="E683" t="s">
        <v>21</v>
      </c>
      <c r="F683" t="s">
        <v>2338</v>
      </c>
    </row>
    <row r="684" spans="1:6" x14ac:dyDescent="0.25">
      <c r="A684" t="s">
        <v>285</v>
      </c>
      <c r="B684" t="s">
        <v>460</v>
      </c>
      <c r="C684" t="s">
        <v>461</v>
      </c>
      <c r="D684" t="s">
        <v>286</v>
      </c>
      <c r="E684" t="s">
        <v>21</v>
      </c>
      <c r="F684" t="s">
        <v>287</v>
      </c>
    </row>
    <row r="685" spans="1:6" hidden="1" x14ac:dyDescent="0.25">
      <c r="A685" t="s">
        <v>2339</v>
      </c>
      <c r="B685" t="s">
        <v>132</v>
      </c>
      <c r="C685" t="s">
        <v>376</v>
      </c>
      <c r="D685" t="s">
        <v>2340</v>
      </c>
      <c r="E685" t="s">
        <v>21</v>
      </c>
      <c r="F685" t="s">
        <v>2341</v>
      </c>
    </row>
    <row r="686" spans="1:6" hidden="1" x14ac:dyDescent="0.25">
      <c r="A686" t="s">
        <v>2342</v>
      </c>
      <c r="B686" t="s">
        <v>434</v>
      </c>
      <c r="C686" t="s">
        <v>376</v>
      </c>
      <c r="D686" t="s">
        <v>2343</v>
      </c>
      <c r="E686" t="s">
        <v>21</v>
      </c>
      <c r="F686" t="s">
        <v>2344</v>
      </c>
    </row>
    <row r="687" spans="1:6" hidden="1" x14ac:dyDescent="0.25">
      <c r="A687" t="s">
        <v>2345</v>
      </c>
      <c r="B687" t="s">
        <v>51</v>
      </c>
      <c r="C687" t="s">
        <v>376</v>
      </c>
      <c r="D687" t="s">
        <v>2346</v>
      </c>
      <c r="E687" t="s">
        <v>21</v>
      </c>
      <c r="F687" t="s">
        <v>2347</v>
      </c>
    </row>
    <row r="688" spans="1:6" hidden="1" x14ac:dyDescent="0.25">
      <c r="A688" t="s">
        <v>2348</v>
      </c>
      <c r="B688" t="s">
        <v>482</v>
      </c>
      <c r="C688" t="s">
        <v>376</v>
      </c>
      <c r="D688" t="s">
        <v>2349</v>
      </c>
      <c r="E688" t="s">
        <v>21</v>
      </c>
      <c r="F688" t="s">
        <v>2350</v>
      </c>
    </row>
    <row r="689" spans="1:6" hidden="1" x14ac:dyDescent="0.25">
      <c r="A689" t="s">
        <v>2351</v>
      </c>
      <c r="B689" t="s">
        <v>59</v>
      </c>
      <c r="C689" t="s">
        <v>376</v>
      </c>
      <c r="D689" t="s">
        <v>2352</v>
      </c>
      <c r="E689" t="s">
        <v>21</v>
      </c>
      <c r="F689" t="s">
        <v>2353</v>
      </c>
    </row>
    <row r="690" spans="1:6" hidden="1" x14ac:dyDescent="0.25">
      <c r="A690" t="s">
        <v>2354</v>
      </c>
      <c r="B690" t="s">
        <v>55</v>
      </c>
      <c r="C690" t="s">
        <v>376</v>
      </c>
      <c r="D690" t="s">
        <v>2355</v>
      </c>
      <c r="E690" t="s">
        <v>21</v>
      </c>
      <c r="F690" t="s">
        <v>2356</v>
      </c>
    </row>
    <row r="691" spans="1:6" hidden="1" x14ac:dyDescent="0.25">
      <c r="A691" t="s">
        <v>2357</v>
      </c>
      <c r="B691" t="s">
        <v>512</v>
      </c>
      <c r="C691" t="s">
        <v>554</v>
      </c>
      <c r="D691" t="s">
        <v>2358</v>
      </c>
      <c r="E691" t="s">
        <v>21</v>
      </c>
      <c r="F691" t="s">
        <v>4320</v>
      </c>
    </row>
    <row r="692" spans="1:6" hidden="1" x14ac:dyDescent="0.25">
      <c r="A692" t="s">
        <v>2359</v>
      </c>
      <c r="B692" t="s">
        <v>492</v>
      </c>
      <c r="C692" t="s">
        <v>376</v>
      </c>
      <c r="D692" t="s">
        <v>2360</v>
      </c>
      <c r="E692" t="s">
        <v>21</v>
      </c>
      <c r="F692" t="s">
        <v>2361</v>
      </c>
    </row>
    <row r="693" spans="1:6" hidden="1" x14ac:dyDescent="0.25">
      <c r="A693" t="s">
        <v>2362</v>
      </c>
      <c r="B693" t="s">
        <v>139</v>
      </c>
      <c r="C693" t="s">
        <v>376</v>
      </c>
      <c r="D693" t="s">
        <v>2363</v>
      </c>
      <c r="E693" t="s">
        <v>21</v>
      </c>
      <c r="F693" t="s">
        <v>2364</v>
      </c>
    </row>
    <row r="694" spans="1:6" hidden="1" x14ac:dyDescent="0.25">
      <c r="A694" t="s">
        <v>2365</v>
      </c>
      <c r="B694" t="s">
        <v>132</v>
      </c>
      <c r="C694" t="s">
        <v>376</v>
      </c>
      <c r="D694" t="s">
        <v>2366</v>
      </c>
      <c r="E694" t="s">
        <v>21</v>
      </c>
      <c r="F694" t="s">
        <v>2367</v>
      </c>
    </row>
    <row r="695" spans="1:6" hidden="1" x14ac:dyDescent="0.25">
      <c r="A695" t="s">
        <v>2368</v>
      </c>
      <c r="B695" t="s">
        <v>256</v>
      </c>
      <c r="C695" t="s">
        <v>376</v>
      </c>
      <c r="D695" t="s">
        <v>2369</v>
      </c>
      <c r="E695" t="s">
        <v>21</v>
      </c>
      <c r="F695" t="s">
        <v>2370</v>
      </c>
    </row>
    <row r="696" spans="1:6" hidden="1" x14ac:dyDescent="0.25">
      <c r="A696" t="s">
        <v>2371</v>
      </c>
      <c r="B696" t="s">
        <v>39</v>
      </c>
      <c r="C696" t="s">
        <v>376</v>
      </c>
      <c r="D696" t="s">
        <v>2372</v>
      </c>
      <c r="E696" t="s">
        <v>21</v>
      </c>
      <c r="F696" t="s">
        <v>2373</v>
      </c>
    </row>
    <row r="697" spans="1:6" hidden="1" x14ac:dyDescent="0.25">
      <c r="A697" t="s">
        <v>2374</v>
      </c>
      <c r="B697" t="s">
        <v>139</v>
      </c>
      <c r="C697" t="s">
        <v>376</v>
      </c>
      <c r="D697" t="s">
        <v>2375</v>
      </c>
      <c r="E697" t="s">
        <v>21</v>
      </c>
      <c r="F697" t="s">
        <v>2376</v>
      </c>
    </row>
    <row r="698" spans="1:6" hidden="1" x14ac:dyDescent="0.25">
      <c r="A698" t="s">
        <v>2377</v>
      </c>
      <c r="B698" t="s">
        <v>272</v>
      </c>
      <c r="C698" t="s">
        <v>376</v>
      </c>
      <c r="D698" t="s">
        <v>2378</v>
      </c>
      <c r="E698" t="s">
        <v>21</v>
      </c>
      <c r="F698" t="s">
        <v>2379</v>
      </c>
    </row>
    <row r="699" spans="1:6" hidden="1" x14ac:dyDescent="0.25">
      <c r="A699" t="s">
        <v>2380</v>
      </c>
      <c r="B699" t="s">
        <v>245</v>
      </c>
      <c r="C699" t="s">
        <v>376</v>
      </c>
      <c r="D699" t="s">
        <v>2381</v>
      </c>
      <c r="E699" t="s">
        <v>21</v>
      </c>
      <c r="F699" t="s">
        <v>2382</v>
      </c>
    </row>
    <row r="700" spans="1:6" hidden="1" x14ac:dyDescent="0.25">
      <c r="A700" t="s">
        <v>352</v>
      </c>
      <c r="B700" t="s">
        <v>15</v>
      </c>
      <c r="C700" t="s">
        <v>376</v>
      </c>
      <c r="D700" t="s">
        <v>2383</v>
      </c>
      <c r="E700" t="s">
        <v>21</v>
      </c>
      <c r="F700" t="s">
        <v>2384</v>
      </c>
    </row>
    <row r="701" spans="1:6" hidden="1" x14ac:dyDescent="0.25">
      <c r="A701" t="s">
        <v>2385</v>
      </c>
      <c r="B701" t="s">
        <v>421</v>
      </c>
      <c r="C701" t="s">
        <v>376</v>
      </c>
      <c r="D701" t="s">
        <v>2386</v>
      </c>
      <c r="E701" t="s">
        <v>21</v>
      </c>
      <c r="F701" t="s">
        <v>2387</v>
      </c>
    </row>
    <row r="702" spans="1:6" hidden="1" x14ac:dyDescent="0.25">
      <c r="A702" t="s">
        <v>2388</v>
      </c>
      <c r="B702" t="s">
        <v>2069</v>
      </c>
      <c r="C702" t="s">
        <v>376</v>
      </c>
      <c r="D702" t="s">
        <v>2389</v>
      </c>
      <c r="E702" t="s">
        <v>21</v>
      </c>
      <c r="F702" t="s">
        <v>2390</v>
      </c>
    </row>
    <row r="703" spans="1:6" hidden="1" x14ac:dyDescent="0.25">
      <c r="A703" t="s">
        <v>348</v>
      </c>
      <c r="B703" t="s">
        <v>529</v>
      </c>
      <c r="C703" t="s">
        <v>376</v>
      </c>
      <c r="D703" t="s">
        <v>2391</v>
      </c>
      <c r="E703" t="s">
        <v>21</v>
      </c>
      <c r="F703" t="s">
        <v>2392</v>
      </c>
    </row>
    <row r="704" spans="1:6" hidden="1" x14ac:dyDescent="0.25">
      <c r="A704" t="s">
        <v>2393</v>
      </c>
      <c r="B704" t="s">
        <v>256</v>
      </c>
      <c r="C704" t="s">
        <v>376</v>
      </c>
      <c r="D704" t="s">
        <v>2394</v>
      </c>
      <c r="E704" t="s">
        <v>21</v>
      </c>
      <c r="F704" t="s">
        <v>2395</v>
      </c>
    </row>
    <row r="705" spans="1:6" hidden="1" x14ac:dyDescent="0.25">
      <c r="A705" t="s">
        <v>2396</v>
      </c>
      <c r="B705" t="s">
        <v>128</v>
      </c>
      <c r="C705" t="s">
        <v>376</v>
      </c>
      <c r="D705" t="s">
        <v>2397</v>
      </c>
      <c r="E705" t="s">
        <v>21</v>
      </c>
      <c r="F705" t="s">
        <v>2398</v>
      </c>
    </row>
    <row r="706" spans="1:6" hidden="1" x14ac:dyDescent="0.25">
      <c r="A706" t="s">
        <v>2399</v>
      </c>
      <c r="B706" t="s">
        <v>701</v>
      </c>
      <c r="C706" t="s">
        <v>376</v>
      </c>
      <c r="D706" t="s">
        <v>2400</v>
      </c>
      <c r="E706" t="s">
        <v>21</v>
      </c>
      <c r="F706" t="s">
        <v>2401</v>
      </c>
    </row>
    <row r="707" spans="1:6" hidden="1" x14ac:dyDescent="0.25">
      <c r="A707" t="s">
        <v>2402</v>
      </c>
      <c r="B707" t="s">
        <v>15</v>
      </c>
      <c r="C707" t="s">
        <v>376</v>
      </c>
      <c r="D707" t="s">
        <v>2403</v>
      </c>
      <c r="E707" t="s">
        <v>21</v>
      </c>
      <c r="F707" t="s">
        <v>2404</v>
      </c>
    </row>
    <row r="708" spans="1:6" hidden="1" x14ac:dyDescent="0.25">
      <c r="A708" t="s">
        <v>2405</v>
      </c>
      <c r="B708" t="s">
        <v>44</v>
      </c>
      <c r="C708" t="s">
        <v>376</v>
      </c>
      <c r="D708" t="s">
        <v>2406</v>
      </c>
      <c r="E708" t="s">
        <v>21</v>
      </c>
      <c r="F708" t="s">
        <v>2407</v>
      </c>
    </row>
    <row r="709" spans="1:6" hidden="1" x14ac:dyDescent="0.25">
      <c r="A709" t="s">
        <v>2408</v>
      </c>
      <c r="B709" t="s">
        <v>28</v>
      </c>
      <c r="C709" t="s">
        <v>376</v>
      </c>
      <c r="D709" t="s">
        <v>2409</v>
      </c>
      <c r="E709" t="s">
        <v>21</v>
      </c>
      <c r="F709" t="s">
        <v>2410</v>
      </c>
    </row>
    <row r="710" spans="1:6" hidden="1" x14ac:dyDescent="0.25">
      <c r="A710" t="s">
        <v>353</v>
      </c>
      <c r="B710" t="s">
        <v>2411</v>
      </c>
      <c r="C710" t="s">
        <v>376</v>
      </c>
      <c r="D710" t="s">
        <v>2412</v>
      </c>
      <c r="E710" t="s">
        <v>21</v>
      </c>
      <c r="F710" t="s">
        <v>2413</v>
      </c>
    </row>
    <row r="711" spans="1:6" hidden="1" x14ac:dyDescent="0.25">
      <c r="A711" t="s">
        <v>2414</v>
      </c>
      <c r="B711" t="s">
        <v>609</v>
      </c>
      <c r="C711" t="s">
        <v>376</v>
      </c>
      <c r="D711" t="s">
        <v>2415</v>
      </c>
      <c r="E711" t="s">
        <v>21</v>
      </c>
      <c r="F711" t="s">
        <v>2416</v>
      </c>
    </row>
    <row r="712" spans="1:6" hidden="1" x14ac:dyDescent="0.25">
      <c r="A712" t="s">
        <v>368</v>
      </c>
      <c r="B712" t="s">
        <v>39</v>
      </c>
      <c r="C712" t="s">
        <v>376</v>
      </c>
      <c r="D712" t="s">
        <v>2417</v>
      </c>
      <c r="E712" t="s">
        <v>21</v>
      </c>
      <c r="F712" t="s">
        <v>2418</v>
      </c>
    </row>
    <row r="713" spans="1:6" hidden="1" x14ac:dyDescent="0.25">
      <c r="A713" t="s">
        <v>2419</v>
      </c>
      <c r="B713" t="s">
        <v>421</v>
      </c>
      <c r="C713" t="s">
        <v>376</v>
      </c>
      <c r="D713" t="s">
        <v>2420</v>
      </c>
      <c r="E713" t="s">
        <v>21</v>
      </c>
      <c r="F713" t="s">
        <v>2421</v>
      </c>
    </row>
    <row r="714" spans="1:6" hidden="1" x14ac:dyDescent="0.25">
      <c r="A714" t="s">
        <v>2422</v>
      </c>
      <c r="B714" t="s">
        <v>421</v>
      </c>
      <c r="C714" t="s">
        <v>376</v>
      </c>
      <c r="D714" t="s">
        <v>2423</v>
      </c>
      <c r="E714" t="s">
        <v>21</v>
      </c>
      <c r="F714" t="s">
        <v>2424</v>
      </c>
    </row>
    <row r="715" spans="1:6" hidden="1" x14ac:dyDescent="0.25">
      <c r="A715" t="s">
        <v>2425</v>
      </c>
      <c r="B715" t="s">
        <v>626</v>
      </c>
      <c r="C715" t="s">
        <v>1053</v>
      </c>
      <c r="D715" t="s">
        <v>2426</v>
      </c>
      <c r="E715" t="s">
        <v>21</v>
      </c>
      <c r="F715" t="s">
        <v>2427</v>
      </c>
    </row>
    <row r="716" spans="1:6" hidden="1" x14ac:dyDescent="0.25">
      <c r="A716" t="s">
        <v>2428</v>
      </c>
      <c r="B716" t="s">
        <v>841</v>
      </c>
      <c r="C716" t="s">
        <v>376</v>
      </c>
      <c r="D716" t="s">
        <v>2429</v>
      </c>
      <c r="E716" t="s">
        <v>21</v>
      </c>
      <c r="F716" t="s">
        <v>2430</v>
      </c>
    </row>
    <row r="717" spans="1:6" hidden="1" x14ac:dyDescent="0.25">
      <c r="A717" t="s">
        <v>2431</v>
      </c>
      <c r="B717" t="s">
        <v>421</v>
      </c>
      <c r="C717" t="s">
        <v>376</v>
      </c>
      <c r="D717" t="s">
        <v>2432</v>
      </c>
      <c r="E717" t="s">
        <v>21</v>
      </c>
      <c r="F717" t="s">
        <v>2433</v>
      </c>
    </row>
    <row r="718" spans="1:6" hidden="1" x14ac:dyDescent="0.25">
      <c r="A718" t="s">
        <v>2434</v>
      </c>
      <c r="B718" t="s">
        <v>512</v>
      </c>
      <c r="C718" t="s">
        <v>554</v>
      </c>
      <c r="D718" t="s">
        <v>2435</v>
      </c>
      <c r="E718" t="s">
        <v>21</v>
      </c>
      <c r="F718" t="s">
        <v>2436</v>
      </c>
    </row>
    <row r="719" spans="1:6" hidden="1" x14ac:dyDescent="0.25">
      <c r="A719" t="s">
        <v>2437</v>
      </c>
      <c r="B719" t="s">
        <v>626</v>
      </c>
      <c r="C719" t="s">
        <v>627</v>
      </c>
      <c r="D719" t="s">
        <v>2438</v>
      </c>
      <c r="E719" t="s">
        <v>21</v>
      </c>
      <c r="F719" t="s">
        <v>2439</v>
      </c>
    </row>
    <row r="720" spans="1:6" hidden="1" x14ac:dyDescent="0.25">
      <c r="A720" t="s">
        <v>2440</v>
      </c>
      <c r="B720" t="s">
        <v>619</v>
      </c>
      <c r="C720" t="s">
        <v>376</v>
      </c>
      <c r="D720" t="s">
        <v>2441</v>
      </c>
      <c r="E720" t="s">
        <v>21</v>
      </c>
      <c r="F720" t="s">
        <v>2442</v>
      </c>
    </row>
    <row r="721" spans="1:6" hidden="1" x14ac:dyDescent="0.25">
      <c r="A721" t="s">
        <v>2443</v>
      </c>
      <c r="B721" t="s">
        <v>837</v>
      </c>
      <c r="C721" t="s">
        <v>469</v>
      </c>
      <c r="D721" t="s">
        <v>2444</v>
      </c>
      <c r="E721" t="s">
        <v>21</v>
      </c>
      <c r="F721" t="s">
        <v>2445</v>
      </c>
    </row>
    <row r="722" spans="1:6" hidden="1" x14ac:dyDescent="0.25">
      <c r="A722" t="s">
        <v>2446</v>
      </c>
      <c r="B722" t="s">
        <v>28</v>
      </c>
      <c r="C722" t="s">
        <v>376</v>
      </c>
      <c r="D722" t="s">
        <v>2447</v>
      </c>
      <c r="E722" t="s">
        <v>21</v>
      </c>
      <c r="F722" t="s">
        <v>2448</v>
      </c>
    </row>
    <row r="723" spans="1:6" x14ac:dyDescent="0.25">
      <c r="A723" t="s">
        <v>2449</v>
      </c>
      <c r="B723" t="s">
        <v>68</v>
      </c>
      <c r="C723" t="s">
        <v>461</v>
      </c>
      <c r="D723" t="s">
        <v>2450</v>
      </c>
      <c r="E723" t="s">
        <v>21</v>
      </c>
      <c r="F723" t="s">
        <v>2451</v>
      </c>
    </row>
    <row r="724" spans="1:6" hidden="1" x14ac:dyDescent="0.25">
      <c r="A724" t="s">
        <v>2452</v>
      </c>
      <c r="B724" t="s">
        <v>626</v>
      </c>
      <c r="C724" t="s">
        <v>1140</v>
      </c>
      <c r="D724" t="s">
        <v>2453</v>
      </c>
      <c r="E724" t="s">
        <v>21</v>
      </c>
      <c r="F724" t="s">
        <v>2454</v>
      </c>
    </row>
    <row r="725" spans="1:6" hidden="1" x14ac:dyDescent="0.25">
      <c r="A725" t="s">
        <v>2455</v>
      </c>
      <c r="B725" t="s">
        <v>2456</v>
      </c>
      <c r="C725" t="s">
        <v>376</v>
      </c>
      <c r="D725" t="s">
        <v>2457</v>
      </c>
      <c r="E725" t="s">
        <v>21</v>
      </c>
      <c r="F725" t="s">
        <v>2458</v>
      </c>
    </row>
    <row r="726" spans="1:6" hidden="1" x14ac:dyDescent="0.25">
      <c r="A726" t="s">
        <v>2459</v>
      </c>
      <c r="B726" t="s">
        <v>245</v>
      </c>
      <c r="C726" t="s">
        <v>376</v>
      </c>
      <c r="D726" t="s">
        <v>2460</v>
      </c>
      <c r="E726" t="s">
        <v>21</v>
      </c>
      <c r="F726" t="s">
        <v>2461</v>
      </c>
    </row>
    <row r="727" spans="1:6" hidden="1" x14ac:dyDescent="0.25">
      <c r="A727" t="s">
        <v>357</v>
      </c>
      <c r="B727" t="s">
        <v>28</v>
      </c>
      <c r="C727" t="s">
        <v>376</v>
      </c>
      <c r="D727" t="s">
        <v>2462</v>
      </c>
      <c r="E727" t="s">
        <v>21</v>
      </c>
      <c r="F727" t="s">
        <v>2463</v>
      </c>
    </row>
    <row r="728" spans="1:6" hidden="1" x14ac:dyDescent="0.25">
      <c r="A728" t="s">
        <v>2464</v>
      </c>
      <c r="B728" t="s">
        <v>626</v>
      </c>
      <c r="C728" t="s">
        <v>1140</v>
      </c>
      <c r="D728" t="s">
        <v>2465</v>
      </c>
      <c r="E728" t="s">
        <v>21</v>
      </c>
      <c r="F728" t="s">
        <v>2466</v>
      </c>
    </row>
    <row r="729" spans="1:6" hidden="1" x14ac:dyDescent="0.25">
      <c r="A729" t="s">
        <v>2467</v>
      </c>
      <c r="B729" t="s">
        <v>591</v>
      </c>
      <c r="C729" t="s">
        <v>2468</v>
      </c>
      <c r="D729" t="s">
        <v>2469</v>
      </c>
      <c r="E729" t="s">
        <v>21</v>
      </c>
      <c r="F729" t="s">
        <v>2470</v>
      </c>
    </row>
    <row r="730" spans="1:6" hidden="1" x14ac:dyDescent="0.25">
      <c r="A730" t="s">
        <v>2471</v>
      </c>
      <c r="B730" t="s">
        <v>256</v>
      </c>
      <c r="C730" t="s">
        <v>376</v>
      </c>
      <c r="D730" t="s">
        <v>2472</v>
      </c>
      <c r="E730" t="s">
        <v>21</v>
      </c>
      <c r="F730" t="s">
        <v>2473</v>
      </c>
    </row>
    <row r="731" spans="1:6" hidden="1" x14ac:dyDescent="0.25">
      <c r="A731" t="s">
        <v>96</v>
      </c>
      <c r="B731" t="s">
        <v>128</v>
      </c>
      <c r="C731" t="s">
        <v>376</v>
      </c>
      <c r="D731" t="s">
        <v>97</v>
      </c>
      <c r="E731" t="s">
        <v>21</v>
      </c>
      <c r="F731" t="s">
        <v>99</v>
      </c>
    </row>
    <row r="732" spans="1:6" hidden="1" x14ac:dyDescent="0.25">
      <c r="A732" t="s">
        <v>2474</v>
      </c>
      <c r="B732" t="s">
        <v>256</v>
      </c>
      <c r="C732" t="s">
        <v>376</v>
      </c>
      <c r="D732" t="s">
        <v>2475</v>
      </c>
      <c r="E732" t="s">
        <v>21</v>
      </c>
      <c r="F732" t="s">
        <v>2476</v>
      </c>
    </row>
    <row r="733" spans="1:6" hidden="1" x14ac:dyDescent="0.25">
      <c r="A733" t="s">
        <v>2477</v>
      </c>
      <c r="B733" t="s">
        <v>143</v>
      </c>
      <c r="C733" t="s">
        <v>376</v>
      </c>
      <c r="D733" t="s">
        <v>2478</v>
      </c>
      <c r="E733" t="s">
        <v>21</v>
      </c>
      <c r="F733" t="s">
        <v>2479</v>
      </c>
    </row>
    <row r="734" spans="1:6" hidden="1" x14ac:dyDescent="0.25">
      <c r="A734" t="s">
        <v>2480</v>
      </c>
      <c r="B734" t="s">
        <v>529</v>
      </c>
      <c r="C734" t="s">
        <v>469</v>
      </c>
      <c r="D734" t="s">
        <v>2481</v>
      </c>
      <c r="E734" t="s">
        <v>21</v>
      </c>
      <c r="F734" t="s">
        <v>2482</v>
      </c>
    </row>
    <row r="735" spans="1:6" hidden="1" x14ac:dyDescent="0.25">
      <c r="A735" t="s">
        <v>2483</v>
      </c>
      <c r="B735" t="s">
        <v>421</v>
      </c>
      <c r="C735" t="s">
        <v>376</v>
      </c>
      <c r="D735" t="s">
        <v>2484</v>
      </c>
      <c r="E735" t="s">
        <v>21</v>
      </c>
      <c r="F735" t="s">
        <v>2485</v>
      </c>
    </row>
    <row r="736" spans="1:6" hidden="1" x14ac:dyDescent="0.25">
      <c r="A736" t="s">
        <v>2486</v>
      </c>
      <c r="B736" t="s">
        <v>28</v>
      </c>
      <c r="C736" t="s">
        <v>376</v>
      </c>
      <c r="D736" t="s">
        <v>2487</v>
      </c>
      <c r="E736" t="s">
        <v>21</v>
      </c>
      <c r="F736" t="s">
        <v>2488</v>
      </c>
    </row>
    <row r="737" spans="1:6" hidden="1" x14ac:dyDescent="0.25">
      <c r="A737" t="s">
        <v>2489</v>
      </c>
      <c r="B737" t="s">
        <v>1430</v>
      </c>
      <c r="C737" t="s">
        <v>376</v>
      </c>
      <c r="D737" t="s">
        <v>2490</v>
      </c>
      <c r="E737" t="s">
        <v>21</v>
      </c>
      <c r="F737" t="s">
        <v>2491</v>
      </c>
    </row>
    <row r="738" spans="1:6" hidden="1" x14ac:dyDescent="0.25">
      <c r="A738" t="s">
        <v>2492</v>
      </c>
      <c r="B738" t="s">
        <v>272</v>
      </c>
      <c r="C738" t="s">
        <v>376</v>
      </c>
      <c r="D738" t="s">
        <v>2493</v>
      </c>
      <c r="E738" t="s">
        <v>21</v>
      </c>
      <c r="F738" t="s">
        <v>2494</v>
      </c>
    </row>
    <row r="739" spans="1:6" hidden="1" x14ac:dyDescent="0.25">
      <c r="A739" t="s">
        <v>2495</v>
      </c>
      <c r="B739" t="s">
        <v>626</v>
      </c>
      <c r="C739" t="s">
        <v>788</v>
      </c>
      <c r="D739" t="s">
        <v>2496</v>
      </c>
      <c r="E739" t="s">
        <v>21</v>
      </c>
      <c r="F739" t="s">
        <v>2497</v>
      </c>
    </row>
    <row r="740" spans="1:6" x14ac:dyDescent="0.25">
      <c r="A740" t="s">
        <v>222</v>
      </c>
      <c r="B740" t="s">
        <v>460</v>
      </c>
      <c r="C740" t="s">
        <v>461</v>
      </c>
      <c r="D740" t="s">
        <v>223</v>
      </c>
      <c r="E740" t="s">
        <v>21</v>
      </c>
      <c r="F740" t="s">
        <v>224</v>
      </c>
    </row>
    <row r="741" spans="1:6" hidden="1" x14ac:dyDescent="0.25">
      <c r="A741" t="s">
        <v>2498</v>
      </c>
      <c r="B741" t="s">
        <v>245</v>
      </c>
      <c r="C741" t="s">
        <v>376</v>
      </c>
      <c r="D741" t="s">
        <v>2499</v>
      </c>
      <c r="E741" t="s">
        <v>21</v>
      </c>
      <c r="F741" t="s">
        <v>2500</v>
      </c>
    </row>
    <row r="742" spans="1:6" hidden="1" x14ac:dyDescent="0.25">
      <c r="A742" t="s">
        <v>2501</v>
      </c>
      <c r="B742" t="s">
        <v>256</v>
      </c>
      <c r="C742" t="s">
        <v>376</v>
      </c>
      <c r="D742" t="s">
        <v>2502</v>
      </c>
      <c r="E742" t="s">
        <v>21</v>
      </c>
      <c r="F742" t="s">
        <v>2503</v>
      </c>
    </row>
    <row r="743" spans="1:6" hidden="1" x14ac:dyDescent="0.25">
      <c r="A743" t="s">
        <v>355</v>
      </c>
      <c r="B743" t="s">
        <v>59</v>
      </c>
      <c r="C743" t="s">
        <v>376</v>
      </c>
      <c r="D743" t="s">
        <v>2504</v>
      </c>
      <c r="E743" t="s">
        <v>21</v>
      </c>
      <c r="F743" t="s">
        <v>2505</v>
      </c>
    </row>
    <row r="744" spans="1:6" hidden="1" x14ac:dyDescent="0.25">
      <c r="A744" t="s">
        <v>2506</v>
      </c>
      <c r="B744" t="s">
        <v>626</v>
      </c>
      <c r="C744" t="s">
        <v>627</v>
      </c>
      <c r="D744" t="s">
        <v>2507</v>
      </c>
      <c r="E744" t="s">
        <v>21</v>
      </c>
      <c r="F744" t="s">
        <v>2508</v>
      </c>
    </row>
    <row r="745" spans="1:6" hidden="1" x14ac:dyDescent="0.25">
      <c r="A745" t="s">
        <v>2509</v>
      </c>
      <c r="B745" t="s">
        <v>55</v>
      </c>
      <c r="C745" t="s">
        <v>376</v>
      </c>
      <c r="D745" t="s">
        <v>2510</v>
      </c>
      <c r="E745" t="s">
        <v>21</v>
      </c>
      <c r="F745" t="s">
        <v>2511</v>
      </c>
    </row>
    <row r="746" spans="1:6" hidden="1" x14ac:dyDescent="0.25">
      <c r="A746" t="s">
        <v>2512</v>
      </c>
      <c r="B746" t="s">
        <v>626</v>
      </c>
      <c r="C746" t="s">
        <v>1053</v>
      </c>
      <c r="D746" t="s">
        <v>2513</v>
      </c>
      <c r="E746" t="s">
        <v>21</v>
      </c>
      <c r="F746" t="s">
        <v>2514</v>
      </c>
    </row>
    <row r="747" spans="1:6" hidden="1" x14ac:dyDescent="0.25">
      <c r="A747" t="s">
        <v>2515</v>
      </c>
      <c r="B747" t="s">
        <v>626</v>
      </c>
      <c r="C747" t="s">
        <v>1140</v>
      </c>
      <c r="D747" t="s">
        <v>2516</v>
      </c>
      <c r="E747" t="s">
        <v>21</v>
      </c>
      <c r="F747" t="s">
        <v>2517</v>
      </c>
    </row>
    <row r="748" spans="1:6" hidden="1" x14ac:dyDescent="0.25">
      <c r="A748" t="s">
        <v>2518</v>
      </c>
      <c r="B748" t="s">
        <v>421</v>
      </c>
      <c r="C748" t="s">
        <v>376</v>
      </c>
      <c r="D748" t="s">
        <v>2519</v>
      </c>
      <c r="E748" t="s">
        <v>21</v>
      </c>
      <c r="F748" t="s">
        <v>2520</v>
      </c>
    </row>
    <row r="749" spans="1:6" hidden="1" x14ac:dyDescent="0.25">
      <c r="A749" t="s">
        <v>2521</v>
      </c>
      <c r="B749" t="s">
        <v>383</v>
      </c>
      <c r="C749" t="s">
        <v>384</v>
      </c>
      <c r="D749" t="s">
        <v>2522</v>
      </c>
      <c r="E749" t="s">
        <v>21</v>
      </c>
      <c r="F749" t="s">
        <v>2523</v>
      </c>
    </row>
    <row r="750" spans="1:6" hidden="1" x14ac:dyDescent="0.25">
      <c r="A750" t="s">
        <v>2524</v>
      </c>
      <c r="B750" t="s">
        <v>55</v>
      </c>
      <c r="C750" t="s">
        <v>376</v>
      </c>
      <c r="D750" t="s">
        <v>2525</v>
      </c>
      <c r="E750" t="s">
        <v>21</v>
      </c>
      <c r="F750" t="s">
        <v>2526</v>
      </c>
    </row>
    <row r="751" spans="1:6" hidden="1" x14ac:dyDescent="0.25">
      <c r="A751" t="s">
        <v>2527</v>
      </c>
      <c r="B751" t="s">
        <v>124</v>
      </c>
      <c r="C751" t="s">
        <v>376</v>
      </c>
      <c r="D751" t="s">
        <v>2528</v>
      </c>
      <c r="E751" t="s">
        <v>21</v>
      </c>
      <c r="F751" t="s">
        <v>2529</v>
      </c>
    </row>
    <row r="752" spans="1:6" hidden="1" x14ac:dyDescent="0.25">
      <c r="A752" t="s">
        <v>2530</v>
      </c>
      <c r="B752" t="s">
        <v>55</v>
      </c>
      <c r="C752" t="s">
        <v>376</v>
      </c>
      <c r="D752" t="s">
        <v>2531</v>
      </c>
      <c r="E752" t="s">
        <v>21</v>
      </c>
      <c r="F752" t="s">
        <v>2532</v>
      </c>
    </row>
    <row r="753" spans="1:6" hidden="1" x14ac:dyDescent="0.25">
      <c r="A753" t="s">
        <v>2533</v>
      </c>
      <c r="B753" t="s">
        <v>626</v>
      </c>
      <c r="C753" t="s">
        <v>1140</v>
      </c>
      <c r="D753" t="s">
        <v>2534</v>
      </c>
      <c r="E753" t="s">
        <v>21</v>
      </c>
      <c r="F753" t="s">
        <v>2535</v>
      </c>
    </row>
    <row r="754" spans="1:6" hidden="1" x14ac:dyDescent="0.25">
      <c r="A754" t="s">
        <v>2536</v>
      </c>
      <c r="B754" t="s">
        <v>55</v>
      </c>
      <c r="C754" t="s">
        <v>376</v>
      </c>
      <c r="D754" t="s">
        <v>2537</v>
      </c>
      <c r="E754" t="s">
        <v>21</v>
      </c>
      <c r="F754" t="s">
        <v>2538</v>
      </c>
    </row>
    <row r="755" spans="1:6" hidden="1" x14ac:dyDescent="0.25">
      <c r="A755" t="s">
        <v>2539</v>
      </c>
      <c r="B755" t="s">
        <v>124</v>
      </c>
      <c r="C755" t="s">
        <v>376</v>
      </c>
      <c r="D755" t="s">
        <v>2540</v>
      </c>
      <c r="E755" t="s">
        <v>21</v>
      </c>
      <c r="F755" t="s">
        <v>2541</v>
      </c>
    </row>
    <row r="756" spans="1:6" hidden="1" x14ac:dyDescent="0.25">
      <c r="A756" t="s">
        <v>2542</v>
      </c>
      <c r="B756" t="s">
        <v>51</v>
      </c>
      <c r="C756" t="s">
        <v>376</v>
      </c>
      <c r="D756" t="s">
        <v>2543</v>
      </c>
      <c r="E756" t="s">
        <v>21</v>
      </c>
      <c r="F756" t="s">
        <v>2544</v>
      </c>
    </row>
    <row r="757" spans="1:6" hidden="1" x14ac:dyDescent="0.25">
      <c r="A757" t="s">
        <v>2545</v>
      </c>
      <c r="B757" t="s">
        <v>482</v>
      </c>
      <c r="C757" t="s">
        <v>376</v>
      </c>
      <c r="D757" t="s">
        <v>2546</v>
      </c>
      <c r="E757" t="s">
        <v>21</v>
      </c>
      <c r="F757" t="s">
        <v>2547</v>
      </c>
    </row>
    <row r="758" spans="1:6" hidden="1" x14ac:dyDescent="0.25">
      <c r="A758" t="s">
        <v>2548</v>
      </c>
      <c r="B758" t="s">
        <v>626</v>
      </c>
      <c r="C758" t="s">
        <v>788</v>
      </c>
      <c r="D758" t="s">
        <v>2549</v>
      </c>
      <c r="E758" t="s">
        <v>21</v>
      </c>
      <c r="F758" t="s">
        <v>2550</v>
      </c>
    </row>
    <row r="759" spans="1:6" hidden="1" x14ac:dyDescent="0.25">
      <c r="A759" t="s">
        <v>2551</v>
      </c>
      <c r="B759" t="s">
        <v>256</v>
      </c>
      <c r="C759" t="s">
        <v>376</v>
      </c>
      <c r="D759" t="s">
        <v>2552</v>
      </c>
      <c r="E759" t="s">
        <v>21</v>
      </c>
      <c r="F759" t="s">
        <v>2553</v>
      </c>
    </row>
    <row r="760" spans="1:6" x14ac:dyDescent="0.25">
      <c r="A760" t="s">
        <v>2554</v>
      </c>
      <c r="B760" t="s">
        <v>460</v>
      </c>
      <c r="C760" t="s">
        <v>461</v>
      </c>
      <c r="D760" t="s">
        <v>2555</v>
      </c>
      <c r="E760" t="s">
        <v>21</v>
      </c>
      <c r="F760" t="s">
        <v>2556</v>
      </c>
    </row>
    <row r="761" spans="1:6" hidden="1" x14ac:dyDescent="0.25">
      <c r="A761" t="s">
        <v>2557</v>
      </c>
      <c r="B761" t="s">
        <v>124</v>
      </c>
      <c r="C761" t="s">
        <v>376</v>
      </c>
      <c r="D761" t="s">
        <v>2558</v>
      </c>
      <c r="E761" t="s">
        <v>21</v>
      </c>
      <c r="F761" t="s">
        <v>2559</v>
      </c>
    </row>
    <row r="762" spans="1:6" hidden="1" x14ac:dyDescent="0.25">
      <c r="A762" t="s">
        <v>2560</v>
      </c>
      <c r="B762" t="s">
        <v>434</v>
      </c>
      <c r="C762" t="s">
        <v>376</v>
      </c>
      <c r="D762" t="s">
        <v>2561</v>
      </c>
      <c r="E762" t="s">
        <v>21</v>
      </c>
      <c r="F762" t="s">
        <v>2562</v>
      </c>
    </row>
    <row r="763" spans="1:6" hidden="1" x14ac:dyDescent="0.25">
      <c r="A763" t="s">
        <v>2563</v>
      </c>
      <c r="B763" t="s">
        <v>59</v>
      </c>
      <c r="C763" t="s">
        <v>376</v>
      </c>
      <c r="D763" t="s">
        <v>2564</v>
      </c>
      <c r="E763" t="s">
        <v>21</v>
      </c>
      <c r="F763" t="s">
        <v>2565</v>
      </c>
    </row>
    <row r="764" spans="1:6" hidden="1" x14ac:dyDescent="0.25">
      <c r="A764" t="s">
        <v>2566</v>
      </c>
      <c r="B764" t="s">
        <v>344</v>
      </c>
      <c r="C764" t="s">
        <v>376</v>
      </c>
      <c r="D764" t="s">
        <v>2567</v>
      </c>
      <c r="E764" t="s">
        <v>21</v>
      </c>
      <c r="F764" t="s">
        <v>2568</v>
      </c>
    </row>
    <row r="765" spans="1:6" hidden="1" x14ac:dyDescent="0.25">
      <c r="A765" t="s">
        <v>2569</v>
      </c>
      <c r="B765" t="s">
        <v>256</v>
      </c>
      <c r="C765" t="s">
        <v>376</v>
      </c>
      <c r="D765" t="s">
        <v>2570</v>
      </c>
      <c r="E765" t="s">
        <v>21</v>
      </c>
      <c r="F765" t="s">
        <v>2571</v>
      </c>
    </row>
    <row r="766" spans="1:6" hidden="1" x14ac:dyDescent="0.25">
      <c r="A766" t="s">
        <v>2572</v>
      </c>
      <c r="B766" t="s">
        <v>591</v>
      </c>
      <c r="C766" t="s">
        <v>2468</v>
      </c>
      <c r="D766" t="s">
        <v>2573</v>
      </c>
      <c r="E766" t="s">
        <v>21</v>
      </c>
      <c r="F766" t="s">
        <v>2574</v>
      </c>
    </row>
    <row r="767" spans="1:6" hidden="1" x14ac:dyDescent="0.25">
      <c r="A767" t="s">
        <v>2575</v>
      </c>
      <c r="B767" t="s">
        <v>78</v>
      </c>
      <c r="C767" t="s">
        <v>376</v>
      </c>
      <c r="D767" t="s">
        <v>2576</v>
      </c>
      <c r="E767" t="s">
        <v>21</v>
      </c>
      <c r="F767" t="s">
        <v>2577</v>
      </c>
    </row>
    <row r="768" spans="1:6" hidden="1" x14ac:dyDescent="0.25">
      <c r="A768" t="s">
        <v>2578</v>
      </c>
      <c r="B768" t="s">
        <v>398</v>
      </c>
      <c r="C768" t="s">
        <v>376</v>
      </c>
      <c r="D768" t="s">
        <v>2579</v>
      </c>
      <c r="E768" t="s">
        <v>21</v>
      </c>
      <c r="F768" t="s">
        <v>2580</v>
      </c>
    </row>
    <row r="769" spans="1:6" hidden="1" x14ac:dyDescent="0.25">
      <c r="A769" t="s">
        <v>2581</v>
      </c>
      <c r="B769" t="s">
        <v>55</v>
      </c>
      <c r="C769" t="s">
        <v>376</v>
      </c>
      <c r="D769" t="s">
        <v>2582</v>
      </c>
      <c r="E769" t="s">
        <v>21</v>
      </c>
      <c r="F769" t="s">
        <v>2583</v>
      </c>
    </row>
    <row r="770" spans="1:6" hidden="1" x14ac:dyDescent="0.25">
      <c r="A770" t="s">
        <v>2584</v>
      </c>
      <c r="B770" t="s">
        <v>132</v>
      </c>
      <c r="C770" t="s">
        <v>376</v>
      </c>
      <c r="D770" t="s">
        <v>2585</v>
      </c>
      <c r="E770" t="s">
        <v>21</v>
      </c>
      <c r="F770" t="s">
        <v>2586</v>
      </c>
    </row>
    <row r="771" spans="1:6" hidden="1" x14ac:dyDescent="0.25">
      <c r="A771" t="s">
        <v>2587</v>
      </c>
      <c r="B771" t="s">
        <v>512</v>
      </c>
      <c r="C771" t="s">
        <v>679</v>
      </c>
      <c r="D771" t="s">
        <v>2588</v>
      </c>
      <c r="E771" t="s">
        <v>21</v>
      </c>
      <c r="F771" t="s">
        <v>2589</v>
      </c>
    </row>
    <row r="772" spans="1:6" hidden="1" x14ac:dyDescent="0.25">
      <c r="A772" t="s">
        <v>2590</v>
      </c>
      <c r="B772" t="s">
        <v>132</v>
      </c>
      <c r="C772" t="s">
        <v>376</v>
      </c>
      <c r="D772" t="s">
        <v>2591</v>
      </c>
      <c r="E772" t="s">
        <v>21</v>
      </c>
      <c r="F772" t="s">
        <v>2592</v>
      </c>
    </row>
    <row r="773" spans="1:6" hidden="1" x14ac:dyDescent="0.25">
      <c r="A773" t="s">
        <v>2595</v>
      </c>
      <c r="B773" t="s">
        <v>499</v>
      </c>
      <c r="C773" t="s">
        <v>376</v>
      </c>
      <c r="D773" t="s">
        <v>2596</v>
      </c>
      <c r="E773" t="s">
        <v>21</v>
      </c>
      <c r="F773" t="s">
        <v>2597</v>
      </c>
    </row>
    <row r="774" spans="1:6" hidden="1" x14ac:dyDescent="0.25">
      <c r="A774" t="s">
        <v>2598</v>
      </c>
      <c r="B774" t="s">
        <v>55</v>
      </c>
      <c r="C774" t="s">
        <v>376</v>
      </c>
      <c r="D774" t="s">
        <v>2599</v>
      </c>
      <c r="E774" t="s">
        <v>21</v>
      </c>
      <c r="F774" t="s">
        <v>2600</v>
      </c>
    </row>
    <row r="775" spans="1:6" hidden="1" x14ac:dyDescent="0.25">
      <c r="A775" t="s">
        <v>2601</v>
      </c>
      <c r="B775" t="s">
        <v>421</v>
      </c>
      <c r="C775" t="s">
        <v>376</v>
      </c>
      <c r="D775" t="s">
        <v>2602</v>
      </c>
      <c r="E775" t="s">
        <v>21</v>
      </c>
      <c r="F775" t="s">
        <v>2603</v>
      </c>
    </row>
    <row r="776" spans="1:6" hidden="1" x14ac:dyDescent="0.25">
      <c r="A776" t="s">
        <v>2604</v>
      </c>
      <c r="B776" t="s">
        <v>128</v>
      </c>
      <c r="C776" t="s">
        <v>376</v>
      </c>
      <c r="D776" t="s">
        <v>2605</v>
      </c>
      <c r="E776" t="s">
        <v>21</v>
      </c>
      <c r="F776" t="s">
        <v>2606</v>
      </c>
    </row>
    <row r="777" spans="1:6" hidden="1" x14ac:dyDescent="0.25">
      <c r="A777" t="s">
        <v>2607</v>
      </c>
      <c r="B777" t="s">
        <v>1240</v>
      </c>
      <c r="C777" t="s">
        <v>2056</v>
      </c>
      <c r="D777" t="s">
        <v>2608</v>
      </c>
      <c r="E777" t="s">
        <v>21</v>
      </c>
      <c r="F777" t="s">
        <v>2609</v>
      </c>
    </row>
    <row r="778" spans="1:6" hidden="1" x14ac:dyDescent="0.25">
      <c r="A778" t="s">
        <v>2610</v>
      </c>
      <c r="B778" t="s">
        <v>482</v>
      </c>
      <c r="C778" t="s">
        <v>376</v>
      </c>
      <c r="D778" t="s">
        <v>2611</v>
      </c>
      <c r="E778" t="s">
        <v>21</v>
      </c>
      <c r="F778" t="s">
        <v>2612</v>
      </c>
    </row>
    <row r="779" spans="1:6" hidden="1" x14ac:dyDescent="0.25">
      <c r="A779" t="s">
        <v>2613</v>
      </c>
      <c r="B779" t="s">
        <v>139</v>
      </c>
      <c r="C779" t="s">
        <v>376</v>
      </c>
      <c r="D779" t="s">
        <v>2614</v>
      </c>
      <c r="E779" t="s">
        <v>21</v>
      </c>
      <c r="F779" t="s">
        <v>2615</v>
      </c>
    </row>
    <row r="780" spans="1:6" hidden="1" x14ac:dyDescent="0.25">
      <c r="A780" t="s">
        <v>13</v>
      </c>
      <c r="B780" t="s">
        <v>15</v>
      </c>
      <c r="C780" t="s">
        <v>376</v>
      </c>
      <c r="D780" t="s">
        <v>14</v>
      </c>
      <c r="E780" t="s">
        <v>21</v>
      </c>
      <c r="F780" t="s">
        <v>19</v>
      </c>
    </row>
    <row r="781" spans="1:6" hidden="1" x14ac:dyDescent="0.25">
      <c r="A781" t="s">
        <v>2616</v>
      </c>
      <c r="B781" t="s">
        <v>132</v>
      </c>
      <c r="C781" t="s">
        <v>376</v>
      </c>
      <c r="D781" t="s">
        <v>2617</v>
      </c>
      <c r="E781" t="s">
        <v>21</v>
      </c>
      <c r="F781" t="s">
        <v>2618</v>
      </c>
    </row>
    <row r="782" spans="1:6" hidden="1" x14ac:dyDescent="0.25">
      <c r="A782" t="s">
        <v>2619</v>
      </c>
      <c r="B782" t="s">
        <v>51</v>
      </c>
      <c r="C782" t="s">
        <v>376</v>
      </c>
      <c r="D782" t="s">
        <v>2620</v>
      </c>
      <c r="E782" t="s">
        <v>21</v>
      </c>
      <c r="F782" t="s">
        <v>2621</v>
      </c>
    </row>
    <row r="783" spans="1:6" hidden="1" x14ac:dyDescent="0.25">
      <c r="A783" t="s">
        <v>2622</v>
      </c>
      <c r="B783" t="s">
        <v>55</v>
      </c>
      <c r="C783" t="s">
        <v>376</v>
      </c>
      <c r="D783" t="s">
        <v>2623</v>
      </c>
      <c r="E783" t="s">
        <v>21</v>
      </c>
      <c r="F783" t="s">
        <v>2624</v>
      </c>
    </row>
    <row r="784" spans="1:6" hidden="1" x14ac:dyDescent="0.25">
      <c r="A784" t="s">
        <v>2625</v>
      </c>
      <c r="B784" t="s">
        <v>39</v>
      </c>
      <c r="C784" t="s">
        <v>376</v>
      </c>
      <c r="D784" t="s">
        <v>2626</v>
      </c>
      <c r="E784" t="s">
        <v>21</v>
      </c>
      <c r="F784" t="s">
        <v>2627</v>
      </c>
    </row>
    <row r="785" spans="1:6" hidden="1" x14ac:dyDescent="0.25">
      <c r="A785" t="s">
        <v>2628</v>
      </c>
      <c r="B785" t="s">
        <v>128</v>
      </c>
      <c r="C785" t="s">
        <v>376</v>
      </c>
      <c r="D785" t="s">
        <v>2629</v>
      </c>
      <c r="E785" t="s">
        <v>21</v>
      </c>
      <c r="F785" t="s">
        <v>2630</v>
      </c>
    </row>
    <row r="786" spans="1:6" hidden="1" x14ac:dyDescent="0.25">
      <c r="A786" t="s">
        <v>336</v>
      </c>
      <c r="B786" t="s">
        <v>39</v>
      </c>
      <c r="C786" t="s">
        <v>376</v>
      </c>
      <c r="D786" t="s">
        <v>337</v>
      </c>
      <c r="E786" t="s">
        <v>21</v>
      </c>
      <c r="F786" t="s">
        <v>338</v>
      </c>
    </row>
    <row r="787" spans="1:6" hidden="1" x14ac:dyDescent="0.25">
      <c r="A787" t="s">
        <v>2631</v>
      </c>
      <c r="B787" t="s">
        <v>272</v>
      </c>
      <c r="C787" t="s">
        <v>376</v>
      </c>
      <c r="D787" t="s">
        <v>2632</v>
      </c>
      <c r="E787" t="s">
        <v>21</v>
      </c>
      <c r="F787" t="s">
        <v>2633</v>
      </c>
    </row>
    <row r="788" spans="1:6" hidden="1" x14ac:dyDescent="0.25">
      <c r="A788" t="s">
        <v>2634</v>
      </c>
      <c r="B788" t="s">
        <v>55</v>
      </c>
      <c r="C788" t="s">
        <v>469</v>
      </c>
      <c r="D788" t="s">
        <v>2635</v>
      </c>
      <c r="E788" t="s">
        <v>21</v>
      </c>
      <c r="F788" t="s">
        <v>2636</v>
      </c>
    </row>
    <row r="789" spans="1:6" hidden="1" x14ac:dyDescent="0.25">
      <c r="A789" t="s">
        <v>2637</v>
      </c>
      <c r="B789" t="s">
        <v>272</v>
      </c>
      <c r="C789" t="s">
        <v>376</v>
      </c>
      <c r="D789" t="s">
        <v>2638</v>
      </c>
      <c r="E789" t="s">
        <v>21</v>
      </c>
      <c r="F789" t="s">
        <v>2639</v>
      </c>
    </row>
    <row r="790" spans="1:6" hidden="1" x14ac:dyDescent="0.25">
      <c r="A790" t="s">
        <v>2640</v>
      </c>
      <c r="B790" t="s">
        <v>245</v>
      </c>
      <c r="C790" t="s">
        <v>376</v>
      </c>
      <c r="D790" t="s">
        <v>2641</v>
      </c>
      <c r="E790" t="s">
        <v>21</v>
      </c>
      <c r="F790" t="s">
        <v>2642</v>
      </c>
    </row>
    <row r="791" spans="1:6" hidden="1" x14ac:dyDescent="0.25">
      <c r="A791" t="s">
        <v>282</v>
      </c>
      <c r="B791" t="s">
        <v>28</v>
      </c>
      <c r="C791" t="s">
        <v>376</v>
      </c>
      <c r="D791" t="s">
        <v>283</v>
      </c>
      <c r="E791" t="s">
        <v>21</v>
      </c>
      <c r="F791" t="s">
        <v>284</v>
      </c>
    </row>
    <row r="792" spans="1:6" hidden="1" x14ac:dyDescent="0.25">
      <c r="A792" t="s">
        <v>2643</v>
      </c>
      <c r="B792" t="s">
        <v>51</v>
      </c>
      <c r="C792" t="s">
        <v>376</v>
      </c>
      <c r="D792" t="s">
        <v>2644</v>
      </c>
      <c r="E792" t="s">
        <v>21</v>
      </c>
      <c r="F792" t="s">
        <v>2645</v>
      </c>
    </row>
    <row r="793" spans="1:6" hidden="1" x14ac:dyDescent="0.25">
      <c r="A793" t="s">
        <v>2646</v>
      </c>
      <c r="B793" t="s">
        <v>626</v>
      </c>
      <c r="C793" t="s">
        <v>627</v>
      </c>
      <c r="D793" t="s">
        <v>2647</v>
      </c>
      <c r="E793" t="s">
        <v>21</v>
      </c>
      <c r="F793" t="s">
        <v>2648</v>
      </c>
    </row>
    <row r="794" spans="1:6" x14ac:dyDescent="0.25">
      <c r="A794" t="s">
        <v>261</v>
      </c>
      <c r="B794" t="s">
        <v>460</v>
      </c>
      <c r="C794" t="s">
        <v>461</v>
      </c>
      <c r="D794" t="s">
        <v>262</v>
      </c>
      <c r="E794" t="s">
        <v>21</v>
      </c>
      <c r="F794" t="s">
        <v>263</v>
      </c>
    </row>
    <row r="795" spans="1:6" hidden="1" x14ac:dyDescent="0.25">
      <c r="A795" t="s">
        <v>361</v>
      </c>
      <c r="B795" t="s">
        <v>609</v>
      </c>
      <c r="C795" t="s">
        <v>376</v>
      </c>
      <c r="D795" t="s">
        <v>2649</v>
      </c>
      <c r="E795" t="s">
        <v>21</v>
      </c>
      <c r="F795" t="s">
        <v>2650</v>
      </c>
    </row>
    <row r="796" spans="1:6" hidden="1" x14ac:dyDescent="0.25">
      <c r="A796" t="s">
        <v>2651</v>
      </c>
      <c r="B796" t="s">
        <v>1078</v>
      </c>
      <c r="C796" t="s">
        <v>2652</v>
      </c>
      <c r="D796" t="s">
        <v>2653</v>
      </c>
      <c r="E796" t="s">
        <v>21</v>
      </c>
      <c r="F796" t="s">
        <v>2654</v>
      </c>
    </row>
    <row r="797" spans="1:6" hidden="1" x14ac:dyDescent="0.25">
      <c r="A797" t="s">
        <v>2655</v>
      </c>
      <c r="B797" t="s">
        <v>55</v>
      </c>
      <c r="C797" t="s">
        <v>376</v>
      </c>
      <c r="D797" t="s">
        <v>2656</v>
      </c>
      <c r="E797" t="s">
        <v>21</v>
      </c>
      <c r="F797" t="s">
        <v>2657</v>
      </c>
    </row>
    <row r="798" spans="1:6" hidden="1" x14ac:dyDescent="0.25">
      <c r="A798" t="s">
        <v>37</v>
      </c>
      <c r="B798" t="s">
        <v>39</v>
      </c>
      <c r="C798" t="s">
        <v>376</v>
      </c>
      <c r="D798" t="s">
        <v>38</v>
      </c>
      <c r="E798" t="s">
        <v>21</v>
      </c>
      <c r="F798" t="s">
        <v>40</v>
      </c>
    </row>
    <row r="799" spans="1:6" hidden="1" x14ac:dyDescent="0.25">
      <c r="A799" t="s">
        <v>2658</v>
      </c>
      <c r="B799" t="s">
        <v>398</v>
      </c>
      <c r="C799" t="s">
        <v>376</v>
      </c>
      <c r="D799" t="s">
        <v>2659</v>
      </c>
      <c r="E799" t="s">
        <v>21</v>
      </c>
      <c r="F799" t="s">
        <v>2660</v>
      </c>
    </row>
    <row r="800" spans="1:6" x14ac:dyDescent="0.25">
      <c r="A800" t="s">
        <v>199</v>
      </c>
      <c r="B800" t="s">
        <v>460</v>
      </c>
      <c r="C800" t="s">
        <v>461</v>
      </c>
      <c r="D800" t="s">
        <v>200</v>
      </c>
      <c r="E800" t="s">
        <v>21</v>
      </c>
      <c r="F800" t="s">
        <v>201</v>
      </c>
    </row>
    <row r="801" spans="1:6" hidden="1" x14ac:dyDescent="0.25">
      <c r="A801" t="s">
        <v>2661</v>
      </c>
      <c r="B801" t="s">
        <v>128</v>
      </c>
      <c r="C801" t="s">
        <v>376</v>
      </c>
      <c r="D801" t="s">
        <v>2662</v>
      </c>
      <c r="E801" t="s">
        <v>21</v>
      </c>
      <c r="F801" t="s">
        <v>2663</v>
      </c>
    </row>
    <row r="802" spans="1:6" hidden="1" x14ac:dyDescent="0.25">
      <c r="A802" t="s">
        <v>2664</v>
      </c>
      <c r="B802" t="s">
        <v>626</v>
      </c>
      <c r="C802" t="s">
        <v>1053</v>
      </c>
      <c r="D802" t="s">
        <v>2665</v>
      </c>
      <c r="E802" t="s">
        <v>21</v>
      </c>
      <c r="F802" t="s">
        <v>2666</v>
      </c>
    </row>
    <row r="803" spans="1:6" hidden="1" x14ac:dyDescent="0.25">
      <c r="A803" t="s">
        <v>2667</v>
      </c>
      <c r="B803" t="s">
        <v>162</v>
      </c>
      <c r="C803" t="s">
        <v>376</v>
      </c>
      <c r="D803" t="s">
        <v>2668</v>
      </c>
      <c r="E803" t="s">
        <v>21</v>
      </c>
      <c r="F803" t="s">
        <v>2669</v>
      </c>
    </row>
    <row r="804" spans="1:6" x14ac:dyDescent="0.25">
      <c r="A804" t="s">
        <v>2670</v>
      </c>
      <c r="B804" t="s">
        <v>460</v>
      </c>
      <c r="C804" t="s">
        <v>461</v>
      </c>
      <c r="D804" t="s">
        <v>2671</v>
      </c>
      <c r="E804" t="s">
        <v>21</v>
      </c>
      <c r="F804" t="s">
        <v>2672</v>
      </c>
    </row>
    <row r="805" spans="1:6" hidden="1" x14ac:dyDescent="0.25">
      <c r="A805" t="s">
        <v>2673</v>
      </c>
      <c r="B805" t="s">
        <v>15</v>
      </c>
      <c r="C805" t="s">
        <v>376</v>
      </c>
      <c r="D805" t="s">
        <v>2674</v>
      </c>
      <c r="E805" t="s">
        <v>21</v>
      </c>
      <c r="F805" t="s">
        <v>2675</v>
      </c>
    </row>
    <row r="806" spans="1:6" hidden="1" x14ac:dyDescent="0.25">
      <c r="A806" t="s">
        <v>2676</v>
      </c>
      <c r="B806" t="s">
        <v>492</v>
      </c>
      <c r="C806" t="s">
        <v>376</v>
      </c>
      <c r="D806" t="s">
        <v>2677</v>
      </c>
      <c r="E806" t="s">
        <v>21</v>
      </c>
      <c r="F806" t="s">
        <v>2678</v>
      </c>
    </row>
    <row r="807" spans="1:6" hidden="1" x14ac:dyDescent="0.25">
      <c r="A807" t="s">
        <v>2679</v>
      </c>
      <c r="B807" t="s">
        <v>28</v>
      </c>
      <c r="C807" t="s">
        <v>376</v>
      </c>
      <c r="D807" t="s">
        <v>2680</v>
      </c>
      <c r="E807" t="s">
        <v>21</v>
      </c>
      <c r="F807" t="s">
        <v>2681</v>
      </c>
    </row>
    <row r="808" spans="1:6" hidden="1" x14ac:dyDescent="0.25">
      <c r="A808" t="s">
        <v>2682</v>
      </c>
      <c r="B808" t="s">
        <v>1430</v>
      </c>
      <c r="C808" t="s">
        <v>376</v>
      </c>
      <c r="D808" t="s">
        <v>2683</v>
      </c>
      <c r="E808" t="s">
        <v>21</v>
      </c>
      <c r="F808" t="s">
        <v>2684</v>
      </c>
    </row>
    <row r="809" spans="1:6" hidden="1" x14ac:dyDescent="0.25">
      <c r="A809" t="s">
        <v>288</v>
      </c>
      <c r="B809" t="s">
        <v>272</v>
      </c>
      <c r="C809" t="s">
        <v>376</v>
      </c>
      <c r="D809" t="s">
        <v>2685</v>
      </c>
      <c r="E809" t="s">
        <v>21</v>
      </c>
      <c r="F809" t="s">
        <v>290</v>
      </c>
    </row>
    <row r="810" spans="1:6" hidden="1" x14ac:dyDescent="0.25">
      <c r="A810" t="s">
        <v>2686</v>
      </c>
      <c r="B810" t="s">
        <v>15</v>
      </c>
      <c r="C810" t="s">
        <v>376</v>
      </c>
      <c r="D810" t="s">
        <v>2687</v>
      </c>
      <c r="E810" t="s">
        <v>21</v>
      </c>
      <c r="F810" t="s">
        <v>2688</v>
      </c>
    </row>
    <row r="811" spans="1:6" hidden="1" x14ac:dyDescent="0.25">
      <c r="A811" t="s">
        <v>2689</v>
      </c>
      <c r="B811" t="s">
        <v>128</v>
      </c>
      <c r="C811" t="s">
        <v>376</v>
      </c>
      <c r="D811" t="s">
        <v>2690</v>
      </c>
      <c r="E811" t="s">
        <v>21</v>
      </c>
      <c r="F811" t="s">
        <v>2691</v>
      </c>
    </row>
    <row r="812" spans="1:6" hidden="1" x14ac:dyDescent="0.25">
      <c r="A812" t="s">
        <v>2692</v>
      </c>
      <c r="B812" t="s">
        <v>128</v>
      </c>
      <c r="C812" t="s">
        <v>376</v>
      </c>
      <c r="D812" t="s">
        <v>2693</v>
      </c>
      <c r="E812" t="s">
        <v>21</v>
      </c>
      <c r="F812" t="s">
        <v>2694</v>
      </c>
    </row>
    <row r="813" spans="1:6" hidden="1" x14ac:dyDescent="0.25">
      <c r="A813" t="s">
        <v>2695</v>
      </c>
      <c r="B813" t="s">
        <v>421</v>
      </c>
      <c r="C813" t="s">
        <v>376</v>
      </c>
      <c r="D813" t="s">
        <v>2696</v>
      </c>
      <c r="E813" t="s">
        <v>21</v>
      </c>
      <c r="F813" t="s">
        <v>2697</v>
      </c>
    </row>
    <row r="814" spans="1:6" hidden="1" x14ac:dyDescent="0.25">
      <c r="A814" t="s">
        <v>2698</v>
      </c>
      <c r="B814" t="s">
        <v>272</v>
      </c>
      <c r="C814" t="s">
        <v>376</v>
      </c>
      <c r="D814" t="s">
        <v>2699</v>
      </c>
      <c r="E814" t="s">
        <v>21</v>
      </c>
      <c r="F814" t="s">
        <v>2700</v>
      </c>
    </row>
    <row r="815" spans="1:6" hidden="1" x14ac:dyDescent="0.25">
      <c r="A815" t="s">
        <v>2701</v>
      </c>
      <c r="B815" t="s">
        <v>124</v>
      </c>
      <c r="C815" t="s">
        <v>376</v>
      </c>
      <c r="D815" t="s">
        <v>2702</v>
      </c>
      <c r="E815" t="s">
        <v>21</v>
      </c>
      <c r="F815" t="s">
        <v>2703</v>
      </c>
    </row>
    <row r="816" spans="1:6" hidden="1" x14ac:dyDescent="0.25">
      <c r="A816" t="s">
        <v>2704</v>
      </c>
      <c r="B816" t="s">
        <v>482</v>
      </c>
      <c r="C816" t="s">
        <v>376</v>
      </c>
      <c r="D816" t="s">
        <v>2705</v>
      </c>
      <c r="E816" t="s">
        <v>21</v>
      </c>
      <c r="F816" t="s">
        <v>2706</v>
      </c>
    </row>
    <row r="817" spans="1:6" hidden="1" x14ac:dyDescent="0.25">
      <c r="A817" t="s">
        <v>2707</v>
      </c>
      <c r="B817" t="s">
        <v>256</v>
      </c>
      <c r="C817" t="s">
        <v>376</v>
      </c>
      <c r="D817" t="s">
        <v>2708</v>
      </c>
      <c r="E817" t="s">
        <v>21</v>
      </c>
      <c r="F817" t="s">
        <v>2709</v>
      </c>
    </row>
    <row r="818" spans="1:6" hidden="1" x14ac:dyDescent="0.25">
      <c r="A818" t="s">
        <v>2710</v>
      </c>
      <c r="B818" t="s">
        <v>128</v>
      </c>
      <c r="C818" t="s">
        <v>376</v>
      </c>
      <c r="D818" t="s">
        <v>2711</v>
      </c>
      <c r="E818" t="s">
        <v>21</v>
      </c>
      <c r="F818" t="s">
        <v>2712</v>
      </c>
    </row>
    <row r="819" spans="1:6" hidden="1" x14ac:dyDescent="0.25">
      <c r="A819" t="s">
        <v>2713</v>
      </c>
      <c r="B819" t="s">
        <v>28</v>
      </c>
      <c r="C819" t="s">
        <v>376</v>
      </c>
      <c r="D819" t="s">
        <v>2714</v>
      </c>
      <c r="E819" t="s">
        <v>21</v>
      </c>
      <c r="F819" t="s">
        <v>2715</v>
      </c>
    </row>
    <row r="820" spans="1:6" hidden="1" x14ac:dyDescent="0.25">
      <c r="A820" t="s">
        <v>2716</v>
      </c>
      <c r="B820" t="s">
        <v>344</v>
      </c>
      <c r="C820" t="s">
        <v>376</v>
      </c>
      <c r="D820" t="s">
        <v>2717</v>
      </c>
      <c r="E820" t="s">
        <v>21</v>
      </c>
      <c r="F820" t="s">
        <v>2718</v>
      </c>
    </row>
    <row r="821" spans="1:6" hidden="1" x14ac:dyDescent="0.25">
      <c r="A821" t="s">
        <v>2719</v>
      </c>
      <c r="B821" t="s">
        <v>272</v>
      </c>
      <c r="C821" t="s">
        <v>376</v>
      </c>
      <c r="D821" t="s">
        <v>2720</v>
      </c>
      <c r="E821" t="s">
        <v>21</v>
      </c>
      <c r="F821" t="s">
        <v>2721</v>
      </c>
    </row>
    <row r="822" spans="1:6" hidden="1" x14ac:dyDescent="0.25">
      <c r="A822" t="s">
        <v>2722</v>
      </c>
      <c r="B822" t="s">
        <v>124</v>
      </c>
      <c r="C822" t="s">
        <v>376</v>
      </c>
      <c r="D822" t="s">
        <v>2723</v>
      </c>
      <c r="E822" t="s">
        <v>21</v>
      </c>
      <c r="F822" t="s">
        <v>2724</v>
      </c>
    </row>
    <row r="823" spans="1:6" hidden="1" x14ac:dyDescent="0.25">
      <c r="A823" t="s">
        <v>2725</v>
      </c>
      <c r="B823" t="s">
        <v>256</v>
      </c>
      <c r="C823" t="s">
        <v>376</v>
      </c>
      <c r="D823" t="s">
        <v>2726</v>
      </c>
      <c r="E823" t="s">
        <v>21</v>
      </c>
      <c r="F823" t="s">
        <v>2727</v>
      </c>
    </row>
    <row r="824" spans="1:6" hidden="1" x14ac:dyDescent="0.25">
      <c r="A824" t="s">
        <v>2728</v>
      </c>
      <c r="B824" t="s">
        <v>124</v>
      </c>
      <c r="C824" t="s">
        <v>376</v>
      </c>
      <c r="D824" t="s">
        <v>2729</v>
      </c>
      <c r="E824" t="s">
        <v>21</v>
      </c>
      <c r="F824" t="s">
        <v>2730</v>
      </c>
    </row>
    <row r="825" spans="1:6" hidden="1" x14ac:dyDescent="0.25">
      <c r="A825" t="s">
        <v>2731</v>
      </c>
      <c r="B825" t="s">
        <v>1078</v>
      </c>
      <c r="C825" t="s">
        <v>2732</v>
      </c>
      <c r="D825" t="s">
        <v>2733</v>
      </c>
      <c r="E825" t="s">
        <v>21</v>
      </c>
      <c r="F825" t="s">
        <v>2734</v>
      </c>
    </row>
    <row r="826" spans="1:6" hidden="1" x14ac:dyDescent="0.25">
      <c r="A826" t="s">
        <v>2735</v>
      </c>
      <c r="B826" t="s">
        <v>2736</v>
      </c>
      <c r="C826" t="s">
        <v>376</v>
      </c>
      <c r="D826" t="s">
        <v>2737</v>
      </c>
      <c r="E826" t="s">
        <v>21</v>
      </c>
      <c r="F826" t="s">
        <v>2738</v>
      </c>
    </row>
    <row r="827" spans="1:6" hidden="1" x14ac:dyDescent="0.25">
      <c r="A827" t="s">
        <v>2739</v>
      </c>
      <c r="B827" t="s">
        <v>626</v>
      </c>
      <c r="C827" t="s">
        <v>1140</v>
      </c>
      <c r="D827" t="s">
        <v>2740</v>
      </c>
      <c r="E827" t="s">
        <v>21</v>
      </c>
      <c r="F827" t="s">
        <v>2741</v>
      </c>
    </row>
    <row r="828" spans="1:6" hidden="1" x14ac:dyDescent="0.25">
      <c r="A828" t="s">
        <v>2742</v>
      </c>
      <c r="B828" t="s">
        <v>124</v>
      </c>
      <c r="C828" t="s">
        <v>376</v>
      </c>
      <c r="D828" t="s">
        <v>2743</v>
      </c>
      <c r="E828" t="s">
        <v>21</v>
      </c>
      <c r="F828" t="s">
        <v>2744</v>
      </c>
    </row>
    <row r="829" spans="1:6" hidden="1" x14ac:dyDescent="0.25">
      <c r="A829" t="s">
        <v>2745</v>
      </c>
      <c r="B829" t="s">
        <v>997</v>
      </c>
      <c r="C829" t="s">
        <v>469</v>
      </c>
      <c r="D829" t="s">
        <v>2746</v>
      </c>
      <c r="E829" t="s">
        <v>21</v>
      </c>
      <c r="F829" t="s">
        <v>2747</v>
      </c>
    </row>
    <row r="830" spans="1:6" hidden="1" x14ac:dyDescent="0.25">
      <c r="A830" t="s">
        <v>2748</v>
      </c>
      <c r="B830" t="s">
        <v>15</v>
      </c>
      <c r="C830" t="s">
        <v>376</v>
      </c>
      <c r="D830" t="s">
        <v>2749</v>
      </c>
      <c r="E830" t="s">
        <v>21</v>
      </c>
      <c r="F830" t="s">
        <v>2750</v>
      </c>
    </row>
    <row r="831" spans="1:6" hidden="1" x14ac:dyDescent="0.25">
      <c r="A831" t="s">
        <v>2751</v>
      </c>
      <c r="B831" t="s">
        <v>28</v>
      </c>
      <c r="C831" t="s">
        <v>376</v>
      </c>
      <c r="D831" t="s">
        <v>2752</v>
      </c>
      <c r="E831" t="s">
        <v>21</v>
      </c>
      <c r="F831" t="s">
        <v>2753</v>
      </c>
    </row>
    <row r="832" spans="1:6" hidden="1" x14ac:dyDescent="0.25">
      <c r="A832" t="s">
        <v>2754</v>
      </c>
      <c r="B832" t="s">
        <v>51</v>
      </c>
      <c r="C832" t="s">
        <v>376</v>
      </c>
      <c r="D832" t="s">
        <v>2755</v>
      </c>
      <c r="E832" t="s">
        <v>21</v>
      </c>
      <c r="F832" t="s">
        <v>2756</v>
      </c>
    </row>
    <row r="833" spans="1:6" hidden="1" x14ac:dyDescent="0.25">
      <c r="A833" t="s">
        <v>2757</v>
      </c>
      <c r="B833" t="s">
        <v>162</v>
      </c>
      <c r="C833" t="s">
        <v>376</v>
      </c>
      <c r="D833" t="s">
        <v>2758</v>
      </c>
      <c r="E833" t="s">
        <v>21</v>
      </c>
      <c r="F833" t="s">
        <v>2759</v>
      </c>
    </row>
    <row r="834" spans="1:6" hidden="1" x14ac:dyDescent="0.25">
      <c r="A834" t="s">
        <v>362</v>
      </c>
      <c r="B834" t="s">
        <v>609</v>
      </c>
      <c r="C834" t="s">
        <v>376</v>
      </c>
      <c r="D834" t="s">
        <v>2760</v>
      </c>
      <c r="E834" t="s">
        <v>21</v>
      </c>
      <c r="F834" t="s">
        <v>2761</v>
      </c>
    </row>
    <row r="835" spans="1:6" hidden="1" x14ac:dyDescent="0.25">
      <c r="A835" t="s">
        <v>2762</v>
      </c>
      <c r="B835" t="s">
        <v>421</v>
      </c>
      <c r="C835" t="s">
        <v>376</v>
      </c>
      <c r="D835" t="s">
        <v>2763</v>
      </c>
      <c r="E835" t="s">
        <v>21</v>
      </c>
      <c r="F835" t="s">
        <v>2764</v>
      </c>
    </row>
    <row r="836" spans="1:6" hidden="1" x14ac:dyDescent="0.25">
      <c r="A836" t="s">
        <v>2765</v>
      </c>
      <c r="B836" t="s">
        <v>15</v>
      </c>
      <c r="C836" t="s">
        <v>376</v>
      </c>
      <c r="D836" t="s">
        <v>2766</v>
      </c>
      <c r="E836" t="s">
        <v>21</v>
      </c>
      <c r="F836" t="s">
        <v>2767</v>
      </c>
    </row>
    <row r="837" spans="1:6" hidden="1" x14ac:dyDescent="0.25">
      <c r="A837" t="s">
        <v>57</v>
      </c>
      <c r="B837" t="s">
        <v>59</v>
      </c>
      <c r="C837" t="s">
        <v>376</v>
      </c>
      <c r="D837" t="s">
        <v>89</v>
      </c>
      <c r="E837" t="s">
        <v>21</v>
      </c>
      <c r="F837" t="s">
        <v>60</v>
      </c>
    </row>
    <row r="838" spans="1:6" hidden="1" x14ac:dyDescent="0.25">
      <c r="A838" t="s">
        <v>2768</v>
      </c>
      <c r="B838" t="s">
        <v>59</v>
      </c>
      <c r="C838" t="s">
        <v>376</v>
      </c>
      <c r="D838" t="s">
        <v>2769</v>
      </c>
      <c r="E838" t="s">
        <v>21</v>
      </c>
      <c r="F838" t="s">
        <v>2770</v>
      </c>
    </row>
    <row r="839" spans="1:6" hidden="1" x14ac:dyDescent="0.25">
      <c r="A839" t="s">
        <v>2771</v>
      </c>
      <c r="B839" t="s">
        <v>626</v>
      </c>
      <c r="C839" t="s">
        <v>788</v>
      </c>
      <c r="D839" t="s">
        <v>2772</v>
      </c>
      <c r="E839" t="s">
        <v>21</v>
      </c>
      <c r="F839" t="s">
        <v>2773</v>
      </c>
    </row>
    <row r="840" spans="1:6" x14ac:dyDescent="0.25">
      <c r="A840" t="s">
        <v>163</v>
      </c>
      <c r="B840" t="s">
        <v>460</v>
      </c>
      <c r="C840" t="s">
        <v>461</v>
      </c>
      <c r="D840" t="s">
        <v>164</v>
      </c>
      <c r="E840" t="s">
        <v>21</v>
      </c>
      <c r="F840" t="s">
        <v>166</v>
      </c>
    </row>
    <row r="841" spans="1:6" hidden="1" x14ac:dyDescent="0.25">
      <c r="A841" t="s">
        <v>2774</v>
      </c>
      <c r="B841" t="s">
        <v>344</v>
      </c>
      <c r="C841" t="s">
        <v>376</v>
      </c>
      <c r="D841" t="s">
        <v>2775</v>
      </c>
      <c r="E841" t="s">
        <v>21</v>
      </c>
      <c r="F841" t="s">
        <v>2776</v>
      </c>
    </row>
    <row r="842" spans="1:6" hidden="1" x14ac:dyDescent="0.25">
      <c r="A842" t="s">
        <v>2777</v>
      </c>
      <c r="B842" t="s">
        <v>15</v>
      </c>
      <c r="C842" t="s">
        <v>469</v>
      </c>
      <c r="D842" t="s">
        <v>2778</v>
      </c>
      <c r="E842" t="s">
        <v>21</v>
      </c>
      <c r="F842" t="s">
        <v>2779</v>
      </c>
    </row>
    <row r="843" spans="1:6" hidden="1" x14ac:dyDescent="0.25">
      <c r="A843" t="s">
        <v>2780</v>
      </c>
      <c r="B843" t="s">
        <v>245</v>
      </c>
      <c r="C843" t="s">
        <v>376</v>
      </c>
      <c r="D843" t="s">
        <v>2781</v>
      </c>
      <c r="E843" t="s">
        <v>21</v>
      </c>
      <c r="F843" t="s">
        <v>2782</v>
      </c>
    </row>
    <row r="844" spans="1:6" hidden="1" x14ac:dyDescent="0.25">
      <c r="A844" t="s">
        <v>2783</v>
      </c>
      <c r="B844" t="s">
        <v>256</v>
      </c>
      <c r="C844" t="s">
        <v>376</v>
      </c>
      <c r="D844" t="s">
        <v>2784</v>
      </c>
      <c r="E844" t="s">
        <v>21</v>
      </c>
      <c r="F844" t="s">
        <v>2785</v>
      </c>
    </row>
    <row r="845" spans="1:6" hidden="1" x14ac:dyDescent="0.25">
      <c r="A845" t="s">
        <v>2786</v>
      </c>
      <c r="B845" t="s">
        <v>256</v>
      </c>
      <c r="C845" t="s">
        <v>376</v>
      </c>
      <c r="D845" t="s">
        <v>2787</v>
      </c>
      <c r="E845" t="s">
        <v>21</v>
      </c>
      <c r="F845" t="s">
        <v>2788</v>
      </c>
    </row>
    <row r="846" spans="1:6" hidden="1" x14ac:dyDescent="0.25">
      <c r="A846" t="s">
        <v>2789</v>
      </c>
      <c r="B846" t="s">
        <v>344</v>
      </c>
      <c r="C846" t="s">
        <v>376</v>
      </c>
      <c r="D846" t="s">
        <v>2790</v>
      </c>
      <c r="E846" t="s">
        <v>21</v>
      </c>
      <c r="F846" t="s">
        <v>2791</v>
      </c>
    </row>
    <row r="847" spans="1:6" hidden="1" x14ac:dyDescent="0.25">
      <c r="A847" t="s">
        <v>2792</v>
      </c>
      <c r="B847" t="s">
        <v>139</v>
      </c>
      <c r="C847" t="s">
        <v>376</v>
      </c>
      <c r="D847" t="s">
        <v>2793</v>
      </c>
      <c r="E847" t="s">
        <v>21</v>
      </c>
      <c r="F847" t="s">
        <v>2794</v>
      </c>
    </row>
    <row r="848" spans="1:6" hidden="1" x14ac:dyDescent="0.25">
      <c r="A848" t="s">
        <v>2795</v>
      </c>
      <c r="B848" t="s">
        <v>64</v>
      </c>
      <c r="C848" t="s">
        <v>376</v>
      </c>
      <c r="D848" t="s">
        <v>2796</v>
      </c>
      <c r="E848" t="s">
        <v>21</v>
      </c>
      <c r="F848" t="s">
        <v>2797</v>
      </c>
    </row>
    <row r="849" spans="1:6" hidden="1" x14ac:dyDescent="0.25">
      <c r="A849" t="s">
        <v>2798</v>
      </c>
      <c r="B849" t="s">
        <v>434</v>
      </c>
      <c r="C849" t="s">
        <v>376</v>
      </c>
      <c r="D849" t="s">
        <v>2799</v>
      </c>
      <c r="E849" t="s">
        <v>21</v>
      </c>
      <c r="F849" t="s">
        <v>2800</v>
      </c>
    </row>
    <row r="850" spans="1:6" hidden="1" x14ac:dyDescent="0.25">
      <c r="A850" t="s">
        <v>2801</v>
      </c>
      <c r="B850" t="s">
        <v>28</v>
      </c>
      <c r="C850" t="s">
        <v>376</v>
      </c>
      <c r="D850" t="s">
        <v>2802</v>
      </c>
      <c r="E850" t="s">
        <v>21</v>
      </c>
      <c r="F850" t="s">
        <v>2803</v>
      </c>
    </row>
    <row r="851" spans="1:6" hidden="1" x14ac:dyDescent="0.25">
      <c r="A851" t="s">
        <v>2804</v>
      </c>
      <c r="B851" t="s">
        <v>162</v>
      </c>
      <c r="C851" t="s">
        <v>376</v>
      </c>
      <c r="D851" t="s">
        <v>2805</v>
      </c>
      <c r="E851" t="s">
        <v>21</v>
      </c>
      <c r="F851" t="s">
        <v>2806</v>
      </c>
    </row>
    <row r="852" spans="1:6" hidden="1" x14ac:dyDescent="0.25">
      <c r="A852" t="s">
        <v>2807</v>
      </c>
      <c r="B852" t="s">
        <v>634</v>
      </c>
      <c r="C852" t="s">
        <v>376</v>
      </c>
      <c r="D852" t="s">
        <v>2808</v>
      </c>
      <c r="E852" t="s">
        <v>21</v>
      </c>
      <c r="F852" t="s">
        <v>2809</v>
      </c>
    </row>
    <row r="853" spans="1:6" x14ac:dyDescent="0.25">
      <c r="A853" t="s">
        <v>2810</v>
      </c>
      <c r="B853" t="s">
        <v>460</v>
      </c>
      <c r="C853" t="s">
        <v>461</v>
      </c>
      <c r="D853" t="s">
        <v>2811</v>
      </c>
      <c r="E853" t="s">
        <v>21</v>
      </c>
      <c r="F853" t="s">
        <v>2812</v>
      </c>
    </row>
    <row r="854" spans="1:6" hidden="1" x14ac:dyDescent="0.25">
      <c r="A854" t="s">
        <v>2813</v>
      </c>
      <c r="B854" t="s">
        <v>1240</v>
      </c>
      <c r="C854" t="s">
        <v>2814</v>
      </c>
      <c r="D854" t="s">
        <v>2815</v>
      </c>
      <c r="E854" t="s">
        <v>21</v>
      </c>
      <c r="F854" t="s">
        <v>2816</v>
      </c>
    </row>
    <row r="855" spans="1:6" hidden="1" x14ac:dyDescent="0.25">
      <c r="A855" t="s">
        <v>2817</v>
      </c>
      <c r="B855" t="s">
        <v>128</v>
      </c>
      <c r="C855" t="s">
        <v>376</v>
      </c>
      <c r="D855" t="s">
        <v>2818</v>
      </c>
      <c r="E855" t="s">
        <v>21</v>
      </c>
      <c r="F855" t="s">
        <v>2819</v>
      </c>
    </row>
    <row r="856" spans="1:6" hidden="1" x14ac:dyDescent="0.25">
      <c r="A856" t="s">
        <v>189</v>
      </c>
      <c r="B856" t="s">
        <v>39</v>
      </c>
      <c r="C856" t="s">
        <v>376</v>
      </c>
      <c r="D856" t="s">
        <v>190</v>
      </c>
      <c r="E856" t="s">
        <v>21</v>
      </c>
      <c r="F856" t="s">
        <v>192</v>
      </c>
    </row>
    <row r="857" spans="1:6" hidden="1" x14ac:dyDescent="0.25">
      <c r="A857" t="s">
        <v>2820</v>
      </c>
      <c r="B857" t="s">
        <v>619</v>
      </c>
      <c r="C857" t="s">
        <v>376</v>
      </c>
      <c r="D857" t="s">
        <v>2821</v>
      </c>
      <c r="E857" t="s">
        <v>21</v>
      </c>
      <c r="F857" t="s">
        <v>2822</v>
      </c>
    </row>
    <row r="858" spans="1:6" hidden="1" x14ac:dyDescent="0.25">
      <c r="A858" t="s">
        <v>2823</v>
      </c>
      <c r="B858" t="s">
        <v>51</v>
      </c>
      <c r="C858" t="s">
        <v>376</v>
      </c>
      <c r="D858" t="s">
        <v>2824</v>
      </c>
      <c r="E858" t="s">
        <v>21</v>
      </c>
      <c r="F858" t="s">
        <v>2825</v>
      </c>
    </row>
    <row r="859" spans="1:6" hidden="1" x14ac:dyDescent="0.25">
      <c r="A859" t="s">
        <v>2826</v>
      </c>
      <c r="B859" t="s">
        <v>51</v>
      </c>
      <c r="C859" t="s">
        <v>376</v>
      </c>
      <c r="D859" t="s">
        <v>2827</v>
      </c>
      <c r="E859" t="s">
        <v>21</v>
      </c>
      <c r="F859" t="s">
        <v>2828</v>
      </c>
    </row>
    <row r="860" spans="1:6" hidden="1" x14ac:dyDescent="0.25">
      <c r="A860" t="s">
        <v>2829</v>
      </c>
      <c r="B860" t="s">
        <v>59</v>
      </c>
      <c r="C860" t="s">
        <v>376</v>
      </c>
      <c r="D860" t="s">
        <v>2830</v>
      </c>
      <c r="E860" t="s">
        <v>21</v>
      </c>
      <c r="F860" t="s">
        <v>2831</v>
      </c>
    </row>
    <row r="861" spans="1:6" hidden="1" x14ac:dyDescent="0.25">
      <c r="A861" t="s">
        <v>2832</v>
      </c>
      <c r="B861" t="s">
        <v>28</v>
      </c>
      <c r="C861" t="s">
        <v>376</v>
      </c>
      <c r="D861" t="s">
        <v>2833</v>
      </c>
      <c r="E861" t="s">
        <v>21</v>
      </c>
      <c r="F861" t="s">
        <v>2834</v>
      </c>
    </row>
    <row r="862" spans="1:6" hidden="1" x14ac:dyDescent="0.25">
      <c r="A862" t="s">
        <v>2835</v>
      </c>
      <c r="B862" t="s">
        <v>434</v>
      </c>
      <c r="C862" t="s">
        <v>376</v>
      </c>
      <c r="D862" t="s">
        <v>2836</v>
      </c>
      <c r="E862" t="s">
        <v>21</v>
      </c>
      <c r="F862" t="s">
        <v>2837</v>
      </c>
    </row>
    <row r="863" spans="1:6" hidden="1" x14ac:dyDescent="0.25">
      <c r="A863" t="s">
        <v>2838</v>
      </c>
      <c r="B863" t="s">
        <v>634</v>
      </c>
      <c r="C863" t="s">
        <v>376</v>
      </c>
      <c r="D863" t="s">
        <v>2839</v>
      </c>
      <c r="E863" t="s">
        <v>21</v>
      </c>
      <c r="F863" t="s">
        <v>2840</v>
      </c>
    </row>
    <row r="864" spans="1:6" hidden="1" x14ac:dyDescent="0.25">
      <c r="A864" t="s">
        <v>2841</v>
      </c>
      <c r="B864" t="s">
        <v>44</v>
      </c>
      <c r="C864" t="s">
        <v>376</v>
      </c>
      <c r="D864" t="s">
        <v>2842</v>
      </c>
      <c r="E864" t="s">
        <v>21</v>
      </c>
      <c r="F864" t="s">
        <v>2843</v>
      </c>
    </row>
    <row r="865" spans="1:6" hidden="1" x14ac:dyDescent="0.25">
      <c r="A865" t="s">
        <v>2844</v>
      </c>
      <c r="B865" t="s">
        <v>68</v>
      </c>
      <c r="C865" t="s">
        <v>376</v>
      </c>
      <c r="D865" t="s">
        <v>2845</v>
      </c>
      <c r="E865" t="s">
        <v>21</v>
      </c>
      <c r="F865" t="s">
        <v>2846</v>
      </c>
    </row>
    <row r="866" spans="1:6" hidden="1" x14ac:dyDescent="0.25">
      <c r="A866" t="s">
        <v>2847</v>
      </c>
      <c r="B866" t="s">
        <v>482</v>
      </c>
      <c r="C866" t="s">
        <v>376</v>
      </c>
      <c r="D866" t="s">
        <v>2848</v>
      </c>
      <c r="E866" t="s">
        <v>21</v>
      </c>
      <c r="F866" t="s">
        <v>2849</v>
      </c>
    </row>
    <row r="867" spans="1:6" hidden="1" x14ac:dyDescent="0.25">
      <c r="A867" t="s">
        <v>2850</v>
      </c>
      <c r="B867" t="s">
        <v>28</v>
      </c>
      <c r="C867" t="s">
        <v>376</v>
      </c>
      <c r="D867" t="s">
        <v>2851</v>
      </c>
      <c r="E867" t="s">
        <v>21</v>
      </c>
      <c r="F867" t="s">
        <v>2852</v>
      </c>
    </row>
    <row r="868" spans="1:6" hidden="1" x14ac:dyDescent="0.25">
      <c r="A868" t="s">
        <v>2853</v>
      </c>
      <c r="B868" t="s">
        <v>59</v>
      </c>
      <c r="C868" t="s">
        <v>376</v>
      </c>
      <c r="D868" t="s">
        <v>2854</v>
      </c>
      <c r="E868" t="s">
        <v>21</v>
      </c>
      <c r="F868" t="s">
        <v>2855</v>
      </c>
    </row>
    <row r="869" spans="1:6" hidden="1" x14ac:dyDescent="0.25">
      <c r="A869" t="s">
        <v>2856</v>
      </c>
      <c r="B869" t="s">
        <v>39</v>
      </c>
      <c r="C869" t="s">
        <v>376</v>
      </c>
      <c r="D869" t="s">
        <v>2857</v>
      </c>
      <c r="E869" t="s">
        <v>21</v>
      </c>
      <c r="F869" t="s">
        <v>2858</v>
      </c>
    </row>
    <row r="870" spans="1:6" hidden="1" x14ac:dyDescent="0.25">
      <c r="A870" t="s">
        <v>2859</v>
      </c>
      <c r="B870" t="s">
        <v>64</v>
      </c>
      <c r="C870" t="s">
        <v>376</v>
      </c>
      <c r="D870" t="s">
        <v>2860</v>
      </c>
      <c r="E870" t="s">
        <v>21</v>
      </c>
      <c r="F870" t="s">
        <v>2861</v>
      </c>
    </row>
    <row r="871" spans="1:6" hidden="1" x14ac:dyDescent="0.25">
      <c r="A871" t="s">
        <v>2862</v>
      </c>
      <c r="B871" t="s">
        <v>634</v>
      </c>
      <c r="C871" t="s">
        <v>376</v>
      </c>
      <c r="D871" t="s">
        <v>2863</v>
      </c>
      <c r="E871" t="s">
        <v>21</v>
      </c>
      <c r="F871" t="s">
        <v>2864</v>
      </c>
    </row>
    <row r="872" spans="1:6" hidden="1" x14ac:dyDescent="0.25">
      <c r="A872" t="s">
        <v>94</v>
      </c>
      <c r="B872" t="s">
        <v>434</v>
      </c>
      <c r="C872" t="s">
        <v>376</v>
      </c>
      <c r="D872" t="s">
        <v>95</v>
      </c>
      <c r="E872" t="s">
        <v>21</v>
      </c>
      <c r="F872" t="s">
        <v>98</v>
      </c>
    </row>
    <row r="873" spans="1:6" hidden="1" x14ac:dyDescent="0.25">
      <c r="A873" t="s">
        <v>2865</v>
      </c>
      <c r="B873" t="s">
        <v>55</v>
      </c>
      <c r="C873" t="s">
        <v>376</v>
      </c>
      <c r="D873" t="s">
        <v>2866</v>
      </c>
      <c r="E873" t="s">
        <v>21</v>
      </c>
      <c r="F873" t="s">
        <v>2867</v>
      </c>
    </row>
    <row r="874" spans="1:6" hidden="1" x14ac:dyDescent="0.25">
      <c r="A874" t="s">
        <v>2868</v>
      </c>
      <c r="B874" t="s">
        <v>55</v>
      </c>
      <c r="C874" t="s">
        <v>376</v>
      </c>
      <c r="D874" t="s">
        <v>2869</v>
      </c>
      <c r="E874" t="s">
        <v>21</v>
      </c>
      <c r="F874" t="s">
        <v>2870</v>
      </c>
    </row>
    <row r="875" spans="1:6" hidden="1" x14ac:dyDescent="0.25">
      <c r="A875" t="s">
        <v>2871</v>
      </c>
      <c r="B875" t="s">
        <v>434</v>
      </c>
      <c r="C875" t="s">
        <v>376</v>
      </c>
      <c r="D875" t="s">
        <v>2872</v>
      </c>
      <c r="E875" t="s">
        <v>21</v>
      </c>
      <c r="F875" t="s">
        <v>2873</v>
      </c>
    </row>
    <row r="876" spans="1:6" hidden="1" x14ac:dyDescent="0.25">
      <c r="A876" t="s">
        <v>2874</v>
      </c>
      <c r="B876" t="s">
        <v>162</v>
      </c>
      <c r="C876" t="s">
        <v>376</v>
      </c>
      <c r="D876" t="s">
        <v>2875</v>
      </c>
      <c r="E876" t="s">
        <v>21</v>
      </c>
      <c r="F876" t="s">
        <v>2876</v>
      </c>
    </row>
    <row r="877" spans="1:6" hidden="1" x14ac:dyDescent="0.25">
      <c r="A877" t="s">
        <v>2877</v>
      </c>
      <c r="B877" t="s">
        <v>132</v>
      </c>
      <c r="C877" t="s">
        <v>376</v>
      </c>
      <c r="D877" t="s">
        <v>2878</v>
      </c>
      <c r="E877" t="s">
        <v>21</v>
      </c>
      <c r="F877" t="s">
        <v>2879</v>
      </c>
    </row>
    <row r="878" spans="1:6" hidden="1" x14ac:dyDescent="0.25">
      <c r="A878" t="s">
        <v>2880</v>
      </c>
      <c r="B878" t="s">
        <v>132</v>
      </c>
      <c r="C878" t="s">
        <v>376</v>
      </c>
      <c r="D878" t="s">
        <v>2881</v>
      </c>
      <c r="E878" t="s">
        <v>21</v>
      </c>
      <c r="F878" t="s">
        <v>2882</v>
      </c>
    </row>
    <row r="879" spans="1:6" hidden="1" x14ac:dyDescent="0.25">
      <c r="A879" t="s">
        <v>2883</v>
      </c>
      <c r="B879" t="s">
        <v>634</v>
      </c>
      <c r="C879" t="s">
        <v>376</v>
      </c>
      <c r="D879" t="s">
        <v>2884</v>
      </c>
      <c r="E879" t="s">
        <v>21</v>
      </c>
      <c r="F879" t="s">
        <v>2885</v>
      </c>
    </row>
    <row r="880" spans="1:6" hidden="1" x14ac:dyDescent="0.25">
      <c r="A880" t="s">
        <v>2886</v>
      </c>
      <c r="B880" t="s">
        <v>626</v>
      </c>
      <c r="C880" t="s">
        <v>1140</v>
      </c>
      <c r="D880" t="s">
        <v>2887</v>
      </c>
      <c r="E880" t="s">
        <v>21</v>
      </c>
      <c r="F880" t="s">
        <v>2888</v>
      </c>
    </row>
    <row r="881" spans="1:6" hidden="1" x14ac:dyDescent="0.25">
      <c r="A881" t="s">
        <v>2889</v>
      </c>
      <c r="B881" t="s">
        <v>68</v>
      </c>
      <c r="C881" t="s">
        <v>376</v>
      </c>
      <c r="D881" t="s">
        <v>2890</v>
      </c>
      <c r="E881" t="s">
        <v>21</v>
      </c>
      <c r="F881" t="s">
        <v>2891</v>
      </c>
    </row>
    <row r="882" spans="1:6" hidden="1" x14ac:dyDescent="0.25">
      <c r="A882" t="s">
        <v>2892</v>
      </c>
      <c r="B882" t="s">
        <v>256</v>
      </c>
      <c r="C882" t="s">
        <v>376</v>
      </c>
      <c r="D882" t="s">
        <v>2893</v>
      </c>
      <c r="E882" t="s">
        <v>21</v>
      </c>
      <c r="F882" t="s">
        <v>2894</v>
      </c>
    </row>
    <row r="883" spans="1:6" hidden="1" x14ac:dyDescent="0.25">
      <c r="A883" t="s">
        <v>42</v>
      </c>
      <c r="B883" t="s">
        <v>44</v>
      </c>
      <c r="C883" t="s">
        <v>376</v>
      </c>
      <c r="D883" t="s">
        <v>43</v>
      </c>
      <c r="E883" t="s">
        <v>21</v>
      </c>
      <c r="F883" t="s">
        <v>47</v>
      </c>
    </row>
    <row r="884" spans="1:6" hidden="1" x14ac:dyDescent="0.25">
      <c r="A884" t="s">
        <v>2895</v>
      </c>
      <c r="B884" t="s">
        <v>441</v>
      </c>
      <c r="C884" t="s">
        <v>627</v>
      </c>
      <c r="D884" t="s">
        <v>2896</v>
      </c>
      <c r="E884" t="s">
        <v>21</v>
      </c>
      <c r="F884" t="s">
        <v>2897</v>
      </c>
    </row>
    <row r="885" spans="1:6" hidden="1" x14ac:dyDescent="0.25">
      <c r="A885" t="s">
        <v>2898</v>
      </c>
      <c r="B885" t="s">
        <v>344</v>
      </c>
      <c r="C885" t="s">
        <v>376</v>
      </c>
      <c r="D885" t="s">
        <v>2899</v>
      </c>
      <c r="E885" t="s">
        <v>21</v>
      </c>
      <c r="F885" t="s">
        <v>2900</v>
      </c>
    </row>
    <row r="886" spans="1:6" hidden="1" x14ac:dyDescent="0.25">
      <c r="A886" t="s">
        <v>2901</v>
      </c>
      <c r="B886" t="s">
        <v>139</v>
      </c>
      <c r="C886" t="s">
        <v>376</v>
      </c>
      <c r="D886" t="s">
        <v>2902</v>
      </c>
      <c r="E886" t="s">
        <v>21</v>
      </c>
      <c r="F886" t="s">
        <v>2903</v>
      </c>
    </row>
    <row r="887" spans="1:6" hidden="1" x14ac:dyDescent="0.25">
      <c r="A887" t="s">
        <v>2904</v>
      </c>
      <c r="B887" t="s">
        <v>28</v>
      </c>
      <c r="C887" t="s">
        <v>376</v>
      </c>
      <c r="D887" t="s">
        <v>2905</v>
      </c>
      <c r="E887" t="s">
        <v>21</v>
      </c>
      <c r="F887" t="s">
        <v>2906</v>
      </c>
    </row>
    <row r="888" spans="1:6" hidden="1" x14ac:dyDescent="0.25">
      <c r="A888" t="s">
        <v>2907</v>
      </c>
      <c r="B888" t="s">
        <v>457</v>
      </c>
      <c r="C888" t="s">
        <v>376</v>
      </c>
      <c r="D888" t="s">
        <v>2908</v>
      </c>
      <c r="E888" t="s">
        <v>21</v>
      </c>
      <c r="F888" t="s">
        <v>2909</v>
      </c>
    </row>
    <row r="889" spans="1:6" hidden="1" x14ac:dyDescent="0.25">
      <c r="A889" t="s">
        <v>2910</v>
      </c>
      <c r="B889" t="s">
        <v>28</v>
      </c>
      <c r="C889" t="s">
        <v>376</v>
      </c>
      <c r="D889" t="s">
        <v>2911</v>
      </c>
      <c r="E889" t="s">
        <v>21</v>
      </c>
      <c r="F889" t="s">
        <v>2912</v>
      </c>
    </row>
    <row r="890" spans="1:6" hidden="1" x14ac:dyDescent="0.25">
      <c r="A890" t="s">
        <v>2913</v>
      </c>
      <c r="B890" t="s">
        <v>51</v>
      </c>
      <c r="C890" t="s">
        <v>376</v>
      </c>
      <c r="D890" t="s">
        <v>2914</v>
      </c>
      <c r="E890" t="s">
        <v>21</v>
      </c>
      <c r="F890" t="s">
        <v>2915</v>
      </c>
    </row>
    <row r="891" spans="1:6" hidden="1" x14ac:dyDescent="0.25">
      <c r="A891" t="s">
        <v>2916</v>
      </c>
      <c r="B891" t="s">
        <v>39</v>
      </c>
      <c r="C891" t="s">
        <v>376</v>
      </c>
      <c r="D891" t="s">
        <v>2917</v>
      </c>
      <c r="E891" t="s">
        <v>21</v>
      </c>
      <c r="F891" t="s">
        <v>2918</v>
      </c>
    </row>
    <row r="892" spans="1:6" hidden="1" x14ac:dyDescent="0.25">
      <c r="A892" t="s">
        <v>2919</v>
      </c>
      <c r="B892" t="s">
        <v>499</v>
      </c>
      <c r="C892" t="s">
        <v>376</v>
      </c>
      <c r="D892" t="s">
        <v>2920</v>
      </c>
      <c r="E892" t="s">
        <v>21</v>
      </c>
      <c r="F892" t="s">
        <v>2921</v>
      </c>
    </row>
    <row r="893" spans="1:6" hidden="1" x14ac:dyDescent="0.25">
      <c r="A893" t="s">
        <v>2922</v>
      </c>
      <c r="B893" t="s">
        <v>124</v>
      </c>
      <c r="C893" t="s">
        <v>376</v>
      </c>
      <c r="D893" t="s">
        <v>2923</v>
      </c>
      <c r="E893" t="s">
        <v>21</v>
      </c>
      <c r="F893" t="s">
        <v>2924</v>
      </c>
    </row>
    <row r="894" spans="1:6" hidden="1" x14ac:dyDescent="0.25">
      <c r="A894" t="s">
        <v>2925</v>
      </c>
      <c r="B894" t="s">
        <v>841</v>
      </c>
      <c r="C894" t="s">
        <v>376</v>
      </c>
      <c r="D894" t="s">
        <v>2926</v>
      </c>
      <c r="E894" t="s">
        <v>21</v>
      </c>
      <c r="F894" t="s">
        <v>2927</v>
      </c>
    </row>
    <row r="895" spans="1:6" hidden="1" x14ac:dyDescent="0.25">
      <c r="A895" t="s">
        <v>2928</v>
      </c>
      <c r="B895" t="s">
        <v>626</v>
      </c>
      <c r="C895" t="s">
        <v>1140</v>
      </c>
      <c r="D895" t="s">
        <v>2929</v>
      </c>
      <c r="E895" t="s">
        <v>21</v>
      </c>
      <c r="F895" t="s">
        <v>2930</v>
      </c>
    </row>
    <row r="896" spans="1:6" hidden="1" x14ac:dyDescent="0.25">
      <c r="A896" t="s">
        <v>2931</v>
      </c>
      <c r="B896" t="s">
        <v>55</v>
      </c>
      <c r="C896" t="s">
        <v>376</v>
      </c>
      <c r="D896" t="s">
        <v>2932</v>
      </c>
      <c r="E896" t="s">
        <v>21</v>
      </c>
      <c r="F896" t="s">
        <v>2933</v>
      </c>
    </row>
    <row r="897" spans="1:6" hidden="1" x14ac:dyDescent="0.25">
      <c r="A897" t="s">
        <v>49</v>
      </c>
      <c r="B897" t="s">
        <v>51</v>
      </c>
      <c r="C897" t="s">
        <v>376</v>
      </c>
      <c r="D897" t="s">
        <v>50</v>
      </c>
      <c r="E897" t="s">
        <v>21</v>
      </c>
      <c r="F897" t="s">
        <v>52</v>
      </c>
    </row>
    <row r="898" spans="1:6" x14ac:dyDescent="0.25">
      <c r="A898" t="s">
        <v>181</v>
      </c>
      <c r="B898" t="s">
        <v>460</v>
      </c>
      <c r="C898" t="s">
        <v>461</v>
      </c>
      <c r="D898" t="s">
        <v>182</v>
      </c>
      <c r="E898" t="s">
        <v>21</v>
      </c>
      <c r="F898" t="s">
        <v>183</v>
      </c>
    </row>
    <row r="899" spans="1:6" hidden="1" x14ac:dyDescent="0.25">
      <c r="A899" t="s">
        <v>2934</v>
      </c>
      <c r="B899" t="s">
        <v>457</v>
      </c>
      <c r="C899" t="s">
        <v>376</v>
      </c>
      <c r="D899" t="s">
        <v>2935</v>
      </c>
      <c r="E899" t="s">
        <v>21</v>
      </c>
      <c r="F899" t="s">
        <v>2936</v>
      </c>
    </row>
    <row r="900" spans="1:6" hidden="1" x14ac:dyDescent="0.25">
      <c r="A900" t="s">
        <v>2937</v>
      </c>
      <c r="B900" t="s">
        <v>626</v>
      </c>
      <c r="C900" t="s">
        <v>627</v>
      </c>
      <c r="D900" t="s">
        <v>2938</v>
      </c>
      <c r="E900" t="s">
        <v>21</v>
      </c>
      <c r="F900" t="s">
        <v>2939</v>
      </c>
    </row>
    <row r="901" spans="1:6" hidden="1" x14ac:dyDescent="0.25">
      <c r="A901" t="s">
        <v>2940</v>
      </c>
      <c r="B901" t="s">
        <v>128</v>
      </c>
      <c r="C901" t="s">
        <v>376</v>
      </c>
      <c r="D901" t="s">
        <v>2941</v>
      </c>
      <c r="E901" t="s">
        <v>21</v>
      </c>
      <c r="F901" t="s">
        <v>2942</v>
      </c>
    </row>
    <row r="902" spans="1:6" hidden="1" x14ac:dyDescent="0.25">
      <c r="A902" t="s">
        <v>2943</v>
      </c>
      <c r="B902" t="s">
        <v>245</v>
      </c>
      <c r="C902" t="s">
        <v>376</v>
      </c>
      <c r="D902" t="s">
        <v>2944</v>
      </c>
      <c r="E902" t="s">
        <v>21</v>
      </c>
      <c r="F902" t="s">
        <v>2945</v>
      </c>
    </row>
    <row r="903" spans="1:6" hidden="1" x14ac:dyDescent="0.25">
      <c r="A903" t="s">
        <v>2946</v>
      </c>
      <c r="B903" t="s">
        <v>256</v>
      </c>
      <c r="C903" t="s">
        <v>376</v>
      </c>
      <c r="D903" t="s">
        <v>2947</v>
      </c>
      <c r="E903" t="s">
        <v>21</v>
      </c>
      <c r="F903" t="s">
        <v>2948</v>
      </c>
    </row>
    <row r="904" spans="1:6" hidden="1" x14ac:dyDescent="0.25">
      <c r="A904" t="s">
        <v>2949</v>
      </c>
      <c r="B904" t="s">
        <v>482</v>
      </c>
      <c r="C904" t="s">
        <v>376</v>
      </c>
      <c r="D904" t="s">
        <v>2950</v>
      </c>
      <c r="E904" t="s">
        <v>21</v>
      </c>
      <c r="F904" t="s">
        <v>2951</v>
      </c>
    </row>
    <row r="905" spans="1:6" hidden="1" x14ac:dyDescent="0.25">
      <c r="A905" t="s">
        <v>2952</v>
      </c>
      <c r="B905" t="s">
        <v>44</v>
      </c>
      <c r="C905" t="s">
        <v>376</v>
      </c>
      <c r="D905" t="s">
        <v>2953</v>
      </c>
      <c r="E905" t="s">
        <v>21</v>
      </c>
      <c r="F905" t="s">
        <v>2954</v>
      </c>
    </row>
    <row r="906" spans="1:6" hidden="1" x14ac:dyDescent="0.25">
      <c r="A906" t="s">
        <v>2955</v>
      </c>
      <c r="B906" t="s">
        <v>28</v>
      </c>
      <c r="C906" t="s">
        <v>376</v>
      </c>
      <c r="D906" t="s">
        <v>2956</v>
      </c>
      <c r="E906" t="s">
        <v>21</v>
      </c>
      <c r="F906" t="s">
        <v>2957</v>
      </c>
    </row>
    <row r="907" spans="1:6" hidden="1" x14ac:dyDescent="0.25">
      <c r="A907" t="s">
        <v>2958</v>
      </c>
      <c r="B907" t="s">
        <v>28</v>
      </c>
      <c r="C907" t="s">
        <v>376</v>
      </c>
      <c r="D907" t="s">
        <v>2959</v>
      </c>
      <c r="E907" t="s">
        <v>21</v>
      </c>
      <c r="F907" t="s">
        <v>2960</v>
      </c>
    </row>
    <row r="908" spans="1:6" hidden="1" x14ac:dyDescent="0.25">
      <c r="A908" t="s">
        <v>2961</v>
      </c>
      <c r="B908" t="s">
        <v>39</v>
      </c>
      <c r="C908" t="s">
        <v>376</v>
      </c>
      <c r="D908" t="s">
        <v>2962</v>
      </c>
      <c r="E908" t="s">
        <v>21</v>
      </c>
      <c r="F908" t="s">
        <v>2963</v>
      </c>
    </row>
    <row r="909" spans="1:6" hidden="1" x14ac:dyDescent="0.25">
      <c r="A909" t="s">
        <v>2964</v>
      </c>
      <c r="B909" t="s">
        <v>634</v>
      </c>
      <c r="C909" t="s">
        <v>376</v>
      </c>
      <c r="D909" t="s">
        <v>2965</v>
      </c>
      <c r="E909" t="s">
        <v>21</v>
      </c>
      <c r="F909" t="s">
        <v>2966</v>
      </c>
    </row>
    <row r="910" spans="1:6" hidden="1" x14ac:dyDescent="0.25">
      <c r="A910" t="s">
        <v>359</v>
      </c>
      <c r="B910" t="s">
        <v>1764</v>
      </c>
      <c r="C910" t="s">
        <v>376</v>
      </c>
      <c r="D910" t="s">
        <v>2967</v>
      </c>
      <c r="E910" t="s">
        <v>21</v>
      </c>
      <c r="F910" t="s">
        <v>2968</v>
      </c>
    </row>
    <row r="911" spans="1:6" hidden="1" x14ac:dyDescent="0.25">
      <c r="A911" t="s">
        <v>2969</v>
      </c>
      <c r="B911" t="s">
        <v>414</v>
      </c>
      <c r="C911" t="s">
        <v>376</v>
      </c>
      <c r="D911" t="s">
        <v>2970</v>
      </c>
      <c r="E911" t="s">
        <v>21</v>
      </c>
      <c r="F911" t="s">
        <v>2971</v>
      </c>
    </row>
    <row r="912" spans="1:6" hidden="1" x14ac:dyDescent="0.25">
      <c r="A912" t="s">
        <v>2972</v>
      </c>
      <c r="B912" t="s">
        <v>55</v>
      </c>
      <c r="C912" t="s">
        <v>376</v>
      </c>
      <c r="D912" t="s">
        <v>2973</v>
      </c>
      <c r="E912" t="s">
        <v>21</v>
      </c>
      <c r="F912" t="s">
        <v>2974</v>
      </c>
    </row>
    <row r="913" spans="1:6" hidden="1" x14ac:dyDescent="0.25">
      <c r="A913" t="s">
        <v>2975</v>
      </c>
      <c r="B913" t="s">
        <v>176</v>
      </c>
      <c r="C913" t="s">
        <v>376</v>
      </c>
      <c r="D913" t="s">
        <v>2976</v>
      </c>
      <c r="E913" t="s">
        <v>21</v>
      </c>
      <c r="F913" t="s">
        <v>2977</v>
      </c>
    </row>
    <row r="914" spans="1:6" hidden="1" x14ac:dyDescent="0.25">
      <c r="A914" t="s">
        <v>2978</v>
      </c>
      <c r="B914" t="s">
        <v>124</v>
      </c>
      <c r="C914" t="s">
        <v>376</v>
      </c>
      <c r="D914" t="s">
        <v>2979</v>
      </c>
      <c r="E914" t="s">
        <v>21</v>
      </c>
      <c r="F914" t="s">
        <v>2980</v>
      </c>
    </row>
    <row r="915" spans="1:6" hidden="1" x14ac:dyDescent="0.25">
      <c r="A915" t="s">
        <v>2981</v>
      </c>
      <c r="B915" t="s">
        <v>256</v>
      </c>
      <c r="C915" t="s">
        <v>376</v>
      </c>
      <c r="D915" t="s">
        <v>2982</v>
      </c>
      <c r="E915" t="s">
        <v>21</v>
      </c>
      <c r="F915" t="s">
        <v>2983</v>
      </c>
    </row>
    <row r="916" spans="1:6" hidden="1" x14ac:dyDescent="0.25">
      <c r="A916" t="s">
        <v>2984</v>
      </c>
      <c r="B916" t="s">
        <v>634</v>
      </c>
      <c r="C916" t="s">
        <v>376</v>
      </c>
      <c r="D916" t="s">
        <v>2985</v>
      </c>
      <c r="E916" t="s">
        <v>21</v>
      </c>
      <c r="F916" t="s">
        <v>2986</v>
      </c>
    </row>
    <row r="917" spans="1:6" hidden="1" x14ac:dyDescent="0.25">
      <c r="A917" t="s">
        <v>2987</v>
      </c>
      <c r="B917" t="s">
        <v>139</v>
      </c>
      <c r="C917" t="s">
        <v>376</v>
      </c>
      <c r="D917" t="s">
        <v>2988</v>
      </c>
      <c r="E917" t="s">
        <v>21</v>
      </c>
      <c r="F917" t="s">
        <v>2989</v>
      </c>
    </row>
    <row r="918" spans="1:6" hidden="1" x14ac:dyDescent="0.25">
      <c r="A918" t="s">
        <v>2990</v>
      </c>
      <c r="B918" t="s">
        <v>482</v>
      </c>
      <c r="C918" t="s">
        <v>376</v>
      </c>
      <c r="D918" t="s">
        <v>2991</v>
      </c>
      <c r="E918" t="s">
        <v>21</v>
      </c>
      <c r="F918" t="s">
        <v>2992</v>
      </c>
    </row>
    <row r="919" spans="1:6" hidden="1" x14ac:dyDescent="0.25">
      <c r="A919" t="s">
        <v>2993</v>
      </c>
      <c r="B919" t="s">
        <v>64</v>
      </c>
      <c r="C919" t="s">
        <v>376</v>
      </c>
      <c r="D919" t="s">
        <v>2994</v>
      </c>
      <c r="E919" t="s">
        <v>21</v>
      </c>
      <c r="F919" t="s">
        <v>2995</v>
      </c>
    </row>
    <row r="920" spans="1:6" hidden="1" x14ac:dyDescent="0.25">
      <c r="A920" t="s">
        <v>2996</v>
      </c>
      <c r="B920" t="s">
        <v>434</v>
      </c>
      <c r="C920" t="s">
        <v>376</v>
      </c>
      <c r="D920" t="s">
        <v>2997</v>
      </c>
      <c r="E920" t="s">
        <v>21</v>
      </c>
      <c r="F920" t="s">
        <v>2998</v>
      </c>
    </row>
    <row r="921" spans="1:6" hidden="1" x14ac:dyDescent="0.25">
      <c r="A921" t="s">
        <v>2999</v>
      </c>
      <c r="B921" t="s">
        <v>59</v>
      </c>
      <c r="C921" t="s">
        <v>376</v>
      </c>
      <c r="D921" t="s">
        <v>3000</v>
      </c>
      <c r="E921" t="s">
        <v>21</v>
      </c>
      <c r="F921" t="s">
        <v>3001</v>
      </c>
    </row>
    <row r="922" spans="1:6" hidden="1" x14ac:dyDescent="0.25">
      <c r="A922" t="s">
        <v>279</v>
      </c>
      <c r="B922" t="s">
        <v>59</v>
      </c>
      <c r="C922" t="s">
        <v>376</v>
      </c>
      <c r="D922" t="s">
        <v>280</v>
      </c>
      <c r="E922" t="s">
        <v>21</v>
      </c>
      <c r="F922" t="s">
        <v>281</v>
      </c>
    </row>
    <row r="923" spans="1:6" hidden="1" x14ac:dyDescent="0.25">
      <c r="A923" t="s">
        <v>3002</v>
      </c>
      <c r="B923" t="s">
        <v>591</v>
      </c>
      <c r="C923" t="s">
        <v>3003</v>
      </c>
      <c r="D923" t="s">
        <v>3004</v>
      </c>
      <c r="E923" t="s">
        <v>21</v>
      </c>
      <c r="F923" t="s">
        <v>3005</v>
      </c>
    </row>
    <row r="924" spans="1:6" hidden="1" x14ac:dyDescent="0.25">
      <c r="A924" t="s">
        <v>3006</v>
      </c>
      <c r="B924" t="s">
        <v>78</v>
      </c>
      <c r="C924" t="s">
        <v>376</v>
      </c>
      <c r="D924" t="s">
        <v>3007</v>
      </c>
      <c r="E924" t="s">
        <v>21</v>
      </c>
      <c r="F924" t="s">
        <v>3008</v>
      </c>
    </row>
    <row r="925" spans="1:6" hidden="1" x14ac:dyDescent="0.25">
      <c r="A925" t="s">
        <v>3009</v>
      </c>
      <c r="B925" t="s">
        <v>1764</v>
      </c>
      <c r="C925" t="s">
        <v>376</v>
      </c>
      <c r="D925" t="s">
        <v>3010</v>
      </c>
      <c r="E925" t="s">
        <v>21</v>
      </c>
      <c r="F925" t="s">
        <v>3011</v>
      </c>
    </row>
    <row r="926" spans="1:6" hidden="1" x14ac:dyDescent="0.25">
      <c r="A926" t="s">
        <v>3012</v>
      </c>
      <c r="B926" t="s">
        <v>78</v>
      </c>
      <c r="C926" t="s">
        <v>376</v>
      </c>
      <c r="D926" t="s">
        <v>3013</v>
      </c>
      <c r="E926" t="s">
        <v>21</v>
      </c>
      <c r="F926" t="s">
        <v>3014</v>
      </c>
    </row>
    <row r="927" spans="1:6" hidden="1" x14ac:dyDescent="0.25">
      <c r="A927" t="s">
        <v>3015</v>
      </c>
      <c r="B927" t="s">
        <v>609</v>
      </c>
      <c r="C927" t="s">
        <v>376</v>
      </c>
      <c r="D927" t="s">
        <v>3016</v>
      </c>
      <c r="E927" t="s">
        <v>21</v>
      </c>
      <c r="F927" t="s">
        <v>3017</v>
      </c>
    </row>
    <row r="928" spans="1:6" hidden="1" x14ac:dyDescent="0.25">
      <c r="A928" t="s">
        <v>3018</v>
      </c>
      <c r="B928" t="s">
        <v>162</v>
      </c>
      <c r="C928" t="s">
        <v>376</v>
      </c>
      <c r="D928" t="s">
        <v>3019</v>
      </c>
      <c r="E928" t="s">
        <v>21</v>
      </c>
      <c r="F928" t="s">
        <v>3020</v>
      </c>
    </row>
    <row r="929" spans="1:6" hidden="1" x14ac:dyDescent="0.25">
      <c r="A929" t="s">
        <v>3021</v>
      </c>
      <c r="B929" t="s">
        <v>634</v>
      </c>
      <c r="C929" t="s">
        <v>376</v>
      </c>
      <c r="D929" t="s">
        <v>3022</v>
      </c>
      <c r="E929" t="s">
        <v>21</v>
      </c>
      <c r="F929" t="s">
        <v>3023</v>
      </c>
    </row>
    <row r="930" spans="1:6" hidden="1" x14ac:dyDescent="0.25">
      <c r="A930" t="s">
        <v>3024</v>
      </c>
      <c r="B930" t="s">
        <v>55</v>
      </c>
      <c r="C930" t="s">
        <v>376</v>
      </c>
      <c r="D930" t="s">
        <v>3025</v>
      </c>
      <c r="E930" t="s">
        <v>21</v>
      </c>
      <c r="F930" t="s">
        <v>3026</v>
      </c>
    </row>
    <row r="931" spans="1:6" hidden="1" x14ac:dyDescent="0.25">
      <c r="A931" t="s">
        <v>3027</v>
      </c>
      <c r="B931" t="s">
        <v>245</v>
      </c>
      <c r="C931" t="s">
        <v>376</v>
      </c>
      <c r="D931" t="s">
        <v>3028</v>
      </c>
      <c r="E931" t="s">
        <v>21</v>
      </c>
      <c r="F931" t="s">
        <v>3029</v>
      </c>
    </row>
    <row r="932" spans="1:6" hidden="1" x14ac:dyDescent="0.25">
      <c r="A932" t="s">
        <v>3030</v>
      </c>
      <c r="B932" t="s">
        <v>634</v>
      </c>
      <c r="C932" t="s">
        <v>376</v>
      </c>
      <c r="D932" t="s">
        <v>3031</v>
      </c>
      <c r="E932" t="s">
        <v>21</v>
      </c>
      <c r="F932" t="s">
        <v>3032</v>
      </c>
    </row>
    <row r="933" spans="1:6" hidden="1" x14ac:dyDescent="0.25">
      <c r="A933" t="s">
        <v>3033</v>
      </c>
      <c r="B933" t="s">
        <v>841</v>
      </c>
      <c r="C933" t="s">
        <v>376</v>
      </c>
      <c r="D933" t="s">
        <v>3034</v>
      </c>
      <c r="E933" t="s">
        <v>21</v>
      </c>
      <c r="F933" t="s">
        <v>3035</v>
      </c>
    </row>
    <row r="934" spans="1:6" hidden="1" x14ac:dyDescent="0.25">
      <c r="A934" t="s">
        <v>3036</v>
      </c>
      <c r="B934" t="s">
        <v>591</v>
      </c>
      <c r="C934" t="s">
        <v>3037</v>
      </c>
      <c r="D934" t="s">
        <v>3038</v>
      </c>
      <c r="E934" t="s">
        <v>21</v>
      </c>
      <c r="F934" t="s">
        <v>3039</v>
      </c>
    </row>
    <row r="935" spans="1:6" hidden="1" x14ac:dyDescent="0.25">
      <c r="A935" t="s">
        <v>3040</v>
      </c>
      <c r="B935" t="s">
        <v>55</v>
      </c>
      <c r="C935" t="s">
        <v>376</v>
      </c>
      <c r="D935" t="s">
        <v>3041</v>
      </c>
      <c r="E935" t="s">
        <v>21</v>
      </c>
      <c r="F935" t="s">
        <v>3042</v>
      </c>
    </row>
    <row r="936" spans="1:6" hidden="1" x14ac:dyDescent="0.25">
      <c r="A936" t="s">
        <v>3043</v>
      </c>
      <c r="B936" t="s">
        <v>143</v>
      </c>
      <c r="C936" t="s">
        <v>376</v>
      </c>
      <c r="D936" t="s">
        <v>3044</v>
      </c>
      <c r="E936" t="s">
        <v>21</v>
      </c>
      <c r="F936" t="s">
        <v>3045</v>
      </c>
    </row>
    <row r="937" spans="1:6" hidden="1" x14ac:dyDescent="0.25">
      <c r="A937" t="s">
        <v>3046</v>
      </c>
      <c r="B937" t="s">
        <v>55</v>
      </c>
      <c r="C937" t="s">
        <v>376</v>
      </c>
      <c r="D937" t="s">
        <v>3047</v>
      </c>
      <c r="E937" t="s">
        <v>21</v>
      </c>
      <c r="F937" t="s">
        <v>3048</v>
      </c>
    </row>
    <row r="938" spans="1:6" hidden="1" x14ac:dyDescent="0.25">
      <c r="A938" t="s">
        <v>3049</v>
      </c>
      <c r="B938" t="s">
        <v>78</v>
      </c>
      <c r="C938" t="s">
        <v>376</v>
      </c>
      <c r="D938" t="s">
        <v>3050</v>
      </c>
      <c r="E938" t="s">
        <v>21</v>
      </c>
      <c r="F938" t="s">
        <v>3051</v>
      </c>
    </row>
    <row r="939" spans="1:6" hidden="1" x14ac:dyDescent="0.25">
      <c r="A939" t="s">
        <v>3052</v>
      </c>
      <c r="B939" t="s">
        <v>64</v>
      </c>
      <c r="C939" t="s">
        <v>376</v>
      </c>
      <c r="D939" t="s">
        <v>3053</v>
      </c>
      <c r="E939" t="s">
        <v>21</v>
      </c>
      <c r="F939" t="s">
        <v>3054</v>
      </c>
    </row>
    <row r="940" spans="1:6" hidden="1" x14ac:dyDescent="0.25">
      <c r="A940" t="s">
        <v>3055</v>
      </c>
      <c r="B940" t="s">
        <v>28</v>
      </c>
      <c r="C940" t="s">
        <v>376</v>
      </c>
      <c r="D940" t="s">
        <v>3056</v>
      </c>
      <c r="E940" t="s">
        <v>21</v>
      </c>
      <c r="F940" t="s">
        <v>3057</v>
      </c>
    </row>
    <row r="941" spans="1:6" hidden="1" x14ac:dyDescent="0.25">
      <c r="A941" t="s">
        <v>3058</v>
      </c>
      <c r="B941" t="s">
        <v>492</v>
      </c>
      <c r="C941" t="s">
        <v>376</v>
      </c>
      <c r="D941" t="s">
        <v>3059</v>
      </c>
      <c r="E941" t="s">
        <v>21</v>
      </c>
      <c r="F941" t="s">
        <v>3060</v>
      </c>
    </row>
    <row r="942" spans="1:6" hidden="1" x14ac:dyDescent="0.25">
      <c r="A942" t="s">
        <v>3064</v>
      </c>
      <c r="B942" t="s">
        <v>344</v>
      </c>
      <c r="C942" t="s">
        <v>376</v>
      </c>
      <c r="D942" t="s">
        <v>3065</v>
      </c>
      <c r="E942" t="s">
        <v>21</v>
      </c>
      <c r="F942" t="s">
        <v>3066</v>
      </c>
    </row>
    <row r="943" spans="1:6" hidden="1" x14ac:dyDescent="0.25">
      <c r="A943" t="s">
        <v>3067</v>
      </c>
      <c r="B943" t="s">
        <v>68</v>
      </c>
      <c r="C943" t="s">
        <v>376</v>
      </c>
      <c r="D943" t="s">
        <v>3068</v>
      </c>
      <c r="E943" t="s">
        <v>21</v>
      </c>
      <c r="F943" t="s">
        <v>3069</v>
      </c>
    </row>
    <row r="944" spans="1:6" hidden="1" x14ac:dyDescent="0.25">
      <c r="A944" t="s">
        <v>3070</v>
      </c>
      <c r="B944" t="s">
        <v>421</v>
      </c>
      <c r="C944" t="s">
        <v>376</v>
      </c>
      <c r="D944" t="s">
        <v>3071</v>
      </c>
      <c r="E944" t="s">
        <v>21</v>
      </c>
      <c r="F944" t="s">
        <v>3072</v>
      </c>
    </row>
    <row r="945" spans="1:6" hidden="1" x14ac:dyDescent="0.25">
      <c r="A945" t="s">
        <v>3073</v>
      </c>
      <c r="B945" t="s">
        <v>64</v>
      </c>
      <c r="C945" t="s">
        <v>376</v>
      </c>
      <c r="D945" t="s">
        <v>3074</v>
      </c>
      <c r="E945" t="s">
        <v>21</v>
      </c>
      <c r="F945" t="s">
        <v>3075</v>
      </c>
    </row>
    <row r="946" spans="1:6" hidden="1" x14ac:dyDescent="0.25">
      <c r="A946" t="s">
        <v>3076</v>
      </c>
      <c r="B946" t="s">
        <v>39</v>
      </c>
      <c r="C946" t="s">
        <v>376</v>
      </c>
      <c r="D946" t="s">
        <v>3077</v>
      </c>
      <c r="E946" t="s">
        <v>21</v>
      </c>
      <c r="F946" t="s">
        <v>3078</v>
      </c>
    </row>
    <row r="947" spans="1:6" hidden="1" x14ac:dyDescent="0.25">
      <c r="A947" t="s">
        <v>3079</v>
      </c>
      <c r="B947" t="s">
        <v>132</v>
      </c>
      <c r="C947" t="s">
        <v>376</v>
      </c>
      <c r="D947" t="s">
        <v>3080</v>
      </c>
      <c r="E947" t="s">
        <v>21</v>
      </c>
      <c r="F947" t="s">
        <v>3081</v>
      </c>
    </row>
    <row r="948" spans="1:6" hidden="1" x14ac:dyDescent="0.25">
      <c r="A948" t="s">
        <v>3082</v>
      </c>
      <c r="B948" t="s">
        <v>391</v>
      </c>
      <c r="C948" t="s">
        <v>376</v>
      </c>
      <c r="D948" t="s">
        <v>3083</v>
      </c>
      <c r="E948" t="s">
        <v>21</v>
      </c>
      <c r="F948" t="s">
        <v>3084</v>
      </c>
    </row>
    <row r="949" spans="1:6" hidden="1" x14ac:dyDescent="0.25">
      <c r="A949" t="s">
        <v>3085</v>
      </c>
      <c r="B949" t="s">
        <v>482</v>
      </c>
      <c r="C949" t="s">
        <v>376</v>
      </c>
      <c r="D949" t="s">
        <v>3086</v>
      </c>
      <c r="E949" t="s">
        <v>21</v>
      </c>
      <c r="F949" t="s">
        <v>3087</v>
      </c>
    </row>
    <row r="950" spans="1:6" hidden="1" x14ac:dyDescent="0.25">
      <c r="A950" t="s">
        <v>3088</v>
      </c>
      <c r="B950" t="s">
        <v>383</v>
      </c>
      <c r="C950" t="s">
        <v>384</v>
      </c>
      <c r="D950" t="s">
        <v>3089</v>
      </c>
      <c r="E950" t="s">
        <v>21</v>
      </c>
      <c r="F950" t="s">
        <v>3090</v>
      </c>
    </row>
    <row r="951" spans="1:6" hidden="1" x14ac:dyDescent="0.25">
      <c r="A951" t="s">
        <v>3091</v>
      </c>
      <c r="B951" t="s">
        <v>626</v>
      </c>
      <c r="C951" t="s">
        <v>1140</v>
      </c>
      <c r="D951" t="s">
        <v>3092</v>
      </c>
      <c r="E951" t="s">
        <v>21</v>
      </c>
      <c r="F951" t="s">
        <v>3093</v>
      </c>
    </row>
    <row r="952" spans="1:6" hidden="1" x14ac:dyDescent="0.25">
      <c r="A952" t="s">
        <v>3094</v>
      </c>
      <c r="B952" t="s">
        <v>3095</v>
      </c>
      <c r="C952" t="s">
        <v>376</v>
      </c>
      <c r="D952" t="s">
        <v>3096</v>
      </c>
      <c r="E952" t="s">
        <v>21</v>
      </c>
      <c r="F952" t="s">
        <v>3097</v>
      </c>
    </row>
    <row r="953" spans="1:6" hidden="1" x14ac:dyDescent="0.25">
      <c r="A953" t="s">
        <v>3098</v>
      </c>
      <c r="B953" t="s">
        <v>44</v>
      </c>
      <c r="C953" t="s">
        <v>376</v>
      </c>
      <c r="D953" t="s">
        <v>3099</v>
      </c>
      <c r="E953" t="s">
        <v>21</v>
      </c>
      <c r="F953" t="s">
        <v>3100</v>
      </c>
    </row>
    <row r="954" spans="1:6" hidden="1" x14ac:dyDescent="0.25">
      <c r="A954" t="s">
        <v>3101</v>
      </c>
      <c r="B954" t="s">
        <v>55</v>
      </c>
      <c r="C954" t="s">
        <v>376</v>
      </c>
      <c r="D954" t="s">
        <v>3102</v>
      </c>
      <c r="E954" t="s">
        <v>21</v>
      </c>
      <c r="F954" t="s">
        <v>3103</v>
      </c>
    </row>
    <row r="955" spans="1:6" hidden="1" x14ac:dyDescent="0.25">
      <c r="A955" t="s">
        <v>3104</v>
      </c>
      <c r="B955" t="s">
        <v>626</v>
      </c>
      <c r="C955" t="s">
        <v>627</v>
      </c>
      <c r="D955" t="s">
        <v>3105</v>
      </c>
      <c r="E955" t="s">
        <v>21</v>
      </c>
      <c r="F955" t="s">
        <v>3106</v>
      </c>
    </row>
    <row r="956" spans="1:6" hidden="1" x14ac:dyDescent="0.25">
      <c r="A956" t="s">
        <v>3107</v>
      </c>
      <c r="B956" t="s">
        <v>626</v>
      </c>
      <c r="C956" t="s">
        <v>788</v>
      </c>
      <c r="D956" t="s">
        <v>3108</v>
      </c>
      <c r="E956" t="s">
        <v>21</v>
      </c>
      <c r="F956" t="s">
        <v>3109</v>
      </c>
    </row>
    <row r="957" spans="1:6" hidden="1" x14ac:dyDescent="0.25">
      <c r="A957" t="s">
        <v>126</v>
      </c>
      <c r="B957" t="s">
        <v>128</v>
      </c>
      <c r="C957" t="s">
        <v>376</v>
      </c>
      <c r="D957" t="s">
        <v>127</v>
      </c>
      <c r="E957" t="s">
        <v>21</v>
      </c>
      <c r="F957" t="s">
        <v>129</v>
      </c>
    </row>
    <row r="958" spans="1:6" hidden="1" x14ac:dyDescent="0.25">
      <c r="A958" t="s">
        <v>3110</v>
      </c>
      <c r="B958" t="s">
        <v>1417</v>
      </c>
      <c r="C958" t="s">
        <v>3111</v>
      </c>
      <c r="D958" t="s">
        <v>3112</v>
      </c>
      <c r="E958" t="s">
        <v>21</v>
      </c>
      <c r="F958" t="s">
        <v>3113</v>
      </c>
    </row>
    <row r="959" spans="1:6" hidden="1" x14ac:dyDescent="0.25">
      <c r="A959" t="s">
        <v>3114</v>
      </c>
      <c r="B959" t="s">
        <v>529</v>
      </c>
      <c r="C959" t="s">
        <v>376</v>
      </c>
      <c r="D959" t="s">
        <v>3115</v>
      </c>
      <c r="E959" t="s">
        <v>21</v>
      </c>
      <c r="F959" t="s">
        <v>3116</v>
      </c>
    </row>
    <row r="960" spans="1:6" hidden="1" x14ac:dyDescent="0.25">
      <c r="A960" t="s">
        <v>3117</v>
      </c>
      <c r="B960" t="s">
        <v>124</v>
      </c>
      <c r="C960" t="s">
        <v>376</v>
      </c>
      <c r="D960" t="s">
        <v>3118</v>
      </c>
      <c r="E960" t="s">
        <v>21</v>
      </c>
      <c r="F960" t="s">
        <v>3119</v>
      </c>
    </row>
    <row r="961" spans="1:6" hidden="1" x14ac:dyDescent="0.25">
      <c r="A961" t="s">
        <v>3120</v>
      </c>
      <c r="B961" t="s">
        <v>59</v>
      </c>
      <c r="C961" t="s">
        <v>376</v>
      </c>
      <c r="D961" t="s">
        <v>3121</v>
      </c>
      <c r="E961" t="s">
        <v>21</v>
      </c>
      <c r="F961" t="s">
        <v>3122</v>
      </c>
    </row>
    <row r="962" spans="1:6" hidden="1" x14ac:dyDescent="0.25">
      <c r="A962" t="s">
        <v>3123</v>
      </c>
      <c r="B962" t="s">
        <v>55</v>
      </c>
      <c r="C962" t="s">
        <v>376</v>
      </c>
      <c r="D962" t="s">
        <v>3124</v>
      </c>
      <c r="E962" t="s">
        <v>21</v>
      </c>
      <c r="F962" t="s">
        <v>3125</v>
      </c>
    </row>
    <row r="963" spans="1:6" hidden="1" x14ac:dyDescent="0.25">
      <c r="A963" t="s">
        <v>3126</v>
      </c>
      <c r="B963" t="s">
        <v>626</v>
      </c>
      <c r="C963" t="s">
        <v>788</v>
      </c>
      <c r="D963" t="s">
        <v>3127</v>
      </c>
      <c r="E963" t="s">
        <v>21</v>
      </c>
      <c r="F963" t="s">
        <v>3128</v>
      </c>
    </row>
    <row r="964" spans="1:6" hidden="1" x14ac:dyDescent="0.25">
      <c r="A964" t="s">
        <v>3129</v>
      </c>
      <c r="B964" t="s">
        <v>124</v>
      </c>
      <c r="C964" t="s">
        <v>376</v>
      </c>
      <c r="D964" t="s">
        <v>3130</v>
      </c>
      <c r="E964" t="s">
        <v>21</v>
      </c>
      <c r="F964" t="s">
        <v>3131</v>
      </c>
    </row>
    <row r="965" spans="1:6" x14ac:dyDescent="0.25">
      <c r="A965" t="s">
        <v>231</v>
      </c>
      <c r="B965" t="s">
        <v>460</v>
      </c>
      <c r="C965" t="s">
        <v>461</v>
      </c>
      <c r="D965" t="s">
        <v>232</v>
      </c>
      <c r="E965" t="s">
        <v>21</v>
      </c>
      <c r="F965" t="s">
        <v>233</v>
      </c>
    </row>
    <row r="966" spans="1:6" hidden="1" x14ac:dyDescent="0.25">
      <c r="A966" t="s">
        <v>3132</v>
      </c>
      <c r="B966" t="s">
        <v>128</v>
      </c>
      <c r="C966" t="s">
        <v>376</v>
      </c>
      <c r="D966" t="s">
        <v>3133</v>
      </c>
      <c r="E966" t="s">
        <v>21</v>
      </c>
      <c r="F966" t="s">
        <v>3134</v>
      </c>
    </row>
    <row r="967" spans="1:6" hidden="1" x14ac:dyDescent="0.25">
      <c r="A967" t="s">
        <v>3135</v>
      </c>
      <c r="B967" t="s">
        <v>55</v>
      </c>
      <c r="C967" t="s">
        <v>376</v>
      </c>
      <c r="D967" t="s">
        <v>3136</v>
      </c>
      <c r="E967" t="s">
        <v>21</v>
      </c>
      <c r="F967" t="s">
        <v>3137</v>
      </c>
    </row>
    <row r="968" spans="1:6" hidden="1" x14ac:dyDescent="0.25">
      <c r="A968" t="s">
        <v>170</v>
      </c>
      <c r="B968" t="s">
        <v>457</v>
      </c>
      <c r="C968" t="s">
        <v>376</v>
      </c>
      <c r="D968" t="s">
        <v>171</v>
      </c>
      <c r="E968" t="s">
        <v>21</v>
      </c>
      <c r="F968" t="s">
        <v>173</v>
      </c>
    </row>
    <row r="969" spans="1:6" hidden="1" x14ac:dyDescent="0.25">
      <c r="A969" t="s">
        <v>3138</v>
      </c>
      <c r="B969" t="s">
        <v>2052</v>
      </c>
      <c r="C969" t="s">
        <v>376</v>
      </c>
      <c r="D969" t="s">
        <v>3139</v>
      </c>
      <c r="E969" t="s">
        <v>21</v>
      </c>
      <c r="F969" t="s">
        <v>3140</v>
      </c>
    </row>
    <row r="970" spans="1:6" hidden="1" x14ac:dyDescent="0.25">
      <c r="A970" t="s">
        <v>3141</v>
      </c>
      <c r="B970" t="s">
        <v>143</v>
      </c>
      <c r="C970" t="s">
        <v>376</v>
      </c>
      <c r="D970" t="s">
        <v>3142</v>
      </c>
      <c r="E970" t="s">
        <v>21</v>
      </c>
      <c r="F970" t="s">
        <v>3143</v>
      </c>
    </row>
    <row r="971" spans="1:6" hidden="1" x14ac:dyDescent="0.25">
      <c r="A971" t="s">
        <v>273</v>
      </c>
      <c r="B971" t="s">
        <v>55</v>
      </c>
      <c r="C971" t="s">
        <v>376</v>
      </c>
      <c r="D971" t="s">
        <v>274</v>
      </c>
      <c r="E971" t="s">
        <v>21</v>
      </c>
      <c r="F971" t="s">
        <v>275</v>
      </c>
    </row>
    <row r="972" spans="1:6" hidden="1" x14ac:dyDescent="0.25">
      <c r="A972" t="s">
        <v>3144</v>
      </c>
      <c r="B972" t="s">
        <v>626</v>
      </c>
      <c r="C972" t="s">
        <v>627</v>
      </c>
      <c r="D972" t="s">
        <v>3145</v>
      </c>
      <c r="E972" t="s">
        <v>21</v>
      </c>
      <c r="F972" t="s">
        <v>3146</v>
      </c>
    </row>
    <row r="973" spans="1:6" hidden="1" x14ac:dyDescent="0.25">
      <c r="A973" t="s">
        <v>3147</v>
      </c>
      <c r="B973" t="s">
        <v>78</v>
      </c>
      <c r="C973" t="s">
        <v>469</v>
      </c>
      <c r="D973" t="s">
        <v>3148</v>
      </c>
      <c r="E973" t="s">
        <v>21</v>
      </c>
      <c r="F973" t="s">
        <v>3149</v>
      </c>
    </row>
    <row r="974" spans="1:6" hidden="1" x14ac:dyDescent="0.25">
      <c r="A974" t="s">
        <v>3150</v>
      </c>
      <c r="B974" t="s">
        <v>344</v>
      </c>
      <c r="C974" t="s">
        <v>376</v>
      </c>
      <c r="D974" t="s">
        <v>3151</v>
      </c>
      <c r="E974" t="s">
        <v>21</v>
      </c>
      <c r="F974" t="s">
        <v>3152</v>
      </c>
    </row>
    <row r="975" spans="1:6" hidden="1" x14ac:dyDescent="0.25">
      <c r="A975" t="s">
        <v>3153</v>
      </c>
      <c r="B975" t="s">
        <v>434</v>
      </c>
      <c r="C975" t="s">
        <v>376</v>
      </c>
      <c r="D975" t="s">
        <v>3154</v>
      </c>
      <c r="E975" t="s">
        <v>21</v>
      </c>
      <c r="F975" t="s">
        <v>3155</v>
      </c>
    </row>
    <row r="976" spans="1:6" hidden="1" x14ac:dyDescent="0.25">
      <c r="A976" t="s">
        <v>356</v>
      </c>
      <c r="B976" t="s">
        <v>59</v>
      </c>
      <c r="C976" t="s">
        <v>376</v>
      </c>
      <c r="D976" t="s">
        <v>3156</v>
      </c>
      <c r="E976" t="s">
        <v>21</v>
      </c>
      <c r="F976" t="s">
        <v>3157</v>
      </c>
    </row>
    <row r="977" spans="1:6" hidden="1" x14ac:dyDescent="0.25">
      <c r="A977" t="s">
        <v>3158</v>
      </c>
      <c r="B977" t="s">
        <v>44</v>
      </c>
      <c r="C977" t="s">
        <v>376</v>
      </c>
      <c r="D977" t="s">
        <v>3159</v>
      </c>
      <c r="E977" t="s">
        <v>21</v>
      </c>
      <c r="F977" t="s">
        <v>3160</v>
      </c>
    </row>
    <row r="978" spans="1:6" hidden="1" x14ac:dyDescent="0.25">
      <c r="A978" t="s">
        <v>3161</v>
      </c>
      <c r="B978" t="s">
        <v>383</v>
      </c>
      <c r="C978" t="s">
        <v>384</v>
      </c>
      <c r="D978" t="s">
        <v>3162</v>
      </c>
      <c r="E978" t="s">
        <v>21</v>
      </c>
      <c r="F978" t="s">
        <v>3163</v>
      </c>
    </row>
    <row r="979" spans="1:6" hidden="1" x14ac:dyDescent="0.25">
      <c r="A979" t="s">
        <v>3164</v>
      </c>
      <c r="B979" t="s">
        <v>591</v>
      </c>
      <c r="C979" t="s">
        <v>469</v>
      </c>
      <c r="D979" t="s">
        <v>3165</v>
      </c>
      <c r="E979" t="s">
        <v>21</v>
      </c>
      <c r="F979" t="s">
        <v>3166</v>
      </c>
    </row>
    <row r="980" spans="1:6" hidden="1" x14ac:dyDescent="0.25">
      <c r="A980" t="s">
        <v>3167</v>
      </c>
      <c r="B980" t="s">
        <v>256</v>
      </c>
      <c r="C980" t="s">
        <v>469</v>
      </c>
      <c r="D980" t="s">
        <v>3168</v>
      </c>
      <c r="E980" t="s">
        <v>21</v>
      </c>
      <c r="F980" t="s">
        <v>3169</v>
      </c>
    </row>
    <row r="981" spans="1:6" hidden="1" x14ac:dyDescent="0.25">
      <c r="A981" t="s">
        <v>3170</v>
      </c>
      <c r="B981" t="s">
        <v>245</v>
      </c>
      <c r="C981" t="s">
        <v>376</v>
      </c>
      <c r="D981" t="s">
        <v>3171</v>
      </c>
      <c r="E981" t="s">
        <v>21</v>
      </c>
      <c r="F981" t="s">
        <v>3172</v>
      </c>
    </row>
    <row r="982" spans="1:6" hidden="1" x14ac:dyDescent="0.25">
      <c r="A982" t="s">
        <v>3173</v>
      </c>
      <c r="B982" t="s">
        <v>28</v>
      </c>
      <c r="C982" t="s">
        <v>376</v>
      </c>
      <c r="D982" t="s">
        <v>3174</v>
      </c>
      <c r="E982" t="s">
        <v>21</v>
      </c>
      <c r="F982" t="s">
        <v>3175</v>
      </c>
    </row>
    <row r="983" spans="1:6" hidden="1" x14ac:dyDescent="0.25">
      <c r="A983" t="s">
        <v>3176</v>
      </c>
      <c r="B983" t="s">
        <v>59</v>
      </c>
      <c r="C983" t="s">
        <v>376</v>
      </c>
      <c r="D983" t="s">
        <v>3177</v>
      </c>
      <c r="E983" t="s">
        <v>21</v>
      </c>
      <c r="F983" t="s">
        <v>3178</v>
      </c>
    </row>
    <row r="984" spans="1:6" hidden="1" x14ac:dyDescent="0.25">
      <c r="A984" t="s">
        <v>3179</v>
      </c>
      <c r="B984" t="s">
        <v>124</v>
      </c>
      <c r="C984" t="s">
        <v>376</v>
      </c>
      <c r="D984" t="s">
        <v>3180</v>
      </c>
      <c r="E984" t="s">
        <v>21</v>
      </c>
      <c r="F984" t="s">
        <v>3181</v>
      </c>
    </row>
    <row r="985" spans="1:6" hidden="1" x14ac:dyDescent="0.25">
      <c r="A985" t="s">
        <v>3182</v>
      </c>
      <c r="B985" t="s">
        <v>15</v>
      </c>
      <c r="C985" t="s">
        <v>376</v>
      </c>
      <c r="D985" t="s">
        <v>3183</v>
      </c>
      <c r="E985" t="s">
        <v>21</v>
      </c>
      <c r="F985" t="s">
        <v>3184</v>
      </c>
    </row>
    <row r="986" spans="1:6" hidden="1" x14ac:dyDescent="0.25">
      <c r="A986" t="s">
        <v>3185</v>
      </c>
      <c r="B986" t="s">
        <v>841</v>
      </c>
      <c r="C986" t="s">
        <v>376</v>
      </c>
      <c r="D986" t="s">
        <v>3186</v>
      </c>
      <c r="E986" t="s">
        <v>21</v>
      </c>
      <c r="F986" t="s">
        <v>3187</v>
      </c>
    </row>
    <row r="987" spans="1:6" hidden="1" x14ac:dyDescent="0.25">
      <c r="A987" t="s">
        <v>17</v>
      </c>
      <c r="B987" t="s">
        <v>28</v>
      </c>
      <c r="C987" t="s">
        <v>376</v>
      </c>
      <c r="D987" t="s">
        <v>18</v>
      </c>
      <c r="E987" t="s">
        <v>21</v>
      </c>
      <c r="F987" t="s">
        <v>20</v>
      </c>
    </row>
    <row r="988" spans="1:6" hidden="1" x14ac:dyDescent="0.25">
      <c r="A988" t="s">
        <v>3188</v>
      </c>
      <c r="B988" t="s">
        <v>634</v>
      </c>
      <c r="C988" t="s">
        <v>376</v>
      </c>
      <c r="D988" t="s">
        <v>3189</v>
      </c>
      <c r="E988" t="s">
        <v>21</v>
      </c>
      <c r="F988" t="s">
        <v>3190</v>
      </c>
    </row>
    <row r="989" spans="1:6" hidden="1" x14ac:dyDescent="0.25">
      <c r="A989" t="s">
        <v>3191</v>
      </c>
      <c r="B989" t="s">
        <v>78</v>
      </c>
      <c r="C989" t="s">
        <v>376</v>
      </c>
      <c r="D989" t="s">
        <v>3192</v>
      </c>
      <c r="E989" t="s">
        <v>21</v>
      </c>
      <c r="F989" t="s">
        <v>3193</v>
      </c>
    </row>
    <row r="990" spans="1:6" hidden="1" x14ac:dyDescent="0.25">
      <c r="A990" t="s">
        <v>3194</v>
      </c>
      <c r="B990" t="s">
        <v>482</v>
      </c>
      <c r="C990" t="s">
        <v>376</v>
      </c>
      <c r="D990" t="s">
        <v>3195</v>
      </c>
      <c r="E990" t="s">
        <v>21</v>
      </c>
      <c r="F990" t="s">
        <v>3196</v>
      </c>
    </row>
    <row r="991" spans="1:6" hidden="1" x14ac:dyDescent="0.25">
      <c r="A991" t="s">
        <v>3197</v>
      </c>
      <c r="B991" t="s">
        <v>2411</v>
      </c>
      <c r="C991" t="s">
        <v>376</v>
      </c>
      <c r="D991" t="s">
        <v>3198</v>
      </c>
      <c r="E991" t="s">
        <v>21</v>
      </c>
      <c r="F991" t="s">
        <v>3199</v>
      </c>
    </row>
    <row r="992" spans="1:6" hidden="1" x14ac:dyDescent="0.25">
      <c r="A992" t="s">
        <v>3200</v>
      </c>
      <c r="B992" t="s">
        <v>591</v>
      </c>
      <c r="C992" t="s">
        <v>1530</v>
      </c>
      <c r="D992" t="s">
        <v>3201</v>
      </c>
      <c r="E992" t="s">
        <v>21</v>
      </c>
      <c r="F992" t="s">
        <v>3202</v>
      </c>
    </row>
    <row r="993" spans="1:6" hidden="1" x14ac:dyDescent="0.25">
      <c r="A993" t="s">
        <v>3203</v>
      </c>
      <c r="B993" t="s">
        <v>626</v>
      </c>
      <c r="C993" t="s">
        <v>788</v>
      </c>
      <c r="D993" t="s">
        <v>3204</v>
      </c>
      <c r="E993" t="s">
        <v>21</v>
      </c>
      <c r="F993" t="s">
        <v>3205</v>
      </c>
    </row>
    <row r="994" spans="1:6" hidden="1" x14ac:dyDescent="0.25">
      <c r="A994" t="s">
        <v>3206</v>
      </c>
      <c r="B994" t="s">
        <v>28</v>
      </c>
      <c r="C994" t="s">
        <v>376</v>
      </c>
      <c r="D994" t="s">
        <v>3207</v>
      </c>
      <c r="E994" t="s">
        <v>21</v>
      </c>
      <c r="F994" t="s">
        <v>3208</v>
      </c>
    </row>
    <row r="995" spans="1:6" hidden="1" x14ac:dyDescent="0.25">
      <c r="A995" t="s">
        <v>3209</v>
      </c>
      <c r="B995" t="s">
        <v>626</v>
      </c>
      <c r="C995" t="s">
        <v>788</v>
      </c>
      <c r="D995" t="s">
        <v>3210</v>
      </c>
      <c r="E995" t="s">
        <v>21</v>
      </c>
      <c r="F995" t="s">
        <v>3211</v>
      </c>
    </row>
    <row r="996" spans="1:6" hidden="1" x14ac:dyDescent="0.25">
      <c r="A996" t="s">
        <v>3212</v>
      </c>
      <c r="B996" t="s">
        <v>176</v>
      </c>
      <c r="C996" t="s">
        <v>376</v>
      </c>
      <c r="D996" t="s">
        <v>3213</v>
      </c>
      <c r="E996" t="s">
        <v>21</v>
      </c>
      <c r="F996" t="s">
        <v>3214</v>
      </c>
    </row>
    <row r="997" spans="1:6" hidden="1" x14ac:dyDescent="0.25">
      <c r="A997" t="s">
        <v>3215</v>
      </c>
      <c r="B997" t="s">
        <v>1430</v>
      </c>
      <c r="C997" t="s">
        <v>376</v>
      </c>
      <c r="D997" t="s">
        <v>3216</v>
      </c>
      <c r="E997" t="s">
        <v>21</v>
      </c>
      <c r="F997" t="s">
        <v>3217</v>
      </c>
    </row>
    <row r="998" spans="1:6" hidden="1" x14ac:dyDescent="0.25">
      <c r="A998" t="s">
        <v>3218</v>
      </c>
      <c r="B998" t="s">
        <v>492</v>
      </c>
      <c r="C998" t="s">
        <v>376</v>
      </c>
      <c r="D998" t="s">
        <v>3219</v>
      </c>
      <c r="E998" t="s">
        <v>21</v>
      </c>
      <c r="F998" t="s">
        <v>3220</v>
      </c>
    </row>
    <row r="999" spans="1:6" hidden="1" x14ac:dyDescent="0.25">
      <c r="A999" t="s">
        <v>3221</v>
      </c>
      <c r="B999" t="s">
        <v>39</v>
      </c>
      <c r="C999" t="s">
        <v>376</v>
      </c>
      <c r="D999" t="s">
        <v>3222</v>
      </c>
      <c r="E999" t="s">
        <v>21</v>
      </c>
      <c r="F999" t="s">
        <v>3223</v>
      </c>
    </row>
    <row r="1000" spans="1:6" hidden="1" x14ac:dyDescent="0.25">
      <c r="A1000" t="s">
        <v>3224</v>
      </c>
      <c r="B1000" t="s">
        <v>55</v>
      </c>
      <c r="C1000" t="s">
        <v>376</v>
      </c>
      <c r="D1000" t="s">
        <v>3225</v>
      </c>
      <c r="E1000" t="s">
        <v>21</v>
      </c>
      <c r="F1000" t="s">
        <v>3226</v>
      </c>
    </row>
    <row r="1001" spans="1:6" hidden="1" x14ac:dyDescent="0.25">
      <c r="A1001" t="s">
        <v>3227</v>
      </c>
      <c r="B1001" t="s">
        <v>344</v>
      </c>
      <c r="C1001" t="s">
        <v>376</v>
      </c>
      <c r="D1001" t="s">
        <v>3228</v>
      </c>
      <c r="E1001" t="s">
        <v>21</v>
      </c>
      <c r="F1001" t="s">
        <v>3229</v>
      </c>
    </row>
    <row r="1002" spans="1:6" hidden="1" x14ac:dyDescent="0.25">
      <c r="A1002" t="s">
        <v>3230</v>
      </c>
      <c r="B1002" t="s">
        <v>529</v>
      </c>
      <c r="C1002" t="s">
        <v>376</v>
      </c>
      <c r="D1002" t="s">
        <v>3231</v>
      </c>
      <c r="E1002" t="s">
        <v>21</v>
      </c>
      <c r="F1002" t="s">
        <v>3232</v>
      </c>
    </row>
    <row r="1003" spans="1:6" hidden="1" x14ac:dyDescent="0.25">
      <c r="A1003" t="s">
        <v>3233</v>
      </c>
      <c r="B1003" t="s">
        <v>1754</v>
      </c>
      <c r="C1003" t="s">
        <v>376</v>
      </c>
      <c r="D1003" t="s">
        <v>3234</v>
      </c>
      <c r="E1003" t="s">
        <v>21</v>
      </c>
      <c r="F1003" t="s">
        <v>3235</v>
      </c>
    </row>
    <row r="1004" spans="1:6" hidden="1" x14ac:dyDescent="0.25">
      <c r="A1004" t="s">
        <v>3236</v>
      </c>
      <c r="B1004" t="s">
        <v>626</v>
      </c>
      <c r="C1004" t="s">
        <v>788</v>
      </c>
      <c r="D1004" t="s">
        <v>3237</v>
      </c>
      <c r="E1004" t="s">
        <v>21</v>
      </c>
      <c r="F1004" t="s">
        <v>3238</v>
      </c>
    </row>
    <row r="1005" spans="1:6" hidden="1" x14ac:dyDescent="0.25">
      <c r="A1005" t="s">
        <v>3239</v>
      </c>
      <c r="B1005" t="s">
        <v>15</v>
      </c>
      <c r="C1005" t="s">
        <v>376</v>
      </c>
      <c r="D1005" t="s">
        <v>3240</v>
      </c>
      <c r="E1005" t="s">
        <v>21</v>
      </c>
      <c r="F1005" t="s">
        <v>3241</v>
      </c>
    </row>
    <row r="1006" spans="1:6" hidden="1" x14ac:dyDescent="0.25">
      <c r="A1006" t="s">
        <v>3242</v>
      </c>
      <c r="B1006" t="s">
        <v>51</v>
      </c>
      <c r="C1006" t="s">
        <v>376</v>
      </c>
      <c r="D1006" t="s">
        <v>3243</v>
      </c>
      <c r="E1006" t="s">
        <v>21</v>
      </c>
      <c r="F1006" t="s">
        <v>3244</v>
      </c>
    </row>
    <row r="1007" spans="1:6" hidden="1" x14ac:dyDescent="0.25">
      <c r="A1007" t="s">
        <v>3245</v>
      </c>
      <c r="B1007" t="s">
        <v>28</v>
      </c>
      <c r="C1007" t="s">
        <v>376</v>
      </c>
      <c r="D1007" t="s">
        <v>3246</v>
      </c>
      <c r="E1007" t="s">
        <v>21</v>
      </c>
      <c r="F1007" t="s">
        <v>3247</v>
      </c>
    </row>
    <row r="1008" spans="1:6" hidden="1" x14ac:dyDescent="0.25">
      <c r="A1008" t="s">
        <v>3248</v>
      </c>
      <c r="B1008" t="s">
        <v>55</v>
      </c>
      <c r="C1008" t="s">
        <v>376</v>
      </c>
      <c r="D1008" t="s">
        <v>3249</v>
      </c>
      <c r="E1008" t="s">
        <v>21</v>
      </c>
      <c r="F1008" t="s">
        <v>3250</v>
      </c>
    </row>
    <row r="1009" spans="1:6" hidden="1" x14ac:dyDescent="0.25">
      <c r="A1009" t="s">
        <v>3251</v>
      </c>
      <c r="B1009" t="s">
        <v>591</v>
      </c>
      <c r="C1009" t="s">
        <v>3252</v>
      </c>
      <c r="D1009" t="s">
        <v>3253</v>
      </c>
      <c r="E1009" t="s">
        <v>21</v>
      </c>
      <c r="F1009" t="s">
        <v>3254</v>
      </c>
    </row>
    <row r="1010" spans="1:6" hidden="1" x14ac:dyDescent="0.25">
      <c r="A1010" t="s">
        <v>3255</v>
      </c>
      <c r="B1010" t="s">
        <v>64</v>
      </c>
      <c r="C1010" t="s">
        <v>376</v>
      </c>
      <c r="D1010" t="s">
        <v>3256</v>
      </c>
      <c r="E1010" t="s">
        <v>21</v>
      </c>
      <c r="F1010" t="s">
        <v>3257</v>
      </c>
    </row>
    <row r="1011" spans="1:6" hidden="1" x14ac:dyDescent="0.25">
      <c r="A1011" t="s">
        <v>3258</v>
      </c>
      <c r="B1011" t="s">
        <v>55</v>
      </c>
      <c r="C1011" t="s">
        <v>376</v>
      </c>
      <c r="D1011" t="s">
        <v>3259</v>
      </c>
      <c r="E1011" t="s">
        <v>21</v>
      </c>
      <c r="F1011" t="s">
        <v>3260</v>
      </c>
    </row>
    <row r="1012" spans="1:6" hidden="1" x14ac:dyDescent="0.25">
      <c r="A1012" t="s">
        <v>3261</v>
      </c>
      <c r="B1012" t="s">
        <v>39</v>
      </c>
      <c r="C1012" t="s">
        <v>376</v>
      </c>
      <c r="D1012" t="s">
        <v>3262</v>
      </c>
      <c r="E1012" t="s">
        <v>21</v>
      </c>
      <c r="F1012" t="s">
        <v>3263</v>
      </c>
    </row>
    <row r="1013" spans="1:6" hidden="1" x14ac:dyDescent="0.25">
      <c r="A1013" t="s">
        <v>3264</v>
      </c>
      <c r="B1013" t="s">
        <v>3265</v>
      </c>
      <c r="C1013" t="s">
        <v>376</v>
      </c>
      <c r="D1013" t="s">
        <v>3266</v>
      </c>
      <c r="E1013" t="s">
        <v>21</v>
      </c>
      <c r="F1013" t="s">
        <v>3267</v>
      </c>
    </row>
    <row r="1014" spans="1:6" hidden="1" x14ac:dyDescent="0.25">
      <c r="A1014" t="s">
        <v>3268</v>
      </c>
      <c r="B1014" t="s">
        <v>55</v>
      </c>
      <c r="C1014" t="s">
        <v>376</v>
      </c>
      <c r="D1014" t="s">
        <v>3269</v>
      </c>
      <c r="E1014" t="s">
        <v>21</v>
      </c>
      <c r="F1014" t="s">
        <v>3270</v>
      </c>
    </row>
    <row r="1015" spans="1:6" hidden="1" x14ac:dyDescent="0.25">
      <c r="A1015" t="s">
        <v>3271</v>
      </c>
      <c r="B1015" t="s">
        <v>529</v>
      </c>
      <c r="C1015" t="s">
        <v>376</v>
      </c>
      <c r="D1015" t="s">
        <v>3272</v>
      </c>
      <c r="E1015" t="s">
        <v>21</v>
      </c>
      <c r="F1015" t="s">
        <v>3273</v>
      </c>
    </row>
    <row r="1016" spans="1:6" hidden="1" x14ac:dyDescent="0.25">
      <c r="A1016" t="s">
        <v>141</v>
      </c>
      <c r="B1016" t="s">
        <v>143</v>
      </c>
      <c r="C1016" t="s">
        <v>376</v>
      </c>
      <c r="D1016" t="s">
        <v>142</v>
      </c>
      <c r="E1016" t="s">
        <v>21</v>
      </c>
      <c r="F1016" t="s">
        <v>144</v>
      </c>
    </row>
    <row r="1017" spans="1:6" hidden="1" x14ac:dyDescent="0.25">
      <c r="A1017" t="s">
        <v>3274</v>
      </c>
      <c r="B1017" t="s">
        <v>634</v>
      </c>
      <c r="C1017" t="s">
        <v>376</v>
      </c>
      <c r="D1017" t="s">
        <v>3275</v>
      </c>
      <c r="E1017" t="s">
        <v>21</v>
      </c>
      <c r="F1017" t="s">
        <v>3276</v>
      </c>
    </row>
    <row r="1018" spans="1:6" hidden="1" x14ac:dyDescent="0.25">
      <c r="A1018" t="s">
        <v>3277</v>
      </c>
      <c r="B1018" t="s">
        <v>256</v>
      </c>
      <c r="C1018" t="s">
        <v>376</v>
      </c>
      <c r="D1018" t="s">
        <v>3278</v>
      </c>
      <c r="E1018" t="s">
        <v>21</v>
      </c>
      <c r="F1018" t="s">
        <v>3279</v>
      </c>
    </row>
    <row r="1019" spans="1:6" hidden="1" x14ac:dyDescent="0.25">
      <c r="A1019" t="s">
        <v>254</v>
      </c>
      <c r="B1019" t="s">
        <v>256</v>
      </c>
      <c r="C1019" t="s">
        <v>376</v>
      </c>
      <c r="D1019" t="s">
        <v>255</v>
      </c>
      <c r="E1019" t="s">
        <v>21</v>
      </c>
      <c r="F1019" t="s">
        <v>259</v>
      </c>
    </row>
    <row r="1020" spans="1:6" hidden="1" x14ac:dyDescent="0.25">
      <c r="A1020" t="s">
        <v>3280</v>
      </c>
      <c r="B1020" t="s">
        <v>51</v>
      </c>
      <c r="C1020" t="s">
        <v>376</v>
      </c>
      <c r="D1020" t="s">
        <v>3281</v>
      </c>
      <c r="E1020" t="s">
        <v>21</v>
      </c>
      <c r="F1020" t="s">
        <v>3282</v>
      </c>
    </row>
    <row r="1021" spans="1:6" hidden="1" x14ac:dyDescent="0.25">
      <c r="A1021" t="s">
        <v>216</v>
      </c>
      <c r="B1021" t="s">
        <v>59</v>
      </c>
      <c r="C1021" t="s">
        <v>376</v>
      </c>
      <c r="D1021" t="s">
        <v>217</v>
      </c>
      <c r="E1021" t="s">
        <v>21</v>
      </c>
      <c r="F1021" t="s">
        <v>218</v>
      </c>
    </row>
    <row r="1022" spans="1:6" hidden="1" x14ac:dyDescent="0.25">
      <c r="A1022" t="s">
        <v>3283</v>
      </c>
      <c r="B1022" t="s">
        <v>55</v>
      </c>
      <c r="C1022" t="s">
        <v>376</v>
      </c>
      <c r="D1022" t="s">
        <v>3284</v>
      </c>
      <c r="E1022" t="s">
        <v>21</v>
      </c>
      <c r="F1022" t="s">
        <v>3285</v>
      </c>
    </row>
    <row r="1023" spans="1:6" hidden="1" x14ac:dyDescent="0.25">
      <c r="A1023" t="s">
        <v>3286</v>
      </c>
      <c r="B1023" t="s">
        <v>344</v>
      </c>
      <c r="C1023" t="s">
        <v>376</v>
      </c>
      <c r="D1023" t="s">
        <v>3287</v>
      </c>
      <c r="E1023" t="s">
        <v>21</v>
      </c>
      <c r="F1023" t="s">
        <v>3288</v>
      </c>
    </row>
    <row r="1024" spans="1:6" hidden="1" x14ac:dyDescent="0.25">
      <c r="A1024" t="s">
        <v>3289</v>
      </c>
      <c r="B1024" t="s">
        <v>28</v>
      </c>
      <c r="C1024" t="s">
        <v>376</v>
      </c>
      <c r="D1024" t="s">
        <v>3290</v>
      </c>
      <c r="E1024" t="s">
        <v>21</v>
      </c>
      <c r="F1024" t="s">
        <v>3291</v>
      </c>
    </row>
    <row r="1025" spans="1:6" hidden="1" x14ac:dyDescent="0.25">
      <c r="A1025" t="s">
        <v>3292</v>
      </c>
      <c r="B1025" t="s">
        <v>124</v>
      </c>
      <c r="C1025" t="s">
        <v>376</v>
      </c>
      <c r="D1025" t="s">
        <v>3293</v>
      </c>
      <c r="E1025" t="s">
        <v>21</v>
      </c>
      <c r="F1025" t="s">
        <v>3294</v>
      </c>
    </row>
    <row r="1026" spans="1:6" hidden="1" x14ac:dyDescent="0.25">
      <c r="A1026" t="s">
        <v>3295</v>
      </c>
      <c r="B1026" t="s">
        <v>529</v>
      </c>
      <c r="C1026" t="s">
        <v>469</v>
      </c>
      <c r="D1026" t="s">
        <v>3296</v>
      </c>
      <c r="E1026" t="s">
        <v>21</v>
      </c>
      <c r="F1026" t="s">
        <v>3297</v>
      </c>
    </row>
    <row r="1027" spans="1:6" hidden="1" x14ac:dyDescent="0.25">
      <c r="A1027" t="s">
        <v>3298</v>
      </c>
      <c r="B1027" t="s">
        <v>1240</v>
      </c>
      <c r="C1027" t="s">
        <v>3299</v>
      </c>
      <c r="D1027" t="s">
        <v>3300</v>
      </c>
      <c r="E1027" t="s">
        <v>21</v>
      </c>
      <c r="F1027" t="s">
        <v>3301</v>
      </c>
    </row>
    <row r="1028" spans="1:6" hidden="1" x14ac:dyDescent="0.25">
      <c r="A1028" t="s">
        <v>22</v>
      </c>
      <c r="B1028" t="s">
        <v>421</v>
      </c>
      <c r="C1028" t="s">
        <v>376</v>
      </c>
      <c r="D1028" t="s">
        <v>23</v>
      </c>
      <c r="E1028" t="s">
        <v>21</v>
      </c>
      <c r="F1028" t="s">
        <v>25</v>
      </c>
    </row>
    <row r="1029" spans="1:6" hidden="1" x14ac:dyDescent="0.25">
      <c r="A1029" t="s">
        <v>3302</v>
      </c>
      <c r="B1029" t="s">
        <v>256</v>
      </c>
      <c r="C1029" t="s">
        <v>376</v>
      </c>
      <c r="D1029" t="s">
        <v>3303</v>
      </c>
      <c r="E1029" t="s">
        <v>21</v>
      </c>
      <c r="F1029" t="s">
        <v>3304</v>
      </c>
    </row>
    <row r="1030" spans="1:6" hidden="1" x14ac:dyDescent="0.25">
      <c r="A1030" t="s">
        <v>3305</v>
      </c>
      <c r="B1030" t="s">
        <v>132</v>
      </c>
      <c r="C1030" t="s">
        <v>376</v>
      </c>
      <c r="D1030" t="s">
        <v>3306</v>
      </c>
      <c r="E1030" t="s">
        <v>21</v>
      </c>
      <c r="F1030" t="s">
        <v>3307</v>
      </c>
    </row>
    <row r="1031" spans="1:6" hidden="1" x14ac:dyDescent="0.25">
      <c r="A1031" t="s">
        <v>3308</v>
      </c>
      <c r="B1031" t="s">
        <v>626</v>
      </c>
      <c r="C1031" t="s">
        <v>627</v>
      </c>
      <c r="D1031" t="s">
        <v>3309</v>
      </c>
      <c r="E1031" t="s">
        <v>21</v>
      </c>
      <c r="F1031" t="s">
        <v>3310</v>
      </c>
    </row>
    <row r="1032" spans="1:6" hidden="1" x14ac:dyDescent="0.25">
      <c r="A1032" t="s">
        <v>3311</v>
      </c>
      <c r="B1032" t="s">
        <v>162</v>
      </c>
      <c r="C1032" t="s">
        <v>376</v>
      </c>
      <c r="D1032" t="s">
        <v>3312</v>
      </c>
      <c r="E1032" t="s">
        <v>21</v>
      </c>
      <c r="F1032" t="s">
        <v>3313</v>
      </c>
    </row>
    <row r="1033" spans="1:6" hidden="1" x14ac:dyDescent="0.25">
      <c r="A1033" t="s">
        <v>3314</v>
      </c>
      <c r="B1033" t="s">
        <v>482</v>
      </c>
      <c r="C1033" t="s">
        <v>376</v>
      </c>
      <c r="D1033" t="s">
        <v>3315</v>
      </c>
      <c r="E1033" t="s">
        <v>21</v>
      </c>
      <c r="F1033" t="s">
        <v>3316</v>
      </c>
    </row>
    <row r="1034" spans="1:6" hidden="1" x14ac:dyDescent="0.25">
      <c r="A1034" t="s">
        <v>3317</v>
      </c>
      <c r="B1034" t="s">
        <v>272</v>
      </c>
      <c r="C1034" t="s">
        <v>666</v>
      </c>
      <c r="D1034" t="s">
        <v>3318</v>
      </c>
      <c r="E1034" t="s">
        <v>21</v>
      </c>
      <c r="F1034" t="s">
        <v>3319</v>
      </c>
    </row>
    <row r="1035" spans="1:6" hidden="1" x14ac:dyDescent="0.25">
      <c r="A1035" t="s">
        <v>3320</v>
      </c>
      <c r="B1035" t="s">
        <v>132</v>
      </c>
      <c r="C1035" t="s">
        <v>376</v>
      </c>
      <c r="D1035" t="s">
        <v>3321</v>
      </c>
      <c r="E1035" t="s">
        <v>21</v>
      </c>
      <c r="F1035" t="s">
        <v>3322</v>
      </c>
    </row>
    <row r="1036" spans="1:6" hidden="1" x14ac:dyDescent="0.25">
      <c r="A1036" t="s">
        <v>3323</v>
      </c>
      <c r="B1036" t="s">
        <v>626</v>
      </c>
      <c r="C1036" t="s">
        <v>788</v>
      </c>
      <c r="D1036" t="s">
        <v>3324</v>
      </c>
      <c r="E1036" t="s">
        <v>21</v>
      </c>
      <c r="F1036" t="s">
        <v>3325</v>
      </c>
    </row>
    <row r="1037" spans="1:6" hidden="1" x14ac:dyDescent="0.25">
      <c r="A1037" t="s">
        <v>3326</v>
      </c>
      <c r="B1037" t="s">
        <v>626</v>
      </c>
      <c r="C1037" t="s">
        <v>788</v>
      </c>
      <c r="D1037" t="s">
        <v>3327</v>
      </c>
      <c r="E1037" t="s">
        <v>21</v>
      </c>
      <c r="F1037" t="s">
        <v>3328</v>
      </c>
    </row>
    <row r="1038" spans="1:6" hidden="1" x14ac:dyDescent="0.25">
      <c r="A1038" t="s">
        <v>3329</v>
      </c>
      <c r="B1038" t="s">
        <v>51</v>
      </c>
      <c r="C1038" t="s">
        <v>376</v>
      </c>
      <c r="D1038" t="s">
        <v>3330</v>
      </c>
      <c r="E1038" t="s">
        <v>21</v>
      </c>
      <c r="F1038" t="s">
        <v>3331</v>
      </c>
    </row>
    <row r="1039" spans="1:6" hidden="1" x14ac:dyDescent="0.25">
      <c r="A1039" t="s">
        <v>3332</v>
      </c>
      <c r="B1039" t="s">
        <v>482</v>
      </c>
      <c r="C1039" t="s">
        <v>376</v>
      </c>
      <c r="D1039" t="s">
        <v>3333</v>
      </c>
      <c r="E1039" t="s">
        <v>21</v>
      </c>
      <c r="F1039" t="s">
        <v>3334</v>
      </c>
    </row>
    <row r="1040" spans="1:6" hidden="1" x14ac:dyDescent="0.25">
      <c r="A1040" t="s">
        <v>3335</v>
      </c>
      <c r="B1040" t="s">
        <v>44</v>
      </c>
      <c r="C1040" t="s">
        <v>376</v>
      </c>
      <c r="D1040" t="s">
        <v>3336</v>
      </c>
      <c r="E1040" t="s">
        <v>21</v>
      </c>
      <c r="F1040" t="s">
        <v>3337</v>
      </c>
    </row>
    <row r="1041" spans="1:6" hidden="1" x14ac:dyDescent="0.25">
      <c r="A1041" t="s">
        <v>3338</v>
      </c>
      <c r="B1041" t="s">
        <v>55</v>
      </c>
      <c r="C1041" t="s">
        <v>376</v>
      </c>
      <c r="D1041" t="s">
        <v>3339</v>
      </c>
      <c r="E1041" t="s">
        <v>21</v>
      </c>
      <c r="F1041" t="s">
        <v>3340</v>
      </c>
    </row>
    <row r="1042" spans="1:6" hidden="1" x14ac:dyDescent="0.25">
      <c r="A1042" t="s">
        <v>3341</v>
      </c>
      <c r="B1042" t="s">
        <v>256</v>
      </c>
      <c r="C1042" t="s">
        <v>376</v>
      </c>
      <c r="D1042" t="s">
        <v>3342</v>
      </c>
      <c r="E1042" t="s">
        <v>21</v>
      </c>
      <c r="F1042" t="s">
        <v>3343</v>
      </c>
    </row>
    <row r="1043" spans="1:6" hidden="1" x14ac:dyDescent="0.25">
      <c r="A1043" t="s">
        <v>358</v>
      </c>
      <c r="B1043" t="s">
        <v>28</v>
      </c>
      <c r="C1043" t="s">
        <v>376</v>
      </c>
      <c r="D1043" t="s">
        <v>3344</v>
      </c>
      <c r="E1043" t="s">
        <v>21</v>
      </c>
      <c r="F1043" t="s">
        <v>3345</v>
      </c>
    </row>
    <row r="1044" spans="1:6" hidden="1" x14ac:dyDescent="0.25">
      <c r="A1044" t="s">
        <v>3346</v>
      </c>
      <c r="B1044" t="s">
        <v>626</v>
      </c>
      <c r="C1044" t="s">
        <v>1053</v>
      </c>
      <c r="D1044" t="s">
        <v>3347</v>
      </c>
      <c r="E1044" t="s">
        <v>21</v>
      </c>
      <c r="F1044" t="s">
        <v>3348</v>
      </c>
    </row>
    <row r="1045" spans="1:6" hidden="1" x14ac:dyDescent="0.25">
      <c r="A1045" t="s">
        <v>3349</v>
      </c>
      <c r="B1045" t="s">
        <v>162</v>
      </c>
      <c r="C1045" t="s">
        <v>376</v>
      </c>
      <c r="D1045" t="s">
        <v>3350</v>
      </c>
      <c r="E1045" t="s">
        <v>21</v>
      </c>
      <c r="F1045" t="s">
        <v>3351</v>
      </c>
    </row>
    <row r="1046" spans="1:6" hidden="1" x14ac:dyDescent="0.25">
      <c r="A1046" t="s">
        <v>3352</v>
      </c>
      <c r="B1046" t="s">
        <v>256</v>
      </c>
      <c r="C1046" t="s">
        <v>376</v>
      </c>
      <c r="D1046" t="s">
        <v>3353</v>
      </c>
      <c r="E1046" t="s">
        <v>21</v>
      </c>
      <c r="F1046" t="s">
        <v>3354</v>
      </c>
    </row>
    <row r="1047" spans="1:6" hidden="1" x14ac:dyDescent="0.25">
      <c r="A1047" t="s">
        <v>177</v>
      </c>
      <c r="B1047" t="s">
        <v>55</v>
      </c>
      <c r="C1047" t="s">
        <v>376</v>
      </c>
      <c r="D1047" t="s">
        <v>178</v>
      </c>
      <c r="E1047" t="s">
        <v>21</v>
      </c>
      <c r="F1047" t="s">
        <v>180</v>
      </c>
    </row>
    <row r="1048" spans="1:6" hidden="1" x14ac:dyDescent="0.25">
      <c r="A1048" t="s">
        <v>3355</v>
      </c>
      <c r="B1048" t="s">
        <v>272</v>
      </c>
      <c r="C1048" t="s">
        <v>376</v>
      </c>
      <c r="D1048" t="s">
        <v>3356</v>
      </c>
      <c r="E1048" t="s">
        <v>21</v>
      </c>
      <c r="F1048" t="s">
        <v>3357</v>
      </c>
    </row>
    <row r="1049" spans="1:6" hidden="1" x14ac:dyDescent="0.25">
      <c r="A1049" t="s">
        <v>3358</v>
      </c>
      <c r="B1049" t="s">
        <v>143</v>
      </c>
      <c r="C1049" t="s">
        <v>376</v>
      </c>
      <c r="D1049" t="s">
        <v>3359</v>
      </c>
      <c r="E1049" t="s">
        <v>21</v>
      </c>
      <c r="F1049" t="s">
        <v>3360</v>
      </c>
    </row>
    <row r="1050" spans="1:6" hidden="1" x14ac:dyDescent="0.25">
      <c r="A1050" t="s">
        <v>3361</v>
      </c>
      <c r="B1050" t="s">
        <v>59</v>
      </c>
      <c r="C1050" t="s">
        <v>376</v>
      </c>
      <c r="D1050" t="s">
        <v>3362</v>
      </c>
      <c r="E1050" t="s">
        <v>21</v>
      </c>
      <c r="F1050" t="s">
        <v>3363</v>
      </c>
    </row>
    <row r="1051" spans="1:6" hidden="1" x14ac:dyDescent="0.25">
      <c r="A1051" t="s">
        <v>297</v>
      </c>
      <c r="B1051" t="s">
        <v>256</v>
      </c>
      <c r="C1051" t="s">
        <v>376</v>
      </c>
      <c r="D1051" t="s">
        <v>298</v>
      </c>
      <c r="E1051" t="s">
        <v>21</v>
      </c>
      <c r="F1051" t="s">
        <v>299</v>
      </c>
    </row>
    <row r="1052" spans="1:6" hidden="1" x14ac:dyDescent="0.25">
      <c r="A1052" t="s">
        <v>3364</v>
      </c>
      <c r="B1052" t="s">
        <v>15</v>
      </c>
      <c r="C1052" t="s">
        <v>376</v>
      </c>
      <c r="D1052" t="s">
        <v>3365</v>
      </c>
      <c r="E1052" t="s">
        <v>21</v>
      </c>
      <c r="F1052" t="s">
        <v>3366</v>
      </c>
    </row>
    <row r="1053" spans="1:6" hidden="1" x14ac:dyDescent="0.25">
      <c r="A1053" t="s">
        <v>3367</v>
      </c>
      <c r="B1053" t="s">
        <v>28</v>
      </c>
      <c r="C1053" t="s">
        <v>376</v>
      </c>
      <c r="D1053" t="s">
        <v>3368</v>
      </c>
      <c r="E1053" t="s">
        <v>21</v>
      </c>
      <c r="F1053" t="s">
        <v>3369</v>
      </c>
    </row>
    <row r="1054" spans="1:6" hidden="1" x14ac:dyDescent="0.25">
      <c r="A1054" t="s">
        <v>3370</v>
      </c>
      <c r="B1054" t="s">
        <v>256</v>
      </c>
      <c r="C1054" t="s">
        <v>376</v>
      </c>
      <c r="D1054" t="s">
        <v>3371</v>
      </c>
      <c r="E1054" t="s">
        <v>21</v>
      </c>
      <c r="F1054" t="s">
        <v>3372</v>
      </c>
    </row>
    <row r="1055" spans="1:6" hidden="1" x14ac:dyDescent="0.25">
      <c r="A1055" t="s">
        <v>3373</v>
      </c>
      <c r="B1055" t="s">
        <v>256</v>
      </c>
      <c r="C1055" t="s">
        <v>376</v>
      </c>
      <c r="D1055" t="s">
        <v>3374</v>
      </c>
      <c r="E1055" t="s">
        <v>21</v>
      </c>
      <c r="F1055" t="s">
        <v>3375</v>
      </c>
    </row>
    <row r="1056" spans="1:6" hidden="1" x14ac:dyDescent="0.25">
      <c r="A1056" t="s">
        <v>3376</v>
      </c>
      <c r="B1056" t="s">
        <v>256</v>
      </c>
      <c r="C1056" t="s">
        <v>376</v>
      </c>
      <c r="D1056" t="s">
        <v>3377</v>
      </c>
      <c r="E1056" t="s">
        <v>21</v>
      </c>
      <c r="F1056" t="s">
        <v>3378</v>
      </c>
    </row>
    <row r="1057" spans="1:6" hidden="1" x14ac:dyDescent="0.25">
      <c r="A1057" t="s">
        <v>3379</v>
      </c>
      <c r="B1057" t="s">
        <v>626</v>
      </c>
      <c r="C1057" t="s">
        <v>788</v>
      </c>
      <c r="D1057" t="s">
        <v>3380</v>
      </c>
      <c r="E1057" t="s">
        <v>21</v>
      </c>
      <c r="F1057" t="s">
        <v>3381</v>
      </c>
    </row>
    <row r="1058" spans="1:6" hidden="1" x14ac:dyDescent="0.25">
      <c r="A1058" t="s">
        <v>3382</v>
      </c>
      <c r="B1058" t="s">
        <v>162</v>
      </c>
      <c r="C1058" t="s">
        <v>376</v>
      </c>
      <c r="D1058" t="s">
        <v>3383</v>
      </c>
      <c r="E1058" t="s">
        <v>21</v>
      </c>
      <c r="F1058" t="s">
        <v>3384</v>
      </c>
    </row>
    <row r="1059" spans="1:6" hidden="1" x14ac:dyDescent="0.25">
      <c r="A1059" t="s">
        <v>3385</v>
      </c>
      <c r="B1059" t="s">
        <v>15</v>
      </c>
      <c r="C1059" t="s">
        <v>376</v>
      </c>
      <c r="D1059" t="s">
        <v>3386</v>
      </c>
      <c r="E1059" t="s">
        <v>21</v>
      </c>
      <c r="F1059" t="s">
        <v>3387</v>
      </c>
    </row>
    <row r="1060" spans="1:6" hidden="1" x14ac:dyDescent="0.25">
      <c r="A1060" t="s">
        <v>3388</v>
      </c>
      <c r="B1060" t="s">
        <v>938</v>
      </c>
      <c r="C1060" t="s">
        <v>376</v>
      </c>
      <c r="D1060" t="s">
        <v>3389</v>
      </c>
      <c r="E1060" t="s">
        <v>21</v>
      </c>
      <c r="F1060" t="s">
        <v>3390</v>
      </c>
    </row>
    <row r="1061" spans="1:6" hidden="1" x14ac:dyDescent="0.25">
      <c r="A1061" t="s">
        <v>3391</v>
      </c>
      <c r="B1061" t="s">
        <v>619</v>
      </c>
      <c r="C1061" t="s">
        <v>376</v>
      </c>
      <c r="D1061" t="s">
        <v>3392</v>
      </c>
      <c r="E1061" t="s">
        <v>21</v>
      </c>
      <c r="F1061" t="s">
        <v>3393</v>
      </c>
    </row>
    <row r="1062" spans="1:6" hidden="1" x14ac:dyDescent="0.25">
      <c r="A1062" t="s">
        <v>3394</v>
      </c>
      <c r="B1062" t="s">
        <v>128</v>
      </c>
      <c r="C1062" t="s">
        <v>376</v>
      </c>
      <c r="D1062" t="s">
        <v>3395</v>
      </c>
      <c r="E1062" t="s">
        <v>21</v>
      </c>
      <c r="F1062" t="s">
        <v>3396</v>
      </c>
    </row>
    <row r="1063" spans="1:6" hidden="1" x14ac:dyDescent="0.25">
      <c r="A1063" t="s">
        <v>3397</v>
      </c>
      <c r="B1063" t="s">
        <v>59</v>
      </c>
      <c r="C1063" t="s">
        <v>376</v>
      </c>
      <c r="D1063" t="s">
        <v>3398</v>
      </c>
      <c r="E1063" t="s">
        <v>21</v>
      </c>
      <c r="F1063" t="s">
        <v>3399</v>
      </c>
    </row>
    <row r="1064" spans="1:6" hidden="1" x14ac:dyDescent="0.25">
      <c r="A1064" t="s">
        <v>3400</v>
      </c>
      <c r="B1064" t="s">
        <v>64</v>
      </c>
      <c r="C1064" t="s">
        <v>376</v>
      </c>
      <c r="D1064" t="s">
        <v>3401</v>
      </c>
      <c r="E1064" t="s">
        <v>21</v>
      </c>
      <c r="F1064" t="s">
        <v>3402</v>
      </c>
    </row>
    <row r="1065" spans="1:6" hidden="1" x14ac:dyDescent="0.25">
      <c r="A1065" t="s">
        <v>3403</v>
      </c>
      <c r="B1065" t="s">
        <v>256</v>
      </c>
      <c r="C1065" t="s">
        <v>376</v>
      </c>
      <c r="D1065" t="s">
        <v>3404</v>
      </c>
      <c r="E1065" t="s">
        <v>21</v>
      </c>
      <c r="F1065" t="s">
        <v>3405</v>
      </c>
    </row>
    <row r="1066" spans="1:6" hidden="1" x14ac:dyDescent="0.25">
      <c r="A1066" t="s">
        <v>3406</v>
      </c>
      <c r="B1066" t="s">
        <v>701</v>
      </c>
      <c r="C1066" t="s">
        <v>376</v>
      </c>
      <c r="D1066" t="s">
        <v>3407</v>
      </c>
      <c r="E1066" t="s">
        <v>21</v>
      </c>
      <c r="F1066" t="s">
        <v>3408</v>
      </c>
    </row>
    <row r="1067" spans="1:6" hidden="1" x14ac:dyDescent="0.25">
      <c r="A1067" t="s">
        <v>33</v>
      </c>
      <c r="B1067" t="s">
        <v>15</v>
      </c>
      <c r="C1067" t="s">
        <v>376</v>
      </c>
      <c r="D1067" t="s">
        <v>34</v>
      </c>
      <c r="E1067" t="s">
        <v>21</v>
      </c>
      <c r="F1067" t="s">
        <v>35</v>
      </c>
    </row>
    <row r="1068" spans="1:6" hidden="1" x14ac:dyDescent="0.25">
      <c r="A1068" t="s">
        <v>3409</v>
      </c>
      <c r="B1068" t="s">
        <v>391</v>
      </c>
      <c r="C1068" t="s">
        <v>376</v>
      </c>
      <c r="D1068" t="s">
        <v>3410</v>
      </c>
      <c r="E1068" t="s">
        <v>21</v>
      </c>
      <c r="F1068" t="s">
        <v>3411</v>
      </c>
    </row>
    <row r="1069" spans="1:6" hidden="1" x14ac:dyDescent="0.25">
      <c r="A1069" t="s">
        <v>3412</v>
      </c>
      <c r="B1069" t="s">
        <v>434</v>
      </c>
      <c r="C1069" t="s">
        <v>376</v>
      </c>
      <c r="D1069" t="s">
        <v>3413</v>
      </c>
      <c r="E1069" t="s">
        <v>21</v>
      </c>
      <c r="F1069" t="s">
        <v>3414</v>
      </c>
    </row>
    <row r="1070" spans="1:6" hidden="1" x14ac:dyDescent="0.25">
      <c r="A1070" t="s">
        <v>3415</v>
      </c>
      <c r="B1070" t="s">
        <v>15</v>
      </c>
      <c r="C1070" t="s">
        <v>376</v>
      </c>
      <c r="D1070" t="s">
        <v>3416</v>
      </c>
      <c r="E1070" t="s">
        <v>21</v>
      </c>
      <c r="F1070" t="s">
        <v>3417</v>
      </c>
    </row>
    <row r="1071" spans="1:6" hidden="1" x14ac:dyDescent="0.25">
      <c r="A1071" t="s">
        <v>3418</v>
      </c>
      <c r="B1071" t="s">
        <v>68</v>
      </c>
      <c r="C1071" t="s">
        <v>376</v>
      </c>
      <c r="D1071" t="s">
        <v>3419</v>
      </c>
      <c r="E1071" t="s">
        <v>21</v>
      </c>
      <c r="F1071" t="s">
        <v>3420</v>
      </c>
    </row>
    <row r="1072" spans="1:6" hidden="1" x14ac:dyDescent="0.25">
      <c r="A1072" t="s">
        <v>3421</v>
      </c>
      <c r="B1072" t="s">
        <v>391</v>
      </c>
      <c r="C1072" t="s">
        <v>666</v>
      </c>
      <c r="D1072" t="s">
        <v>3422</v>
      </c>
      <c r="E1072" t="s">
        <v>21</v>
      </c>
      <c r="F1072" t="s">
        <v>3423</v>
      </c>
    </row>
    <row r="1073" spans="1:6" hidden="1" x14ac:dyDescent="0.25">
      <c r="A1073" t="s">
        <v>3424</v>
      </c>
      <c r="B1073" t="s">
        <v>626</v>
      </c>
      <c r="C1073" t="s">
        <v>1140</v>
      </c>
      <c r="D1073" t="s">
        <v>3425</v>
      </c>
      <c r="E1073" t="s">
        <v>21</v>
      </c>
      <c r="F1073" t="s">
        <v>3426</v>
      </c>
    </row>
    <row r="1074" spans="1:6" hidden="1" x14ac:dyDescent="0.25">
      <c r="A1074" t="s">
        <v>3427</v>
      </c>
      <c r="B1074" t="s">
        <v>55</v>
      </c>
      <c r="C1074" t="s">
        <v>376</v>
      </c>
      <c r="D1074" t="s">
        <v>3428</v>
      </c>
      <c r="E1074" t="s">
        <v>21</v>
      </c>
      <c r="F1074" t="s">
        <v>3429</v>
      </c>
    </row>
    <row r="1075" spans="1:6" hidden="1" x14ac:dyDescent="0.25">
      <c r="A1075" t="s">
        <v>3430</v>
      </c>
      <c r="B1075" t="s">
        <v>139</v>
      </c>
      <c r="C1075" t="s">
        <v>376</v>
      </c>
      <c r="D1075" t="s">
        <v>3431</v>
      </c>
      <c r="E1075" t="s">
        <v>21</v>
      </c>
      <c r="F1075" t="s">
        <v>3432</v>
      </c>
    </row>
    <row r="1076" spans="1:6" hidden="1" x14ac:dyDescent="0.25">
      <c r="A1076" t="s">
        <v>3433</v>
      </c>
      <c r="B1076" t="s">
        <v>421</v>
      </c>
      <c r="C1076" t="s">
        <v>376</v>
      </c>
      <c r="D1076" t="s">
        <v>3434</v>
      </c>
      <c r="E1076" t="s">
        <v>21</v>
      </c>
      <c r="F1076" t="s">
        <v>3435</v>
      </c>
    </row>
    <row r="1077" spans="1:6" hidden="1" x14ac:dyDescent="0.25">
      <c r="A1077" t="s">
        <v>3436</v>
      </c>
      <c r="B1077" t="s">
        <v>139</v>
      </c>
      <c r="C1077" t="s">
        <v>376</v>
      </c>
      <c r="D1077" t="s">
        <v>3437</v>
      </c>
      <c r="E1077" t="s">
        <v>21</v>
      </c>
      <c r="F1077" t="s">
        <v>3438</v>
      </c>
    </row>
    <row r="1078" spans="1:6" hidden="1" x14ac:dyDescent="0.25">
      <c r="A1078" t="s">
        <v>3439</v>
      </c>
      <c r="B1078" t="s">
        <v>701</v>
      </c>
      <c r="C1078" t="s">
        <v>376</v>
      </c>
      <c r="D1078" t="s">
        <v>3440</v>
      </c>
      <c r="E1078" t="s">
        <v>21</v>
      </c>
      <c r="F1078" t="s">
        <v>3441</v>
      </c>
    </row>
    <row r="1079" spans="1:6" hidden="1" x14ac:dyDescent="0.25">
      <c r="A1079" t="s">
        <v>3442</v>
      </c>
      <c r="B1079" t="s">
        <v>626</v>
      </c>
      <c r="C1079" t="s">
        <v>788</v>
      </c>
      <c r="D1079" t="s">
        <v>3443</v>
      </c>
      <c r="E1079" t="s">
        <v>21</v>
      </c>
      <c r="F1079" t="s">
        <v>3444</v>
      </c>
    </row>
    <row r="1080" spans="1:6" hidden="1" x14ac:dyDescent="0.25">
      <c r="A1080" t="s">
        <v>3445</v>
      </c>
      <c r="B1080" t="s">
        <v>626</v>
      </c>
      <c r="C1080" t="s">
        <v>788</v>
      </c>
      <c r="D1080" t="s">
        <v>3446</v>
      </c>
      <c r="E1080" t="s">
        <v>21</v>
      </c>
      <c r="F1080" t="s">
        <v>3447</v>
      </c>
    </row>
    <row r="1081" spans="1:6" hidden="1" x14ac:dyDescent="0.25">
      <c r="A1081" t="s">
        <v>90</v>
      </c>
      <c r="B1081" t="s">
        <v>55</v>
      </c>
      <c r="C1081" t="s">
        <v>376</v>
      </c>
      <c r="D1081" t="s">
        <v>91</v>
      </c>
      <c r="E1081" t="s">
        <v>21</v>
      </c>
      <c r="F1081" t="s">
        <v>93</v>
      </c>
    </row>
    <row r="1082" spans="1:6" hidden="1" x14ac:dyDescent="0.25">
      <c r="A1082" t="s">
        <v>3448</v>
      </c>
      <c r="B1082" t="s">
        <v>124</v>
      </c>
      <c r="C1082" t="s">
        <v>376</v>
      </c>
      <c r="D1082" t="s">
        <v>3449</v>
      </c>
      <c r="E1082" t="s">
        <v>21</v>
      </c>
      <c r="F1082" t="s">
        <v>3450</v>
      </c>
    </row>
    <row r="1083" spans="1:6" hidden="1" x14ac:dyDescent="0.25">
      <c r="A1083" t="s">
        <v>3451</v>
      </c>
      <c r="B1083" t="s">
        <v>626</v>
      </c>
      <c r="C1083" t="s">
        <v>627</v>
      </c>
      <c r="D1083" t="s">
        <v>3452</v>
      </c>
      <c r="E1083" t="s">
        <v>21</v>
      </c>
      <c r="F1083" t="s">
        <v>3453</v>
      </c>
    </row>
    <row r="1084" spans="1:6" x14ac:dyDescent="0.25">
      <c r="A1084" t="s">
        <v>119</v>
      </c>
      <c r="B1084" t="s">
        <v>460</v>
      </c>
      <c r="C1084" t="s">
        <v>461</v>
      </c>
      <c r="D1084" t="s">
        <v>120</v>
      </c>
      <c r="E1084" t="s">
        <v>21</v>
      </c>
      <c r="F1084" t="s">
        <v>121</v>
      </c>
    </row>
    <row r="1085" spans="1:6" hidden="1" x14ac:dyDescent="0.25">
      <c r="A1085" t="s">
        <v>3454</v>
      </c>
      <c r="B1085" t="s">
        <v>344</v>
      </c>
      <c r="C1085" t="s">
        <v>376</v>
      </c>
      <c r="D1085" t="s">
        <v>3455</v>
      </c>
      <c r="E1085" t="s">
        <v>21</v>
      </c>
      <c r="F1085" t="s">
        <v>3456</v>
      </c>
    </row>
    <row r="1086" spans="1:6" hidden="1" x14ac:dyDescent="0.25">
      <c r="A1086" t="s">
        <v>3457</v>
      </c>
      <c r="B1086" t="s">
        <v>64</v>
      </c>
      <c r="C1086" t="s">
        <v>376</v>
      </c>
      <c r="D1086" t="s">
        <v>3458</v>
      </c>
      <c r="E1086" t="s">
        <v>21</v>
      </c>
      <c r="F1086" t="s">
        <v>3459</v>
      </c>
    </row>
    <row r="1087" spans="1:6" hidden="1" x14ac:dyDescent="0.25">
      <c r="A1087" t="s">
        <v>3460</v>
      </c>
      <c r="B1087" t="s">
        <v>256</v>
      </c>
      <c r="C1087" t="s">
        <v>376</v>
      </c>
      <c r="D1087" t="s">
        <v>3461</v>
      </c>
      <c r="E1087" t="s">
        <v>21</v>
      </c>
      <c r="F1087" t="s">
        <v>3462</v>
      </c>
    </row>
    <row r="1088" spans="1:6" hidden="1" x14ac:dyDescent="0.25">
      <c r="A1088" t="s">
        <v>3463</v>
      </c>
      <c r="B1088" t="s">
        <v>256</v>
      </c>
      <c r="C1088" t="s">
        <v>376</v>
      </c>
      <c r="D1088" t="s">
        <v>3464</v>
      </c>
      <c r="E1088" t="s">
        <v>21</v>
      </c>
      <c r="F1088" t="s">
        <v>3465</v>
      </c>
    </row>
    <row r="1089" spans="1:6" hidden="1" x14ac:dyDescent="0.25">
      <c r="A1089" t="s">
        <v>3466</v>
      </c>
      <c r="B1089" t="s">
        <v>55</v>
      </c>
      <c r="C1089" t="s">
        <v>376</v>
      </c>
      <c r="D1089" t="s">
        <v>3467</v>
      </c>
      <c r="E1089" t="s">
        <v>21</v>
      </c>
      <c r="F1089" t="s">
        <v>3468</v>
      </c>
    </row>
    <row r="1090" spans="1:6" hidden="1" x14ac:dyDescent="0.25">
      <c r="A1090" t="s">
        <v>312</v>
      </c>
      <c r="B1090" t="s">
        <v>143</v>
      </c>
      <c r="C1090" t="s">
        <v>376</v>
      </c>
      <c r="D1090" t="s">
        <v>332</v>
      </c>
      <c r="E1090" t="s">
        <v>21</v>
      </c>
      <c r="F1090" t="s">
        <v>316</v>
      </c>
    </row>
    <row r="1091" spans="1:6" hidden="1" x14ac:dyDescent="0.25">
      <c r="A1091" t="s">
        <v>3469</v>
      </c>
      <c r="B1091" t="s">
        <v>272</v>
      </c>
      <c r="C1091" t="s">
        <v>376</v>
      </c>
      <c r="D1091" t="s">
        <v>3470</v>
      </c>
      <c r="E1091" t="s">
        <v>21</v>
      </c>
      <c r="F1091" t="s">
        <v>3471</v>
      </c>
    </row>
    <row r="1092" spans="1:6" hidden="1" x14ac:dyDescent="0.25">
      <c r="A1092" t="s">
        <v>3472</v>
      </c>
      <c r="B1092" t="s">
        <v>512</v>
      </c>
      <c r="C1092" t="s">
        <v>679</v>
      </c>
      <c r="D1092" t="s">
        <v>3473</v>
      </c>
      <c r="E1092" t="s">
        <v>21</v>
      </c>
      <c r="F1092" t="s">
        <v>3474</v>
      </c>
    </row>
    <row r="1093" spans="1:6" hidden="1" x14ac:dyDescent="0.25">
      <c r="A1093" t="s">
        <v>3475</v>
      </c>
      <c r="B1093" t="s">
        <v>626</v>
      </c>
      <c r="C1093" t="s">
        <v>788</v>
      </c>
      <c r="D1093" t="s">
        <v>3476</v>
      </c>
      <c r="E1093" t="s">
        <v>21</v>
      </c>
      <c r="F1093" t="s">
        <v>3477</v>
      </c>
    </row>
    <row r="1094" spans="1:6" hidden="1" x14ac:dyDescent="0.25">
      <c r="A1094" t="s">
        <v>3480</v>
      </c>
      <c r="B1094" t="s">
        <v>245</v>
      </c>
      <c r="C1094" t="s">
        <v>376</v>
      </c>
      <c r="D1094" t="s">
        <v>3481</v>
      </c>
      <c r="E1094" t="s">
        <v>21</v>
      </c>
      <c r="F1094" t="s">
        <v>3482</v>
      </c>
    </row>
    <row r="1095" spans="1:6" x14ac:dyDescent="0.25">
      <c r="A1095" t="s">
        <v>3483</v>
      </c>
      <c r="B1095" t="s">
        <v>460</v>
      </c>
      <c r="C1095" t="s">
        <v>461</v>
      </c>
      <c r="D1095" t="s">
        <v>3484</v>
      </c>
      <c r="E1095" t="s">
        <v>21</v>
      </c>
      <c r="F1095" t="s">
        <v>3485</v>
      </c>
    </row>
    <row r="1096" spans="1:6" hidden="1" x14ac:dyDescent="0.25">
      <c r="A1096" t="s">
        <v>3486</v>
      </c>
      <c r="B1096" t="s">
        <v>132</v>
      </c>
      <c r="C1096" t="s">
        <v>376</v>
      </c>
      <c r="D1096" t="s">
        <v>3487</v>
      </c>
      <c r="E1096" t="s">
        <v>21</v>
      </c>
      <c r="F1096" t="s">
        <v>3488</v>
      </c>
    </row>
    <row r="1097" spans="1:6" hidden="1" x14ac:dyDescent="0.25">
      <c r="A1097" t="s">
        <v>3489</v>
      </c>
      <c r="B1097" t="s">
        <v>162</v>
      </c>
      <c r="C1097" t="s">
        <v>376</v>
      </c>
      <c r="D1097" t="s">
        <v>3490</v>
      </c>
      <c r="E1097" t="s">
        <v>21</v>
      </c>
      <c r="F1097" t="s">
        <v>3491</v>
      </c>
    </row>
    <row r="1098" spans="1:6" hidden="1" x14ac:dyDescent="0.25">
      <c r="A1098" t="s">
        <v>3492</v>
      </c>
      <c r="B1098" t="s">
        <v>132</v>
      </c>
      <c r="C1098" t="s">
        <v>376</v>
      </c>
      <c r="D1098" t="s">
        <v>3493</v>
      </c>
      <c r="E1098" t="s">
        <v>21</v>
      </c>
      <c r="F1098" t="s">
        <v>3494</v>
      </c>
    </row>
    <row r="1099" spans="1:6" hidden="1" x14ac:dyDescent="0.25">
      <c r="A1099" t="s">
        <v>3495</v>
      </c>
      <c r="B1099" t="s">
        <v>139</v>
      </c>
      <c r="C1099" t="s">
        <v>376</v>
      </c>
      <c r="D1099" t="s">
        <v>3496</v>
      </c>
      <c r="E1099" t="s">
        <v>21</v>
      </c>
      <c r="F1099" t="s">
        <v>3497</v>
      </c>
    </row>
    <row r="1100" spans="1:6" hidden="1" x14ac:dyDescent="0.25">
      <c r="A1100" t="s">
        <v>3498</v>
      </c>
      <c r="B1100" t="s">
        <v>391</v>
      </c>
      <c r="C1100" t="s">
        <v>376</v>
      </c>
      <c r="D1100" t="s">
        <v>3499</v>
      </c>
      <c r="E1100" t="s">
        <v>21</v>
      </c>
      <c r="F1100" t="s">
        <v>3500</v>
      </c>
    </row>
    <row r="1101" spans="1:6" hidden="1" x14ac:dyDescent="0.25">
      <c r="A1101" t="s">
        <v>3501</v>
      </c>
      <c r="B1101" t="s">
        <v>28</v>
      </c>
      <c r="C1101" t="s">
        <v>376</v>
      </c>
      <c r="D1101" t="s">
        <v>3502</v>
      </c>
      <c r="E1101" t="s">
        <v>21</v>
      </c>
      <c r="F1101" t="s">
        <v>3503</v>
      </c>
    </row>
    <row r="1102" spans="1:6" hidden="1" x14ac:dyDescent="0.25">
      <c r="A1102" t="s">
        <v>3504</v>
      </c>
      <c r="B1102" t="s">
        <v>3095</v>
      </c>
      <c r="C1102" t="s">
        <v>376</v>
      </c>
      <c r="D1102" t="s">
        <v>3505</v>
      </c>
      <c r="E1102" t="s">
        <v>21</v>
      </c>
      <c r="F1102" t="s">
        <v>3506</v>
      </c>
    </row>
    <row r="1103" spans="1:6" hidden="1" x14ac:dyDescent="0.25">
      <c r="A1103" t="s">
        <v>3507</v>
      </c>
      <c r="B1103" t="s">
        <v>64</v>
      </c>
      <c r="C1103" t="s">
        <v>376</v>
      </c>
      <c r="D1103" t="s">
        <v>3508</v>
      </c>
      <c r="E1103" t="s">
        <v>21</v>
      </c>
      <c r="F1103" t="s">
        <v>3509</v>
      </c>
    </row>
    <row r="1104" spans="1:6" hidden="1" x14ac:dyDescent="0.25">
      <c r="A1104" t="s">
        <v>3510</v>
      </c>
      <c r="B1104" t="s">
        <v>3095</v>
      </c>
      <c r="C1104" t="s">
        <v>376</v>
      </c>
      <c r="D1104" t="s">
        <v>3511</v>
      </c>
      <c r="E1104" t="s">
        <v>21</v>
      </c>
      <c r="F1104" t="s">
        <v>3512</v>
      </c>
    </row>
    <row r="1105" spans="1:6" hidden="1" x14ac:dyDescent="0.25">
      <c r="A1105" t="s">
        <v>3513</v>
      </c>
      <c r="B1105" t="s">
        <v>1240</v>
      </c>
      <c r="C1105" t="s">
        <v>2056</v>
      </c>
      <c r="D1105" t="s">
        <v>3514</v>
      </c>
      <c r="E1105" t="s">
        <v>21</v>
      </c>
      <c r="F1105" t="s">
        <v>3515</v>
      </c>
    </row>
    <row r="1106" spans="1:6" hidden="1" x14ac:dyDescent="0.25">
      <c r="A1106" t="s">
        <v>3516</v>
      </c>
      <c r="B1106" t="s">
        <v>55</v>
      </c>
      <c r="C1106" t="s">
        <v>376</v>
      </c>
      <c r="D1106" t="s">
        <v>3517</v>
      </c>
      <c r="E1106" t="s">
        <v>21</v>
      </c>
      <c r="F1106" t="s">
        <v>3518</v>
      </c>
    </row>
    <row r="1107" spans="1:6" hidden="1" x14ac:dyDescent="0.25">
      <c r="A1107" t="s">
        <v>3519</v>
      </c>
      <c r="B1107" t="s">
        <v>256</v>
      </c>
      <c r="C1107" t="s">
        <v>376</v>
      </c>
      <c r="D1107" t="s">
        <v>3520</v>
      </c>
      <c r="E1107" t="s">
        <v>21</v>
      </c>
      <c r="F1107" t="s">
        <v>3521</v>
      </c>
    </row>
    <row r="1108" spans="1:6" hidden="1" x14ac:dyDescent="0.25">
      <c r="A1108" t="s">
        <v>3522</v>
      </c>
      <c r="B1108" t="s">
        <v>434</v>
      </c>
      <c r="C1108" t="s">
        <v>376</v>
      </c>
      <c r="D1108" t="s">
        <v>3523</v>
      </c>
      <c r="E1108" t="s">
        <v>21</v>
      </c>
      <c r="F1108" t="s">
        <v>3524</v>
      </c>
    </row>
    <row r="1109" spans="1:6" hidden="1" x14ac:dyDescent="0.25">
      <c r="A1109" t="s">
        <v>3525</v>
      </c>
      <c r="B1109" t="s">
        <v>626</v>
      </c>
      <c r="C1109" t="s">
        <v>627</v>
      </c>
      <c r="D1109" t="s">
        <v>3526</v>
      </c>
      <c r="E1109" t="s">
        <v>21</v>
      </c>
      <c r="F1109" t="s">
        <v>3527</v>
      </c>
    </row>
    <row r="1110" spans="1:6" hidden="1" x14ac:dyDescent="0.25">
      <c r="A1110" t="s">
        <v>3528</v>
      </c>
      <c r="B1110" t="s">
        <v>512</v>
      </c>
      <c r="C1110" t="s">
        <v>554</v>
      </c>
      <c r="D1110" t="s">
        <v>3529</v>
      </c>
      <c r="E1110" t="s">
        <v>21</v>
      </c>
      <c r="F1110" t="s">
        <v>3530</v>
      </c>
    </row>
    <row r="1111" spans="1:6" hidden="1" x14ac:dyDescent="0.25">
      <c r="A1111" t="s">
        <v>3531</v>
      </c>
      <c r="B1111" t="s">
        <v>391</v>
      </c>
      <c r="C1111" t="s">
        <v>376</v>
      </c>
      <c r="D1111" t="s">
        <v>3532</v>
      </c>
      <c r="E1111" t="s">
        <v>21</v>
      </c>
      <c r="F1111" t="s">
        <v>3533</v>
      </c>
    </row>
    <row r="1112" spans="1:6" hidden="1" x14ac:dyDescent="0.25">
      <c r="A1112" t="s">
        <v>3534</v>
      </c>
      <c r="B1112" t="s">
        <v>457</v>
      </c>
      <c r="C1112" t="s">
        <v>376</v>
      </c>
      <c r="D1112" t="s">
        <v>3535</v>
      </c>
      <c r="E1112" t="s">
        <v>21</v>
      </c>
      <c r="F1112" t="s">
        <v>3536</v>
      </c>
    </row>
    <row r="1113" spans="1:6" hidden="1" x14ac:dyDescent="0.25">
      <c r="A1113" t="s">
        <v>3537</v>
      </c>
      <c r="B1113" t="s">
        <v>421</v>
      </c>
      <c r="C1113" t="s">
        <v>376</v>
      </c>
      <c r="D1113" t="s">
        <v>3538</v>
      </c>
      <c r="E1113" t="s">
        <v>21</v>
      </c>
      <c r="F1113" t="s">
        <v>3539</v>
      </c>
    </row>
    <row r="1114" spans="1:6" hidden="1" x14ac:dyDescent="0.25">
      <c r="A1114" t="s">
        <v>3540</v>
      </c>
      <c r="B1114" t="s">
        <v>55</v>
      </c>
      <c r="C1114" t="s">
        <v>376</v>
      </c>
      <c r="D1114" t="s">
        <v>3541</v>
      </c>
      <c r="E1114" t="s">
        <v>21</v>
      </c>
      <c r="F1114" t="s">
        <v>3542</v>
      </c>
    </row>
    <row r="1115" spans="1:6" hidden="1" x14ac:dyDescent="0.25">
      <c r="A1115" t="s">
        <v>107</v>
      </c>
      <c r="B1115" t="s">
        <v>272</v>
      </c>
      <c r="C1115" t="s">
        <v>376</v>
      </c>
      <c r="D1115" t="s">
        <v>108</v>
      </c>
      <c r="E1115" t="s">
        <v>21</v>
      </c>
      <c r="F1115" t="s">
        <v>109</v>
      </c>
    </row>
    <row r="1116" spans="1:6" hidden="1" x14ac:dyDescent="0.25">
      <c r="A1116" t="s">
        <v>174</v>
      </c>
      <c r="B1116" t="s">
        <v>176</v>
      </c>
      <c r="C1116" t="s">
        <v>376</v>
      </c>
      <c r="D1116" t="s">
        <v>175</v>
      </c>
      <c r="E1116" t="s">
        <v>21</v>
      </c>
      <c r="F1116" t="s">
        <v>179</v>
      </c>
    </row>
    <row r="1117" spans="1:6" hidden="1" x14ac:dyDescent="0.25">
      <c r="A1117" t="s">
        <v>3543</v>
      </c>
      <c r="B1117" t="s">
        <v>647</v>
      </c>
      <c r="C1117" t="s">
        <v>376</v>
      </c>
      <c r="D1117" t="s">
        <v>3544</v>
      </c>
      <c r="E1117" t="s">
        <v>21</v>
      </c>
      <c r="F1117" t="s">
        <v>3545</v>
      </c>
    </row>
    <row r="1118" spans="1:6" x14ac:dyDescent="0.25">
      <c r="A1118" t="s">
        <v>73</v>
      </c>
      <c r="B1118" t="s">
        <v>460</v>
      </c>
      <c r="C1118" t="s">
        <v>461</v>
      </c>
      <c r="D1118" t="s">
        <v>74</v>
      </c>
      <c r="E1118" t="s">
        <v>21</v>
      </c>
      <c r="F1118" t="s">
        <v>75</v>
      </c>
    </row>
    <row r="1119" spans="1:6" hidden="1" x14ac:dyDescent="0.25">
      <c r="A1119" t="s">
        <v>3546</v>
      </c>
      <c r="B1119" t="s">
        <v>162</v>
      </c>
      <c r="C1119" t="s">
        <v>376</v>
      </c>
      <c r="D1119" t="s">
        <v>3547</v>
      </c>
      <c r="E1119" t="s">
        <v>21</v>
      </c>
      <c r="F1119" t="s">
        <v>3548</v>
      </c>
    </row>
    <row r="1120" spans="1:6" hidden="1" x14ac:dyDescent="0.25">
      <c r="A1120" t="s">
        <v>3549</v>
      </c>
      <c r="B1120" t="s">
        <v>626</v>
      </c>
      <c r="C1120" t="s">
        <v>627</v>
      </c>
      <c r="D1120" t="s">
        <v>3550</v>
      </c>
      <c r="E1120" t="s">
        <v>21</v>
      </c>
      <c r="F1120" t="s">
        <v>3551</v>
      </c>
    </row>
    <row r="1121" spans="1:6" hidden="1" x14ac:dyDescent="0.25">
      <c r="A1121" t="s">
        <v>3552</v>
      </c>
      <c r="B1121" t="s">
        <v>15</v>
      </c>
      <c r="C1121" t="s">
        <v>376</v>
      </c>
      <c r="D1121" t="s">
        <v>3553</v>
      </c>
      <c r="E1121" t="s">
        <v>21</v>
      </c>
      <c r="F1121" t="s">
        <v>3554</v>
      </c>
    </row>
    <row r="1122" spans="1:6" hidden="1" x14ac:dyDescent="0.25">
      <c r="A1122" t="s">
        <v>3555</v>
      </c>
      <c r="B1122" t="s">
        <v>344</v>
      </c>
      <c r="C1122" t="s">
        <v>666</v>
      </c>
      <c r="D1122" t="s">
        <v>3556</v>
      </c>
      <c r="E1122" t="s">
        <v>21</v>
      </c>
      <c r="F1122" t="s">
        <v>3557</v>
      </c>
    </row>
    <row r="1123" spans="1:6" hidden="1" x14ac:dyDescent="0.25">
      <c r="A1123" t="s">
        <v>3558</v>
      </c>
      <c r="B1123" t="s">
        <v>78</v>
      </c>
      <c r="C1123" t="s">
        <v>376</v>
      </c>
      <c r="D1123" t="s">
        <v>3559</v>
      </c>
      <c r="E1123" t="s">
        <v>21</v>
      </c>
      <c r="F1123" t="s">
        <v>3560</v>
      </c>
    </row>
    <row r="1124" spans="1:6" hidden="1" x14ac:dyDescent="0.25">
      <c r="A1124" t="s">
        <v>3561</v>
      </c>
      <c r="B1124" t="s">
        <v>51</v>
      </c>
      <c r="C1124" t="s">
        <v>376</v>
      </c>
      <c r="D1124" t="s">
        <v>3562</v>
      </c>
      <c r="E1124" t="s">
        <v>21</v>
      </c>
      <c r="F1124" t="s">
        <v>3563</v>
      </c>
    </row>
    <row r="1125" spans="1:6" hidden="1" x14ac:dyDescent="0.25">
      <c r="A1125" t="s">
        <v>3564</v>
      </c>
      <c r="B1125" t="s">
        <v>78</v>
      </c>
      <c r="C1125" t="s">
        <v>376</v>
      </c>
      <c r="D1125" t="s">
        <v>3565</v>
      </c>
      <c r="E1125" t="s">
        <v>21</v>
      </c>
      <c r="F1125" t="s">
        <v>3566</v>
      </c>
    </row>
    <row r="1126" spans="1:6" hidden="1" x14ac:dyDescent="0.25">
      <c r="A1126" t="s">
        <v>3567</v>
      </c>
      <c r="B1126" t="s">
        <v>837</v>
      </c>
      <c r="C1126" t="s">
        <v>469</v>
      </c>
      <c r="D1126" t="s">
        <v>3568</v>
      </c>
      <c r="E1126" t="s">
        <v>21</v>
      </c>
      <c r="F1126" t="s">
        <v>3569</v>
      </c>
    </row>
    <row r="1127" spans="1:6" hidden="1" x14ac:dyDescent="0.25">
      <c r="A1127" t="s">
        <v>351</v>
      </c>
      <c r="B1127" t="s">
        <v>15</v>
      </c>
      <c r="C1127" t="s">
        <v>376</v>
      </c>
      <c r="D1127" t="s">
        <v>3570</v>
      </c>
      <c r="E1127" t="s">
        <v>21</v>
      </c>
      <c r="F1127" t="s">
        <v>3571</v>
      </c>
    </row>
    <row r="1128" spans="1:6" hidden="1" x14ac:dyDescent="0.25">
      <c r="A1128" t="s">
        <v>3572</v>
      </c>
      <c r="B1128" t="s">
        <v>139</v>
      </c>
      <c r="C1128" t="s">
        <v>376</v>
      </c>
      <c r="D1128" t="s">
        <v>3573</v>
      </c>
      <c r="E1128" t="s">
        <v>21</v>
      </c>
      <c r="F1128" t="s">
        <v>3574</v>
      </c>
    </row>
    <row r="1129" spans="1:6" x14ac:dyDescent="0.25">
      <c r="A1129" t="s">
        <v>85</v>
      </c>
      <c r="B1129" t="s">
        <v>460</v>
      </c>
      <c r="C1129" t="s">
        <v>461</v>
      </c>
      <c r="D1129" t="s">
        <v>86</v>
      </c>
      <c r="E1129" t="s">
        <v>21</v>
      </c>
      <c r="F1129" t="s">
        <v>87</v>
      </c>
    </row>
    <row r="1130" spans="1:6" hidden="1" x14ac:dyDescent="0.25">
      <c r="A1130" t="s">
        <v>3575</v>
      </c>
      <c r="B1130" t="s">
        <v>591</v>
      </c>
      <c r="C1130" t="s">
        <v>3003</v>
      </c>
      <c r="D1130" t="s">
        <v>3576</v>
      </c>
      <c r="E1130" t="s">
        <v>21</v>
      </c>
      <c r="F1130" t="s">
        <v>3577</v>
      </c>
    </row>
    <row r="1131" spans="1:6" hidden="1" x14ac:dyDescent="0.25">
      <c r="A1131" t="s">
        <v>3578</v>
      </c>
      <c r="B1131" t="s">
        <v>176</v>
      </c>
      <c r="C1131" t="s">
        <v>376</v>
      </c>
      <c r="D1131" t="s">
        <v>3579</v>
      </c>
      <c r="E1131" t="s">
        <v>21</v>
      </c>
      <c r="F1131" t="s">
        <v>3580</v>
      </c>
    </row>
    <row r="1132" spans="1:6" hidden="1" x14ac:dyDescent="0.25">
      <c r="A1132" t="s">
        <v>3581</v>
      </c>
      <c r="B1132" t="s">
        <v>55</v>
      </c>
      <c r="C1132" t="s">
        <v>376</v>
      </c>
      <c r="D1132" t="s">
        <v>3582</v>
      </c>
      <c r="E1132" t="s">
        <v>21</v>
      </c>
      <c r="F1132" t="s">
        <v>3583</v>
      </c>
    </row>
    <row r="1133" spans="1:6" hidden="1" x14ac:dyDescent="0.25">
      <c r="A1133" t="s">
        <v>3584</v>
      </c>
      <c r="B1133" t="s">
        <v>143</v>
      </c>
      <c r="C1133" t="s">
        <v>376</v>
      </c>
      <c r="D1133" t="s">
        <v>3585</v>
      </c>
      <c r="E1133" t="s">
        <v>21</v>
      </c>
      <c r="F1133" t="s">
        <v>3586</v>
      </c>
    </row>
    <row r="1134" spans="1:6" hidden="1" x14ac:dyDescent="0.25">
      <c r="A1134" t="s">
        <v>3587</v>
      </c>
      <c r="B1134" t="s">
        <v>837</v>
      </c>
      <c r="C1134" t="s">
        <v>469</v>
      </c>
      <c r="D1134" t="s">
        <v>3588</v>
      </c>
      <c r="E1134" t="s">
        <v>21</v>
      </c>
      <c r="F1134" t="s">
        <v>3589</v>
      </c>
    </row>
    <row r="1135" spans="1:6" hidden="1" x14ac:dyDescent="0.25">
      <c r="A1135" t="s">
        <v>3590</v>
      </c>
      <c r="B1135" t="s">
        <v>15</v>
      </c>
      <c r="C1135" t="s">
        <v>376</v>
      </c>
      <c r="D1135" t="s">
        <v>3591</v>
      </c>
      <c r="E1135" t="s">
        <v>21</v>
      </c>
      <c r="F1135" t="s">
        <v>3592</v>
      </c>
    </row>
    <row r="1136" spans="1:6" hidden="1" x14ac:dyDescent="0.25">
      <c r="A1136" t="s">
        <v>3593</v>
      </c>
      <c r="B1136" t="s">
        <v>434</v>
      </c>
      <c r="C1136" t="s">
        <v>376</v>
      </c>
      <c r="D1136" t="s">
        <v>3594</v>
      </c>
      <c r="E1136" t="s">
        <v>21</v>
      </c>
      <c r="F1136" t="s">
        <v>3595</v>
      </c>
    </row>
    <row r="1137" spans="1:6" hidden="1" x14ac:dyDescent="0.25">
      <c r="A1137" t="s">
        <v>3596</v>
      </c>
      <c r="B1137" t="s">
        <v>55</v>
      </c>
      <c r="C1137" t="s">
        <v>376</v>
      </c>
      <c r="D1137" t="s">
        <v>3597</v>
      </c>
      <c r="E1137" t="s">
        <v>21</v>
      </c>
      <c r="F1137" t="s">
        <v>3598</v>
      </c>
    </row>
    <row r="1138" spans="1:6" hidden="1" x14ac:dyDescent="0.25">
      <c r="A1138" t="s">
        <v>3599</v>
      </c>
      <c r="B1138" t="s">
        <v>457</v>
      </c>
      <c r="C1138" t="s">
        <v>376</v>
      </c>
      <c r="D1138" t="s">
        <v>3600</v>
      </c>
      <c r="E1138" t="s">
        <v>21</v>
      </c>
      <c r="F1138" t="s">
        <v>3601</v>
      </c>
    </row>
    <row r="1139" spans="1:6" hidden="1" x14ac:dyDescent="0.25">
      <c r="A1139" t="s">
        <v>3602</v>
      </c>
      <c r="B1139" t="s">
        <v>619</v>
      </c>
      <c r="C1139" t="s">
        <v>376</v>
      </c>
      <c r="D1139" t="s">
        <v>3603</v>
      </c>
      <c r="E1139" t="s">
        <v>21</v>
      </c>
      <c r="F1139" t="s">
        <v>3604</v>
      </c>
    </row>
    <row r="1140" spans="1:6" x14ac:dyDescent="0.25">
      <c r="A1140" t="s">
        <v>3605</v>
      </c>
      <c r="B1140" t="s">
        <v>460</v>
      </c>
      <c r="C1140" t="s">
        <v>461</v>
      </c>
      <c r="D1140" t="s">
        <v>3606</v>
      </c>
      <c r="E1140" t="s">
        <v>21</v>
      </c>
      <c r="F1140" t="s">
        <v>3607</v>
      </c>
    </row>
    <row r="1141" spans="1:6" hidden="1" x14ac:dyDescent="0.25">
      <c r="A1141" t="s">
        <v>3608</v>
      </c>
      <c r="B1141" t="s">
        <v>272</v>
      </c>
      <c r="C1141" t="s">
        <v>376</v>
      </c>
      <c r="D1141" t="s">
        <v>3609</v>
      </c>
      <c r="E1141" t="s">
        <v>21</v>
      </c>
      <c r="F1141" t="s">
        <v>3610</v>
      </c>
    </row>
    <row r="1142" spans="1:6" hidden="1" x14ac:dyDescent="0.25">
      <c r="A1142" t="s">
        <v>3611</v>
      </c>
      <c r="B1142" t="s">
        <v>64</v>
      </c>
      <c r="C1142" t="s">
        <v>376</v>
      </c>
      <c r="D1142" t="s">
        <v>3612</v>
      </c>
      <c r="E1142" t="s">
        <v>21</v>
      </c>
      <c r="F1142" t="s">
        <v>3613</v>
      </c>
    </row>
    <row r="1143" spans="1:6" hidden="1" x14ac:dyDescent="0.25">
      <c r="A1143" t="s">
        <v>3614</v>
      </c>
      <c r="B1143" t="s">
        <v>51</v>
      </c>
      <c r="C1143" t="s">
        <v>376</v>
      </c>
      <c r="D1143" t="s">
        <v>3615</v>
      </c>
      <c r="E1143" t="s">
        <v>21</v>
      </c>
      <c r="F1143" t="s">
        <v>3616</v>
      </c>
    </row>
    <row r="1144" spans="1:6" hidden="1" x14ac:dyDescent="0.25">
      <c r="A1144" t="s">
        <v>3617</v>
      </c>
      <c r="B1144" t="s">
        <v>626</v>
      </c>
      <c r="C1144" t="s">
        <v>788</v>
      </c>
      <c r="D1144" t="s">
        <v>3618</v>
      </c>
      <c r="E1144" t="s">
        <v>21</v>
      </c>
      <c r="F1144" t="s">
        <v>3619</v>
      </c>
    </row>
    <row r="1145" spans="1:6" hidden="1" x14ac:dyDescent="0.25">
      <c r="A1145" t="s">
        <v>3620</v>
      </c>
      <c r="B1145" t="s">
        <v>1848</v>
      </c>
      <c r="C1145" t="s">
        <v>376</v>
      </c>
      <c r="D1145" t="s">
        <v>3621</v>
      </c>
      <c r="E1145" t="s">
        <v>21</v>
      </c>
      <c r="F1145" t="s">
        <v>3622</v>
      </c>
    </row>
    <row r="1146" spans="1:6" hidden="1" x14ac:dyDescent="0.25">
      <c r="A1146" t="s">
        <v>3623</v>
      </c>
      <c r="B1146" t="s">
        <v>59</v>
      </c>
      <c r="C1146" t="s">
        <v>376</v>
      </c>
      <c r="D1146" t="s">
        <v>3624</v>
      </c>
      <c r="E1146" t="s">
        <v>21</v>
      </c>
      <c r="F1146" t="s">
        <v>3625</v>
      </c>
    </row>
    <row r="1147" spans="1:6" hidden="1" x14ac:dyDescent="0.25">
      <c r="A1147" t="s">
        <v>3626</v>
      </c>
      <c r="B1147" t="s">
        <v>256</v>
      </c>
      <c r="C1147" t="s">
        <v>376</v>
      </c>
      <c r="D1147" t="s">
        <v>3627</v>
      </c>
      <c r="E1147" t="s">
        <v>21</v>
      </c>
      <c r="F1147" t="s">
        <v>3628</v>
      </c>
    </row>
    <row r="1148" spans="1:6" hidden="1" x14ac:dyDescent="0.25">
      <c r="A1148" t="s">
        <v>3629</v>
      </c>
      <c r="B1148" t="s">
        <v>132</v>
      </c>
      <c r="C1148" t="s">
        <v>376</v>
      </c>
      <c r="D1148" t="s">
        <v>3630</v>
      </c>
      <c r="E1148" t="s">
        <v>21</v>
      </c>
      <c r="F1148" t="s">
        <v>3631</v>
      </c>
    </row>
    <row r="1149" spans="1:6" hidden="1" x14ac:dyDescent="0.25">
      <c r="A1149" t="s">
        <v>3632</v>
      </c>
      <c r="B1149" t="s">
        <v>55</v>
      </c>
      <c r="C1149" t="s">
        <v>376</v>
      </c>
      <c r="D1149" t="s">
        <v>3633</v>
      </c>
      <c r="E1149" t="s">
        <v>21</v>
      </c>
      <c r="F1149" t="s">
        <v>3634</v>
      </c>
    </row>
    <row r="1150" spans="1:6" hidden="1" x14ac:dyDescent="0.25">
      <c r="A1150" t="s">
        <v>3635</v>
      </c>
      <c r="B1150" t="s">
        <v>55</v>
      </c>
      <c r="C1150" t="s">
        <v>376</v>
      </c>
      <c r="D1150" t="s">
        <v>3636</v>
      </c>
      <c r="E1150" t="s">
        <v>21</v>
      </c>
      <c r="F1150" t="s">
        <v>3637</v>
      </c>
    </row>
    <row r="1151" spans="1:6" hidden="1" x14ac:dyDescent="0.25">
      <c r="A1151" t="s">
        <v>3638</v>
      </c>
      <c r="B1151" t="s">
        <v>55</v>
      </c>
      <c r="C1151" t="s">
        <v>376</v>
      </c>
      <c r="D1151" t="s">
        <v>3639</v>
      </c>
      <c r="E1151" t="s">
        <v>21</v>
      </c>
      <c r="F1151" t="s">
        <v>3640</v>
      </c>
    </row>
    <row r="1152" spans="1:6" hidden="1" x14ac:dyDescent="0.25">
      <c r="A1152" t="s">
        <v>3641</v>
      </c>
      <c r="B1152" t="s">
        <v>139</v>
      </c>
      <c r="C1152" t="s">
        <v>666</v>
      </c>
      <c r="D1152" t="s">
        <v>3642</v>
      </c>
      <c r="E1152" t="s">
        <v>21</v>
      </c>
      <c r="F1152" t="s">
        <v>3643</v>
      </c>
    </row>
    <row r="1153" spans="1:6" hidden="1" x14ac:dyDescent="0.25">
      <c r="A1153" t="s">
        <v>3644</v>
      </c>
      <c r="B1153" t="s">
        <v>162</v>
      </c>
      <c r="C1153" t="s">
        <v>666</v>
      </c>
      <c r="D1153" t="s">
        <v>3645</v>
      </c>
      <c r="E1153" t="s">
        <v>21</v>
      </c>
      <c r="F1153" t="s">
        <v>3646</v>
      </c>
    </row>
    <row r="1154" spans="1:6" hidden="1" x14ac:dyDescent="0.25">
      <c r="A1154" t="s">
        <v>3647</v>
      </c>
      <c r="B1154" t="s">
        <v>55</v>
      </c>
      <c r="C1154" t="s">
        <v>376</v>
      </c>
      <c r="D1154" t="s">
        <v>3648</v>
      </c>
      <c r="E1154" t="s">
        <v>21</v>
      </c>
      <c r="F1154" t="s">
        <v>3649</v>
      </c>
    </row>
    <row r="1155" spans="1:6" hidden="1" x14ac:dyDescent="0.25">
      <c r="A1155" t="s">
        <v>3650</v>
      </c>
      <c r="B1155" t="s">
        <v>256</v>
      </c>
      <c r="C1155" t="s">
        <v>376</v>
      </c>
      <c r="D1155" t="s">
        <v>3651</v>
      </c>
      <c r="E1155" t="s">
        <v>21</v>
      </c>
      <c r="F1155" t="s">
        <v>3652</v>
      </c>
    </row>
    <row r="1156" spans="1:6" hidden="1" x14ac:dyDescent="0.25">
      <c r="A1156" t="s">
        <v>3653</v>
      </c>
      <c r="B1156" t="s">
        <v>51</v>
      </c>
      <c r="C1156" t="s">
        <v>376</v>
      </c>
      <c r="D1156" t="s">
        <v>3654</v>
      </c>
      <c r="E1156" t="s">
        <v>21</v>
      </c>
      <c r="F1156" t="s">
        <v>3655</v>
      </c>
    </row>
    <row r="1157" spans="1:6" x14ac:dyDescent="0.25">
      <c r="A1157" t="s">
        <v>3656</v>
      </c>
      <c r="B1157" t="s">
        <v>68</v>
      </c>
      <c r="C1157" t="s">
        <v>461</v>
      </c>
      <c r="D1157" t="s">
        <v>3657</v>
      </c>
      <c r="E1157" t="s">
        <v>21</v>
      </c>
      <c r="F1157" t="s">
        <v>3658</v>
      </c>
    </row>
    <row r="1158" spans="1:6" x14ac:dyDescent="0.25">
      <c r="A1158" t="s">
        <v>3659</v>
      </c>
      <c r="B1158" t="s">
        <v>460</v>
      </c>
      <c r="C1158" t="s">
        <v>461</v>
      </c>
      <c r="D1158" t="s">
        <v>3660</v>
      </c>
      <c r="E1158" t="s">
        <v>21</v>
      </c>
      <c r="F1158" t="s">
        <v>3661</v>
      </c>
    </row>
    <row r="1159" spans="1:6" x14ac:dyDescent="0.25">
      <c r="A1159" t="s">
        <v>3662</v>
      </c>
      <c r="B1159" t="s">
        <v>460</v>
      </c>
      <c r="C1159" t="s">
        <v>461</v>
      </c>
      <c r="D1159" t="s">
        <v>3663</v>
      </c>
      <c r="E1159" t="s">
        <v>21</v>
      </c>
      <c r="F1159" t="s">
        <v>3664</v>
      </c>
    </row>
    <row r="1160" spans="1:6" hidden="1" x14ac:dyDescent="0.25">
      <c r="A1160" t="s">
        <v>3665</v>
      </c>
      <c r="B1160" t="s">
        <v>512</v>
      </c>
      <c r="C1160" t="s">
        <v>554</v>
      </c>
      <c r="D1160" t="s">
        <v>3666</v>
      </c>
      <c r="E1160" t="s">
        <v>21</v>
      </c>
      <c r="F1160" t="s">
        <v>3667</v>
      </c>
    </row>
    <row r="1161" spans="1:6" hidden="1" x14ac:dyDescent="0.25">
      <c r="A1161" t="s">
        <v>3668</v>
      </c>
      <c r="B1161" t="s">
        <v>272</v>
      </c>
      <c r="C1161" t="s">
        <v>376</v>
      </c>
      <c r="D1161" t="s">
        <v>3669</v>
      </c>
      <c r="E1161" t="s">
        <v>21</v>
      </c>
      <c r="F1161" t="s">
        <v>3670</v>
      </c>
    </row>
    <row r="1162" spans="1:6" hidden="1" x14ac:dyDescent="0.25">
      <c r="A1162" t="s">
        <v>3671</v>
      </c>
      <c r="B1162" t="s">
        <v>2052</v>
      </c>
      <c r="C1162" t="s">
        <v>376</v>
      </c>
      <c r="D1162" t="s">
        <v>3672</v>
      </c>
      <c r="E1162" t="s">
        <v>21</v>
      </c>
      <c r="F1162" t="s">
        <v>3673</v>
      </c>
    </row>
    <row r="1163" spans="1:6" hidden="1" x14ac:dyDescent="0.25">
      <c r="A1163" t="s">
        <v>3674</v>
      </c>
      <c r="B1163" t="s">
        <v>128</v>
      </c>
      <c r="C1163" t="s">
        <v>376</v>
      </c>
      <c r="D1163" t="s">
        <v>3675</v>
      </c>
      <c r="E1163" t="s">
        <v>21</v>
      </c>
      <c r="F1163" t="s">
        <v>3676</v>
      </c>
    </row>
    <row r="1164" spans="1:6" hidden="1" x14ac:dyDescent="0.25">
      <c r="A1164" t="s">
        <v>364</v>
      </c>
      <c r="B1164" t="s">
        <v>15</v>
      </c>
      <c r="C1164" t="s">
        <v>376</v>
      </c>
      <c r="D1164" t="s">
        <v>3677</v>
      </c>
      <c r="E1164" t="s">
        <v>21</v>
      </c>
      <c r="F1164" t="s">
        <v>3678</v>
      </c>
    </row>
    <row r="1165" spans="1:6" hidden="1" x14ac:dyDescent="0.25">
      <c r="A1165" t="s">
        <v>324</v>
      </c>
      <c r="B1165" t="s">
        <v>128</v>
      </c>
      <c r="C1165" t="s">
        <v>376</v>
      </c>
      <c r="D1165" t="s">
        <v>325</v>
      </c>
      <c r="E1165" t="s">
        <v>21</v>
      </c>
      <c r="F1165" t="s">
        <v>328</v>
      </c>
    </row>
    <row r="1166" spans="1:6" hidden="1" x14ac:dyDescent="0.25">
      <c r="A1166" t="s">
        <v>3679</v>
      </c>
      <c r="B1166" t="s">
        <v>626</v>
      </c>
      <c r="C1166" t="s">
        <v>627</v>
      </c>
      <c r="D1166" t="s">
        <v>3680</v>
      </c>
      <c r="E1166" t="s">
        <v>21</v>
      </c>
      <c r="F1166" t="s">
        <v>3681</v>
      </c>
    </row>
    <row r="1167" spans="1:6" hidden="1" x14ac:dyDescent="0.25">
      <c r="A1167" t="s">
        <v>3682</v>
      </c>
      <c r="B1167" t="s">
        <v>15</v>
      </c>
      <c r="C1167" t="s">
        <v>376</v>
      </c>
      <c r="D1167" t="s">
        <v>3683</v>
      </c>
      <c r="E1167" t="s">
        <v>21</v>
      </c>
      <c r="F1167" t="s">
        <v>3684</v>
      </c>
    </row>
    <row r="1168" spans="1:6" hidden="1" x14ac:dyDescent="0.25">
      <c r="A1168" t="s">
        <v>3685</v>
      </c>
      <c r="B1168" t="s">
        <v>3265</v>
      </c>
      <c r="C1168" t="s">
        <v>376</v>
      </c>
      <c r="D1168" t="s">
        <v>3686</v>
      </c>
      <c r="E1168" t="s">
        <v>21</v>
      </c>
      <c r="F1168" t="s">
        <v>3687</v>
      </c>
    </row>
    <row r="1169" spans="1:6" hidden="1" x14ac:dyDescent="0.25">
      <c r="A1169" t="s">
        <v>3688</v>
      </c>
      <c r="B1169" t="s">
        <v>39</v>
      </c>
      <c r="C1169" t="s">
        <v>376</v>
      </c>
      <c r="D1169" t="s">
        <v>3689</v>
      </c>
      <c r="E1169" t="s">
        <v>21</v>
      </c>
      <c r="F1169" t="s">
        <v>3690</v>
      </c>
    </row>
    <row r="1170" spans="1:6" hidden="1" x14ac:dyDescent="0.25">
      <c r="A1170" t="s">
        <v>3691</v>
      </c>
      <c r="B1170" t="s">
        <v>28</v>
      </c>
      <c r="C1170" t="s">
        <v>376</v>
      </c>
      <c r="D1170" t="s">
        <v>3692</v>
      </c>
      <c r="E1170" t="s">
        <v>21</v>
      </c>
      <c r="F1170" t="s">
        <v>3693</v>
      </c>
    </row>
    <row r="1171" spans="1:6" hidden="1" x14ac:dyDescent="0.25">
      <c r="A1171" t="s">
        <v>333</v>
      </c>
      <c r="B1171" t="s">
        <v>51</v>
      </c>
      <c r="C1171" t="s">
        <v>376</v>
      </c>
      <c r="D1171" t="s">
        <v>334</v>
      </c>
      <c r="E1171" t="s">
        <v>21</v>
      </c>
      <c r="F1171" t="s">
        <v>335</v>
      </c>
    </row>
    <row r="1172" spans="1:6" hidden="1" x14ac:dyDescent="0.25">
      <c r="A1172" t="s">
        <v>62</v>
      </c>
      <c r="B1172" t="s">
        <v>64</v>
      </c>
      <c r="C1172" t="s">
        <v>376</v>
      </c>
      <c r="D1172" t="s">
        <v>202</v>
      </c>
      <c r="E1172" t="s">
        <v>21</v>
      </c>
      <c r="F1172" t="s">
        <v>65</v>
      </c>
    </row>
    <row r="1173" spans="1:6" hidden="1" x14ac:dyDescent="0.25">
      <c r="A1173" t="s">
        <v>3694</v>
      </c>
      <c r="B1173" t="s">
        <v>1764</v>
      </c>
      <c r="C1173" t="s">
        <v>376</v>
      </c>
      <c r="D1173" t="s">
        <v>3695</v>
      </c>
      <c r="E1173" t="s">
        <v>21</v>
      </c>
      <c r="F1173" t="s">
        <v>3696</v>
      </c>
    </row>
    <row r="1174" spans="1:6" hidden="1" x14ac:dyDescent="0.25">
      <c r="A1174" t="s">
        <v>3697</v>
      </c>
      <c r="B1174" t="s">
        <v>128</v>
      </c>
      <c r="C1174" t="s">
        <v>376</v>
      </c>
      <c r="D1174" t="s">
        <v>3698</v>
      </c>
      <c r="E1174" t="s">
        <v>21</v>
      </c>
      <c r="F1174" t="s">
        <v>3699</v>
      </c>
    </row>
    <row r="1175" spans="1:6" hidden="1" x14ac:dyDescent="0.25">
      <c r="A1175" t="s">
        <v>3700</v>
      </c>
      <c r="B1175" t="s">
        <v>51</v>
      </c>
      <c r="C1175" t="s">
        <v>376</v>
      </c>
      <c r="D1175" t="s">
        <v>3701</v>
      </c>
      <c r="E1175" t="s">
        <v>21</v>
      </c>
      <c r="F1175" t="s">
        <v>3702</v>
      </c>
    </row>
    <row r="1176" spans="1:6" hidden="1" x14ac:dyDescent="0.25">
      <c r="A1176" t="s">
        <v>3703</v>
      </c>
      <c r="B1176" t="s">
        <v>124</v>
      </c>
      <c r="C1176" t="s">
        <v>376</v>
      </c>
      <c r="D1176" t="s">
        <v>3704</v>
      </c>
      <c r="E1176" t="s">
        <v>21</v>
      </c>
      <c r="F1176" t="s">
        <v>3705</v>
      </c>
    </row>
    <row r="1177" spans="1:6" hidden="1" x14ac:dyDescent="0.25">
      <c r="A1177" t="s">
        <v>3706</v>
      </c>
      <c r="B1177" t="s">
        <v>457</v>
      </c>
      <c r="C1177" t="s">
        <v>376</v>
      </c>
      <c r="D1177" t="s">
        <v>3707</v>
      </c>
      <c r="E1177" t="s">
        <v>21</v>
      </c>
      <c r="F1177" t="s">
        <v>3708</v>
      </c>
    </row>
    <row r="1178" spans="1:6" x14ac:dyDescent="0.25">
      <c r="A1178" t="s">
        <v>213</v>
      </c>
      <c r="B1178" t="s">
        <v>460</v>
      </c>
      <c r="C1178" t="s">
        <v>461</v>
      </c>
      <c r="D1178" t="s">
        <v>214</v>
      </c>
      <c r="E1178" t="s">
        <v>21</v>
      </c>
      <c r="F1178" t="s">
        <v>215</v>
      </c>
    </row>
    <row r="1179" spans="1:6" hidden="1" x14ac:dyDescent="0.25">
      <c r="A1179" t="s">
        <v>3709</v>
      </c>
      <c r="B1179" t="s">
        <v>344</v>
      </c>
      <c r="C1179" t="s">
        <v>376</v>
      </c>
      <c r="D1179" t="s">
        <v>3710</v>
      </c>
      <c r="E1179" t="s">
        <v>21</v>
      </c>
      <c r="F1179" t="s">
        <v>3711</v>
      </c>
    </row>
    <row r="1180" spans="1:6" hidden="1" x14ac:dyDescent="0.25">
      <c r="A1180" t="s">
        <v>291</v>
      </c>
      <c r="B1180" t="s">
        <v>272</v>
      </c>
      <c r="C1180" t="s">
        <v>376</v>
      </c>
      <c r="D1180" t="s">
        <v>292</v>
      </c>
      <c r="E1180" t="s">
        <v>21</v>
      </c>
      <c r="F1180" t="s">
        <v>293</v>
      </c>
    </row>
    <row r="1181" spans="1:6" hidden="1" x14ac:dyDescent="0.25">
      <c r="A1181" t="s">
        <v>3712</v>
      </c>
      <c r="B1181" t="s">
        <v>59</v>
      </c>
      <c r="C1181" t="s">
        <v>376</v>
      </c>
      <c r="D1181" t="s">
        <v>3713</v>
      </c>
      <c r="E1181" t="s">
        <v>21</v>
      </c>
      <c r="F1181" t="s">
        <v>3714</v>
      </c>
    </row>
    <row r="1182" spans="1:6" hidden="1" x14ac:dyDescent="0.25">
      <c r="A1182" t="s">
        <v>3715</v>
      </c>
      <c r="B1182" t="s">
        <v>143</v>
      </c>
      <c r="C1182" t="s">
        <v>376</v>
      </c>
      <c r="D1182" t="s">
        <v>3716</v>
      </c>
      <c r="E1182" t="s">
        <v>21</v>
      </c>
      <c r="F1182" t="s">
        <v>3717</v>
      </c>
    </row>
    <row r="1183" spans="1:6" hidden="1" x14ac:dyDescent="0.25">
      <c r="A1183" t="s">
        <v>3718</v>
      </c>
      <c r="B1183" t="s">
        <v>619</v>
      </c>
      <c r="C1183" t="s">
        <v>376</v>
      </c>
      <c r="D1183" t="s">
        <v>3719</v>
      </c>
      <c r="E1183" t="s">
        <v>21</v>
      </c>
      <c r="F1183" t="s">
        <v>3720</v>
      </c>
    </row>
    <row r="1184" spans="1:6" hidden="1" x14ac:dyDescent="0.25">
      <c r="A1184" t="s">
        <v>3721</v>
      </c>
      <c r="B1184" t="s">
        <v>78</v>
      </c>
      <c r="C1184" t="s">
        <v>376</v>
      </c>
      <c r="D1184" t="s">
        <v>3722</v>
      </c>
      <c r="E1184" t="s">
        <v>21</v>
      </c>
      <c r="F1184" t="s">
        <v>3723</v>
      </c>
    </row>
    <row r="1185" spans="1:6" hidden="1" x14ac:dyDescent="0.25">
      <c r="A1185" t="s">
        <v>3724</v>
      </c>
      <c r="B1185" t="s">
        <v>132</v>
      </c>
      <c r="C1185" t="s">
        <v>376</v>
      </c>
      <c r="D1185" t="s">
        <v>3725</v>
      </c>
      <c r="E1185" t="s">
        <v>21</v>
      </c>
      <c r="F1185" t="s">
        <v>3726</v>
      </c>
    </row>
    <row r="1186" spans="1:6" hidden="1" x14ac:dyDescent="0.25">
      <c r="A1186" t="s">
        <v>3727</v>
      </c>
      <c r="B1186" t="s">
        <v>492</v>
      </c>
      <c r="C1186" t="s">
        <v>376</v>
      </c>
      <c r="D1186" t="s">
        <v>3728</v>
      </c>
      <c r="E1186" t="s">
        <v>21</v>
      </c>
      <c r="F1186" t="s">
        <v>3729</v>
      </c>
    </row>
    <row r="1187" spans="1:6" hidden="1" x14ac:dyDescent="0.25">
      <c r="A1187" t="s">
        <v>3730</v>
      </c>
      <c r="B1187" t="s">
        <v>841</v>
      </c>
      <c r="C1187" t="s">
        <v>376</v>
      </c>
      <c r="D1187" t="s">
        <v>3731</v>
      </c>
      <c r="E1187" t="s">
        <v>21</v>
      </c>
      <c r="F1187" t="s">
        <v>3732</v>
      </c>
    </row>
    <row r="1188" spans="1:6" hidden="1" x14ac:dyDescent="0.25">
      <c r="A1188" t="s">
        <v>3733</v>
      </c>
      <c r="B1188" t="s">
        <v>591</v>
      </c>
      <c r="C1188" t="s">
        <v>469</v>
      </c>
      <c r="D1188" t="s">
        <v>3734</v>
      </c>
      <c r="E1188" t="s">
        <v>21</v>
      </c>
      <c r="F1188" t="s">
        <v>3735</v>
      </c>
    </row>
    <row r="1189" spans="1:6" hidden="1" x14ac:dyDescent="0.25">
      <c r="A1189" t="s">
        <v>3736</v>
      </c>
      <c r="B1189" t="s">
        <v>44</v>
      </c>
      <c r="C1189" t="s">
        <v>376</v>
      </c>
      <c r="D1189" t="s">
        <v>3737</v>
      </c>
      <c r="E1189" t="s">
        <v>21</v>
      </c>
      <c r="F1189" t="s">
        <v>3738</v>
      </c>
    </row>
    <row r="1190" spans="1:6" hidden="1" x14ac:dyDescent="0.25">
      <c r="A1190" t="s">
        <v>3739</v>
      </c>
      <c r="B1190" t="s">
        <v>512</v>
      </c>
      <c r="C1190" t="s">
        <v>554</v>
      </c>
      <c r="D1190" t="s">
        <v>3740</v>
      </c>
      <c r="E1190" t="s">
        <v>21</v>
      </c>
      <c r="F1190" t="s">
        <v>3741</v>
      </c>
    </row>
    <row r="1191" spans="1:6" hidden="1" x14ac:dyDescent="0.25">
      <c r="A1191" t="s">
        <v>3742</v>
      </c>
      <c r="B1191" t="s">
        <v>344</v>
      </c>
      <c r="C1191" t="s">
        <v>376</v>
      </c>
      <c r="D1191" t="s">
        <v>3743</v>
      </c>
      <c r="E1191" t="s">
        <v>21</v>
      </c>
      <c r="F1191" t="s">
        <v>3744</v>
      </c>
    </row>
    <row r="1192" spans="1:6" hidden="1" x14ac:dyDescent="0.25">
      <c r="A1192" t="s">
        <v>3745</v>
      </c>
      <c r="B1192" t="s">
        <v>245</v>
      </c>
      <c r="C1192" t="s">
        <v>376</v>
      </c>
      <c r="D1192" t="s">
        <v>3746</v>
      </c>
      <c r="E1192" t="s">
        <v>21</v>
      </c>
      <c r="F1192" t="s">
        <v>3747</v>
      </c>
    </row>
    <row r="1193" spans="1:6" hidden="1" x14ac:dyDescent="0.25">
      <c r="A1193" t="s">
        <v>3748</v>
      </c>
      <c r="B1193" t="s">
        <v>529</v>
      </c>
      <c r="C1193" t="s">
        <v>376</v>
      </c>
      <c r="D1193" t="s">
        <v>3749</v>
      </c>
      <c r="E1193" t="s">
        <v>21</v>
      </c>
      <c r="F1193" t="s">
        <v>3750</v>
      </c>
    </row>
    <row r="1194" spans="1:6" hidden="1" x14ac:dyDescent="0.25">
      <c r="A1194" t="s">
        <v>3751</v>
      </c>
      <c r="B1194" t="s">
        <v>272</v>
      </c>
      <c r="C1194" t="s">
        <v>376</v>
      </c>
      <c r="D1194" t="s">
        <v>3752</v>
      </c>
      <c r="E1194" t="s">
        <v>21</v>
      </c>
      <c r="F1194" t="s">
        <v>3753</v>
      </c>
    </row>
    <row r="1195" spans="1:6" x14ac:dyDescent="0.25">
      <c r="A1195" t="s">
        <v>3754</v>
      </c>
      <c r="B1195" t="s">
        <v>460</v>
      </c>
      <c r="C1195" t="s">
        <v>461</v>
      </c>
      <c r="D1195" t="s">
        <v>3755</v>
      </c>
      <c r="E1195" t="s">
        <v>21</v>
      </c>
      <c r="F1195" t="s">
        <v>3756</v>
      </c>
    </row>
    <row r="1196" spans="1:6" hidden="1" x14ac:dyDescent="0.25">
      <c r="A1196" t="s">
        <v>329</v>
      </c>
      <c r="B1196" t="s">
        <v>55</v>
      </c>
      <c r="C1196" t="s">
        <v>376</v>
      </c>
      <c r="D1196" t="s">
        <v>330</v>
      </c>
      <c r="E1196" t="s">
        <v>21</v>
      </c>
      <c r="F1196" t="s">
        <v>331</v>
      </c>
    </row>
    <row r="1197" spans="1:6" hidden="1" x14ac:dyDescent="0.25">
      <c r="A1197" t="s">
        <v>3757</v>
      </c>
      <c r="B1197" t="s">
        <v>256</v>
      </c>
      <c r="C1197" t="s">
        <v>376</v>
      </c>
      <c r="D1197" t="s">
        <v>3758</v>
      </c>
      <c r="E1197" t="s">
        <v>21</v>
      </c>
      <c r="F1197" t="s">
        <v>3759</v>
      </c>
    </row>
    <row r="1198" spans="1:6" hidden="1" x14ac:dyDescent="0.25">
      <c r="A1198" t="s">
        <v>3760</v>
      </c>
      <c r="B1198" t="s">
        <v>64</v>
      </c>
      <c r="C1198" t="s">
        <v>376</v>
      </c>
      <c r="D1198" t="s">
        <v>3761</v>
      </c>
      <c r="E1198" t="s">
        <v>21</v>
      </c>
      <c r="F1198" t="s">
        <v>3762</v>
      </c>
    </row>
    <row r="1199" spans="1:6" hidden="1" x14ac:dyDescent="0.25">
      <c r="A1199" t="s">
        <v>3763</v>
      </c>
      <c r="B1199" t="s">
        <v>143</v>
      </c>
      <c r="C1199" t="s">
        <v>376</v>
      </c>
      <c r="D1199" t="s">
        <v>3764</v>
      </c>
      <c r="E1199" t="s">
        <v>21</v>
      </c>
      <c r="F1199" t="s">
        <v>3765</v>
      </c>
    </row>
    <row r="1200" spans="1:6" hidden="1" x14ac:dyDescent="0.25">
      <c r="A1200" t="s">
        <v>3766</v>
      </c>
      <c r="B1200" t="s">
        <v>256</v>
      </c>
      <c r="C1200" t="s">
        <v>376</v>
      </c>
      <c r="D1200" t="s">
        <v>3767</v>
      </c>
      <c r="E1200" t="s">
        <v>21</v>
      </c>
      <c r="F1200" t="s">
        <v>3768</v>
      </c>
    </row>
    <row r="1201" spans="1:6" hidden="1" x14ac:dyDescent="0.25">
      <c r="A1201" t="s">
        <v>3769</v>
      </c>
      <c r="B1201" t="s">
        <v>841</v>
      </c>
      <c r="C1201" t="s">
        <v>376</v>
      </c>
      <c r="D1201" t="s">
        <v>3770</v>
      </c>
      <c r="E1201" t="s">
        <v>21</v>
      </c>
      <c r="F1201" t="s">
        <v>3771</v>
      </c>
    </row>
    <row r="1202" spans="1:6" hidden="1" x14ac:dyDescent="0.25">
      <c r="A1202" t="s">
        <v>3772</v>
      </c>
      <c r="B1202" t="s">
        <v>421</v>
      </c>
      <c r="C1202" t="s">
        <v>376</v>
      </c>
      <c r="D1202" t="s">
        <v>3773</v>
      </c>
      <c r="E1202" t="s">
        <v>21</v>
      </c>
      <c r="F1202" t="s">
        <v>3774</v>
      </c>
    </row>
    <row r="1203" spans="1:6" hidden="1" x14ac:dyDescent="0.25">
      <c r="A1203" t="s">
        <v>3775</v>
      </c>
      <c r="B1203" t="s">
        <v>256</v>
      </c>
      <c r="C1203" t="s">
        <v>666</v>
      </c>
      <c r="D1203" t="s">
        <v>3776</v>
      </c>
      <c r="E1203" t="s">
        <v>21</v>
      </c>
      <c r="F1203" t="s">
        <v>3777</v>
      </c>
    </row>
    <row r="1204" spans="1:6" hidden="1" x14ac:dyDescent="0.25">
      <c r="A1204" t="s">
        <v>3778</v>
      </c>
      <c r="B1204" t="s">
        <v>15</v>
      </c>
      <c r="C1204" t="s">
        <v>376</v>
      </c>
      <c r="D1204" t="s">
        <v>3779</v>
      </c>
      <c r="E1204" t="s">
        <v>21</v>
      </c>
      <c r="F1204" t="s">
        <v>3780</v>
      </c>
    </row>
    <row r="1205" spans="1:6" hidden="1" x14ac:dyDescent="0.25">
      <c r="A1205" t="s">
        <v>3781</v>
      </c>
      <c r="B1205" t="s">
        <v>492</v>
      </c>
      <c r="C1205" t="s">
        <v>376</v>
      </c>
      <c r="D1205" t="s">
        <v>3782</v>
      </c>
      <c r="E1205" t="s">
        <v>21</v>
      </c>
      <c r="F1205" t="s">
        <v>3783</v>
      </c>
    </row>
    <row r="1206" spans="1:6" hidden="1" x14ac:dyDescent="0.25">
      <c r="A1206" t="s">
        <v>3784</v>
      </c>
      <c r="B1206" t="s">
        <v>55</v>
      </c>
      <c r="C1206" t="s">
        <v>376</v>
      </c>
      <c r="D1206" t="s">
        <v>3785</v>
      </c>
      <c r="E1206" t="s">
        <v>21</v>
      </c>
      <c r="F1206" t="s">
        <v>3786</v>
      </c>
    </row>
    <row r="1207" spans="1:6" hidden="1" x14ac:dyDescent="0.25">
      <c r="A1207" t="s">
        <v>3787</v>
      </c>
      <c r="B1207" t="s">
        <v>68</v>
      </c>
      <c r="C1207" t="s">
        <v>376</v>
      </c>
      <c r="D1207" t="s">
        <v>3788</v>
      </c>
      <c r="E1207" t="s">
        <v>21</v>
      </c>
      <c r="F1207" t="s">
        <v>3789</v>
      </c>
    </row>
    <row r="1208" spans="1:6" hidden="1" x14ac:dyDescent="0.25">
      <c r="A1208" t="s">
        <v>3790</v>
      </c>
      <c r="B1208" t="s">
        <v>64</v>
      </c>
      <c r="C1208" t="s">
        <v>376</v>
      </c>
      <c r="D1208" t="s">
        <v>3791</v>
      </c>
      <c r="E1208" t="s">
        <v>21</v>
      </c>
      <c r="F1208" t="s">
        <v>3792</v>
      </c>
    </row>
    <row r="1209" spans="1:6" hidden="1" x14ac:dyDescent="0.25">
      <c r="A1209" t="s">
        <v>3793</v>
      </c>
      <c r="B1209" t="s">
        <v>44</v>
      </c>
      <c r="C1209" t="s">
        <v>376</v>
      </c>
      <c r="D1209" t="s">
        <v>3794</v>
      </c>
      <c r="E1209" t="s">
        <v>21</v>
      </c>
      <c r="F1209" t="s">
        <v>3795</v>
      </c>
    </row>
    <row r="1210" spans="1:6" hidden="1" x14ac:dyDescent="0.25">
      <c r="A1210" t="s">
        <v>3796</v>
      </c>
      <c r="B1210" t="s">
        <v>626</v>
      </c>
      <c r="C1210" t="s">
        <v>627</v>
      </c>
      <c r="D1210" t="s">
        <v>3797</v>
      </c>
      <c r="E1210" t="s">
        <v>21</v>
      </c>
      <c r="F1210" t="s">
        <v>3798</v>
      </c>
    </row>
    <row r="1211" spans="1:6" hidden="1" x14ac:dyDescent="0.25">
      <c r="A1211" t="s">
        <v>3799</v>
      </c>
      <c r="B1211" t="s">
        <v>78</v>
      </c>
      <c r="C1211" t="s">
        <v>376</v>
      </c>
      <c r="D1211" t="s">
        <v>3800</v>
      </c>
      <c r="E1211" t="s">
        <v>21</v>
      </c>
      <c r="F1211" t="s">
        <v>3801</v>
      </c>
    </row>
    <row r="1212" spans="1:6" hidden="1" x14ac:dyDescent="0.25">
      <c r="A1212" t="s">
        <v>3802</v>
      </c>
      <c r="B1212" t="s">
        <v>39</v>
      </c>
      <c r="C1212" t="s">
        <v>376</v>
      </c>
      <c r="D1212" t="s">
        <v>3803</v>
      </c>
      <c r="E1212" t="s">
        <v>21</v>
      </c>
      <c r="F1212" t="s">
        <v>3804</v>
      </c>
    </row>
    <row r="1213" spans="1:6" hidden="1" x14ac:dyDescent="0.25">
      <c r="A1213" t="s">
        <v>3805</v>
      </c>
      <c r="B1213" t="s">
        <v>132</v>
      </c>
      <c r="C1213" t="s">
        <v>376</v>
      </c>
      <c r="D1213" t="s">
        <v>3806</v>
      </c>
      <c r="E1213" t="s">
        <v>21</v>
      </c>
      <c r="F1213" t="s">
        <v>3807</v>
      </c>
    </row>
    <row r="1214" spans="1:6" hidden="1" x14ac:dyDescent="0.25">
      <c r="A1214" t="s">
        <v>3808</v>
      </c>
      <c r="B1214" t="s">
        <v>591</v>
      </c>
      <c r="C1214" t="s">
        <v>3809</v>
      </c>
      <c r="D1214" t="s">
        <v>3810</v>
      </c>
      <c r="E1214" t="s">
        <v>21</v>
      </c>
      <c r="F1214" t="s">
        <v>3811</v>
      </c>
    </row>
    <row r="1215" spans="1:6" hidden="1" x14ac:dyDescent="0.25">
      <c r="A1215" t="s">
        <v>3812</v>
      </c>
      <c r="B1215" t="s">
        <v>132</v>
      </c>
      <c r="C1215" t="s">
        <v>376</v>
      </c>
      <c r="D1215" t="s">
        <v>3813</v>
      </c>
      <c r="E1215" t="s">
        <v>21</v>
      </c>
      <c r="F1215" t="s">
        <v>3814</v>
      </c>
    </row>
    <row r="1216" spans="1:6" hidden="1" x14ac:dyDescent="0.25">
      <c r="A1216" t="s">
        <v>3815</v>
      </c>
      <c r="B1216" t="s">
        <v>124</v>
      </c>
      <c r="C1216" t="s">
        <v>376</v>
      </c>
      <c r="D1216" t="s">
        <v>3816</v>
      </c>
      <c r="E1216" t="s">
        <v>21</v>
      </c>
      <c r="F1216" t="s">
        <v>3817</v>
      </c>
    </row>
    <row r="1217" spans="1:6" hidden="1" x14ac:dyDescent="0.25">
      <c r="A1217" t="s">
        <v>3818</v>
      </c>
      <c r="B1217" t="s">
        <v>44</v>
      </c>
      <c r="C1217" t="s">
        <v>376</v>
      </c>
      <c r="D1217" t="s">
        <v>3819</v>
      </c>
      <c r="E1217" t="s">
        <v>21</v>
      </c>
      <c r="F1217" t="s">
        <v>3820</v>
      </c>
    </row>
    <row r="1218" spans="1:6" hidden="1" x14ac:dyDescent="0.25">
      <c r="A1218" t="s">
        <v>3821</v>
      </c>
      <c r="B1218" t="s">
        <v>139</v>
      </c>
      <c r="C1218" t="s">
        <v>376</v>
      </c>
      <c r="D1218" t="s">
        <v>3822</v>
      </c>
      <c r="E1218" t="s">
        <v>21</v>
      </c>
      <c r="F1218" t="s">
        <v>3823</v>
      </c>
    </row>
    <row r="1219" spans="1:6" hidden="1" x14ac:dyDescent="0.25">
      <c r="A1219" t="s">
        <v>3824</v>
      </c>
      <c r="B1219" t="s">
        <v>15</v>
      </c>
      <c r="C1219" t="s">
        <v>376</v>
      </c>
      <c r="D1219" t="s">
        <v>3825</v>
      </c>
      <c r="E1219" t="s">
        <v>21</v>
      </c>
      <c r="F1219" t="s">
        <v>3826</v>
      </c>
    </row>
    <row r="1220" spans="1:6" hidden="1" x14ac:dyDescent="0.25">
      <c r="A1220" t="s">
        <v>3827</v>
      </c>
      <c r="B1220" t="s">
        <v>256</v>
      </c>
      <c r="C1220" t="s">
        <v>376</v>
      </c>
      <c r="D1220" t="s">
        <v>3828</v>
      </c>
      <c r="E1220" t="s">
        <v>21</v>
      </c>
      <c r="F1220" t="s">
        <v>3829</v>
      </c>
    </row>
    <row r="1221" spans="1:6" hidden="1" x14ac:dyDescent="0.25">
      <c r="A1221" t="s">
        <v>3830</v>
      </c>
      <c r="B1221" t="s">
        <v>162</v>
      </c>
      <c r="C1221" t="s">
        <v>376</v>
      </c>
      <c r="D1221" t="s">
        <v>3831</v>
      </c>
      <c r="E1221" t="s">
        <v>21</v>
      </c>
      <c r="F1221" t="s">
        <v>3832</v>
      </c>
    </row>
    <row r="1222" spans="1:6" hidden="1" x14ac:dyDescent="0.25">
      <c r="A1222" t="s">
        <v>3833</v>
      </c>
      <c r="B1222" t="s">
        <v>124</v>
      </c>
      <c r="C1222" t="s">
        <v>376</v>
      </c>
      <c r="D1222" t="s">
        <v>3834</v>
      </c>
      <c r="E1222" t="s">
        <v>21</v>
      </c>
      <c r="F1222" t="s">
        <v>3835</v>
      </c>
    </row>
    <row r="1223" spans="1:6" hidden="1" x14ac:dyDescent="0.25">
      <c r="A1223" t="s">
        <v>3836</v>
      </c>
      <c r="B1223" t="s">
        <v>2411</v>
      </c>
      <c r="C1223" t="s">
        <v>376</v>
      </c>
      <c r="D1223" t="s">
        <v>3837</v>
      </c>
      <c r="E1223" t="s">
        <v>21</v>
      </c>
      <c r="F1223" t="s">
        <v>3838</v>
      </c>
    </row>
    <row r="1224" spans="1:6" hidden="1" x14ac:dyDescent="0.25">
      <c r="A1224" t="s">
        <v>3839</v>
      </c>
      <c r="B1224" t="s">
        <v>245</v>
      </c>
      <c r="C1224" t="s">
        <v>376</v>
      </c>
      <c r="D1224" t="s">
        <v>3840</v>
      </c>
      <c r="E1224" t="s">
        <v>21</v>
      </c>
      <c r="F1224" t="s">
        <v>3841</v>
      </c>
    </row>
    <row r="1225" spans="1:6" hidden="1" x14ac:dyDescent="0.25">
      <c r="A1225" t="s">
        <v>3842</v>
      </c>
      <c r="B1225" t="s">
        <v>55</v>
      </c>
      <c r="C1225" t="s">
        <v>376</v>
      </c>
      <c r="D1225" t="s">
        <v>3843</v>
      </c>
      <c r="E1225" t="s">
        <v>21</v>
      </c>
      <c r="F1225" t="s">
        <v>3844</v>
      </c>
    </row>
    <row r="1226" spans="1:6" hidden="1" x14ac:dyDescent="0.25">
      <c r="A1226" t="s">
        <v>3845</v>
      </c>
      <c r="B1226" t="s">
        <v>701</v>
      </c>
      <c r="C1226" t="s">
        <v>376</v>
      </c>
      <c r="D1226" t="s">
        <v>3846</v>
      </c>
      <c r="E1226" t="s">
        <v>21</v>
      </c>
      <c r="F1226" t="s">
        <v>3847</v>
      </c>
    </row>
    <row r="1227" spans="1:6" hidden="1" x14ac:dyDescent="0.25">
      <c r="A1227" t="s">
        <v>3848</v>
      </c>
      <c r="B1227" t="s">
        <v>626</v>
      </c>
      <c r="C1227" t="s">
        <v>1053</v>
      </c>
      <c r="D1227" t="s">
        <v>3849</v>
      </c>
      <c r="E1227" t="s">
        <v>21</v>
      </c>
      <c r="F1227" t="s">
        <v>3850</v>
      </c>
    </row>
    <row r="1228" spans="1:6" hidden="1" x14ac:dyDescent="0.25">
      <c r="A1228" t="s">
        <v>3851</v>
      </c>
      <c r="B1228" t="s">
        <v>626</v>
      </c>
      <c r="C1228" t="s">
        <v>1053</v>
      </c>
      <c r="D1228" t="s">
        <v>3852</v>
      </c>
      <c r="E1228" t="s">
        <v>21</v>
      </c>
      <c r="F1228" t="s">
        <v>3853</v>
      </c>
    </row>
    <row r="1229" spans="1:6" hidden="1" x14ac:dyDescent="0.25">
      <c r="A1229" t="s">
        <v>80</v>
      </c>
      <c r="B1229" t="s">
        <v>434</v>
      </c>
      <c r="C1229" t="s">
        <v>376</v>
      </c>
      <c r="D1229" t="s">
        <v>3854</v>
      </c>
      <c r="E1229" t="s">
        <v>21</v>
      </c>
      <c r="F1229" t="s">
        <v>83</v>
      </c>
    </row>
    <row r="1230" spans="1:6" hidden="1" x14ac:dyDescent="0.25">
      <c r="A1230" t="s">
        <v>3855</v>
      </c>
      <c r="B1230" t="s">
        <v>28</v>
      </c>
      <c r="C1230" t="s">
        <v>376</v>
      </c>
      <c r="D1230" t="s">
        <v>3856</v>
      </c>
      <c r="E1230" t="s">
        <v>21</v>
      </c>
      <c r="F1230" t="s">
        <v>3857</v>
      </c>
    </row>
    <row r="1231" spans="1:6" hidden="1" x14ac:dyDescent="0.25">
      <c r="A1231" t="s">
        <v>3858</v>
      </c>
      <c r="B1231" t="s">
        <v>256</v>
      </c>
      <c r="C1231" t="s">
        <v>376</v>
      </c>
      <c r="D1231" t="s">
        <v>3859</v>
      </c>
      <c r="E1231" t="s">
        <v>21</v>
      </c>
      <c r="F1231" t="s">
        <v>3860</v>
      </c>
    </row>
    <row r="1232" spans="1:6" hidden="1" x14ac:dyDescent="0.25">
      <c r="A1232" t="s">
        <v>3861</v>
      </c>
      <c r="B1232" t="s">
        <v>1430</v>
      </c>
      <c r="C1232" t="s">
        <v>376</v>
      </c>
      <c r="D1232" t="s">
        <v>3862</v>
      </c>
      <c r="E1232" t="s">
        <v>21</v>
      </c>
      <c r="F1232" t="s">
        <v>3863</v>
      </c>
    </row>
    <row r="1233" spans="1:6" hidden="1" x14ac:dyDescent="0.25">
      <c r="A1233" t="s">
        <v>3864</v>
      </c>
      <c r="B1233" t="s">
        <v>28</v>
      </c>
      <c r="C1233" t="s">
        <v>376</v>
      </c>
      <c r="D1233" t="s">
        <v>3865</v>
      </c>
      <c r="E1233" t="s">
        <v>21</v>
      </c>
      <c r="F1233" t="s">
        <v>3866</v>
      </c>
    </row>
    <row r="1234" spans="1:6" hidden="1" x14ac:dyDescent="0.25">
      <c r="A1234" t="s">
        <v>134</v>
      </c>
      <c r="B1234" t="s">
        <v>39</v>
      </c>
      <c r="C1234" t="s">
        <v>376</v>
      </c>
      <c r="D1234" t="s">
        <v>135</v>
      </c>
      <c r="E1234" t="s">
        <v>21</v>
      </c>
      <c r="F1234" t="s">
        <v>136</v>
      </c>
    </row>
    <row r="1235" spans="1:6" hidden="1" x14ac:dyDescent="0.25">
      <c r="A1235" t="s">
        <v>347</v>
      </c>
      <c r="B1235" t="s">
        <v>499</v>
      </c>
      <c r="C1235" t="s">
        <v>376</v>
      </c>
      <c r="D1235" t="s">
        <v>3867</v>
      </c>
      <c r="E1235" t="s">
        <v>21</v>
      </c>
      <c r="F1235" t="s">
        <v>3868</v>
      </c>
    </row>
    <row r="1236" spans="1:6" hidden="1" x14ac:dyDescent="0.25">
      <c r="A1236" t="s">
        <v>3869</v>
      </c>
      <c r="B1236" t="s">
        <v>59</v>
      </c>
      <c r="C1236" t="s">
        <v>376</v>
      </c>
      <c r="D1236" t="s">
        <v>3870</v>
      </c>
      <c r="E1236" t="s">
        <v>21</v>
      </c>
      <c r="F1236" t="s">
        <v>3871</v>
      </c>
    </row>
    <row r="1237" spans="1:6" hidden="1" x14ac:dyDescent="0.25">
      <c r="A1237" t="s">
        <v>3872</v>
      </c>
      <c r="B1237" t="s">
        <v>492</v>
      </c>
      <c r="C1237" t="s">
        <v>376</v>
      </c>
      <c r="D1237" t="s">
        <v>3873</v>
      </c>
      <c r="E1237" t="s">
        <v>21</v>
      </c>
      <c r="F1237" t="s">
        <v>3874</v>
      </c>
    </row>
    <row r="1238" spans="1:6" hidden="1" x14ac:dyDescent="0.25">
      <c r="A1238" t="s">
        <v>3875</v>
      </c>
      <c r="B1238" t="s">
        <v>44</v>
      </c>
      <c r="C1238" t="s">
        <v>376</v>
      </c>
      <c r="D1238" t="s">
        <v>3876</v>
      </c>
      <c r="E1238" t="s">
        <v>21</v>
      </c>
      <c r="F1238" t="s">
        <v>3877</v>
      </c>
    </row>
    <row r="1239" spans="1:6" hidden="1" x14ac:dyDescent="0.25">
      <c r="A1239" t="s">
        <v>3878</v>
      </c>
      <c r="B1239" t="s">
        <v>256</v>
      </c>
      <c r="C1239" t="s">
        <v>376</v>
      </c>
      <c r="D1239" t="s">
        <v>3879</v>
      </c>
      <c r="E1239" t="s">
        <v>21</v>
      </c>
      <c r="F1239" t="s">
        <v>3880</v>
      </c>
    </row>
    <row r="1240" spans="1:6" hidden="1" x14ac:dyDescent="0.25">
      <c r="A1240" t="s">
        <v>3881</v>
      </c>
      <c r="B1240" t="s">
        <v>414</v>
      </c>
      <c r="C1240" t="s">
        <v>376</v>
      </c>
      <c r="D1240" t="s">
        <v>3882</v>
      </c>
      <c r="E1240" t="s">
        <v>21</v>
      </c>
      <c r="F1240" t="s">
        <v>3883</v>
      </c>
    </row>
    <row r="1241" spans="1:6" hidden="1" x14ac:dyDescent="0.25">
      <c r="A1241" t="s">
        <v>3884</v>
      </c>
      <c r="B1241" t="s">
        <v>256</v>
      </c>
      <c r="C1241" t="s">
        <v>376</v>
      </c>
      <c r="D1241" t="s">
        <v>3885</v>
      </c>
      <c r="E1241" t="s">
        <v>21</v>
      </c>
      <c r="F1241" t="s">
        <v>3886</v>
      </c>
    </row>
    <row r="1242" spans="1:6" hidden="1" x14ac:dyDescent="0.25">
      <c r="A1242" t="s">
        <v>3887</v>
      </c>
      <c r="B1242" t="s">
        <v>708</v>
      </c>
      <c r="C1242" t="s">
        <v>376</v>
      </c>
      <c r="D1242" t="s">
        <v>3888</v>
      </c>
      <c r="E1242" t="s">
        <v>21</v>
      </c>
      <c r="F1242" t="s">
        <v>3889</v>
      </c>
    </row>
    <row r="1243" spans="1:6" hidden="1" x14ac:dyDescent="0.25">
      <c r="A1243" t="s">
        <v>3890</v>
      </c>
      <c r="B1243" t="s">
        <v>51</v>
      </c>
      <c r="C1243" t="s">
        <v>376</v>
      </c>
      <c r="D1243" t="s">
        <v>3891</v>
      </c>
      <c r="E1243" t="s">
        <v>21</v>
      </c>
      <c r="F1243" t="s">
        <v>3892</v>
      </c>
    </row>
    <row r="1244" spans="1:6" x14ac:dyDescent="0.25">
      <c r="A1244" t="s">
        <v>236</v>
      </c>
      <c r="B1244" t="s">
        <v>460</v>
      </c>
      <c r="C1244" t="s">
        <v>461</v>
      </c>
      <c r="D1244" t="s">
        <v>237</v>
      </c>
      <c r="E1244" t="s">
        <v>21</v>
      </c>
      <c r="F1244" t="s">
        <v>239</v>
      </c>
    </row>
    <row r="1245" spans="1:6" hidden="1" x14ac:dyDescent="0.25">
      <c r="A1245" t="s">
        <v>3893</v>
      </c>
      <c r="B1245" t="s">
        <v>162</v>
      </c>
      <c r="C1245" t="s">
        <v>376</v>
      </c>
      <c r="D1245" t="s">
        <v>3894</v>
      </c>
      <c r="E1245" t="s">
        <v>21</v>
      </c>
      <c r="F1245" t="s">
        <v>3895</v>
      </c>
    </row>
    <row r="1246" spans="1:6" hidden="1" x14ac:dyDescent="0.25">
      <c r="A1246" t="s">
        <v>3896</v>
      </c>
      <c r="B1246" t="s">
        <v>132</v>
      </c>
      <c r="C1246" t="s">
        <v>376</v>
      </c>
      <c r="D1246" t="s">
        <v>3897</v>
      </c>
      <c r="E1246" t="s">
        <v>21</v>
      </c>
      <c r="F1246" t="s">
        <v>3898</v>
      </c>
    </row>
    <row r="1247" spans="1:6" hidden="1" x14ac:dyDescent="0.25">
      <c r="A1247" t="s">
        <v>3899</v>
      </c>
      <c r="B1247" t="s">
        <v>482</v>
      </c>
      <c r="C1247" t="s">
        <v>376</v>
      </c>
      <c r="D1247" t="s">
        <v>3900</v>
      </c>
      <c r="E1247" t="s">
        <v>21</v>
      </c>
      <c r="F1247" t="s">
        <v>3901</v>
      </c>
    </row>
    <row r="1248" spans="1:6" hidden="1" x14ac:dyDescent="0.25">
      <c r="A1248" t="s">
        <v>3902</v>
      </c>
      <c r="B1248" t="s">
        <v>51</v>
      </c>
      <c r="C1248" t="s">
        <v>376</v>
      </c>
      <c r="D1248" t="s">
        <v>3903</v>
      </c>
      <c r="E1248" t="s">
        <v>21</v>
      </c>
      <c r="F1248" t="s">
        <v>3904</v>
      </c>
    </row>
    <row r="1249" spans="1:6" hidden="1" x14ac:dyDescent="0.25">
      <c r="A1249" t="s">
        <v>3905</v>
      </c>
      <c r="B1249" t="s">
        <v>128</v>
      </c>
      <c r="C1249" t="s">
        <v>376</v>
      </c>
      <c r="D1249" t="s">
        <v>3906</v>
      </c>
      <c r="E1249" t="s">
        <v>21</v>
      </c>
      <c r="F1249" t="s">
        <v>3907</v>
      </c>
    </row>
    <row r="1250" spans="1:6" hidden="1" x14ac:dyDescent="0.25">
      <c r="A1250" t="s">
        <v>3908</v>
      </c>
      <c r="B1250" t="s">
        <v>128</v>
      </c>
      <c r="C1250" t="s">
        <v>376</v>
      </c>
      <c r="D1250" t="s">
        <v>3909</v>
      </c>
      <c r="E1250" t="s">
        <v>21</v>
      </c>
      <c r="F1250" t="s">
        <v>3910</v>
      </c>
    </row>
    <row r="1251" spans="1:6" hidden="1" x14ac:dyDescent="0.25">
      <c r="A1251" t="s">
        <v>3911</v>
      </c>
      <c r="B1251" t="s">
        <v>391</v>
      </c>
      <c r="C1251" t="s">
        <v>376</v>
      </c>
      <c r="D1251" t="s">
        <v>3912</v>
      </c>
      <c r="E1251" t="s">
        <v>21</v>
      </c>
      <c r="F1251" t="s">
        <v>3913</v>
      </c>
    </row>
    <row r="1252" spans="1:6" hidden="1" x14ac:dyDescent="0.25">
      <c r="A1252" t="s">
        <v>3914</v>
      </c>
      <c r="B1252" t="s">
        <v>492</v>
      </c>
      <c r="C1252" t="s">
        <v>376</v>
      </c>
      <c r="D1252" t="s">
        <v>3915</v>
      </c>
      <c r="E1252" t="s">
        <v>21</v>
      </c>
      <c r="F1252" t="s">
        <v>3916</v>
      </c>
    </row>
    <row r="1253" spans="1:6" hidden="1" x14ac:dyDescent="0.25">
      <c r="A1253" t="s">
        <v>3917</v>
      </c>
      <c r="B1253" t="s">
        <v>59</v>
      </c>
      <c r="C1253" t="s">
        <v>376</v>
      </c>
      <c r="D1253" t="s">
        <v>3918</v>
      </c>
      <c r="E1253" t="s">
        <v>21</v>
      </c>
      <c r="F1253" t="s">
        <v>3919</v>
      </c>
    </row>
    <row r="1254" spans="1:6" hidden="1" x14ac:dyDescent="0.25">
      <c r="A1254" t="s">
        <v>204</v>
      </c>
      <c r="B1254" t="s">
        <v>51</v>
      </c>
      <c r="C1254" t="s">
        <v>376</v>
      </c>
      <c r="D1254" t="s">
        <v>205</v>
      </c>
      <c r="E1254" t="s">
        <v>21</v>
      </c>
      <c r="F1254" t="s">
        <v>206</v>
      </c>
    </row>
    <row r="1255" spans="1:6" hidden="1" x14ac:dyDescent="0.25">
      <c r="A1255" t="s">
        <v>3920</v>
      </c>
      <c r="B1255" t="s">
        <v>591</v>
      </c>
      <c r="C1255" t="s">
        <v>3921</v>
      </c>
      <c r="D1255" t="s">
        <v>3922</v>
      </c>
      <c r="E1255" t="s">
        <v>21</v>
      </c>
      <c r="F1255" t="s">
        <v>3923</v>
      </c>
    </row>
    <row r="1256" spans="1:6" hidden="1" x14ac:dyDescent="0.25">
      <c r="A1256" t="s">
        <v>3924</v>
      </c>
      <c r="B1256" t="s">
        <v>55</v>
      </c>
      <c r="C1256" t="s">
        <v>469</v>
      </c>
      <c r="D1256" t="s">
        <v>3925</v>
      </c>
      <c r="E1256" t="s">
        <v>21</v>
      </c>
      <c r="F1256" t="s">
        <v>3926</v>
      </c>
    </row>
    <row r="1257" spans="1:6" hidden="1" x14ac:dyDescent="0.25">
      <c r="A1257" t="s">
        <v>3927</v>
      </c>
      <c r="B1257" t="s">
        <v>256</v>
      </c>
      <c r="C1257" t="s">
        <v>376</v>
      </c>
      <c r="D1257" t="s">
        <v>3928</v>
      </c>
      <c r="E1257" t="s">
        <v>21</v>
      </c>
      <c r="F1257" t="s">
        <v>3929</v>
      </c>
    </row>
    <row r="1258" spans="1:6" hidden="1" x14ac:dyDescent="0.25">
      <c r="A1258" t="s">
        <v>246</v>
      </c>
      <c r="B1258" t="s">
        <v>55</v>
      </c>
      <c r="C1258" t="s">
        <v>376</v>
      </c>
      <c r="D1258" t="s">
        <v>247</v>
      </c>
      <c r="E1258" t="s">
        <v>21</v>
      </c>
      <c r="F1258" t="s">
        <v>249</v>
      </c>
    </row>
    <row r="1259" spans="1:6" hidden="1" x14ac:dyDescent="0.25">
      <c r="A1259" t="s">
        <v>3930</v>
      </c>
      <c r="B1259" t="s">
        <v>1764</v>
      </c>
      <c r="C1259" t="s">
        <v>376</v>
      </c>
      <c r="D1259" t="s">
        <v>3931</v>
      </c>
      <c r="E1259" t="s">
        <v>21</v>
      </c>
      <c r="F1259" t="s">
        <v>3932</v>
      </c>
    </row>
    <row r="1260" spans="1:6" hidden="1" x14ac:dyDescent="0.25">
      <c r="A1260" t="s">
        <v>3933</v>
      </c>
      <c r="B1260" t="s">
        <v>68</v>
      </c>
      <c r="C1260" t="s">
        <v>376</v>
      </c>
      <c r="D1260" t="s">
        <v>3934</v>
      </c>
      <c r="E1260" t="s">
        <v>21</v>
      </c>
      <c r="F1260" t="s">
        <v>3935</v>
      </c>
    </row>
    <row r="1261" spans="1:6" hidden="1" x14ac:dyDescent="0.25">
      <c r="A1261" t="s">
        <v>3936</v>
      </c>
      <c r="B1261" t="s">
        <v>591</v>
      </c>
      <c r="C1261" t="s">
        <v>3937</v>
      </c>
      <c r="D1261" t="s">
        <v>3938</v>
      </c>
      <c r="E1261" t="s">
        <v>21</v>
      </c>
      <c r="F1261" t="s">
        <v>3939</v>
      </c>
    </row>
    <row r="1262" spans="1:6" hidden="1" x14ac:dyDescent="0.25">
      <c r="A1262" t="s">
        <v>3940</v>
      </c>
      <c r="B1262" t="s">
        <v>1754</v>
      </c>
      <c r="C1262" t="s">
        <v>376</v>
      </c>
      <c r="D1262" t="s">
        <v>3941</v>
      </c>
      <c r="E1262" t="s">
        <v>21</v>
      </c>
      <c r="F1262" t="s">
        <v>3942</v>
      </c>
    </row>
    <row r="1263" spans="1:6" hidden="1" x14ac:dyDescent="0.25">
      <c r="A1263" t="s">
        <v>3943</v>
      </c>
      <c r="B1263" t="s">
        <v>132</v>
      </c>
      <c r="C1263" t="s">
        <v>376</v>
      </c>
      <c r="D1263" t="s">
        <v>3944</v>
      </c>
      <c r="E1263" t="s">
        <v>21</v>
      </c>
      <c r="F1263" t="s">
        <v>3945</v>
      </c>
    </row>
    <row r="1264" spans="1:6" hidden="1" x14ac:dyDescent="0.25">
      <c r="A1264" t="s">
        <v>3946</v>
      </c>
      <c r="B1264" t="s">
        <v>59</v>
      </c>
      <c r="C1264" t="s">
        <v>376</v>
      </c>
      <c r="D1264" t="s">
        <v>3947</v>
      </c>
      <c r="E1264" t="s">
        <v>21</v>
      </c>
      <c r="F1264" t="s">
        <v>3948</v>
      </c>
    </row>
    <row r="1265" spans="1:6" hidden="1" x14ac:dyDescent="0.25">
      <c r="A1265" t="s">
        <v>3949</v>
      </c>
      <c r="B1265" t="s">
        <v>591</v>
      </c>
      <c r="C1265" t="s">
        <v>990</v>
      </c>
      <c r="D1265" t="s">
        <v>3950</v>
      </c>
      <c r="E1265" t="s">
        <v>21</v>
      </c>
      <c r="F1265" t="s">
        <v>3951</v>
      </c>
    </row>
    <row r="1266" spans="1:6" hidden="1" x14ac:dyDescent="0.25">
      <c r="A1266" t="s">
        <v>3952</v>
      </c>
      <c r="B1266" t="s">
        <v>51</v>
      </c>
      <c r="C1266" t="s">
        <v>376</v>
      </c>
      <c r="D1266" t="s">
        <v>3953</v>
      </c>
      <c r="E1266" t="s">
        <v>21</v>
      </c>
      <c r="F1266" t="s">
        <v>3954</v>
      </c>
    </row>
    <row r="1267" spans="1:6" hidden="1" x14ac:dyDescent="0.25">
      <c r="A1267" t="s">
        <v>3955</v>
      </c>
      <c r="B1267" t="s">
        <v>15</v>
      </c>
      <c r="C1267" t="s">
        <v>376</v>
      </c>
      <c r="D1267" t="s">
        <v>3956</v>
      </c>
      <c r="E1267" t="s">
        <v>21</v>
      </c>
      <c r="F1267" t="s">
        <v>3957</v>
      </c>
    </row>
    <row r="1268" spans="1:6" hidden="1" x14ac:dyDescent="0.25">
      <c r="A1268" t="s">
        <v>3958</v>
      </c>
      <c r="B1268" t="s">
        <v>245</v>
      </c>
      <c r="C1268" t="s">
        <v>376</v>
      </c>
      <c r="D1268" t="s">
        <v>3959</v>
      </c>
      <c r="E1268" t="s">
        <v>21</v>
      </c>
      <c r="F1268" t="s">
        <v>3960</v>
      </c>
    </row>
    <row r="1269" spans="1:6" hidden="1" x14ac:dyDescent="0.25">
      <c r="A1269" t="s">
        <v>3961</v>
      </c>
      <c r="B1269" t="s">
        <v>176</v>
      </c>
      <c r="C1269" t="s">
        <v>376</v>
      </c>
      <c r="D1269" t="s">
        <v>3962</v>
      </c>
      <c r="E1269" t="s">
        <v>21</v>
      </c>
      <c r="F1269" t="s">
        <v>3963</v>
      </c>
    </row>
    <row r="1270" spans="1:6" hidden="1" x14ac:dyDescent="0.25">
      <c r="A1270" t="s">
        <v>3964</v>
      </c>
      <c r="B1270" t="s">
        <v>55</v>
      </c>
      <c r="C1270" t="s">
        <v>376</v>
      </c>
      <c r="D1270" t="s">
        <v>3965</v>
      </c>
      <c r="E1270" t="s">
        <v>21</v>
      </c>
      <c r="F1270" t="s">
        <v>3966</v>
      </c>
    </row>
    <row r="1271" spans="1:6" hidden="1" x14ac:dyDescent="0.25">
      <c r="A1271" t="s">
        <v>3967</v>
      </c>
      <c r="B1271" t="s">
        <v>609</v>
      </c>
      <c r="C1271" t="s">
        <v>376</v>
      </c>
      <c r="D1271" t="s">
        <v>3968</v>
      </c>
      <c r="E1271" t="s">
        <v>21</v>
      </c>
      <c r="F1271" t="s">
        <v>3969</v>
      </c>
    </row>
    <row r="1272" spans="1:6" hidden="1" x14ac:dyDescent="0.25">
      <c r="A1272" t="s">
        <v>3970</v>
      </c>
      <c r="B1272" t="s">
        <v>176</v>
      </c>
      <c r="C1272" t="s">
        <v>376</v>
      </c>
      <c r="D1272" t="s">
        <v>3971</v>
      </c>
      <c r="E1272" t="s">
        <v>21</v>
      </c>
      <c r="F1272" t="s">
        <v>3972</v>
      </c>
    </row>
    <row r="1273" spans="1:6" hidden="1" x14ac:dyDescent="0.25">
      <c r="A1273" t="s">
        <v>3973</v>
      </c>
      <c r="B1273" t="s">
        <v>143</v>
      </c>
      <c r="C1273" t="s">
        <v>376</v>
      </c>
      <c r="D1273" t="s">
        <v>3974</v>
      </c>
      <c r="E1273" t="s">
        <v>21</v>
      </c>
      <c r="F1273" t="s">
        <v>3975</v>
      </c>
    </row>
    <row r="1274" spans="1:6" x14ac:dyDescent="0.25">
      <c r="A1274" t="s">
        <v>3976</v>
      </c>
      <c r="B1274" t="s">
        <v>460</v>
      </c>
      <c r="C1274" t="s">
        <v>461</v>
      </c>
      <c r="D1274" t="s">
        <v>3977</v>
      </c>
      <c r="E1274" t="s">
        <v>21</v>
      </c>
      <c r="F1274" t="s">
        <v>3978</v>
      </c>
    </row>
    <row r="1275" spans="1:6" hidden="1" x14ac:dyDescent="0.25">
      <c r="A1275" t="s">
        <v>3979</v>
      </c>
      <c r="B1275" t="s">
        <v>482</v>
      </c>
      <c r="C1275" t="s">
        <v>376</v>
      </c>
      <c r="D1275" t="s">
        <v>3980</v>
      </c>
      <c r="E1275" t="s">
        <v>21</v>
      </c>
      <c r="F1275" t="s">
        <v>3981</v>
      </c>
    </row>
    <row r="1276" spans="1:6" x14ac:dyDescent="0.25">
      <c r="A1276" t="s">
        <v>267</v>
      </c>
      <c r="B1276" t="s">
        <v>460</v>
      </c>
      <c r="C1276" t="s">
        <v>461</v>
      </c>
      <c r="D1276" t="s">
        <v>268</v>
      </c>
      <c r="E1276" t="s">
        <v>21</v>
      </c>
      <c r="F1276" t="s">
        <v>269</v>
      </c>
    </row>
    <row r="1277" spans="1:6" hidden="1" x14ac:dyDescent="0.25">
      <c r="A1277" t="s">
        <v>3982</v>
      </c>
      <c r="B1277" t="s">
        <v>132</v>
      </c>
      <c r="C1277" t="s">
        <v>376</v>
      </c>
      <c r="D1277" t="s">
        <v>3983</v>
      </c>
      <c r="E1277" t="s">
        <v>21</v>
      </c>
      <c r="F1277" t="s">
        <v>3984</v>
      </c>
    </row>
    <row r="1278" spans="1:6" hidden="1" x14ac:dyDescent="0.25">
      <c r="A1278" t="s">
        <v>3985</v>
      </c>
      <c r="B1278" t="s">
        <v>2736</v>
      </c>
      <c r="C1278" t="s">
        <v>376</v>
      </c>
      <c r="D1278" t="s">
        <v>3986</v>
      </c>
      <c r="E1278" t="s">
        <v>21</v>
      </c>
      <c r="F1278" t="s">
        <v>3987</v>
      </c>
    </row>
    <row r="1279" spans="1:6" hidden="1" x14ac:dyDescent="0.25">
      <c r="A1279" t="s">
        <v>3988</v>
      </c>
      <c r="B1279" t="s">
        <v>55</v>
      </c>
      <c r="C1279" t="s">
        <v>376</v>
      </c>
      <c r="D1279" t="s">
        <v>3989</v>
      </c>
      <c r="E1279" t="s">
        <v>21</v>
      </c>
      <c r="F1279" t="s">
        <v>3990</v>
      </c>
    </row>
    <row r="1280" spans="1:6" hidden="1" x14ac:dyDescent="0.25">
      <c r="A1280" t="s">
        <v>3991</v>
      </c>
      <c r="B1280" t="s">
        <v>59</v>
      </c>
      <c r="C1280" t="s">
        <v>376</v>
      </c>
      <c r="D1280" t="s">
        <v>3992</v>
      </c>
      <c r="E1280" t="s">
        <v>21</v>
      </c>
      <c r="F1280" t="s">
        <v>3993</v>
      </c>
    </row>
    <row r="1281" spans="1:6" hidden="1" x14ac:dyDescent="0.25">
      <c r="A1281" t="s">
        <v>3994</v>
      </c>
      <c r="B1281" t="s">
        <v>344</v>
      </c>
      <c r="C1281" t="s">
        <v>469</v>
      </c>
      <c r="D1281" t="s">
        <v>3995</v>
      </c>
      <c r="E1281" t="s">
        <v>21</v>
      </c>
      <c r="F1281" t="s">
        <v>3996</v>
      </c>
    </row>
    <row r="1282" spans="1:6" hidden="1" x14ac:dyDescent="0.25">
      <c r="A1282" t="s">
        <v>3997</v>
      </c>
      <c r="B1282" t="s">
        <v>55</v>
      </c>
      <c r="C1282" t="s">
        <v>376</v>
      </c>
      <c r="D1282" t="s">
        <v>3998</v>
      </c>
      <c r="E1282" t="s">
        <v>21</v>
      </c>
      <c r="F1282" t="s">
        <v>3999</v>
      </c>
    </row>
    <row r="1283" spans="1:6" hidden="1" x14ac:dyDescent="0.25">
      <c r="A1283" t="s">
        <v>4000</v>
      </c>
      <c r="B1283" t="s">
        <v>55</v>
      </c>
      <c r="C1283" t="s">
        <v>376</v>
      </c>
      <c r="D1283" t="s">
        <v>4001</v>
      </c>
      <c r="E1283" t="s">
        <v>21</v>
      </c>
      <c r="F1283" t="s">
        <v>4002</v>
      </c>
    </row>
    <row r="1284" spans="1:6" hidden="1" x14ac:dyDescent="0.25">
      <c r="A1284" t="s">
        <v>4003</v>
      </c>
      <c r="B1284" t="s">
        <v>51</v>
      </c>
      <c r="C1284" t="s">
        <v>376</v>
      </c>
      <c r="D1284" t="s">
        <v>4004</v>
      </c>
      <c r="E1284" t="s">
        <v>21</v>
      </c>
      <c r="F1284" t="s">
        <v>4005</v>
      </c>
    </row>
    <row r="1285" spans="1:6" hidden="1" x14ac:dyDescent="0.25">
      <c r="A1285" t="s">
        <v>4008</v>
      </c>
      <c r="B1285" t="s">
        <v>55</v>
      </c>
      <c r="C1285" t="s">
        <v>376</v>
      </c>
      <c r="D1285" t="s">
        <v>4009</v>
      </c>
      <c r="E1285" t="s">
        <v>21</v>
      </c>
      <c r="F1285" t="s">
        <v>4010</v>
      </c>
    </row>
    <row r="1286" spans="1:6" hidden="1" x14ac:dyDescent="0.25">
      <c r="A1286" t="s">
        <v>4011</v>
      </c>
      <c r="B1286" t="s">
        <v>245</v>
      </c>
      <c r="C1286" t="s">
        <v>469</v>
      </c>
      <c r="D1286" t="s">
        <v>4012</v>
      </c>
      <c r="E1286" t="s">
        <v>21</v>
      </c>
      <c r="F1286" t="s">
        <v>4013</v>
      </c>
    </row>
    <row r="1287" spans="1:6" hidden="1" x14ac:dyDescent="0.25">
      <c r="A1287" t="s">
        <v>4014</v>
      </c>
      <c r="B1287" t="s">
        <v>28</v>
      </c>
      <c r="C1287" t="s">
        <v>376</v>
      </c>
      <c r="D1287" t="s">
        <v>4015</v>
      </c>
      <c r="E1287" t="s">
        <v>21</v>
      </c>
      <c r="F1287" t="s">
        <v>4016</v>
      </c>
    </row>
    <row r="1288" spans="1:6" hidden="1" x14ac:dyDescent="0.25">
      <c r="A1288" t="s">
        <v>4017</v>
      </c>
      <c r="B1288" t="s">
        <v>626</v>
      </c>
      <c r="C1288" t="s">
        <v>1053</v>
      </c>
      <c r="D1288" t="s">
        <v>4018</v>
      </c>
      <c r="E1288" t="s">
        <v>21</v>
      </c>
      <c r="F1288" t="s">
        <v>4019</v>
      </c>
    </row>
    <row r="1289" spans="1:6" hidden="1" x14ac:dyDescent="0.25">
      <c r="A1289" t="s">
        <v>4020</v>
      </c>
      <c r="B1289" t="s">
        <v>529</v>
      </c>
      <c r="C1289" t="s">
        <v>376</v>
      </c>
      <c r="D1289" t="s">
        <v>4021</v>
      </c>
      <c r="E1289" t="s">
        <v>21</v>
      </c>
      <c r="F1289" t="s">
        <v>4022</v>
      </c>
    </row>
    <row r="1290" spans="1:6" hidden="1" x14ac:dyDescent="0.25">
      <c r="A1290" t="s">
        <v>4023</v>
      </c>
      <c r="B1290" t="s">
        <v>256</v>
      </c>
      <c r="C1290" t="s">
        <v>376</v>
      </c>
      <c r="D1290" t="s">
        <v>4024</v>
      </c>
      <c r="E1290" t="s">
        <v>21</v>
      </c>
      <c r="F1290" t="s">
        <v>4025</v>
      </c>
    </row>
    <row r="1291" spans="1:6" hidden="1" x14ac:dyDescent="0.25">
      <c r="A1291" t="s">
        <v>4026</v>
      </c>
      <c r="B1291" t="s">
        <v>59</v>
      </c>
      <c r="C1291" t="s">
        <v>376</v>
      </c>
      <c r="D1291" t="s">
        <v>4027</v>
      </c>
      <c r="E1291" t="s">
        <v>21</v>
      </c>
      <c r="F1291" t="s">
        <v>4028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BFA-A3DC-4AEB-972D-C8F38C23E32F}">
  <dimension ref="A1:S1841"/>
  <sheetViews>
    <sheetView topLeftCell="J1" workbookViewId="0">
      <selection activeCell="L1641" sqref="L1641"/>
    </sheetView>
  </sheetViews>
  <sheetFormatPr baseColWidth="10" defaultColWidth="9.140625" defaultRowHeight="15" x14ac:dyDescent="0.25"/>
  <cols>
    <col min="1" max="1" width="13.7109375" bestFit="1" customWidth="1"/>
    <col min="2" max="2" width="15.28515625" bestFit="1" customWidth="1"/>
    <col min="3" max="3" width="40.140625" bestFit="1" customWidth="1"/>
    <col min="4" max="4" width="24.28515625" bestFit="1" customWidth="1"/>
    <col min="5" max="5" width="14.7109375" bestFit="1" customWidth="1"/>
    <col min="6" max="6" width="24.28515625" bestFit="1" customWidth="1"/>
    <col min="7" max="7" width="16.28515625" bestFit="1" customWidth="1"/>
    <col min="8" max="8" width="15.85546875" bestFit="1" customWidth="1"/>
    <col min="9" max="10" width="13" bestFit="1" customWidth="1"/>
    <col min="11" max="11" width="28" bestFit="1" customWidth="1"/>
    <col min="12" max="12" width="81.140625" bestFit="1" customWidth="1"/>
    <col min="13" max="13" width="23.85546875" bestFit="1" customWidth="1"/>
    <col min="14" max="14" width="25.42578125" bestFit="1" customWidth="1"/>
    <col min="15" max="15" width="25.5703125" bestFit="1" customWidth="1"/>
    <col min="16" max="16" width="44.5703125" bestFit="1" customWidth="1"/>
    <col min="17" max="17" width="42.28515625" bestFit="1" customWidth="1"/>
    <col min="18" max="18" width="19.7109375" bestFit="1" customWidth="1"/>
    <col min="19" max="19" width="12.85546875" style="2" bestFit="1" customWidth="1"/>
    <col min="20" max="20" width="37" bestFit="1" customWidth="1"/>
    <col min="21" max="21" width="14.28515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4029</v>
      </c>
      <c r="F1" t="s">
        <v>4</v>
      </c>
      <c r="G1" t="s">
        <v>5</v>
      </c>
      <c r="H1" t="s">
        <v>6</v>
      </c>
      <c r="I1" t="s">
        <v>4030</v>
      </c>
      <c r="J1" t="s">
        <v>4031</v>
      </c>
      <c r="K1" t="s">
        <v>8</v>
      </c>
      <c r="L1" t="s">
        <v>9</v>
      </c>
      <c r="M1" t="s">
        <v>4032</v>
      </c>
      <c r="N1" t="s">
        <v>4033</v>
      </c>
      <c r="O1" t="s">
        <v>4034</v>
      </c>
      <c r="P1" t="s">
        <v>4035</v>
      </c>
      <c r="Q1" t="s">
        <v>4036</v>
      </c>
      <c r="R1" t="s">
        <v>4037</v>
      </c>
      <c r="S1" s="2" t="s">
        <v>4038</v>
      </c>
    </row>
    <row r="2" spans="1:19" hidden="1" x14ac:dyDescent="0.25">
      <c r="A2" t="s">
        <v>4039</v>
      </c>
      <c r="B2">
        <v>1102885216</v>
      </c>
      <c r="C2" t="s">
        <v>3900</v>
      </c>
      <c r="D2" s="11" t="s">
        <v>482</v>
      </c>
      <c r="E2" s="11" t="s">
        <v>4040</v>
      </c>
      <c r="F2" s="11" t="s">
        <v>16</v>
      </c>
      <c r="G2" s="1">
        <v>46234</v>
      </c>
      <c r="H2" s="1">
        <v>46234</v>
      </c>
      <c r="I2" s="2"/>
      <c r="J2" s="2"/>
      <c r="K2" s="11"/>
      <c r="L2" s="11" t="s">
        <v>4041</v>
      </c>
      <c r="M2" s="1"/>
      <c r="N2" s="11"/>
      <c r="O2" s="11" t="s">
        <v>4042</v>
      </c>
      <c r="P2" s="1"/>
      <c r="Q2" s="1"/>
      <c r="R2" s="11"/>
      <c r="S2" s="2">
        <f>CONSOLIDADO_2026[[#This Row],[Hora final]]-CONSOLIDADO_2026[[#This Row],[Hora inic]]</f>
        <v>0</v>
      </c>
    </row>
    <row r="3" spans="1:19" hidden="1" x14ac:dyDescent="0.25">
      <c r="A3" t="s">
        <v>4043</v>
      </c>
      <c r="B3">
        <v>1037634709</v>
      </c>
      <c r="C3" t="s">
        <v>4044</v>
      </c>
      <c r="D3" s="11" t="s">
        <v>492</v>
      </c>
      <c r="E3" s="11" t="s">
        <v>4045</v>
      </c>
      <c r="F3" s="11" t="s">
        <v>16</v>
      </c>
      <c r="G3" s="1">
        <v>46234</v>
      </c>
      <c r="H3" s="1">
        <v>46235</v>
      </c>
      <c r="I3" s="2"/>
      <c r="J3" s="2"/>
      <c r="K3" s="11"/>
      <c r="L3" s="11" t="s">
        <v>4041</v>
      </c>
      <c r="M3" s="1"/>
      <c r="N3" s="11"/>
      <c r="O3" s="11" t="s">
        <v>4042</v>
      </c>
      <c r="P3" s="1"/>
      <c r="Q3" s="1"/>
      <c r="R3" s="11"/>
      <c r="S3" s="2">
        <f>CONSOLIDADO_2026[[#This Row],[Hora final]]-CONSOLIDADO_2026[[#This Row],[Hora inic]]</f>
        <v>0</v>
      </c>
    </row>
    <row r="4" spans="1:19" hidden="1" x14ac:dyDescent="0.25">
      <c r="A4" t="s">
        <v>4043</v>
      </c>
      <c r="B4">
        <v>1152436231</v>
      </c>
      <c r="C4" t="s">
        <v>142</v>
      </c>
      <c r="D4" s="11" t="s">
        <v>143</v>
      </c>
      <c r="E4" s="11" t="s">
        <v>4045</v>
      </c>
      <c r="F4" s="11" t="s">
        <v>16</v>
      </c>
      <c r="G4" s="1">
        <v>46234</v>
      </c>
      <c r="H4" s="1">
        <v>46235</v>
      </c>
      <c r="I4" s="2"/>
      <c r="J4" s="2"/>
      <c r="K4" s="11"/>
      <c r="L4" s="11" t="s">
        <v>4041</v>
      </c>
      <c r="M4" s="1"/>
      <c r="N4" s="11"/>
      <c r="O4" s="11" t="s">
        <v>4042</v>
      </c>
      <c r="P4" s="1"/>
      <c r="Q4" s="1"/>
      <c r="R4" s="11"/>
      <c r="S4" s="2">
        <f>CONSOLIDADO_2026[[#This Row],[Hora final]]-CONSOLIDADO_2026[[#This Row],[Hora inic]]</f>
        <v>0</v>
      </c>
    </row>
    <row r="5" spans="1:19" hidden="1" x14ac:dyDescent="0.25">
      <c r="A5" t="s">
        <v>4043</v>
      </c>
      <c r="B5">
        <v>42158742</v>
      </c>
      <c r="C5" t="s">
        <v>3192</v>
      </c>
      <c r="D5" s="11" t="s">
        <v>78</v>
      </c>
      <c r="E5" s="11" t="s">
        <v>4046</v>
      </c>
      <c r="F5" s="11" t="s">
        <v>16</v>
      </c>
      <c r="G5" s="1">
        <v>46234</v>
      </c>
      <c r="H5" s="1">
        <v>46235</v>
      </c>
      <c r="I5" s="2"/>
      <c r="J5" s="2"/>
      <c r="K5" s="11"/>
      <c r="L5" s="11" t="s">
        <v>4041</v>
      </c>
      <c r="M5" s="1"/>
      <c r="N5" s="11"/>
      <c r="O5" s="11" t="s">
        <v>4042</v>
      </c>
      <c r="P5" s="1"/>
      <c r="Q5" s="1"/>
      <c r="R5" s="11"/>
      <c r="S5" s="2">
        <f>CONSOLIDADO_2026[[#This Row],[Hora final]]-CONSOLIDADO_2026[[#This Row],[Hora inic]]</f>
        <v>0</v>
      </c>
    </row>
    <row r="6" spans="1:19" hidden="1" x14ac:dyDescent="0.25">
      <c r="A6" t="s">
        <v>4039</v>
      </c>
      <c r="B6">
        <v>1001013936</v>
      </c>
      <c r="C6" t="s">
        <v>3856</v>
      </c>
      <c r="D6" s="11" t="s">
        <v>28</v>
      </c>
      <c r="E6" s="11" t="s">
        <v>4046</v>
      </c>
      <c r="F6" s="11" t="s">
        <v>16</v>
      </c>
      <c r="G6" s="1">
        <v>46234</v>
      </c>
      <c r="H6" s="1">
        <v>46234</v>
      </c>
      <c r="I6" s="2"/>
      <c r="J6" s="2"/>
      <c r="K6" s="11"/>
      <c r="L6" s="11" t="s">
        <v>4041</v>
      </c>
      <c r="M6" s="1"/>
      <c r="N6" s="11"/>
      <c r="O6" s="11" t="s">
        <v>4042</v>
      </c>
      <c r="P6" s="1"/>
      <c r="Q6" s="1"/>
      <c r="R6" s="11"/>
      <c r="S6" s="2">
        <f>CONSOLIDADO_2026[[#This Row],[Hora final]]-CONSOLIDADO_2026[[#This Row],[Hora inic]]</f>
        <v>0</v>
      </c>
    </row>
    <row r="7" spans="1:19" hidden="1" x14ac:dyDescent="0.25">
      <c r="A7" t="s">
        <v>4043</v>
      </c>
      <c r="B7">
        <v>1016090631</v>
      </c>
      <c r="C7" t="s">
        <v>2866</v>
      </c>
      <c r="D7" s="11" t="s">
        <v>55</v>
      </c>
      <c r="E7" s="11" t="s">
        <v>4047</v>
      </c>
      <c r="F7" s="11" t="s">
        <v>16</v>
      </c>
      <c r="G7" s="1">
        <v>46233</v>
      </c>
      <c r="H7" s="1">
        <v>46235</v>
      </c>
      <c r="I7" s="2"/>
      <c r="J7" s="2"/>
      <c r="K7" s="11"/>
      <c r="L7" s="11" t="s">
        <v>4041</v>
      </c>
      <c r="M7" s="1"/>
      <c r="N7" s="11"/>
      <c r="O7" s="11" t="s">
        <v>4042</v>
      </c>
      <c r="P7" s="1"/>
      <c r="Q7" s="1"/>
      <c r="R7" s="11"/>
      <c r="S7" s="2">
        <f>CONSOLIDADO_2026[[#This Row],[Hora final]]-CONSOLIDADO_2026[[#This Row],[Hora inic]]</f>
        <v>0</v>
      </c>
    </row>
    <row r="8" spans="1:19" hidden="1" x14ac:dyDescent="0.25">
      <c r="A8" t="s">
        <v>4039</v>
      </c>
      <c r="B8">
        <v>1000893991</v>
      </c>
      <c r="C8" t="s">
        <v>3597</v>
      </c>
      <c r="D8" s="11" t="s">
        <v>55</v>
      </c>
      <c r="E8" s="11" t="s">
        <v>4047</v>
      </c>
      <c r="F8" s="11" t="s">
        <v>16</v>
      </c>
      <c r="G8" s="1">
        <v>46234</v>
      </c>
      <c r="H8" s="1">
        <v>46234</v>
      </c>
      <c r="I8" s="2"/>
      <c r="J8" s="2"/>
      <c r="K8" s="11"/>
      <c r="L8" s="11" t="s">
        <v>4041</v>
      </c>
      <c r="M8" s="1"/>
      <c r="N8" s="11"/>
      <c r="O8" s="11" t="s">
        <v>4042</v>
      </c>
      <c r="P8" s="1"/>
      <c r="Q8" s="1"/>
      <c r="R8" s="11"/>
      <c r="S8" s="2">
        <f>CONSOLIDADO_2026[[#This Row],[Hora final]]-CONSOLIDADO_2026[[#This Row],[Hora inic]]</f>
        <v>0</v>
      </c>
    </row>
    <row r="9" spans="1:19" hidden="1" x14ac:dyDescent="0.25">
      <c r="A9" t="s">
        <v>4043</v>
      </c>
      <c r="B9">
        <v>1128467297</v>
      </c>
      <c r="C9" t="s">
        <v>3392</v>
      </c>
      <c r="D9" s="11" t="s">
        <v>619</v>
      </c>
      <c r="E9" s="11" t="s">
        <v>4045</v>
      </c>
      <c r="F9" s="11" t="s">
        <v>16</v>
      </c>
      <c r="G9" s="1">
        <v>46234</v>
      </c>
      <c r="H9" s="1">
        <v>46235</v>
      </c>
      <c r="I9" s="2"/>
      <c r="J9" s="2"/>
      <c r="K9" s="11"/>
      <c r="L9" s="11" t="s">
        <v>4041</v>
      </c>
      <c r="M9" s="1"/>
      <c r="N9" s="11"/>
      <c r="O9" s="11" t="s">
        <v>4042</v>
      </c>
      <c r="P9" s="1"/>
      <c r="Q9" s="1"/>
      <c r="R9" s="11"/>
      <c r="S9" s="2">
        <f>CONSOLIDADO_2026[[#This Row],[Hora final]]-CONSOLIDADO_2026[[#This Row],[Hora inic]]</f>
        <v>0</v>
      </c>
    </row>
    <row r="10" spans="1:19" hidden="1" x14ac:dyDescent="0.25">
      <c r="A10" t="s">
        <v>4048</v>
      </c>
      <c r="B10">
        <v>1001940238</v>
      </c>
      <c r="C10" t="s">
        <v>4049</v>
      </c>
      <c r="D10" s="11" t="s">
        <v>82</v>
      </c>
      <c r="E10" s="11" t="s">
        <v>4045</v>
      </c>
      <c r="F10" s="11" t="s">
        <v>4050</v>
      </c>
      <c r="G10" s="1">
        <v>46237</v>
      </c>
      <c r="H10" s="1">
        <v>46239</v>
      </c>
      <c r="I10" s="2"/>
      <c r="J10" s="2"/>
      <c r="K10" s="11"/>
      <c r="L10" s="11" t="s">
        <v>4041</v>
      </c>
      <c r="M10" s="1"/>
      <c r="N10" s="11"/>
      <c r="O10" s="11" t="s">
        <v>4042</v>
      </c>
      <c r="P10" s="1"/>
      <c r="Q10" s="1"/>
      <c r="R10" s="11"/>
      <c r="S10" s="2">
        <f>CONSOLIDADO_2026[[#This Row],[Hora final]]-CONSOLIDADO_2026[[#This Row],[Hora inic]]</f>
        <v>0</v>
      </c>
    </row>
    <row r="11" spans="1:19" hidden="1" x14ac:dyDescent="0.25">
      <c r="A11" t="s">
        <v>4051</v>
      </c>
      <c r="B11">
        <v>1001940238</v>
      </c>
      <c r="C11" t="s">
        <v>4049</v>
      </c>
      <c r="D11" s="11" t="s">
        <v>82</v>
      </c>
      <c r="E11" s="11" t="s">
        <v>4045</v>
      </c>
      <c r="F11" s="11" t="s">
        <v>4050</v>
      </c>
      <c r="G11" s="1">
        <v>46237</v>
      </c>
      <c r="H11" s="1">
        <v>46239</v>
      </c>
      <c r="I11" s="2"/>
      <c r="J11" s="2"/>
      <c r="K11" s="11"/>
      <c r="L11" s="11" t="s">
        <v>4041</v>
      </c>
      <c r="M11" s="1"/>
      <c r="N11" s="11" t="s">
        <v>4042</v>
      </c>
      <c r="O11" s="11" t="s">
        <v>4042</v>
      </c>
      <c r="P11" s="1"/>
      <c r="Q11" s="1"/>
      <c r="R11" s="11"/>
      <c r="S11" s="2">
        <f>CONSOLIDADO_2026[[#This Row],[Hora final]]-CONSOLIDADO_2026[[#This Row],[Hora inic]]</f>
        <v>0</v>
      </c>
    </row>
    <row r="12" spans="1:19" hidden="1" x14ac:dyDescent="0.25">
      <c r="A12" t="s">
        <v>4043</v>
      </c>
      <c r="B12">
        <v>1017270154</v>
      </c>
      <c r="C12" t="s">
        <v>1004</v>
      </c>
      <c r="D12" s="11" t="s">
        <v>421</v>
      </c>
      <c r="E12" s="11" t="s">
        <v>4047</v>
      </c>
      <c r="F12" s="11" t="s">
        <v>16</v>
      </c>
      <c r="G12" s="1">
        <v>46234</v>
      </c>
      <c r="H12" s="1">
        <v>46235</v>
      </c>
      <c r="I12" s="2"/>
      <c r="J12" s="2"/>
      <c r="K12" s="11"/>
      <c r="L12" s="11" t="s">
        <v>4041</v>
      </c>
      <c r="M12" s="1"/>
      <c r="N12" s="11"/>
      <c r="O12" s="11" t="s">
        <v>4042</v>
      </c>
      <c r="P12" s="1"/>
      <c r="Q12" s="1"/>
      <c r="R12" s="11"/>
      <c r="S12" s="2">
        <f>CONSOLIDADO_2026[[#This Row],[Hora final]]-CONSOLIDADO_2026[[#This Row],[Hora inic]]</f>
        <v>0</v>
      </c>
    </row>
    <row r="13" spans="1:19" hidden="1" x14ac:dyDescent="0.25">
      <c r="A13" t="s">
        <v>4052</v>
      </c>
      <c r="B13">
        <v>1047505786</v>
      </c>
      <c r="C13" t="s">
        <v>114</v>
      </c>
      <c r="D13" s="11" t="s">
        <v>51</v>
      </c>
      <c r="E13" s="11" t="s">
        <v>4047</v>
      </c>
      <c r="F13" s="11" t="s">
        <v>16</v>
      </c>
      <c r="G13" s="1">
        <v>46229</v>
      </c>
      <c r="H13" s="1">
        <v>46243</v>
      </c>
      <c r="I13" s="2"/>
      <c r="J13" s="2"/>
      <c r="K13" s="11"/>
      <c r="L13" s="11" t="s">
        <v>4041</v>
      </c>
      <c r="M13" s="1"/>
      <c r="N13" s="11"/>
      <c r="O13" s="11" t="s">
        <v>4042</v>
      </c>
      <c r="P13" s="1"/>
      <c r="Q13" s="1"/>
      <c r="R13" s="11"/>
      <c r="S13" s="2">
        <f>CONSOLIDADO_2026[[#This Row],[Hora final]]-CONSOLIDADO_2026[[#This Row],[Hora inic]]</f>
        <v>0</v>
      </c>
    </row>
    <row r="14" spans="1:19" hidden="1" x14ac:dyDescent="0.25">
      <c r="A14" t="s">
        <v>4043</v>
      </c>
      <c r="B14">
        <v>1043022975</v>
      </c>
      <c r="C14" t="s">
        <v>1786</v>
      </c>
      <c r="D14" s="11" t="s">
        <v>15</v>
      </c>
      <c r="E14" s="11" t="s">
        <v>4046</v>
      </c>
      <c r="F14" s="11" t="s">
        <v>16</v>
      </c>
      <c r="G14" s="1">
        <v>46234</v>
      </c>
      <c r="H14" s="1">
        <v>46235</v>
      </c>
      <c r="I14" s="2"/>
      <c r="J14" s="2"/>
      <c r="K14" s="11"/>
      <c r="L14" s="11" t="s">
        <v>4041</v>
      </c>
      <c r="M14" s="1"/>
      <c r="N14" s="11"/>
      <c r="O14" s="11" t="s">
        <v>4042</v>
      </c>
      <c r="P14" s="1"/>
      <c r="Q14" s="1"/>
      <c r="R14" s="11"/>
      <c r="S14" s="2">
        <f>CONSOLIDADO_2026[[#This Row],[Hora final]]-CONSOLIDADO_2026[[#This Row],[Hora inic]]</f>
        <v>0</v>
      </c>
    </row>
    <row r="15" spans="1:19" hidden="1" x14ac:dyDescent="0.25">
      <c r="A15" t="s">
        <v>4053</v>
      </c>
      <c r="B15">
        <v>1140905046</v>
      </c>
      <c r="C15" t="s">
        <v>4054</v>
      </c>
      <c r="D15" s="11" t="s">
        <v>482</v>
      </c>
      <c r="E15" s="11" t="s">
        <v>4040</v>
      </c>
      <c r="F15" s="11" t="s">
        <v>4050</v>
      </c>
      <c r="G15" s="1">
        <v>46235</v>
      </c>
      <c r="H15" s="1">
        <v>46238</v>
      </c>
      <c r="I15" s="2"/>
      <c r="J15" s="2"/>
      <c r="K15" s="11"/>
      <c r="L15" s="11" t="s">
        <v>4041</v>
      </c>
      <c r="M15" s="1"/>
      <c r="N15" s="11"/>
      <c r="O15" s="11" t="s">
        <v>4042</v>
      </c>
      <c r="P15" s="1"/>
      <c r="Q15" s="1"/>
      <c r="R15" s="11"/>
      <c r="S15" s="2">
        <f>CONSOLIDADO_2026[[#This Row],[Hora final]]-CONSOLIDADO_2026[[#This Row],[Hora inic]]</f>
        <v>0</v>
      </c>
    </row>
    <row r="16" spans="1:19" hidden="1" x14ac:dyDescent="0.25">
      <c r="A16" t="s">
        <v>4048</v>
      </c>
      <c r="B16">
        <v>1140905046</v>
      </c>
      <c r="C16" t="s">
        <v>4054</v>
      </c>
      <c r="D16" s="11" t="s">
        <v>482</v>
      </c>
      <c r="E16" s="11" t="s">
        <v>4040</v>
      </c>
      <c r="F16" s="11" t="s">
        <v>4050</v>
      </c>
      <c r="G16" s="1">
        <v>46235</v>
      </c>
      <c r="H16" s="1">
        <v>46238</v>
      </c>
      <c r="I16" s="2"/>
      <c r="J16" s="2"/>
      <c r="K16" s="11"/>
      <c r="L16" s="11" t="s">
        <v>4041</v>
      </c>
      <c r="M16" s="1"/>
      <c r="N16" s="11"/>
      <c r="O16" s="11" t="s">
        <v>4042</v>
      </c>
      <c r="P16" s="1"/>
      <c r="Q16" s="1"/>
      <c r="R16" s="11"/>
      <c r="S16" s="2">
        <f>CONSOLIDADO_2026[[#This Row],[Hora final]]-CONSOLIDADO_2026[[#This Row],[Hora inic]]</f>
        <v>0</v>
      </c>
    </row>
    <row r="17" spans="1:19" hidden="1" x14ac:dyDescent="0.25">
      <c r="A17" t="s">
        <v>4055</v>
      </c>
      <c r="B17" t="s">
        <v>288</v>
      </c>
      <c r="C17" t="s">
        <v>289</v>
      </c>
      <c r="D17" s="11" t="s">
        <v>272</v>
      </c>
      <c r="E17" s="11" t="s">
        <v>4056</v>
      </c>
      <c r="F17" s="11" t="s">
        <v>36</v>
      </c>
      <c r="G17" s="1">
        <v>46230</v>
      </c>
      <c r="H17" s="1">
        <v>46355</v>
      </c>
      <c r="I17" s="2">
        <v>0.25</v>
      </c>
      <c r="J17" s="2">
        <v>0.58333333333333337</v>
      </c>
      <c r="K17" s="11"/>
      <c r="L17" s="11" t="s">
        <v>4041</v>
      </c>
      <c r="M17" s="1"/>
      <c r="N17" s="11"/>
      <c r="O17" s="11" t="s">
        <v>4042</v>
      </c>
      <c r="P17" s="1"/>
      <c r="Q17" s="1"/>
      <c r="R17" s="11"/>
      <c r="S17" s="2">
        <f>CONSOLIDADO_2026[[#This Row],[Hora final]]-CONSOLIDADO_2026[[#This Row],[Hora inic]]</f>
        <v>0.33333333333333337</v>
      </c>
    </row>
    <row r="18" spans="1:19" hidden="1" x14ac:dyDescent="0.25">
      <c r="A18" t="s">
        <v>4053</v>
      </c>
      <c r="B18">
        <v>1085318652</v>
      </c>
      <c r="C18" t="s">
        <v>292</v>
      </c>
      <c r="D18" s="11" t="s">
        <v>272</v>
      </c>
      <c r="E18" s="11" t="s">
        <v>4056</v>
      </c>
      <c r="F18" s="11" t="s">
        <v>92</v>
      </c>
      <c r="G18" s="1">
        <v>46233</v>
      </c>
      <c r="H18" s="1">
        <v>46238</v>
      </c>
      <c r="I18" s="2"/>
      <c r="J18" s="2"/>
      <c r="K18" s="11"/>
      <c r="L18" s="11" t="s">
        <v>4041</v>
      </c>
      <c r="M18" s="1"/>
      <c r="N18" s="11"/>
      <c r="O18" s="11" t="s">
        <v>4042</v>
      </c>
      <c r="P18" s="1"/>
      <c r="Q18" s="1"/>
      <c r="R18" s="11"/>
      <c r="S18" s="2">
        <f>CONSOLIDADO_2026[[#This Row],[Hora final]]-CONSOLIDADO_2026[[#This Row],[Hora inic]]</f>
        <v>0</v>
      </c>
    </row>
    <row r="19" spans="1:19" hidden="1" x14ac:dyDescent="0.25">
      <c r="A19" t="s">
        <v>4053</v>
      </c>
      <c r="B19">
        <v>21852680</v>
      </c>
      <c r="C19" t="s">
        <v>4057</v>
      </c>
      <c r="D19" s="11" t="s">
        <v>482</v>
      </c>
      <c r="E19" s="11" t="s">
        <v>4040</v>
      </c>
      <c r="F19" s="11" t="s">
        <v>4050</v>
      </c>
      <c r="G19" s="1">
        <v>46235</v>
      </c>
      <c r="H19" s="1">
        <v>46238</v>
      </c>
      <c r="I19" s="2"/>
      <c r="J19" s="2"/>
      <c r="K19" s="11"/>
      <c r="L19" s="11" t="s">
        <v>4041</v>
      </c>
      <c r="M19" s="1"/>
      <c r="N19" s="11"/>
      <c r="O19" s="11" t="s">
        <v>4042</v>
      </c>
      <c r="P19" s="1"/>
      <c r="Q19" s="1"/>
      <c r="R19" s="11"/>
      <c r="S19" s="2">
        <f>CONSOLIDADO_2026[[#This Row],[Hora final]]-CONSOLIDADO_2026[[#This Row],[Hora inic]]</f>
        <v>0</v>
      </c>
    </row>
    <row r="20" spans="1:19" hidden="1" x14ac:dyDescent="0.25">
      <c r="A20" t="s">
        <v>4048</v>
      </c>
      <c r="B20">
        <v>21852680</v>
      </c>
      <c r="C20" t="s">
        <v>4057</v>
      </c>
      <c r="D20" s="11" t="s">
        <v>482</v>
      </c>
      <c r="E20" s="11" t="s">
        <v>4040</v>
      </c>
      <c r="F20" s="11" t="s">
        <v>4050</v>
      </c>
      <c r="G20" s="1">
        <v>46235</v>
      </c>
      <c r="H20" s="1">
        <v>46238</v>
      </c>
      <c r="I20" s="2"/>
      <c r="J20" s="2"/>
      <c r="K20" s="11"/>
      <c r="L20" s="11" t="s">
        <v>4041</v>
      </c>
      <c r="M20" s="1"/>
      <c r="N20" s="11"/>
      <c r="O20" s="11" t="s">
        <v>4042</v>
      </c>
      <c r="P20" s="1"/>
      <c r="Q20" s="1"/>
      <c r="R20" s="11"/>
      <c r="S20" s="2">
        <f>CONSOLIDADO_2026[[#This Row],[Hora final]]-CONSOLIDADO_2026[[#This Row],[Hora inic]]</f>
        <v>0</v>
      </c>
    </row>
    <row r="21" spans="1:19" hidden="1" x14ac:dyDescent="0.25">
      <c r="A21" t="s">
        <v>4039</v>
      </c>
      <c r="B21">
        <v>1143413071</v>
      </c>
      <c r="C21" t="s">
        <v>496</v>
      </c>
      <c r="D21" s="11" t="s">
        <v>28</v>
      </c>
      <c r="E21" s="11" t="s">
        <v>4046</v>
      </c>
      <c r="F21" s="11" t="s">
        <v>16</v>
      </c>
      <c r="G21" s="1">
        <v>46232</v>
      </c>
      <c r="H21" s="1">
        <v>46234</v>
      </c>
      <c r="I21" s="2"/>
      <c r="J21" s="2"/>
      <c r="K21" s="11"/>
      <c r="L21" s="11" t="s">
        <v>4041</v>
      </c>
      <c r="M21" s="1"/>
      <c r="N21" s="11"/>
      <c r="O21" s="11" t="s">
        <v>4042</v>
      </c>
      <c r="P21" s="1"/>
      <c r="Q21" s="1"/>
      <c r="R21" s="11"/>
      <c r="S21" s="2">
        <f>CONSOLIDADO_2026[[#This Row],[Hora final]]-CONSOLIDADO_2026[[#This Row],[Hora inic]]</f>
        <v>0</v>
      </c>
    </row>
    <row r="22" spans="1:19" hidden="1" x14ac:dyDescent="0.25">
      <c r="A22" t="s">
        <v>4053</v>
      </c>
      <c r="B22">
        <v>1143374438</v>
      </c>
      <c r="C22" t="s">
        <v>154</v>
      </c>
      <c r="D22" s="11" t="s">
        <v>28</v>
      </c>
      <c r="E22" s="11" t="s">
        <v>4046</v>
      </c>
      <c r="F22" s="11" t="s">
        <v>16</v>
      </c>
      <c r="G22" s="1">
        <v>46209</v>
      </c>
      <c r="H22" s="1">
        <v>46238</v>
      </c>
      <c r="I22" s="2"/>
      <c r="J22" s="2"/>
      <c r="K22" s="11"/>
      <c r="L22" s="11" t="s">
        <v>4041</v>
      </c>
      <c r="M22" s="1"/>
      <c r="N22" s="11"/>
      <c r="O22" s="11" t="s">
        <v>4042</v>
      </c>
      <c r="P22" s="1"/>
      <c r="Q22" s="1"/>
      <c r="R22" s="11"/>
      <c r="S22" s="2">
        <f>CONSOLIDADO_2026[[#This Row],[Hora final]]-CONSOLIDADO_2026[[#This Row],[Hora inic]]</f>
        <v>0</v>
      </c>
    </row>
    <row r="23" spans="1:19" hidden="1" x14ac:dyDescent="0.25">
      <c r="A23" t="s">
        <v>4043</v>
      </c>
      <c r="B23">
        <v>1061819313</v>
      </c>
      <c r="C23" t="s">
        <v>280</v>
      </c>
      <c r="D23" s="11" t="s">
        <v>59</v>
      </c>
      <c r="E23" s="11" t="s">
        <v>4047</v>
      </c>
      <c r="F23" s="11" t="s">
        <v>16</v>
      </c>
      <c r="G23" s="1">
        <v>46231</v>
      </c>
      <c r="H23" s="1">
        <v>46235</v>
      </c>
      <c r="I23" s="2"/>
      <c r="J23" s="2"/>
      <c r="K23" s="11"/>
      <c r="L23" s="11" t="s">
        <v>4041</v>
      </c>
      <c r="M23" s="1"/>
      <c r="N23" s="11"/>
      <c r="O23" s="11" t="s">
        <v>4042</v>
      </c>
      <c r="P23" s="1"/>
      <c r="Q23" s="1"/>
      <c r="R23" s="11"/>
      <c r="S23" s="2">
        <f>CONSOLIDADO_2026[[#This Row],[Hora final]]-CONSOLIDADO_2026[[#This Row],[Hora inic]]</f>
        <v>0</v>
      </c>
    </row>
    <row r="24" spans="1:19" hidden="1" x14ac:dyDescent="0.25">
      <c r="A24" t="s">
        <v>4039</v>
      </c>
      <c r="B24">
        <v>50995706</v>
      </c>
      <c r="C24" t="s">
        <v>2510</v>
      </c>
      <c r="D24" s="11" t="s">
        <v>55</v>
      </c>
      <c r="E24" s="11" t="s">
        <v>4047</v>
      </c>
      <c r="F24" s="11" t="s">
        <v>16</v>
      </c>
      <c r="G24" s="1">
        <v>46234</v>
      </c>
      <c r="H24" s="1">
        <v>46234</v>
      </c>
      <c r="I24" s="2"/>
      <c r="J24" s="2"/>
      <c r="K24" s="11"/>
      <c r="L24" s="11" t="s">
        <v>4041</v>
      </c>
      <c r="M24" s="1"/>
      <c r="N24" s="11"/>
      <c r="O24" s="11" t="s">
        <v>4042</v>
      </c>
      <c r="P24" s="1"/>
      <c r="Q24" s="1"/>
      <c r="R24" s="11"/>
      <c r="S24" s="2">
        <f>CONSOLIDADO_2026[[#This Row],[Hora final]]-CONSOLIDADO_2026[[#This Row],[Hora inic]]</f>
        <v>0</v>
      </c>
    </row>
    <row r="25" spans="1:19" hidden="1" x14ac:dyDescent="0.25">
      <c r="A25" t="s">
        <v>4043</v>
      </c>
      <c r="B25">
        <v>57303015</v>
      </c>
      <c r="C25" t="s">
        <v>188</v>
      </c>
      <c r="D25" s="11" t="s">
        <v>55</v>
      </c>
      <c r="E25" s="11" t="s">
        <v>4047</v>
      </c>
      <c r="F25" s="11" t="s">
        <v>16</v>
      </c>
      <c r="G25" s="1">
        <v>46232</v>
      </c>
      <c r="H25" s="1">
        <v>46235</v>
      </c>
      <c r="I25" s="2"/>
      <c r="J25" s="2"/>
      <c r="K25" s="11"/>
      <c r="L25" s="11" t="s">
        <v>4041</v>
      </c>
      <c r="M25" s="1"/>
      <c r="N25" s="11"/>
      <c r="O25" s="11" t="s">
        <v>4042</v>
      </c>
      <c r="P25" s="1"/>
      <c r="Q25" s="1"/>
      <c r="R25" s="11"/>
      <c r="S25" s="2">
        <f>CONSOLIDADO_2026[[#This Row],[Hora final]]-CONSOLIDADO_2026[[#This Row],[Hora inic]]</f>
        <v>0</v>
      </c>
    </row>
    <row r="26" spans="1:19" hidden="1" x14ac:dyDescent="0.25">
      <c r="A26" t="s">
        <v>4039</v>
      </c>
      <c r="B26">
        <v>1140851921</v>
      </c>
      <c r="C26" t="s">
        <v>4061</v>
      </c>
      <c r="D26" s="11" t="s">
        <v>256</v>
      </c>
      <c r="E26" s="11" t="s">
        <v>4040</v>
      </c>
      <c r="F26" s="11" t="s">
        <v>16</v>
      </c>
      <c r="G26" s="1">
        <v>46231</v>
      </c>
      <c r="H26" s="1">
        <v>46234</v>
      </c>
      <c r="I26" s="2"/>
      <c r="J26" s="2"/>
      <c r="K26" s="11"/>
      <c r="L26" s="11" t="s">
        <v>4041</v>
      </c>
      <c r="M26" s="1"/>
      <c r="N26" s="11"/>
      <c r="O26" s="11" t="s">
        <v>4042</v>
      </c>
      <c r="P26" s="1"/>
      <c r="Q26" s="1"/>
      <c r="R26" s="11"/>
      <c r="S26" s="2">
        <f>CONSOLIDADO_2026[[#This Row],[Hora final]]-CONSOLIDADO_2026[[#This Row],[Hora inic]]</f>
        <v>0</v>
      </c>
    </row>
    <row r="27" spans="1:19" hidden="1" x14ac:dyDescent="0.25">
      <c r="A27" t="s">
        <v>4048</v>
      </c>
      <c r="B27">
        <v>1143375080</v>
      </c>
      <c r="C27" t="s">
        <v>157</v>
      </c>
      <c r="D27" s="11" t="s">
        <v>44</v>
      </c>
      <c r="E27" s="11" t="s">
        <v>4045</v>
      </c>
      <c r="F27" s="11" t="s">
        <v>4062</v>
      </c>
      <c r="G27" s="1">
        <v>46232</v>
      </c>
      <c r="H27" s="1">
        <v>46239</v>
      </c>
      <c r="I27" s="2"/>
      <c r="J27" s="2"/>
      <c r="K27" s="11"/>
      <c r="L27" s="11" t="s">
        <v>4041</v>
      </c>
      <c r="M27" s="1"/>
      <c r="N27" s="11"/>
      <c r="O27" s="11" t="s">
        <v>4042</v>
      </c>
      <c r="P27" s="1"/>
      <c r="Q27" s="1"/>
      <c r="R27" s="11"/>
      <c r="S27" s="2">
        <f>CONSOLIDADO_2026[[#This Row],[Hora final]]-CONSOLIDADO_2026[[#This Row],[Hora inic]]</f>
        <v>0</v>
      </c>
    </row>
    <row r="28" spans="1:19" hidden="1" x14ac:dyDescent="0.25">
      <c r="A28" t="s">
        <v>4051</v>
      </c>
      <c r="B28">
        <v>1143375080</v>
      </c>
      <c r="C28" t="s">
        <v>157</v>
      </c>
      <c r="D28" s="11" t="s">
        <v>44</v>
      </c>
      <c r="E28" s="11" t="s">
        <v>4045</v>
      </c>
      <c r="F28" s="11" t="s">
        <v>4062</v>
      </c>
      <c r="G28" s="1">
        <v>46232</v>
      </c>
      <c r="H28" s="1">
        <v>46239</v>
      </c>
      <c r="I28" s="2"/>
      <c r="J28" s="2"/>
      <c r="K28" s="11"/>
      <c r="L28" s="11" t="s">
        <v>4041</v>
      </c>
      <c r="M28" s="1"/>
      <c r="N28" s="11" t="s">
        <v>4042</v>
      </c>
      <c r="O28" s="11" t="s">
        <v>4042</v>
      </c>
      <c r="P28" s="1"/>
      <c r="Q28" s="1"/>
      <c r="R28" s="11"/>
      <c r="S28" s="2">
        <f>CONSOLIDADO_2026[[#This Row],[Hora final]]-CONSOLIDADO_2026[[#This Row],[Hora inic]]</f>
        <v>0</v>
      </c>
    </row>
    <row r="29" spans="1:19" hidden="1" x14ac:dyDescent="0.25">
      <c r="A29" t="s">
        <v>4039</v>
      </c>
      <c r="B29">
        <v>1143995272</v>
      </c>
      <c r="C29" t="s">
        <v>2280</v>
      </c>
      <c r="D29" s="11" t="s">
        <v>245</v>
      </c>
      <c r="E29" s="11" t="s">
        <v>4040</v>
      </c>
      <c r="F29" s="11" t="s">
        <v>24</v>
      </c>
      <c r="G29" s="1">
        <v>46234</v>
      </c>
      <c r="H29" s="1">
        <v>46234</v>
      </c>
      <c r="I29" s="2"/>
      <c r="J29" s="2"/>
      <c r="K29" s="11"/>
      <c r="L29" s="11" t="s">
        <v>4041</v>
      </c>
      <c r="M29" s="1"/>
      <c r="N29" s="11"/>
      <c r="O29" s="11" t="s">
        <v>4042</v>
      </c>
      <c r="P29" s="1"/>
      <c r="Q29" s="1"/>
      <c r="R29" s="11"/>
      <c r="S29" s="2">
        <f>CONSOLIDADO_2026[[#This Row],[Hora final]]-CONSOLIDADO_2026[[#This Row],[Hora inic]]</f>
        <v>0</v>
      </c>
    </row>
    <row r="30" spans="1:19" hidden="1" x14ac:dyDescent="0.25">
      <c r="A30" t="s">
        <v>4039</v>
      </c>
      <c r="B30">
        <v>39192742</v>
      </c>
      <c r="C30" t="s">
        <v>2632</v>
      </c>
      <c r="D30" s="11" t="s">
        <v>272</v>
      </c>
      <c r="E30" s="11" t="s">
        <v>4056</v>
      </c>
      <c r="F30" s="11" t="s">
        <v>16</v>
      </c>
      <c r="G30" s="1">
        <v>46230</v>
      </c>
      <c r="H30" s="1">
        <v>46232</v>
      </c>
      <c r="I30" s="2"/>
      <c r="J30" s="2"/>
      <c r="K30" s="11"/>
      <c r="L30" s="11" t="s">
        <v>4041</v>
      </c>
      <c r="M30" s="1"/>
      <c r="N30" s="11"/>
      <c r="O30" s="11" t="s">
        <v>4042</v>
      </c>
      <c r="P30" s="1"/>
      <c r="Q30" s="1"/>
      <c r="R30" s="11"/>
      <c r="S30" s="2">
        <f>CONSOLIDADO_2026[[#This Row],[Hora final]]-CONSOLIDADO_2026[[#This Row],[Hora inic]]</f>
        <v>0</v>
      </c>
    </row>
    <row r="31" spans="1:19" hidden="1" x14ac:dyDescent="0.25">
      <c r="A31" t="s">
        <v>4039</v>
      </c>
      <c r="B31">
        <v>1193459665</v>
      </c>
      <c r="C31" t="s">
        <v>4063</v>
      </c>
      <c r="D31" s="11" t="s">
        <v>256</v>
      </c>
      <c r="E31" s="11" t="s">
        <v>4040</v>
      </c>
      <c r="F31" s="11" t="s">
        <v>16</v>
      </c>
      <c r="G31" s="1">
        <v>46230</v>
      </c>
      <c r="H31" s="1">
        <v>46234</v>
      </c>
      <c r="I31" s="2"/>
      <c r="J31" s="2"/>
      <c r="K31" s="11"/>
      <c r="L31" s="11" t="s">
        <v>4041</v>
      </c>
      <c r="M31" s="1"/>
      <c r="N31" s="11"/>
      <c r="O31" s="11" t="s">
        <v>4042</v>
      </c>
      <c r="P31" s="1"/>
      <c r="Q31" s="1"/>
      <c r="R31" s="11"/>
      <c r="S31" s="2">
        <f>CONSOLIDADO_2026[[#This Row],[Hora final]]-CONSOLIDADO_2026[[#This Row],[Hora inic]]</f>
        <v>0</v>
      </c>
    </row>
    <row r="32" spans="1:19" hidden="1" x14ac:dyDescent="0.25">
      <c r="A32" t="s">
        <v>4043</v>
      </c>
      <c r="B32">
        <v>1002159016</v>
      </c>
      <c r="C32" t="s">
        <v>244</v>
      </c>
      <c r="D32" s="11" t="s">
        <v>245</v>
      </c>
      <c r="E32" s="11" t="s">
        <v>4040</v>
      </c>
      <c r="F32" s="11" t="s">
        <v>16</v>
      </c>
      <c r="G32" s="1">
        <v>46230</v>
      </c>
      <c r="H32" s="1">
        <v>46235</v>
      </c>
      <c r="I32" s="2"/>
      <c r="J32" s="2"/>
      <c r="K32" s="11"/>
      <c r="L32" s="11" t="s">
        <v>4041</v>
      </c>
      <c r="M32" s="1"/>
      <c r="N32" s="11"/>
      <c r="O32" s="11" t="s">
        <v>4042</v>
      </c>
      <c r="P32" s="1"/>
      <c r="Q32" s="1"/>
      <c r="R32" s="11"/>
      <c r="S32" s="2">
        <f>CONSOLIDADO_2026[[#This Row],[Hora final]]-CONSOLIDADO_2026[[#This Row],[Hora inic]]</f>
        <v>0</v>
      </c>
    </row>
    <row r="33" spans="1:19" hidden="1" x14ac:dyDescent="0.25">
      <c r="A33" t="s">
        <v>4043</v>
      </c>
      <c r="B33">
        <v>1118569642</v>
      </c>
      <c r="C33" t="s">
        <v>175</v>
      </c>
      <c r="D33" s="11" t="s">
        <v>176</v>
      </c>
      <c r="E33" s="11" t="s">
        <v>4040</v>
      </c>
      <c r="F33" s="11" t="s">
        <v>16</v>
      </c>
      <c r="G33" s="1">
        <v>46230</v>
      </c>
      <c r="H33" s="1">
        <v>46235</v>
      </c>
      <c r="I33" s="2"/>
      <c r="J33" s="2"/>
      <c r="K33" s="11"/>
      <c r="L33" s="11" t="s">
        <v>4041</v>
      </c>
      <c r="M33" s="1"/>
      <c r="N33" s="11"/>
      <c r="O33" s="11" t="s">
        <v>4042</v>
      </c>
      <c r="P33" s="1"/>
      <c r="Q33" s="1"/>
      <c r="R33" s="11"/>
      <c r="S33" s="2">
        <f>CONSOLIDADO_2026[[#This Row],[Hora final]]-CONSOLIDADO_2026[[#This Row],[Hora inic]]</f>
        <v>0</v>
      </c>
    </row>
    <row r="34" spans="1:19" hidden="1" x14ac:dyDescent="0.25">
      <c r="A34" t="s">
        <v>4039</v>
      </c>
      <c r="B34" t="s">
        <v>2907</v>
      </c>
      <c r="C34" t="s">
        <v>2908</v>
      </c>
      <c r="D34" s="11" t="s">
        <v>102</v>
      </c>
      <c r="E34" s="11" t="s">
        <v>4046</v>
      </c>
      <c r="F34" s="11" t="s">
        <v>16</v>
      </c>
      <c r="G34" s="1">
        <v>46232</v>
      </c>
      <c r="H34" s="1">
        <v>46234</v>
      </c>
      <c r="I34" s="2"/>
      <c r="J34" s="2"/>
      <c r="K34" s="11"/>
      <c r="L34" s="11" t="s">
        <v>4041</v>
      </c>
      <c r="M34" s="1"/>
      <c r="N34" s="11"/>
      <c r="O34" s="11" t="s">
        <v>4042</v>
      </c>
      <c r="P34" s="1"/>
      <c r="Q34" s="1"/>
      <c r="R34" s="11"/>
      <c r="S34" s="2">
        <f>CONSOLIDADO_2026[[#This Row],[Hora final]]-CONSOLIDADO_2026[[#This Row],[Hora inic]]</f>
        <v>0</v>
      </c>
    </row>
    <row r="35" spans="1:19" hidden="1" x14ac:dyDescent="0.25">
      <c r="A35" t="s">
        <v>4039</v>
      </c>
      <c r="B35">
        <v>57303015</v>
      </c>
      <c r="C35" t="s">
        <v>188</v>
      </c>
      <c r="D35" s="11" t="s">
        <v>55</v>
      </c>
      <c r="E35" s="11" t="s">
        <v>4047</v>
      </c>
      <c r="F35" s="11" t="s">
        <v>16</v>
      </c>
      <c r="G35" s="1">
        <v>46232</v>
      </c>
      <c r="H35" s="1">
        <v>46235</v>
      </c>
      <c r="I35" s="2">
        <v>0.25</v>
      </c>
      <c r="J35" s="2">
        <v>0.66666666666666663</v>
      </c>
      <c r="K35" s="11" t="s">
        <v>189</v>
      </c>
      <c r="L35" s="11" t="s">
        <v>190</v>
      </c>
      <c r="M35" s="1"/>
      <c r="N35" s="11"/>
      <c r="O35" s="11" t="s">
        <v>21</v>
      </c>
      <c r="P35" s="1"/>
      <c r="Q35" s="1"/>
      <c r="R35" s="11"/>
      <c r="S35" s="2">
        <f>CONSOLIDADO_2026[[#This Row],[Hora final]]-CONSOLIDADO_2026[[#This Row],[Hora inic]]</f>
        <v>0.41666666666666663</v>
      </c>
    </row>
    <row r="36" spans="1:19" hidden="1" x14ac:dyDescent="0.25">
      <c r="A36" t="s">
        <v>4039</v>
      </c>
      <c r="B36">
        <v>1037634709</v>
      </c>
      <c r="C36" t="s">
        <v>4044</v>
      </c>
      <c r="D36" s="11" t="s">
        <v>492</v>
      </c>
      <c r="E36" s="11" t="s">
        <v>4045</v>
      </c>
      <c r="F36" s="11" t="s">
        <v>16</v>
      </c>
      <c r="G36" s="1">
        <v>46234</v>
      </c>
      <c r="H36" s="1">
        <v>46235</v>
      </c>
      <c r="I36" s="2">
        <v>0.25</v>
      </c>
      <c r="J36" s="2">
        <v>0.66666666666666663</v>
      </c>
      <c r="K36" s="11" t="s">
        <v>96</v>
      </c>
      <c r="L36" s="11" t="s">
        <v>97</v>
      </c>
      <c r="M36" s="1"/>
      <c r="N36" s="11"/>
      <c r="O36" s="11" t="s">
        <v>21</v>
      </c>
      <c r="P36" s="1"/>
      <c r="Q36" s="1"/>
      <c r="R36" s="11"/>
      <c r="S36" s="2">
        <f>CONSOLIDADO_2026[[#This Row],[Hora final]]-CONSOLIDADO_2026[[#This Row],[Hora inic]]</f>
        <v>0.41666666666666663</v>
      </c>
    </row>
    <row r="37" spans="1:19" hidden="1" x14ac:dyDescent="0.25">
      <c r="A37" t="s">
        <v>4039</v>
      </c>
      <c r="B37">
        <v>1152436231</v>
      </c>
      <c r="C37" t="s">
        <v>142</v>
      </c>
      <c r="D37" s="11" t="s">
        <v>143</v>
      </c>
      <c r="E37" s="11" t="s">
        <v>4045</v>
      </c>
      <c r="F37" s="11" t="s">
        <v>16</v>
      </c>
      <c r="G37" s="1">
        <v>46234</v>
      </c>
      <c r="H37" s="1">
        <v>46235</v>
      </c>
      <c r="I37" s="2">
        <v>0.25</v>
      </c>
      <c r="J37" s="2">
        <v>0.66666666666666663</v>
      </c>
      <c r="K37" s="11" t="s">
        <v>1491</v>
      </c>
      <c r="L37" s="11" t="s">
        <v>1492</v>
      </c>
      <c r="M37" s="1"/>
      <c r="N37" s="11"/>
      <c r="O37" s="11" t="s">
        <v>21</v>
      </c>
      <c r="P37" s="1"/>
      <c r="Q37" s="1"/>
      <c r="R37" s="11"/>
      <c r="S37" s="2">
        <f>CONSOLIDADO_2026[[#This Row],[Hora final]]-CONSOLIDADO_2026[[#This Row],[Hora inic]]</f>
        <v>0.41666666666666663</v>
      </c>
    </row>
    <row r="38" spans="1:19" hidden="1" x14ac:dyDescent="0.25">
      <c r="A38" t="s">
        <v>4043</v>
      </c>
      <c r="B38">
        <v>1143375080</v>
      </c>
      <c r="C38" t="s">
        <v>203</v>
      </c>
      <c r="D38" s="11" t="s">
        <v>44</v>
      </c>
      <c r="E38" s="11" t="s">
        <v>4045</v>
      </c>
      <c r="F38" s="11" t="s">
        <v>4062</v>
      </c>
      <c r="G38" s="1">
        <v>46232</v>
      </c>
      <c r="H38" s="1">
        <v>46239</v>
      </c>
      <c r="I38" s="2">
        <v>0.25</v>
      </c>
      <c r="J38" s="2">
        <v>0.54166666666666663</v>
      </c>
      <c r="K38" s="11" t="s">
        <v>1491</v>
      </c>
      <c r="L38" s="11" t="s">
        <v>1492</v>
      </c>
      <c r="M38" s="1"/>
      <c r="N38" s="11"/>
      <c r="O38" s="11" t="s">
        <v>21</v>
      </c>
      <c r="P38" s="1"/>
      <c r="Q38" s="1"/>
      <c r="R38" s="11"/>
      <c r="S38" s="2">
        <f>CONSOLIDADO_2026[[#This Row],[Hora final]]-CONSOLIDADO_2026[[#This Row],[Hora inic]]</f>
        <v>0.29166666666666663</v>
      </c>
    </row>
    <row r="39" spans="1:19" hidden="1" x14ac:dyDescent="0.25">
      <c r="A39" t="s">
        <v>4039</v>
      </c>
      <c r="B39">
        <v>1128467297</v>
      </c>
      <c r="C39" t="s">
        <v>3392</v>
      </c>
      <c r="D39" s="11" t="s">
        <v>619</v>
      </c>
      <c r="E39" s="11" t="s">
        <v>4045</v>
      </c>
      <c r="F39" s="11" t="s">
        <v>16</v>
      </c>
      <c r="G39" s="1">
        <v>46234</v>
      </c>
      <c r="H39" s="1">
        <v>46235</v>
      </c>
      <c r="I39" s="2">
        <v>0.25</v>
      </c>
      <c r="J39" s="2">
        <v>0.66666666666666663</v>
      </c>
      <c r="K39" s="11" t="s">
        <v>314</v>
      </c>
      <c r="L39" s="11" t="s">
        <v>315</v>
      </c>
      <c r="M39" s="1"/>
      <c r="N39" s="11"/>
      <c r="O39" s="11" t="s">
        <v>21</v>
      </c>
      <c r="P39" s="1"/>
      <c r="Q39" s="1"/>
      <c r="R39" s="11"/>
      <c r="S39" s="2">
        <f>CONSOLIDADO_2026[[#This Row],[Hora final]]-CONSOLIDADO_2026[[#This Row],[Hora inic]]</f>
        <v>0.41666666666666663</v>
      </c>
    </row>
    <row r="40" spans="1:19" hidden="1" x14ac:dyDescent="0.25">
      <c r="A40" t="s">
        <v>4039</v>
      </c>
      <c r="B40">
        <v>42158742</v>
      </c>
      <c r="C40" t="s">
        <v>3192</v>
      </c>
      <c r="D40" s="11" t="s">
        <v>78</v>
      </c>
      <c r="E40" s="11" t="s">
        <v>4046</v>
      </c>
      <c r="F40" s="11" t="s">
        <v>16</v>
      </c>
      <c r="G40" s="1">
        <v>46234</v>
      </c>
      <c r="H40" s="1">
        <v>46235</v>
      </c>
      <c r="I40" s="2">
        <v>0.25</v>
      </c>
      <c r="J40" s="2">
        <v>0.66666666666666663</v>
      </c>
      <c r="K40" s="11" t="s">
        <v>300</v>
      </c>
      <c r="L40" s="11" t="s">
        <v>301</v>
      </c>
      <c r="M40" s="1"/>
      <c r="N40" s="11"/>
      <c r="O40" s="11" t="s">
        <v>21</v>
      </c>
      <c r="P40" s="1"/>
      <c r="Q40" s="1"/>
      <c r="R40" s="11"/>
      <c r="S40" s="2">
        <f>CONSOLIDADO_2026[[#This Row],[Hora final]]-CONSOLIDADO_2026[[#This Row],[Hora inic]]</f>
        <v>0.41666666666666663</v>
      </c>
    </row>
    <row r="41" spans="1:19" hidden="1" x14ac:dyDescent="0.25">
      <c r="A41" t="s">
        <v>4052</v>
      </c>
      <c r="B41">
        <v>1017264032</v>
      </c>
      <c r="C41" t="s">
        <v>88</v>
      </c>
      <c r="D41" s="11" t="s">
        <v>55</v>
      </c>
      <c r="E41" s="11" t="s">
        <v>4047</v>
      </c>
      <c r="F41" s="11" t="s">
        <v>16</v>
      </c>
      <c r="G41" s="1">
        <v>46229</v>
      </c>
      <c r="H41" s="1">
        <v>46258</v>
      </c>
      <c r="I41" s="2">
        <v>0.58333333333333337</v>
      </c>
      <c r="J41" s="2">
        <v>0.875</v>
      </c>
      <c r="K41" s="11" t="s">
        <v>303</v>
      </c>
      <c r="L41" s="11" t="s">
        <v>304</v>
      </c>
      <c r="M41" s="1"/>
      <c r="N41" s="11"/>
      <c r="O41" s="11" t="s">
        <v>21</v>
      </c>
      <c r="P41" s="1"/>
      <c r="Q41" s="1"/>
      <c r="R41" s="11"/>
      <c r="S41" s="2">
        <f>CONSOLIDADO_2026[[#This Row],[Hora final]]-CONSOLIDADO_2026[[#This Row],[Hora inic]]</f>
        <v>0.29166666666666663</v>
      </c>
    </row>
    <row r="42" spans="1:19" hidden="1" x14ac:dyDescent="0.25">
      <c r="A42" t="s">
        <v>4043</v>
      </c>
      <c r="B42">
        <v>1047505786</v>
      </c>
      <c r="C42" t="s">
        <v>114</v>
      </c>
      <c r="D42" s="11" t="s">
        <v>51</v>
      </c>
      <c r="E42" s="11" t="s">
        <v>4047</v>
      </c>
      <c r="F42" s="11" t="s">
        <v>16</v>
      </c>
      <c r="G42" s="1">
        <v>46229</v>
      </c>
      <c r="H42" s="1">
        <v>46243</v>
      </c>
      <c r="I42" s="2">
        <v>0.58333333333333337</v>
      </c>
      <c r="J42" s="2">
        <v>0.875</v>
      </c>
      <c r="K42" s="11" t="s">
        <v>116</v>
      </c>
      <c r="L42" s="11" t="s">
        <v>117</v>
      </c>
      <c r="M42" s="1"/>
      <c r="N42" s="11"/>
      <c r="O42" s="11" t="s">
        <v>21</v>
      </c>
      <c r="P42" s="1"/>
      <c r="Q42" s="1"/>
      <c r="R42" s="11"/>
      <c r="S42" s="2">
        <f>CONSOLIDADO_2026[[#This Row],[Hora final]]-CONSOLIDADO_2026[[#This Row],[Hora inic]]</f>
        <v>0.29166666666666663</v>
      </c>
    </row>
    <row r="43" spans="1:19" hidden="1" x14ac:dyDescent="0.25">
      <c r="A43" t="s">
        <v>4053</v>
      </c>
      <c r="B43">
        <v>1017264032</v>
      </c>
      <c r="C43" t="s">
        <v>88</v>
      </c>
      <c r="D43" s="11" t="s">
        <v>55</v>
      </c>
      <c r="E43" s="11" t="s">
        <v>4047</v>
      </c>
      <c r="F43" s="11" t="s">
        <v>16</v>
      </c>
      <c r="G43" s="1">
        <v>46229</v>
      </c>
      <c r="H43" s="1">
        <v>46258</v>
      </c>
      <c r="I43" s="2">
        <v>0.25</v>
      </c>
      <c r="J43" s="2">
        <v>0.58333333333333337</v>
      </c>
      <c r="K43" s="11" t="s">
        <v>116</v>
      </c>
      <c r="L43" s="11" t="s">
        <v>117</v>
      </c>
      <c r="M43" s="1"/>
      <c r="N43" s="11"/>
      <c r="O43" s="11" t="s">
        <v>21</v>
      </c>
      <c r="P43" s="1"/>
      <c r="Q43" s="1"/>
      <c r="R43" s="11"/>
      <c r="S43" s="2">
        <f>CONSOLIDADO_2026[[#This Row],[Hora final]]-CONSOLIDADO_2026[[#This Row],[Hora inic]]</f>
        <v>0.33333333333333337</v>
      </c>
    </row>
    <row r="44" spans="1:19" hidden="1" x14ac:dyDescent="0.25">
      <c r="A44" t="s">
        <v>4048</v>
      </c>
      <c r="B44">
        <v>1017264032</v>
      </c>
      <c r="C44" t="s">
        <v>88</v>
      </c>
      <c r="D44" s="11" t="s">
        <v>55</v>
      </c>
      <c r="E44" s="11" t="s">
        <v>4047</v>
      </c>
      <c r="F44" s="11" t="s">
        <v>16</v>
      </c>
      <c r="G44" s="1">
        <v>46229</v>
      </c>
      <c r="H44" s="1">
        <v>46258</v>
      </c>
      <c r="I44" s="2">
        <v>0.58333333333333337</v>
      </c>
      <c r="J44" s="2">
        <v>0.875</v>
      </c>
      <c r="K44" s="11" t="s">
        <v>116</v>
      </c>
      <c r="L44" s="11" t="s">
        <v>117</v>
      </c>
      <c r="M44" s="1"/>
      <c r="N44" s="11"/>
      <c r="O44" s="11" t="s">
        <v>21</v>
      </c>
      <c r="P44" s="1"/>
      <c r="Q44" s="1"/>
      <c r="R44" s="11"/>
      <c r="S44" s="2">
        <f>CONSOLIDADO_2026[[#This Row],[Hora final]]-CONSOLIDADO_2026[[#This Row],[Hora inic]]</f>
        <v>0.29166666666666663</v>
      </c>
    </row>
    <row r="45" spans="1:19" hidden="1" x14ac:dyDescent="0.25">
      <c r="A45" t="s">
        <v>4055</v>
      </c>
      <c r="B45">
        <v>1143374438</v>
      </c>
      <c r="C45" t="s">
        <v>154</v>
      </c>
      <c r="D45" s="11" t="s">
        <v>28</v>
      </c>
      <c r="E45" s="11" t="s">
        <v>4046</v>
      </c>
      <c r="F45" s="11" t="s">
        <v>16</v>
      </c>
      <c r="G45" s="1">
        <v>46209</v>
      </c>
      <c r="H45" s="1">
        <v>46238</v>
      </c>
      <c r="I45" s="2">
        <v>0.25</v>
      </c>
      <c r="J45" s="2">
        <v>0.54166666666666663</v>
      </c>
      <c r="K45" s="11" t="s">
        <v>150</v>
      </c>
      <c r="L45" s="11" t="s">
        <v>151</v>
      </c>
      <c r="M45" s="1"/>
      <c r="N45" s="11"/>
      <c r="O45" s="11" t="s">
        <v>21</v>
      </c>
      <c r="P45" s="1"/>
      <c r="Q45" s="1"/>
      <c r="R45" s="11"/>
      <c r="S45" s="2">
        <f>CONSOLIDADO_2026[[#This Row],[Hora final]]-CONSOLIDADO_2026[[#This Row],[Hora inic]]</f>
        <v>0.29166666666666663</v>
      </c>
    </row>
    <row r="46" spans="1:19" hidden="1" x14ac:dyDescent="0.25">
      <c r="A46" t="s">
        <v>4039</v>
      </c>
      <c r="B46">
        <v>1016090631</v>
      </c>
      <c r="C46" t="s">
        <v>2866</v>
      </c>
      <c r="D46" s="11" t="s">
        <v>55</v>
      </c>
      <c r="E46" s="11" t="s">
        <v>4047</v>
      </c>
      <c r="F46" s="11" t="s">
        <v>16</v>
      </c>
      <c r="G46" s="1">
        <v>46233</v>
      </c>
      <c r="H46" s="1">
        <v>46235</v>
      </c>
      <c r="I46" s="2">
        <v>0.25</v>
      </c>
      <c r="J46" s="2">
        <v>0.66666666666666663</v>
      </c>
      <c r="K46" s="11"/>
      <c r="L46" s="11" t="s">
        <v>327</v>
      </c>
      <c r="M46" s="1"/>
      <c r="N46" s="11"/>
      <c r="O46" s="11" t="s">
        <v>4042</v>
      </c>
      <c r="P46" s="1"/>
      <c r="Q46" s="1"/>
      <c r="R46" s="11"/>
      <c r="S46" s="2">
        <f>CONSOLIDADO_2026[[#This Row],[Hora final]]-CONSOLIDADO_2026[[#This Row],[Hora inic]]</f>
        <v>0.41666666666666663</v>
      </c>
    </row>
    <row r="47" spans="1:19" hidden="1" x14ac:dyDescent="0.25">
      <c r="A47" t="s">
        <v>4039</v>
      </c>
      <c r="B47">
        <v>1152226738</v>
      </c>
      <c r="C47" t="s">
        <v>138</v>
      </c>
      <c r="D47" s="11" t="s">
        <v>139</v>
      </c>
      <c r="E47" s="11" t="s">
        <v>4040</v>
      </c>
      <c r="F47" s="11" t="s">
        <v>16</v>
      </c>
      <c r="G47" s="1">
        <v>46234</v>
      </c>
      <c r="H47" s="1">
        <v>46237</v>
      </c>
      <c r="I47" s="2">
        <v>0.25</v>
      </c>
      <c r="J47" s="2">
        <v>0.66666666666666663</v>
      </c>
      <c r="K47" s="11"/>
      <c r="L47" s="11" t="s">
        <v>327</v>
      </c>
      <c r="M47" s="1"/>
      <c r="N47" s="11"/>
      <c r="O47" s="11" t="s">
        <v>4042</v>
      </c>
      <c r="P47" s="1"/>
      <c r="Q47" s="1"/>
      <c r="R47" s="11"/>
      <c r="S47" s="2">
        <f>CONSOLIDADO_2026[[#This Row],[Hora final]]-CONSOLIDADO_2026[[#This Row],[Hora inic]]</f>
        <v>0.41666666666666663</v>
      </c>
    </row>
    <row r="48" spans="1:19" hidden="1" x14ac:dyDescent="0.25">
      <c r="A48" t="s">
        <v>4048</v>
      </c>
      <c r="B48">
        <v>1047505786</v>
      </c>
      <c r="C48" t="s">
        <v>114</v>
      </c>
      <c r="D48" s="11" t="s">
        <v>51</v>
      </c>
      <c r="E48" s="11" t="s">
        <v>4047</v>
      </c>
      <c r="F48" s="11" t="s">
        <v>16</v>
      </c>
      <c r="G48" s="1">
        <v>46229</v>
      </c>
      <c r="H48" s="1">
        <v>46243</v>
      </c>
      <c r="I48" s="2">
        <v>0.25</v>
      </c>
      <c r="J48" s="2">
        <v>0.54166666666666663</v>
      </c>
      <c r="K48" s="11"/>
      <c r="L48" s="11" t="s">
        <v>327</v>
      </c>
      <c r="M48" s="1"/>
      <c r="N48" s="11"/>
      <c r="O48" s="11" t="s">
        <v>4042</v>
      </c>
      <c r="P48" s="1"/>
      <c r="Q48" s="1"/>
      <c r="R48" s="11"/>
      <c r="S48" s="2">
        <f>CONSOLIDADO_2026[[#This Row],[Hora final]]-CONSOLIDADO_2026[[#This Row],[Hora inic]]</f>
        <v>0.29166666666666663</v>
      </c>
    </row>
    <row r="49" spans="1:19" hidden="1" x14ac:dyDescent="0.25">
      <c r="A49" t="s">
        <v>4039</v>
      </c>
      <c r="B49">
        <v>21852680</v>
      </c>
      <c r="C49" t="s">
        <v>4058</v>
      </c>
      <c r="D49" s="11" t="s">
        <v>482</v>
      </c>
      <c r="E49" s="11" t="s">
        <v>4040</v>
      </c>
      <c r="F49" s="11" t="s">
        <v>4050</v>
      </c>
      <c r="G49" s="1">
        <v>46235</v>
      </c>
      <c r="H49" s="1">
        <v>46238</v>
      </c>
      <c r="I49" s="2">
        <v>0.25</v>
      </c>
      <c r="J49" s="2">
        <v>0.66666666666666663</v>
      </c>
      <c r="K49" s="11"/>
      <c r="L49" s="11" t="s">
        <v>327</v>
      </c>
      <c r="M49" s="1"/>
      <c r="N49" s="11"/>
      <c r="O49" s="11" t="s">
        <v>4042</v>
      </c>
      <c r="P49" s="1"/>
      <c r="Q49" s="1"/>
      <c r="R49" s="11"/>
      <c r="S49" s="2">
        <f>CONSOLIDADO_2026[[#This Row],[Hora final]]-CONSOLIDADO_2026[[#This Row],[Hora inic]]</f>
        <v>0.41666666666666663</v>
      </c>
    </row>
    <row r="50" spans="1:19" hidden="1" x14ac:dyDescent="0.25">
      <c r="A50" t="s">
        <v>4039</v>
      </c>
      <c r="B50">
        <v>1061819313</v>
      </c>
      <c r="C50" t="s">
        <v>280</v>
      </c>
      <c r="D50" s="11" t="s">
        <v>59</v>
      </c>
      <c r="E50" s="11" t="s">
        <v>4047</v>
      </c>
      <c r="F50" s="11" t="s">
        <v>16</v>
      </c>
      <c r="G50" s="1">
        <v>46231</v>
      </c>
      <c r="H50" s="1">
        <v>46235</v>
      </c>
      <c r="I50" s="2">
        <v>0.25</v>
      </c>
      <c r="J50" s="2">
        <v>0.66666666666666663</v>
      </c>
      <c r="K50" s="11" t="s">
        <v>276</v>
      </c>
      <c r="L50" s="11" t="s">
        <v>277</v>
      </c>
      <c r="M50" s="1"/>
      <c r="N50" s="11"/>
      <c r="O50" s="11" t="s">
        <v>21</v>
      </c>
      <c r="P50" s="1"/>
      <c r="Q50" s="1"/>
      <c r="R50" s="11"/>
      <c r="S50" s="2">
        <f>CONSOLIDADO_2026[[#This Row],[Hora final]]-CONSOLIDADO_2026[[#This Row],[Hora inic]]</f>
        <v>0.41666666666666663</v>
      </c>
    </row>
    <row r="51" spans="1:19" hidden="1" x14ac:dyDescent="0.25">
      <c r="A51" t="s">
        <v>4039</v>
      </c>
      <c r="B51">
        <v>1140905046</v>
      </c>
      <c r="C51" t="s">
        <v>4059</v>
      </c>
      <c r="D51" s="11" t="s">
        <v>482</v>
      </c>
      <c r="E51" s="11" t="s">
        <v>4040</v>
      </c>
      <c r="F51" s="11" t="s">
        <v>4050</v>
      </c>
      <c r="G51" s="1">
        <v>46235</v>
      </c>
      <c r="H51" s="1">
        <v>46238</v>
      </c>
      <c r="I51" s="2">
        <v>0.25</v>
      </c>
      <c r="J51" s="2">
        <v>0.66666666666666663</v>
      </c>
      <c r="K51" s="11" t="s">
        <v>282</v>
      </c>
      <c r="L51" s="11" t="s">
        <v>283</v>
      </c>
      <c r="M51" s="1"/>
      <c r="N51" s="11"/>
      <c r="O51" s="11" t="s">
        <v>21</v>
      </c>
      <c r="P51" s="1"/>
      <c r="Q51" s="1"/>
      <c r="R51" s="11"/>
      <c r="S51" s="2">
        <f>CONSOLIDADO_2026[[#This Row],[Hora final]]-CONSOLIDADO_2026[[#This Row],[Hora inic]]</f>
        <v>0.41666666666666663</v>
      </c>
    </row>
    <row r="52" spans="1:19" hidden="1" x14ac:dyDescent="0.25">
      <c r="A52" t="s">
        <v>4053</v>
      </c>
      <c r="B52">
        <v>1143375080</v>
      </c>
      <c r="C52" t="s">
        <v>157</v>
      </c>
      <c r="D52" s="11" t="s">
        <v>44</v>
      </c>
      <c r="E52" s="11" t="s">
        <v>4045</v>
      </c>
      <c r="F52" s="11" t="s">
        <v>4062</v>
      </c>
      <c r="G52" s="1">
        <v>46232</v>
      </c>
      <c r="H52" s="1">
        <v>46239</v>
      </c>
      <c r="I52" s="2">
        <v>0.58333333333333337</v>
      </c>
      <c r="J52" s="2">
        <v>0.875</v>
      </c>
      <c r="K52" s="11" t="s">
        <v>282</v>
      </c>
      <c r="L52" s="11" t="s">
        <v>283</v>
      </c>
      <c r="M52" s="1"/>
      <c r="N52" s="11"/>
      <c r="O52" s="11" t="s">
        <v>21</v>
      </c>
      <c r="P52" s="1"/>
      <c r="Q52" s="1"/>
      <c r="R52" s="11"/>
      <c r="S52" s="2">
        <f>CONSOLIDADO_2026[[#This Row],[Hora final]]-CONSOLIDADO_2026[[#This Row],[Hora inic]]</f>
        <v>0.29166666666666663</v>
      </c>
    </row>
    <row r="53" spans="1:19" hidden="1" x14ac:dyDescent="0.25">
      <c r="A53" t="s">
        <v>4039</v>
      </c>
      <c r="B53" t="s">
        <v>288</v>
      </c>
      <c r="C53" t="s">
        <v>289</v>
      </c>
      <c r="D53" s="11" t="s">
        <v>272</v>
      </c>
      <c r="E53" s="11" t="s">
        <v>4056</v>
      </c>
      <c r="F53" s="11" t="s">
        <v>36</v>
      </c>
      <c r="G53" s="1">
        <v>46230</v>
      </c>
      <c r="H53" s="1">
        <v>46355</v>
      </c>
      <c r="I53" s="2">
        <v>0.25</v>
      </c>
      <c r="J53" s="2">
        <v>0.58333333333333337</v>
      </c>
      <c r="K53" s="11" t="s">
        <v>285</v>
      </c>
      <c r="L53" s="11" t="s">
        <v>286</v>
      </c>
      <c r="M53" s="1"/>
      <c r="N53" s="11"/>
      <c r="O53" s="11" t="s">
        <v>21</v>
      </c>
      <c r="P53" s="1"/>
      <c r="Q53" s="1"/>
      <c r="R53" s="11"/>
      <c r="S53" s="2">
        <f>CONSOLIDADO_2026[[#This Row],[Hora final]]-CONSOLIDADO_2026[[#This Row],[Hora inic]]</f>
        <v>0.33333333333333337</v>
      </c>
    </row>
    <row r="54" spans="1:19" hidden="1" x14ac:dyDescent="0.25">
      <c r="A54" t="s">
        <v>4043</v>
      </c>
      <c r="B54">
        <v>1085318652</v>
      </c>
      <c r="C54" t="s">
        <v>292</v>
      </c>
      <c r="D54" s="11" t="s">
        <v>272</v>
      </c>
      <c r="E54" s="11" t="s">
        <v>4056</v>
      </c>
      <c r="F54" s="11" t="s">
        <v>92</v>
      </c>
      <c r="G54" s="1">
        <v>46233</v>
      </c>
      <c r="H54" s="1">
        <v>46238</v>
      </c>
      <c r="I54" s="2">
        <v>0.25</v>
      </c>
      <c r="J54" s="2">
        <v>0.54166666666666663</v>
      </c>
      <c r="K54" s="11" t="s">
        <v>285</v>
      </c>
      <c r="L54" s="11" t="s">
        <v>286</v>
      </c>
      <c r="M54" s="1"/>
      <c r="N54" s="11"/>
      <c r="O54" s="11" t="s">
        <v>21</v>
      </c>
      <c r="P54" s="1"/>
      <c r="Q54" s="1"/>
      <c r="R54" s="11"/>
      <c r="S54" s="2">
        <f>CONSOLIDADO_2026[[#This Row],[Hora final]]-CONSOLIDADO_2026[[#This Row],[Hora inic]]</f>
        <v>0.29166666666666663</v>
      </c>
    </row>
    <row r="55" spans="1:19" hidden="1" x14ac:dyDescent="0.25">
      <c r="A55" t="s">
        <v>4043</v>
      </c>
      <c r="B55">
        <v>1152226738</v>
      </c>
      <c r="C55" t="s">
        <v>138</v>
      </c>
      <c r="D55" s="11" t="s">
        <v>139</v>
      </c>
      <c r="E55" s="11" t="s">
        <v>4040</v>
      </c>
      <c r="F55" s="11" t="s">
        <v>16</v>
      </c>
      <c r="G55" s="1">
        <v>46234</v>
      </c>
      <c r="H55" s="1">
        <v>46237</v>
      </c>
      <c r="I55" s="2">
        <v>0.25</v>
      </c>
      <c r="J55" s="2">
        <v>0.54166666666666663</v>
      </c>
      <c r="K55" s="11" t="s">
        <v>119</v>
      </c>
      <c r="L55" s="11" t="s">
        <v>120</v>
      </c>
      <c r="M55" s="1"/>
      <c r="N55" s="11"/>
      <c r="O55" s="11" t="s">
        <v>21</v>
      </c>
      <c r="P55" s="1"/>
      <c r="Q55" s="1"/>
      <c r="R55" s="11"/>
      <c r="S55" s="2">
        <f>CONSOLIDADO_2026[[#This Row],[Hora final]]-CONSOLIDADO_2026[[#This Row],[Hora inic]]</f>
        <v>0.29166666666666663</v>
      </c>
    </row>
    <row r="56" spans="1:19" hidden="1" x14ac:dyDescent="0.25">
      <c r="A56" t="s">
        <v>4039</v>
      </c>
      <c r="B56">
        <v>1001940238</v>
      </c>
      <c r="C56" t="s">
        <v>4049</v>
      </c>
      <c r="D56" s="11" t="s">
        <v>82</v>
      </c>
      <c r="E56" s="11" t="s">
        <v>4045</v>
      </c>
      <c r="F56" s="11" t="s">
        <v>4050</v>
      </c>
      <c r="G56" s="1">
        <v>46237</v>
      </c>
      <c r="H56" s="1">
        <v>46239</v>
      </c>
      <c r="I56" s="2"/>
      <c r="J56" s="2"/>
      <c r="K56" s="11"/>
      <c r="L56" s="11" t="s">
        <v>341</v>
      </c>
      <c r="M56" s="1"/>
      <c r="N56" s="11"/>
      <c r="O56" s="11" t="s">
        <v>4042</v>
      </c>
      <c r="P56" s="1"/>
      <c r="Q56" s="1"/>
      <c r="R56" s="11"/>
      <c r="S56" s="2">
        <f>CONSOLIDADO_2026[[#This Row],[Hora final]]-CONSOLIDADO_2026[[#This Row],[Hora inic]]</f>
        <v>0</v>
      </c>
    </row>
    <row r="57" spans="1:19" hidden="1" x14ac:dyDescent="0.25">
      <c r="A57" t="s">
        <v>4039</v>
      </c>
      <c r="B57">
        <v>1047505786</v>
      </c>
      <c r="C57" t="s">
        <v>114</v>
      </c>
      <c r="D57" s="11" t="s">
        <v>51</v>
      </c>
      <c r="E57" s="11" t="s">
        <v>4047</v>
      </c>
      <c r="F57" s="11" t="s">
        <v>16</v>
      </c>
      <c r="G57" s="1">
        <v>46229</v>
      </c>
      <c r="H57" s="1">
        <v>46243</v>
      </c>
      <c r="I57" s="2"/>
      <c r="J57" s="2"/>
      <c r="K57" s="11"/>
      <c r="L57" s="11" t="s">
        <v>341</v>
      </c>
      <c r="M57" s="1"/>
      <c r="N57" s="11"/>
      <c r="O57" s="11" t="s">
        <v>4042</v>
      </c>
      <c r="P57" s="1"/>
      <c r="Q57" s="1"/>
      <c r="R57" s="11"/>
      <c r="S57" s="2">
        <f>CONSOLIDADO_2026[[#This Row],[Hora final]]-CONSOLIDADO_2026[[#This Row],[Hora inic]]</f>
        <v>0</v>
      </c>
    </row>
    <row r="58" spans="1:19" hidden="1" x14ac:dyDescent="0.25">
      <c r="A58" t="s">
        <v>4039</v>
      </c>
      <c r="B58">
        <v>1043022975</v>
      </c>
      <c r="C58" t="s">
        <v>1786</v>
      </c>
      <c r="D58" s="11" t="s">
        <v>15</v>
      </c>
      <c r="E58" s="11" t="s">
        <v>4046</v>
      </c>
      <c r="F58" s="11" t="s">
        <v>16</v>
      </c>
      <c r="G58" s="1">
        <v>46234</v>
      </c>
      <c r="H58" s="1">
        <v>46235</v>
      </c>
      <c r="I58" s="2"/>
      <c r="J58" s="2"/>
      <c r="K58" s="11"/>
      <c r="L58" s="11" t="s">
        <v>341</v>
      </c>
      <c r="M58" s="1"/>
      <c r="N58" s="11"/>
      <c r="O58" s="11" t="s">
        <v>4042</v>
      </c>
      <c r="P58" s="1"/>
      <c r="Q58" s="1"/>
      <c r="R58" s="11"/>
      <c r="S58" s="2">
        <f>CONSOLIDADO_2026[[#This Row],[Hora final]]-CONSOLIDADO_2026[[#This Row],[Hora inic]]</f>
        <v>0</v>
      </c>
    </row>
    <row r="59" spans="1:19" hidden="1" x14ac:dyDescent="0.25">
      <c r="A59" t="s">
        <v>4039</v>
      </c>
      <c r="B59" t="s">
        <v>33</v>
      </c>
      <c r="C59" t="s">
        <v>34</v>
      </c>
      <c r="D59" s="11" t="s">
        <v>15</v>
      </c>
      <c r="E59" s="11" t="s">
        <v>4046</v>
      </c>
      <c r="F59" s="11" t="s">
        <v>16</v>
      </c>
      <c r="G59" s="1">
        <v>46224</v>
      </c>
      <c r="H59" s="1">
        <v>46239</v>
      </c>
      <c r="I59" s="2"/>
      <c r="J59" s="2"/>
      <c r="K59" s="11"/>
      <c r="L59" s="11" t="s">
        <v>341</v>
      </c>
      <c r="M59" s="1"/>
      <c r="N59" s="11"/>
      <c r="O59" s="11" t="s">
        <v>4042</v>
      </c>
      <c r="P59" s="1"/>
      <c r="Q59" s="1"/>
      <c r="R59" s="11"/>
      <c r="S59" s="2">
        <f>CONSOLIDADO_2026[[#This Row],[Hora final]]-CONSOLIDADO_2026[[#This Row],[Hora inic]]</f>
        <v>0</v>
      </c>
    </row>
    <row r="60" spans="1:19" hidden="1" x14ac:dyDescent="0.25">
      <c r="A60" t="s">
        <v>4051</v>
      </c>
      <c r="B60">
        <v>1017264032</v>
      </c>
      <c r="C60" t="s">
        <v>88</v>
      </c>
      <c r="D60" s="11" t="s">
        <v>55</v>
      </c>
      <c r="E60" s="11" t="s">
        <v>4047</v>
      </c>
      <c r="F60" s="11" t="s">
        <v>16</v>
      </c>
      <c r="G60" s="1">
        <v>46229</v>
      </c>
      <c r="H60" s="1">
        <v>46258</v>
      </c>
      <c r="I60" s="2"/>
      <c r="J60" s="2"/>
      <c r="K60" s="11"/>
      <c r="L60" s="11" t="s">
        <v>341</v>
      </c>
      <c r="M60" s="1"/>
      <c r="N60" s="11" t="s">
        <v>21</v>
      </c>
      <c r="O60" s="11" t="s">
        <v>21</v>
      </c>
      <c r="P60" s="1"/>
      <c r="Q60" s="1"/>
      <c r="R60" s="11"/>
      <c r="S60" s="2">
        <f>CONSOLIDADO_2026[[#This Row],[Hora final]]-CONSOLIDADO_2026[[#This Row],[Hora inic]]</f>
        <v>0</v>
      </c>
    </row>
    <row r="61" spans="1:19" hidden="1" x14ac:dyDescent="0.25">
      <c r="A61" t="s">
        <v>4039</v>
      </c>
      <c r="B61">
        <v>1036132488</v>
      </c>
      <c r="C61" t="s">
        <v>89</v>
      </c>
      <c r="D61" s="11" t="s">
        <v>59</v>
      </c>
      <c r="E61" s="11" t="s">
        <v>4047</v>
      </c>
      <c r="F61" s="11" t="s">
        <v>16</v>
      </c>
      <c r="G61" s="1">
        <v>46227</v>
      </c>
      <c r="H61" s="1">
        <v>46246</v>
      </c>
      <c r="I61" s="2"/>
      <c r="J61" s="2"/>
      <c r="K61" s="11"/>
      <c r="L61" s="11" t="s">
        <v>341</v>
      </c>
      <c r="M61" s="1"/>
      <c r="N61" s="11"/>
      <c r="O61" s="11" t="s">
        <v>4042</v>
      </c>
      <c r="P61" s="1"/>
      <c r="Q61" s="1"/>
      <c r="R61" s="11"/>
      <c r="S61" s="2">
        <f>CONSOLIDADO_2026[[#This Row],[Hora final]]-CONSOLIDADO_2026[[#This Row],[Hora inic]]</f>
        <v>0</v>
      </c>
    </row>
    <row r="62" spans="1:19" hidden="1" x14ac:dyDescent="0.25">
      <c r="A62" t="s">
        <v>4053</v>
      </c>
      <c r="B62">
        <v>1047505786</v>
      </c>
      <c r="C62" t="s">
        <v>114</v>
      </c>
      <c r="D62" s="11" t="s">
        <v>51</v>
      </c>
      <c r="E62" s="11" t="s">
        <v>4047</v>
      </c>
      <c r="F62" s="11" t="s">
        <v>16</v>
      </c>
      <c r="G62" s="1">
        <v>46229</v>
      </c>
      <c r="H62" s="1">
        <v>46243</v>
      </c>
      <c r="I62" s="2">
        <v>0.54166666666666663</v>
      </c>
      <c r="J62" s="2">
        <v>0.875</v>
      </c>
      <c r="K62" s="11" t="s">
        <v>110</v>
      </c>
      <c r="L62" s="11" t="s">
        <v>111</v>
      </c>
      <c r="M62" s="1"/>
      <c r="N62" s="11"/>
      <c r="O62" s="11" t="s">
        <v>21</v>
      </c>
      <c r="P62" s="1"/>
      <c r="Q62" s="1"/>
      <c r="R62" s="11"/>
      <c r="S62" s="2">
        <f>CONSOLIDADO_2026[[#This Row],[Hora final]]-CONSOLIDADO_2026[[#This Row],[Hora inic]]</f>
        <v>0.33333333333333337</v>
      </c>
    </row>
    <row r="63" spans="1:19" hidden="1" x14ac:dyDescent="0.25">
      <c r="A63" t="s">
        <v>4051</v>
      </c>
      <c r="B63">
        <v>1047505786</v>
      </c>
      <c r="C63" t="s">
        <v>114</v>
      </c>
      <c r="D63" s="11" t="s">
        <v>51</v>
      </c>
      <c r="E63" s="11" t="s">
        <v>4047</v>
      </c>
      <c r="F63" s="11" t="s">
        <v>16</v>
      </c>
      <c r="G63" s="1">
        <v>46229</v>
      </c>
      <c r="H63" s="1">
        <v>46243</v>
      </c>
      <c r="I63" s="2">
        <v>0.25</v>
      </c>
      <c r="J63" s="2">
        <v>0.66666666666666663</v>
      </c>
      <c r="K63" s="11" t="s">
        <v>110</v>
      </c>
      <c r="L63" s="11" t="s">
        <v>111</v>
      </c>
      <c r="M63" s="1"/>
      <c r="N63" s="11" t="s">
        <v>21</v>
      </c>
      <c r="O63" s="11" t="s">
        <v>21</v>
      </c>
      <c r="P63" s="1"/>
      <c r="Q63" s="1"/>
      <c r="R63" s="11"/>
      <c r="S63" s="2">
        <f>CONSOLIDADO_2026[[#This Row],[Hora final]]-CONSOLIDADO_2026[[#This Row],[Hora inic]]</f>
        <v>0.41666666666666663</v>
      </c>
    </row>
    <row r="64" spans="1:19" hidden="1" x14ac:dyDescent="0.25">
      <c r="A64" t="s">
        <v>4043</v>
      </c>
      <c r="B64">
        <v>1017264032</v>
      </c>
      <c r="C64" t="s">
        <v>54</v>
      </c>
      <c r="D64" s="11" t="s">
        <v>55</v>
      </c>
      <c r="E64" s="11" t="s">
        <v>4047</v>
      </c>
      <c r="F64" s="11" t="s">
        <v>16</v>
      </c>
      <c r="G64" s="1">
        <v>46229</v>
      </c>
      <c r="H64" s="1">
        <v>46258</v>
      </c>
      <c r="I64" s="2">
        <v>0.58333333333333337</v>
      </c>
      <c r="J64" s="2">
        <v>0.875</v>
      </c>
      <c r="K64" s="11" t="s">
        <v>110</v>
      </c>
      <c r="L64" s="11" t="s">
        <v>111</v>
      </c>
      <c r="M64" s="1"/>
      <c r="N64" s="11"/>
      <c r="O64" s="11" t="s">
        <v>21</v>
      </c>
      <c r="P64" s="1"/>
      <c r="Q64" s="1"/>
      <c r="R64" s="11"/>
      <c r="S64" s="2">
        <f>CONSOLIDADO_2026[[#This Row],[Hora final]]-CONSOLIDADO_2026[[#This Row],[Hora inic]]</f>
        <v>0.29166666666666663</v>
      </c>
    </row>
    <row r="65" spans="1:19" hidden="1" x14ac:dyDescent="0.25">
      <c r="A65" t="s">
        <v>4043</v>
      </c>
      <c r="B65">
        <v>1001940238</v>
      </c>
      <c r="C65" t="s">
        <v>4049</v>
      </c>
      <c r="D65" s="11" t="s">
        <v>82</v>
      </c>
      <c r="E65" s="11" t="s">
        <v>4045</v>
      </c>
      <c r="F65" s="11" t="s">
        <v>4050</v>
      </c>
      <c r="G65" s="1">
        <v>46237</v>
      </c>
      <c r="H65" s="1">
        <v>46239</v>
      </c>
      <c r="I65" s="2">
        <v>0.5</v>
      </c>
      <c r="J65" s="2">
        <v>0.83333333333333337</v>
      </c>
      <c r="K65" s="11" t="s">
        <v>231</v>
      </c>
      <c r="L65" s="11" t="s">
        <v>232</v>
      </c>
      <c r="M65" s="1"/>
      <c r="N65" s="11"/>
      <c r="O65" s="11" t="s">
        <v>21</v>
      </c>
      <c r="P65" s="1"/>
      <c r="Q65" s="1"/>
      <c r="R65" s="11"/>
      <c r="S65" s="2">
        <f>CONSOLIDADO_2026[[#This Row],[Hora final]]-CONSOLIDADO_2026[[#This Row],[Hora inic]]</f>
        <v>0.33333333333333337</v>
      </c>
    </row>
    <row r="66" spans="1:19" hidden="1" x14ac:dyDescent="0.25">
      <c r="A66" t="s">
        <v>4039</v>
      </c>
      <c r="B66">
        <v>1017270154</v>
      </c>
      <c r="C66" t="s">
        <v>1004</v>
      </c>
      <c r="D66" s="11" t="s">
        <v>421</v>
      </c>
      <c r="E66" s="11" t="s">
        <v>4047</v>
      </c>
      <c r="F66" s="11" t="s">
        <v>16</v>
      </c>
      <c r="G66" s="1">
        <v>46234</v>
      </c>
      <c r="H66" s="1">
        <v>46235</v>
      </c>
      <c r="I66" s="2">
        <v>0.25</v>
      </c>
      <c r="J66" s="2">
        <v>0.66666666666666663</v>
      </c>
      <c r="K66" s="11" t="s">
        <v>85</v>
      </c>
      <c r="L66" s="11" t="s">
        <v>86</v>
      </c>
      <c r="M66" s="1"/>
      <c r="N66" s="11"/>
      <c r="O66" s="11" t="s">
        <v>21</v>
      </c>
      <c r="P66" s="1"/>
      <c r="Q66" s="1"/>
      <c r="R66" s="11"/>
      <c r="S66" s="2">
        <f>CONSOLIDADO_2026[[#This Row],[Hora final]]-CONSOLIDADO_2026[[#This Row],[Hora inic]]</f>
        <v>0.41666666666666663</v>
      </c>
    </row>
    <row r="67" spans="1:19" hidden="1" x14ac:dyDescent="0.25">
      <c r="A67" t="s">
        <v>4053</v>
      </c>
      <c r="B67">
        <v>1001940238</v>
      </c>
      <c r="C67" t="s">
        <v>4049</v>
      </c>
      <c r="D67" s="11" t="s">
        <v>82</v>
      </c>
      <c r="E67" s="11" t="s">
        <v>4045</v>
      </c>
      <c r="F67" s="11" t="s">
        <v>4050</v>
      </c>
      <c r="G67" s="1">
        <v>46237</v>
      </c>
      <c r="H67" s="1">
        <v>46239</v>
      </c>
      <c r="I67" s="2">
        <v>0.54166666666666663</v>
      </c>
      <c r="J67" s="2">
        <v>0.83333333333333337</v>
      </c>
      <c r="K67" s="11" t="s">
        <v>264</v>
      </c>
      <c r="L67" s="11" t="s">
        <v>265</v>
      </c>
      <c r="M67" s="1"/>
      <c r="N67" s="11"/>
      <c r="O67" s="11" t="s">
        <v>21</v>
      </c>
      <c r="P67" s="1"/>
      <c r="Q67" s="1"/>
      <c r="R67" s="11"/>
      <c r="S67" s="2">
        <f>CONSOLIDADO_2026[[#This Row],[Hora final]]-CONSOLIDADO_2026[[#This Row],[Hora inic]]</f>
        <v>0.29166666666666674</v>
      </c>
    </row>
    <row r="68" spans="1:19" hidden="1" x14ac:dyDescent="0.25">
      <c r="A68" t="s">
        <v>4039</v>
      </c>
      <c r="B68">
        <v>1143375080</v>
      </c>
      <c r="C68" t="s">
        <v>203</v>
      </c>
      <c r="D68" s="11" t="s">
        <v>44</v>
      </c>
      <c r="E68" s="11" t="s">
        <v>4045</v>
      </c>
      <c r="F68" s="11" t="s">
        <v>4062</v>
      </c>
      <c r="G68" s="1">
        <v>46232</v>
      </c>
      <c r="H68" s="1">
        <v>46239</v>
      </c>
      <c r="I68" s="2">
        <v>0.25</v>
      </c>
      <c r="J68" s="2">
        <v>0.66666666666666663</v>
      </c>
      <c r="K68" s="11" t="s">
        <v>264</v>
      </c>
      <c r="L68" s="11" t="s">
        <v>265</v>
      </c>
      <c r="M68" s="1"/>
      <c r="N68" s="11"/>
      <c r="O68" s="11" t="s">
        <v>21</v>
      </c>
      <c r="P68" s="1"/>
      <c r="Q68" s="1"/>
      <c r="R68" s="11"/>
      <c r="S68" s="2">
        <f>CONSOLIDADO_2026[[#This Row],[Hora final]]-CONSOLIDADO_2026[[#This Row],[Hora inic]]</f>
        <v>0.41666666666666663</v>
      </c>
    </row>
    <row r="69" spans="1:19" hidden="1" x14ac:dyDescent="0.25">
      <c r="A69" t="s">
        <v>4039</v>
      </c>
      <c r="B69">
        <v>1017264032</v>
      </c>
      <c r="C69" t="s">
        <v>54</v>
      </c>
      <c r="D69" s="11" t="s">
        <v>55</v>
      </c>
      <c r="E69" s="11" t="s">
        <v>4047</v>
      </c>
      <c r="F69" s="11" t="s">
        <v>16</v>
      </c>
      <c r="G69" s="1">
        <v>46229</v>
      </c>
      <c r="H69" s="1">
        <v>46258</v>
      </c>
      <c r="I69" s="2">
        <v>0.25</v>
      </c>
      <c r="J69" s="2">
        <v>0.66666666666666663</v>
      </c>
      <c r="K69" s="11" t="s">
        <v>107</v>
      </c>
      <c r="L69" s="11" t="s">
        <v>108</v>
      </c>
      <c r="M69" s="1"/>
      <c r="N69" s="11"/>
      <c r="O69" s="11" t="s">
        <v>21</v>
      </c>
      <c r="P69" s="1"/>
      <c r="Q69" s="1"/>
      <c r="R69" s="11"/>
      <c r="S69" s="2">
        <f>CONSOLIDADO_2026[[#This Row],[Hora final]]-CONSOLIDADO_2026[[#This Row],[Hora inic]]</f>
        <v>0.41666666666666663</v>
      </c>
    </row>
    <row r="70" spans="1:19" hidden="1" x14ac:dyDescent="0.25">
      <c r="A70" t="s">
        <v>4055</v>
      </c>
      <c r="B70" t="s">
        <v>33</v>
      </c>
      <c r="C70" t="s">
        <v>34</v>
      </c>
      <c r="D70" s="11" t="s">
        <v>15</v>
      </c>
      <c r="E70" s="11" t="s">
        <v>4046</v>
      </c>
      <c r="F70" s="11" t="s">
        <v>16</v>
      </c>
      <c r="G70" s="1">
        <v>46224</v>
      </c>
      <c r="H70" s="1">
        <v>46239</v>
      </c>
      <c r="I70" s="2">
        <v>0.54166666666666663</v>
      </c>
      <c r="J70" s="2">
        <v>0.875</v>
      </c>
      <c r="K70" s="11" t="s">
        <v>222</v>
      </c>
      <c r="L70" s="11" t="s">
        <v>223</v>
      </c>
      <c r="M70" s="1"/>
      <c r="N70" s="11"/>
      <c r="O70" s="11" t="s">
        <v>21</v>
      </c>
      <c r="P70" s="1"/>
      <c r="Q70" s="1"/>
      <c r="R70" s="11"/>
      <c r="S70" s="2">
        <f>CONSOLIDADO_2026[[#This Row],[Hora final]]-CONSOLIDADO_2026[[#This Row],[Hora inic]]</f>
        <v>0.33333333333333337</v>
      </c>
    </row>
    <row r="71" spans="1:19" hidden="1" x14ac:dyDescent="0.25">
      <c r="A71" t="s">
        <v>4043</v>
      </c>
      <c r="B71">
        <v>1140905046</v>
      </c>
      <c r="C71" t="s">
        <v>4059</v>
      </c>
      <c r="D71" s="11" t="s">
        <v>482</v>
      </c>
      <c r="E71" s="11" t="s">
        <v>4040</v>
      </c>
      <c r="F71" s="11" t="s">
        <v>4050</v>
      </c>
      <c r="G71" s="1">
        <v>46235</v>
      </c>
      <c r="H71" s="1">
        <v>46238</v>
      </c>
      <c r="I71" s="2">
        <v>0.25</v>
      </c>
      <c r="J71" s="2">
        <v>0.54166666666666663</v>
      </c>
      <c r="K71" s="11" t="s">
        <v>309</v>
      </c>
      <c r="L71" s="11" t="s">
        <v>310</v>
      </c>
      <c r="M71" s="1"/>
      <c r="N71" s="11"/>
      <c r="O71" s="11" t="s">
        <v>21</v>
      </c>
      <c r="P71" s="1"/>
      <c r="Q71" s="1"/>
      <c r="R71" s="11"/>
      <c r="S71" s="2">
        <f>CONSOLIDADO_2026[[#This Row],[Hora final]]-CONSOLIDADO_2026[[#This Row],[Hora inic]]</f>
        <v>0.29166666666666663</v>
      </c>
    </row>
    <row r="72" spans="1:19" hidden="1" x14ac:dyDescent="0.25">
      <c r="A72" t="s">
        <v>4043</v>
      </c>
      <c r="B72">
        <v>21852680</v>
      </c>
      <c r="C72" t="s">
        <v>4058</v>
      </c>
      <c r="D72" s="11" t="s">
        <v>482</v>
      </c>
      <c r="E72" s="11" t="s">
        <v>4040</v>
      </c>
      <c r="F72" s="11" t="s">
        <v>4050</v>
      </c>
      <c r="G72" s="1">
        <v>46235</v>
      </c>
      <c r="H72" s="1">
        <v>46238</v>
      </c>
      <c r="I72" s="2">
        <v>0.25</v>
      </c>
      <c r="J72" s="2">
        <v>0.58333333333333337</v>
      </c>
      <c r="K72" s="11" t="s">
        <v>193</v>
      </c>
      <c r="L72" s="11" t="s">
        <v>194</v>
      </c>
      <c r="M72" s="1"/>
      <c r="N72" s="11"/>
      <c r="O72" s="11" t="s">
        <v>21</v>
      </c>
      <c r="P72" s="1"/>
      <c r="Q72" s="1"/>
      <c r="R72" s="11"/>
      <c r="S72" s="2">
        <f>CONSOLIDADO_2026[[#This Row],[Hora final]]-CONSOLIDADO_2026[[#This Row],[Hora inic]]</f>
        <v>0.33333333333333337</v>
      </c>
    </row>
    <row r="73" spans="1:19" hidden="1" x14ac:dyDescent="0.25">
      <c r="A73" t="s">
        <v>4043</v>
      </c>
      <c r="B73">
        <v>1143374438</v>
      </c>
      <c r="C73" t="s">
        <v>154</v>
      </c>
      <c r="D73" s="11" t="s">
        <v>28</v>
      </c>
      <c r="E73" s="11" t="s">
        <v>4046</v>
      </c>
      <c r="F73" s="11" t="s">
        <v>16</v>
      </c>
      <c r="G73" s="1">
        <v>46209</v>
      </c>
      <c r="H73" s="1">
        <v>46238</v>
      </c>
      <c r="I73" s="2">
        <v>0.25</v>
      </c>
      <c r="J73" s="2">
        <v>0.58333333333333337</v>
      </c>
      <c r="K73" s="11" t="s">
        <v>273</v>
      </c>
      <c r="L73" s="11" t="s">
        <v>274</v>
      </c>
      <c r="M73" s="1"/>
      <c r="N73" s="11"/>
      <c r="O73" s="11" t="s">
        <v>21</v>
      </c>
      <c r="P73" s="1"/>
      <c r="Q73" s="1"/>
      <c r="R73" s="11"/>
      <c r="S73" s="2">
        <f>CONSOLIDADO_2026[[#This Row],[Hora final]]-CONSOLIDADO_2026[[#This Row],[Hora inic]]</f>
        <v>0.33333333333333337</v>
      </c>
    </row>
    <row r="74" spans="1:19" hidden="1" x14ac:dyDescent="0.25">
      <c r="A74" t="s">
        <v>4039</v>
      </c>
      <c r="B74">
        <v>1118569642</v>
      </c>
      <c r="C74" t="s">
        <v>175</v>
      </c>
      <c r="D74" s="11" t="s">
        <v>176</v>
      </c>
      <c r="E74" s="11" t="s">
        <v>4040</v>
      </c>
      <c r="F74" s="11" t="s">
        <v>16</v>
      </c>
      <c r="G74" s="1">
        <v>46230</v>
      </c>
      <c r="H74" s="1">
        <v>46235</v>
      </c>
      <c r="I74" s="2">
        <v>0.25</v>
      </c>
      <c r="J74" s="2">
        <v>0.66666666666666663</v>
      </c>
      <c r="K74" s="11" t="s">
        <v>177</v>
      </c>
      <c r="L74" s="11" t="s">
        <v>178</v>
      </c>
      <c r="M74" s="1"/>
      <c r="N74" s="11"/>
      <c r="O74" s="11" t="s">
        <v>21</v>
      </c>
      <c r="P74" s="1"/>
      <c r="Q74" s="1"/>
      <c r="R74" s="11"/>
      <c r="S74" s="2">
        <f>CONSOLIDADO_2026[[#This Row],[Hora final]]-CONSOLIDADO_2026[[#This Row],[Hora inic]]</f>
        <v>0.41666666666666663</v>
      </c>
    </row>
    <row r="75" spans="1:19" hidden="1" x14ac:dyDescent="0.25">
      <c r="A75" t="s">
        <v>4043</v>
      </c>
      <c r="B75" t="s">
        <v>288</v>
      </c>
      <c r="C75" t="s">
        <v>289</v>
      </c>
      <c r="D75" s="11" t="s">
        <v>272</v>
      </c>
      <c r="E75" s="11" t="s">
        <v>4056</v>
      </c>
      <c r="F75" s="11" t="s">
        <v>36</v>
      </c>
      <c r="G75" s="1">
        <v>46230</v>
      </c>
      <c r="H75" s="1">
        <v>46355</v>
      </c>
      <c r="I75" s="2">
        <v>0.25</v>
      </c>
      <c r="J75" s="2">
        <v>0.58333333333333337</v>
      </c>
      <c r="K75" s="11" t="s">
        <v>321</v>
      </c>
      <c r="L75" s="11" t="s">
        <v>322</v>
      </c>
      <c r="M75" s="1"/>
      <c r="N75" s="11"/>
      <c r="O75" s="11" t="s">
        <v>21</v>
      </c>
      <c r="P75" s="1"/>
      <c r="Q75" s="1"/>
      <c r="R75" s="11"/>
      <c r="S75" s="2">
        <f>CONSOLIDADO_2026[[#This Row],[Hora final]]-CONSOLIDADO_2026[[#This Row],[Hora inic]]</f>
        <v>0.33333333333333337</v>
      </c>
    </row>
    <row r="76" spans="1:19" hidden="1" x14ac:dyDescent="0.25">
      <c r="A76" t="s">
        <v>4039</v>
      </c>
      <c r="B76">
        <v>1085318652</v>
      </c>
      <c r="C76" t="s">
        <v>292</v>
      </c>
      <c r="D76" s="11" t="s">
        <v>272</v>
      </c>
      <c r="E76" s="11" t="s">
        <v>4056</v>
      </c>
      <c r="F76" s="11" t="s">
        <v>92</v>
      </c>
      <c r="G76" s="1">
        <v>46233</v>
      </c>
      <c r="H76" s="1">
        <v>46238</v>
      </c>
      <c r="I76" s="2">
        <v>0.25</v>
      </c>
      <c r="J76" s="2">
        <v>0.58333333333333337</v>
      </c>
      <c r="K76" s="11" t="s">
        <v>321</v>
      </c>
      <c r="L76" s="11" t="s">
        <v>322</v>
      </c>
      <c r="M76" s="1"/>
      <c r="N76" s="11"/>
      <c r="O76" s="11" t="s">
        <v>21</v>
      </c>
      <c r="P76" s="1"/>
      <c r="Q76" s="1"/>
      <c r="R76" s="11"/>
      <c r="S76" s="2">
        <f>CONSOLIDADO_2026[[#This Row],[Hora final]]-CONSOLIDADO_2026[[#This Row],[Hora inic]]</f>
        <v>0.33333333333333337</v>
      </c>
    </row>
    <row r="77" spans="1:19" hidden="1" x14ac:dyDescent="0.25">
      <c r="A77" t="s">
        <v>4043</v>
      </c>
      <c r="B77" t="s">
        <v>33</v>
      </c>
      <c r="C77" t="s">
        <v>34</v>
      </c>
      <c r="D77" s="11" t="s">
        <v>15</v>
      </c>
      <c r="E77" s="11" t="s">
        <v>4046</v>
      </c>
      <c r="F77" s="11" t="s">
        <v>16</v>
      </c>
      <c r="G77" s="1">
        <v>46224</v>
      </c>
      <c r="H77" s="1">
        <v>46239</v>
      </c>
      <c r="I77" s="2">
        <v>0.54166666666666663</v>
      </c>
      <c r="J77" s="2">
        <v>0.875</v>
      </c>
      <c r="K77" s="11" t="s">
        <v>17</v>
      </c>
      <c r="L77" s="11" t="s">
        <v>18</v>
      </c>
      <c r="M77" s="1"/>
      <c r="N77" s="11"/>
      <c r="O77" s="11" t="s">
        <v>21</v>
      </c>
      <c r="P77" s="1"/>
      <c r="Q77" s="1"/>
      <c r="R77" s="11"/>
      <c r="S77" s="2">
        <f>CONSOLIDADO_2026[[#This Row],[Hora final]]-CONSOLIDADO_2026[[#This Row],[Hora inic]]</f>
        <v>0.33333333333333337</v>
      </c>
    </row>
    <row r="78" spans="1:19" hidden="1" x14ac:dyDescent="0.25">
      <c r="A78" t="s">
        <v>4163</v>
      </c>
      <c r="B78">
        <v>1017264032</v>
      </c>
      <c r="C78" t="s">
        <v>54</v>
      </c>
      <c r="D78" s="11" t="s">
        <v>55</v>
      </c>
      <c r="E78" s="11" t="s">
        <v>4047</v>
      </c>
      <c r="F78" s="11" t="s">
        <v>16</v>
      </c>
      <c r="G78" s="1">
        <v>46229</v>
      </c>
      <c r="H78" s="1">
        <v>46258</v>
      </c>
      <c r="I78" s="2">
        <v>0.25</v>
      </c>
      <c r="J78" s="2">
        <v>0.58333333333333337</v>
      </c>
      <c r="K78" s="11" t="s">
        <v>45</v>
      </c>
      <c r="L78" s="11" t="s">
        <v>46</v>
      </c>
      <c r="M78" s="1"/>
      <c r="N78" s="11"/>
      <c r="O78" s="11" t="s">
        <v>21</v>
      </c>
      <c r="P78" s="1"/>
      <c r="Q78" s="1"/>
      <c r="R78" s="11"/>
      <c r="S78" s="2">
        <f>CONSOLIDADO_2026[[#This Row],[Hora final]]-CONSOLIDADO_2026[[#This Row],[Hora inic]]</f>
        <v>0.33333333333333337</v>
      </c>
    </row>
    <row r="79" spans="1:19" hidden="1" x14ac:dyDescent="0.25">
      <c r="A79" t="s">
        <v>4039</v>
      </c>
      <c r="B79">
        <v>1002159016</v>
      </c>
      <c r="C79" t="s">
        <v>244</v>
      </c>
      <c r="D79" s="11" t="s">
        <v>245</v>
      </c>
      <c r="E79" s="11" t="s">
        <v>4040</v>
      </c>
      <c r="F79" s="11" t="s">
        <v>16</v>
      </c>
      <c r="G79" s="1">
        <v>46230</v>
      </c>
      <c r="H79" s="1">
        <v>46235</v>
      </c>
      <c r="I79" s="2">
        <v>0.25</v>
      </c>
      <c r="J79" s="2">
        <v>0.66666666666666663</v>
      </c>
      <c r="K79" s="11" t="s">
        <v>246</v>
      </c>
      <c r="L79" s="11" t="s">
        <v>247</v>
      </c>
      <c r="M79" s="1"/>
      <c r="N79" s="11"/>
      <c r="O79" s="11" t="s">
        <v>21</v>
      </c>
      <c r="P79" s="1"/>
      <c r="Q79" s="1"/>
      <c r="R79" s="11"/>
      <c r="S79" s="2">
        <f>CONSOLIDADO_2026[[#This Row],[Hora final]]-CONSOLIDADO_2026[[#This Row],[Hora inic]]</f>
        <v>0.41666666666666663</v>
      </c>
    </row>
    <row r="80" spans="1:19" hidden="1" x14ac:dyDescent="0.25">
      <c r="A80" t="s">
        <v>4039</v>
      </c>
      <c r="B80">
        <v>1143374438</v>
      </c>
      <c r="C80" t="s">
        <v>154</v>
      </c>
      <c r="D80" s="11" t="s">
        <v>28</v>
      </c>
      <c r="E80" s="11" t="s">
        <v>4046</v>
      </c>
      <c r="F80" s="11" t="s">
        <v>16</v>
      </c>
      <c r="G80" s="1">
        <v>46209</v>
      </c>
      <c r="H80" s="1">
        <v>46238</v>
      </c>
      <c r="I80" s="2">
        <v>0.25</v>
      </c>
      <c r="J80" s="2">
        <v>0.66666666666666663</v>
      </c>
      <c r="K80" s="11" t="s">
        <v>213</v>
      </c>
      <c r="L80" s="11" t="s">
        <v>214</v>
      </c>
      <c r="M80" s="1"/>
      <c r="N80" s="11"/>
      <c r="O80" s="11" t="s">
        <v>21</v>
      </c>
      <c r="P80" s="1"/>
      <c r="Q80" s="1"/>
      <c r="R80" s="11"/>
      <c r="S80" s="2">
        <f>CONSOLIDADO_2026[[#This Row],[Hora final]]-CONSOLIDADO_2026[[#This Row],[Hora inic]]</f>
        <v>0.41666666666666663</v>
      </c>
    </row>
    <row r="81" spans="1:19" hidden="1" x14ac:dyDescent="0.25">
      <c r="A81" t="s">
        <v>4043</v>
      </c>
      <c r="B81">
        <v>50995706</v>
      </c>
      <c r="C81" t="s">
        <v>2510</v>
      </c>
      <c r="D81" s="11" t="s">
        <v>55</v>
      </c>
      <c r="E81" s="11" t="s">
        <v>4047</v>
      </c>
      <c r="F81" s="11" t="s">
        <v>16</v>
      </c>
      <c r="G81" s="1">
        <v>46234</v>
      </c>
      <c r="H81" s="1">
        <v>46234</v>
      </c>
      <c r="I81" s="2">
        <v>0.25</v>
      </c>
      <c r="J81" s="2">
        <v>0.58333333333333337</v>
      </c>
      <c r="K81" s="11"/>
      <c r="L81" s="11" t="s">
        <v>4060</v>
      </c>
      <c r="M81" s="1"/>
      <c r="N81" s="11"/>
      <c r="O81" s="11" t="s">
        <v>4042</v>
      </c>
      <c r="P81" s="1"/>
      <c r="Q81" s="1"/>
      <c r="R81" s="11"/>
      <c r="S81" s="2">
        <f>CONSOLIDADO_2026[[#This Row],[Hora final]]-CONSOLIDADO_2026[[#This Row],[Hora inic]]</f>
        <v>0.33333333333333337</v>
      </c>
    </row>
    <row r="82" spans="1:19" hidden="1" x14ac:dyDescent="0.25">
      <c r="A82" t="s">
        <v>4043</v>
      </c>
      <c r="B82">
        <v>1036132488</v>
      </c>
      <c r="C82" t="s">
        <v>89</v>
      </c>
      <c r="D82" s="11" t="s">
        <v>59</v>
      </c>
      <c r="E82" s="11" t="s">
        <v>4047</v>
      </c>
      <c r="F82" s="11" t="s">
        <v>16</v>
      </c>
      <c r="G82" s="1">
        <v>46227</v>
      </c>
      <c r="H82" s="1">
        <v>46246</v>
      </c>
      <c r="I82" s="2">
        <v>0.25</v>
      </c>
      <c r="J82" s="2">
        <v>0.5</v>
      </c>
      <c r="K82" s="11" t="s">
        <v>297</v>
      </c>
      <c r="L82" s="11" t="s">
        <v>298</v>
      </c>
      <c r="M82" s="1"/>
      <c r="N82" s="11"/>
      <c r="O82" s="11" t="s">
        <v>21</v>
      </c>
      <c r="P82" s="1"/>
      <c r="Q82" s="1"/>
      <c r="R82" s="11"/>
      <c r="S82" s="2">
        <f>CONSOLIDADO_2026[[#This Row],[Hora final]]-CONSOLIDADO_2026[[#This Row],[Hora inic]]</f>
        <v>0.25</v>
      </c>
    </row>
    <row r="83" spans="1:19" hidden="1" x14ac:dyDescent="0.25">
      <c r="A83" t="s">
        <v>4053</v>
      </c>
      <c r="B83">
        <v>1036132488</v>
      </c>
      <c r="C83" t="s">
        <v>58</v>
      </c>
      <c r="D83" s="11" t="s">
        <v>59</v>
      </c>
      <c r="E83" s="11" t="s">
        <v>4047</v>
      </c>
      <c r="F83" s="11" t="s">
        <v>16</v>
      </c>
      <c r="G83" s="1">
        <v>46227</v>
      </c>
      <c r="H83" s="1">
        <v>46246</v>
      </c>
      <c r="I83" s="2">
        <v>0.25</v>
      </c>
      <c r="J83" s="2">
        <v>0.58333333333333337</v>
      </c>
      <c r="K83" s="11" t="s">
        <v>276</v>
      </c>
      <c r="L83" s="11" t="s">
        <v>277</v>
      </c>
      <c r="M83" s="1"/>
      <c r="N83" s="11"/>
      <c r="O83" s="11" t="s">
        <v>21</v>
      </c>
      <c r="P83" s="1"/>
      <c r="Q83" s="1"/>
      <c r="R83" s="11"/>
      <c r="S83" s="2">
        <f>CONSOLIDADO_2026[[#This Row],[Hora final]]-CONSOLIDADO_2026[[#This Row],[Hora inic]]</f>
        <v>0.33333333333333337</v>
      </c>
    </row>
    <row r="84" spans="1:19" hidden="1" x14ac:dyDescent="0.25">
      <c r="A84" t="s">
        <v>4048</v>
      </c>
      <c r="B84">
        <v>1036132488</v>
      </c>
      <c r="C84" t="s">
        <v>58</v>
      </c>
      <c r="D84" s="11" t="s">
        <v>59</v>
      </c>
      <c r="E84" s="11" t="s">
        <v>4047</v>
      </c>
      <c r="F84" s="11" t="s">
        <v>16</v>
      </c>
      <c r="G84" s="1">
        <v>46227</v>
      </c>
      <c r="H84" s="1">
        <v>46246</v>
      </c>
      <c r="I84" s="2">
        <v>0.25</v>
      </c>
      <c r="J84" s="2">
        <v>0.58333333333333337</v>
      </c>
      <c r="K84" s="11" t="s">
        <v>85</v>
      </c>
      <c r="L84" s="11" t="s">
        <v>86</v>
      </c>
      <c r="M84" s="1"/>
      <c r="N84" s="11"/>
      <c r="O84" s="11" t="s">
        <v>21</v>
      </c>
      <c r="P84" s="1"/>
      <c r="Q84" s="1"/>
      <c r="R84" s="11"/>
      <c r="S84" s="2">
        <f>CONSOLIDADO_2026[[#This Row],[Hora final]]-CONSOLIDADO_2026[[#This Row],[Hora inic]]</f>
        <v>0.33333333333333337</v>
      </c>
    </row>
    <row r="85" spans="1:19" hidden="1" x14ac:dyDescent="0.25">
      <c r="A85" t="s">
        <v>4051</v>
      </c>
      <c r="B85">
        <v>1036132488</v>
      </c>
      <c r="C85" t="s">
        <v>58</v>
      </c>
      <c r="D85" s="11" t="s">
        <v>59</v>
      </c>
      <c r="E85" s="11" t="s">
        <v>4047</v>
      </c>
      <c r="F85" s="11" t="s">
        <v>16</v>
      </c>
      <c r="G85" s="1">
        <v>46227</v>
      </c>
      <c r="H85" s="1">
        <v>46246</v>
      </c>
      <c r="I85" s="2">
        <v>0.25</v>
      </c>
      <c r="J85" s="2">
        <v>0.58333333333333337</v>
      </c>
      <c r="K85" s="11" t="s">
        <v>297</v>
      </c>
      <c r="L85" s="11" t="s">
        <v>298</v>
      </c>
      <c r="M85" s="1"/>
      <c r="N85" s="11" t="s">
        <v>21</v>
      </c>
      <c r="O85" s="11" t="s">
        <v>21</v>
      </c>
      <c r="P85" s="1"/>
      <c r="Q85" s="1"/>
      <c r="R85" s="11"/>
      <c r="S85" s="2">
        <f>CONSOLIDADO_2026[[#This Row],[Hora final]]-CONSOLIDADO_2026[[#This Row],[Hora inic]]</f>
        <v>0.33333333333333337</v>
      </c>
    </row>
    <row r="86" spans="1:19" hidden="1" x14ac:dyDescent="0.25">
      <c r="A86" t="s">
        <v>4052</v>
      </c>
      <c r="B86">
        <v>1036132488</v>
      </c>
      <c r="C86" t="s">
        <v>58</v>
      </c>
      <c r="D86" s="11" t="s">
        <v>59</v>
      </c>
      <c r="E86" s="11" t="s">
        <v>4047</v>
      </c>
      <c r="F86" s="11" t="s">
        <v>16</v>
      </c>
      <c r="G86" s="1">
        <v>46227</v>
      </c>
      <c r="H86" s="1">
        <v>46246</v>
      </c>
      <c r="I86" s="2">
        <v>0.25</v>
      </c>
      <c r="J86" s="2">
        <v>0.5</v>
      </c>
      <c r="K86" s="11" t="s">
        <v>45</v>
      </c>
      <c r="L86" s="11" t="s">
        <v>46</v>
      </c>
      <c r="M86" s="1"/>
      <c r="N86" s="11"/>
      <c r="O86" s="11" t="s">
        <v>21</v>
      </c>
      <c r="P86" s="1"/>
      <c r="Q86" s="1"/>
      <c r="R86" s="11"/>
      <c r="S86" s="2">
        <f>CONSOLIDADO_2026[[#This Row],[Hora final]]-CONSOLIDADO_2026[[#This Row],[Hora inic]]</f>
        <v>0.25</v>
      </c>
    </row>
    <row r="87" spans="1:19" hidden="1" x14ac:dyDescent="0.25">
      <c r="A87" t="s">
        <v>4163</v>
      </c>
      <c r="B87">
        <v>1036132488</v>
      </c>
      <c r="C87" t="s">
        <v>89</v>
      </c>
      <c r="D87" s="11" t="s">
        <v>59</v>
      </c>
      <c r="E87" s="11" t="s">
        <v>4047</v>
      </c>
      <c r="F87" s="11" t="s">
        <v>16</v>
      </c>
      <c r="G87" s="1">
        <v>46227</v>
      </c>
      <c r="H87" s="1">
        <v>46246</v>
      </c>
      <c r="I87" s="2">
        <v>0.25</v>
      </c>
      <c r="J87" s="2">
        <v>0.58333333333333337</v>
      </c>
      <c r="K87" s="11" t="s">
        <v>309</v>
      </c>
      <c r="L87" s="11" t="s">
        <v>310</v>
      </c>
      <c r="M87" s="1"/>
      <c r="N87" s="11"/>
      <c r="O87" s="11" t="s">
        <v>21</v>
      </c>
      <c r="P87" s="1"/>
      <c r="Q87" s="1"/>
      <c r="R87" s="11"/>
      <c r="S87" s="2">
        <f>CONSOLIDADO_2026[[#This Row],[Hora final]]-CONSOLIDADO_2026[[#This Row],[Hora inic]]</f>
        <v>0.33333333333333337</v>
      </c>
    </row>
    <row r="88" spans="1:19" hidden="1" x14ac:dyDescent="0.25">
      <c r="A88" t="s">
        <v>4039</v>
      </c>
      <c r="B88">
        <v>50927877</v>
      </c>
      <c r="C88" t="s">
        <v>1709</v>
      </c>
      <c r="D88" s="11" t="s">
        <v>176</v>
      </c>
      <c r="E88" s="11" t="s">
        <v>4040</v>
      </c>
      <c r="F88" s="11" t="s">
        <v>4064</v>
      </c>
      <c r="G88" s="1">
        <v>46234</v>
      </c>
      <c r="H88" s="1">
        <v>46234</v>
      </c>
      <c r="I88" s="2"/>
      <c r="J88" s="2"/>
      <c r="K88" s="11"/>
      <c r="L88" s="11" t="s">
        <v>4041</v>
      </c>
      <c r="M88" s="1"/>
      <c r="N88" s="11"/>
      <c r="O88" s="11" t="s">
        <v>4042</v>
      </c>
      <c r="P88" s="1"/>
      <c r="Q88" s="1"/>
      <c r="R88" s="11"/>
      <c r="S88" s="2">
        <f>CONSOLIDADO_2026[[#This Row],[Hora final]]-CONSOLIDADO_2026[[#This Row],[Hora inic]]</f>
        <v>0</v>
      </c>
    </row>
    <row r="89" spans="1:19" hidden="1" x14ac:dyDescent="0.25">
      <c r="A89" t="s">
        <v>4039</v>
      </c>
      <c r="B89">
        <v>72011169</v>
      </c>
      <c r="C89" t="s">
        <v>250</v>
      </c>
      <c r="D89" s="11" t="s">
        <v>55</v>
      </c>
      <c r="E89" s="11" t="s">
        <v>4047</v>
      </c>
      <c r="F89" s="11" t="s">
        <v>16</v>
      </c>
      <c r="G89" s="1">
        <v>46225</v>
      </c>
      <c r="H89" s="1">
        <v>46239</v>
      </c>
      <c r="I89" s="2">
        <v>0.25</v>
      </c>
      <c r="J89" s="2">
        <v>0.66666666666666663</v>
      </c>
      <c r="K89" s="11"/>
      <c r="L89" s="11" t="s">
        <v>327</v>
      </c>
      <c r="M89" s="1"/>
      <c r="N89" s="11"/>
      <c r="O89" s="11" t="s">
        <v>4042</v>
      </c>
      <c r="P89" s="1"/>
      <c r="Q89" s="1"/>
      <c r="R89" s="11"/>
      <c r="S89" s="2">
        <f>CONSOLIDADO_2026[[#This Row],[Hora final]]-CONSOLIDADO_2026[[#This Row],[Hora inic]]</f>
        <v>0.41666666666666663</v>
      </c>
    </row>
    <row r="90" spans="1:19" hidden="1" x14ac:dyDescent="0.25">
      <c r="A90" t="s">
        <v>4043</v>
      </c>
      <c r="B90">
        <v>72011169</v>
      </c>
      <c r="C90" t="s">
        <v>250</v>
      </c>
      <c r="D90" s="11" t="s">
        <v>55</v>
      </c>
      <c r="E90" s="11" t="s">
        <v>4047</v>
      </c>
      <c r="F90" s="11" t="s">
        <v>16</v>
      </c>
      <c r="G90" s="1">
        <v>46225</v>
      </c>
      <c r="H90" s="1">
        <v>46239</v>
      </c>
      <c r="I90" s="2">
        <v>0.25</v>
      </c>
      <c r="J90" s="2">
        <v>0.58333333333333337</v>
      </c>
      <c r="K90" s="11" t="s">
        <v>246</v>
      </c>
      <c r="L90" s="11" t="s">
        <v>247</v>
      </c>
      <c r="M90" s="1"/>
      <c r="N90" s="11"/>
      <c r="O90" s="11" t="s">
        <v>21</v>
      </c>
      <c r="P90" s="1"/>
      <c r="Q90" s="1"/>
      <c r="R90" s="11"/>
      <c r="S90" s="2">
        <f>CONSOLIDADO_2026[[#This Row],[Hora final]]-CONSOLIDADO_2026[[#This Row],[Hora inic]]</f>
        <v>0.33333333333333337</v>
      </c>
    </row>
    <row r="91" spans="1:19" hidden="1" x14ac:dyDescent="0.25">
      <c r="A91" t="s">
        <v>4053</v>
      </c>
      <c r="B91">
        <v>72011169</v>
      </c>
      <c r="C91" t="s">
        <v>220</v>
      </c>
      <c r="D91" s="11" t="s">
        <v>55</v>
      </c>
      <c r="E91" s="11" t="s">
        <v>4047</v>
      </c>
      <c r="F91" s="11" t="s">
        <v>16</v>
      </c>
      <c r="G91" s="1">
        <v>46225</v>
      </c>
      <c r="H91" s="1">
        <v>46239</v>
      </c>
      <c r="I91" s="2">
        <v>0.58333333333333337</v>
      </c>
      <c r="J91" s="2">
        <v>0.875</v>
      </c>
      <c r="K91" s="11"/>
      <c r="L91" s="11" t="s">
        <v>327</v>
      </c>
      <c r="M91" s="1"/>
      <c r="N91" s="11"/>
      <c r="O91" s="11" t="s">
        <v>4042</v>
      </c>
      <c r="P91" s="1"/>
      <c r="Q91" s="1"/>
      <c r="R91" s="11"/>
      <c r="S91" s="2">
        <f>CONSOLIDADO_2026[[#This Row],[Hora final]]-CONSOLIDADO_2026[[#This Row],[Hora inic]]</f>
        <v>0.29166666666666663</v>
      </c>
    </row>
    <row r="92" spans="1:19" hidden="1" x14ac:dyDescent="0.25">
      <c r="A92" t="s">
        <v>4048</v>
      </c>
      <c r="B92">
        <v>72011169</v>
      </c>
      <c r="C92" t="s">
        <v>220</v>
      </c>
      <c r="D92" s="11" t="s">
        <v>55</v>
      </c>
      <c r="E92" s="11" t="s">
        <v>4047</v>
      </c>
      <c r="F92" s="11" t="s">
        <v>16</v>
      </c>
      <c r="G92" s="1">
        <v>46225</v>
      </c>
      <c r="H92" s="1">
        <v>46239</v>
      </c>
      <c r="I92" s="2"/>
      <c r="J92" s="2"/>
      <c r="K92" s="11"/>
      <c r="L92" s="11" t="s">
        <v>4041</v>
      </c>
      <c r="M92" s="1"/>
      <c r="N92" s="11"/>
      <c r="O92" s="11" t="s">
        <v>4042</v>
      </c>
      <c r="P92" s="1"/>
      <c r="Q92" s="1"/>
      <c r="R92" s="11"/>
      <c r="S92" s="2">
        <f>CONSOLIDADO_2026[[#This Row],[Hora final]]-CONSOLIDADO_2026[[#This Row],[Hora inic]]</f>
        <v>0</v>
      </c>
    </row>
    <row r="93" spans="1:19" hidden="1" x14ac:dyDescent="0.25">
      <c r="A93" t="s">
        <v>4039</v>
      </c>
      <c r="B93">
        <v>43558465</v>
      </c>
      <c r="C93" t="s">
        <v>71</v>
      </c>
      <c r="D93" s="11" t="s">
        <v>55</v>
      </c>
      <c r="E93" s="11" t="s">
        <v>4047</v>
      </c>
      <c r="F93" s="11" t="s">
        <v>16</v>
      </c>
      <c r="G93" s="1">
        <v>46226</v>
      </c>
      <c r="H93" s="1">
        <v>46246</v>
      </c>
      <c r="I93" s="2">
        <v>0.25</v>
      </c>
      <c r="J93" s="2">
        <v>0.66666666666666663</v>
      </c>
      <c r="K93" s="11"/>
      <c r="L93" s="11" t="s">
        <v>327</v>
      </c>
      <c r="M93" s="1"/>
      <c r="N93" s="11"/>
      <c r="O93" s="11" t="s">
        <v>4042</v>
      </c>
      <c r="P93" s="1"/>
      <c r="Q93" s="1"/>
      <c r="R93" s="11"/>
      <c r="S93" s="2">
        <f>CONSOLIDADO_2026[[#This Row],[Hora final]]-CONSOLIDADO_2026[[#This Row],[Hora inic]]</f>
        <v>0.41666666666666663</v>
      </c>
    </row>
    <row r="94" spans="1:19" hidden="1" x14ac:dyDescent="0.25">
      <c r="A94" t="s">
        <v>4043</v>
      </c>
      <c r="B94">
        <v>43558465</v>
      </c>
      <c r="C94" t="s">
        <v>71</v>
      </c>
      <c r="D94" s="11" t="s">
        <v>55</v>
      </c>
      <c r="E94" s="11" t="s">
        <v>4047</v>
      </c>
      <c r="F94" s="11" t="s">
        <v>16</v>
      </c>
      <c r="G94" s="1">
        <v>46226</v>
      </c>
      <c r="H94" s="1">
        <v>46246</v>
      </c>
      <c r="I94" s="2">
        <v>0.25</v>
      </c>
      <c r="J94" s="2">
        <v>0.58333333333333337</v>
      </c>
      <c r="K94" s="11" t="s">
        <v>45</v>
      </c>
      <c r="L94" s="11" t="s">
        <v>46</v>
      </c>
      <c r="M94" s="1"/>
      <c r="N94" s="11"/>
      <c r="O94" s="11" t="s">
        <v>21</v>
      </c>
      <c r="P94" s="1"/>
      <c r="Q94" s="1"/>
      <c r="R94" s="11"/>
      <c r="S94" s="2">
        <f>CONSOLIDADO_2026[[#This Row],[Hora final]]-CONSOLIDADO_2026[[#This Row],[Hora inic]]</f>
        <v>0.33333333333333337</v>
      </c>
    </row>
    <row r="95" spans="1:19" hidden="1" x14ac:dyDescent="0.25">
      <c r="A95" t="s">
        <v>4053</v>
      </c>
      <c r="B95">
        <v>43558465</v>
      </c>
      <c r="C95" t="s">
        <v>71</v>
      </c>
      <c r="D95" s="11" t="s">
        <v>55</v>
      </c>
      <c r="E95" s="11" t="s">
        <v>4047</v>
      </c>
      <c r="F95" s="11" t="s">
        <v>16</v>
      </c>
      <c r="G95" s="1">
        <v>46226</v>
      </c>
      <c r="H95" s="1">
        <v>46246</v>
      </c>
      <c r="I95" s="2">
        <v>0.58333333333333337</v>
      </c>
      <c r="J95" s="2">
        <v>0.875</v>
      </c>
      <c r="K95" s="11"/>
      <c r="L95" s="11" t="s">
        <v>327</v>
      </c>
      <c r="M95" s="1"/>
      <c r="N95" s="11"/>
      <c r="O95" s="11" t="s">
        <v>4042</v>
      </c>
      <c r="P95" s="1"/>
      <c r="Q95" s="1"/>
      <c r="R95" s="11"/>
      <c r="S95" s="2">
        <f>CONSOLIDADO_2026[[#This Row],[Hora final]]-CONSOLIDADO_2026[[#This Row],[Hora inic]]</f>
        <v>0.29166666666666663</v>
      </c>
    </row>
    <row r="96" spans="1:19" hidden="1" x14ac:dyDescent="0.25">
      <c r="A96" t="s">
        <v>4048</v>
      </c>
      <c r="B96">
        <v>43558465</v>
      </c>
      <c r="C96" t="s">
        <v>71</v>
      </c>
      <c r="D96" s="11" t="s">
        <v>55</v>
      </c>
      <c r="E96" s="11" t="s">
        <v>4047</v>
      </c>
      <c r="F96" s="11" t="s">
        <v>16</v>
      </c>
      <c r="G96" s="1">
        <v>46226</v>
      </c>
      <c r="H96" s="1">
        <v>46246</v>
      </c>
      <c r="I96" s="2">
        <v>0.25</v>
      </c>
      <c r="J96" s="2">
        <v>0.58333333333333337</v>
      </c>
      <c r="K96" s="11" t="s">
        <v>246</v>
      </c>
      <c r="L96" s="11" t="s">
        <v>247</v>
      </c>
      <c r="M96" s="1"/>
      <c r="N96" s="11"/>
      <c r="O96" s="11" t="s">
        <v>21</v>
      </c>
      <c r="P96" s="1"/>
      <c r="Q96" s="1"/>
      <c r="R96" s="11"/>
      <c r="S96" s="2">
        <f>CONSOLIDADO_2026[[#This Row],[Hora final]]-CONSOLIDADO_2026[[#This Row],[Hora inic]]</f>
        <v>0.33333333333333337</v>
      </c>
    </row>
    <row r="97" spans="1:19" hidden="1" x14ac:dyDescent="0.25">
      <c r="A97" t="s">
        <v>4051</v>
      </c>
      <c r="B97">
        <v>43558465</v>
      </c>
      <c r="C97" t="s">
        <v>71</v>
      </c>
      <c r="D97" s="11" t="s">
        <v>55</v>
      </c>
      <c r="E97" s="11" t="s">
        <v>4047</v>
      </c>
      <c r="F97" s="11" t="s">
        <v>16</v>
      </c>
      <c r="G97" s="1">
        <v>46226</v>
      </c>
      <c r="H97" s="1">
        <v>46246</v>
      </c>
      <c r="I97" s="2">
        <v>0.25</v>
      </c>
      <c r="J97" s="2">
        <v>0.66666666666666663</v>
      </c>
      <c r="K97" s="11" t="s">
        <v>257</v>
      </c>
      <c r="L97" s="11" t="s">
        <v>258</v>
      </c>
      <c r="M97" s="1"/>
      <c r="N97" s="11" t="s">
        <v>21</v>
      </c>
      <c r="O97" s="11" t="s">
        <v>21</v>
      </c>
      <c r="P97" s="1"/>
      <c r="Q97" s="1"/>
      <c r="R97" s="11"/>
      <c r="S97" s="2">
        <f>CONSOLIDADO_2026[[#This Row],[Hora final]]-CONSOLIDADO_2026[[#This Row],[Hora inic]]</f>
        <v>0.41666666666666663</v>
      </c>
    </row>
    <row r="98" spans="1:19" hidden="1" x14ac:dyDescent="0.25">
      <c r="A98" t="s">
        <v>4052</v>
      </c>
      <c r="B98">
        <v>43558465</v>
      </c>
      <c r="C98" t="s">
        <v>71</v>
      </c>
      <c r="D98" s="11" t="s">
        <v>55</v>
      </c>
      <c r="E98" s="11" t="s">
        <v>4047</v>
      </c>
      <c r="F98" s="11" t="s">
        <v>16</v>
      </c>
      <c r="G98" s="1">
        <v>46226</v>
      </c>
      <c r="H98" s="1">
        <v>46246</v>
      </c>
      <c r="I98" s="2">
        <v>0.25</v>
      </c>
      <c r="J98" s="2">
        <v>0.58333333333333337</v>
      </c>
      <c r="K98" s="11"/>
      <c r="L98" s="11" t="s">
        <v>327</v>
      </c>
      <c r="M98" s="1"/>
      <c r="N98" s="11"/>
      <c r="O98" s="11" t="s">
        <v>4042</v>
      </c>
      <c r="P98" s="1"/>
      <c r="Q98" s="1"/>
      <c r="R98" s="11"/>
      <c r="S98" s="2">
        <f>CONSOLIDADO_2026[[#This Row],[Hora final]]-CONSOLIDADO_2026[[#This Row],[Hora inic]]</f>
        <v>0.33333333333333337</v>
      </c>
    </row>
    <row r="99" spans="1:19" hidden="1" x14ac:dyDescent="0.25">
      <c r="A99" t="s">
        <v>4163</v>
      </c>
      <c r="B99">
        <v>43558465</v>
      </c>
      <c r="C99" t="s">
        <v>71</v>
      </c>
      <c r="D99" s="11" t="s">
        <v>55</v>
      </c>
      <c r="E99" s="11" t="s">
        <v>4047</v>
      </c>
      <c r="F99" s="11" t="s">
        <v>16</v>
      </c>
      <c r="G99" s="1">
        <v>46226</v>
      </c>
      <c r="H99" s="1">
        <v>46246</v>
      </c>
      <c r="I99" s="2"/>
      <c r="J99" s="2"/>
      <c r="K99" s="11"/>
      <c r="L99" s="11" t="s">
        <v>327</v>
      </c>
      <c r="M99" s="1"/>
      <c r="N99" s="11"/>
      <c r="O99" s="11" t="s">
        <v>4042</v>
      </c>
      <c r="P99" s="1"/>
      <c r="Q99" s="1"/>
      <c r="R99" s="11"/>
      <c r="S99" s="2">
        <f>CONSOLIDADO_2026[[#This Row],[Hora final]]-CONSOLIDADO_2026[[#This Row],[Hora inic]]</f>
        <v>0</v>
      </c>
    </row>
    <row r="100" spans="1:19" hidden="1" x14ac:dyDescent="0.25">
      <c r="A100" t="s">
        <v>4039</v>
      </c>
      <c r="B100">
        <v>1037631989</v>
      </c>
      <c r="C100" t="s">
        <v>27</v>
      </c>
      <c r="D100" s="11" t="s">
        <v>28</v>
      </c>
      <c r="E100" s="11" t="s">
        <v>4046</v>
      </c>
      <c r="F100" s="11" t="s">
        <v>16</v>
      </c>
      <c r="G100" s="1">
        <v>46226</v>
      </c>
      <c r="H100" s="1">
        <v>46255</v>
      </c>
      <c r="I100" s="2">
        <v>0.25</v>
      </c>
      <c r="J100" s="2">
        <v>0.66666666666666663</v>
      </c>
      <c r="K100" s="11"/>
      <c r="L100" s="11" t="s">
        <v>327</v>
      </c>
      <c r="M100" s="1"/>
      <c r="N100" s="11"/>
      <c r="O100" s="11" t="s">
        <v>4042</v>
      </c>
      <c r="P100" s="1"/>
      <c r="Q100" s="1"/>
      <c r="R100" s="11"/>
      <c r="S100" s="2">
        <f>CONSOLIDADO_2026[[#This Row],[Hora final]]-CONSOLIDADO_2026[[#This Row],[Hora inic]]</f>
        <v>0.41666666666666663</v>
      </c>
    </row>
    <row r="101" spans="1:19" hidden="1" x14ac:dyDescent="0.25">
      <c r="A101" t="s">
        <v>4043</v>
      </c>
      <c r="B101">
        <v>1037631989</v>
      </c>
      <c r="C101" t="s">
        <v>27</v>
      </c>
      <c r="D101" s="11" t="s">
        <v>28</v>
      </c>
      <c r="E101" s="11" t="s">
        <v>4046</v>
      </c>
      <c r="F101" s="11" t="s">
        <v>16</v>
      </c>
      <c r="G101" s="1">
        <v>46226</v>
      </c>
      <c r="H101" s="1">
        <v>46255</v>
      </c>
      <c r="I101" s="2">
        <v>0.25</v>
      </c>
      <c r="J101" s="2">
        <v>0.54166666666666663</v>
      </c>
      <c r="K101" s="11" t="s">
        <v>213</v>
      </c>
      <c r="L101" s="11" t="s">
        <v>214</v>
      </c>
      <c r="M101" s="1"/>
      <c r="N101" s="11"/>
      <c r="O101" s="11" t="s">
        <v>21</v>
      </c>
      <c r="P101" s="1"/>
      <c r="Q101" s="1"/>
      <c r="R101" s="11"/>
      <c r="S101" s="2">
        <f>CONSOLIDADO_2026[[#This Row],[Hora final]]-CONSOLIDADO_2026[[#This Row],[Hora inic]]</f>
        <v>0.29166666666666663</v>
      </c>
    </row>
    <row r="102" spans="1:19" hidden="1" x14ac:dyDescent="0.25">
      <c r="A102" t="s">
        <v>4053</v>
      </c>
      <c r="B102">
        <v>1037631989</v>
      </c>
      <c r="C102" t="s">
        <v>27</v>
      </c>
      <c r="D102" s="11" t="s">
        <v>28</v>
      </c>
      <c r="E102" s="11" t="s">
        <v>4046</v>
      </c>
      <c r="F102" s="11" t="s">
        <v>16</v>
      </c>
      <c r="G102" s="1">
        <v>46226</v>
      </c>
      <c r="H102" s="1">
        <v>46255</v>
      </c>
      <c r="I102" s="2">
        <v>0.25</v>
      </c>
      <c r="J102" s="2">
        <v>0.54166666666666663</v>
      </c>
      <c r="K102" s="11" t="s">
        <v>96</v>
      </c>
      <c r="L102" s="11" t="s">
        <v>97</v>
      </c>
      <c r="M102" s="1"/>
      <c r="N102" s="11"/>
      <c r="O102" s="11" t="s">
        <v>21</v>
      </c>
      <c r="P102" s="1"/>
      <c r="Q102" s="1"/>
      <c r="R102" s="11"/>
      <c r="S102" s="2">
        <f>CONSOLIDADO_2026[[#This Row],[Hora final]]-CONSOLIDADO_2026[[#This Row],[Hora inic]]</f>
        <v>0.29166666666666663</v>
      </c>
    </row>
    <row r="103" spans="1:19" hidden="1" x14ac:dyDescent="0.25">
      <c r="A103" t="s">
        <v>4048</v>
      </c>
      <c r="B103">
        <v>1037631989</v>
      </c>
      <c r="C103" t="s">
        <v>27</v>
      </c>
      <c r="D103" s="11" t="s">
        <v>28</v>
      </c>
      <c r="E103" s="11" t="s">
        <v>4046</v>
      </c>
      <c r="F103" s="11" t="s">
        <v>16</v>
      </c>
      <c r="G103" s="1">
        <v>46226</v>
      </c>
      <c r="H103" s="1">
        <v>46255</v>
      </c>
      <c r="I103" s="2">
        <v>0.54166666666666663</v>
      </c>
      <c r="J103" s="2">
        <v>0.875</v>
      </c>
      <c r="K103" s="11" t="s">
        <v>17</v>
      </c>
      <c r="L103" s="11" t="s">
        <v>18</v>
      </c>
      <c r="M103" s="1"/>
      <c r="N103" s="11"/>
      <c r="O103" s="11" t="s">
        <v>21</v>
      </c>
      <c r="P103" s="1"/>
      <c r="Q103" s="1"/>
      <c r="R103" s="11"/>
      <c r="S103" s="2">
        <f>CONSOLIDADO_2026[[#This Row],[Hora final]]-CONSOLIDADO_2026[[#This Row],[Hora inic]]</f>
        <v>0.33333333333333337</v>
      </c>
    </row>
    <row r="104" spans="1:19" hidden="1" x14ac:dyDescent="0.25">
      <c r="A104" t="s">
        <v>4051</v>
      </c>
      <c r="B104">
        <v>1037631989</v>
      </c>
      <c r="C104" t="s">
        <v>27</v>
      </c>
      <c r="D104" s="11" t="s">
        <v>28</v>
      </c>
      <c r="E104" s="11" t="s">
        <v>4046</v>
      </c>
      <c r="F104" s="11" t="s">
        <v>16</v>
      </c>
      <c r="G104" s="1">
        <v>46226</v>
      </c>
      <c r="H104" s="1">
        <v>46255</v>
      </c>
      <c r="I104" s="2"/>
      <c r="J104" s="2"/>
      <c r="K104" s="11"/>
      <c r="L104" s="11" t="s">
        <v>341</v>
      </c>
      <c r="M104" s="1"/>
      <c r="N104" s="11" t="s">
        <v>21</v>
      </c>
      <c r="O104" s="11" t="s">
        <v>21</v>
      </c>
      <c r="P104" s="1"/>
      <c r="Q104" s="1"/>
      <c r="R104" s="11"/>
      <c r="S104" s="2">
        <f>CONSOLIDADO_2026[[#This Row],[Hora final]]-CONSOLIDADO_2026[[#This Row],[Hora inic]]</f>
        <v>0</v>
      </c>
    </row>
    <row r="105" spans="1:19" hidden="1" x14ac:dyDescent="0.25">
      <c r="A105" t="s">
        <v>4052</v>
      </c>
      <c r="B105">
        <v>1037631989</v>
      </c>
      <c r="C105" t="s">
        <v>27</v>
      </c>
      <c r="D105" s="11" t="s">
        <v>28</v>
      </c>
      <c r="E105" s="11" t="s">
        <v>4046</v>
      </c>
      <c r="F105" s="11" t="s">
        <v>16</v>
      </c>
      <c r="G105" s="1">
        <v>46226</v>
      </c>
      <c r="H105" s="1">
        <v>46255</v>
      </c>
      <c r="I105" s="2">
        <v>0.25</v>
      </c>
      <c r="J105" s="2">
        <v>0.54166666666666663</v>
      </c>
      <c r="K105" s="11" t="s">
        <v>228</v>
      </c>
      <c r="L105" s="11" t="s">
        <v>229</v>
      </c>
      <c r="M105" s="1"/>
      <c r="N105" s="11"/>
      <c r="O105" s="11" t="s">
        <v>21</v>
      </c>
      <c r="P105" s="1"/>
      <c r="Q105" s="1"/>
      <c r="R105" s="11"/>
      <c r="S105" s="2">
        <f>CONSOLIDADO_2026[[#This Row],[Hora final]]-CONSOLIDADO_2026[[#This Row],[Hora inic]]</f>
        <v>0.29166666666666663</v>
      </c>
    </row>
    <row r="106" spans="1:19" hidden="1" x14ac:dyDescent="0.25">
      <c r="A106" t="s">
        <v>4163</v>
      </c>
      <c r="B106">
        <v>1037631989</v>
      </c>
      <c r="C106" t="s">
        <v>27</v>
      </c>
      <c r="D106" s="11" t="s">
        <v>28</v>
      </c>
      <c r="E106" s="11" t="s">
        <v>4046</v>
      </c>
      <c r="F106" s="11" t="s">
        <v>16</v>
      </c>
      <c r="G106" s="1">
        <v>46226</v>
      </c>
      <c r="H106" s="1">
        <v>46255</v>
      </c>
      <c r="I106" s="2">
        <v>0.25</v>
      </c>
      <c r="J106" s="2">
        <v>0.54166666666666663</v>
      </c>
      <c r="K106" s="11"/>
      <c r="L106" s="11" t="s">
        <v>327</v>
      </c>
      <c r="M106" s="1"/>
      <c r="N106" s="11"/>
      <c r="O106" s="11" t="s">
        <v>4042</v>
      </c>
      <c r="P106" s="1"/>
      <c r="Q106" s="1"/>
      <c r="R106" s="11"/>
      <c r="S106" s="2">
        <f>CONSOLIDADO_2026[[#This Row],[Hora final]]-CONSOLIDADO_2026[[#This Row],[Hora inic]]</f>
        <v>0.29166666666666663</v>
      </c>
    </row>
    <row r="107" spans="1:19" hidden="1" x14ac:dyDescent="0.25">
      <c r="A107" t="s">
        <v>4039</v>
      </c>
      <c r="B107">
        <v>1143412273</v>
      </c>
      <c r="C107" t="s">
        <v>226</v>
      </c>
      <c r="D107" s="11" t="s">
        <v>82</v>
      </c>
      <c r="E107" s="11" t="s">
        <v>4045</v>
      </c>
      <c r="F107" s="11" t="s">
        <v>24</v>
      </c>
      <c r="G107" s="1">
        <v>46227</v>
      </c>
      <c r="H107" s="1">
        <v>46237</v>
      </c>
      <c r="I107" s="2"/>
      <c r="J107" s="2"/>
      <c r="K107" s="11"/>
      <c r="L107" s="11" t="s">
        <v>341</v>
      </c>
      <c r="M107" s="1"/>
      <c r="N107" s="11"/>
      <c r="O107" s="11" t="s">
        <v>4042</v>
      </c>
      <c r="P107" s="1"/>
      <c r="Q107" s="1"/>
      <c r="R107" s="11"/>
      <c r="S107" s="2">
        <f>CONSOLIDADO_2026[[#This Row],[Hora final]]-CONSOLIDADO_2026[[#This Row],[Hora inic]]</f>
        <v>0</v>
      </c>
    </row>
    <row r="108" spans="1:19" hidden="1" x14ac:dyDescent="0.25">
      <c r="A108" t="s">
        <v>4039</v>
      </c>
      <c r="B108">
        <v>42141273</v>
      </c>
      <c r="C108" t="s">
        <v>271</v>
      </c>
      <c r="D108" s="11" t="s">
        <v>272</v>
      </c>
      <c r="E108" s="11" t="s">
        <v>4056</v>
      </c>
      <c r="F108" s="11" t="s">
        <v>16</v>
      </c>
      <c r="G108" s="1">
        <v>46224</v>
      </c>
      <c r="H108" s="1">
        <v>46238</v>
      </c>
      <c r="I108" s="2"/>
      <c r="J108" s="2"/>
      <c r="K108" s="11"/>
      <c r="L108" s="11" t="s">
        <v>341</v>
      </c>
      <c r="M108" s="1"/>
      <c r="N108" s="11"/>
      <c r="O108" s="11" t="s">
        <v>4042</v>
      </c>
      <c r="P108" s="1"/>
      <c r="Q108" s="1"/>
      <c r="R108" s="11"/>
      <c r="S108" s="2">
        <f>CONSOLIDADO_2026[[#This Row],[Hora final]]-CONSOLIDADO_2026[[#This Row],[Hora inic]]</f>
        <v>0</v>
      </c>
    </row>
    <row r="109" spans="1:19" hidden="1" x14ac:dyDescent="0.25">
      <c r="A109" t="s">
        <v>4043</v>
      </c>
      <c r="B109">
        <v>42141273</v>
      </c>
      <c r="C109" t="s">
        <v>271</v>
      </c>
      <c r="D109" s="11" t="s">
        <v>272</v>
      </c>
      <c r="E109" s="11" t="s">
        <v>4056</v>
      </c>
      <c r="F109" s="11" t="s">
        <v>16</v>
      </c>
      <c r="G109" s="1">
        <v>46224</v>
      </c>
      <c r="H109" s="1">
        <v>46238</v>
      </c>
      <c r="I109" s="2">
        <v>0.25</v>
      </c>
      <c r="J109" s="2">
        <v>0.5</v>
      </c>
      <c r="K109" s="11" t="s">
        <v>267</v>
      </c>
      <c r="L109" s="11" t="s">
        <v>268</v>
      </c>
      <c r="M109" s="1"/>
      <c r="N109" s="11"/>
      <c r="O109" s="11" t="s">
        <v>21</v>
      </c>
      <c r="P109" s="1"/>
      <c r="Q109" s="1"/>
      <c r="R109" s="11"/>
      <c r="S109" s="2">
        <f>CONSOLIDADO_2026[[#This Row],[Hora final]]-CONSOLIDADO_2026[[#This Row],[Hora inic]]</f>
        <v>0.25</v>
      </c>
    </row>
    <row r="110" spans="1:19" hidden="1" x14ac:dyDescent="0.25">
      <c r="A110" t="s">
        <v>4053</v>
      </c>
      <c r="B110">
        <v>42141273</v>
      </c>
      <c r="C110" t="s">
        <v>271</v>
      </c>
      <c r="D110" s="11" t="s">
        <v>272</v>
      </c>
      <c r="E110" s="11" t="s">
        <v>4056</v>
      </c>
      <c r="F110" s="11" t="s">
        <v>4065</v>
      </c>
      <c r="G110" s="1">
        <v>46224</v>
      </c>
      <c r="H110" s="1">
        <v>46238</v>
      </c>
      <c r="I110" s="2"/>
      <c r="J110" s="2"/>
      <c r="K110" s="11"/>
      <c r="L110" s="11" t="s">
        <v>4041</v>
      </c>
      <c r="M110" s="1"/>
      <c r="N110" s="11"/>
      <c r="O110" s="11" t="s">
        <v>4042</v>
      </c>
      <c r="P110" s="1"/>
      <c r="Q110" s="1"/>
      <c r="R110" s="11"/>
      <c r="S110" s="2">
        <f>CONSOLIDADO_2026[[#This Row],[Hora final]]-CONSOLIDADO_2026[[#This Row],[Hora inic]]</f>
        <v>0</v>
      </c>
    </row>
    <row r="111" spans="1:19" hidden="1" x14ac:dyDescent="0.25">
      <c r="A111" t="s">
        <v>4039</v>
      </c>
      <c r="B111">
        <v>1043006106</v>
      </c>
      <c r="C111" t="s">
        <v>202</v>
      </c>
      <c r="D111" s="11" t="s">
        <v>64</v>
      </c>
      <c r="E111" s="11" t="s">
        <v>4046</v>
      </c>
      <c r="F111" s="11" t="s">
        <v>16</v>
      </c>
      <c r="G111" s="1">
        <v>46219</v>
      </c>
      <c r="H111" s="1">
        <v>46248</v>
      </c>
      <c r="I111" s="2">
        <v>0.25</v>
      </c>
      <c r="J111" s="2">
        <v>0.66666666666666663</v>
      </c>
      <c r="K111" s="11" t="s">
        <v>236</v>
      </c>
      <c r="L111" s="11" t="s">
        <v>237</v>
      </c>
      <c r="M111" s="1"/>
      <c r="N111" s="11"/>
      <c r="O111" s="11" t="s">
        <v>21</v>
      </c>
      <c r="P111" s="1"/>
      <c r="Q111" s="1"/>
      <c r="R111" s="11"/>
      <c r="S111" s="2">
        <f>CONSOLIDADO_2026[[#This Row],[Hora final]]-CONSOLIDADO_2026[[#This Row],[Hora inic]]</f>
        <v>0.41666666666666663</v>
      </c>
    </row>
    <row r="112" spans="1:19" hidden="1" x14ac:dyDescent="0.25">
      <c r="A112" t="s">
        <v>4043</v>
      </c>
      <c r="B112">
        <v>1043006106</v>
      </c>
      <c r="C112" t="s">
        <v>202</v>
      </c>
      <c r="D112" s="11" t="s">
        <v>64</v>
      </c>
      <c r="E112" s="11" t="s">
        <v>4046</v>
      </c>
      <c r="F112" s="11" t="s">
        <v>16</v>
      </c>
      <c r="G112" s="1">
        <v>46219</v>
      </c>
      <c r="H112" s="1">
        <v>46248</v>
      </c>
      <c r="I112" s="2">
        <v>0.25</v>
      </c>
      <c r="J112" s="2">
        <v>0.54166666666666663</v>
      </c>
      <c r="K112" s="11" t="s">
        <v>236</v>
      </c>
      <c r="L112" s="11" t="s">
        <v>237</v>
      </c>
      <c r="M112" s="1"/>
      <c r="N112" s="11"/>
      <c r="O112" s="11" t="s">
        <v>21</v>
      </c>
      <c r="P112" s="1"/>
      <c r="Q112" s="1"/>
      <c r="R112" s="11"/>
      <c r="S112" s="2">
        <f>CONSOLIDADO_2026[[#This Row],[Hora final]]-CONSOLIDADO_2026[[#This Row],[Hora inic]]</f>
        <v>0.29166666666666663</v>
      </c>
    </row>
    <row r="113" spans="1:19" hidden="1" x14ac:dyDescent="0.25">
      <c r="A113" t="s">
        <v>4053</v>
      </c>
      <c r="B113">
        <v>1043006106</v>
      </c>
      <c r="C113" t="s">
        <v>63</v>
      </c>
      <c r="D113" s="11" t="s">
        <v>64</v>
      </c>
      <c r="E113" s="11" t="s">
        <v>4046</v>
      </c>
      <c r="F113" s="11" t="s">
        <v>16</v>
      </c>
      <c r="G113" s="1">
        <v>46219</v>
      </c>
      <c r="H113" s="1">
        <v>46248</v>
      </c>
      <c r="I113" s="2">
        <v>0.25</v>
      </c>
      <c r="J113" s="2">
        <v>0.58333333333333337</v>
      </c>
      <c r="K113" s="11"/>
      <c r="L113" s="11" t="s">
        <v>327</v>
      </c>
      <c r="M113" s="1"/>
      <c r="N113" s="11"/>
      <c r="O113" s="11" t="s">
        <v>4042</v>
      </c>
      <c r="P113" s="1"/>
      <c r="Q113" s="1"/>
      <c r="R113" s="11"/>
      <c r="S113" s="2">
        <f>CONSOLIDADO_2026[[#This Row],[Hora final]]-CONSOLIDADO_2026[[#This Row],[Hora inic]]</f>
        <v>0.33333333333333337</v>
      </c>
    </row>
    <row r="114" spans="1:19" hidden="1" x14ac:dyDescent="0.25">
      <c r="A114" t="s">
        <v>4048</v>
      </c>
      <c r="B114">
        <v>1043006106</v>
      </c>
      <c r="C114" t="s">
        <v>63</v>
      </c>
      <c r="D114" s="11" t="s">
        <v>64</v>
      </c>
      <c r="E114" s="11" t="s">
        <v>4046</v>
      </c>
      <c r="F114" s="11" t="s">
        <v>16</v>
      </c>
      <c r="G114" s="1">
        <v>46219</v>
      </c>
      <c r="H114" s="1">
        <v>46248</v>
      </c>
      <c r="I114" s="2">
        <v>0.58333333333333337</v>
      </c>
      <c r="J114" s="2">
        <v>0.875</v>
      </c>
      <c r="K114" s="11" t="s">
        <v>45</v>
      </c>
      <c r="L114" s="11" t="s">
        <v>46</v>
      </c>
      <c r="M114" s="1"/>
      <c r="N114" s="11"/>
      <c r="O114" s="11" t="s">
        <v>21</v>
      </c>
      <c r="P114" s="1"/>
      <c r="Q114" s="1"/>
      <c r="R114" s="11"/>
      <c r="S114" s="2">
        <f>CONSOLIDADO_2026[[#This Row],[Hora final]]-CONSOLIDADO_2026[[#This Row],[Hora inic]]</f>
        <v>0.29166666666666663</v>
      </c>
    </row>
    <row r="115" spans="1:19" hidden="1" x14ac:dyDescent="0.25">
      <c r="A115" t="s">
        <v>4051</v>
      </c>
      <c r="B115">
        <v>1043006106</v>
      </c>
      <c r="C115" t="s">
        <v>63</v>
      </c>
      <c r="D115" s="11" t="s">
        <v>64</v>
      </c>
      <c r="E115" s="11" t="s">
        <v>4046</v>
      </c>
      <c r="F115" s="11" t="s">
        <v>16</v>
      </c>
      <c r="G115" s="1">
        <v>46219</v>
      </c>
      <c r="H115" s="1">
        <v>46248</v>
      </c>
      <c r="I115" s="2"/>
      <c r="J115" s="2"/>
      <c r="K115" s="11"/>
      <c r="L115" s="11" t="s">
        <v>341</v>
      </c>
      <c r="M115" s="1"/>
      <c r="N115" s="11" t="s">
        <v>21</v>
      </c>
      <c r="O115" s="11" t="s">
        <v>21</v>
      </c>
      <c r="P115" s="1"/>
      <c r="Q115" s="1"/>
      <c r="R115" s="11"/>
      <c r="S115" s="2">
        <f>CONSOLIDADO_2026[[#This Row],[Hora final]]-CONSOLIDADO_2026[[#This Row],[Hora inic]]</f>
        <v>0</v>
      </c>
    </row>
    <row r="116" spans="1:19" hidden="1" x14ac:dyDescent="0.25">
      <c r="A116" t="s">
        <v>4052</v>
      </c>
      <c r="B116">
        <v>1043006106</v>
      </c>
      <c r="C116" t="s">
        <v>63</v>
      </c>
      <c r="D116" s="11" t="s">
        <v>64</v>
      </c>
      <c r="E116" s="11" t="s">
        <v>4046</v>
      </c>
      <c r="F116" s="11" t="s">
        <v>16</v>
      </c>
      <c r="G116" s="1">
        <v>46219</v>
      </c>
      <c r="H116" s="1">
        <v>46248</v>
      </c>
      <c r="I116" s="2">
        <v>0.25</v>
      </c>
      <c r="J116" s="2">
        <v>0.54166666666666663</v>
      </c>
      <c r="K116" s="11" t="s">
        <v>236</v>
      </c>
      <c r="L116" s="11" t="s">
        <v>237</v>
      </c>
      <c r="M116" s="1"/>
      <c r="N116" s="11"/>
      <c r="O116" s="11" t="s">
        <v>21</v>
      </c>
      <c r="P116" s="1"/>
      <c r="Q116" s="1"/>
      <c r="R116" s="11"/>
      <c r="S116" s="2">
        <f>CONSOLIDADO_2026[[#This Row],[Hora final]]-CONSOLIDADO_2026[[#This Row],[Hora inic]]</f>
        <v>0.29166666666666663</v>
      </c>
    </row>
    <row r="117" spans="1:19" hidden="1" x14ac:dyDescent="0.25">
      <c r="A117" t="s">
        <v>4163</v>
      </c>
      <c r="B117">
        <v>1043006106</v>
      </c>
      <c r="C117" t="s">
        <v>202</v>
      </c>
      <c r="D117" s="11" t="s">
        <v>64</v>
      </c>
      <c r="E117" s="11" t="s">
        <v>4046</v>
      </c>
      <c r="F117" s="11" t="s">
        <v>16</v>
      </c>
      <c r="G117" s="1">
        <v>46219</v>
      </c>
      <c r="H117" s="1">
        <v>46248</v>
      </c>
      <c r="I117" s="2">
        <v>0.25</v>
      </c>
      <c r="J117" s="2">
        <v>0.58333333333333337</v>
      </c>
      <c r="K117" s="11" t="s">
        <v>236</v>
      </c>
      <c r="L117" s="11" t="s">
        <v>237</v>
      </c>
      <c r="M117" s="1"/>
      <c r="N117" s="11"/>
      <c r="O117" s="11" t="s">
        <v>21</v>
      </c>
      <c r="P117" s="1"/>
      <c r="Q117" s="1"/>
      <c r="R117" s="11"/>
      <c r="S117" s="2">
        <f>CONSOLIDADO_2026[[#This Row],[Hora final]]-CONSOLIDADO_2026[[#This Row],[Hora inic]]</f>
        <v>0.33333333333333337</v>
      </c>
    </row>
    <row r="118" spans="1:19" hidden="1" x14ac:dyDescent="0.25">
      <c r="A118" t="s">
        <v>4039</v>
      </c>
      <c r="B118">
        <v>1045022397</v>
      </c>
      <c r="C118" t="s">
        <v>4066</v>
      </c>
      <c r="D118" s="11" t="s">
        <v>634</v>
      </c>
      <c r="E118" s="11" t="s">
        <v>4045</v>
      </c>
      <c r="F118" s="11" t="s">
        <v>4050</v>
      </c>
      <c r="G118" s="1">
        <v>46232</v>
      </c>
      <c r="H118" s="1">
        <v>46234</v>
      </c>
      <c r="I118" s="2"/>
      <c r="J118" s="2"/>
      <c r="K118" s="11"/>
      <c r="L118" s="11" t="s">
        <v>4041</v>
      </c>
      <c r="M118" s="1"/>
      <c r="N118" s="11"/>
      <c r="O118" s="11" t="s">
        <v>4042</v>
      </c>
      <c r="P118" s="1"/>
      <c r="Q118" s="1"/>
      <c r="R118" s="11"/>
      <c r="S118" s="2">
        <f>CONSOLIDADO_2026[[#This Row],[Hora final]]-CONSOLIDADO_2026[[#This Row],[Hora inic]]</f>
        <v>0</v>
      </c>
    </row>
    <row r="119" spans="1:19" hidden="1" x14ac:dyDescent="0.25">
      <c r="A119" t="s">
        <v>4039</v>
      </c>
      <c r="B119">
        <v>1037638426</v>
      </c>
      <c r="C119" t="s">
        <v>31</v>
      </c>
      <c r="D119" s="11" t="s">
        <v>28</v>
      </c>
      <c r="E119" s="11" t="s">
        <v>4046</v>
      </c>
      <c r="F119" s="11" t="s">
        <v>24</v>
      </c>
      <c r="G119" s="1">
        <v>46230</v>
      </c>
      <c r="H119" s="1">
        <v>46262</v>
      </c>
      <c r="I119" s="2">
        <v>0.25</v>
      </c>
      <c r="J119" s="2">
        <v>0.66666666666666663</v>
      </c>
      <c r="K119" s="11" t="s">
        <v>150</v>
      </c>
      <c r="L119" s="11" t="s">
        <v>151</v>
      </c>
      <c r="M119" s="1"/>
      <c r="N119" s="11"/>
      <c r="O119" s="11" t="s">
        <v>21</v>
      </c>
      <c r="P119" s="1"/>
      <c r="Q119" s="1"/>
      <c r="R119" s="11"/>
      <c r="S119" s="2">
        <f>CONSOLIDADO_2026[[#This Row],[Hora final]]-CONSOLIDADO_2026[[#This Row],[Hora inic]]</f>
        <v>0.41666666666666663</v>
      </c>
    </row>
    <row r="120" spans="1:19" hidden="1" x14ac:dyDescent="0.25">
      <c r="A120" t="s">
        <v>4043</v>
      </c>
      <c r="B120">
        <v>1037638426</v>
      </c>
      <c r="C120" t="s">
        <v>31</v>
      </c>
      <c r="D120" s="11" t="s">
        <v>28</v>
      </c>
      <c r="E120" s="11" t="s">
        <v>4046</v>
      </c>
      <c r="F120" s="11" t="s">
        <v>24</v>
      </c>
      <c r="G120" s="1">
        <v>46230</v>
      </c>
      <c r="H120" s="1">
        <v>46262</v>
      </c>
      <c r="I120" s="2">
        <v>0.58333333333333337</v>
      </c>
      <c r="J120" s="2">
        <v>0.875</v>
      </c>
      <c r="K120" s="11" t="s">
        <v>148</v>
      </c>
      <c r="L120" s="11" t="s">
        <v>149</v>
      </c>
      <c r="M120" s="1"/>
      <c r="N120" s="11"/>
      <c r="O120" s="11" t="s">
        <v>21</v>
      </c>
      <c r="P120" s="1"/>
      <c r="Q120" s="1"/>
      <c r="R120" s="11"/>
      <c r="S120" s="2">
        <f>CONSOLIDADO_2026[[#This Row],[Hora final]]-CONSOLIDADO_2026[[#This Row],[Hora inic]]</f>
        <v>0.29166666666666663</v>
      </c>
    </row>
    <row r="121" spans="1:19" hidden="1" x14ac:dyDescent="0.25">
      <c r="A121" t="s">
        <v>4053</v>
      </c>
      <c r="B121">
        <v>1037638426</v>
      </c>
      <c r="C121" t="s">
        <v>61</v>
      </c>
      <c r="D121" s="11" t="s">
        <v>28</v>
      </c>
      <c r="E121" s="11" t="s">
        <v>4046</v>
      </c>
      <c r="F121" s="11" t="s">
        <v>24</v>
      </c>
      <c r="G121" s="1">
        <v>46230</v>
      </c>
      <c r="H121" s="1">
        <v>46262</v>
      </c>
      <c r="I121" s="2">
        <v>0.54166666666666663</v>
      </c>
      <c r="J121" s="2">
        <v>0.875</v>
      </c>
      <c r="K121" s="11" t="s">
        <v>148</v>
      </c>
      <c r="L121" s="11" t="s">
        <v>149</v>
      </c>
      <c r="M121" s="1"/>
      <c r="N121" s="11"/>
      <c r="O121" s="11" t="s">
        <v>21</v>
      </c>
      <c r="P121" s="1"/>
      <c r="Q121" s="1"/>
      <c r="R121" s="11"/>
      <c r="S121" s="2">
        <f>CONSOLIDADO_2026[[#This Row],[Hora final]]-CONSOLIDADO_2026[[#This Row],[Hora inic]]</f>
        <v>0.33333333333333337</v>
      </c>
    </row>
    <row r="122" spans="1:19" hidden="1" x14ac:dyDescent="0.25">
      <c r="A122" t="s">
        <v>4048</v>
      </c>
      <c r="B122">
        <v>1037638426</v>
      </c>
      <c r="C122" t="s">
        <v>61</v>
      </c>
      <c r="D122" s="11" t="s">
        <v>28</v>
      </c>
      <c r="E122" s="11" t="s">
        <v>4046</v>
      </c>
      <c r="F122" s="11" t="s">
        <v>24</v>
      </c>
      <c r="G122" s="1">
        <v>46230</v>
      </c>
      <c r="H122" s="1">
        <v>46262</v>
      </c>
      <c r="I122" s="2">
        <v>0.25</v>
      </c>
      <c r="J122" s="2">
        <v>0.54166666666666663</v>
      </c>
      <c r="K122" s="11" t="s">
        <v>236</v>
      </c>
      <c r="L122" s="11" t="s">
        <v>237</v>
      </c>
      <c r="M122" s="1"/>
      <c r="N122" s="11"/>
      <c r="O122" s="11" t="s">
        <v>21</v>
      </c>
      <c r="P122" s="1"/>
      <c r="Q122" s="1"/>
      <c r="R122" s="11"/>
      <c r="S122" s="2">
        <f>CONSOLIDADO_2026[[#This Row],[Hora final]]-CONSOLIDADO_2026[[#This Row],[Hora inic]]</f>
        <v>0.29166666666666663</v>
      </c>
    </row>
    <row r="123" spans="1:19" hidden="1" x14ac:dyDescent="0.25">
      <c r="A123" t="s">
        <v>4051</v>
      </c>
      <c r="B123">
        <v>1037638426</v>
      </c>
      <c r="C123" t="s">
        <v>61</v>
      </c>
      <c r="D123" s="11" t="s">
        <v>28</v>
      </c>
      <c r="E123" s="11" t="s">
        <v>4046</v>
      </c>
      <c r="F123" s="11" t="s">
        <v>24</v>
      </c>
      <c r="G123" s="1">
        <v>46230</v>
      </c>
      <c r="H123" s="1">
        <v>46262</v>
      </c>
      <c r="I123" s="2"/>
      <c r="J123" s="2"/>
      <c r="K123" s="11"/>
      <c r="L123" s="11" t="s">
        <v>341</v>
      </c>
      <c r="M123" s="1"/>
      <c r="N123" s="11" t="s">
        <v>21</v>
      </c>
      <c r="O123" s="11" t="s">
        <v>21</v>
      </c>
      <c r="P123" s="1"/>
      <c r="Q123" s="1"/>
      <c r="R123" s="11"/>
      <c r="S123" s="2">
        <f>CONSOLIDADO_2026[[#This Row],[Hora final]]-CONSOLIDADO_2026[[#This Row],[Hora inic]]</f>
        <v>0</v>
      </c>
    </row>
    <row r="124" spans="1:19" hidden="1" x14ac:dyDescent="0.25">
      <c r="A124" t="s">
        <v>4052</v>
      </c>
      <c r="B124">
        <v>1037638426</v>
      </c>
      <c r="C124" t="s">
        <v>61</v>
      </c>
      <c r="D124" s="11" t="s">
        <v>28</v>
      </c>
      <c r="E124" s="11" t="s">
        <v>4046</v>
      </c>
      <c r="F124" s="11" t="s">
        <v>24</v>
      </c>
      <c r="G124" s="1">
        <v>46230</v>
      </c>
      <c r="H124" s="1">
        <v>46262</v>
      </c>
      <c r="I124" s="2">
        <v>0.58333333333333337</v>
      </c>
      <c r="J124" s="2">
        <v>0.875</v>
      </c>
      <c r="K124" s="11" t="s">
        <v>300</v>
      </c>
      <c r="L124" s="11" t="s">
        <v>301</v>
      </c>
      <c r="M124" s="1"/>
      <c r="N124" s="11"/>
      <c r="O124" s="11" t="s">
        <v>21</v>
      </c>
      <c r="P124" s="1"/>
      <c r="Q124" s="1"/>
      <c r="R124" s="11"/>
      <c r="S124" s="2">
        <f>CONSOLIDADO_2026[[#This Row],[Hora final]]-CONSOLIDADO_2026[[#This Row],[Hora inic]]</f>
        <v>0.29166666666666663</v>
      </c>
    </row>
    <row r="125" spans="1:19" hidden="1" x14ac:dyDescent="0.25">
      <c r="A125" t="s">
        <v>4163</v>
      </c>
      <c r="B125">
        <v>1037638426</v>
      </c>
      <c r="C125" t="s">
        <v>31</v>
      </c>
      <c r="D125" s="11" t="s">
        <v>28</v>
      </c>
      <c r="E125" s="11" t="s">
        <v>4046</v>
      </c>
      <c r="F125" s="11" t="s">
        <v>24</v>
      </c>
      <c r="G125" s="1">
        <v>46230</v>
      </c>
      <c r="H125" s="1">
        <v>46262</v>
      </c>
      <c r="I125" s="2">
        <v>0.54166666666666663</v>
      </c>
      <c r="J125" s="2">
        <v>0.875</v>
      </c>
      <c r="K125" s="11" t="s">
        <v>17</v>
      </c>
      <c r="L125" s="11" t="s">
        <v>18</v>
      </c>
      <c r="M125" s="1"/>
      <c r="N125" s="11"/>
      <c r="O125" s="11" t="s">
        <v>21</v>
      </c>
      <c r="P125" s="1"/>
      <c r="Q125" s="1"/>
      <c r="R125" s="11"/>
      <c r="S125" s="2">
        <f>CONSOLIDADO_2026[[#This Row],[Hora final]]-CONSOLIDADO_2026[[#This Row],[Hora inic]]</f>
        <v>0.33333333333333337</v>
      </c>
    </row>
    <row r="126" spans="1:19" hidden="1" x14ac:dyDescent="0.25">
      <c r="A126" t="s">
        <v>4039</v>
      </c>
      <c r="B126">
        <v>1035876080</v>
      </c>
      <c r="C126" t="s">
        <v>123</v>
      </c>
      <c r="D126" s="11" t="s">
        <v>124</v>
      </c>
      <c r="E126" s="11" t="s">
        <v>4045</v>
      </c>
      <c r="F126" s="11" t="s">
        <v>16</v>
      </c>
      <c r="G126" s="1">
        <v>46224</v>
      </c>
      <c r="H126" s="1">
        <v>46238</v>
      </c>
      <c r="I126" s="2">
        <v>0.25</v>
      </c>
      <c r="J126" s="2">
        <v>0.66666666666666663</v>
      </c>
      <c r="K126" s="11"/>
      <c r="L126" s="11" t="s">
        <v>327</v>
      </c>
      <c r="M126" s="1"/>
      <c r="N126" s="11"/>
      <c r="O126" s="11" t="s">
        <v>4042</v>
      </c>
      <c r="P126" s="1"/>
      <c r="Q126" s="1"/>
      <c r="R126" s="11"/>
      <c r="S126" s="2">
        <f>CONSOLIDADO_2026[[#This Row],[Hora final]]-CONSOLIDADO_2026[[#This Row],[Hora inic]]</f>
        <v>0.41666666666666663</v>
      </c>
    </row>
    <row r="127" spans="1:19" hidden="1" x14ac:dyDescent="0.25">
      <c r="A127" t="s">
        <v>4043</v>
      </c>
      <c r="B127">
        <v>1035876080</v>
      </c>
      <c r="C127" t="s">
        <v>123</v>
      </c>
      <c r="D127" s="11" t="s">
        <v>124</v>
      </c>
      <c r="E127" s="11" t="s">
        <v>4045</v>
      </c>
      <c r="F127" s="11" t="s">
        <v>16</v>
      </c>
      <c r="G127" s="1">
        <v>46224</v>
      </c>
      <c r="H127" s="1">
        <v>46238</v>
      </c>
      <c r="I127" s="2">
        <v>0.25</v>
      </c>
      <c r="J127" s="2">
        <v>0.58333333333333337</v>
      </c>
      <c r="K127" s="11" t="s">
        <v>276</v>
      </c>
      <c r="L127" s="11" t="s">
        <v>277</v>
      </c>
      <c r="M127" s="1"/>
      <c r="N127" s="11"/>
      <c r="O127" s="11" t="s">
        <v>21</v>
      </c>
      <c r="P127" s="1"/>
      <c r="Q127" s="1"/>
      <c r="R127" s="11"/>
      <c r="S127" s="2">
        <f>CONSOLIDADO_2026[[#This Row],[Hora final]]-CONSOLIDADO_2026[[#This Row],[Hora inic]]</f>
        <v>0.33333333333333337</v>
      </c>
    </row>
    <row r="128" spans="1:19" hidden="1" x14ac:dyDescent="0.25">
      <c r="A128" t="s">
        <v>4053</v>
      </c>
      <c r="B128">
        <v>1035876080</v>
      </c>
      <c r="C128" t="s">
        <v>123</v>
      </c>
      <c r="D128" s="11" t="s">
        <v>124</v>
      </c>
      <c r="E128" s="11" t="s">
        <v>4045</v>
      </c>
      <c r="F128" s="11" t="s">
        <v>16</v>
      </c>
      <c r="G128" s="1">
        <v>46224</v>
      </c>
      <c r="H128" s="1">
        <v>46238</v>
      </c>
      <c r="I128" s="2"/>
      <c r="J128" s="2"/>
      <c r="K128" s="11"/>
      <c r="L128" s="11" t="s">
        <v>4041</v>
      </c>
      <c r="M128" s="1"/>
      <c r="N128" s="11"/>
      <c r="O128" s="11" t="s">
        <v>4042</v>
      </c>
      <c r="P128" s="1"/>
      <c r="Q128" s="1"/>
      <c r="R128" s="11"/>
      <c r="S128" s="2">
        <f>CONSOLIDADO_2026[[#This Row],[Hora final]]-CONSOLIDADO_2026[[#This Row],[Hora inic]]</f>
        <v>0</v>
      </c>
    </row>
    <row r="129" spans="1:19" hidden="1" x14ac:dyDescent="0.25">
      <c r="A129" t="s">
        <v>4039</v>
      </c>
      <c r="B129">
        <v>1121506548</v>
      </c>
      <c r="C129" t="s">
        <v>38</v>
      </c>
      <c r="D129" s="11" t="s">
        <v>39</v>
      </c>
      <c r="E129" s="11" t="s">
        <v>4046</v>
      </c>
      <c r="F129" s="11" t="s">
        <v>36</v>
      </c>
      <c r="G129" s="1">
        <v>46217</v>
      </c>
      <c r="H129" s="1">
        <v>46342</v>
      </c>
      <c r="I129" s="2">
        <v>0.25</v>
      </c>
      <c r="J129" s="2">
        <v>0.66666666666666663</v>
      </c>
      <c r="K129" s="11" t="s">
        <v>148</v>
      </c>
      <c r="L129" s="11" t="s">
        <v>149</v>
      </c>
      <c r="M129" s="1"/>
      <c r="N129" s="11"/>
      <c r="O129" s="11" t="s">
        <v>21</v>
      </c>
      <c r="P129" s="1"/>
      <c r="Q129" s="1"/>
      <c r="R129" s="11"/>
      <c r="S129" s="2">
        <f>CONSOLIDADO_2026[[#This Row],[Hora final]]-CONSOLIDADO_2026[[#This Row],[Hora inic]]</f>
        <v>0.41666666666666663</v>
      </c>
    </row>
    <row r="130" spans="1:19" hidden="1" x14ac:dyDescent="0.25">
      <c r="A130" t="s">
        <v>4043</v>
      </c>
      <c r="B130">
        <v>1121506548</v>
      </c>
      <c r="C130" t="s">
        <v>38</v>
      </c>
      <c r="D130" s="11" t="s">
        <v>39</v>
      </c>
      <c r="E130" s="11" t="s">
        <v>4046</v>
      </c>
      <c r="F130" s="11" t="s">
        <v>36</v>
      </c>
      <c r="G130" s="1">
        <v>46217</v>
      </c>
      <c r="H130" s="1">
        <v>46342</v>
      </c>
      <c r="I130" s="2">
        <v>0.25</v>
      </c>
      <c r="J130" s="2">
        <v>0.54166666666666663</v>
      </c>
      <c r="K130" s="11" t="s">
        <v>177</v>
      </c>
      <c r="L130" s="11" t="s">
        <v>178</v>
      </c>
      <c r="M130" s="1"/>
      <c r="N130" s="11"/>
      <c r="O130" s="11" t="s">
        <v>21</v>
      </c>
      <c r="P130" s="1"/>
      <c r="Q130" s="1"/>
      <c r="R130" s="11"/>
      <c r="S130" s="2">
        <f>CONSOLIDADO_2026[[#This Row],[Hora final]]-CONSOLIDADO_2026[[#This Row],[Hora inic]]</f>
        <v>0.29166666666666663</v>
      </c>
    </row>
    <row r="131" spans="1:19" hidden="1" x14ac:dyDescent="0.25">
      <c r="A131" t="s">
        <v>4053</v>
      </c>
      <c r="B131">
        <v>1121506548</v>
      </c>
      <c r="C131" t="s">
        <v>38</v>
      </c>
      <c r="D131" s="11" t="s">
        <v>39</v>
      </c>
      <c r="E131" s="11" t="s">
        <v>4046</v>
      </c>
      <c r="F131" s="11" t="s">
        <v>36</v>
      </c>
      <c r="G131" s="1">
        <v>46217</v>
      </c>
      <c r="H131" s="1">
        <v>46342</v>
      </c>
      <c r="I131" s="2">
        <v>0.25</v>
      </c>
      <c r="J131" s="2">
        <v>0.58333333333333337</v>
      </c>
      <c r="K131" s="11" t="s">
        <v>309</v>
      </c>
      <c r="L131" s="11" t="s">
        <v>310</v>
      </c>
      <c r="M131" s="1"/>
      <c r="N131" s="11"/>
      <c r="O131" s="11" t="s">
        <v>21</v>
      </c>
      <c r="P131" s="1"/>
      <c r="Q131" s="1"/>
      <c r="R131" s="11"/>
      <c r="S131" s="2">
        <f>CONSOLIDADO_2026[[#This Row],[Hora final]]-CONSOLIDADO_2026[[#This Row],[Hora inic]]</f>
        <v>0.33333333333333337</v>
      </c>
    </row>
    <row r="132" spans="1:19" hidden="1" x14ac:dyDescent="0.25">
      <c r="A132" t="s">
        <v>4048</v>
      </c>
      <c r="B132">
        <v>1121506548</v>
      </c>
      <c r="C132" t="s">
        <v>38</v>
      </c>
      <c r="D132" s="11" t="s">
        <v>39</v>
      </c>
      <c r="E132" s="11" t="s">
        <v>4046</v>
      </c>
      <c r="F132" s="11" t="s">
        <v>36</v>
      </c>
      <c r="G132" s="1">
        <v>46217</v>
      </c>
      <c r="H132" s="1">
        <v>46342</v>
      </c>
      <c r="I132" s="2">
        <v>0.58333333333333337</v>
      </c>
      <c r="J132" s="2">
        <v>0.875</v>
      </c>
      <c r="K132" s="11" t="s">
        <v>300</v>
      </c>
      <c r="L132" s="11" t="s">
        <v>301</v>
      </c>
      <c r="M132" s="1"/>
      <c r="N132" s="11"/>
      <c r="O132" s="11" t="s">
        <v>21</v>
      </c>
      <c r="P132" s="1"/>
      <c r="Q132" s="1"/>
      <c r="R132" s="11"/>
      <c r="S132" s="2">
        <f>CONSOLIDADO_2026[[#This Row],[Hora final]]-CONSOLIDADO_2026[[#This Row],[Hora inic]]</f>
        <v>0.29166666666666663</v>
      </c>
    </row>
    <row r="133" spans="1:19" hidden="1" x14ac:dyDescent="0.25">
      <c r="A133" t="s">
        <v>4051</v>
      </c>
      <c r="B133">
        <v>1121506548</v>
      </c>
      <c r="C133" t="s">
        <v>38</v>
      </c>
      <c r="D133" s="11" t="s">
        <v>39</v>
      </c>
      <c r="E133" s="11" t="s">
        <v>4046</v>
      </c>
      <c r="F133" s="11" t="s">
        <v>36</v>
      </c>
      <c r="G133" s="1">
        <v>46217</v>
      </c>
      <c r="H133" s="1">
        <v>46342</v>
      </c>
      <c r="I133" s="2"/>
      <c r="J133" s="2"/>
      <c r="K133" s="11"/>
      <c r="L133" s="11" t="s">
        <v>341</v>
      </c>
      <c r="M133" s="1"/>
      <c r="N133" s="11" t="s">
        <v>21</v>
      </c>
      <c r="O133" s="11" t="s">
        <v>21</v>
      </c>
      <c r="P133" s="1"/>
      <c r="Q133" s="1"/>
      <c r="R133" s="11"/>
      <c r="S133" s="2">
        <f>CONSOLIDADO_2026[[#This Row],[Hora final]]-CONSOLIDADO_2026[[#This Row],[Hora inic]]</f>
        <v>0</v>
      </c>
    </row>
    <row r="134" spans="1:19" hidden="1" x14ac:dyDescent="0.25">
      <c r="A134" t="s">
        <v>4052</v>
      </c>
      <c r="B134">
        <v>1121506548</v>
      </c>
      <c r="C134" t="s">
        <v>38</v>
      </c>
      <c r="D134" s="11" t="s">
        <v>39</v>
      </c>
      <c r="E134" s="11" t="s">
        <v>4046</v>
      </c>
      <c r="F134" s="11" t="s">
        <v>36</v>
      </c>
      <c r="G134" s="1">
        <v>46217</v>
      </c>
      <c r="H134" s="1">
        <v>46342</v>
      </c>
      <c r="I134" s="2">
        <v>0.25</v>
      </c>
      <c r="J134" s="2">
        <v>0.54166666666666663</v>
      </c>
      <c r="K134" s="11" t="s">
        <v>17</v>
      </c>
      <c r="L134" s="11" t="s">
        <v>18</v>
      </c>
      <c r="M134" s="1"/>
      <c r="N134" s="11"/>
      <c r="O134" s="11" t="s">
        <v>21</v>
      </c>
      <c r="P134" s="1"/>
      <c r="Q134" s="1"/>
      <c r="R134" s="11"/>
      <c r="S134" s="2">
        <f>CONSOLIDADO_2026[[#This Row],[Hora final]]-CONSOLIDADO_2026[[#This Row],[Hora inic]]</f>
        <v>0.29166666666666663</v>
      </c>
    </row>
    <row r="135" spans="1:19" hidden="1" x14ac:dyDescent="0.25">
      <c r="A135" t="s">
        <v>4163</v>
      </c>
      <c r="B135">
        <v>1121506548</v>
      </c>
      <c r="C135" t="s">
        <v>38</v>
      </c>
      <c r="D135" s="11" t="s">
        <v>39</v>
      </c>
      <c r="E135" s="11" t="s">
        <v>4046</v>
      </c>
      <c r="F135" s="11" t="s">
        <v>36</v>
      </c>
      <c r="G135" s="1">
        <v>46217</v>
      </c>
      <c r="H135" s="1">
        <v>46342</v>
      </c>
      <c r="I135" s="2">
        <v>0.54166666666666663</v>
      </c>
      <c r="J135" s="2">
        <v>0.875</v>
      </c>
      <c r="K135" s="11"/>
      <c r="L135" s="11" t="s">
        <v>327</v>
      </c>
      <c r="M135" s="1"/>
      <c r="N135" s="11"/>
      <c r="O135" s="11" t="s">
        <v>4042</v>
      </c>
      <c r="P135" s="1"/>
      <c r="Q135" s="1"/>
      <c r="R135" s="11"/>
      <c r="S135" s="2">
        <f>CONSOLIDADO_2026[[#This Row],[Hora final]]-CONSOLIDADO_2026[[#This Row],[Hora inic]]</f>
        <v>0.33333333333333337</v>
      </c>
    </row>
    <row r="136" spans="1:19" hidden="1" x14ac:dyDescent="0.25">
      <c r="A136" t="s">
        <v>4039</v>
      </c>
      <c r="B136" t="s">
        <v>225</v>
      </c>
      <c r="C136" t="s">
        <v>226</v>
      </c>
      <c r="D136" s="11" t="s">
        <v>39</v>
      </c>
      <c r="E136" s="11" t="s">
        <v>4046</v>
      </c>
      <c r="F136" s="11" t="s">
        <v>24</v>
      </c>
      <c r="G136" s="1">
        <v>46227</v>
      </c>
      <c r="H136" s="1">
        <v>46237</v>
      </c>
      <c r="I136" s="2"/>
      <c r="J136" s="2"/>
      <c r="K136" s="11"/>
      <c r="L136" s="11" t="s">
        <v>341</v>
      </c>
      <c r="M136" s="1"/>
      <c r="N136" s="11"/>
      <c r="O136" s="11" t="s">
        <v>4042</v>
      </c>
      <c r="P136" s="1"/>
      <c r="Q136" s="1"/>
      <c r="R136" s="11"/>
      <c r="S136" s="2">
        <f>CONSOLIDADO_2026[[#This Row],[Hora final]]-CONSOLIDADO_2026[[#This Row],[Hora inic]]</f>
        <v>0</v>
      </c>
    </row>
    <row r="137" spans="1:19" hidden="1" x14ac:dyDescent="0.25">
      <c r="A137" t="s">
        <v>4043</v>
      </c>
      <c r="B137" t="s">
        <v>225</v>
      </c>
      <c r="C137" t="s">
        <v>226</v>
      </c>
      <c r="D137" s="11" t="s">
        <v>39</v>
      </c>
      <c r="E137" s="11" t="s">
        <v>4046</v>
      </c>
      <c r="F137" s="11" t="s">
        <v>24</v>
      </c>
      <c r="G137" s="1">
        <v>46227</v>
      </c>
      <c r="H137" s="1">
        <v>46237</v>
      </c>
      <c r="I137" s="2">
        <v>0.54166666666666663</v>
      </c>
      <c r="J137" s="2">
        <v>0.875</v>
      </c>
      <c r="K137" s="11" t="s">
        <v>222</v>
      </c>
      <c r="L137" s="11" t="s">
        <v>223</v>
      </c>
      <c r="M137" s="1"/>
      <c r="N137" s="11"/>
      <c r="O137" s="11" t="s">
        <v>21</v>
      </c>
      <c r="P137" s="1"/>
      <c r="Q137" s="1"/>
      <c r="R137" s="11"/>
      <c r="S137" s="2">
        <f>CONSOLIDADO_2026[[#This Row],[Hora final]]-CONSOLIDADO_2026[[#This Row],[Hora inic]]</f>
        <v>0.33333333333333337</v>
      </c>
    </row>
    <row r="138" spans="1:19" hidden="1" x14ac:dyDescent="0.25">
      <c r="A138" t="s">
        <v>4055</v>
      </c>
      <c r="B138" t="s">
        <v>225</v>
      </c>
      <c r="C138" t="s">
        <v>226</v>
      </c>
      <c r="D138" s="11" t="s">
        <v>39</v>
      </c>
      <c r="E138" s="11" t="s">
        <v>4046</v>
      </c>
      <c r="F138" s="11" t="s">
        <v>24</v>
      </c>
      <c r="G138" s="1">
        <v>46227</v>
      </c>
      <c r="H138" s="1">
        <v>46237</v>
      </c>
      <c r="I138" s="2"/>
      <c r="J138" s="2"/>
      <c r="K138" s="11"/>
      <c r="L138" s="11" t="s">
        <v>4041</v>
      </c>
      <c r="M138" s="1"/>
      <c r="N138" s="11"/>
      <c r="O138" s="11" t="s">
        <v>4042</v>
      </c>
      <c r="P138" s="1"/>
      <c r="Q138" s="1"/>
      <c r="R138" s="11"/>
      <c r="S138" s="2">
        <f>CONSOLIDADO_2026[[#This Row],[Hora final]]-CONSOLIDADO_2026[[#This Row],[Hora inic]]</f>
        <v>0</v>
      </c>
    </row>
    <row r="139" spans="1:19" hidden="1" x14ac:dyDescent="0.25">
      <c r="A139" t="s">
        <v>4039</v>
      </c>
      <c r="B139">
        <v>22519737</v>
      </c>
      <c r="C139" t="s">
        <v>4067</v>
      </c>
      <c r="D139" s="11" t="s">
        <v>59</v>
      </c>
      <c r="E139" s="11" t="s">
        <v>4047</v>
      </c>
      <c r="F139" s="11" t="s">
        <v>326</v>
      </c>
      <c r="G139" s="1">
        <v>46231</v>
      </c>
      <c r="H139" s="1">
        <v>46234</v>
      </c>
      <c r="I139" s="2"/>
      <c r="J139" s="2"/>
      <c r="K139" s="11"/>
      <c r="L139" s="11" t="s">
        <v>4041</v>
      </c>
      <c r="M139" s="1"/>
      <c r="N139" s="11"/>
      <c r="O139" s="11" t="s">
        <v>4042</v>
      </c>
      <c r="P139" s="1"/>
      <c r="Q139" s="1"/>
      <c r="R139" s="11"/>
      <c r="S139" s="2">
        <f>CONSOLIDADO_2026[[#This Row],[Hora final]]-CONSOLIDADO_2026[[#This Row],[Hora inic]]</f>
        <v>0</v>
      </c>
    </row>
    <row r="140" spans="1:19" hidden="1" x14ac:dyDescent="0.25">
      <c r="A140" t="s">
        <v>4039</v>
      </c>
      <c r="B140">
        <v>1037653415</v>
      </c>
      <c r="C140" t="s">
        <v>2337</v>
      </c>
      <c r="D140" s="11" t="s">
        <v>102</v>
      </c>
      <c r="E140" s="11" t="s">
        <v>4046</v>
      </c>
      <c r="F140" s="11" t="s">
        <v>4068</v>
      </c>
      <c r="G140" s="1">
        <v>46234</v>
      </c>
      <c r="H140" s="1">
        <v>46234</v>
      </c>
      <c r="I140" s="2"/>
      <c r="J140" s="2"/>
      <c r="K140" s="11"/>
      <c r="L140" s="11" t="s">
        <v>4041</v>
      </c>
      <c r="M140" s="1"/>
      <c r="N140" s="11"/>
      <c r="O140" s="11" t="s">
        <v>4042</v>
      </c>
      <c r="P140" s="1"/>
      <c r="Q140" s="1"/>
      <c r="R140" s="11"/>
      <c r="S140" s="2">
        <f>CONSOLIDADO_2026[[#This Row],[Hora final]]-CONSOLIDADO_2026[[#This Row],[Hora inic]]</f>
        <v>0</v>
      </c>
    </row>
    <row r="141" spans="1:19" hidden="1" x14ac:dyDescent="0.25">
      <c r="A141" t="s">
        <v>4039</v>
      </c>
      <c r="B141">
        <v>1143460426</v>
      </c>
      <c r="C141" t="s">
        <v>4069</v>
      </c>
      <c r="D141" s="11" t="s">
        <v>64</v>
      </c>
      <c r="E141" s="11" t="s">
        <v>4046</v>
      </c>
      <c r="F141" s="11" t="s">
        <v>4050</v>
      </c>
      <c r="G141" s="1">
        <v>46195</v>
      </c>
      <c r="H141" s="1">
        <v>46198</v>
      </c>
      <c r="I141" s="2"/>
      <c r="J141" s="2"/>
      <c r="K141" s="11"/>
      <c r="L141" s="11" t="s">
        <v>341</v>
      </c>
      <c r="M141" s="1"/>
      <c r="N141" s="11"/>
      <c r="O141" s="11" t="s">
        <v>4042</v>
      </c>
      <c r="P141" s="1"/>
      <c r="Q141" s="1"/>
      <c r="R141" s="11"/>
      <c r="S141" s="2">
        <f>CONSOLIDADO_2026[[#This Row],[Hora final]]-CONSOLIDADO_2026[[#This Row],[Hora inic]]</f>
        <v>0</v>
      </c>
    </row>
    <row r="142" spans="1:19" hidden="1" x14ac:dyDescent="0.25">
      <c r="A142" t="s">
        <v>4043</v>
      </c>
      <c r="B142">
        <v>1143460426</v>
      </c>
      <c r="C142" t="s">
        <v>4069</v>
      </c>
      <c r="D142" s="11" t="s">
        <v>64</v>
      </c>
      <c r="E142" s="11" t="s">
        <v>4046</v>
      </c>
      <c r="F142" s="11" t="s">
        <v>4050</v>
      </c>
      <c r="G142" s="1">
        <v>46195</v>
      </c>
      <c r="H142" s="1">
        <v>46198</v>
      </c>
      <c r="I142" s="2">
        <v>0.25</v>
      </c>
      <c r="J142" s="2">
        <v>0.58333333333333337</v>
      </c>
      <c r="K142" s="11" t="s">
        <v>264</v>
      </c>
      <c r="L142" s="11" t="s">
        <v>265</v>
      </c>
      <c r="M142" s="1"/>
      <c r="N142" s="11"/>
      <c r="O142" s="11" t="s">
        <v>21</v>
      </c>
      <c r="P142" s="1"/>
      <c r="Q142" s="1"/>
      <c r="R142" s="11"/>
      <c r="S142" s="2">
        <f>CONSOLIDADO_2026[[#This Row],[Hora final]]-CONSOLIDADO_2026[[#This Row],[Hora inic]]</f>
        <v>0.33333333333333337</v>
      </c>
    </row>
    <row r="143" spans="1:19" hidden="1" x14ac:dyDescent="0.25">
      <c r="A143" t="s">
        <v>4053</v>
      </c>
      <c r="B143">
        <v>1143460426</v>
      </c>
      <c r="C143" t="s">
        <v>4069</v>
      </c>
      <c r="D143" s="11" t="s">
        <v>64</v>
      </c>
      <c r="E143" s="11" t="s">
        <v>4046</v>
      </c>
      <c r="F143" s="11" t="s">
        <v>4050</v>
      </c>
      <c r="G143" s="1">
        <v>46195</v>
      </c>
      <c r="H143" s="1">
        <v>46198</v>
      </c>
      <c r="I143" s="2">
        <v>0.25</v>
      </c>
      <c r="J143" s="2">
        <v>0.54166666666666663</v>
      </c>
      <c r="K143" s="11" t="s">
        <v>236</v>
      </c>
      <c r="L143" s="11" t="s">
        <v>237</v>
      </c>
      <c r="M143" s="1"/>
      <c r="N143" s="11"/>
      <c r="O143" s="11" t="s">
        <v>21</v>
      </c>
      <c r="P143" s="1"/>
      <c r="Q143" s="1"/>
      <c r="R143" s="11"/>
      <c r="S143" s="2">
        <f>CONSOLIDADO_2026[[#This Row],[Hora final]]-CONSOLIDADO_2026[[#This Row],[Hora inic]]</f>
        <v>0.29166666666666663</v>
      </c>
    </row>
    <row r="144" spans="1:19" hidden="1" x14ac:dyDescent="0.25">
      <c r="A144" t="s">
        <v>4048</v>
      </c>
      <c r="B144">
        <v>1143460426</v>
      </c>
      <c r="C144" t="s">
        <v>4069</v>
      </c>
      <c r="D144" s="11" t="s">
        <v>64</v>
      </c>
      <c r="E144" s="11" t="s">
        <v>4046</v>
      </c>
      <c r="F144" s="11" t="s">
        <v>4050</v>
      </c>
      <c r="G144" s="1">
        <v>46195</v>
      </c>
      <c r="H144" s="1">
        <v>46198</v>
      </c>
      <c r="I144" s="2">
        <v>0.58333333333333337</v>
      </c>
      <c r="J144" s="2">
        <v>0.875</v>
      </c>
      <c r="K144" s="11" t="s">
        <v>282</v>
      </c>
      <c r="L144" s="11" t="s">
        <v>283</v>
      </c>
      <c r="M144" s="1"/>
      <c r="N144" s="11"/>
      <c r="O144" s="11" t="s">
        <v>21</v>
      </c>
      <c r="P144" s="1"/>
      <c r="Q144" s="1"/>
      <c r="R144" s="11"/>
      <c r="S144" s="2">
        <f>CONSOLIDADO_2026[[#This Row],[Hora final]]-CONSOLIDADO_2026[[#This Row],[Hora inic]]</f>
        <v>0.29166666666666663</v>
      </c>
    </row>
    <row r="145" spans="1:19" hidden="1" x14ac:dyDescent="0.25">
      <c r="A145" t="s">
        <v>4051</v>
      </c>
      <c r="B145">
        <v>1143460426</v>
      </c>
      <c r="C145" t="s">
        <v>4069</v>
      </c>
      <c r="D145" s="11" t="s">
        <v>64</v>
      </c>
      <c r="E145" s="11" t="s">
        <v>4046</v>
      </c>
      <c r="F145" s="11" t="s">
        <v>4050</v>
      </c>
      <c r="G145" s="1">
        <v>46195</v>
      </c>
      <c r="H145" s="1">
        <v>46198</v>
      </c>
      <c r="I145" s="2">
        <v>0.25</v>
      </c>
      <c r="J145" s="2">
        <v>0.66666666666666663</v>
      </c>
      <c r="K145" s="11" t="s">
        <v>273</v>
      </c>
      <c r="L145" s="11" t="s">
        <v>274</v>
      </c>
      <c r="M145" s="1"/>
      <c r="N145" s="11" t="s">
        <v>4042</v>
      </c>
      <c r="O145" s="11" t="s">
        <v>4042</v>
      </c>
      <c r="P145" s="1"/>
      <c r="Q145" s="1"/>
      <c r="R145" s="11"/>
      <c r="S145" s="2">
        <f>CONSOLIDADO_2026[[#This Row],[Hora final]]-CONSOLIDADO_2026[[#This Row],[Hora inic]]</f>
        <v>0.41666666666666663</v>
      </c>
    </row>
    <row r="146" spans="1:19" hidden="1" x14ac:dyDescent="0.25">
      <c r="A146" t="s">
        <v>4052</v>
      </c>
      <c r="B146">
        <v>1143460426</v>
      </c>
      <c r="C146" t="s">
        <v>4069</v>
      </c>
      <c r="D146" s="11" t="s">
        <v>64</v>
      </c>
      <c r="E146" s="11" t="s">
        <v>4046</v>
      </c>
      <c r="F146" s="11" t="s">
        <v>4050</v>
      </c>
      <c r="G146" s="1">
        <v>46195</v>
      </c>
      <c r="H146" s="1">
        <v>46198</v>
      </c>
      <c r="I146" s="2">
        <v>0.25</v>
      </c>
      <c r="J146" s="2">
        <v>0.58333333333333337</v>
      </c>
      <c r="K146" s="11"/>
      <c r="L146" s="11" t="s">
        <v>327</v>
      </c>
      <c r="M146" s="1"/>
      <c r="N146" s="11"/>
      <c r="O146" s="11" t="s">
        <v>4042</v>
      </c>
      <c r="P146" s="1"/>
      <c r="Q146" s="1"/>
      <c r="R146" s="11"/>
      <c r="S146" s="2">
        <f>CONSOLIDADO_2026[[#This Row],[Hora final]]-CONSOLIDADO_2026[[#This Row],[Hora inic]]</f>
        <v>0.33333333333333337</v>
      </c>
    </row>
    <row r="147" spans="1:19" hidden="1" x14ac:dyDescent="0.25">
      <c r="A147" t="s">
        <v>4163</v>
      </c>
      <c r="B147">
        <v>1143460426</v>
      </c>
      <c r="C147" t="s">
        <v>4069</v>
      </c>
      <c r="D147" s="11" t="s">
        <v>64</v>
      </c>
      <c r="E147" s="11" t="s">
        <v>4046</v>
      </c>
      <c r="F147" s="11" t="s">
        <v>4050</v>
      </c>
      <c r="G147" s="1">
        <v>46195</v>
      </c>
      <c r="H147" s="1">
        <v>46198</v>
      </c>
      <c r="I147" s="2">
        <v>0.25</v>
      </c>
      <c r="J147" s="2">
        <v>0.58333333333333337</v>
      </c>
      <c r="K147" s="11" t="s">
        <v>199</v>
      </c>
      <c r="L147" s="11" t="s">
        <v>200</v>
      </c>
      <c r="M147" s="1"/>
      <c r="N147" s="11"/>
      <c r="O147" s="11" t="s">
        <v>21</v>
      </c>
      <c r="P147" s="1"/>
      <c r="Q147" s="1"/>
      <c r="R147" s="11"/>
      <c r="S147" s="2">
        <f>CONSOLIDADO_2026[[#This Row],[Hora final]]-CONSOLIDADO_2026[[#This Row],[Hora inic]]</f>
        <v>0.33333333333333337</v>
      </c>
    </row>
    <row r="148" spans="1:19" hidden="1" x14ac:dyDescent="0.25">
      <c r="A148" t="s">
        <v>4039</v>
      </c>
      <c r="B148" t="s">
        <v>4070</v>
      </c>
      <c r="C148" t="s">
        <v>4071</v>
      </c>
      <c r="D148" s="11" t="s">
        <v>256</v>
      </c>
      <c r="E148" s="11" t="s">
        <v>4040</v>
      </c>
      <c r="F148" s="11" t="s">
        <v>4050</v>
      </c>
      <c r="G148" s="1">
        <v>46233</v>
      </c>
      <c r="H148" s="1">
        <v>46235</v>
      </c>
      <c r="I148" s="2">
        <v>0.25</v>
      </c>
      <c r="J148" s="2">
        <v>0.66666666666666663</v>
      </c>
      <c r="K148" s="11"/>
      <c r="L148" s="11" t="s">
        <v>327</v>
      </c>
      <c r="M148" s="1"/>
      <c r="N148" s="11"/>
      <c r="O148" s="11" t="s">
        <v>4042</v>
      </c>
      <c r="P148" s="1"/>
      <c r="Q148" s="1"/>
      <c r="R148" s="11"/>
      <c r="S148" s="2">
        <f>CONSOLIDADO_2026[[#This Row],[Hora final]]-CONSOLIDADO_2026[[#This Row],[Hora inic]]</f>
        <v>0.41666666666666663</v>
      </c>
    </row>
    <row r="149" spans="1:19" hidden="1" x14ac:dyDescent="0.25">
      <c r="A149" t="s">
        <v>4043</v>
      </c>
      <c r="B149" t="s">
        <v>4070</v>
      </c>
      <c r="C149" t="s">
        <v>4071</v>
      </c>
      <c r="D149" s="11" t="s">
        <v>256</v>
      </c>
      <c r="E149" s="11" t="s">
        <v>4040</v>
      </c>
      <c r="F149" s="11" t="s">
        <v>4050</v>
      </c>
      <c r="G149" s="1">
        <v>46233</v>
      </c>
      <c r="H149" s="1">
        <v>46235</v>
      </c>
      <c r="I149" s="2"/>
      <c r="J149" s="2"/>
      <c r="K149" s="11"/>
      <c r="L149" s="11" t="s">
        <v>4041</v>
      </c>
      <c r="M149" s="1"/>
      <c r="N149" s="11"/>
      <c r="O149" s="11" t="s">
        <v>4042</v>
      </c>
      <c r="P149" s="1"/>
      <c r="Q149" s="1"/>
      <c r="R149" s="11"/>
      <c r="S149" s="2">
        <f>CONSOLIDADO_2026[[#This Row],[Hora final]]-CONSOLIDADO_2026[[#This Row],[Hora inic]]</f>
        <v>0</v>
      </c>
    </row>
    <row r="150" spans="1:19" hidden="1" x14ac:dyDescent="0.25">
      <c r="A150" t="s">
        <v>4039</v>
      </c>
      <c r="B150">
        <v>1083048455</v>
      </c>
      <c r="C150" t="s">
        <v>2787</v>
      </c>
      <c r="D150" s="11" t="s">
        <v>256</v>
      </c>
      <c r="E150" s="11" t="s">
        <v>4040</v>
      </c>
      <c r="F150" s="11" t="s">
        <v>16</v>
      </c>
      <c r="G150" s="1">
        <v>46234</v>
      </c>
      <c r="H150" s="1">
        <v>46234</v>
      </c>
      <c r="I150" s="2"/>
      <c r="J150" s="2"/>
      <c r="K150" s="11"/>
      <c r="L150" s="11" t="s">
        <v>4041</v>
      </c>
      <c r="M150" s="1"/>
      <c r="N150" s="11"/>
      <c r="O150" s="11" t="s">
        <v>4042</v>
      </c>
      <c r="P150" s="1"/>
      <c r="Q150" s="1"/>
      <c r="R150" s="11"/>
      <c r="S150" s="2">
        <f>CONSOLIDADO_2026[[#This Row],[Hora final]]-CONSOLIDADO_2026[[#This Row],[Hora inic]]</f>
        <v>0</v>
      </c>
    </row>
    <row r="151" spans="1:19" hidden="1" x14ac:dyDescent="0.25">
      <c r="A151" t="s">
        <v>4039</v>
      </c>
      <c r="B151">
        <v>1152221372</v>
      </c>
      <c r="C151" t="s">
        <v>2363</v>
      </c>
      <c r="D151" s="11" t="s">
        <v>139</v>
      </c>
      <c r="E151" s="11" t="s">
        <v>4040</v>
      </c>
      <c r="F151" s="11" t="s">
        <v>158</v>
      </c>
      <c r="G151" s="1">
        <v>46230</v>
      </c>
      <c r="H151" s="1">
        <v>46230</v>
      </c>
      <c r="I151" s="2">
        <v>0.25</v>
      </c>
      <c r="J151" s="2">
        <v>0.66666666666666663</v>
      </c>
      <c r="K151" s="11"/>
      <c r="L151" s="11" t="s">
        <v>327</v>
      </c>
      <c r="M151" s="1"/>
      <c r="N151" s="11"/>
      <c r="O151" s="11" t="s">
        <v>4042</v>
      </c>
      <c r="P151" s="1"/>
      <c r="Q151" s="1"/>
      <c r="R151" s="11"/>
      <c r="S151" s="2">
        <f>CONSOLIDADO_2026[[#This Row],[Hora final]]-CONSOLIDADO_2026[[#This Row],[Hora inic]]</f>
        <v>0.41666666666666663</v>
      </c>
    </row>
    <row r="152" spans="1:19" hidden="1" x14ac:dyDescent="0.25">
      <c r="A152" t="s">
        <v>4043</v>
      </c>
      <c r="B152">
        <v>1152221372</v>
      </c>
      <c r="C152" t="s">
        <v>2363</v>
      </c>
      <c r="D152" s="11" t="s">
        <v>139</v>
      </c>
      <c r="E152" s="11" t="s">
        <v>4040</v>
      </c>
      <c r="F152" s="11" t="s">
        <v>158</v>
      </c>
      <c r="G152" s="1">
        <v>46230</v>
      </c>
      <c r="H152" s="1">
        <v>46230</v>
      </c>
      <c r="I152" s="2">
        <v>0.25</v>
      </c>
      <c r="J152" s="2">
        <v>0.58333333333333337</v>
      </c>
      <c r="K152" s="11" t="s">
        <v>257</v>
      </c>
      <c r="L152" s="11" t="s">
        <v>258</v>
      </c>
      <c r="M152" s="1"/>
      <c r="N152" s="11"/>
      <c r="O152" s="11" t="s">
        <v>21</v>
      </c>
      <c r="P152" s="1"/>
      <c r="Q152" s="1"/>
      <c r="R152" s="11"/>
      <c r="S152" s="2">
        <f>CONSOLIDADO_2026[[#This Row],[Hora final]]-CONSOLIDADO_2026[[#This Row],[Hora inic]]</f>
        <v>0.33333333333333337</v>
      </c>
    </row>
    <row r="153" spans="1:19" hidden="1" x14ac:dyDescent="0.25">
      <c r="A153" t="s">
        <v>4053</v>
      </c>
      <c r="B153">
        <v>1152221372</v>
      </c>
      <c r="C153" t="s">
        <v>4072</v>
      </c>
      <c r="D153" s="11" t="s">
        <v>139</v>
      </c>
      <c r="E153" s="11" t="s">
        <v>4040</v>
      </c>
      <c r="F153" s="11" t="s">
        <v>158</v>
      </c>
      <c r="G153" s="1">
        <v>46230</v>
      </c>
      <c r="H153" s="1">
        <v>46230</v>
      </c>
      <c r="I153" s="2">
        <v>0.25</v>
      </c>
      <c r="J153" s="2">
        <v>0.54166666666666663</v>
      </c>
      <c r="K153" s="11" t="s">
        <v>314</v>
      </c>
      <c r="L153" s="11" t="s">
        <v>315</v>
      </c>
      <c r="M153" s="1"/>
      <c r="N153" s="11"/>
      <c r="O153" s="11" t="s">
        <v>21</v>
      </c>
      <c r="P153" s="1"/>
      <c r="Q153" s="1"/>
      <c r="R153" s="11"/>
      <c r="S153" s="2">
        <f>CONSOLIDADO_2026[[#This Row],[Hora final]]-CONSOLIDADO_2026[[#This Row],[Hora inic]]</f>
        <v>0.29166666666666663</v>
      </c>
    </row>
    <row r="154" spans="1:19" hidden="1" x14ac:dyDescent="0.25">
      <c r="A154" t="s">
        <v>4048</v>
      </c>
      <c r="B154">
        <v>1152221372</v>
      </c>
      <c r="C154" t="s">
        <v>4072</v>
      </c>
      <c r="D154" s="11" t="s">
        <v>139</v>
      </c>
      <c r="E154" s="11" t="s">
        <v>4040</v>
      </c>
      <c r="F154" s="11" t="s">
        <v>158</v>
      </c>
      <c r="G154" s="1">
        <v>46230</v>
      </c>
      <c r="H154" s="1">
        <v>46230</v>
      </c>
      <c r="I154" s="2">
        <v>0.54166666666666663</v>
      </c>
      <c r="J154" s="2">
        <v>0.875</v>
      </c>
      <c r="K154" s="11" t="s">
        <v>1491</v>
      </c>
      <c r="L154" s="11" t="s">
        <v>1492</v>
      </c>
      <c r="M154" s="1"/>
      <c r="N154" s="11"/>
      <c r="O154" s="11" t="s">
        <v>21</v>
      </c>
      <c r="P154" s="1"/>
      <c r="Q154" s="1"/>
      <c r="R154" s="11"/>
      <c r="S154" s="2">
        <f>CONSOLIDADO_2026[[#This Row],[Hora final]]-CONSOLIDADO_2026[[#This Row],[Hora inic]]</f>
        <v>0.33333333333333337</v>
      </c>
    </row>
    <row r="155" spans="1:19" hidden="1" x14ac:dyDescent="0.25">
      <c r="A155" t="s">
        <v>4051</v>
      </c>
      <c r="B155">
        <v>1152221372</v>
      </c>
      <c r="C155" t="s">
        <v>4072</v>
      </c>
      <c r="D155" s="11" t="s">
        <v>139</v>
      </c>
      <c r="E155" s="11" t="s">
        <v>4040</v>
      </c>
      <c r="F155" s="11" t="s">
        <v>158</v>
      </c>
      <c r="G155" s="1">
        <v>46230</v>
      </c>
      <c r="H155" s="1">
        <v>46230</v>
      </c>
      <c r="I155" s="2"/>
      <c r="J155" s="2"/>
      <c r="K155" s="11"/>
      <c r="L155" s="11" t="s">
        <v>341</v>
      </c>
      <c r="M155" s="1"/>
      <c r="N155" s="11" t="s">
        <v>4042</v>
      </c>
      <c r="O155" s="11" t="s">
        <v>4042</v>
      </c>
      <c r="P155" s="1"/>
      <c r="Q155" s="1"/>
      <c r="R155" s="11"/>
      <c r="S155" s="2">
        <f>CONSOLIDADO_2026[[#This Row],[Hora final]]-CONSOLIDADO_2026[[#This Row],[Hora inic]]</f>
        <v>0</v>
      </c>
    </row>
    <row r="156" spans="1:19" hidden="1" x14ac:dyDescent="0.25">
      <c r="A156" t="s">
        <v>4052</v>
      </c>
      <c r="B156">
        <v>1152221372</v>
      </c>
      <c r="C156" t="s">
        <v>4072</v>
      </c>
      <c r="D156" s="11" t="s">
        <v>139</v>
      </c>
      <c r="E156" s="11" t="s">
        <v>4040</v>
      </c>
      <c r="F156" s="11" t="s">
        <v>158</v>
      </c>
      <c r="G156" s="1">
        <v>46230</v>
      </c>
      <c r="H156" s="1">
        <v>46230</v>
      </c>
      <c r="I156" s="2">
        <v>0.25</v>
      </c>
      <c r="J156" s="2">
        <v>0.58333333333333337</v>
      </c>
      <c r="K156" s="11" t="s">
        <v>119</v>
      </c>
      <c r="L156" s="11" t="s">
        <v>120</v>
      </c>
      <c r="M156" s="1"/>
      <c r="N156" s="11"/>
      <c r="O156" s="11" t="s">
        <v>21</v>
      </c>
      <c r="P156" s="1"/>
      <c r="Q156" s="1"/>
      <c r="R156" s="11"/>
      <c r="S156" s="2">
        <f>CONSOLIDADO_2026[[#This Row],[Hora final]]-CONSOLIDADO_2026[[#This Row],[Hora inic]]</f>
        <v>0.33333333333333337</v>
      </c>
    </row>
    <row r="157" spans="1:19" hidden="1" x14ac:dyDescent="0.25">
      <c r="A157" t="s">
        <v>4163</v>
      </c>
      <c r="B157">
        <v>1152221372</v>
      </c>
      <c r="C157" t="s">
        <v>2363</v>
      </c>
      <c r="D157" s="11" t="s">
        <v>139</v>
      </c>
      <c r="E157" s="11" t="s">
        <v>4040</v>
      </c>
      <c r="F157" s="11" t="s">
        <v>158</v>
      </c>
      <c r="G157" s="1">
        <v>46230</v>
      </c>
      <c r="H157" s="1">
        <v>46230</v>
      </c>
      <c r="I157" s="2">
        <v>0.25</v>
      </c>
      <c r="J157" s="2">
        <v>0.54166666666666663</v>
      </c>
      <c r="K157" s="11" t="s">
        <v>85</v>
      </c>
      <c r="L157" s="11" t="s">
        <v>86</v>
      </c>
      <c r="M157" s="1"/>
      <c r="N157" s="11"/>
      <c r="O157" s="11" t="s">
        <v>21</v>
      </c>
      <c r="P157" s="1"/>
      <c r="Q157" s="1"/>
      <c r="R157" s="11"/>
      <c r="S157" s="2">
        <f>CONSOLIDADO_2026[[#This Row],[Hora final]]-CONSOLIDADO_2026[[#This Row],[Hora inic]]</f>
        <v>0.29166666666666663</v>
      </c>
    </row>
    <row r="158" spans="1:19" hidden="1" x14ac:dyDescent="0.25">
      <c r="A158" t="s">
        <v>4039</v>
      </c>
      <c r="B158">
        <v>1000291050</v>
      </c>
      <c r="C158" t="s">
        <v>1408</v>
      </c>
      <c r="D158" s="11" t="s">
        <v>139</v>
      </c>
      <c r="E158" s="11" t="s">
        <v>4040</v>
      </c>
      <c r="F158" s="11" t="s">
        <v>4073</v>
      </c>
      <c r="G158" s="1">
        <v>46235</v>
      </c>
      <c r="H158" s="1">
        <v>46235</v>
      </c>
      <c r="I158" s="2">
        <v>0.25</v>
      </c>
      <c r="J158" s="2">
        <v>0.66666666666666663</v>
      </c>
      <c r="K158" s="11" t="s">
        <v>1407</v>
      </c>
      <c r="L158" s="11" t="s">
        <v>1408</v>
      </c>
      <c r="M158" s="1"/>
      <c r="N158" s="11"/>
      <c r="O158" s="11" t="s">
        <v>4042</v>
      </c>
      <c r="P158" s="1"/>
      <c r="Q158" s="1"/>
      <c r="R158" s="11"/>
      <c r="S158" s="2">
        <f>CONSOLIDADO_2026[[#This Row],[Hora final]]-CONSOLIDADO_2026[[#This Row],[Hora inic]]</f>
        <v>0.41666666666666663</v>
      </c>
    </row>
    <row r="159" spans="1:19" hidden="1" x14ac:dyDescent="0.25">
      <c r="A159" t="s">
        <v>4039</v>
      </c>
      <c r="B159">
        <v>1098777544</v>
      </c>
      <c r="C159" t="s">
        <v>131</v>
      </c>
      <c r="D159" s="11" t="s">
        <v>132</v>
      </c>
      <c r="E159" s="11" t="s">
        <v>4040</v>
      </c>
      <c r="F159" s="11" t="s">
        <v>16</v>
      </c>
      <c r="G159" s="1">
        <v>46217</v>
      </c>
      <c r="H159" s="1">
        <v>46246</v>
      </c>
      <c r="I159" s="2">
        <v>0.25</v>
      </c>
      <c r="J159" s="2">
        <v>0.66666666666666663</v>
      </c>
      <c r="K159" s="11"/>
      <c r="L159" s="11" t="s">
        <v>327</v>
      </c>
      <c r="M159" s="1"/>
      <c r="N159" s="11"/>
      <c r="O159" s="11" t="s">
        <v>4042</v>
      </c>
      <c r="P159" s="1"/>
      <c r="Q159" s="1"/>
      <c r="R159" s="11"/>
      <c r="S159" s="2">
        <f>CONSOLIDADO_2026[[#This Row],[Hora final]]-CONSOLIDADO_2026[[#This Row],[Hora inic]]</f>
        <v>0.41666666666666663</v>
      </c>
    </row>
    <row r="160" spans="1:19" hidden="1" x14ac:dyDescent="0.25">
      <c r="A160" t="s">
        <v>4043</v>
      </c>
      <c r="B160">
        <v>1098777544</v>
      </c>
      <c r="C160" t="s">
        <v>131</v>
      </c>
      <c r="D160" s="11" t="s">
        <v>132</v>
      </c>
      <c r="E160" s="11" t="s">
        <v>4040</v>
      </c>
      <c r="F160" s="11" t="s">
        <v>16</v>
      </c>
      <c r="G160" s="1">
        <v>46217</v>
      </c>
      <c r="H160" s="1">
        <v>46246</v>
      </c>
      <c r="I160" s="2">
        <v>0.58333333333333337</v>
      </c>
      <c r="J160" s="2">
        <v>0.875</v>
      </c>
      <c r="K160" s="11" t="s">
        <v>282</v>
      </c>
      <c r="L160" s="11" t="s">
        <v>283</v>
      </c>
      <c r="M160" s="1"/>
      <c r="N160" s="11"/>
      <c r="O160" s="11" t="s">
        <v>21</v>
      </c>
      <c r="P160" s="1"/>
      <c r="Q160" s="1"/>
      <c r="R160" s="11"/>
      <c r="S160" s="2">
        <f>CONSOLIDADO_2026[[#This Row],[Hora final]]-CONSOLIDADO_2026[[#This Row],[Hora inic]]</f>
        <v>0.29166666666666663</v>
      </c>
    </row>
    <row r="161" spans="1:19" hidden="1" x14ac:dyDescent="0.25">
      <c r="A161" t="s">
        <v>4055</v>
      </c>
      <c r="B161">
        <v>1098777544</v>
      </c>
      <c r="C161" t="s">
        <v>131</v>
      </c>
      <c r="D161" s="11" t="s">
        <v>132</v>
      </c>
      <c r="E161" s="11" t="s">
        <v>4040</v>
      </c>
      <c r="F161" s="11" t="s">
        <v>16</v>
      </c>
      <c r="G161" s="1">
        <v>46217</v>
      </c>
      <c r="H161" s="1">
        <v>46246</v>
      </c>
      <c r="I161" s="2">
        <v>0.25</v>
      </c>
      <c r="J161" s="2">
        <v>0.54166666666666663</v>
      </c>
      <c r="K161" s="11" t="s">
        <v>193</v>
      </c>
      <c r="L161" s="11" t="s">
        <v>194</v>
      </c>
      <c r="M161" s="1"/>
      <c r="N161" s="11"/>
      <c r="O161" s="11" t="s">
        <v>21</v>
      </c>
      <c r="P161" s="1"/>
      <c r="Q161" s="1"/>
      <c r="R161" s="11"/>
      <c r="S161" s="2">
        <f>CONSOLIDADO_2026[[#This Row],[Hora final]]-CONSOLIDADO_2026[[#This Row],[Hora inic]]</f>
        <v>0.29166666666666663</v>
      </c>
    </row>
    <row r="162" spans="1:19" hidden="1" x14ac:dyDescent="0.25">
      <c r="A162" t="s">
        <v>4053</v>
      </c>
      <c r="B162">
        <v>1098777544</v>
      </c>
      <c r="C162" t="s">
        <v>131</v>
      </c>
      <c r="D162" s="11" t="s">
        <v>132</v>
      </c>
      <c r="E162" s="11" t="s">
        <v>4040</v>
      </c>
      <c r="F162" s="11" t="s">
        <v>16</v>
      </c>
      <c r="G162" s="1">
        <v>46217</v>
      </c>
      <c r="H162" s="1">
        <v>46246</v>
      </c>
      <c r="I162" s="2">
        <v>0.25</v>
      </c>
      <c r="J162" s="2">
        <v>0.54166666666666663</v>
      </c>
      <c r="K162" s="11" t="s">
        <v>119</v>
      </c>
      <c r="L162" s="11" t="s">
        <v>120</v>
      </c>
      <c r="M162" s="1"/>
      <c r="N162" s="11"/>
      <c r="O162" s="11" t="s">
        <v>21</v>
      </c>
      <c r="P162" s="1"/>
      <c r="Q162" s="1"/>
      <c r="R162" s="11"/>
      <c r="S162" s="2">
        <f>CONSOLIDADO_2026[[#This Row],[Hora final]]-CONSOLIDADO_2026[[#This Row],[Hora inic]]</f>
        <v>0.29166666666666663</v>
      </c>
    </row>
    <row r="163" spans="1:19" hidden="1" x14ac:dyDescent="0.25">
      <c r="A163" t="s">
        <v>4048</v>
      </c>
      <c r="B163">
        <v>1098777544</v>
      </c>
      <c r="C163" t="s">
        <v>131</v>
      </c>
      <c r="D163" s="11" t="s">
        <v>132</v>
      </c>
      <c r="E163" s="11" t="s">
        <v>4040</v>
      </c>
      <c r="F163" s="11" t="s">
        <v>16</v>
      </c>
      <c r="G163" s="1">
        <v>46217</v>
      </c>
      <c r="H163" s="1">
        <v>46246</v>
      </c>
      <c r="I163" s="2">
        <v>0.54166666666666663</v>
      </c>
      <c r="J163" s="2">
        <v>0.875</v>
      </c>
      <c r="K163" s="11" t="s">
        <v>264</v>
      </c>
      <c r="L163" s="11" t="s">
        <v>265</v>
      </c>
      <c r="M163" s="1"/>
      <c r="N163" s="11"/>
      <c r="O163" s="11" t="s">
        <v>21</v>
      </c>
      <c r="P163" s="1"/>
      <c r="Q163" s="1"/>
      <c r="R163" s="11"/>
      <c r="S163" s="2">
        <f>CONSOLIDADO_2026[[#This Row],[Hora final]]-CONSOLIDADO_2026[[#This Row],[Hora inic]]</f>
        <v>0.33333333333333337</v>
      </c>
    </row>
    <row r="164" spans="1:19" hidden="1" x14ac:dyDescent="0.25">
      <c r="A164" t="s">
        <v>4051</v>
      </c>
      <c r="B164">
        <v>1098777544</v>
      </c>
      <c r="C164" t="s">
        <v>131</v>
      </c>
      <c r="D164" s="11" t="s">
        <v>132</v>
      </c>
      <c r="E164" s="11" t="s">
        <v>4040</v>
      </c>
      <c r="F164" s="11" t="s">
        <v>16</v>
      </c>
      <c r="G164" s="1">
        <v>46217</v>
      </c>
      <c r="H164" s="1">
        <v>46246</v>
      </c>
      <c r="I164" s="2"/>
      <c r="J164" s="2"/>
      <c r="K164" s="11"/>
      <c r="L164" s="11" t="s">
        <v>341</v>
      </c>
      <c r="M164" s="1"/>
      <c r="N164" s="11" t="s">
        <v>21</v>
      </c>
      <c r="O164" s="11" t="s">
        <v>21</v>
      </c>
      <c r="P164" s="1"/>
      <c r="Q164" s="1"/>
      <c r="R164" s="11"/>
      <c r="S164" s="2">
        <f>CONSOLIDADO_2026[[#This Row],[Hora final]]-CONSOLIDADO_2026[[#This Row],[Hora inic]]</f>
        <v>0</v>
      </c>
    </row>
    <row r="165" spans="1:19" hidden="1" x14ac:dyDescent="0.25">
      <c r="A165" t="s">
        <v>4052</v>
      </c>
      <c r="B165">
        <v>1098777544</v>
      </c>
      <c r="C165" t="s">
        <v>131</v>
      </c>
      <c r="D165" s="11" t="s">
        <v>132</v>
      </c>
      <c r="E165" s="11" t="s">
        <v>4040</v>
      </c>
      <c r="F165" s="11" t="s">
        <v>16</v>
      </c>
      <c r="G165" s="1">
        <v>46217</v>
      </c>
      <c r="H165" s="1">
        <v>46246</v>
      </c>
      <c r="I165" s="2">
        <v>0.58333333333333337</v>
      </c>
      <c r="J165" s="2">
        <v>0.875</v>
      </c>
      <c r="K165" s="11" t="s">
        <v>150</v>
      </c>
      <c r="L165" s="11" t="s">
        <v>151</v>
      </c>
      <c r="M165" s="1"/>
      <c r="N165" s="11"/>
      <c r="O165" s="11" t="s">
        <v>21</v>
      </c>
      <c r="P165" s="1"/>
      <c r="Q165" s="1"/>
      <c r="R165" s="11"/>
      <c r="S165" s="2">
        <f>CONSOLIDADO_2026[[#This Row],[Hora final]]-CONSOLIDADO_2026[[#This Row],[Hora inic]]</f>
        <v>0.29166666666666663</v>
      </c>
    </row>
    <row r="166" spans="1:19" hidden="1" x14ac:dyDescent="0.25">
      <c r="A166" t="s">
        <v>4163</v>
      </c>
      <c r="B166">
        <v>1098777544</v>
      </c>
      <c r="C166" t="s">
        <v>131</v>
      </c>
      <c r="D166" s="11" t="s">
        <v>132</v>
      </c>
      <c r="E166" s="11" t="s">
        <v>4040</v>
      </c>
      <c r="F166" s="11" t="s">
        <v>16</v>
      </c>
      <c r="G166" s="1">
        <v>46217</v>
      </c>
      <c r="H166" s="1">
        <v>46246</v>
      </c>
      <c r="I166" s="2">
        <v>0.25</v>
      </c>
      <c r="J166" s="2">
        <v>0.54166666666666663</v>
      </c>
      <c r="K166" s="11"/>
      <c r="L166" s="11" t="s">
        <v>327</v>
      </c>
      <c r="M166" s="1"/>
      <c r="N166" s="11"/>
      <c r="O166" s="11" t="s">
        <v>4042</v>
      </c>
      <c r="P166" s="1"/>
      <c r="Q166" s="1"/>
      <c r="R166" s="11"/>
      <c r="S166" s="2">
        <f>CONSOLIDADO_2026[[#This Row],[Hora final]]-CONSOLIDADO_2026[[#This Row],[Hora inic]]</f>
        <v>0.29166666666666663</v>
      </c>
    </row>
    <row r="167" spans="1:19" hidden="1" x14ac:dyDescent="0.25">
      <c r="A167" t="s">
        <v>4039</v>
      </c>
      <c r="B167">
        <v>1000445985</v>
      </c>
      <c r="C167" t="s">
        <v>4009</v>
      </c>
      <c r="D167" s="11" t="s">
        <v>55</v>
      </c>
      <c r="E167" s="11" t="s">
        <v>4047</v>
      </c>
      <c r="F167" s="11" t="s">
        <v>16</v>
      </c>
      <c r="G167" s="1">
        <v>46233</v>
      </c>
      <c r="H167" s="1">
        <v>46234</v>
      </c>
      <c r="I167" s="2"/>
      <c r="J167" s="2"/>
      <c r="K167" s="11"/>
      <c r="L167" s="11" t="s">
        <v>4041</v>
      </c>
      <c r="M167" s="1"/>
      <c r="N167" s="11"/>
      <c r="O167" s="11" t="s">
        <v>4042</v>
      </c>
      <c r="P167" s="1"/>
      <c r="Q167" s="1"/>
      <c r="R167" s="11"/>
      <c r="S167" s="2">
        <f>CONSOLIDADO_2026[[#This Row],[Hora final]]-CONSOLIDADO_2026[[#This Row],[Hora inic]]</f>
        <v>0</v>
      </c>
    </row>
    <row r="168" spans="1:19" hidden="1" x14ac:dyDescent="0.25">
      <c r="A168" t="s">
        <v>4039</v>
      </c>
      <c r="B168">
        <v>32852919</v>
      </c>
      <c r="C168" t="s">
        <v>795</v>
      </c>
      <c r="D168" s="11" t="s">
        <v>128</v>
      </c>
      <c r="E168" s="11" t="s">
        <v>4045</v>
      </c>
      <c r="F168" s="11" t="s">
        <v>16</v>
      </c>
      <c r="G168" s="1">
        <v>46234</v>
      </c>
      <c r="H168" s="1">
        <v>46234</v>
      </c>
      <c r="I168" s="2"/>
      <c r="J168" s="2"/>
      <c r="K168" s="11"/>
      <c r="L168" s="11" t="s">
        <v>4041</v>
      </c>
      <c r="M168" s="1"/>
      <c r="N168" s="11"/>
      <c r="O168" s="11" t="s">
        <v>4042</v>
      </c>
      <c r="P168" s="1"/>
      <c r="Q168" s="1"/>
      <c r="R168" s="11"/>
      <c r="S168" s="2">
        <f>CONSOLIDADO_2026[[#This Row],[Hora final]]-CONSOLIDADO_2026[[#This Row],[Hora inic]]</f>
        <v>0</v>
      </c>
    </row>
    <row r="169" spans="1:19" hidden="1" x14ac:dyDescent="0.25">
      <c r="A169" t="s">
        <v>4039</v>
      </c>
      <c r="B169">
        <v>1047476960</v>
      </c>
      <c r="C169" t="s">
        <v>3219</v>
      </c>
      <c r="D169" s="11" t="s">
        <v>492</v>
      </c>
      <c r="E169" s="11" t="s">
        <v>4045</v>
      </c>
      <c r="F169" s="11" t="s">
        <v>4074</v>
      </c>
      <c r="G169" s="1">
        <v>46234</v>
      </c>
      <c r="H169" s="1">
        <v>46237</v>
      </c>
      <c r="I169" s="2">
        <v>0.25</v>
      </c>
      <c r="J169" s="2">
        <v>0.66666666666666663</v>
      </c>
      <c r="K169" s="11"/>
      <c r="L169" s="11" t="s">
        <v>4060</v>
      </c>
      <c r="M169" s="1"/>
      <c r="N169" s="11"/>
      <c r="O169" s="11" t="s">
        <v>4042</v>
      </c>
      <c r="P169" s="1"/>
      <c r="Q169" s="1">
        <v>46240</v>
      </c>
      <c r="R169" s="11" t="s">
        <v>4075</v>
      </c>
      <c r="S169" s="2">
        <f>CONSOLIDADO_2026[[#This Row],[Hora final]]-CONSOLIDADO_2026[[#This Row],[Hora inic]]</f>
        <v>0.41666666666666663</v>
      </c>
    </row>
    <row r="170" spans="1:19" hidden="1" x14ac:dyDescent="0.25">
      <c r="A170" t="s">
        <v>4043</v>
      </c>
      <c r="B170">
        <v>1047476960</v>
      </c>
      <c r="C170" t="s">
        <v>3219</v>
      </c>
      <c r="D170" s="11" t="s">
        <v>492</v>
      </c>
      <c r="E170" s="11" t="s">
        <v>4045</v>
      </c>
      <c r="F170" s="11" t="s">
        <v>16</v>
      </c>
      <c r="G170" s="1">
        <v>46234</v>
      </c>
      <c r="H170" s="1">
        <v>46237</v>
      </c>
      <c r="I170" s="2">
        <v>0.58333333333333337</v>
      </c>
      <c r="J170" s="2">
        <v>0.875</v>
      </c>
      <c r="K170" s="11"/>
      <c r="L170" s="11" t="s">
        <v>4305</v>
      </c>
      <c r="M170" s="1"/>
      <c r="N170" s="11"/>
      <c r="O170" s="11" t="s">
        <v>21</v>
      </c>
      <c r="P170" s="1"/>
      <c r="Q170" s="1"/>
      <c r="R170" s="11"/>
      <c r="S170" s="2">
        <f>CONSOLIDADO_2026[[#This Row],[Hora final]]-CONSOLIDADO_2026[[#This Row],[Hora inic]]</f>
        <v>0.29166666666666663</v>
      </c>
    </row>
    <row r="171" spans="1:19" hidden="1" x14ac:dyDescent="0.25">
      <c r="A171" t="s">
        <v>4055</v>
      </c>
      <c r="B171">
        <v>1047476960</v>
      </c>
      <c r="C171" t="s">
        <v>3219</v>
      </c>
      <c r="D171" s="11" t="s">
        <v>492</v>
      </c>
      <c r="E171" s="11" t="s">
        <v>4045</v>
      </c>
      <c r="F171" s="11" t="s">
        <v>16</v>
      </c>
      <c r="G171" s="1">
        <v>46234</v>
      </c>
      <c r="H171" s="1">
        <v>46237</v>
      </c>
      <c r="I171" s="2"/>
      <c r="J171" s="2"/>
      <c r="K171" s="11"/>
      <c r="L171" s="11" t="s">
        <v>4041</v>
      </c>
      <c r="M171" s="1"/>
      <c r="N171" s="11"/>
      <c r="O171" s="11" t="s">
        <v>4042</v>
      </c>
      <c r="P171" s="1"/>
      <c r="Q171" s="1"/>
      <c r="R171" s="11"/>
      <c r="S171" s="2">
        <f>CONSOLIDADO_2026[[#This Row],[Hora final]]-CONSOLIDADO_2026[[#This Row],[Hora inic]]</f>
        <v>0</v>
      </c>
    </row>
    <row r="172" spans="1:19" hidden="1" x14ac:dyDescent="0.25">
      <c r="A172" t="s">
        <v>4039</v>
      </c>
      <c r="B172">
        <v>1143470207</v>
      </c>
      <c r="C172" t="s">
        <v>4076</v>
      </c>
      <c r="D172" s="11" t="s">
        <v>44</v>
      </c>
      <c r="E172" s="11" t="s">
        <v>4045</v>
      </c>
      <c r="F172" s="11" t="s">
        <v>16</v>
      </c>
      <c r="G172" s="1">
        <v>46230</v>
      </c>
      <c r="H172" s="1">
        <v>46234</v>
      </c>
      <c r="I172" s="2"/>
      <c r="J172" s="2"/>
      <c r="K172" s="11"/>
      <c r="L172" s="11" t="s">
        <v>4041</v>
      </c>
      <c r="M172" s="1"/>
      <c r="N172" s="11"/>
      <c r="O172" s="11" t="s">
        <v>4042</v>
      </c>
      <c r="P172" s="1"/>
      <c r="Q172" s="1"/>
      <c r="R172" s="11"/>
      <c r="S172" s="2">
        <f>CONSOLIDADO_2026[[#This Row],[Hora final]]-CONSOLIDADO_2026[[#This Row],[Hora inic]]</f>
        <v>0</v>
      </c>
    </row>
    <row r="173" spans="1:19" hidden="1" x14ac:dyDescent="0.25">
      <c r="A173" t="s">
        <v>4039</v>
      </c>
      <c r="B173">
        <v>1001005240</v>
      </c>
      <c r="C173" t="s">
        <v>43</v>
      </c>
      <c r="D173" s="11" t="s">
        <v>44</v>
      </c>
      <c r="E173" s="11" t="s">
        <v>4045</v>
      </c>
      <c r="F173" s="11" t="s">
        <v>16</v>
      </c>
      <c r="G173" s="1">
        <v>46234</v>
      </c>
      <c r="H173" s="1">
        <v>46240</v>
      </c>
      <c r="I173" s="2">
        <v>0.25</v>
      </c>
      <c r="J173" s="2">
        <v>0.66666666666666663</v>
      </c>
      <c r="K173" s="11" t="s">
        <v>199</v>
      </c>
      <c r="L173" s="11" t="s">
        <v>200</v>
      </c>
      <c r="M173" s="1"/>
      <c r="N173" s="11"/>
      <c r="O173" s="11" t="s">
        <v>21</v>
      </c>
      <c r="P173" s="1"/>
      <c r="Q173" s="1"/>
      <c r="R173" s="11"/>
      <c r="S173" s="2">
        <f>CONSOLIDADO_2026[[#This Row],[Hora final]]-CONSOLIDADO_2026[[#This Row],[Hora inic]]</f>
        <v>0.41666666666666663</v>
      </c>
    </row>
    <row r="174" spans="1:19" hidden="1" x14ac:dyDescent="0.25">
      <c r="A174" t="s">
        <v>4043</v>
      </c>
      <c r="B174">
        <v>1001005240</v>
      </c>
      <c r="C174" t="s">
        <v>43</v>
      </c>
      <c r="D174" s="11" t="s">
        <v>44</v>
      </c>
      <c r="E174" s="11" t="s">
        <v>4045</v>
      </c>
      <c r="F174" s="11" t="s">
        <v>16</v>
      </c>
      <c r="G174" s="1">
        <v>46234</v>
      </c>
      <c r="H174" s="1">
        <v>46240</v>
      </c>
      <c r="I174" s="2">
        <v>0.58333333333333337</v>
      </c>
      <c r="J174" s="2">
        <v>0.875</v>
      </c>
      <c r="K174" s="11" t="s">
        <v>300</v>
      </c>
      <c r="L174" s="11" t="s">
        <v>301</v>
      </c>
      <c r="M174" s="1"/>
      <c r="N174" s="11"/>
      <c r="O174" s="11" t="s">
        <v>21</v>
      </c>
      <c r="P174" s="1"/>
      <c r="Q174" s="1"/>
      <c r="R174" s="11"/>
      <c r="S174" s="2">
        <f>CONSOLIDADO_2026[[#This Row],[Hora final]]-CONSOLIDADO_2026[[#This Row],[Hora inic]]</f>
        <v>0.29166666666666663</v>
      </c>
    </row>
    <row r="175" spans="1:19" hidden="1" x14ac:dyDescent="0.25">
      <c r="A175" t="s">
        <v>4055</v>
      </c>
      <c r="B175">
        <v>1001005240</v>
      </c>
      <c r="C175" t="s">
        <v>43</v>
      </c>
      <c r="D175" s="11" t="s">
        <v>44</v>
      </c>
      <c r="E175" s="11" t="s">
        <v>4045</v>
      </c>
      <c r="F175" s="11" t="s">
        <v>16</v>
      </c>
      <c r="G175" s="1">
        <v>46234</v>
      </c>
      <c r="H175" s="1">
        <v>46240</v>
      </c>
      <c r="I175" s="2">
        <v>0.25</v>
      </c>
      <c r="J175" s="2">
        <v>0.54166666666666663</v>
      </c>
      <c r="K175" s="11" t="s">
        <v>231</v>
      </c>
      <c r="L175" s="11" t="s">
        <v>232</v>
      </c>
      <c r="M175" s="1"/>
      <c r="N175" s="11"/>
      <c r="O175" s="11" t="s">
        <v>21</v>
      </c>
      <c r="P175" s="1"/>
      <c r="Q175" s="1"/>
      <c r="R175" s="11"/>
      <c r="S175" s="2">
        <f>CONSOLIDADO_2026[[#This Row],[Hora final]]-CONSOLIDADO_2026[[#This Row],[Hora inic]]</f>
        <v>0.29166666666666663</v>
      </c>
    </row>
    <row r="176" spans="1:19" hidden="1" x14ac:dyDescent="0.25">
      <c r="A176" t="s">
        <v>4053</v>
      </c>
      <c r="B176">
        <v>1001005240</v>
      </c>
      <c r="C176" t="s">
        <v>43</v>
      </c>
      <c r="D176" s="11" t="s">
        <v>44</v>
      </c>
      <c r="E176" s="11" t="s">
        <v>4045</v>
      </c>
      <c r="F176" s="11" t="s">
        <v>16</v>
      </c>
      <c r="G176" s="1">
        <v>46234</v>
      </c>
      <c r="H176" s="1">
        <v>46240</v>
      </c>
      <c r="I176" s="2">
        <v>0.58333333333333337</v>
      </c>
      <c r="J176" s="2">
        <v>0.875</v>
      </c>
      <c r="K176" s="11" t="s">
        <v>45</v>
      </c>
      <c r="L176" s="11" t="s">
        <v>46</v>
      </c>
      <c r="M176" s="1"/>
      <c r="N176" s="11"/>
      <c r="O176" s="11" t="s">
        <v>21</v>
      </c>
      <c r="P176" s="1"/>
      <c r="Q176" s="1"/>
      <c r="R176" s="11"/>
      <c r="S176" s="2">
        <f>CONSOLIDADO_2026[[#This Row],[Hora final]]-CONSOLIDADO_2026[[#This Row],[Hora inic]]</f>
        <v>0.29166666666666663</v>
      </c>
    </row>
    <row r="177" spans="1:19" hidden="1" x14ac:dyDescent="0.25">
      <c r="A177" t="s">
        <v>4048</v>
      </c>
      <c r="B177">
        <v>1001005240</v>
      </c>
      <c r="C177" t="s">
        <v>43</v>
      </c>
      <c r="D177" s="11" t="s">
        <v>44</v>
      </c>
      <c r="E177" s="11" t="s">
        <v>4045</v>
      </c>
      <c r="F177" s="11" t="s">
        <v>16</v>
      </c>
      <c r="G177" s="1">
        <v>46234</v>
      </c>
      <c r="H177" s="1">
        <v>46240</v>
      </c>
      <c r="I177" s="2">
        <v>0.25</v>
      </c>
      <c r="J177" s="2">
        <v>0.54166666666666663</v>
      </c>
      <c r="K177" s="11" t="s">
        <v>213</v>
      </c>
      <c r="L177" s="11" t="s">
        <v>214</v>
      </c>
      <c r="M177" s="1"/>
      <c r="N177" s="11"/>
      <c r="O177" s="11" t="s">
        <v>21</v>
      </c>
      <c r="P177" s="1"/>
      <c r="Q177" s="1"/>
      <c r="R177" s="11"/>
      <c r="S177" s="2">
        <f>CONSOLIDADO_2026[[#This Row],[Hora final]]-CONSOLIDADO_2026[[#This Row],[Hora inic]]</f>
        <v>0.29166666666666663</v>
      </c>
    </row>
    <row r="178" spans="1:19" hidden="1" x14ac:dyDescent="0.25">
      <c r="A178" t="s">
        <v>4051</v>
      </c>
      <c r="B178">
        <v>1001005240</v>
      </c>
      <c r="C178" t="s">
        <v>43</v>
      </c>
      <c r="D178" s="11" t="s">
        <v>44</v>
      </c>
      <c r="E178" s="11" t="s">
        <v>4045</v>
      </c>
      <c r="F178" s="11" t="s">
        <v>16</v>
      </c>
      <c r="G178" s="1">
        <v>46234</v>
      </c>
      <c r="H178" s="1">
        <v>46240</v>
      </c>
      <c r="I178" s="2"/>
      <c r="J178" s="2"/>
      <c r="K178" s="11"/>
      <c r="L178" s="11" t="s">
        <v>4041</v>
      </c>
      <c r="M178" s="1"/>
      <c r="N178" s="11" t="s">
        <v>4042</v>
      </c>
      <c r="O178" s="11" t="s">
        <v>4042</v>
      </c>
      <c r="P178" s="1"/>
      <c r="Q178" s="1"/>
      <c r="R178" s="11"/>
      <c r="S178" s="2">
        <f>CONSOLIDADO_2026[[#This Row],[Hora final]]-CONSOLIDADO_2026[[#This Row],[Hora inic]]</f>
        <v>0</v>
      </c>
    </row>
    <row r="179" spans="1:19" hidden="1" x14ac:dyDescent="0.25">
      <c r="A179" t="s">
        <v>4039</v>
      </c>
      <c r="B179">
        <v>1020488082</v>
      </c>
      <c r="C179" t="s">
        <v>3828</v>
      </c>
      <c r="D179" s="11" t="s">
        <v>256</v>
      </c>
      <c r="E179" s="11" t="s">
        <v>4040</v>
      </c>
      <c r="F179" s="11" t="s">
        <v>16</v>
      </c>
      <c r="G179" s="1">
        <v>46234</v>
      </c>
      <c r="H179" s="1">
        <v>46235</v>
      </c>
      <c r="I179" s="2">
        <v>0.25</v>
      </c>
      <c r="J179" s="2">
        <v>0.66666666666666663</v>
      </c>
      <c r="K179" s="11"/>
      <c r="L179" s="11" t="s">
        <v>4060</v>
      </c>
      <c r="M179" s="1"/>
      <c r="N179" s="11"/>
      <c r="O179" s="11" t="s">
        <v>4042</v>
      </c>
      <c r="P179" s="1"/>
      <c r="Q179" s="1"/>
      <c r="R179" s="11"/>
      <c r="S179" s="2">
        <f>CONSOLIDADO_2026[[#This Row],[Hora final]]-CONSOLIDADO_2026[[#This Row],[Hora inic]]</f>
        <v>0.41666666666666663</v>
      </c>
    </row>
    <row r="180" spans="1:19" hidden="1" x14ac:dyDescent="0.25">
      <c r="A180" t="s">
        <v>4043</v>
      </c>
      <c r="B180">
        <v>1020488082</v>
      </c>
      <c r="C180" t="s">
        <v>3828</v>
      </c>
      <c r="D180" s="11" t="s">
        <v>256</v>
      </c>
      <c r="E180" s="11" t="s">
        <v>4040</v>
      </c>
      <c r="F180" s="11" t="s">
        <v>16</v>
      </c>
      <c r="G180" s="1">
        <v>46234</v>
      </c>
      <c r="H180" s="1">
        <v>46235</v>
      </c>
      <c r="I180" s="2"/>
      <c r="J180" s="2"/>
      <c r="K180" s="11"/>
      <c r="L180" s="11" t="s">
        <v>4041</v>
      </c>
      <c r="M180" s="1"/>
      <c r="N180" s="11"/>
      <c r="O180" s="11" t="s">
        <v>4042</v>
      </c>
      <c r="P180" s="1"/>
      <c r="Q180" s="1"/>
      <c r="R180" s="11"/>
      <c r="S180" s="2">
        <f>CONSOLIDADO_2026[[#This Row],[Hora final]]-CONSOLIDADO_2026[[#This Row],[Hora inic]]</f>
        <v>0</v>
      </c>
    </row>
    <row r="181" spans="1:19" hidden="1" x14ac:dyDescent="0.25">
      <c r="A181" t="s">
        <v>4039</v>
      </c>
      <c r="B181">
        <v>1144057947</v>
      </c>
      <c r="C181" t="s">
        <v>1618</v>
      </c>
      <c r="D181" s="11" t="s">
        <v>162</v>
      </c>
      <c r="E181" s="11" t="s">
        <v>4056</v>
      </c>
      <c r="F181" s="11" t="s">
        <v>4077</v>
      </c>
      <c r="G181" s="1">
        <v>46220</v>
      </c>
      <c r="H181" s="1">
        <v>46235</v>
      </c>
      <c r="I181" s="2"/>
      <c r="J181" s="2"/>
      <c r="K181" s="11"/>
      <c r="L181" s="11" t="s">
        <v>341</v>
      </c>
      <c r="M181" s="1"/>
      <c r="N181" s="11"/>
      <c r="O181" s="11" t="s">
        <v>4042</v>
      </c>
      <c r="P181" s="1"/>
      <c r="Q181" s="1"/>
      <c r="R181" s="11"/>
      <c r="S181" s="2">
        <f>CONSOLIDADO_2026[[#This Row],[Hora final]]-CONSOLIDADO_2026[[#This Row],[Hora inic]]</f>
        <v>0</v>
      </c>
    </row>
    <row r="182" spans="1:19" hidden="1" x14ac:dyDescent="0.25">
      <c r="A182" t="s">
        <v>4043</v>
      </c>
      <c r="B182">
        <v>1144057947</v>
      </c>
      <c r="C182" t="s">
        <v>1618</v>
      </c>
      <c r="D182" s="11" t="s">
        <v>162</v>
      </c>
      <c r="E182" s="11" t="s">
        <v>4056</v>
      </c>
      <c r="F182" s="11" t="s">
        <v>4077</v>
      </c>
      <c r="G182" s="1">
        <v>46220</v>
      </c>
      <c r="H182" s="1">
        <v>46235</v>
      </c>
      <c r="I182" s="2"/>
      <c r="J182" s="2"/>
      <c r="K182" s="11"/>
      <c r="L182" s="11" t="s">
        <v>4041</v>
      </c>
      <c r="M182" s="1"/>
      <c r="N182" s="11"/>
      <c r="O182" s="11" t="s">
        <v>4042</v>
      </c>
      <c r="P182" s="1"/>
      <c r="Q182" s="1"/>
      <c r="R182" s="11"/>
      <c r="S182" s="2">
        <f>CONSOLIDADO_2026[[#This Row],[Hora final]]-CONSOLIDADO_2026[[#This Row],[Hora inic]]</f>
        <v>0</v>
      </c>
    </row>
    <row r="183" spans="1:19" hidden="1" x14ac:dyDescent="0.25">
      <c r="A183" t="s">
        <v>4039</v>
      </c>
      <c r="B183" t="s">
        <v>228</v>
      </c>
      <c r="C183" t="s">
        <v>229</v>
      </c>
      <c r="D183" s="11" t="s">
        <v>4078</v>
      </c>
      <c r="E183" s="11" t="s">
        <v>4046</v>
      </c>
      <c r="F183" s="11" t="s">
        <v>4079</v>
      </c>
      <c r="G183" s="1">
        <v>46235</v>
      </c>
      <c r="H183" s="1">
        <v>46235</v>
      </c>
      <c r="I183" s="2">
        <v>0.25</v>
      </c>
      <c r="J183" s="2">
        <v>0.625</v>
      </c>
      <c r="K183" s="11"/>
      <c r="L183" s="11" t="s">
        <v>339</v>
      </c>
      <c r="M183" s="1"/>
      <c r="N183" s="11"/>
      <c r="O183" s="11" t="s">
        <v>4042</v>
      </c>
      <c r="P183" s="1"/>
      <c r="Q183" s="1"/>
      <c r="R183" s="11"/>
      <c r="S183" s="2">
        <f>CONSOLIDADO_2026[[#This Row],[Hora final]]-CONSOLIDADO_2026[[#This Row],[Hora inic]]</f>
        <v>0.375</v>
      </c>
    </row>
    <row r="184" spans="1:19" hidden="1" x14ac:dyDescent="0.25">
      <c r="A184" t="s">
        <v>4043</v>
      </c>
      <c r="B184" t="s">
        <v>228</v>
      </c>
      <c r="C184" t="s">
        <v>229</v>
      </c>
      <c r="D184" s="11" t="s">
        <v>4078</v>
      </c>
      <c r="E184" s="11" t="s">
        <v>4046</v>
      </c>
      <c r="F184" s="11" t="s">
        <v>4079</v>
      </c>
      <c r="G184" s="1">
        <v>46235</v>
      </c>
      <c r="H184" s="1">
        <v>46235</v>
      </c>
      <c r="I184" s="2">
        <v>0.25</v>
      </c>
      <c r="J184" s="2">
        <v>0.58333333333333337</v>
      </c>
      <c r="K184" s="11" t="s">
        <v>228</v>
      </c>
      <c r="L184" s="11" t="s">
        <v>229</v>
      </c>
      <c r="M184" s="1"/>
      <c r="N184" s="11"/>
      <c r="O184" s="11" t="s">
        <v>4042</v>
      </c>
      <c r="P184" s="1"/>
      <c r="Q184" s="1"/>
      <c r="R184" s="11"/>
      <c r="S184" s="2">
        <f>CONSOLIDADO_2026[[#This Row],[Hora final]]-CONSOLIDADO_2026[[#This Row],[Hora inic]]</f>
        <v>0.33333333333333337</v>
      </c>
    </row>
    <row r="185" spans="1:19" hidden="1" x14ac:dyDescent="0.25">
      <c r="A185" t="s">
        <v>4039</v>
      </c>
      <c r="B185">
        <v>1192769686</v>
      </c>
      <c r="C185" t="s">
        <v>1935</v>
      </c>
      <c r="D185" s="11" t="s">
        <v>256</v>
      </c>
      <c r="E185" s="11" t="s">
        <v>4040</v>
      </c>
      <c r="F185" s="11" t="s">
        <v>16</v>
      </c>
      <c r="G185" s="1">
        <v>46234</v>
      </c>
      <c r="H185" s="1">
        <v>46235</v>
      </c>
      <c r="I185" s="2">
        <v>0.25</v>
      </c>
      <c r="J185" s="2">
        <v>0.66666666666666663</v>
      </c>
      <c r="K185" s="11" t="s">
        <v>303</v>
      </c>
      <c r="L185" s="11" t="s">
        <v>304</v>
      </c>
      <c r="M185" s="1"/>
      <c r="N185" s="11"/>
      <c r="O185" s="11" t="s">
        <v>21</v>
      </c>
      <c r="P185" s="1"/>
      <c r="Q185" s="1"/>
      <c r="R185" s="11"/>
      <c r="S185" s="2">
        <f>CONSOLIDADO_2026[[#This Row],[Hora final]]-CONSOLIDADO_2026[[#This Row],[Hora inic]]</f>
        <v>0.41666666666666663</v>
      </c>
    </row>
    <row r="186" spans="1:19" hidden="1" x14ac:dyDescent="0.25">
      <c r="A186" t="s">
        <v>4043</v>
      </c>
      <c r="B186">
        <v>1192769686</v>
      </c>
      <c r="C186" t="s">
        <v>1935</v>
      </c>
      <c r="D186" s="11" t="s">
        <v>256</v>
      </c>
      <c r="E186" s="11" t="s">
        <v>4040</v>
      </c>
      <c r="F186" s="11" t="s">
        <v>16</v>
      </c>
      <c r="G186" s="1">
        <v>46234</v>
      </c>
      <c r="H186" s="1">
        <v>46235</v>
      </c>
      <c r="I186" s="2"/>
      <c r="J186" s="2"/>
      <c r="K186" s="11"/>
      <c r="L186" s="11" t="s">
        <v>4041</v>
      </c>
      <c r="M186" s="1"/>
      <c r="N186" s="11"/>
      <c r="O186" s="11" t="s">
        <v>4042</v>
      </c>
      <c r="P186" s="1"/>
      <c r="Q186" s="1"/>
      <c r="R186" s="11"/>
      <c r="S186" s="2">
        <f>CONSOLIDADO_2026[[#This Row],[Hora final]]-CONSOLIDADO_2026[[#This Row],[Hora inic]]</f>
        <v>0</v>
      </c>
    </row>
    <row r="187" spans="1:19" hidden="1" x14ac:dyDescent="0.25">
      <c r="A187" t="s">
        <v>4039</v>
      </c>
      <c r="B187">
        <v>1037651431</v>
      </c>
      <c r="C187" t="s">
        <v>539</v>
      </c>
      <c r="D187" s="11" t="s">
        <v>51</v>
      </c>
      <c r="E187" s="11" t="s">
        <v>4047</v>
      </c>
      <c r="F187" s="11" t="s">
        <v>16</v>
      </c>
      <c r="G187" s="1">
        <v>46235</v>
      </c>
      <c r="H187" s="1">
        <v>46235</v>
      </c>
      <c r="I187" s="2">
        <v>0.25</v>
      </c>
      <c r="J187" s="2">
        <v>0.66666666666666663</v>
      </c>
      <c r="K187" s="11"/>
      <c r="L187" s="11" t="s">
        <v>327</v>
      </c>
      <c r="M187" s="1"/>
      <c r="N187" s="11"/>
      <c r="O187" s="11" t="s">
        <v>4042</v>
      </c>
      <c r="P187" s="1"/>
      <c r="Q187" s="1"/>
      <c r="R187" s="11"/>
      <c r="S187" s="2">
        <f>CONSOLIDADO_2026[[#This Row],[Hora final]]-CONSOLIDADO_2026[[#This Row],[Hora inic]]</f>
        <v>0.41666666666666663</v>
      </c>
    </row>
    <row r="188" spans="1:19" hidden="1" x14ac:dyDescent="0.25">
      <c r="A188" t="s">
        <v>4043</v>
      </c>
      <c r="B188">
        <v>1037651431</v>
      </c>
      <c r="C188" t="s">
        <v>539</v>
      </c>
      <c r="D188" s="11" t="s">
        <v>51</v>
      </c>
      <c r="E188" s="11" t="s">
        <v>4047</v>
      </c>
      <c r="F188" s="11" t="s">
        <v>16</v>
      </c>
      <c r="G188" s="1">
        <v>46235</v>
      </c>
      <c r="H188" s="1">
        <v>46235</v>
      </c>
      <c r="I188" s="2"/>
      <c r="J188" s="2"/>
      <c r="K188" s="11"/>
      <c r="L188" s="11" t="s">
        <v>4041</v>
      </c>
      <c r="M188" s="1"/>
      <c r="N188" s="11"/>
      <c r="O188" s="11" t="s">
        <v>4042</v>
      </c>
      <c r="P188" s="1"/>
      <c r="Q188" s="1"/>
      <c r="R188" s="11"/>
      <c r="S188" s="2">
        <f>CONSOLIDADO_2026[[#This Row],[Hora final]]-CONSOLIDADO_2026[[#This Row],[Hora inic]]</f>
        <v>0</v>
      </c>
    </row>
    <row r="189" spans="1:19" hidden="1" x14ac:dyDescent="0.25">
      <c r="A189" t="s">
        <v>4039</v>
      </c>
      <c r="B189">
        <v>1142948064</v>
      </c>
      <c r="C189" t="s">
        <v>1567</v>
      </c>
      <c r="D189" s="11" t="s">
        <v>143</v>
      </c>
      <c r="E189" s="11" t="s">
        <v>4045</v>
      </c>
      <c r="F189" s="11" t="s">
        <v>16</v>
      </c>
      <c r="G189" s="1">
        <v>46234</v>
      </c>
      <c r="H189" s="1">
        <v>46234</v>
      </c>
      <c r="I189" s="2"/>
      <c r="J189" s="2"/>
      <c r="K189" s="11"/>
      <c r="L189" s="11" t="s">
        <v>4041</v>
      </c>
      <c r="M189" s="1"/>
      <c r="N189" s="11"/>
      <c r="O189" s="11" t="s">
        <v>4042</v>
      </c>
      <c r="P189" s="1"/>
      <c r="Q189" s="1"/>
      <c r="R189" s="11"/>
      <c r="S189" s="2">
        <f>CONSOLIDADO_2026[[#This Row],[Hora final]]-CONSOLIDADO_2026[[#This Row],[Hora inic]]</f>
        <v>0</v>
      </c>
    </row>
    <row r="190" spans="1:19" hidden="1" x14ac:dyDescent="0.25">
      <c r="A190" t="s">
        <v>4039</v>
      </c>
      <c r="B190">
        <v>1143470207</v>
      </c>
      <c r="C190" t="s">
        <v>4076</v>
      </c>
      <c r="D190" s="11" t="s">
        <v>44</v>
      </c>
      <c r="E190" s="11" t="s">
        <v>4045</v>
      </c>
      <c r="F190" s="11" t="s">
        <v>4050</v>
      </c>
      <c r="G190" s="1">
        <v>46235</v>
      </c>
      <c r="H190" s="1">
        <v>46238</v>
      </c>
      <c r="I190" s="2">
        <v>0.25</v>
      </c>
      <c r="J190" s="2">
        <v>0.66666666666666663</v>
      </c>
      <c r="K190" s="11"/>
      <c r="L190" s="11" t="s">
        <v>327</v>
      </c>
      <c r="M190" s="1"/>
      <c r="N190" s="11"/>
      <c r="O190" s="11" t="s">
        <v>4042</v>
      </c>
      <c r="P190" s="1"/>
      <c r="Q190" s="1"/>
      <c r="R190" s="11"/>
      <c r="S190" s="2">
        <f>CONSOLIDADO_2026[[#This Row],[Hora final]]-CONSOLIDADO_2026[[#This Row],[Hora inic]]</f>
        <v>0.41666666666666663</v>
      </c>
    </row>
    <row r="191" spans="1:19" hidden="1" x14ac:dyDescent="0.25">
      <c r="A191" t="s">
        <v>4043</v>
      </c>
      <c r="B191">
        <v>1143470207</v>
      </c>
      <c r="C191" t="s">
        <v>4076</v>
      </c>
      <c r="D191" s="11" t="s">
        <v>44</v>
      </c>
      <c r="E191" s="11" t="s">
        <v>4045</v>
      </c>
      <c r="F191" s="11" t="s">
        <v>4050</v>
      </c>
      <c r="G191" s="1">
        <v>46235</v>
      </c>
      <c r="H191" s="1">
        <v>46238</v>
      </c>
      <c r="I191" s="2">
        <v>0.58333333333333337</v>
      </c>
      <c r="J191" s="2">
        <v>0.875</v>
      </c>
      <c r="K191" s="11" t="s">
        <v>303</v>
      </c>
      <c r="L191" s="11" t="s">
        <v>304</v>
      </c>
      <c r="M191" s="1"/>
      <c r="N191" s="11"/>
      <c r="O191" s="11" t="s">
        <v>21</v>
      </c>
      <c r="P191" s="1"/>
      <c r="Q191" s="1"/>
      <c r="R191" s="11"/>
      <c r="S191" s="2">
        <f>CONSOLIDADO_2026[[#This Row],[Hora final]]-CONSOLIDADO_2026[[#This Row],[Hora inic]]</f>
        <v>0.29166666666666663</v>
      </c>
    </row>
    <row r="192" spans="1:19" hidden="1" x14ac:dyDescent="0.25">
      <c r="A192" t="s">
        <v>4055</v>
      </c>
      <c r="B192">
        <v>1143470207</v>
      </c>
      <c r="C192" t="s">
        <v>4076</v>
      </c>
      <c r="D192" s="11" t="s">
        <v>44</v>
      </c>
      <c r="E192" s="11" t="s">
        <v>4045</v>
      </c>
      <c r="F192" s="11" t="s">
        <v>4050</v>
      </c>
      <c r="G192" s="1">
        <v>46235</v>
      </c>
      <c r="H192" s="1">
        <v>46238</v>
      </c>
      <c r="I192" s="2">
        <v>0.25</v>
      </c>
      <c r="J192" s="2">
        <v>0.58333333333333337</v>
      </c>
      <c r="K192" s="11"/>
      <c r="L192" s="11" t="s">
        <v>327</v>
      </c>
      <c r="M192" s="1"/>
      <c r="N192" s="11"/>
      <c r="O192" s="11" t="s">
        <v>4042</v>
      </c>
      <c r="P192" s="1"/>
      <c r="Q192" s="1"/>
      <c r="R192" s="11"/>
      <c r="S192" s="2">
        <f>CONSOLIDADO_2026[[#This Row],[Hora final]]-CONSOLIDADO_2026[[#This Row],[Hora inic]]</f>
        <v>0.33333333333333337</v>
      </c>
    </row>
    <row r="193" spans="1:19" hidden="1" x14ac:dyDescent="0.25">
      <c r="A193" t="s">
        <v>4053</v>
      </c>
      <c r="B193">
        <v>1143470207</v>
      </c>
      <c r="C193" t="s">
        <v>4076</v>
      </c>
      <c r="D193" s="11" t="s">
        <v>44</v>
      </c>
      <c r="E193" s="11" t="s">
        <v>4045</v>
      </c>
      <c r="F193" s="11" t="s">
        <v>4050</v>
      </c>
      <c r="G193" s="1">
        <v>46235</v>
      </c>
      <c r="H193" s="1">
        <v>46238</v>
      </c>
      <c r="I193" s="2"/>
      <c r="J193" s="2"/>
      <c r="K193" s="11"/>
      <c r="L193" s="11" t="s">
        <v>4041</v>
      </c>
      <c r="M193" s="1"/>
      <c r="N193" s="11"/>
      <c r="O193" s="11" t="s">
        <v>4042</v>
      </c>
      <c r="P193" s="1"/>
      <c r="Q193" s="1"/>
      <c r="R193" s="11"/>
      <c r="S193" s="2">
        <f>CONSOLIDADO_2026[[#This Row],[Hora final]]-CONSOLIDADO_2026[[#This Row],[Hora inic]]</f>
        <v>0</v>
      </c>
    </row>
    <row r="194" spans="1:19" hidden="1" x14ac:dyDescent="0.25">
      <c r="A194" t="s">
        <v>4039</v>
      </c>
      <c r="B194">
        <v>1037661959</v>
      </c>
      <c r="C194" t="s">
        <v>4080</v>
      </c>
      <c r="D194" s="11" t="s">
        <v>482</v>
      </c>
      <c r="E194" s="11" t="s">
        <v>4040</v>
      </c>
      <c r="F194" s="11" t="s">
        <v>16</v>
      </c>
      <c r="G194" s="1">
        <v>46235</v>
      </c>
      <c r="H194" s="1">
        <v>46235</v>
      </c>
      <c r="I194" s="2">
        <v>0.25</v>
      </c>
      <c r="J194" s="2">
        <v>0.66666666666666663</v>
      </c>
      <c r="K194" s="11"/>
      <c r="L194" s="11" t="s">
        <v>327</v>
      </c>
      <c r="M194" s="1"/>
      <c r="N194" s="11"/>
      <c r="O194" s="11" t="s">
        <v>4042</v>
      </c>
      <c r="P194" s="1"/>
      <c r="Q194" s="1"/>
      <c r="R194" s="11"/>
      <c r="S194" s="2">
        <f>CONSOLIDADO_2026[[#This Row],[Hora final]]-CONSOLIDADO_2026[[#This Row],[Hora inic]]</f>
        <v>0.41666666666666663</v>
      </c>
    </row>
    <row r="195" spans="1:19" hidden="1" x14ac:dyDescent="0.25">
      <c r="A195" t="s">
        <v>4043</v>
      </c>
      <c r="B195">
        <v>1037661959</v>
      </c>
      <c r="C195" t="s">
        <v>4080</v>
      </c>
      <c r="D195" s="11" t="s">
        <v>482</v>
      </c>
      <c r="E195" s="11" t="s">
        <v>4040</v>
      </c>
      <c r="F195" s="11" t="s">
        <v>16</v>
      </c>
      <c r="G195" s="1">
        <v>46235</v>
      </c>
      <c r="H195" s="1">
        <v>46235</v>
      </c>
      <c r="I195" s="2"/>
      <c r="J195" s="2"/>
      <c r="K195" s="11"/>
      <c r="L195" s="11" t="s">
        <v>4041</v>
      </c>
      <c r="M195" s="1"/>
      <c r="N195" s="11"/>
      <c r="O195" s="11" t="s">
        <v>4042</v>
      </c>
      <c r="P195" s="1"/>
      <c r="Q195" s="1"/>
      <c r="R195" s="11"/>
      <c r="S195" s="2">
        <f>CONSOLIDADO_2026[[#This Row],[Hora final]]-CONSOLIDADO_2026[[#This Row],[Hora inic]]</f>
        <v>0</v>
      </c>
    </row>
    <row r="196" spans="1:19" hidden="1" x14ac:dyDescent="0.25">
      <c r="A196" t="s">
        <v>4039</v>
      </c>
      <c r="B196">
        <v>1000416383</v>
      </c>
      <c r="C196" t="s">
        <v>1245</v>
      </c>
      <c r="D196" s="11" t="s">
        <v>102</v>
      </c>
      <c r="E196" s="11" t="s">
        <v>4046</v>
      </c>
      <c r="F196" s="11" t="s">
        <v>4074</v>
      </c>
      <c r="G196" s="1">
        <v>46234</v>
      </c>
      <c r="H196" s="1">
        <v>46235</v>
      </c>
      <c r="I196" s="2">
        <v>0.25</v>
      </c>
      <c r="J196" s="2">
        <v>0.66666666666666663</v>
      </c>
      <c r="K196" s="11"/>
      <c r="L196" s="11" t="s">
        <v>4060</v>
      </c>
      <c r="M196" s="1">
        <v>46235</v>
      </c>
      <c r="N196" s="11"/>
      <c r="O196" s="11" t="s">
        <v>4042</v>
      </c>
      <c r="P196" s="1">
        <v>46234</v>
      </c>
      <c r="Q196" s="1"/>
      <c r="R196" s="11" t="s">
        <v>4081</v>
      </c>
      <c r="S196" s="2">
        <f>CONSOLIDADO_2026[[#This Row],[Hora final]]-CONSOLIDADO_2026[[#This Row],[Hora inic]]</f>
        <v>0.41666666666666663</v>
      </c>
    </row>
    <row r="197" spans="1:19" hidden="1" x14ac:dyDescent="0.25">
      <c r="A197" t="s">
        <v>4043</v>
      </c>
      <c r="B197">
        <v>1000416383</v>
      </c>
      <c r="C197" t="s">
        <v>1245</v>
      </c>
      <c r="D197" s="11" t="s">
        <v>102</v>
      </c>
      <c r="E197" s="11" t="s">
        <v>4046</v>
      </c>
      <c r="F197" s="11" t="s">
        <v>16</v>
      </c>
      <c r="G197" s="1">
        <v>46234</v>
      </c>
      <c r="H197" s="1">
        <v>46235</v>
      </c>
      <c r="I197" s="2"/>
      <c r="J197" s="2"/>
      <c r="K197" s="11"/>
      <c r="L197" s="11" t="s">
        <v>4041</v>
      </c>
      <c r="M197" s="1"/>
      <c r="N197" s="11"/>
      <c r="O197" s="11" t="s">
        <v>4042</v>
      </c>
      <c r="P197" s="1"/>
      <c r="Q197" s="1"/>
      <c r="R197" s="11"/>
      <c r="S197" s="2">
        <f>CONSOLIDADO_2026[[#This Row],[Hora final]]-CONSOLIDADO_2026[[#This Row],[Hora inic]]</f>
        <v>0</v>
      </c>
    </row>
    <row r="198" spans="1:19" hidden="1" x14ac:dyDescent="0.25">
      <c r="A198" t="s">
        <v>4039</v>
      </c>
      <c r="B198">
        <v>1193459665</v>
      </c>
      <c r="C198" t="s">
        <v>4063</v>
      </c>
      <c r="D198" s="11" t="s">
        <v>256</v>
      </c>
      <c r="E198" s="11" t="s">
        <v>4040</v>
      </c>
      <c r="F198" s="11" t="s">
        <v>4050</v>
      </c>
      <c r="G198" s="1">
        <v>46235</v>
      </c>
      <c r="H198" s="1">
        <v>46238</v>
      </c>
      <c r="I198" s="2">
        <v>0.25</v>
      </c>
      <c r="J198" s="2">
        <v>0.66666666666666663</v>
      </c>
      <c r="K198" s="11"/>
      <c r="L198" s="11" t="s">
        <v>327</v>
      </c>
      <c r="M198" s="1"/>
      <c r="N198" s="11"/>
      <c r="O198" s="11" t="s">
        <v>4042</v>
      </c>
      <c r="P198" s="1"/>
      <c r="Q198" s="1"/>
      <c r="R198" s="11"/>
      <c r="S198" s="2">
        <f>CONSOLIDADO_2026[[#This Row],[Hora final]]-CONSOLIDADO_2026[[#This Row],[Hora inic]]</f>
        <v>0.41666666666666663</v>
      </c>
    </row>
    <row r="199" spans="1:19" hidden="1" x14ac:dyDescent="0.25">
      <c r="A199" t="s">
        <v>4039</v>
      </c>
      <c r="B199">
        <v>1152446353</v>
      </c>
      <c r="C199" t="s">
        <v>205</v>
      </c>
      <c r="D199" s="11" t="s">
        <v>51</v>
      </c>
      <c r="E199" s="11" t="s">
        <v>4047</v>
      </c>
      <c r="F199" s="11" t="s">
        <v>16</v>
      </c>
      <c r="G199" s="1">
        <v>46235</v>
      </c>
      <c r="H199" s="1">
        <v>46235</v>
      </c>
      <c r="I199" s="2">
        <v>0.25</v>
      </c>
      <c r="J199" s="2">
        <v>0.66666666666666663</v>
      </c>
      <c r="K199" s="11"/>
      <c r="L199" s="11" t="s">
        <v>327</v>
      </c>
      <c r="M199" s="1"/>
      <c r="N199" s="11"/>
      <c r="O199" s="11" t="s">
        <v>4042</v>
      </c>
      <c r="P199" s="1"/>
      <c r="Q199" s="1"/>
      <c r="R199" s="11"/>
      <c r="S199" s="2">
        <f>CONSOLIDADO_2026[[#This Row],[Hora final]]-CONSOLIDADO_2026[[#This Row],[Hora inic]]</f>
        <v>0.41666666666666663</v>
      </c>
    </row>
    <row r="200" spans="1:19" hidden="1" x14ac:dyDescent="0.25">
      <c r="A200" t="s">
        <v>4039</v>
      </c>
      <c r="B200">
        <v>1067959066</v>
      </c>
      <c r="C200" t="s">
        <v>3479</v>
      </c>
      <c r="D200" s="11" t="s">
        <v>344</v>
      </c>
      <c r="E200" s="11" t="s">
        <v>4056</v>
      </c>
      <c r="F200" s="11" t="s">
        <v>4074</v>
      </c>
      <c r="G200" s="1">
        <v>46235</v>
      </c>
      <c r="H200" s="1">
        <v>46235</v>
      </c>
      <c r="I200" s="2">
        <v>0.25</v>
      </c>
      <c r="J200" s="2">
        <v>0.58333333333333337</v>
      </c>
      <c r="K200" s="11"/>
      <c r="L200" s="11" t="s">
        <v>4082</v>
      </c>
      <c r="M200" s="1">
        <v>46237</v>
      </c>
      <c r="N200" s="11"/>
      <c r="O200" s="11" t="s">
        <v>21</v>
      </c>
      <c r="P200" s="1">
        <v>46237</v>
      </c>
      <c r="Q200" s="1"/>
      <c r="R200" s="11" t="s">
        <v>4081</v>
      </c>
      <c r="S200" s="2">
        <f>CONSOLIDADO_2026[[#This Row],[Hora final]]-CONSOLIDADO_2026[[#This Row],[Hora inic]]</f>
        <v>0.33333333333333337</v>
      </c>
    </row>
    <row r="201" spans="1:19" hidden="1" x14ac:dyDescent="0.25">
      <c r="A201" t="s">
        <v>4039</v>
      </c>
      <c r="B201">
        <v>1007868236</v>
      </c>
      <c r="C201" t="s">
        <v>1509</v>
      </c>
      <c r="D201" s="11" t="s">
        <v>132</v>
      </c>
      <c r="E201" s="11" t="s">
        <v>4040</v>
      </c>
      <c r="F201" s="11" t="s">
        <v>16</v>
      </c>
      <c r="G201" s="1">
        <v>46235</v>
      </c>
      <c r="H201" s="1">
        <v>46235</v>
      </c>
      <c r="I201" s="2">
        <v>0.25</v>
      </c>
      <c r="J201" s="2">
        <v>0.66666666666666663</v>
      </c>
      <c r="K201" s="11"/>
      <c r="L201" s="11" t="s">
        <v>327</v>
      </c>
      <c r="M201" s="1"/>
      <c r="N201" s="11"/>
      <c r="O201" s="11" t="s">
        <v>4042</v>
      </c>
      <c r="P201" s="1"/>
      <c r="Q201" s="1"/>
      <c r="R201" s="11"/>
      <c r="S201" s="2">
        <f>CONSOLIDADO_2026[[#This Row],[Hora final]]-CONSOLIDADO_2026[[#This Row],[Hora inic]]</f>
        <v>0.41666666666666663</v>
      </c>
    </row>
    <row r="202" spans="1:19" hidden="1" x14ac:dyDescent="0.25">
      <c r="A202" t="s">
        <v>4043</v>
      </c>
      <c r="B202">
        <v>1007868236</v>
      </c>
      <c r="C202" t="s">
        <v>1509</v>
      </c>
      <c r="D202" s="11" t="s">
        <v>132</v>
      </c>
      <c r="E202" s="11" t="s">
        <v>4040</v>
      </c>
      <c r="F202" s="11" t="s">
        <v>16</v>
      </c>
      <c r="G202" s="1">
        <v>46235</v>
      </c>
      <c r="H202" s="1">
        <v>46235</v>
      </c>
      <c r="I202" s="2"/>
      <c r="J202" s="2"/>
      <c r="K202" s="11"/>
      <c r="L202" s="11" t="s">
        <v>4041</v>
      </c>
      <c r="M202" s="1"/>
      <c r="N202" s="11"/>
      <c r="O202" s="11" t="s">
        <v>4042</v>
      </c>
      <c r="P202" s="1"/>
      <c r="Q202" s="1"/>
      <c r="R202" s="11"/>
      <c r="S202" s="2">
        <f>CONSOLIDADO_2026[[#This Row],[Hora final]]-CONSOLIDADO_2026[[#This Row],[Hora inic]]</f>
        <v>0</v>
      </c>
    </row>
    <row r="203" spans="1:19" hidden="1" x14ac:dyDescent="0.25">
      <c r="A203" t="s">
        <v>4039</v>
      </c>
      <c r="B203">
        <v>1037668071</v>
      </c>
      <c r="C203" t="s">
        <v>1761</v>
      </c>
      <c r="D203" s="11" t="s">
        <v>55</v>
      </c>
      <c r="E203" s="11" t="s">
        <v>4047</v>
      </c>
      <c r="F203" s="11" t="s">
        <v>4074</v>
      </c>
      <c r="G203" s="1">
        <v>46235</v>
      </c>
      <c r="H203" s="1">
        <v>46235</v>
      </c>
      <c r="I203" s="2"/>
      <c r="J203" s="2"/>
      <c r="K203" s="11"/>
      <c r="L203" s="11" t="s">
        <v>4083</v>
      </c>
      <c r="M203" s="1">
        <v>46235</v>
      </c>
      <c r="N203" s="11"/>
      <c r="O203" s="11" t="s">
        <v>4042</v>
      </c>
      <c r="P203" s="1"/>
      <c r="Q203" s="1"/>
      <c r="R203" s="11" t="s">
        <v>4081</v>
      </c>
      <c r="S203" s="2">
        <f>CONSOLIDADO_2026[[#This Row],[Hora final]]-CONSOLIDADO_2026[[#This Row],[Hora inic]]</f>
        <v>0</v>
      </c>
    </row>
    <row r="204" spans="1:19" hidden="1" x14ac:dyDescent="0.25">
      <c r="A204" t="s">
        <v>4043</v>
      </c>
      <c r="B204">
        <v>1037668071</v>
      </c>
      <c r="C204" t="s">
        <v>1761</v>
      </c>
      <c r="D204" s="11" t="s">
        <v>55</v>
      </c>
      <c r="E204" s="11" t="s">
        <v>4047</v>
      </c>
      <c r="F204" s="11" t="s">
        <v>4074</v>
      </c>
      <c r="G204" s="1">
        <v>46235</v>
      </c>
      <c r="H204" s="1">
        <v>46235</v>
      </c>
      <c r="I204" s="2">
        <v>0.58333333333333337</v>
      </c>
      <c r="J204" s="2">
        <v>0.875</v>
      </c>
      <c r="K204" s="11"/>
      <c r="L204" s="11" t="s">
        <v>4060</v>
      </c>
      <c r="M204" s="1">
        <v>46235</v>
      </c>
      <c r="N204" s="11"/>
      <c r="O204" s="11" t="s">
        <v>4042</v>
      </c>
      <c r="P204" s="1">
        <v>46234</v>
      </c>
      <c r="Q204" s="1"/>
      <c r="R204" s="11" t="s">
        <v>4081</v>
      </c>
      <c r="S204" s="2">
        <f>CONSOLIDADO_2026[[#This Row],[Hora final]]-CONSOLIDADO_2026[[#This Row],[Hora inic]]</f>
        <v>0.29166666666666663</v>
      </c>
    </row>
    <row r="205" spans="1:19" hidden="1" x14ac:dyDescent="0.25">
      <c r="A205" t="s">
        <v>4039</v>
      </c>
      <c r="B205">
        <v>43271257</v>
      </c>
      <c r="C205" t="s">
        <v>1302</v>
      </c>
      <c r="D205" s="11" t="s">
        <v>15</v>
      </c>
      <c r="E205" s="11" t="s">
        <v>4046</v>
      </c>
      <c r="F205" s="11" t="s">
        <v>4074</v>
      </c>
      <c r="G205" s="1">
        <v>46235</v>
      </c>
      <c r="H205" s="1">
        <v>46235</v>
      </c>
      <c r="I205" s="2">
        <v>0.25</v>
      </c>
      <c r="J205" s="2">
        <v>0.66666666666666663</v>
      </c>
      <c r="K205" s="11"/>
      <c r="L205" s="11" t="s">
        <v>4060</v>
      </c>
      <c r="M205" s="1">
        <v>46235</v>
      </c>
      <c r="N205" s="11"/>
      <c r="O205" s="11" t="s">
        <v>4042</v>
      </c>
      <c r="P205" s="1">
        <v>46245</v>
      </c>
      <c r="Q205" s="1"/>
      <c r="R205" s="11" t="s">
        <v>4081</v>
      </c>
      <c r="S205" s="2">
        <f>CONSOLIDADO_2026[[#This Row],[Hora final]]-CONSOLIDADO_2026[[#This Row],[Hora inic]]</f>
        <v>0.41666666666666663</v>
      </c>
    </row>
    <row r="206" spans="1:19" hidden="1" x14ac:dyDescent="0.25">
      <c r="A206" t="s">
        <v>4043</v>
      </c>
      <c r="B206">
        <v>43271257</v>
      </c>
      <c r="C206" t="s">
        <v>1302</v>
      </c>
      <c r="D206" s="11" t="s">
        <v>15</v>
      </c>
      <c r="E206" s="11" t="s">
        <v>4046</v>
      </c>
      <c r="F206" s="11" t="s">
        <v>4074</v>
      </c>
      <c r="G206" s="1">
        <v>46235</v>
      </c>
      <c r="H206" s="1">
        <v>46235</v>
      </c>
      <c r="I206" s="2">
        <v>0.25</v>
      </c>
      <c r="J206" s="2">
        <v>0.54166666666666663</v>
      </c>
      <c r="K206" s="11"/>
      <c r="L206" s="11" t="s">
        <v>4041</v>
      </c>
      <c r="M206" s="1">
        <v>46235</v>
      </c>
      <c r="N206" s="11"/>
      <c r="O206" s="11" t="s">
        <v>4042</v>
      </c>
      <c r="P206" s="1">
        <v>46245</v>
      </c>
      <c r="Q206" s="1"/>
      <c r="R206" s="11" t="s">
        <v>4081</v>
      </c>
      <c r="S206" s="2">
        <f>CONSOLIDADO_2026[[#This Row],[Hora final]]-CONSOLIDADO_2026[[#This Row],[Hora inic]]</f>
        <v>0.29166666666666663</v>
      </c>
    </row>
    <row r="207" spans="1:19" hidden="1" x14ac:dyDescent="0.25">
      <c r="A207" t="s">
        <v>4039</v>
      </c>
      <c r="B207">
        <v>1046668203</v>
      </c>
      <c r="C207" t="s">
        <v>2690</v>
      </c>
      <c r="D207" s="11" t="s">
        <v>128</v>
      </c>
      <c r="E207" s="11" t="s">
        <v>4045</v>
      </c>
      <c r="F207" s="11" t="s">
        <v>16</v>
      </c>
      <c r="G207" s="1">
        <v>46235</v>
      </c>
      <c r="H207" s="1">
        <v>46235</v>
      </c>
      <c r="I207" s="2">
        <v>0.25</v>
      </c>
      <c r="J207" s="2">
        <v>0.66666666666666663</v>
      </c>
      <c r="K207" s="11"/>
      <c r="L207" s="11" t="s">
        <v>4060</v>
      </c>
      <c r="M207" s="1"/>
      <c r="N207" s="11"/>
      <c r="O207" s="11" t="s">
        <v>4042</v>
      </c>
      <c r="P207" s="1"/>
      <c r="Q207" s="1"/>
      <c r="R207" s="11"/>
      <c r="S207" s="2">
        <f>CONSOLIDADO_2026[[#This Row],[Hora final]]-CONSOLIDADO_2026[[#This Row],[Hora inic]]</f>
        <v>0.41666666666666663</v>
      </c>
    </row>
    <row r="208" spans="1:19" hidden="1" x14ac:dyDescent="0.25">
      <c r="A208" t="s">
        <v>4043</v>
      </c>
      <c r="B208">
        <v>1046668203</v>
      </c>
      <c r="C208" t="s">
        <v>2690</v>
      </c>
      <c r="D208" s="11" t="s">
        <v>128</v>
      </c>
      <c r="E208" s="11" t="s">
        <v>4045</v>
      </c>
      <c r="F208" s="11" t="s">
        <v>16</v>
      </c>
      <c r="G208" s="1">
        <v>46235</v>
      </c>
      <c r="H208" s="1">
        <v>46235</v>
      </c>
      <c r="I208" s="2"/>
      <c r="J208" s="2"/>
      <c r="K208" s="11"/>
      <c r="L208" s="11" t="s">
        <v>4041</v>
      </c>
      <c r="M208" s="1"/>
      <c r="N208" s="11"/>
      <c r="O208" s="11" t="s">
        <v>4042</v>
      </c>
      <c r="P208" s="1"/>
      <c r="Q208" s="1"/>
      <c r="R208" s="11"/>
      <c r="S208" s="2">
        <f>CONSOLIDADO_2026[[#This Row],[Hora final]]-CONSOLIDADO_2026[[#This Row],[Hora inic]]</f>
        <v>0</v>
      </c>
    </row>
    <row r="209" spans="1:19" hidden="1" x14ac:dyDescent="0.25">
      <c r="A209" t="s">
        <v>4039</v>
      </c>
      <c r="B209">
        <v>42827780</v>
      </c>
      <c r="C209" t="s">
        <v>2499</v>
      </c>
      <c r="D209" s="11" t="s">
        <v>245</v>
      </c>
      <c r="E209" s="11" t="s">
        <v>4040</v>
      </c>
      <c r="F209" s="11" t="s">
        <v>4074</v>
      </c>
      <c r="G209" s="1">
        <v>46235</v>
      </c>
      <c r="H209" s="1">
        <v>46235</v>
      </c>
      <c r="I209" s="2">
        <v>0.29166666666666669</v>
      </c>
      <c r="J209" s="2">
        <v>0.66666666666666663</v>
      </c>
      <c r="K209" s="11"/>
      <c r="L209" s="11" t="s">
        <v>4060</v>
      </c>
      <c r="M209" s="1">
        <v>46235</v>
      </c>
      <c r="N209" s="11"/>
      <c r="O209" s="11" t="s">
        <v>4042</v>
      </c>
      <c r="P209" s="1">
        <v>46235</v>
      </c>
      <c r="Q209" s="1"/>
      <c r="R209" s="11" t="s">
        <v>4081</v>
      </c>
      <c r="S209" s="2">
        <f>CONSOLIDADO_2026[[#This Row],[Hora final]]-CONSOLIDADO_2026[[#This Row],[Hora inic]]</f>
        <v>0.37499999999999994</v>
      </c>
    </row>
    <row r="210" spans="1:19" hidden="1" x14ac:dyDescent="0.25">
      <c r="A210" t="s">
        <v>4043</v>
      </c>
      <c r="B210">
        <v>42827780</v>
      </c>
      <c r="C210" t="s">
        <v>2499</v>
      </c>
      <c r="D210" s="11" t="s">
        <v>245</v>
      </c>
      <c r="E210" s="11" t="s">
        <v>4040</v>
      </c>
      <c r="F210" s="11" t="s">
        <v>16</v>
      </c>
      <c r="G210" s="1">
        <v>46235</v>
      </c>
      <c r="H210" s="1">
        <v>46235</v>
      </c>
      <c r="I210" s="2"/>
      <c r="J210" s="2"/>
      <c r="K210" s="11"/>
      <c r="L210" s="11" t="s">
        <v>4041</v>
      </c>
      <c r="M210" s="1"/>
      <c r="N210" s="11"/>
      <c r="O210" s="11" t="s">
        <v>4042</v>
      </c>
      <c r="P210" s="1"/>
      <c r="Q210" s="1"/>
      <c r="R210" s="11"/>
      <c r="S210" s="2">
        <f>CONSOLIDADO_2026[[#This Row],[Hora final]]-CONSOLIDADO_2026[[#This Row],[Hora inic]]</f>
        <v>0</v>
      </c>
    </row>
    <row r="211" spans="1:19" hidden="1" x14ac:dyDescent="0.25">
      <c r="A211" t="s">
        <v>4039</v>
      </c>
      <c r="B211">
        <v>1045017347</v>
      </c>
      <c r="C211" t="s">
        <v>1284</v>
      </c>
      <c r="D211" s="11" t="s">
        <v>256</v>
      </c>
      <c r="E211" s="11" t="s">
        <v>4047</v>
      </c>
      <c r="F211" s="11" t="s">
        <v>4074</v>
      </c>
      <c r="G211" s="1">
        <v>46235</v>
      </c>
      <c r="H211" s="1">
        <v>46235</v>
      </c>
      <c r="I211" s="2">
        <v>0.25</v>
      </c>
      <c r="J211" s="2">
        <v>0.66666666666666663</v>
      </c>
      <c r="K211" s="11"/>
      <c r="L211" s="11" t="s">
        <v>4060</v>
      </c>
      <c r="M211" s="1">
        <v>46235</v>
      </c>
      <c r="N211" s="11"/>
      <c r="O211" s="11" t="s">
        <v>4042</v>
      </c>
      <c r="P211" s="1">
        <v>46235</v>
      </c>
      <c r="Q211" s="1"/>
      <c r="R211" s="11" t="s">
        <v>4081</v>
      </c>
      <c r="S211" s="2">
        <f>CONSOLIDADO_2026[[#This Row],[Hora final]]-CONSOLIDADO_2026[[#This Row],[Hora inic]]</f>
        <v>0.41666666666666663</v>
      </c>
    </row>
    <row r="212" spans="1:19" hidden="1" x14ac:dyDescent="0.25">
      <c r="A212" t="s">
        <v>4043</v>
      </c>
      <c r="B212">
        <v>1045017347</v>
      </c>
      <c r="C212" t="s">
        <v>1284</v>
      </c>
      <c r="D212" s="11" t="s">
        <v>256</v>
      </c>
      <c r="E212" s="11" t="s">
        <v>4040</v>
      </c>
      <c r="F212" s="11" t="s">
        <v>16</v>
      </c>
      <c r="G212" s="1">
        <v>46235</v>
      </c>
      <c r="H212" s="1">
        <v>46235</v>
      </c>
      <c r="I212" s="2">
        <v>0.54166666666666663</v>
      </c>
      <c r="J212" s="2">
        <v>0.875</v>
      </c>
      <c r="K212" s="11"/>
      <c r="L212" s="11" t="s">
        <v>4041</v>
      </c>
      <c r="M212" s="1"/>
      <c r="N212" s="11"/>
      <c r="O212" s="11" t="s">
        <v>4042</v>
      </c>
      <c r="P212" s="1"/>
      <c r="Q212" s="1"/>
      <c r="R212" s="11"/>
      <c r="S212" s="2">
        <f>CONSOLIDADO_2026[[#This Row],[Hora final]]-CONSOLIDADO_2026[[#This Row],[Hora inic]]</f>
        <v>0.33333333333333337</v>
      </c>
    </row>
    <row r="213" spans="1:19" hidden="1" x14ac:dyDescent="0.25">
      <c r="A213" t="s">
        <v>4039</v>
      </c>
      <c r="B213">
        <v>1037642818</v>
      </c>
      <c r="C213" t="s">
        <v>3692</v>
      </c>
      <c r="D213" s="11" t="s">
        <v>28</v>
      </c>
      <c r="E213" s="11" t="s">
        <v>4046</v>
      </c>
      <c r="F213" s="11" t="s">
        <v>4074</v>
      </c>
      <c r="G213" s="1">
        <v>46235</v>
      </c>
      <c r="H213" s="1"/>
      <c r="I213" s="2"/>
      <c r="J213" s="2"/>
      <c r="K213" s="11"/>
      <c r="L213" s="11" t="s">
        <v>4083</v>
      </c>
      <c r="M213" s="1"/>
      <c r="N213" s="11"/>
      <c r="O213" s="11" t="s">
        <v>4042</v>
      </c>
      <c r="P213" s="1"/>
      <c r="Q213" s="1">
        <v>46245</v>
      </c>
      <c r="R213" s="11" t="s">
        <v>4075</v>
      </c>
      <c r="S213" s="2">
        <f>CONSOLIDADO_2026[[#This Row],[Hora final]]-CONSOLIDADO_2026[[#This Row],[Hora inic]]</f>
        <v>0</v>
      </c>
    </row>
    <row r="214" spans="1:19" hidden="1" x14ac:dyDescent="0.25">
      <c r="A214" t="s">
        <v>4043</v>
      </c>
      <c r="B214">
        <v>1037642818</v>
      </c>
      <c r="C214" t="s">
        <v>3692</v>
      </c>
      <c r="D214" s="11" t="s">
        <v>28</v>
      </c>
      <c r="E214" s="11" t="s">
        <v>4046</v>
      </c>
      <c r="F214" s="11" t="s">
        <v>4074</v>
      </c>
      <c r="G214" s="1">
        <v>46235</v>
      </c>
      <c r="H214" s="1"/>
      <c r="I214" s="2">
        <v>0.25</v>
      </c>
      <c r="J214" s="2">
        <v>0.58333333333333337</v>
      </c>
      <c r="K214" s="11"/>
      <c r="L214" s="11" t="s">
        <v>4060</v>
      </c>
      <c r="M214" s="1"/>
      <c r="N214" s="11"/>
      <c r="O214" s="11" t="s">
        <v>4042</v>
      </c>
      <c r="P214" s="1"/>
      <c r="Q214" s="1">
        <v>46245</v>
      </c>
      <c r="R214" s="11" t="s">
        <v>4075</v>
      </c>
      <c r="S214" s="2">
        <f>CONSOLIDADO_2026[[#This Row],[Hora final]]-CONSOLIDADO_2026[[#This Row],[Hora inic]]</f>
        <v>0.33333333333333337</v>
      </c>
    </row>
    <row r="215" spans="1:19" hidden="1" x14ac:dyDescent="0.25">
      <c r="A215" t="s">
        <v>4055</v>
      </c>
      <c r="B215">
        <v>1037642818</v>
      </c>
      <c r="C215" t="s">
        <v>3692</v>
      </c>
      <c r="D215" s="11" t="s">
        <v>28</v>
      </c>
      <c r="E215" s="11" t="s">
        <v>4046</v>
      </c>
      <c r="F215" s="11" t="s">
        <v>4074</v>
      </c>
      <c r="G215" s="1">
        <v>46235</v>
      </c>
      <c r="H215" s="1"/>
      <c r="I215" s="2">
        <v>0.25</v>
      </c>
      <c r="J215" s="2">
        <v>0.58333333333333337</v>
      </c>
      <c r="K215" s="11"/>
      <c r="L215" s="11" t="s">
        <v>4084</v>
      </c>
      <c r="M215" s="1"/>
      <c r="N215" s="11"/>
      <c r="O215" s="11" t="s">
        <v>4042</v>
      </c>
      <c r="P215" s="1"/>
      <c r="Q215" s="1"/>
      <c r="R215" s="11" t="s">
        <v>4085</v>
      </c>
      <c r="S215" s="2">
        <f>CONSOLIDADO_2026[[#This Row],[Hora final]]-CONSOLIDADO_2026[[#This Row],[Hora inic]]</f>
        <v>0.33333333333333337</v>
      </c>
    </row>
    <row r="216" spans="1:19" hidden="1" x14ac:dyDescent="0.25">
      <c r="A216" t="s">
        <v>4039</v>
      </c>
      <c r="B216">
        <v>1035442917</v>
      </c>
      <c r="C216" t="s">
        <v>2781</v>
      </c>
      <c r="D216" s="11" t="s">
        <v>245</v>
      </c>
      <c r="E216" s="11" t="s">
        <v>4040</v>
      </c>
      <c r="F216" s="11" t="s">
        <v>4074</v>
      </c>
      <c r="G216" s="1">
        <v>46235</v>
      </c>
      <c r="H216" s="1"/>
      <c r="I216" s="2">
        <v>0.25</v>
      </c>
      <c r="J216" s="2">
        <v>0.66666666666666663</v>
      </c>
      <c r="K216" s="11"/>
      <c r="L216" s="11" t="s">
        <v>4060</v>
      </c>
      <c r="M216" s="1"/>
      <c r="N216" s="11"/>
      <c r="O216" s="11" t="s">
        <v>4042</v>
      </c>
      <c r="P216" s="1"/>
      <c r="Q216" s="1">
        <v>46245</v>
      </c>
      <c r="R216" s="11" t="s">
        <v>4075</v>
      </c>
      <c r="S216" s="2">
        <f>CONSOLIDADO_2026[[#This Row],[Hora final]]-CONSOLIDADO_2026[[#This Row],[Hora inic]]</f>
        <v>0.41666666666666663</v>
      </c>
    </row>
    <row r="217" spans="1:19" hidden="1" x14ac:dyDescent="0.25">
      <c r="A217" t="s">
        <v>4043</v>
      </c>
      <c r="B217">
        <v>1035442917</v>
      </c>
      <c r="C217" t="s">
        <v>2781</v>
      </c>
      <c r="D217" s="11" t="s">
        <v>245</v>
      </c>
      <c r="E217" s="11" t="s">
        <v>4040</v>
      </c>
      <c r="F217" s="11" t="s">
        <v>4074</v>
      </c>
      <c r="G217" s="1">
        <v>46235</v>
      </c>
      <c r="H217" s="1"/>
      <c r="I217" s="2">
        <v>0.25</v>
      </c>
      <c r="J217" s="2">
        <v>0.54166666666666663</v>
      </c>
      <c r="K217" s="11"/>
      <c r="L217" s="11" t="s">
        <v>4086</v>
      </c>
      <c r="M217" s="1"/>
      <c r="N217" s="11"/>
      <c r="O217" s="11" t="s">
        <v>21</v>
      </c>
      <c r="P217" s="1"/>
      <c r="Q217" s="1">
        <v>46245</v>
      </c>
      <c r="R217" s="11" t="s">
        <v>4075</v>
      </c>
      <c r="S217" s="2">
        <f>CONSOLIDADO_2026[[#This Row],[Hora final]]-CONSOLIDADO_2026[[#This Row],[Hora inic]]</f>
        <v>0.29166666666666663</v>
      </c>
    </row>
    <row r="218" spans="1:19" hidden="1" x14ac:dyDescent="0.25">
      <c r="A218" t="s">
        <v>4055</v>
      </c>
      <c r="B218">
        <v>1035442917</v>
      </c>
      <c r="C218" t="s">
        <v>2781</v>
      </c>
      <c r="D218" s="11" t="s">
        <v>245</v>
      </c>
      <c r="E218" s="11" t="s">
        <v>4040</v>
      </c>
      <c r="F218" s="11" t="s">
        <v>4074</v>
      </c>
      <c r="G218" s="1">
        <v>46235</v>
      </c>
      <c r="H218" s="1"/>
      <c r="I218" s="2"/>
      <c r="J218" s="2"/>
      <c r="K218" s="11"/>
      <c r="L218" s="11" t="s">
        <v>4084</v>
      </c>
      <c r="M218" s="1"/>
      <c r="N218" s="11"/>
      <c r="O218" s="11" t="s">
        <v>4042</v>
      </c>
      <c r="P218" s="1"/>
      <c r="Q218" s="1"/>
      <c r="R218" s="11" t="s">
        <v>4085</v>
      </c>
      <c r="S218" s="2">
        <f>CONSOLIDADO_2026[[#This Row],[Hora final]]-CONSOLIDADO_2026[[#This Row],[Hora inic]]</f>
        <v>0</v>
      </c>
    </row>
    <row r="219" spans="1:19" hidden="1" x14ac:dyDescent="0.25">
      <c r="A219" t="s">
        <v>4039</v>
      </c>
      <c r="B219">
        <v>1000640650</v>
      </c>
      <c r="C219" t="s">
        <v>3761</v>
      </c>
      <c r="D219" s="11" t="s">
        <v>64</v>
      </c>
      <c r="E219" s="11" t="s">
        <v>4046</v>
      </c>
      <c r="F219" s="11" t="s">
        <v>4074</v>
      </c>
      <c r="G219" s="1">
        <v>46235</v>
      </c>
      <c r="H219" s="1">
        <v>46235</v>
      </c>
      <c r="I219" s="2">
        <v>0.25</v>
      </c>
      <c r="J219" s="2">
        <v>0.66666666666666663</v>
      </c>
      <c r="K219" s="11"/>
      <c r="L219" s="11" t="s">
        <v>4060</v>
      </c>
      <c r="M219" s="1">
        <v>46235</v>
      </c>
      <c r="N219" s="11"/>
      <c r="O219" s="11" t="s">
        <v>4042</v>
      </c>
      <c r="P219" s="1">
        <v>46235</v>
      </c>
      <c r="Q219" s="1"/>
      <c r="R219" s="11" t="s">
        <v>4081</v>
      </c>
      <c r="S219" s="2">
        <f>CONSOLIDADO_2026[[#This Row],[Hora final]]-CONSOLIDADO_2026[[#This Row],[Hora inic]]</f>
        <v>0.41666666666666663</v>
      </c>
    </row>
    <row r="220" spans="1:19" hidden="1" x14ac:dyDescent="0.25">
      <c r="A220" t="s">
        <v>4043</v>
      </c>
      <c r="B220">
        <v>1000640650</v>
      </c>
      <c r="C220" t="s">
        <v>3761</v>
      </c>
      <c r="D220" s="11" t="s">
        <v>64</v>
      </c>
      <c r="E220" s="11" t="s">
        <v>4046</v>
      </c>
      <c r="F220" s="11" t="s">
        <v>16</v>
      </c>
      <c r="G220" s="1">
        <v>46235</v>
      </c>
      <c r="H220" s="1">
        <v>46235</v>
      </c>
      <c r="I220" s="2"/>
      <c r="J220" s="2"/>
      <c r="K220" s="11"/>
      <c r="L220" s="11" t="s">
        <v>4041</v>
      </c>
      <c r="M220" s="1"/>
      <c r="N220" s="11"/>
      <c r="O220" s="11" t="s">
        <v>4042</v>
      </c>
      <c r="P220" s="1"/>
      <c r="Q220" s="1"/>
      <c r="R220" s="11"/>
      <c r="S220" s="2">
        <f>CONSOLIDADO_2026[[#This Row],[Hora final]]-CONSOLIDADO_2026[[#This Row],[Hora inic]]</f>
        <v>0</v>
      </c>
    </row>
    <row r="221" spans="1:19" hidden="1" x14ac:dyDescent="0.25">
      <c r="A221" t="s">
        <v>4039</v>
      </c>
      <c r="B221">
        <v>1233189573</v>
      </c>
      <c r="C221" t="s">
        <v>2854</v>
      </c>
      <c r="D221" s="11" t="s">
        <v>59</v>
      </c>
      <c r="E221" s="11" t="s">
        <v>4047</v>
      </c>
      <c r="F221" s="11" t="s">
        <v>4074</v>
      </c>
      <c r="G221" s="1">
        <v>46235</v>
      </c>
      <c r="H221" s="1">
        <v>46235</v>
      </c>
      <c r="I221" s="2">
        <v>0.25</v>
      </c>
      <c r="J221" s="2">
        <v>0.66666666666666663</v>
      </c>
      <c r="K221" s="11"/>
      <c r="L221" s="11" t="s">
        <v>4060</v>
      </c>
      <c r="M221" s="1">
        <v>46235</v>
      </c>
      <c r="N221" s="11"/>
      <c r="O221" s="11" t="s">
        <v>4042</v>
      </c>
      <c r="P221" s="1">
        <v>46235</v>
      </c>
      <c r="Q221" s="1"/>
      <c r="R221" s="11" t="s">
        <v>4081</v>
      </c>
      <c r="S221" s="2">
        <f>CONSOLIDADO_2026[[#This Row],[Hora final]]-CONSOLIDADO_2026[[#This Row],[Hora inic]]</f>
        <v>0.41666666666666663</v>
      </c>
    </row>
    <row r="222" spans="1:19" hidden="1" x14ac:dyDescent="0.25">
      <c r="A222" t="s">
        <v>4043</v>
      </c>
      <c r="B222">
        <v>1233189573</v>
      </c>
      <c r="C222" t="s">
        <v>2854</v>
      </c>
      <c r="D222" s="11" t="s">
        <v>59</v>
      </c>
      <c r="E222" s="11" t="s">
        <v>4047</v>
      </c>
      <c r="F222" s="11" t="s">
        <v>16</v>
      </c>
      <c r="G222" s="1">
        <v>46235</v>
      </c>
      <c r="H222" s="1">
        <v>46235</v>
      </c>
      <c r="I222" s="2"/>
      <c r="J222" s="2"/>
      <c r="K222" s="11"/>
      <c r="L222" s="11" t="s">
        <v>4041</v>
      </c>
      <c r="M222" s="1"/>
      <c r="N222" s="11"/>
      <c r="O222" s="11" t="s">
        <v>4042</v>
      </c>
      <c r="P222" s="1"/>
      <c r="Q222" s="1"/>
      <c r="R222" s="11"/>
      <c r="S222" s="2">
        <f>CONSOLIDADO_2026[[#This Row],[Hora final]]-CONSOLIDADO_2026[[#This Row],[Hora inic]]</f>
        <v>0</v>
      </c>
    </row>
    <row r="223" spans="1:19" hidden="1" x14ac:dyDescent="0.25">
      <c r="A223" t="s">
        <v>4039</v>
      </c>
      <c r="B223">
        <v>1088348251</v>
      </c>
      <c r="C223" t="s">
        <v>2164</v>
      </c>
      <c r="D223" s="11" t="s">
        <v>59</v>
      </c>
      <c r="E223" s="11" t="s">
        <v>4047</v>
      </c>
      <c r="F223" s="11" t="s">
        <v>4074</v>
      </c>
      <c r="G223" s="1">
        <v>46235</v>
      </c>
      <c r="H223" s="1">
        <v>46235</v>
      </c>
      <c r="I223" s="2">
        <v>0.25</v>
      </c>
      <c r="J223" s="2">
        <v>0.66666666666666663</v>
      </c>
      <c r="K223" s="11"/>
      <c r="L223" s="11" t="s">
        <v>4060</v>
      </c>
      <c r="M223" s="1">
        <v>46235</v>
      </c>
      <c r="N223" s="11"/>
      <c r="O223" s="11" t="s">
        <v>4042</v>
      </c>
      <c r="P223" s="1">
        <v>46235</v>
      </c>
      <c r="Q223" s="1"/>
      <c r="R223" s="11" t="s">
        <v>4081</v>
      </c>
      <c r="S223" s="2">
        <f>CONSOLIDADO_2026[[#This Row],[Hora final]]-CONSOLIDADO_2026[[#This Row],[Hora inic]]</f>
        <v>0.41666666666666663</v>
      </c>
    </row>
    <row r="224" spans="1:19" hidden="1" x14ac:dyDescent="0.25">
      <c r="A224" t="s">
        <v>4043</v>
      </c>
      <c r="B224">
        <v>1088348251</v>
      </c>
      <c r="C224" t="s">
        <v>2164</v>
      </c>
      <c r="D224" s="11" t="s">
        <v>59</v>
      </c>
      <c r="E224" s="11" t="s">
        <v>4047</v>
      </c>
      <c r="F224" s="11" t="s">
        <v>4074</v>
      </c>
      <c r="G224" s="1">
        <v>46235</v>
      </c>
      <c r="H224" s="1">
        <v>46235</v>
      </c>
      <c r="I224" s="2">
        <v>0.54166666666666663</v>
      </c>
      <c r="J224" s="2">
        <v>0.83333333333333337</v>
      </c>
      <c r="K224" s="11"/>
      <c r="L224" s="11" t="s">
        <v>4060</v>
      </c>
      <c r="M224" s="1">
        <v>46235</v>
      </c>
      <c r="N224" s="11"/>
      <c r="O224" s="11" t="s">
        <v>4042</v>
      </c>
      <c r="P224" s="1">
        <v>46235</v>
      </c>
      <c r="Q224" s="1"/>
      <c r="R224" s="11" t="s">
        <v>4081</v>
      </c>
      <c r="S224" s="2">
        <f>CONSOLIDADO_2026[[#This Row],[Hora final]]-CONSOLIDADO_2026[[#This Row],[Hora inic]]</f>
        <v>0.29166666666666674</v>
      </c>
    </row>
    <row r="225" spans="1:19" hidden="1" x14ac:dyDescent="0.25">
      <c r="A225" t="s">
        <v>4039</v>
      </c>
      <c r="B225">
        <v>1193584838</v>
      </c>
      <c r="C225" t="s">
        <v>3000</v>
      </c>
      <c r="D225" s="11" t="s">
        <v>59</v>
      </c>
      <c r="E225" s="11" t="s">
        <v>4047</v>
      </c>
      <c r="F225" s="11" t="s">
        <v>4074</v>
      </c>
      <c r="G225" s="1">
        <v>46235</v>
      </c>
      <c r="H225" s="1">
        <v>46235</v>
      </c>
      <c r="I225" s="2">
        <v>0.25</v>
      </c>
      <c r="J225" s="2">
        <v>0.66666666666666663</v>
      </c>
      <c r="K225" s="11"/>
      <c r="L225" s="11" t="s">
        <v>4060</v>
      </c>
      <c r="M225" s="1">
        <v>46235</v>
      </c>
      <c r="N225" s="11"/>
      <c r="O225" s="11" t="s">
        <v>4042</v>
      </c>
      <c r="P225" s="1">
        <v>46245</v>
      </c>
      <c r="Q225" s="1"/>
      <c r="R225" s="11" t="s">
        <v>4081</v>
      </c>
      <c r="S225" s="2">
        <f>CONSOLIDADO_2026[[#This Row],[Hora final]]-CONSOLIDADO_2026[[#This Row],[Hora inic]]</f>
        <v>0.41666666666666663</v>
      </c>
    </row>
    <row r="226" spans="1:19" hidden="1" x14ac:dyDescent="0.25">
      <c r="A226" t="s">
        <v>4043</v>
      </c>
      <c r="B226">
        <v>1193584838</v>
      </c>
      <c r="C226" t="s">
        <v>3000</v>
      </c>
      <c r="D226" s="11" t="s">
        <v>492</v>
      </c>
      <c r="E226" s="11" t="s">
        <v>4045</v>
      </c>
      <c r="F226" s="11" t="s">
        <v>16</v>
      </c>
      <c r="G226" s="1">
        <v>46235</v>
      </c>
      <c r="H226" s="1">
        <v>46235</v>
      </c>
      <c r="I226" s="2">
        <v>0.58333333333333337</v>
      </c>
      <c r="J226" s="2">
        <v>0.79166666666666663</v>
      </c>
      <c r="K226" s="11"/>
      <c r="L226" s="11" t="s">
        <v>4041</v>
      </c>
      <c r="M226" s="1"/>
      <c r="N226" s="11"/>
      <c r="O226" s="11" t="s">
        <v>4042</v>
      </c>
      <c r="P226" s="1"/>
      <c r="Q226" s="1"/>
      <c r="R226" s="11"/>
      <c r="S226" s="2">
        <f>CONSOLIDADO_2026[[#This Row],[Hora final]]-CONSOLIDADO_2026[[#This Row],[Hora inic]]</f>
        <v>0.20833333333333326</v>
      </c>
    </row>
    <row r="227" spans="1:19" hidden="1" x14ac:dyDescent="0.25">
      <c r="A227" t="s">
        <v>4039</v>
      </c>
      <c r="B227">
        <v>1017241980</v>
      </c>
      <c r="C227" t="s">
        <v>1447</v>
      </c>
      <c r="D227" s="11" t="s">
        <v>55</v>
      </c>
      <c r="E227" s="11" t="s">
        <v>4047</v>
      </c>
      <c r="F227" s="11" t="s">
        <v>4087</v>
      </c>
      <c r="G227" s="1">
        <v>46235</v>
      </c>
      <c r="H227" s="1">
        <v>46235</v>
      </c>
      <c r="I227" s="2">
        <v>0.25</v>
      </c>
      <c r="J227" s="2">
        <v>0.66666666666666663</v>
      </c>
      <c r="K227" s="11"/>
      <c r="L227" s="11" t="s">
        <v>327</v>
      </c>
      <c r="M227" s="1"/>
      <c r="N227" s="11"/>
      <c r="O227" s="11" t="s">
        <v>4042</v>
      </c>
      <c r="P227" s="1"/>
      <c r="Q227" s="1"/>
      <c r="R227" s="11"/>
      <c r="S227" s="2">
        <f>CONSOLIDADO_2026[[#This Row],[Hora final]]-CONSOLIDADO_2026[[#This Row],[Hora inic]]</f>
        <v>0.41666666666666663</v>
      </c>
    </row>
    <row r="228" spans="1:19" hidden="1" x14ac:dyDescent="0.25">
      <c r="A228" t="s">
        <v>4043</v>
      </c>
      <c r="B228">
        <v>1017241980</v>
      </c>
      <c r="C228" t="s">
        <v>1447</v>
      </c>
      <c r="D228" s="11" t="s">
        <v>55</v>
      </c>
      <c r="E228" s="11" t="s">
        <v>4047</v>
      </c>
      <c r="F228" s="11" t="s">
        <v>4087</v>
      </c>
      <c r="G228" s="1">
        <v>46235</v>
      </c>
      <c r="H228" s="1">
        <v>46235</v>
      </c>
      <c r="I228" s="2"/>
      <c r="J228" s="2"/>
      <c r="K228" s="11"/>
      <c r="L228" s="11" t="s">
        <v>4041</v>
      </c>
      <c r="M228" s="1"/>
      <c r="N228" s="11"/>
      <c r="O228" s="11" t="s">
        <v>4042</v>
      </c>
      <c r="P228" s="1"/>
      <c r="Q228" s="1"/>
      <c r="R228" s="11"/>
      <c r="S228" s="2">
        <f>CONSOLIDADO_2026[[#This Row],[Hora final]]-CONSOLIDADO_2026[[#This Row],[Hora inic]]</f>
        <v>0</v>
      </c>
    </row>
    <row r="229" spans="1:19" hidden="1" x14ac:dyDescent="0.25">
      <c r="A229" t="s">
        <v>4039</v>
      </c>
      <c r="B229">
        <v>1036962119</v>
      </c>
      <c r="C229" t="s">
        <v>2001</v>
      </c>
      <c r="D229" s="11" t="s">
        <v>128</v>
      </c>
      <c r="E229" s="11" t="s">
        <v>4045</v>
      </c>
      <c r="F229" s="11" t="s">
        <v>4074</v>
      </c>
      <c r="G229" s="1">
        <v>46235</v>
      </c>
      <c r="H229" s="1">
        <v>46235</v>
      </c>
      <c r="I229" s="2">
        <v>0.25</v>
      </c>
      <c r="J229" s="2">
        <v>0.66666666666666663</v>
      </c>
      <c r="K229" s="11"/>
      <c r="L229" s="11" t="s">
        <v>4060</v>
      </c>
      <c r="M229" s="1">
        <v>46238</v>
      </c>
      <c r="N229" s="11"/>
      <c r="O229" s="11" t="s">
        <v>4042</v>
      </c>
      <c r="P229" s="1">
        <v>46238</v>
      </c>
      <c r="Q229" s="1"/>
      <c r="R229" s="11" t="s">
        <v>4081</v>
      </c>
      <c r="S229" s="2">
        <f>CONSOLIDADO_2026[[#This Row],[Hora final]]-CONSOLIDADO_2026[[#This Row],[Hora inic]]</f>
        <v>0.41666666666666663</v>
      </c>
    </row>
    <row r="230" spans="1:19" hidden="1" x14ac:dyDescent="0.25">
      <c r="A230" t="s">
        <v>4053</v>
      </c>
      <c r="B230">
        <v>1036962119</v>
      </c>
      <c r="C230" t="s">
        <v>2001</v>
      </c>
      <c r="D230" s="11" t="s">
        <v>128</v>
      </c>
      <c r="E230" s="11" t="s">
        <v>4045</v>
      </c>
      <c r="F230" s="11" t="s">
        <v>16</v>
      </c>
      <c r="G230" s="1">
        <v>46235</v>
      </c>
      <c r="H230" s="1">
        <v>46235</v>
      </c>
      <c r="I230" s="2"/>
      <c r="J230" s="2"/>
      <c r="K230" s="11"/>
      <c r="L230" s="11" t="s">
        <v>4041</v>
      </c>
      <c r="M230" s="1"/>
      <c r="N230" s="11"/>
      <c r="O230" s="11" t="s">
        <v>4042</v>
      </c>
      <c r="P230" s="1"/>
      <c r="Q230" s="1"/>
      <c r="R230" s="11"/>
      <c r="S230" s="2">
        <f>CONSOLIDADO_2026[[#This Row],[Hora final]]-CONSOLIDADO_2026[[#This Row],[Hora inic]]</f>
        <v>0</v>
      </c>
    </row>
    <row r="231" spans="1:19" hidden="1" x14ac:dyDescent="0.25">
      <c r="A231" t="s">
        <v>4043</v>
      </c>
      <c r="B231">
        <v>1032491944</v>
      </c>
      <c r="C231" t="s">
        <v>687</v>
      </c>
      <c r="D231" s="11" t="s">
        <v>78</v>
      </c>
      <c r="E231" s="11" t="s">
        <v>4046</v>
      </c>
      <c r="F231" s="11" t="s">
        <v>4074</v>
      </c>
      <c r="G231" s="1">
        <v>46237</v>
      </c>
      <c r="H231" s="1">
        <v>46241</v>
      </c>
      <c r="I231" s="2">
        <v>0.25</v>
      </c>
      <c r="J231" s="2">
        <v>0.58333333333333337</v>
      </c>
      <c r="K231" s="11"/>
      <c r="L231" s="11" t="s">
        <v>4088</v>
      </c>
      <c r="M231" s="1">
        <v>46237</v>
      </c>
      <c r="N231" s="11"/>
      <c r="O231" s="11" t="s">
        <v>21</v>
      </c>
      <c r="P231" s="1">
        <v>46237</v>
      </c>
      <c r="Q231" s="1"/>
      <c r="R231" s="11" t="s">
        <v>4081</v>
      </c>
      <c r="S231" s="2">
        <f>CONSOLIDADO_2026[[#This Row],[Hora final]]-CONSOLIDADO_2026[[#This Row],[Hora inic]]</f>
        <v>0.33333333333333337</v>
      </c>
    </row>
    <row r="232" spans="1:19" hidden="1" x14ac:dyDescent="0.25">
      <c r="A232" t="s">
        <v>4053</v>
      </c>
      <c r="B232">
        <v>1032491944</v>
      </c>
      <c r="C232" t="s">
        <v>77</v>
      </c>
      <c r="D232" s="11" t="s">
        <v>78</v>
      </c>
      <c r="E232" s="11" t="s">
        <v>4046</v>
      </c>
      <c r="F232" s="11" t="s">
        <v>16</v>
      </c>
      <c r="G232" s="1">
        <v>46237</v>
      </c>
      <c r="H232" s="1">
        <v>46241</v>
      </c>
      <c r="I232" s="2">
        <v>0.25</v>
      </c>
      <c r="J232" s="2">
        <v>0.58333333333333337</v>
      </c>
      <c r="K232" s="11" t="s">
        <v>222</v>
      </c>
      <c r="L232" s="11" t="s">
        <v>223</v>
      </c>
      <c r="M232" s="1"/>
      <c r="N232" s="11"/>
      <c r="O232" s="11" t="s">
        <v>21</v>
      </c>
      <c r="P232" s="1"/>
      <c r="Q232" s="1"/>
      <c r="R232" s="11"/>
      <c r="S232" s="2">
        <f>CONSOLIDADO_2026[[#This Row],[Hora final]]-CONSOLIDADO_2026[[#This Row],[Hora inic]]</f>
        <v>0.33333333333333337</v>
      </c>
    </row>
    <row r="233" spans="1:19" hidden="1" x14ac:dyDescent="0.25">
      <c r="A233" t="s">
        <v>4048</v>
      </c>
      <c r="B233">
        <v>1032491944</v>
      </c>
      <c r="C233" t="s">
        <v>77</v>
      </c>
      <c r="D233" s="11" t="s">
        <v>78</v>
      </c>
      <c r="E233" s="11" t="s">
        <v>4046</v>
      </c>
      <c r="F233" s="11" t="s">
        <v>16</v>
      </c>
      <c r="G233" s="1">
        <v>46237</v>
      </c>
      <c r="H233" s="1">
        <v>46241</v>
      </c>
      <c r="I233" s="2">
        <v>0.58333333333333337</v>
      </c>
      <c r="J233" s="2">
        <v>0.875</v>
      </c>
      <c r="K233" s="11" t="s">
        <v>148</v>
      </c>
      <c r="L233" s="11" t="s">
        <v>149</v>
      </c>
      <c r="M233" s="1"/>
      <c r="N233" s="11"/>
      <c r="O233" s="11" t="s">
        <v>21</v>
      </c>
      <c r="P233" s="1"/>
      <c r="Q233" s="1"/>
      <c r="R233" s="11"/>
      <c r="S233" s="2">
        <f>CONSOLIDADO_2026[[#This Row],[Hora final]]-CONSOLIDADO_2026[[#This Row],[Hora inic]]</f>
        <v>0.29166666666666663</v>
      </c>
    </row>
    <row r="234" spans="1:19" hidden="1" x14ac:dyDescent="0.25">
      <c r="A234" t="s">
        <v>4051</v>
      </c>
      <c r="B234">
        <v>1032491944</v>
      </c>
      <c r="C234" t="s">
        <v>77</v>
      </c>
      <c r="D234" s="11" t="s">
        <v>78</v>
      </c>
      <c r="E234" s="11" t="s">
        <v>4046</v>
      </c>
      <c r="F234" s="11" t="s">
        <v>16</v>
      </c>
      <c r="G234" s="1">
        <v>46237</v>
      </c>
      <c r="H234" s="1">
        <v>46241</v>
      </c>
      <c r="I234" s="2"/>
      <c r="J234" s="2"/>
      <c r="K234" s="11"/>
      <c r="L234" s="11" t="s">
        <v>4041</v>
      </c>
      <c r="M234" s="1"/>
      <c r="N234" s="11" t="s">
        <v>4042</v>
      </c>
      <c r="O234" s="11" t="s">
        <v>4042</v>
      </c>
      <c r="P234" s="1"/>
      <c r="Q234" s="1"/>
      <c r="R234" s="11"/>
      <c r="S234" s="2">
        <f>CONSOLIDADO_2026[[#This Row],[Hora final]]-CONSOLIDADO_2026[[#This Row],[Hora inic]]</f>
        <v>0</v>
      </c>
    </row>
    <row r="235" spans="1:19" hidden="1" x14ac:dyDescent="0.25">
      <c r="A235" t="s">
        <v>4043</v>
      </c>
      <c r="B235">
        <v>1007223463</v>
      </c>
      <c r="C235" t="s">
        <v>561</v>
      </c>
      <c r="D235" s="11" t="s">
        <v>272</v>
      </c>
      <c r="E235" s="11" t="s">
        <v>4056</v>
      </c>
      <c r="F235" s="11" t="s">
        <v>4073</v>
      </c>
      <c r="G235" s="1">
        <v>46237</v>
      </c>
      <c r="H235" s="1">
        <v>46237</v>
      </c>
      <c r="I235" s="2">
        <v>0.25</v>
      </c>
      <c r="J235" s="2">
        <v>0.58333333333333337</v>
      </c>
      <c r="K235" s="11" t="s">
        <v>560</v>
      </c>
      <c r="L235" s="11" t="s">
        <v>561</v>
      </c>
      <c r="M235" s="1"/>
      <c r="N235" s="11"/>
      <c r="O235" s="11" t="s">
        <v>4042</v>
      </c>
      <c r="P235" s="1"/>
      <c r="Q235" s="1"/>
      <c r="R235" s="11"/>
      <c r="S235" s="2">
        <f>CONSOLIDADO_2026[[#This Row],[Hora final]]-CONSOLIDADO_2026[[#This Row],[Hora inic]]</f>
        <v>0.33333333333333337</v>
      </c>
    </row>
    <row r="236" spans="1:19" hidden="1" x14ac:dyDescent="0.25">
      <c r="A236" t="s">
        <v>4043</v>
      </c>
      <c r="B236">
        <v>1037659560</v>
      </c>
      <c r="C236" t="s">
        <v>208</v>
      </c>
      <c r="D236" s="11" t="s">
        <v>28</v>
      </c>
      <c r="E236" s="11" t="s">
        <v>4046</v>
      </c>
      <c r="F236" s="11" t="s">
        <v>4074</v>
      </c>
      <c r="G236" s="1">
        <v>46235</v>
      </c>
      <c r="H236" s="1">
        <v>46240</v>
      </c>
      <c r="I236" s="2">
        <v>0.58333333333333337</v>
      </c>
      <c r="J236" s="2">
        <v>0.875</v>
      </c>
      <c r="K236" s="11"/>
      <c r="L236" s="11" t="s">
        <v>4089</v>
      </c>
      <c r="M236" s="1">
        <v>46237</v>
      </c>
      <c r="N236" s="11"/>
      <c r="O236" s="11" t="s">
        <v>21</v>
      </c>
      <c r="P236" s="1"/>
      <c r="Q236" s="1"/>
      <c r="R236" s="11" t="s">
        <v>4081</v>
      </c>
      <c r="S236" s="2">
        <f>CONSOLIDADO_2026[[#This Row],[Hora final]]-CONSOLIDADO_2026[[#This Row],[Hora inic]]</f>
        <v>0.29166666666666663</v>
      </c>
    </row>
    <row r="237" spans="1:19" hidden="1" x14ac:dyDescent="0.25">
      <c r="A237" t="s">
        <v>4053</v>
      </c>
      <c r="B237">
        <v>1037659560</v>
      </c>
      <c r="C237" t="s">
        <v>208</v>
      </c>
      <c r="D237" s="11" t="s">
        <v>28</v>
      </c>
      <c r="E237" s="11" t="s">
        <v>4046</v>
      </c>
      <c r="F237" s="11" t="s">
        <v>16</v>
      </c>
      <c r="G237" s="1">
        <v>46235</v>
      </c>
      <c r="H237" s="1">
        <v>46240</v>
      </c>
      <c r="I237" s="2">
        <v>0.54166666666666663</v>
      </c>
      <c r="J237" s="2">
        <v>0.875</v>
      </c>
      <c r="K237" s="11"/>
      <c r="L237" s="11" t="s">
        <v>327</v>
      </c>
      <c r="M237" s="1"/>
      <c r="N237" s="11"/>
      <c r="O237" s="11" t="s">
        <v>4042</v>
      </c>
      <c r="P237" s="1"/>
      <c r="Q237" s="1"/>
      <c r="R237" s="11"/>
      <c r="S237" s="2">
        <f>CONSOLIDADO_2026[[#This Row],[Hora final]]-CONSOLIDADO_2026[[#This Row],[Hora inic]]</f>
        <v>0.33333333333333337</v>
      </c>
    </row>
    <row r="238" spans="1:19" hidden="1" x14ac:dyDescent="0.25">
      <c r="A238" t="s">
        <v>4048</v>
      </c>
      <c r="B238">
        <v>1037659560</v>
      </c>
      <c r="C238" t="s">
        <v>208</v>
      </c>
      <c r="D238" s="11" t="s">
        <v>28</v>
      </c>
      <c r="E238" s="11" t="s">
        <v>4046</v>
      </c>
      <c r="F238" s="11" t="s">
        <v>16</v>
      </c>
      <c r="G238" s="1">
        <v>46235</v>
      </c>
      <c r="H238" s="1">
        <v>46240</v>
      </c>
      <c r="I238" s="2">
        <v>0.25</v>
      </c>
      <c r="J238" s="2">
        <v>0.54166666666666663</v>
      </c>
      <c r="K238" s="11" t="s">
        <v>209</v>
      </c>
      <c r="L238" s="11" t="s">
        <v>210</v>
      </c>
      <c r="M238" s="1"/>
      <c r="N238" s="11"/>
      <c r="O238" s="11" t="s">
        <v>21</v>
      </c>
      <c r="P238" s="1"/>
      <c r="Q238" s="1"/>
      <c r="R238" s="11"/>
      <c r="S238" s="2">
        <f>CONSOLIDADO_2026[[#This Row],[Hora final]]-CONSOLIDADO_2026[[#This Row],[Hora inic]]</f>
        <v>0.29166666666666663</v>
      </c>
    </row>
    <row r="239" spans="1:19" hidden="1" x14ac:dyDescent="0.25">
      <c r="A239" t="s">
        <v>4051</v>
      </c>
      <c r="B239">
        <v>1037659560</v>
      </c>
      <c r="C239" t="s">
        <v>208</v>
      </c>
      <c r="D239" s="11" t="s">
        <v>28</v>
      </c>
      <c r="E239" s="11" t="s">
        <v>4046</v>
      </c>
      <c r="F239" s="11" t="s">
        <v>16</v>
      </c>
      <c r="G239" s="1">
        <v>46235</v>
      </c>
      <c r="H239" s="1">
        <v>46240</v>
      </c>
      <c r="I239" s="2"/>
      <c r="J239" s="2"/>
      <c r="K239" s="11"/>
      <c r="L239" s="11" t="s">
        <v>4041</v>
      </c>
      <c r="M239" s="1"/>
      <c r="N239" s="11" t="s">
        <v>4042</v>
      </c>
      <c r="O239" s="11" t="s">
        <v>4042</v>
      </c>
      <c r="P239" s="1"/>
      <c r="Q239" s="1"/>
      <c r="R239" s="11"/>
      <c r="S239" s="2">
        <f>CONSOLIDADO_2026[[#This Row],[Hora final]]-CONSOLIDADO_2026[[#This Row],[Hora inic]]</f>
        <v>0</v>
      </c>
    </row>
    <row r="240" spans="1:19" hidden="1" x14ac:dyDescent="0.25">
      <c r="A240" t="s">
        <v>4043</v>
      </c>
      <c r="B240">
        <v>1001851670</v>
      </c>
      <c r="C240" t="s">
        <v>50</v>
      </c>
      <c r="D240" s="11" t="s">
        <v>51</v>
      </c>
      <c r="E240" s="11" t="s">
        <v>4047</v>
      </c>
      <c r="F240" s="11" t="s">
        <v>36</v>
      </c>
      <c r="G240" s="1">
        <v>46237</v>
      </c>
      <c r="H240" s="1">
        <v>46366</v>
      </c>
      <c r="I240" s="2">
        <v>0.25</v>
      </c>
      <c r="J240" s="2">
        <v>0.54166666666666663</v>
      </c>
      <c r="K240" s="11"/>
      <c r="L240" s="11" t="s">
        <v>327</v>
      </c>
      <c r="M240" s="1"/>
      <c r="N240" s="11"/>
      <c r="O240" s="11" t="s">
        <v>4042</v>
      </c>
      <c r="P240" s="1"/>
      <c r="Q240" s="1"/>
      <c r="R240" s="11"/>
      <c r="S240" s="2">
        <f>CONSOLIDADO_2026[[#This Row],[Hora final]]-CONSOLIDADO_2026[[#This Row],[Hora inic]]</f>
        <v>0.29166666666666663</v>
      </c>
    </row>
    <row r="241" spans="1:19" hidden="1" x14ac:dyDescent="0.25">
      <c r="A241" t="s">
        <v>4055</v>
      </c>
      <c r="B241">
        <v>1001851670</v>
      </c>
      <c r="C241" t="s">
        <v>50</v>
      </c>
      <c r="D241" s="11" t="s">
        <v>51</v>
      </c>
      <c r="E241" s="11" t="s">
        <v>4047</v>
      </c>
      <c r="F241" s="11" t="s">
        <v>36</v>
      </c>
      <c r="G241" s="1">
        <v>46237</v>
      </c>
      <c r="H241" s="1">
        <v>46366</v>
      </c>
      <c r="I241" s="2">
        <v>0.54166666666666663</v>
      </c>
      <c r="J241" s="2">
        <v>0.875</v>
      </c>
      <c r="K241" s="11" t="s">
        <v>297</v>
      </c>
      <c r="L241" s="11" t="s">
        <v>298</v>
      </c>
      <c r="M241" s="1"/>
      <c r="N241" s="11"/>
      <c r="O241" s="11" t="s">
        <v>21</v>
      </c>
      <c r="P241" s="1"/>
      <c r="Q241" s="1"/>
      <c r="R241" s="11"/>
      <c r="S241" s="2">
        <f>CONSOLIDADO_2026[[#This Row],[Hora final]]-CONSOLIDADO_2026[[#This Row],[Hora inic]]</f>
        <v>0.33333333333333337</v>
      </c>
    </row>
    <row r="242" spans="1:19" hidden="1" x14ac:dyDescent="0.25">
      <c r="A242" t="s">
        <v>4053</v>
      </c>
      <c r="B242">
        <v>1001851670</v>
      </c>
      <c r="C242" t="s">
        <v>50</v>
      </c>
      <c r="D242" s="11" t="s">
        <v>51</v>
      </c>
      <c r="E242" s="11" t="s">
        <v>4047</v>
      </c>
      <c r="F242" s="11" t="s">
        <v>36</v>
      </c>
      <c r="G242" s="1">
        <v>46237</v>
      </c>
      <c r="H242" s="1">
        <v>46366</v>
      </c>
      <c r="I242" s="2">
        <v>0.25</v>
      </c>
      <c r="J242" s="2">
        <v>0.54166666666666663</v>
      </c>
      <c r="K242" s="11" t="s">
        <v>231</v>
      </c>
      <c r="L242" s="11" t="s">
        <v>232</v>
      </c>
      <c r="M242" s="1"/>
      <c r="N242" s="11"/>
      <c r="O242" s="11" t="s">
        <v>21</v>
      </c>
      <c r="P242" s="1"/>
      <c r="Q242" s="1"/>
      <c r="R242" s="11"/>
      <c r="S242" s="2">
        <f>CONSOLIDADO_2026[[#This Row],[Hora final]]-CONSOLIDADO_2026[[#This Row],[Hora inic]]</f>
        <v>0.29166666666666663</v>
      </c>
    </row>
    <row r="243" spans="1:19" hidden="1" x14ac:dyDescent="0.25">
      <c r="A243" t="s">
        <v>4048</v>
      </c>
      <c r="B243">
        <v>1001851670</v>
      </c>
      <c r="C243" t="s">
        <v>50</v>
      </c>
      <c r="D243" s="11" t="s">
        <v>51</v>
      </c>
      <c r="E243" s="11" t="s">
        <v>4047</v>
      </c>
      <c r="F243" s="11" t="s">
        <v>36</v>
      </c>
      <c r="G243" s="1">
        <v>46237</v>
      </c>
      <c r="H243" s="1">
        <v>46366</v>
      </c>
      <c r="I243" s="2">
        <v>0.54166666666666663</v>
      </c>
      <c r="J243" s="2">
        <v>0.875</v>
      </c>
      <c r="K243" s="11" t="s">
        <v>276</v>
      </c>
      <c r="L243" s="11" t="s">
        <v>277</v>
      </c>
      <c r="M243" s="1"/>
      <c r="N243" s="11"/>
      <c r="O243" s="11" t="s">
        <v>21</v>
      </c>
      <c r="P243" s="1"/>
      <c r="Q243" s="1"/>
      <c r="R243" s="11"/>
      <c r="S243" s="2">
        <f>CONSOLIDADO_2026[[#This Row],[Hora final]]-CONSOLIDADO_2026[[#This Row],[Hora inic]]</f>
        <v>0.33333333333333337</v>
      </c>
    </row>
    <row r="244" spans="1:19" hidden="1" x14ac:dyDescent="0.25">
      <c r="A244" t="s">
        <v>4051</v>
      </c>
      <c r="B244">
        <v>1001851670</v>
      </c>
      <c r="C244" t="s">
        <v>50</v>
      </c>
      <c r="D244" s="11" t="s">
        <v>51</v>
      </c>
      <c r="E244" s="11" t="s">
        <v>4047</v>
      </c>
      <c r="F244" s="11" t="s">
        <v>36</v>
      </c>
      <c r="G244" s="1">
        <v>46237</v>
      </c>
      <c r="H244" s="1">
        <v>46366</v>
      </c>
      <c r="I244" s="2">
        <v>0.25</v>
      </c>
      <c r="J244" s="2">
        <v>0.66666666666666663</v>
      </c>
      <c r="K244" s="11" t="s">
        <v>45</v>
      </c>
      <c r="L244" s="11" t="s">
        <v>46</v>
      </c>
      <c r="M244" s="1"/>
      <c r="N244" s="11" t="s">
        <v>21</v>
      </c>
      <c r="O244" s="11" t="s">
        <v>21</v>
      </c>
      <c r="P244" s="1"/>
      <c r="Q244" s="1"/>
      <c r="R244" s="11"/>
      <c r="S244" s="2">
        <f>CONSOLIDADO_2026[[#This Row],[Hora final]]-CONSOLIDADO_2026[[#This Row],[Hora inic]]</f>
        <v>0.41666666666666663</v>
      </c>
    </row>
    <row r="245" spans="1:19" hidden="1" x14ac:dyDescent="0.25">
      <c r="A245" t="s">
        <v>4052</v>
      </c>
      <c r="B245">
        <v>1001851670</v>
      </c>
      <c r="C245" t="s">
        <v>50</v>
      </c>
      <c r="D245" s="11" t="s">
        <v>51</v>
      </c>
      <c r="E245" s="11" t="s">
        <v>4047</v>
      </c>
      <c r="F245" s="11" t="s">
        <v>36</v>
      </c>
      <c r="G245" s="1">
        <v>46237</v>
      </c>
      <c r="H245" s="1">
        <v>46366</v>
      </c>
      <c r="I245" s="2">
        <v>0.25</v>
      </c>
      <c r="J245" s="2">
        <v>0.54166666666666663</v>
      </c>
      <c r="K245" s="11"/>
      <c r="L245" s="11" t="s">
        <v>327</v>
      </c>
      <c r="M245" s="1"/>
      <c r="N245" s="11"/>
      <c r="O245" s="11" t="s">
        <v>4042</v>
      </c>
      <c r="P245" s="1"/>
      <c r="Q245" s="1"/>
      <c r="R245" s="11"/>
      <c r="S245" s="2">
        <f>CONSOLIDADO_2026[[#This Row],[Hora final]]-CONSOLIDADO_2026[[#This Row],[Hora inic]]</f>
        <v>0.29166666666666663</v>
      </c>
    </row>
    <row r="246" spans="1:19" hidden="1" x14ac:dyDescent="0.25">
      <c r="A246" t="s">
        <v>4043</v>
      </c>
      <c r="B246">
        <v>1140851921</v>
      </c>
      <c r="C246" t="s">
        <v>4061</v>
      </c>
      <c r="D246" s="11" t="s">
        <v>256</v>
      </c>
      <c r="E246" s="11" t="s">
        <v>4040</v>
      </c>
      <c r="F246" s="11" t="s">
        <v>4090</v>
      </c>
      <c r="G246" s="1">
        <v>46237</v>
      </c>
      <c r="H246" s="1">
        <v>46239</v>
      </c>
      <c r="I246" s="2">
        <v>0.58333333333333337</v>
      </c>
      <c r="J246" s="2">
        <v>0.875</v>
      </c>
      <c r="K246" s="11" t="s">
        <v>1407</v>
      </c>
      <c r="L246" s="11" t="s">
        <v>1408</v>
      </c>
      <c r="M246" s="1"/>
      <c r="N246" s="11"/>
      <c r="O246" s="11" t="s">
        <v>21</v>
      </c>
      <c r="P246" s="1"/>
      <c r="Q246" s="1"/>
      <c r="R246" s="11"/>
      <c r="S246" s="2">
        <f>CONSOLIDADO_2026[[#This Row],[Hora final]]-CONSOLIDADO_2026[[#This Row],[Hora inic]]</f>
        <v>0.29166666666666663</v>
      </c>
    </row>
    <row r="247" spans="1:19" hidden="1" x14ac:dyDescent="0.25">
      <c r="A247" t="s">
        <v>4053</v>
      </c>
      <c r="B247">
        <v>1140851921</v>
      </c>
      <c r="C247" t="s">
        <v>4061</v>
      </c>
      <c r="D247" s="11" t="s">
        <v>256</v>
      </c>
      <c r="E247" s="11" t="s">
        <v>4040</v>
      </c>
      <c r="F247" s="11" t="s">
        <v>4091</v>
      </c>
      <c r="G247" s="1">
        <v>46237</v>
      </c>
      <c r="H247" s="1">
        <v>46239</v>
      </c>
      <c r="I247" s="2">
        <v>0.25</v>
      </c>
      <c r="J247" s="2">
        <v>0.58333333333333337</v>
      </c>
      <c r="K247" s="11" t="s">
        <v>1407</v>
      </c>
      <c r="L247" s="11" t="s">
        <v>1408</v>
      </c>
      <c r="M247" s="1"/>
      <c r="N247" s="11"/>
      <c r="O247" s="11" t="s">
        <v>21</v>
      </c>
      <c r="P247" s="1"/>
      <c r="Q247" s="1"/>
      <c r="R247" s="11"/>
      <c r="S247" s="2">
        <f>CONSOLIDADO_2026[[#This Row],[Hora final]]-CONSOLIDADO_2026[[#This Row],[Hora inic]]</f>
        <v>0.33333333333333337</v>
      </c>
    </row>
    <row r="248" spans="1:19" hidden="1" x14ac:dyDescent="0.25">
      <c r="A248" t="s">
        <v>4048</v>
      </c>
      <c r="B248">
        <v>1140851921</v>
      </c>
      <c r="C248" t="s">
        <v>4061</v>
      </c>
      <c r="D248" s="11" t="s">
        <v>256</v>
      </c>
      <c r="E248" s="11" t="s">
        <v>4040</v>
      </c>
      <c r="F248" s="11" t="s">
        <v>4091</v>
      </c>
      <c r="G248" s="1">
        <v>46237</v>
      </c>
      <c r="H248" s="1">
        <v>46239</v>
      </c>
      <c r="I248" s="2"/>
      <c r="J248" s="2"/>
      <c r="K248" s="11"/>
      <c r="L248" s="11" t="s">
        <v>4041</v>
      </c>
      <c r="M248" s="1"/>
      <c r="N248" s="11"/>
      <c r="O248" s="11" t="s">
        <v>4042</v>
      </c>
      <c r="P248" s="1"/>
      <c r="Q248" s="1"/>
      <c r="R248" s="11"/>
      <c r="S248" s="2">
        <f>CONSOLIDADO_2026[[#This Row],[Hora final]]-CONSOLIDADO_2026[[#This Row],[Hora inic]]</f>
        <v>0</v>
      </c>
    </row>
    <row r="249" spans="1:19" hidden="1" x14ac:dyDescent="0.25">
      <c r="A249" t="s">
        <v>4043</v>
      </c>
      <c r="B249">
        <v>1102808787</v>
      </c>
      <c r="C249" t="s">
        <v>135</v>
      </c>
      <c r="D249" s="11" t="s">
        <v>39</v>
      </c>
      <c r="E249" s="11" t="s">
        <v>4046</v>
      </c>
      <c r="F249" s="11" t="s">
        <v>4074</v>
      </c>
      <c r="G249" s="1">
        <v>46237</v>
      </c>
      <c r="H249" s="1">
        <v>46276</v>
      </c>
      <c r="I249" s="2">
        <v>0.25</v>
      </c>
      <c r="J249" s="2">
        <v>0.54166666666666663</v>
      </c>
      <c r="K249" s="11"/>
      <c r="L249" s="11" t="s">
        <v>4060</v>
      </c>
      <c r="M249" s="1">
        <v>46237</v>
      </c>
      <c r="N249" s="11"/>
      <c r="O249" s="11" t="s">
        <v>4042</v>
      </c>
      <c r="P249" s="1">
        <v>46235</v>
      </c>
      <c r="Q249" s="1"/>
      <c r="R249" s="11" t="s">
        <v>4081</v>
      </c>
      <c r="S249" s="2">
        <f>CONSOLIDADO_2026[[#This Row],[Hora final]]-CONSOLIDADO_2026[[#This Row],[Hora inic]]</f>
        <v>0.29166666666666663</v>
      </c>
    </row>
    <row r="250" spans="1:19" hidden="1" x14ac:dyDescent="0.25">
      <c r="A250" t="s">
        <v>4053</v>
      </c>
      <c r="B250">
        <v>1102808787</v>
      </c>
      <c r="C250" t="s">
        <v>135</v>
      </c>
      <c r="D250" s="11" t="s">
        <v>39</v>
      </c>
      <c r="E250" s="11" t="s">
        <v>4046</v>
      </c>
      <c r="F250" s="11" t="s">
        <v>16</v>
      </c>
      <c r="G250" s="1">
        <v>46237</v>
      </c>
      <c r="H250" s="1">
        <v>46276</v>
      </c>
      <c r="I250" s="2">
        <v>0.54166666666666663</v>
      </c>
      <c r="J250" s="2">
        <v>0.875</v>
      </c>
      <c r="K250" s="11"/>
      <c r="L250" s="11" t="s">
        <v>327</v>
      </c>
      <c r="M250" s="1"/>
      <c r="N250" s="11"/>
      <c r="O250" s="11" t="s">
        <v>4042</v>
      </c>
      <c r="P250" s="1"/>
      <c r="Q250" s="1"/>
      <c r="R250" s="11"/>
      <c r="S250" s="2">
        <f>CONSOLIDADO_2026[[#This Row],[Hora final]]-CONSOLIDADO_2026[[#This Row],[Hora inic]]</f>
        <v>0.33333333333333337</v>
      </c>
    </row>
    <row r="251" spans="1:19" hidden="1" x14ac:dyDescent="0.25">
      <c r="A251" t="s">
        <v>4048</v>
      </c>
      <c r="B251">
        <v>1102808787</v>
      </c>
      <c r="C251" t="s">
        <v>135</v>
      </c>
      <c r="D251" s="11" t="s">
        <v>39</v>
      </c>
      <c r="E251" s="11" t="s">
        <v>4046</v>
      </c>
      <c r="F251" s="11" t="s">
        <v>16</v>
      </c>
      <c r="G251" s="1">
        <v>46237</v>
      </c>
      <c r="H251" s="1">
        <v>46276</v>
      </c>
      <c r="I251" s="2">
        <v>0.54166666666666663</v>
      </c>
      <c r="J251" s="2">
        <v>0.875</v>
      </c>
      <c r="K251" s="11"/>
      <c r="L251" s="11" t="s">
        <v>327</v>
      </c>
      <c r="M251" s="1"/>
      <c r="N251" s="11"/>
      <c r="O251" s="11" t="s">
        <v>4042</v>
      </c>
      <c r="P251" s="1"/>
      <c r="Q251" s="1"/>
      <c r="R251" s="11"/>
      <c r="S251" s="2">
        <f>CONSOLIDADO_2026[[#This Row],[Hora final]]-CONSOLIDADO_2026[[#This Row],[Hora inic]]</f>
        <v>0.33333333333333337</v>
      </c>
    </row>
    <row r="252" spans="1:19" hidden="1" x14ac:dyDescent="0.25">
      <c r="A252" t="s">
        <v>4051</v>
      </c>
      <c r="B252">
        <v>1102808787</v>
      </c>
      <c r="C252" t="s">
        <v>135</v>
      </c>
      <c r="D252" s="11" t="s">
        <v>39</v>
      </c>
      <c r="E252" s="11" t="s">
        <v>4046</v>
      </c>
      <c r="F252" s="11" t="s">
        <v>16</v>
      </c>
      <c r="G252" s="1">
        <v>46237</v>
      </c>
      <c r="H252" s="1">
        <v>46276</v>
      </c>
      <c r="I252" s="2"/>
      <c r="J252" s="2"/>
      <c r="K252" s="11"/>
      <c r="L252" s="11" t="s">
        <v>341</v>
      </c>
      <c r="M252" s="1"/>
      <c r="N252" s="11" t="s">
        <v>21</v>
      </c>
      <c r="O252" s="11" t="s">
        <v>21</v>
      </c>
      <c r="P252" s="1"/>
      <c r="Q252" s="1"/>
      <c r="R252" s="11"/>
      <c r="S252" s="2">
        <f>CONSOLIDADO_2026[[#This Row],[Hora final]]-CONSOLIDADO_2026[[#This Row],[Hora inic]]</f>
        <v>0</v>
      </c>
    </row>
    <row r="253" spans="1:19" hidden="1" x14ac:dyDescent="0.25">
      <c r="A253" t="s">
        <v>4052</v>
      </c>
      <c r="B253">
        <v>1102808787</v>
      </c>
      <c r="C253" t="s">
        <v>135</v>
      </c>
      <c r="D253" s="11" t="s">
        <v>39</v>
      </c>
      <c r="E253" s="11" t="s">
        <v>4046</v>
      </c>
      <c r="F253" s="11" t="s">
        <v>16</v>
      </c>
      <c r="G253" s="1">
        <v>46237</v>
      </c>
      <c r="H253" s="1">
        <v>46276</v>
      </c>
      <c r="I253" s="2">
        <v>0.25</v>
      </c>
      <c r="J253" s="2">
        <v>0.54166666666666663</v>
      </c>
      <c r="K253" s="11"/>
      <c r="L253" s="11" t="s">
        <v>327</v>
      </c>
      <c r="M253" s="1"/>
      <c r="N253" s="11"/>
      <c r="O253" s="11" t="s">
        <v>4042</v>
      </c>
      <c r="P253" s="1"/>
      <c r="Q253" s="1"/>
      <c r="R253" s="11"/>
      <c r="S253" s="2">
        <f>CONSOLIDADO_2026[[#This Row],[Hora final]]-CONSOLIDADO_2026[[#This Row],[Hora inic]]</f>
        <v>0.29166666666666663</v>
      </c>
    </row>
    <row r="254" spans="1:19" hidden="1" x14ac:dyDescent="0.25">
      <c r="A254" t="s">
        <v>4163</v>
      </c>
      <c r="B254">
        <v>1102808787</v>
      </c>
      <c r="C254" t="s">
        <v>135</v>
      </c>
      <c r="D254" s="11" t="s">
        <v>39</v>
      </c>
      <c r="E254" s="11" t="s">
        <v>4046</v>
      </c>
      <c r="F254" s="11" t="s">
        <v>16</v>
      </c>
      <c r="G254" s="1">
        <v>46237</v>
      </c>
      <c r="H254" s="1">
        <v>46276</v>
      </c>
      <c r="I254" s="2"/>
      <c r="J254" s="2"/>
      <c r="K254" s="11"/>
      <c r="L254" s="11" t="s">
        <v>327</v>
      </c>
      <c r="M254" s="1"/>
      <c r="N254" s="11"/>
      <c r="O254" s="11" t="s">
        <v>4042</v>
      </c>
      <c r="P254" s="1"/>
      <c r="Q254" s="1"/>
      <c r="R254" s="11"/>
      <c r="S254" s="2">
        <f>CONSOLIDADO_2026[[#This Row],[Hora final]]-CONSOLIDADO_2026[[#This Row],[Hora inic]]</f>
        <v>0</v>
      </c>
    </row>
    <row r="255" spans="1:19" hidden="1" x14ac:dyDescent="0.25">
      <c r="A255" t="s">
        <v>4043</v>
      </c>
      <c r="B255">
        <v>1152208665</v>
      </c>
      <c r="C255" t="s">
        <v>1157</v>
      </c>
      <c r="D255" s="11" t="s">
        <v>344</v>
      </c>
      <c r="E255" s="11" t="s">
        <v>4056</v>
      </c>
      <c r="F255" s="11" t="s">
        <v>16</v>
      </c>
      <c r="G255" s="1">
        <v>46237</v>
      </c>
      <c r="H255" s="1">
        <v>46238</v>
      </c>
      <c r="I255" s="2">
        <v>0.25</v>
      </c>
      <c r="J255" s="2">
        <v>0.58333333333333337</v>
      </c>
      <c r="K255" s="11"/>
      <c r="L255" s="11" t="s">
        <v>4092</v>
      </c>
      <c r="M255" s="1"/>
      <c r="N255" s="11"/>
      <c r="O255" s="11" t="s">
        <v>21</v>
      </c>
      <c r="P255" s="1"/>
      <c r="Q255" s="1"/>
      <c r="R255" s="11"/>
      <c r="S255" s="2">
        <f>CONSOLIDADO_2026[[#This Row],[Hora final]]-CONSOLIDADO_2026[[#This Row],[Hora inic]]</f>
        <v>0.33333333333333337</v>
      </c>
    </row>
    <row r="256" spans="1:19" hidden="1" x14ac:dyDescent="0.25">
      <c r="A256" t="s">
        <v>4055</v>
      </c>
      <c r="B256">
        <v>1152208665</v>
      </c>
      <c r="C256" t="s">
        <v>1157</v>
      </c>
      <c r="D256" s="11" t="s">
        <v>344</v>
      </c>
      <c r="E256" s="11" t="s">
        <v>4056</v>
      </c>
      <c r="F256" s="11" t="s">
        <v>16</v>
      </c>
      <c r="G256" s="1">
        <v>46237</v>
      </c>
      <c r="H256" s="1">
        <v>46238</v>
      </c>
      <c r="I256" s="2">
        <v>0.25</v>
      </c>
      <c r="J256" s="2">
        <v>0.58333333333333337</v>
      </c>
      <c r="K256" s="11" t="s">
        <v>184</v>
      </c>
      <c r="L256" s="11" t="s">
        <v>185</v>
      </c>
      <c r="M256" s="1"/>
      <c r="N256" s="11"/>
      <c r="O256" s="11" t="s">
        <v>21</v>
      </c>
      <c r="P256" s="1"/>
      <c r="Q256" s="1"/>
      <c r="R256" s="11"/>
      <c r="S256" s="2">
        <f>CONSOLIDADO_2026[[#This Row],[Hora final]]-CONSOLIDADO_2026[[#This Row],[Hora inic]]</f>
        <v>0.33333333333333337</v>
      </c>
    </row>
    <row r="257" spans="1:19" hidden="1" x14ac:dyDescent="0.25">
      <c r="A257" t="s">
        <v>4053</v>
      </c>
      <c r="B257">
        <v>1152208665</v>
      </c>
      <c r="C257" t="s">
        <v>1157</v>
      </c>
      <c r="D257" s="11" t="s">
        <v>344</v>
      </c>
      <c r="E257" s="11" t="s">
        <v>4056</v>
      </c>
      <c r="F257" s="11" t="s">
        <v>16</v>
      </c>
      <c r="G257" s="1">
        <v>46237</v>
      </c>
      <c r="H257" s="1">
        <v>46238</v>
      </c>
      <c r="I257" s="2"/>
      <c r="J257" s="2"/>
      <c r="K257" s="11"/>
      <c r="L257" s="11" t="s">
        <v>4041</v>
      </c>
      <c r="M257" s="1"/>
      <c r="N257" s="11"/>
      <c r="O257" s="11" t="s">
        <v>4042</v>
      </c>
      <c r="P257" s="1"/>
      <c r="Q257" s="1"/>
      <c r="R257" s="11"/>
      <c r="S257" s="2">
        <f>CONSOLIDADO_2026[[#This Row],[Hora final]]-CONSOLIDADO_2026[[#This Row],[Hora inic]]</f>
        <v>0</v>
      </c>
    </row>
    <row r="258" spans="1:19" hidden="1" x14ac:dyDescent="0.25">
      <c r="A258" t="s">
        <v>4043</v>
      </c>
      <c r="B258">
        <v>1004841623</v>
      </c>
      <c r="C258" t="s">
        <v>4093</v>
      </c>
      <c r="D258" s="11" t="s">
        <v>492</v>
      </c>
      <c r="E258" s="11" t="s">
        <v>4045</v>
      </c>
      <c r="F258" s="11" t="s">
        <v>4074</v>
      </c>
      <c r="G258" s="1">
        <v>46237</v>
      </c>
      <c r="H258" s="1">
        <v>46241</v>
      </c>
      <c r="I258" s="2">
        <v>0.25</v>
      </c>
      <c r="J258" s="2">
        <v>0.58333333333333337</v>
      </c>
      <c r="K258" s="11"/>
      <c r="L258" s="11" t="s">
        <v>4060</v>
      </c>
      <c r="M258" s="1">
        <v>46240</v>
      </c>
      <c r="N258" s="11"/>
      <c r="O258" s="11" t="s">
        <v>4042</v>
      </c>
      <c r="P258" s="1">
        <v>46237</v>
      </c>
      <c r="Q258" s="1"/>
      <c r="R258" s="11" t="s">
        <v>4094</v>
      </c>
      <c r="S258" s="2">
        <f>CONSOLIDADO_2026[[#This Row],[Hora final]]-CONSOLIDADO_2026[[#This Row],[Hora inic]]</f>
        <v>0.33333333333333337</v>
      </c>
    </row>
    <row r="259" spans="1:19" hidden="1" x14ac:dyDescent="0.25">
      <c r="A259" t="s">
        <v>4055</v>
      </c>
      <c r="B259">
        <v>1004841623</v>
      </c>
      <c r="C259" t="s">
        <v>4093</v>
      </c>
      <c r="D259" s="11" t="s">
        <v>492</v>
      </c>
      <c r="E259" s="11" t="s">
        <v>4045</v>
      </c>
      <c r="F259" s="11" t="s">
        <v>4050</v>
      </c>
      <c r="G259" s="1">
        <v>46237</v>
      </c>
      <c r="H259" s="1">
        <v>46241</v>
      </c>
      <c r="I259" s="2">
        <v>0.25</v>
      </c>
      <c r="J259" s="2">
        <v>0.54166666666666663</v>
      </c>
      <c r="K259" s="11" t="s">
        <v>209</v>
      </c>
      <c r="L259" s="11" t="s">
        <v>210</v>
      </c>
      <c r="M259" s="1"/>
      <c r="N259" s="11"/>
      <c r="O259" s="11" t="s">
        <v>21</v>
      </c>
      <c r="P259" s="1"/>
      <c r="Q259" s="1"/>
      <c r="R259" s="11"/>
      <c r="S259" s="2">
        <f>CONSOLIDADO_2026[[#This Row],[Hora final]]-CONSOLIDADO_2026[[#This Row],[Hora inic]]</f>
        <v>0.29166666666666663</v>
      </c>
    </row>
    <row r="260" spans="1:19" hidden="1" x14ac:dyDescent="0.25">
      <c r="A260" t="s">
        <v>4053</v>
      </c>
      <c r="B260">
        <v>1004841623</v>
      </c>
      <c r="C260" t="s">
        <v>4095</v>
      </c>
      <c r="D260" s="11" t="s">
        <v>492</v>
      </c>
      <c r="E260" s="11" t="s">
        <v>4045</v>
      </c>
      <c r="F260" s="11" t="s">
        <v>4050</v>
      </c>
      <c r="G260" s="1">
        <v>46237</v>
      </c>
      <c r="H260" s="1">
        <v>46241</v>
      </c>
      <c r="I260" s="2">
        <v>0.54166666666666663</v>
      </c>
      <c r="J260" s="2">
        <v>0.875</v>
      </c>
      <c r="K260" s="11" t="s">
        <v>213</v>
      </c>
      <c r="L260" s="11" t="s">
        <v>214</v>
      </c>
      <c r="M260" s="1"/>
      <c r="N260" s="11"/>
      <c r="O260" s="11" t="s">
        <v>21</v>
      </c>
      <c r="P260" s="1"/>
      <c r="Q260" s="1"/>
      <c r="R260" s="11"/>
      <c r="S260" s="2">
        <f>CONSOLIDADO_2026[[#This Row],[Hora final]]-CONSOLIDADO_2026[[#This Row],[Hora inic]]</f>
        <v>0.33333333333333337</v>
      </c>
    </row>
    <row r="261" spans="1:19" hidden="1" x14ac:dyDescent="0.25">
      <c r="A261" t="s">
        <v>4048</v>
      </c>
      <c r="B261">
        <v>1004841623</v>
      </c>
      <c r="C261" t="s">
        <v>4095</v>
      </c>
      <c r="D261" s="11" t="s">
        <v>492</v>
      </c>
      <c r="E261" s="11" t="s">
        <v>4045</v>
      </c>
      <c r="F261" s="11" t="s">
        <v>4050</v>
      </c>
      <c r="G261" s="1">
        <v>46237</v>
      </c>
      <c r="H261" s="1">
        <v>46241</v>
      </c>
      <c r="I261" s="2"/>
      <c r="J261" s="2"/>
      <c r="K261" s="11"/>
      <c r="L261" s="11" t="s">
        <v>4041</v>
      </c>
      <c r="M261" s="1"/>
      <c r="N261" s="11"/>
      <c r="O261" s="11" t="s">
        <v>4042</v>
      </c>
      <c r="P261" s="1"/>
      <c r="Q261" s="1"/>
      <c r="R261" s="11"/>
      <c r="S261" s="2">
        <f>CONSOLIDADO_2026[[#This Row],[Hora final]]-CONSOLIDADO_2026[[#This Row],[Hora inic]]</f>
        <v>0</v>
      </c>
    </row>
    <row r="262" spans="1:19" hidden="1" x14ac:dyDescent="0.25">
      <c r="A262" t="s">
        <v>4051</v>
      </c>
      <c r="B262">
        <v>1004841623</v>
      </c>
      <c r="C262" t="s">
        <v>4095</v>
      </c>
      <c r="D262" s="11" t="s">
        <v>492</v>
      </c>
      <c r="E262" s="11" t="s">
        <v>4045</v>
      </c>
      <c r="F262" s="11" t="s">
        <v>4050</v>
      </c>
      <c r="G262" s="1">
        <v>46237</v>
      </c>
      <c r="H262" s="1">
        <v>46241</v>
      </c>
      <c r="I262" s="2"/>
      <c r="J262" s="2"/>
      <c r="K262" s="11"/>
      <c r="L262" s="11" t="s">
        <v>4041</v>
      </c>
      <c r="M262" s="1"/>
      <c r="N262" s="11" t="s">
        <v>4042</v>
      </c>
      <c r="O262" s="11" t="s">
        <v>4042</v>
      </c>
      <c r="P262" s="1"/>
      <c r="Q262" s="1"/>
      <c r="R262" s="11"/>
      <c r="S262" s="2">
        <f>CONSOLIDADO_2026[[#This Row],[Hora final]]-CONSOLIDADO_2026[[#This Row],[Hora inic]]</f>
        <v>0</v>
      </c>
    </row>
    <row r="263" spans="1:19" hidden="1" x14ac:dyDescent="0.25">
      <c r="A263" t="s">
        <v>4043</v>
      </c>
      <c r="B263">
        <v>1036962119</v>
      </c>
      <c r="C263" t="s">
        <v>2001</v>
      </c>
      <c r="D263" s="11" t="s">
        <v>128</v>
      </c>
      <c r="E263" s="11" t="s">
        <v>4045</v>
      </c>
      <c r="F263" s="11" t="s">
        <v>4074</v>
      </c>
      <c r="G263" s="1">
        <v>46237</v>
      </c>
      <c r="H263" s="1">
        <v>46235</v>
      </c>
      <c r="I263" s="2">
        <v>0.58333333333333337</v>
      </c>
      <c r="J263" s="2">
        <v>0.875</v>
      </c>
      <c r="K263" s="11"/>
      <c r="L263" s="11" t="s">
        <v>4306</v>
      </c>
      <c r="M263" s="1">
        <v>46238</v>
      </c>
      <c r="N263" s="11"/>
      <c r="O263" s="11" t="s">
        <v>21</v>
      </c>
      <c r="P263" s="1">
        <v>46238</v>
      </c>
      <c r="Q263" s="1"/>
      <c r="R263" s="11" t="s">
        <v>4081</v>
      </c>
      <c r="S263" s="2">
        <f>CONSOLIDADO_2026[[#This Row],[Hora final]]-CONSOLIDADO_2026[[#This Row],[Hora inic]]</f>
        <v>0.29166666666666663</v>
      </c>
    </row>
    <row r="264" spans="1:19" hidden="1" x14ac:dyDescent="0.25">
      <c r="A264" t="s">
        <v>4055</v>
      </c>
      <c r="B264">
        <v>1036962119</v>
      </c>
      <c r="C264" t="s">
        <v>2001</v>
      </c>
      <c r="D264" s="11" t="s">
        <v>128</v>
      </c>
      <c r="E264" s="11" t="s">
        <v>4045</v>
      </c>
      <c r="F264" s="11" t="s">
        <v>4074</v>
      </c>
      <c r="G264" s="1">
        <v>46237</v>
      </c>
      <c r="H264" s="1">
        <v>46235</v>
      </c>
      <c r="I264" s="2">
        <v>0.54166666666666663</v>
      </c>
      <c r="J264" s="2">
        <v>0.875</v>
      </c>
      <c r="K264" s="11"/>
      <c r="L264" s="11" t="s">
        <v>4060</v>
      </c>
      <c r="M264" s="1"/>
      <c r="N264" s="11"/>
      <c r="O264" s="11" t="s">
        <v>4042</v>
      </c>
      <c r="P264" s="1">
        <v>46238</v>
      </c>
      <c r="Q264" s="1"/>
      <c r="R264" s="11" t="s">
        <v>4075</v>
      </c>
      <c r="S264" s="2">
        <f>CONSOLIDADO_2026[[#This Row],[Hora final]]-CONSOLIDADO_2026[[#This Row],[Hora inic]]</f>
        <v>0.33333333333333337</v>
      </c>
    </row>
    <row r="265" spans="1:19" hidden="1" x14ac:dyDescent="0.25">
      <c r="A265" t="s">
        <v>4043</v>
      </c>
      <c r="B265">
        <v>1143413583</v>
      </c>
      <c r="C265" t="s">
        <v>41</v>
      </c>
      <c r="D265" s="11" t="s">
        <v>28</v>
      </c>
      <c r="E265" s="11" t="s">
        <v>4046</v>
      </c>
      <c r="F265" s="11" t="s">
        <v>16</v>
      </c>
      <c r="G265" s="1">
        <v>46236</v>
      </c>
      <c r="H265" s="1">
        <v>46239</v>
      </c>
      <c r="I265" s="2">
        <v>0.25</v>
      </c>
      <c r="J265" s="2">
        <v>0.54166666666666663</v>
      </c>
      <c r="K265" s="11"/>
      <c r="L265" s="11" t="s">
        <v>4060</v>
      </c>
      <c r="M265" s="1"/>
      <c r="N265" s="11"/>
      <c r="O265" s="11" t="s">
        <v>4042</v>
      </c>
      <c r="P265" s="1"/>
      <c r="Q265" s="1"/>
      <c r="R265" s="11"/>
      <c r="S265" s="2">
        <f>CONSOLIDADO_2026[[#This Row],[Hora final]]-CONSOLIDADO_2026[[#This Row],[Hora inic]]</f>
        <v>0.29166666666666663</v>
      </c>
    </row>
    <row r="266" spans="1:19" hidden="1" x14ac:dyDescent="0.25">
      <c r="A266" t="s">
        <v>4055</v>
      </c>
      <c r="B266">
        <v>1143413583</v>
      </c>
      <c r="C266" t="s">
        <v>41</v>
      </c>
      <c r="D266" s="11" t="s">
        <v>28</v>
      </c>
      <c r="E266" s="11" t="s">
        <v>4046</v>
      </c>
      <c r="F266" s="11" t="s">
        <v>16</v>
      </c>
      <c r="G266" s="1">
        <v>46236</v>
      </c>
      <c r="H266" s="1">
        <v>46239</v>
      </c>
      <c r="I266" s="2">
        <v>0.25</v>
      </c>
      <c r="J266" s="2">
        <v>0.58333333333333337</v>
      </c>
      <c r="K266" s="11" t="s">
        <v>199</v>
      </c>
      <c r="L266" s="11" t="s">
        <v>200</v>
      </c>
      <c r="M266" s="1"/>
      <c r="N266" s="11"/>
      <c r="O266" s="11" t="s">
        <v>21</v>
      </c>
      <c r="P266" s="1"/>
      <c r="Q266" s="1"/>
      <c r="R266" s="11"/>
      <c r="S266" s="2">
        <f>CONSOLIDADO_2026[[#This Row],[Hora final]]-CONSOLIDADO_2026[[#This Row],[Hora inic]]</f>
        <v>0.33333333333333337</v>
      </c>
    </row>
    <row r="267" spans="1:19" hidden="1" x14ac:dyDescent="0.25">
      <c r="A267" t="s">
        <v>4053</v>
      </c>
      <c r="B267">
        <v>1143413583</v>
      </c>
      <c r="C267" t="s">
        <v>41</v>
      </c>
      <c r="D267" s="11" t="s">
        <v>28</v>
      </c>
      <c r="E267" s="11" t="s">
        <v>4046</v>
      </c>
      <c r="F267" s="11" t="s">
        <v>16</v>
      </c>
      <c r="G267" s="1">
        <v>46236</v>
      </c>
      <c r="H267" s="1">
        <v>46239</v>
      </c>
      <c r="I267" s="2">
        <v>0.25</v>
      </c>
      <c r="J267" s="2">
        <v>0.54166666666666663</v>
      </c>
      <c r="K267" s="11" t="s">
        <v>17</v>
      </c>
      <c r="L267" s="11" t="s">
        <v>18</v>
      </c>
      <c r="M267" s="1"/>
      <c r="N267" s="11"/>
      <c r="O267" s="11" t="s">
        <v>21</v>
      </c>
      <c r="P267" s="1"/>
      <c r="Q267" s="1"/>
      <c r="R267" s="11"/>
      <c r="S267" s="2">
        <f>CONSOLIDADO_2026[[#This Row],[Hora final]]-CONSOLIDADO_2026[[#This Row],[Hora inic]]</f>
        <v>0.29166666666666663</v>
      </c>
    </row>
    <row r="268" spans="1:19" hidden="1" x14ac:dyDescent="0.25">
      <c r="A268" t="s">
        <v>4048</v>
      </c>
      <c r="B268">
        <v>1143413583</v>
      </c>
      <c r="C268" t="s">
        <v>41</v>
      </c>
      <c r="D268" s="11" t="s">
        <v>28</v>
      </c>
      <c r="E268" s="11" t="s">
        <v>4046</v>
      </c>
      <c r="F268" s="11" t="s">
        <v>16</v>
      </c>
      <c r="G268" s="1">
        <v>46236</v>
      </c>
      <c r="H268" s="1">
        <v>46239</v>
      </c>
      <c r="I268" s="2"/>
      <c r="J268" s="2"/>
      <c r="K268" s="11"/>
      <c r="L268" s="11" t="s">
        <v>4041</v>
      </c>
      <c r="M268" s="1"/>
      <c r="N268" s="11"/>
      <c r="O268" s="11" t="s">
        <v>4042</v>
      </c>
      <c r="P268" s="1"/>
      <c r="Q268" s="1"/>
      <c r="R268" s="11"/>
      <c r="S268" s="2">
        <f>CONSOLIDADO_2026[[#This Row],[Hora final]]-CONSOLIDADO_2026[[#This Row],[Hora inic]]</f>
        <v>0</v>
      </c>
    </row>
    <row r="269" spans="1:19" hidden="1" x14ac:dyDescent="0.25">
      <c r="A269" t="s">
        <v>4051</v>
      </c>
      <c r="B269">
        <v>1143413583</v>
      </c>
      <c r="C269" t="s">
        <v>41</v>
      </c>
      <c r="D269" s="11" t="s">
        <v>28</v>
      </c>
      <c r="E269" s="11" t="s">
        <v>4046</v>
      </c>
      <c r="F269" s="11" t="s">
        <v>16</v>
      </c>
      <c r="G269" s="1">
        <v>46236</v>
      </c>
      <c r="H269" s="1">
        <v>46239</v>
      </c>
      <c r="I269" s="2"/>
      <c r="J269" s="2"/>
      <c r="K269" s="11"/>
      <c r="L269" s="11" t="s">
        <v>4041</v>
      </c>
      <c r="M269" s="1"/>
      <c r="N269" s="11" t="s">
        <v>4042</v>
      </c>
      <c r="O269" s="11" t="s">
        <v>4042</v>
      </c>
      <c r="P269" s="1"/>
      <c r="Q269" s="1"/>
      <c r="R269" s="11"/>
      <c r="S269" s="2">
        <f>CONSOLIDADO_2026[[#This Row],[Hora final]]-CONSOLIDADO_2026[[#This Row],[Hora inic]]</f>
        <v>0</v>
      </c>
    </row>
    <row r="270" spans="1:19" hidden="1" x14ac:dyDescent="0.25">
      <c r="A270" t="s">
        <v>4043</v>
      </c>
      <c r="B270">
        <v>1129516553</v>
      </c>
      <c r="C270" t="s">
        <v>1405</v>
      </c>
      <c r="D270" s="11" t="s">
        <v>59</v>
      </c>
      <c r="E270" s="11" t="s">
        <v>4047</v>
      </c>
      <c r="F270" s="11" t="s">
        <v>4074</v>
      </c>
      <c r="G270" s="1">
        <v>46237</v>
      </c>
      <c r="H270" s="1">
        <v>46238</v>
      </c>
      <c r="I270" s="2">
        <v>0.54166666666666663</v>
      </c>
      <c r="J270" s="2">
        <v>0.83333333333333337</v>
      </c>
      <c r="K270" s="11"/>
      <c r="L270" s="11" t="s">
        <v>4060</v>
      </c>
      <c r="M270" s="1">
        <v>46237</v>
      </c>
      <c r="N270" s="11"/>
      <c r="O270" s="11" t="s">
        <v>4042</v>
      </c>
      <c r="P270" s="1">
        <v>46236</v>
      </c>
      <c r="Q270" s="1"/>
      <c r="R270" s="11" t="s">
        <v>4081</v>
      </c>
      <c r="S270" s="2">
        <f>CONSOLIDADO_2026[[#This Row],[Hora final]]-CONSOLIDADO_2026[[#This Row],[Hora inic]]</f>
        <v>0.29166666666666674</v>
      </c>
    </row>
    <row r="271" spans="1:19" hidden="1" x14ac:dyDescent="0.25">
      <c r="A271" t="s">
        <v>4055</v>
      </c>
      <c r="B271">
        <v>1129516553</v>
      </c>
      <c r="C271" t="s">
        <v>1405</v>
      </c>
      <c r="D271" s="11" t="s">
        <v>59</v>
      </c>
      <c r="E271" s="11" t="s">
        <v>4047</v>
      </c>
      <c r="F271" s="11" t="s">
        <v>4074</v>
      </c>
      <c r="G271" s="1">
        <v>46237</v>
      </c>
      <c r="H271" s="1">
        <v>46238</v>
      </c>
      <c r="I271" s="2">
        <v>0.54166666666666663</v>
      </c>
      <c r="J271" s="2">
        <v>0.83333333333333337</v>
      </c>
      <c r="K271" s="11"/>
      <c r="L271" s="11" t="s">
        <v>4060</v>
      </c>
      <c r="M271" s="1">
        <v>46237</v>
      </c>
      <c r="N271" s="11"/>
      <c r="O271" s="11" t="s">
        <v>4042</v>
      </c>
      <c r="P271" s="1">
        <v>46236</v>
      </c>
      <c r="Q271" s="1"/>
      <c r="R271" s="11" t="s">
        <v>4081</v>
      </c>
      <c r="S271" s="2">
        <f>CONSOLIDADO_2026[[#This Row],[Hora final]]-CONSOLIDADO_2026[[#This Row],[Hora inic]]</f>
        <v>0.29166666666666674</v>
      </c>
    </row>
    <row r="272" spans="1:19" hidden="1" x14ac:dyDescent="0.25">
      <c r="A272" t="s">
        <v>4053</v>
      </c>
      <c r="B272">
        <v>1129516553</v>
      </c>
      <c r="C272" t="s">
        <v>1405</v>
      </c>
      <c r="D272" s="11" t="s">
        <v>59</v>
      </c>
      <c r="E272" s="11" t="s">
        <v>4047</v>
      </c>
      <c r="F272" s="11" t="s">
        <v>16</v>
      </c>
      <c r="G272" s="1">
        <v>46237</v>
      </c>
      <c r="H272" s="1">
        <v>46238</v>
      </c>
      <c r="I272" s="2"/>
      <c r="J272" s="2"/>
      <c r="K272" s="11"/>
      <c r="L272" s="11" t="s">
        <v>4041</v>
      </c>
      <c r="M272" s="1"/>
      <c r="N272" s="11"/>
      <c r="O272" s="11" t="s">
        <v>4042</v>
      </c>
      <c r="P272" s="1"/>
      <c r="Q272" s="1"/>
      <c r="R272" s="11"/>
      <c r="S272" s="2">
        <f>CONSOLIDADO_2026[[#This Row],[Hora final]]-CONSOLIDADO_2026[[#This Row],[Hora inic]]</f>
        <v>0</v>
      </c>
    </row>
    <row r="273" spans="1:19" hidden="1" x14ac:dyDescent="0.25">
      <c r="A273" t="s">
        <v>4043</v>
      </c>
      <c r="B273">
        <v>1005624879</v>
      </c>
      <c r="C273" t="s">
        <v>332</v>
      </c>
      <c r="D273" s="11" t="s">
        <v>143</v>
      </c>
      <c r="E273" s="11" t="s">
        <v>4045</v>
      </c>
      <c r="F273" s="11" t="s">
        <v>4074</v>
      </c>
      <c r="G273" s="1">
        <v>46237</v>
      </c>
      <c r="H273" s="1">
        <v>46240</v>
      </c>
      <c r="I273" s="2">
        <v>0.58333333333333337</v>
      </c>
      <c r="J273" s="2">
        <v>0.875</v>
      </c>
      <c r="K273" s="11"/>
      <c r="L273" s="11" t="s">
        <v>4096</v>
      </c>
      <c r="M273" s="1">
        <v>46237</v>
      </c>
      <c r="N273" s="11"/>
      <c r="O273" s="11" t="s">
        <v>21</v>
      </c>
      <c r="P273" s="1">
        <v>46237</v>
      </c>
      <c r="Q273" s="1"/>
      <c r="R273" s="11" t="s">
        <v>4081</v>
      </c>
      <c r="S273" s="2">
        <f>CONSOLIDADO_2026[[#This Row],[Hora final]]-CONSOLIDADO_2026[[#This Row],[Hora inic]]</f>
        <v>0.29166666666666663</v>
      </c>
    </row>
    <row r="274" spans="1:19" hidden="1" x14ac:dyDescent="0.25">
      <c r="A274" t="s">
        <v>4055</v>
      </c>
      <c r="B274">
        <v>1005624879</v>
      </c>
      <c r="C274" t="s">
        <v>332</v>
      </c>
      <c r="D274" s="11" t="s">
        <v>143</v>
      </c>
      <c r="E274" s="11" t="s">
        <v>4045</v>
      </c>
      <c r="F274" s="11" t="s">
        <v>16</v>
      </c>
      <c r="G274" s="1">
        <v>46237</v>
      </c>
      <c r="H274" s="1">
        <v>46240</v>
      </c>
      <c r="I274" s="2">
        <v>0.58333333333333337</v>
      </c>
      <c r="J274" s="2">
        <v>0.875</v>
      </c>
      <c r="K274" s="11"/>
      <c r="L274" s="11" t="s">
        <v>327</v>
      </c>
      <c r="M274" s="1"/>
      <c r="N274" s="11"/>
      <c r="O274" s="11" t="s">
        <v>4042</v>
      </c>
      <c r="P274" s="1"/>
      <c r="Q274" s="1"/>
      <c r="R274" s="11"/>
      <c r="S274" s="2">
        <f>CONSOLIDADO_2026[[#This Row],[Hora final]]-CONSOLIDADO_2026[[#This Row],[Hora inic]]</f>
        <v>0.29166666666666663</v>
      </c>
    </row>
    <row r="275" spans="1:19" hidden="1" x14ac:dyDescent="0.25">
      <c r="A275" t="s">
        <v>4053</v>
      </c>
      <c r="B275">
        <v>1005624879</v>
      </c>
      <c r="C275" t="s">
        <v>313</v>
      </c>
      <c r="D275" s="11" t="s">
        <v>143</v>
      </c>
      <c r="E275" s="11" t="s">
        <v>4045</v>
      </c>
      <c r="F275" s="11" t="s">
        <v>16</v>
      </c>
      <c r="G275" s="1">
        <v>46237</v>
      </c>
      <c r="H275" s="1">
        <v>46240</v>
      </c>
      <c r="I275" s="2">
        <v>0.25</v>
      </c>
      <c r="J275" s="2">
        <v>0.58333333333333337</v>
      </c>
      <c r="K275" s="11"/>
      <c r="L275" s="11" t="s">
        <v>327</v>
      </c>
      <c r="M275" s="1"/>
      <c r="N275" s="11"/>
      <c r="O275" s="11" t="s">
        <v>4042</v>
      </c>
      <c r="P275" s="1"/>
      <c r="Q275" s="1"/>
      <c r="R275" s="11"/>
      <c r="S275" s="2">
        <f>CONSOLIDADO_2026[[#This Row],[Hora final]]-CONSOLIDADO_2026[[#This Row],[Hora inic]]</f>
        <v>0.33333333333333337</v>
      </c>
    </row>
    <row r="276" spans="1:19" hidden="1" x14ac:dyDescent="0.25">
      <c r="A276" t="s">
        <v>4048</v>
      </c>
      <c r="B276">
        <v>1005624879</v>
      </c>
      <c r="C276" t="s">
        <v>313</v>
      </c>
      <c r="D276" s="11" t="s">
        <v>143</v>
      </c>
      <c r="E276" s="11" t="s">
        <v>4045</v>
      </c>
      <c r="F276" s="11" t="s">
        <v>16</v>
      </c>
      <c r="G276" s="1">
        <v>46237</v>
      </c>
      <c r="H276" s="1">
        <v>46240</v>
      </c>
      <c r="I276" s="2">
        <v>0.25</v>
      </c>
      <c r="J276" s="2">
        <v>0.58333333333333337</v>
      </c>
      <c r="K276" s="11" t="s">
        <v>314</v>
      </c>
      <c r="L276" s="11" t="s">
        <v>315</v>
      </c>
      <c r="M276" s="1"/>
      <c r="N276" s="11"/>
      <c r="O276" s="11" t="s">
        <v>21</v>
      </c>
      <c r="P276" s="1"/>
      <c r="Q276" s="1"/>
      <c r="R276" s="11"/>
      <c r="S276" s="2">
        <f>CONSOLIDADO_2026[[#This Row],[Hora final]]-CONSOLIDADO_2026[[#This Row],[Hora inic]]</f>
        <v>0.33333333333333337</v>
      </c>
    </row>
    <row r="277" spans="1:19" hidden="1" x14ac:dyDescent="0.25">
      <c r="A277" t="s">
        <v>4051</v>
      </c>
      <c r="B277">
        <v>1005624879</v>
      </c>
      <c r="C277" t="s">
        <v>313</v>
      </c>
      <c r="D277" s="11" t="s">
        <v>143</v>
      </c>
      <c r="E277" s="11" t="s">
        <v>4045</v>
      </c>
      <c r="F277" s="11" t="s">
        <v>16</v>
      </c>
      <c r="G277" s="1">
        <v>46237</v>
      </c>
      <c r="H277" s="1">
        <v>46240</v>
      </c>
      <c r="I277" s="2"/>
      <c r="J277" s="2"/>
      <c r="K277" s="11"/>
      <c r="L277" s="11" t="s">
        <v>4041</v>
      </c>
      <c r="M277" s="1"/>
      <c r="N277" s="11" t="s">
        <v>4042</v>
      </c>
      <c r="O277" s="11" t="s">
        <v>4042</v>
      </c>
      <c r="P277" s="1"/>
      <c r="Q277" s="1"/>
      <c r="R277" s="11"/>
      <c r="S277" s="2">
        <f>CONSOLIDADO_2026[[#This Row],[Hora final]]-CONSOLIDADO_2026[[#This Row],[Hora inic]]</f>
        <v>0</v>
      </c>
    </row>
    <row r="278" spans="1:19" hidden="1" x14ac:dyDescent="0.25">
      <c r="A278" t="s">
        <v>4043</v>
      </c>
      <c r="B278" t="s">
        <v>4097</v>
      </c>
      <c r="C278" t="s">
        <v>2053</v>
      </c>
      <c r="D278" s="11" t="s">
        <v>2052</v>
      </c>
      <c r="E278" s="11" t="s">
        <v>4056</v>
      </c>
      <c r="F278" s="11" t="s">
        <v>16</v>
      </c>
      <c r="G278" s="1">
        <v>46237</v>
      </c>
      <c r="H278" s="1">
        <v>46238</v>
      </c>
      <c r="I278" s="2">
        <v>0.5</v>
      </c>
      <c r="J278" s="2">
        <v>0.79166666666666663</v>
      </c>
      <c r="K278" s="11" t="s">
        <v>3662</v>
      </c>
      <c r="L278" s="11" t="s">
        <v>3663</v>
      </c>
      <c r="M278" s="1"/>
      <c r="N278" s="11"/>
      <c r="O278" s="11" t="s">
        <v>21</v>
      </c>
      <c r="P278" s="1"/>
      <c r="Q278" s="1"/>
      <c r="R278" s="11"/>
      <c r="S278" s="2">
        <f>CONSOLIDADO_2026[[#This Row],[Hora final]]-CONSOLIDADO_2026[[#This Row],[Hora inic]]</f>
        <v>0.29166666666666663</v>
      </c>
    </row>
    <row r="279" spans="1:19" hidden="1" x14ac:dyDescent="0.25">
      <c r="A279" t="s">
        <v>4055</v>
      </c>
      <c r="B279" t="s">
        <v>4097</v>
      </c>
      <c r="C279" t="s">
        <v>2053</v>
      </c>
      <c r="D279" s="11" t="s">
        <v>2052</v>
      </c>
      <c r="E279" s="11" t="s">
        <v>4056</v>
      </c>
      <c r="F279" s="11" t="s">
        <v>16</v>
      </c>
      <c r="G279" s="1">
        <v>46237</v>
      </c>
      <c r="H279" s="1">
        <v>46238</v>
      </c>
      <c r="I279" s="2">
        <v>0.29166666666666669</v>
      </c>
      <c r="J279" s="2">
        <v>0.66666666666666663</v>
      </c>
      <c r="K279" s="11"/>
      <c r="L279" s="11" t="s">
        <v>327</v>
      </c>
      <c r="M279" s="1"/>
      <c r="N279" s="11"/>
      <c r="O279" s="11" t="s">
        <v>21</v>
      </c>
      <c r="P279" s="1"/>
      <c r="Q279" s="1"/>
      <c r="R279" s="11"/>
      <c r="S279" s="2">
        <f>CONSOLIDADO_2026[[#This Row],[Hora final]]-CONSOLIDADO_2026[[#This Row],[Hora inic]]</f>
        <v>0.37499999999999994</v>
      </c>
    </row>
    <row r="280" spans="1:19" hidden="1" x14ac:dyDescent="0.25">
      <c r="A280" t="s">
        <v>4053</v>
      </c>
      <c r="B280" t="s">
        <v>4097</v>
      </c>
      <c r="C280" t="s">
        <v>2053</v>
      </c>
      <c r="D280" s="11" t="s">
        <v>2052</v>
      </c>
      <c r="E280" s="11" t="s">
        <v>4056</v>
      </c>
      <c r="F280" s="11" t="s">
        <v>16</v>
      </c>
      <c r="G280" s="1">
        <v>46237</v>
      </c>
      <c r="H280" s="1">
        <v>46238</v>
      </c>
      <c r="I280" s="2"/>
      <c r="J280" s="2"/>
      <c r="K280" s="11"/>
      <c r="L280" s="11" t="s">
        <v>4041</v>
      </c>
      <c r="M280" s="1"/>
      <c r="N280" s="11"/>
      <c r="O280" s="11" t="s">
        <v>4042</v>
      </c>
      <c r="P280" s="1"/>
      <c r="Q280" s="1"/>
      <c r="R280" s="11"/>
      <c r="S280" s="2">
        <f>CONSOLIDADO_2026[[#This Row],[Hora final]]-CONSOLIDADO_2026[[#This Row],[Hora inic]]</f>
        <v>0</v>
      </c>
    </row>
    <row r="281" spans="1:19" hidden="1" x14ac:dyDescent="0.25">
      <c r="A281" t="s">
        <v>4043</v>
      </c>
      <c r="B281">
        <v>1152436231</v>
      </c>
      <c r="C281" t="s">
        <v>142</v>
      </c>
      <c r="D281" s="11" t="s">
        <v>143</v>
      </c>
      <c r="E281" s="11" t="s">
        <v>4045</v>
      </c>
      <c r="F281" s="11" t="s">
        <v>4074</v>
      </c>
      <c r="G281" s="1">
        <v>46237</v>
      </c>
      <c r="H281" s="1">
        <v>46240</v>
      </c>
      <c r="I281" s="2">
        <v>0.25</v>
      </c>
      <c r="J281" s="2">
        <v>0.54166666666666663</v>
      </c>
      <c r="K281" s="11"/>
      <c r="L281" s="11" t="s">
        <v>4060</v>
      </c>
      <c r="M281" s="1">
        <v>46237</v>
      </c>
      <c r="N281" s="11"/>
      <c r="O281" s="11" t="s">
        <v>4042</v>
      </c>
      <c r="P281" s="1">
        <v>46237</v>
      </c>
      <c r="Q281" s="1"/>
      <c r="R281" s="11" t="s">
        <v>4081</v>
      </c>
      <c r="S281" s="2">
        <f>CONSOLIDADO_2026[[#This Row],[Hora final]]-CONSOLIDADO_2026[[#This Row],[Hora inic]]</f>
        <v>0.29166666666666663</v>
      </c>
    </row>
    <row r="282" spans="1:19" hidden="1" x14ac:dyDescent="0.25">
      <c r="A282" t="s">
        <v>4055</v>
      </c>
      <c r="B282">
        <v>1152436231</v>
      </c>
      <c r="C282" t="s">
        <v>142</v>
      </c>
      <c r="D282" s="11" t="s">
        <v>143</v>
      </c>
      <c r="E282" s="11" t="s">
        <v>4045</v>
      </c>
      <c r="F282" s="11" t="s">
        <v>16</v>
      </c>
      <c r="G282" s="1">
        <v>46237</v>
      </c>
      <c r="H282" s="1">
        <v>46240</v>
      </c>
      <c r="I282" s="2">
        <v>0.25</v>
      </c>
      <c r="J282" s="2">
        <v>0.54166666666666663</v>
      </c>
      <c r="K282" s="11" t="s">
        <v>119</v>
      </c>
      <c r="L282" s="11" t="s">
        <v>120</v>
      </c>
      <c r="M282" s="1"/>
      <c r="N282" s="11"/>
      <c r="O282" s="11" t="s">
        <v>21</v>
      </c>
      <c r="P282" s="1"/>
      <c r="Q282" s="1"/>
      <c r="R282" s="11"/>
      <c r="S282" s="2">
        <f>CONSOLIDADO_2026[[#This Row],[Hora final]]-CONSOLIDADO_2026[[#This Row],[Hora inic]]</f>
        <v>0.29166666666666663</v>
      </c>
    </row>
    <row r="283" spans="1:19" hidden="1" x14ac:dyDescent="0.25">
      <c r="A283" t="s">
        <v>4053</v>
      </c>
      <c r="B283">
        <v>1152436231</v>
      </c>
      <c r="C283" t="s">
        <v>142</v>
      </c>
      <c r="D283" s="11" t="s">
        <v>143</v>
      </c>
      <c r="E283" s="11" t="s">
        <v>4045</v>
      </c>
      <c r="F283" s="11" t="s">
        <v>16</v>
      </c>
      <c r="G283" s="1">
        <v>46237</v>
      </c>
      <c r="H283" s="1">
        <v>46240</v>
      </c>
      <c r="I283" s="2">
        <v>0.54166666666666663</v>
      </c>
      <c r="J283" s="2">
        <v>0.875</v>
      </c>
      <c r="K283" s="11" t="s">
        <v>209</v>
      </c>
      <c r="L283" s="11" t="s">
        <v>210</v>
      </c>
      <c r="M283" s="1"/>
      <c r="N283" s="11"/>
      <c r="O283" s="11" t="s">
        <v>21</v>
      </c>
      <c r="P283" s="1"/>
      <c r="Q283" s="1"/>
      <c r="R283" s="11"/>
      <c r="S283" s="2">
        <f>CONSOLIDADO_2026[[#This Row],[Hora final]]-CONSOLIDADO_2026[[#This Row],[Hora inic]]</f>
        <v>0.33333333333333337</v>
      </c>
    </row>
    <row r="284" spans="1:19" hidden="1" x14ac:dyDescent="0.25">
      <c r="A284" t="s">
        <v>4048</v>
      </c>
      <c r="B284">
        <v>1152436231</v>
      </c>
      <c r="C284" t="s">
        <v>142</v>
      </c>
      <c r="D284" s="11" t="s">
        <v>143</v>
      </c>
      <c r="E284" s="11" t="s">
        <v>4045</v>
      </c>
      <c r="F284" s="11" t="s">
        <v>16</v>
      </c>
      <c r="G284" s="1">
        <v>46237</v>
      </c>
      <c r="H284" s="1">
        <v>46240</v>
      </c>
      <c r="I284" s="2">
        <v>0.25</v>
      </c>
      <c r="J284" s="2">
        <v>0.54166666666666663</v>
      </c>
      <c r="K284" s="11" t="s">
        <v>199</v>
      </c>
      <c r="L284" s="11" t="s">
        <v>200</v>
      </c>
      <c r="M284" s="1"/>
      <c r="N284" s="11"/>
      <c r="O284" s="11" t="s">
        <v>21</v>
      </c>
      <c r="P284" s="1"/>
      <c r="Q284" s="1"/>
      <c r="R284" s="11"/>
      <c r="S284" s="2">
        <f>CONSOLIDADO_2026[[#This Row],[Hora final]]-CONSOLIDADO_2026[[#This Row],[Hora inic]]</f>
        <v>0.29166666666666663</v>
      </c>
    </row>
    <row r="285" spans="1:19" hidden="1" x14ac:dyDescent="0.25">
      <c r="A285" t="s">
        <v>4051</v>
      </c>
      <c r="B285">
        <v>1152436231</v>
      </c>
      <c r="C285" t="s">
        <v>142</v>
      </c>
      <c r="D285" s="11" t="s">
        <v>143</v>
      </c>
      <c r="E285" s="11" t="s">
        <v>4045</v>
      </c>
      <c r="F285" s="11" t="s">
        <v>16</v>
      </c>
      <c r="G285" s="1">
        <v>46237</v>
      </c>
      <c r="H285" s="1">
        <v>46240</v>
      </c>
      <c r="I285" s="2"/>
      <c r="J285" s="2"/>
      <c r="K285" s="11"/>
      <c r="L285" s="11" t="s">
        <v>341</v>
      </c>
      <c r="M285" s="1"/>
      <c r="N285" s="11" t="s">
        <v>21</v>
      </c>
      <c r="O285" s="11" t="s">
        <v>21</v>
      </c>
      <c r="P285" s="1"/>
      <c r="Q285" s="1"/>
      <c r="R285" s="11"/>
      <c r="S285" s="2">
        <f>CONSOLIDADO_2026[[#This Row],[Hora final]]-CONSOLIDADO_2026[[#This Row],[Hora inic]]</f>
        <v>0</v>
      </c>
    </row>
    <row r="286" spans="1:19" hidden="1" x14ac:dyDescent="0.25">
      <c r="A286" t="s">
        <v>4052</v>
      </c>
      <c r="B286">
        <v>1152436231</v>
      </c>
      <c r="C286" t="s">
        <v>142</v>
      </c>
      <c r="D286" s="11" t="s">
        <v>143</v>
      </c>
      <c r="E286" s="11" t="s">
        <v>4045</v>
      </c>
      <c r="F286" s="11" t="s">
        <v>16</v>
      </c>
      <c r="G286" s="1">
        <v>46237</v>
      </c>
      <c r="H286" s="1">
        <v>46240</v>
      </c>
      <c r="I286" s="2"/>
      <c r="J286" s="2"/>
      <c r="K286" s="11"/>
      <c r="L286" s="11" t="s">
        <v>4041</v>
      </c>
      <c r="M286" s="1"/>
      <c r="N286" s="11"/>
      <c r="O286" s="11" t="s">
        <v>4042</v>
      </c>
      <c r="P286" s="1"/>
      <c r="Q286" s="1"/>
      <c r="R286" s="11"/>
      <c r="S286" s="2">
        <f>CONSOLIDADO_2026[[#This Row],[Hora final]]-CONSOLIDADO_2026[[#This Row],[Hora inic]]</f>
        <v>0</v>
      </c>
    </row>
    <row r="287" spans="1:19" hidden="1" x14ac:dyDescent="0.25">
      <c r="A287" t="s">
        <v>4043</v>
      </c>
      <c r="B287">
        <v>1000099010</v>
      </c>
      <c r="C287" t="s">
        <v>660</v>
      </c>
      <c r="D287" s="11" t="s">
        <v>139</v>
      </c>
      <c r="E287" s="11" t="s">
        <v>4040</v>
      </c>
      <c r="F287" s="11" t="s">
        <v>4074</v>
      </c>
      <c r="G287" s="1">
        <v>46237</v>
      </c>
      <c r="H287" s="1">
        <v>46239</v>
      </c>
      <c r="I287" s="2">
        <v>0.25</v>
      </c>
      <c r="J287" s="2">
        <v>0.54166666666666663</v>
      </c>
      <c r="K287" s="11"/>
      <c r="L287" s="11" t="s">
        <v>4060</v>
      </c>
      <c r="M287" s="1">
        <v>46240</v>
      </c>
      <c r="N287" s="11"/>
      <c r="O287" s="11" t="s">
        <v>4042</v>
      </c>
      <c r="P287" s="1">
        <v>46240</v>
      </c>
      <c r="Q287" s="1"/>
      <c r="R287" s="11" t="s">
        <v>4081</v>
      </c>
      <c r="S287" s="2">
        <f>CONSOLIDADO_2026[[#This Row],[Hora final]]-CONSOLIDADO_2026[[#This Row],[Hora inic]]</f>
        <v>0.29166666666666663</v>
      </c>
    </row>
    <row r="288" spans="1:19" hidden="1" x14ac:dyDescent="0.25">
      <c r="A288" t="s">
        <v>4055</v>
      </c>
      <c r="B288">
        <v>1000099010</v>
      </c>
      <c r="C288" t="s">
        <v>660</v>
      </c>
      <c r="D288" s="11" t="s">
        <v>139</v>
      </c>
      <c r="E288" s="11" t="s">
        <v>4040</v>
      </c>
      <c r="F288" s="11" t="s">
        <v>4074</v>
      </c>
      <c r="G288" s="1">
        <v>46237</v>
      </c>
      <c r="H288" s="1">
        <v>46239</v>
      </c>
      <c r="I288" s="2">
        <v>0.25</v>
      </c>
      <c r="J288" s="2">
        <v>0.54166666666666663</v>
      </c>
      <c r="K288" s="11"/>
      <c r="L288" s="11" t="s">
        <v>4060</v>
      </c>
      <c r="M288" s="1">
        <v>46237</v>
      </c>
      <c r="N288" s="11"/>
      <c r="O288" s="11" t="s">
        <v>4042</v>
      </c>
      <c r="P288" s="1">
        <v>46237</v>
      </c>
      <c r="Q288" s="1"/>
      <c r="R288" s="11" t="s">
        <v>4081</v>
      </c>
      <c r="S288" s="2">
        <f>CONSOLIDADO_2026[[#This Row],[Hora final]]-CONSOLIDADO_2026[[#This Row],[Hora inic]]</f>
        <v>0.29166666666666663</v>
      </c>
    </row>
    <row r="289" spans="1:19" hidden="1" x14ac:dyDescent="0.25">
      <c r="A289" t="s">
        <v>4053</v>
      </c>
      <c r="B289">
        <v>1000099010</v>
      </c>
      <c r="C289" t="s">
        <v>660</v>
      </c>
      <c r="D289" s="11" t="s">
        <v>139</v>
      </c>
      <c r="E289" s="11" t="s">
        <v>4040</v>
      </c>
      <c r="F289" s="11" t="s">
        <v>4074</v>
      </c>
      <c r="G289" s="1">
        <v>46237</v>
      </c>
      <c r="H289" s="1">
        <v>46239</v>
      </c>
      <c r="I289" s="2">
        <v>0.54166666666666663</v>
      </c>
      <c r="J289" s="2">
        <v>0.875</v>
      </c>
      <c r="K289" s="11"/>
      <c r="L289" s="11" t="s">
        <v>4060</v>
      </c>
      <c r="M289" s="1">
        <v>46240</v>
      </c>
      <c r="N289" s="11"/>
      <c r="O289" s="11" t="s">
        <v>4042</v>
      </c>
      <c r="P289" s="1">
        <v>46240</v>
      </c>
      <c r="Q289" s="1"/>
      <c r="R289" s="11" t="s">
        <v>4081</v>
      </c>
      <c r="S289" s="2">
        <f>CONSOLIDADO_2026[[#This Row],[Hora final]]-CONSOLIDADO_2026[[#This Row],[Hora inic]]</f>
        <v>0.33333333333333337</v>
      </c>
    </row>
    <row r="290" spans="1:19" hidden="1" x14ac:dyDescent="0.25">
      <c r="A290" t="s">
        <v>4048</v>
      </c>
      <c r="B290">
        <v>1000099010</v>
      </c>
      <c r="C290" t="s">
        <v>660</v>
      </c>
      <c r="D290" s="11" t="s">
        <v>139</v>
      </c>
      <c r="E290" s="11" t="s">
        <v>4040</v>
      </c>
      <c r="F290" s="11" t="s">
        <v>16</v>
      </c>
      <c r="G290" s="1">
        <v>46237</v>
      </c>
      <c r="H290" s="1">
        <v>46239</v>
      </c>
      <c r="I290" s="2"/>
      <c r="J290" s="2"/>
      <c r="K290" s="11"/>
      <c r="L290" s="11" t="s">
        <v>4041</v>
      </c>
      <c r="M290" s="1"/>
      <c r="N290" s="11"/>
      <c r="O290" s="11" t="s">
        <v>4042</v>
      </c>
      <c r="P290" s="1"/>
      <c r="Q290" s="1"/>
      <c r="R290" s="11"/>
      <c r="S290" s="2">
        <f>CONSOLIDADO_2026[[#This Row],[Hora final]]-CONSOLIDADO_2026[[#This Row],[Hora inic]]</f>
        <v>0</v>
      </c>
    </row>
    <row r="291" spans="1:19" hidden="1" x14ac:dyDescent="0.25">
      <c r="A291" t="s">
        <v>4043</v>
      </c>
      <c r="B291">
        <v>1193459665</v>
      </c>
      <c r="C291" t="s">
        <v>4063</v>
      </c>
      <c r="D291" s="11" t="s">
        <v>256</v>
      </c>
      <c r="E291" s="11" t="s">
        <v>4040</v>
      </c>
      <c r="F291" s="11" t="s">
        <v>4050</v>
      </c>
      <c r="G291" s="1">
        <v>46237</v>
      </c>
      <c r="H291" s="1">
        <v>46239</v>
      </c>
      <c r="I291" s="2">
        <v>0.25</v>
      </c>
      <c r="J291" s="2">
        <v>0.54166666666666663</v>
      </c>
      <c r="K291" s="11"/>
      <c r="L291" s="11" t="s">
        <v>327</v>
      </c>
      <c r="M291" s="1"/>
      <c r="N291" s="11"/>
      <c r="O291" s="11" t="s">
        <v>4042</v>
      </c>
      <c r="P291" s="1"/>
      <c r="Q291" s="1"/>
      <c r="R291" s="11"/>
      <c r="S291" s="2">
        <f>CONSOLIDADO_2026[[#This Row],[Hora final]]-CONSOLIDADO_2026[[#This Row],[Hora inic]]</f>
        <v>0.29166666666666663</v>
      </c>
    </row>
    <row r="292" spans="1:19" hidden="1" x14ac:dyDescent="0.25">
      <c r="A292" t="s">
        <v>4055</v>
      </c>
      <c r="B292">
        <v>1193459665</v>
      </c>
      <c r="C292" t="s">
        <v>4063</v>
      </c>
      <c r="D292" s="11" t="s">
        <v>256</v>
      </c>
      <c r="E292" s="11" t="s">
        <v>4040</v>
      </c>
      <c r="F292" s="11" t="s">
        <v>4050</v>
      </c>
      <c r="G292" s="1">
        <v>46237</v>
      </c>
      <c r="H292" s="1">
        <v>46239</v>
      </c>
      <c r="I292" s="2">
        <v>0.54166666666666663</v>
      </c>
      <c r="J292" s="2">
        <v>0.875</v>
      </c>
      <c r="K292" s="11" t="s">
        <v>309</v>
      </c>
      <c r="L292" s="11" t="s">
        <v>310</v>
      </c>
      <c r="M292" s="1"/>
      <c r="N292" s="11"/>
      <c r="O292" s="11" t="s">
        <v>21</v>
      </c>
      <c r="P292" s="1"/>
      <c r="Q292" s="1"/>
      <c r="R292" s="11"/>
      <c r="S292" s="2">
        <f>CONSOLIDADO_2026[[#This Row],[Hora final]]-CONSOLIDADO_2026[[#This Row],[Hora inic]]</f>
        <v>0.33333333333333337</v>
      </c>
    </row>
    <row r="293" spans="1:19" hidden="1" x14ac:dyDescent="0.25">
      <c r="A293" t="s">
        <v>4053</v>
      </c>
      <c r="B293">
        <v>1193459665</v>
      </c>
      <c r="C293" t="s">
        <v>4098</v>
      </c>
      <c r="D293" s="11" t="s">
        <v>256</v>
      </c>
      <c r="E293" s="11" t="s">
        <v>4040</v>
      </c>
      <c r="F293" s="11" t="s">
        <v>4050</v>
      </c>
      <c r="G293" s="1">
        <v>46237</v>
      </c>
      <c r="H293" s="1">
        <v>46239</v>
      </c>
      <c r="I293" s="2">
        <v>0.58333333333333337</v>
      </c>
      <c r="J293" s="2">
        <v>0.875</v>
      </c>
      <c r="K293" s="11" t="s">
        <v>193</v>
      </c>
      <c r="L293" s="11" t="s">
        <v>194</v>
      </c>
      <c r="M293" s="1"/>
      <c r="N293" s="11"/>
      <c r="O293" s="11" t="s">
        <v>21</v>
      </c>
      <c r="P293" s="1"/>
      <c r="Q293" s="1"/>
      <c r="R293" s="11"/>
      <c r="S293" s="2">
        <f>CONSOLIDADO_2026[[#This Row],[Hora final]]-CONSOLIDADO_2026[[#This Row],[Hora inic]]</f>
        <v>0.29166666666666663</v>
      </c>
    </row>
    <row r="294" spans="1:19" hidden="1" x14ac:dyDescent="0.25">
      <c r="A294" t="s">
        <v>4048</v>
      </c>
      <c r="B294">
        <v>1193459665</v>
      </c>
      <c r="C294" t="s">
        <v>4098</v>
      </c>
      <c r="D294" s="11" t="s">
        <v>256</v>
      </c>
      <c r="E294" s="11" t="s">
        <v>4040</v>
      </c>
      <c r="F294" s="11" t="s">
        <v>4050</v>
      </c>
      <c r="G294" s="1">
        <v>46237</v>
      </c>
      <c r="H294" s="1">
        <v>46239</v>
      </c>
      <c r="I294" s="2"/>
      <c r="J294" s="2"/>
      <c r="K294" s="11"/>
      <c r="L294" s="11" t="s">
        <v>4041</v>
      </c>
      <c r="M294" s="1"/>
      <c r="N294" s="11"/>
      <c r="O294" s="11" t="s">
        <v>4042</v>
      </c>
      <c r="P294" s="1"/>
      <c r="Q294" s="1"/>
      <c r="R294" s="11"/>
      <c r="S294" s="2">
        <f>CONSOLIDADO_2026[[#This Row],[Hora final]]-CONSOLIDADO_2026[[#This Row],[Hora inic]]</f>
        <v>0</v>
      </c>
    </row>
    <row r="295" spans="1:19" hidden="1" x14ac:dyDescent="0.25">
      <c r="A295" t="s">
        <v>4051</v>
      </c>
      <c r="B295">
        <v>1193459665</v>
      </c>
      <c r="C295" t="s">
        <v>4098</v>
      </c>
      <c r="D295" s="11" t="s">
        <v>256</v>
      </c>
      <c r="E295" s="11" t="s">
        <v>4040</v>
      </c>
      <c r="F295" s="11" t="s">
        <v>4050</v>
      </c>
      <c r="G295" s="1">
        <v>46237</v>
      </c>
      <c r="H295" s="1">
        <v>46239</v>
      </c>
      <c r="I295" s="2"/>
      <c r="J295" s="2"/>
      <c r="K295" s="11"/>
      <c r="L295" s="11" t="s">
        <v>4041</v>
      </c>
      <c r="M295" s="1"/>
      <c r="N295" s="11" t="s">
        <v>4042</v>
      </c>
      <c r="O295" s="11" t="s">
        <v>4042</v>
      </c>
      <c r="P295" s="1"/>
      <c r="Q295" s="1"/>
      <c r="R295" s="11"/>
      <c r="S295" s="2">
        <f>CONSOLIDADO_2026[[#This Row],[Hora final]]-CONSOLIDADO_2026[[#This Row],[Hora inic]]</f>
        <v>0</v>
      </c>
    </row>
    <row r="296" spans="1:19" hidden="1" x14ac:dyDescent="0.25">
      <c r="A296" t="s">
        <v>4043</v>
      </c>
      <c r="B296">
        <v>1072648283</v>
      </c>
      <c r="C296" t="s">
        <v>828</v>
      </c>
      <c r="D296" s="11" t="s">
        <v>272</v>
      </c>
      <c r="E296" s="11" t="s">
        <v>4056</v>
      </c>
      <c r="F296" s="11" t="s">
        <v>16</v>
      </c>
      <c r="G296" s="1">
        <v>46237</v>
      </c>
      <c r="H296" s="1">
        <v>46239</v>
      </c>
      <c r="I296" s="2">
        <v>0.25</v>
      </c>
      <c r="J296" s="2">
        <v>0.58333333333333337</v>
      </c>
      <c r="K296" s="11" t="s">
        <v>163</v>
      </c>
      <c r="L296" s="11" t="s">
        <v>164</v>
      </c>
      <c r="M296" s="1"/>
      <c r="N296" s="11"/>
      <c r="O296" s="11" t="s">
        <v>21</v>
      </c>
      <c r="P296" s="1"/>
      <c r="Q296" s="1"/>
      <c r="R296" s="11"/>
      <c r="S296" s="2">
        <f>CONSOLIDADO_2026[[#This Row],[Hora final]]-CONSOLIDADO_2026[[#This Row],[Hora inic]]</f>
        <v>0.33333333333333337</v>
      </c>
    </row>
    <row r="297" spans="1:19" hidden="1" x14ac:dyDescent="0.25">
      <c r="A297" t="s">
        <v>4055</v>
      </c>
      <c r="B297">
        <v>1072648283</v>
      </c>
      <c r="C297" t="s">
        <v>828</v>
      </c>
      <c r="D297" s="11" t="s">
        <v>272</v>
      </c>
      <c r="E297" s="11" t="s">
        <v>4056</v>
      </c>
      <c r="F297" s="11" t="s">
        <v>16</v>
      </c>
      <c r="G297" s="1">
        <v>46237</v>
      </c>
      <c r="H297" s="1">
        <v>46239</v>
      </c>
      <c r="I297" s="2">
        <v>0.25</v>
      </c>
      <c r="J297" s="2">
        <v>0.58333333333333337</v>
      </c>
      <c r="K297" s="11" t="s">
        <v>560</v>
      </c>
      <c r="L297" s="11" t="s">
        <v>561</v>
      </c>
      <c r="M297" s="1"/>
      <c r="N297" s="11"/>
      <c r="O297" s="11" t="s">
        <v>21</v>
      </c>
      <c r="P297" s="1"/>
      <c r="Q297" s="1"/>
      <c r="R297" s="11"/>
      <c r="S297" s="2">
        <f>CONSOLIDADO_2026[[#This Row],[Hora final]]-CONSOLIDADO_2026[[#This Row],[Hora inic]]</f>
        <v>0.33333333333333337</v>
      </c>
    </row>
    <row r="298" spans="1:19" hidden="1" x14ac:dyDescent="0.25">
      <c r="A298" t="s">
        <v>4053</v>
      </c>
      <c r="B298">
        <v>1072648283</v>
      </c>
      <c r="C298" t="s">
        <v>828</v>
      </c>
      <c r="D298" s="11" t="s">
        <v>272</v>
      </c>
      <c r="E298" s="11" t="s">
        <v>4056</v>
      </c>
      <c r="F298" s="11" t="s">
        <v>16</v>
      </c>
      <c r="G298" s="1">
        <v>46237</v>
      </c>
      <c r="H298" s="1">
        <v>46239</v>
      </c>
      <c r="I298" s="2">
        <v>0.58333333333333337</v>
      </c>
      <c r="J298" s="2">
        <v>0.875</v>
      </c>
      <c r="K298" s="11" t="s">
        <v>560</v>
      </c>
      <c r="L298" s="11" t="s">
        <v>561</v>
      </c>
      <c r="M298" s="1"/>
      <c r="N298" s="11"/>
      <c r="O298" s="11" t="s">
        <v>21</v>
      </c>
      <c r="P298" s="1"/>
      <c r="Q298" s="1"/>
      <c r="R298" s="11"/>
      <c r="S298" s="2">
        <f>CONSOLIDADO_2026[[#This Row],[Hora final]]-CONSOLIDADO_2026[[#This Row],[Hora inic]]</f>
        <v>0.29166666666666663</v>
      </c>
    </row>
    <row r="299" spans="1:19" hidden="1" x14ac:dyDescent="0.25">
      <c r="A299" t="s">
        <v>4048</v>
      </c>
      <c r="B299">
        <v>1072648283</v>
      </c>
      <c r="C299" t="s">
        <v>828</v>
      </c>
      <c r="D299" s="11" t="s">
        <v>272</v>
      </c>
      <c r="E299" s="11" t="s">
        <v>4056</v>
      </c>
      <c r="F299" s="11" t="s">
        <v>16</v>
      </c>
      <c r="G299" s="1">
        <v>46237</v>
      </c>
      <c r="H299" s="1">
        <v>46239</v>
      </c>
      <c r="I299" s="2"/>
      <c r="J299" s="2"/>
      <c r="K299" s="11"/>
      <c r="L299" s="11" t="s">
        <v>4041</v>
      </c>
      <c r="M299" s="1"/>
      <c r="N299" s="11"/>
      <c r="O299" s="11" t="s">
        <v>4042</v>
      </c>
      <c r="P299" s="1"/>
      <c r="Q299" s="1"/>
      <c r="R299" s="11"/>
      <c r="S299" s="2">
        <f>CONSOLIDADO_2026[[#This Row],[Hora final]]-CONSOLIDADO_2026[[#This Row],[Hora inic]]</f>
        <v>0</v>
      </c>
    </row>
    <row r="300" spans="1:19" hidden="1" x14ac:dyDescent="0.25">
      <c r="A300" t="s">
        <v>4043</v>
      </c>
      <c r="B300">
        <v>1124076705</v>
      </c>
      <c r="C300" t="s">
        <v>819</v>
      </c>
      <c r="D300" s="11" t="s">
        <v>55</v>
      </c>
      <c r="E300" s="11" t="s">
        <v>4047</v>
      </c>
      <c r="F300" s="11" t="s">
        <v>4074</v>
      </c>
      <c r="G300" s="1">
        <v>46237</v>
      </c>
      <c r="H300" s="1">
        <v>46239</v>
      </c>
      <c r="I300" s="2">
        <v>0.25</v>
      </c>
      <c r="J300" s="2">
        <v>0.58333333333333337</v>
      </c>
      <c r="K300" s="11"/>
      <c r="L300" s="11" t="s">
        <v>4060</v>
      </c>
      <c r="M300" s="1">
        <v>46237</v>
      </c>
      <c r="N300" s="11"/>
      <c r="O300" s="11" t="s">
        <v>4042</v>
      </c>
      <c r="P300" s="1">
        <v>46237</v>
      </c>
      <c r="Q300" s="1"/>
      <c r="R300" s="11" t="s">
        <v>4081</v>
      </c>
      <c r="S300" s="2">
        <f>CONSOLIDADO_2026[[#This Row],[Hora final]]-CONSOLIDADO_2026[[#This Row],[Hora inic]]</f>
        <v>0.33333333333333337</v>
      </c>
    </row>
    <row r="301" spans="1:19" hidden="1" x14ac:dyDescent="0.25">
      <c r="A301" t="s">
        <v>4055</v>
      </c>
      <c r="B301">
        <v>1124076705</v>
      </c>
      <c r="C301" t="s">
        <v>819</v>
      </c>
      <c r="D301" s="11" t="s">
        <v>55</v>
      </c>
      <c r="E301" s="11" t="s">
        <v>4047</v>
      </c>
      <c r="F301" s="11" t="s">
        <v>4074</v>
      </c>
      <c r="G301" s="1">
        <v>46237</v>
      </c>
      <c r="H301" s="1">
        <v>46239</v>
      </c>
      <c r="I301" s="2">
        <v>0.58333333333333337</v>
      </c>
      <c r="J301" s="2">
        <v>0.875</v>
      </c>
      <c r="K301" s="11"/>
      <c r="L301" s="11" t="s">
        <v>4060</v>
      </c>
      <c r="M301" s="1">
        <v>46237</v>
      </c>
      <c r="N301" s="11"/>
      <c r="O301" s="11" t="s">
        <v>4042</v>
      </c>
      <c r="P301" s="1">
        <v>46237</v>
      </c>
      <c r="Q301" s="1"/>
      <c r="R301" s="11" t="s">
        <v>4081</v>
      </c>
      <c r="S301" s="2">
        <f>CONSOLIDADO_2026[[#This Row],[Hora final]]-CONSOLIDADO_2026[[#This Row],[Hora inic]]</f>
        <v>0.29166666666666663</v>
      </c>
    </row>
    <row r="302" spans="1:19" hidden="1" x14ac:dyDescent="0.25">
      <c r="A302" t="s">
        <v>4053</v>
      </c>
      <c r="B302">
        <v>1124076705</v>
      </c>
      <c r="C302" t="s">
        <v>819</v>
      </c>
      <c r="D302" s="11" t="s">
        <v>55</v>
      </c>
      <c r="E302" s="11" t="s">
        <v>4047</v>
      </c>
      <c r="F302" s="11" t="s">
        <v>16</v>
      </c>
      <c r="G302" s="1">
        <v>46237</v>
      </c>
      <c r="H302" s="1">
        <v>46239</v>
      </c>
      <c r="I302" s="2">
        <v>0.58333333333333337</v>
      </c>
      <c r="J302" s="2">
        <v>0.875</v>
      </c>
      <c r="K302" s="11"/>
      <c r="L302" s="11" t="s">
        <v>327</v>
      </c>
      <c r="M302" s="1"/>
      <c r="N302" s="11"/>
      <c r="O302" s="11" t="s">
        <v>4042</v>
      </c>
      <c r="P302" s="1"/>
      <c r="Q302" s="1"/>
      <c r="R302" s="11"/>
      <c r="S302" s="2">
        <f>CONSOLIDADO_2026[[#This Row],[Hora final]]-CONSOLIDADO_2026[[#This Row],[Hora inic]]</f>
        <v>0.29166666666666663</v>
      </c>
    </row>
    <row r="303" spans="1:19" hidden="1" x14ac:dyDescent="0.25">
      <c r="A303" t="s">
        <v>4048</v>
      </c>
      <c r="B303">
        <v>1124076705</v>
      </c>
      <c r="C303" t="s">
        <v>819</v>
      </c>
      <c r="D303" s="11" t="s">
        <v>55</v>
      </c>
      <c r="E303" s="11" t="s">
        <v>4047</v>
      </c>
      <c r="F303" s="11" t="s">
        <v>16</v>
      </c>
      <c r="G303" s="1">
        <v>46237</v>
      </c>
      <c r="H303" s="1">
        <v>46239</v>
      </c>
      <c r="I303" s="2"/>
      <c r="J303" s="2"/>
      <c r="K303" s="11"/>
      <c r="L303" s="11" t="s">
        <v>4041</v>
      </c>
      <c r="M303" s="1"/>
      <c r="N303" s="11"/>
      <c r="O303" s="11" t="s">
        <v>4042</v>
      </c>
      <c r="P303" s="1"/>
      <c r="Q303" s="1"/>
      <c r="R303" s="11"/>
      <c r="S303" s="2">
        <f>CONSOLIDADO_2026[[#This Row],[Hora final]]-CONSOLIDADO_2026[[#This Row],[Hora inic]]</f>
        <v>0</v>
      </c>
    </row>
    <row r="304" spans="1:19" hidden="1" x14ac:dyDescent="0.25">
      <c r="A304" t="s">
        <v>4043</v>
      </c>
      <c r="B304">
        <v>1001996913</v>
      </c>
      <c r="C304" t="s">
        <v>3174</v>
      </c>
      <c r="D304" s="11" t="s">
        <v>28</v>
      </c>
      <c r="E304" s="11" t="s">
        <v>4046</v>
      </c>
      <c r="F304" s="11" t="s">
        <v>4074</v>
      </c>
      <c r="G304" s="1">
        <v>46237</v>
      </c>
      <c r="H304" s="1">
        <v>46238</v>
      </c>
      <c r="I304" s="2">
        <v>0.25</v>
      </c>
      <c r="J304" s="2"/>
      <c r="K304" s="11"/>
      <c r="L304" s="11" t="s">
        <v>4060</v>
      </c>
      <c r="M304" s="1">
        <v>46237</v>
      </c>
      <c r="N304" s="11"/>
      <c r="O304" s="11" t="s">
        <v>4042</v>
      </c>
      <c r="P304" s="1">
        <v>46237</v>
      </c>
      <c r="Q304" s="1"/>
      <c r="R304" s="11" t="s">
        <v>4081</v>
      </c>
      <c r="S304" s="2">
        <f>CONSOLIDADO_2026[[#This Row],[Hora final]]-CONSOLIDADO_2026[[#This Row],[Hora inic]]</f>
        <v>-0.25</v>
      </c>
    </row>
    <row r="305" spans="1:19" hidden="1" x14ac:dyDescent="0.25">
      <c r="A305" t="s">
        <v>4055</v>
      </c>
      <c r="B305">
        <v>1001996913</v>
      </c>
      <c r="C305" t="s">
        <v>3174</v>
      </c>
      <c r="D305" s="11" t="s">
        <v>28</v>
      </c>
      <c r="E305" s="11" t="s">
        <v>4046</v>
      </c>
      <c r="F305" s="11" t="s">
        <v>4074</v>
      </c>
      <c r="G305" s="1">
        <v>46237</v>
      </c>
      <c r="H305" s="1">
        <v>46238</v>
      </c>
      <c r="I305" s="2">
        <v>0.25</v>
      </c>
      <c r="J305" s="2">
        <v>0.54166666666666663</v>
      </c>
      <c r="K305" s="11"/>
      <c r="L305" s="11" t="s">
        <v>4060</v>
      </c>
      <c r="M305" s="1">
        <v>46237</v>
      </c>
      <c r="N305" s="11"/>
      <c r="O305" s="11" t="s">
        <v>4042</v>
      </c>
      <c r="P305" s="1">
        <v>46237</v>
      </c>
      <c r="Q305" s="1"/>
      <c r="R305" s="11" t="s">
        <v>4081</v>
      </c>
      <c r="S305" s="2">
        <f>CONSOLIDADO_2026[[#This Row],[Hora final]]-CONSOLIDADO_2026[[#This Row],[Hora inic]]</f>
        <v>0.29166666666666663</v>
      </c>
    </row>
    <row r="306" spans="1:19" hidden="1" x14ac:dyDescent="0.25">
      <c r="A306" t="s">
        <v>4053</v>
      </c>
      <c r="B306">
        <v>1001996913</v>
      </c>
      <c r="C306" t="s">
        <v>3174</v>
      </c>
      <c r="D306" s="11" t="s">
        <v>28</v>
      </c>
      <c r="E306" s="11" t="s">
        <v>4046</v>
      </c>
      <c r="F306" s="11" t="s">
        <v>16</v>
      </c>
      <c r="G306" s="1">
        <v>46237</v>
      </c>
      <c r="H306" s="1">
        <v>46238</v>
      </c>
      <c r="I306" s="2"/>
      <c r="J306" s="2"/>
      <c r="K306" s="11"/>
      <c r="L306" s="11" t="s">
        <v>4041</v>
      </c>
      <c r="M306" s="1"/>
      <c r="N306" s="11"/>
      <c r="O306" s="11" t="s">
        <v>4042</v>
      </c>
      <c r="P306" s="1"/>
      <c r="Q306" s="1"/>
      <c r="R306" s="11"/>
      <c r="S306" s="2">
        <f>CONSOLIDADO_2026[[#This Row],[Hora final]]-CONSOLIDADO_2026[[#This Row],[Hora inic]]</f>
        <v>0</v>
      </c>
    </row>
    <row r="307" spans="1:19" hidden="1" x14ac:dyDescent="0.25">
      <c r="A307" t="s">
        <v>4043</v>
      </c>
      <c r="B307">
        <v>1004373476</v>
      </c>
      <c r="C307" t="s">
        <v>3779</v>
      </c>
      <c r="D307" s="11" t="s">
        <v>15</v>
      </c>
      <c r="E307" s="11" t="s">
        <v>4046</v>
      </c>
      <c r="F307" s="11" t="s">
        <v>4074</v>
      </c>
      <c r="G307" s="1">
        <v>46237</v>
      </c>
      <c r="H307" s="1">
        <v>46238</v>
      </c>
      <c r="I307" s="2">
        <v>0.25</v>
      </c>
      <c r="J307" s="2">
        <v>0.54166666666666663</v>
      </c>
      <c r="K307" s="11"/>
      <c r="L307" s="11" t="s">
        <v>4060</v>
      </c>
      <c r="M307" s="1">
        <v>46237</v>
      </c>
      <c r="N307" s="11"/>
      <c r="O307" s="11" t="s">
        <v>4042</v>
      </c>
      <c r="P307" s="1">
        <v>46237</v>
      </c>
      <c r="Q307" s="1"/>
      <c r="R307" s="11" t="s">
        <v>4081</v>
      </c>
      <c r="S307" s="2">
        <f>CONSOLIDADO_2026[[#This Row],[Hora final]]-CONSOLIDADO_2026[[#This Row],[Hora inic]]</f>
        <v>0.29166666666666663</v>
      </c>
    </row>
    <row r="308" spans="1:19" hidden="1" x14ac:dyDescent="0.25">
      <c r="A308" t="s">
        <v>4055</v>
      </c>
      <c r="B308">
        <v>1004373476</v>
      </c>
      <c r="C308" t="s">
        <v>3779</v>
      </c>
      <c r="D308" s="11" t="s">
        <v>15</v>
      </c>
      <c r="E308" s="11" t="s">
        <v>4046</v>
      </c>
      <c r="F308" s="11" t="s">
        <v>16</v>
      </c>
      <c r="G308" s="1">
        <v>46237</v>
      </c>
      <c r="H308" s="1">
        <v>46238</v>
      </c>
      <c r="I308" s="2">
        <v>0.58333333333333337</v>
      </c>
      <c r="J308" s="2">
        <v>0.875</v>
      </c>
      <c r="K308" s="11" t="s">
        <v>300</v>
      </c>
      <c r="L308" s="11" t="s">
        <v>301</v>
      </c>
      <c r="M308" s="1"/>
      <c r="N308" s="11"/>
      <c r="O308" s="11" t="s">
        <v>21</v>
      </c>
      <c r="P308" s="1"/>
      <c r="Q308" s="1"/>
      <c r="R308" s="11"/>
      <c r="S308" s="2">
        <f>CONSOLIDADO_2026[[#This Row],[Hora final]]-CONSOLIDADO_2026[[#This Row],[Hora inic]]</f>
        <v>0.29166666666666663</v>
      </c>
    </row>
    <row r="309" spans="1:19" hidden="1" x14ac:dyDescent="0.25">
      <c r="A309" t="s">
        <v>4053</v>
      </c>
      <c r="B309">
        <v>1004373476</v>
      </c>
      <c r="C309" t="s">
        <v>3779</v>
      </c>
      <c r="D309" s="11" t="s">
        <v>15</v>
      </c>
      <c r="E309" s="11" t="s">
        <v>4046</v>
      </c>
      <c r="F309" s="11" t="s">
        <v>16</v>
      </c>
      <c r="G309" s="1">
        <v>46237</v>
      </c>
      <c r="H309" s="1">
        <v>46238</v>
      </c>
      <c r="I309" s="2"/>
      <c r="J309" s="2"/>
      <c r="K309" s="11"/>
      <c r="L309" s="11" t="s">
        <v>4041</v>
      </c>
      <c r="M309" s="1"/>
      <c r="N309" s="11"/>
      <c r="O309" s="11" t="s">
        <v>4042</v>
      </c>
      <c r="P309" s="1"/>
      <c r="Q309" s="1"/>
      <c r="R309" s="11"/>
      <c r="S309" s="2">
        <f>CONSOLIDADO_2026[[#This Row],[Hora final]]-CONSOLIDADO_2026[[#This Row],[Hora inic]]</f>
        <v>0</v>
      </c>
    </row>
    <row r="310" spans="1:19" hidden="1" x14ac:dyDescent="0.25">
      <c r="A310" t="s">
        <v>4043</v>
      </c>
      <c r="B310">
        <v>1082984414</v>
      </c>
      <c r="C310" t="s">
        <v>2953</v>
      </c>
      <c r="D310" s="11" t="s">
        <v>44</v>
      </c>
      <c r="E310" s="11" t="s">
        <v>4045</v>
      </c>
      <c r="F310" s="11" t="s">
        <v>4074</v>
      </c>
      <c r="G310" s="1">
        <v>46237</v>
      </c>
      <c r="H310" s="1">
        <v>46238</v>
      </c>
      <c r="I310" s="2">
        <v>0.54166666666666663</v>
      </c>
      <c r="J310" s="2">
        <v>0.875</v>
      </c>
      <c r="K310" s="11"/>
      <c r="L310" s="11" t="s">
        <v>4235</v>
      </c>
      <c r="M310" s="1">
        <v>46237</v>
      </c>
      <c r="N310" s="11"/>
      <c r="O310" s="11" t="s">
        <v>21</v>
      </c>
      <c r="P310" s="1">
        <v>46237</v>
      </c>
      <c r="Q310" s="1"/>
      <c r="R310" s="11" t="s">
        <v>4081</v>
      </c>
      <c r="S310" s="2">
        <f>CONSOLIDADO_2026[[#This Row],[Hora final]]-CONSOLIDADO_2026[[#This Row],[Hora inic]]</f>
        <v>0.33333333333333337</v>
      </c>
    </row>
    <row r="311" spans="1:19" hidden="1" x14ac:dyDescent="0.25">
      <c r="A311" t="s">
        <v>4055</v>
      </c>
      <c r="B311">
        <v>1082984414</v>
      </c>
      <c r="C311" t="s">
        <v>2953</v>
      </c>
      <c r="D311" s="11" t="s">
        <v>44</v>
      </c>
      <c r="E311" s="11" t="s">
        <v>4045</v>
      </c>
      <c r="F311" s="11" t="s">
        <v>16</v>
      </c>
      <c r="G311" s="1">
        <v>46237</v>
      </c>
      <c r="H311" s="1">
        <v>46238</v>
      </c>
      <c r="I311" s="2">
        <v>0.25</v>
      </c>
      <c r="J311" s="2">
        <v>0.54166666666666663</v>
      </c>
      <c r="K311" s="11"/>
      <c r="L311" s="11" t="s">
        <v>327</v>
      </c>
      <c r="M311" s="1"/>
      <c r="N311" s="11"/>
      <c r="O311" s="11" t="s">
        <v>4042</v>
      </c>
      <c r="P311" s="1"/>
      <c r="Q311" s="1"/>
      <c r="R311" s="11"/>
      <c r="S311" s="2">
        <f>CONSOLIDADO_2026[[#This Row],[Hora final]]-CONSOLIDADO_2026[[#This Row],[Hora inic]]</f>
        <v>0.29166666666666663</v>
      </c>
    </row>
    <row r="312" spans="1:19" hidden="1" x14ac:dyDescent="0.25">
      <c r="A312" t="s">
        <v>4053</v>
      </c>
      <c r="B312">
        <v>1082984414</v>
      </c>
      <c r="C312" t="s">
        <v>2953</v>
      </c>
      <c r="D312" s="11" t="s">
        <v>44</v>
      </c>
      <c r="E312" s="11" t="s">
        <v>4045</v>
      </c>
      <c r="F312" s="11" t="s">
        <v>16</v>
      </c>
      <c r="G312" s="1">
        <v>46237</v>
      </c>
      <c r="H312" s="1">
        <v>46238</v>
      </c>
      <c r="I312" s="2"/>
      <c r="J312" s="2"/>
      <c r="K312" s="11"/>
      <c r="L312" s="11" t="s">
        <v>4041</v>
      </c>
      <c r="M312" s="1"/>
      <c r="N312" s="11"/>
      <c r="O312" s="11" t="s">
        <v>4042</v>
      </c>
      <c r="P312" s="1"/>
      <c r="Q312" s="1"/>
      <c r="R312" s="11"/>
      <c r="S312" s="2">
        <f>CONSOLIDADO_2026[[#This Row],[Hora final]]-CONSOLIDADO_2026[[#This Row],[Hora inic]]</f>
        <v>0</v>
      </c>
    </row>
    <row r="313" spans="1:19" hidden="1" x14ac:dyDescent="0.25">
      <c r="A313" t="s">
        <v>4043</v>
      </c>
      <c r="B313">
        <v>1085687504</v>
      </c>
      <c r="C313" t="s">
        <v>258</v>
      </c>
      <c r="D313" s="11" t="s">
        <v>139</v>
      </c>
      <c r="E313" s="11" t="s">
        <v>4040</v>
      </c>
      <c r="F313" s="11" t="s">
        <v>4099</v>
      </c>
      <c r="G313" s="1">
        <v>46237</v>
      </c>
      <c r="H313" s="1">
        <v>46237</v>
      </c>
      <c r="I313" s="2">
        <v>0.54166666666666663</v>
      </c>
      <c r="J313" s="2">
        <v>0.58333333333333337</v>
      </c>
      <c r="K313" s="11" t="s">
        <v>257</v>
      </c>
      <c r="L313" s="11" t="s">
        <v>258</v>
      </c>
      <c r="M313" s="1"/>
      <c r="N313" s="11"/>
      <c r="O313" s="11" t="s">
        <v>21</v>
      </c>
      <c r="P313" s="1"/>
      <c r="Q313" s="1"/>
      <c r="R313" s="11"/>
      <c r="S313" s="2">
        <f>CONSOLIDADO_2026[[#This Row],[Hora final]]-CONSOLIDADO_2026[[#This Row],[Hora inic]]</f>
        <v>4.1666666666666741E-2</v>
      </c>
    </row>
    <row r="314" spans="1:19" hidden="1" x14ac:dyDescent="0.25">
      <c r="A314" t="s">
        <v>4043</v>
      </c>
      <c r="B314">
        <v>1042422897</v>
      </c>
      <c r="C314" t="s">
        <v>4100</v>
      </c>
      <c r="D314" s="11" t="s">
        <v>256</v>
      </c>
      <c r="E314" s="11" t="s">
        <v>4040</v>
      </c>
      <c r="F314" s="11" t="s">
        <v>4074</v>
      </c>
      <c r="G314" s="1">
        <v>46237</v>
      </c>
      <c r="H314" s="1">
        <v>46238</v>
      </c>
      <c r="I314" s="2">
        <v>0.54166666666666663</v>
      </c>
      <c r="J314" s="2">
        <v>0.875</v>
      </c>
      <c r="K314" s="11"/>
      <c r="L314" s="11" t="s">
        <v>4101</v>
      </c>
      <c r="M314" s="1">
        <v>46240</v>
      </c>
      <c r="N314" s="11"/>
      <c r="O314" s="11" t="s">
        <v>21</v>
      </c>
      <c r="P314" s="1">
        <v>46237</v>
      </c>
      <c r="Q314" s="1"/>
      <c r="R314" s="11" t="s">
        <v>4081</v>
      </c>
      <c r="S314" s="2">
        <f>CONSOLIDADO_2026[[#This Row],[Hora final]]-CONSOLIDADO_2026[[#This Row],[Hora inic]]</f>
        <v>0.33333333333333337</v>
      </c>
    </row>
    <row r="315" spans="1:19" hidden="1" x14ac:dyDescent="0.25">
      <c r="A315" t="s">
        <v>4055</v>
      </c>
      <c r="B315">
        <v>1042422897</v>
      </c>
      <c r="C315" t="s">
        <v>4100</v>
      </c>
      <c r="D315" s="11" t="s">
        <v>256</v>
      </c>
      <c r="E315" s="11" t="s">
        <v>4040</v>
      </c>
      <c r="F315" s="11" t="s">
        <v>16</v>
      </c>
      <c r="G315" s="1">
        <v>46237</v>
      </c>
      <c r="H315" s="1">
        <v>46238</v>
      </c>
      <c r="I315" s="2">
        <v>0.25</v>
      </c>
      <c r="J315" s="2">
        <v>0.54166666666666663</v>
      </c>
      <c r="K315" s="11"/>
      <c r="L315" s="11" t="s">
        <v>327</v>
      </c>
      <c r="M315" s="1"/>
      <c r="N315" s="11"/>
      <c r="O315" s="11" t="s">
        <v>4042</v>
      </c>
      <c r="P315" s="1"/>
      <c r="Q315" s="1"/>
      <c r="R315" s="11"/>
      <c r="S315" s="2">
        <f>CONSOLIDADO_2026[[#This Row],[Hora final]]-CONSOLIDADO_2026[[#This Row],[Hora inic]]</f>
        <v>0.29166666666666663</v>
      </c>
    </row>
    <row r="316" spans="1:19" hidden="1" x14ac:dyDescent="0.25">
      <c r="A316" t="s">
        <v>4053</v>
      </c>
      <c r="B316">
        <v>1042422897</v>
      </c>
      <c r="C316" t="s">
        <v>4102</v>
      </c>
      <c r="D316" s="11" t="s">
        <v>256</v>
      </c>
      <c r="E316" s="11" t="s">
        <v>4040</v>
      </c>
      <c r="F316" s="11" t="s">
        <v>16</v>
      </c>
      <c r="G316" s="1">
        <v>46237</v>
      </c>
      <c r="H316" s="1">
        <v>46238</v>
      </c>
      <c r="I316" s="2"/>
      <c r="J316" s="2"/>
      <c r="K316" s="11"/>
      <c r="L316" s="11" t="s">
        <v>4041</v>
      </c>
      <c r="M316" s="1"/>
      <c r="N316" s="11"/>
      <c r="O316" s="11" t="s">
        <v>4042</v>
      </c>
      <c r="P316" s="1"/>
      <c r="Q316" s="1"/>
      <c r="R316" s="11"/>
      <c r="S316" s="2">
        <f>CONSOLIDADO_2026[[#This Row],[Hora final]]-CONSOLIDADO_2026[[#This Row],[Hora inic]]</f>
        <v>0</v>
      </c>
    </row>
    <row r="317" spans="1:19" hidden="1" x14ac:dyDescent="0.25">
      <c r="A317" t="s">
        <v>4048</v>
      </c>
      <c r="B317">
        <v>1042422897</v>
      </c>
      <c r="C317" t="s">
        <v>4102</v>
      </c>
      <c r="D317" s="11" t="s">
        <v>256</v>
      </c>
      <c r="E317" s="11" t="s">
        <v>4040</v>
      </c>
      <c r="F317" s="11" t="s">
        <v>16</v>
      </c>
      <c r="G317" s="1">
        <v>46237</v>
      </c>
      <c r="H317" s="1">
        <v>46238</v>
      </c>
      <c r="I317" s="2"/>
      <c r="J317" s="2"/>
      <c r="K317" s="11"/>
      <c r="L317" s="11" t="s">
        <v>4041</v>
      </c>
      <c r="M317" s="1"/>
      <c r="N317" s="11"/>
      <c r="O317" s="11" t="s">
        <v>4042</v>
      </c>
      <c r="P317" s="1"/>
      <c r="Q317" s="1"/>
      <c r="R317" s="11"/>
      <c r="S317" s="2">
        <f>CONSOLIDADO_2026[[#This Row],[Hora final]]-CONSOLIDADO_2026[[#This Row],[Hora inic]]</f>
        <v>0</v>
      </c>
    </row>
    <row r="318" spans="1:19" hidden="1" x14ac:dyDescent="0.25">
      <c r="A318" t="s">
        <v>4043</v>
      </c>
      <c r="B318">
        <v>1017267628</v>
      </c>
      <c r="C318" t="s">
        <v>255</v>
      </c>
      <c r="D318" s="11" t="s">
        <v>256</v>
      </c>
      <c r="E318" s="11" t="s">
        <v>4040</v>
      </c>
      <c r="F318" s="11" t="s">
        <v>4074</v>
      </c>
      <c r="G318" s="1">
        <v>46237</v>
      </c>
      <c r="H318" s="1">
        <v>46243</v>
      </c>
      <c r="I318" s="2">
        <v>0.58333333333333337</v>
      </c>
      <c r="J318" s="2">
        <v>0.875</v>
      </c>
      <c r="K318" s="11"/>
      <c r="L318" s="11" t="s">
        <v>4060</v>
      </c>
      <c r="M318" s="1">
        <v>46242</v>
      </c>
      <c r="N318" s="11"/>
      <c r="O318" s="11" t="s">
        <v>4042</v>
      </c>
      <c r="P318" s="1">
        <v>46237</v>
      </c>
      <c r="Q318" s="1"/>
      <c r="R318" s="11" t="s">
        <v>4081</v>
      </c>
      <c r="S318" s="2">
        <f>CONSOLIDADO_2026[[#This Row],[Hora final]]-CONSOLIDADO_2026[[#This Row],[Hora inic]]</f>
        <v>0.29166666666666663</v>
      </c>
    </row>
    <row r="319" spans="1:19" hidden="1" x14ac:dyDescent="0.25">
      <c r="A319" t="s">
        <v>4055</v>
      </c>
      <c r="B319">
        <v>1017267628</v>
      </c>
      <c r="C319" t="s">
        <v>255</v>
      </c>
      <c r="D319" s="11" t="s">
        <v>256</v>
      </c>
      <c r="E319" s="11" t="s">
        <v>4040</v>
      </c>
      <c r="F319" s="11" t="s">
        <v>4074</v>
      </c>
      <c r="G319" s="1">
        <v>46237</v>
      </c>
      <c r="H319" s="1">
        <v>46243</v>
      </c>
      <c r="I319" s="2">
        <v>0.25</v>
      </c>
      <c r="J319" s="2">
        <v>0.54166666666666663</v>
      </c>
      <c r="K319" s="11"/>
      <c r="L319" s="11" t="s">
        <v>4060</v>
      </c>
      <c r="M319" s="1">
        <v>46238</v>
      </c>
      <c r="N319" s="11"/>
      <c r="O319" s="11" t="s">
        <v>4042</v>
      </c>
      <c r="P319" s="1">
        <v>46237</v>
      </c>
      <c r="Q319" s="1"/>
      <c r="R319" s="11" t="s">
        <v>4081</v>
      </c>
      <c r="S319" s="2">
        <f>CONSOLIDADO_2026[[#This Row],[Hora final]]-CONSOLIDADO_2026[[#This Row],[Hora inic]]</f>
        <v>0.29166666666666663</v>
      </c>
    </row>
    <row r="320" spans="1:19" hidden="1" x14ac:dyDescent="0.25">
      <c r="A320" t="s">
        <v>4048</v>
      </c>
      <c r="B320">
        <v>1017267628</v>
      </c>
      <c r="C320" t="s">
        <v>255</v>
      </c>
      <c r="D320" s="11" t="s">
        <v>256</v>
      </c>
      <c r="E320" s="11" t="s">
        <v>4040</v>
      </c>
      <c r="F320" s="11" t="s">
        <v>158</v>
      </c>
      <c r="G320" s="1">
        <v>46237</v>
      </c>
      <c r="H320" s="1">
        <v>46243</v>
      </c>
      <c r="I320" s="2">
        <v>0.58333333333333337</v>
      </c>
      <c r="J320" s="2">
        <v>0.875</v>
      </c>
      <c r="K320" s="11" t="s">
        <v>257</v>
      </c>
      <c r="L320" s="11" t="s">
        <v>258</v>
      </c>
      <c r="M320" s="1"/>
      <c r="N320" s="11"/>
      <c r="O320" s="11" t="s">
        <v>21</v>
      </c>
      <c r="P320" s="1"/>
      <c r="Q320" s="1"/>
      <c r="R320" s="11"/>
      <c r="S320" s="2">
        <f>CONSOLIDADO_2026[[#This Row],[Hora final]]-CONSOLIDADO_2026[[#This Row],[Hora inic]]</f>
        <v>0.29166666666666663</v>
      </c>
    </row>
    <row r="321" spans="1:19" hidden="1" x14ac:dyDescent="0.25">
      <c r="A321" t="s">
        <v>4051</v>
      </c>
      <c r="B321">
        <v>1017267628</v>
      </c>
      <c r="C321" t="s">
        <v>4103</v>
      </c>
      <c r="D321" s="11" t="s">
        <v>256</v>
      </c>
      <c r="E321" s="11" t="s">
        <v>4040</v>
      </c>
      <c r="F321" s="11" t="s">
        <v>158</v>
      </c>
      <c r="G321" s="1">
        <v>46237</v>
      </c>
      <c r="H321" s="1">
        <v>46243</v>
      </c>
      <c r="I321" s="2"/>
      <c r="J321" s="2"/>
      <c r="K321" s="11"/>
      <c r="L321" s="11" t="s">
        <v>341</v>
      </c>
      <c r="M321" s="1"/>
      <c r="N321" s="11" t="s">
        <v>4042</v>
      </c>
      <c r="O321" s="11" t="s">
        <v>4042</v>
      </c>
      <c r="P321" s="1"/>
      <c r="Q321" s="1"/>
      <c r="R321" s="11"/>
      <c r="S321" s="2">
        <f>CONSOLIDADO_2026[[#This Row],[Hora final]]-CONSOLIDADO_2026[[#This Row],[Hora inic]]</f>
        <v>0</v>
      </c>
    </row>
    <row r="322" spans="1:19" hidden="1" x14ac:dyDescent="0.25">
      <c r="A322" t="s">
        <v>4052</v>
      </c>
      <c r="B322">
        <v>1017267628</v>
      </c>
      <c r="C322" t="s">
        <v>4103</v>
      </c>
      <c r="D322" s="11" t="s">
        <v>256</v>
      </c>
      <c r="E322" s="11" t="s">
        <v>4040</v>
      </c>
      <c r="F322" s="11" t="s">
        <v>16</v>
      </c>
      <c r="G322" s="1">
        <v>46237</v>
      </c>
      <c r="H322" s="1">
        <v>46243</v>
      </c>
      <c r="I322" s="2">
        <v>0.58333333333333337</v>
      </c>
      <c r="J322" s="2">
        <v>0.875</v>
      </c>
      <c r="K322" s="11"/>
      <c r="L322" s="11" t="s">
        <v>4041</v>
      </c>
      <c r="M322" s="1"/>
      <c r="N322" s="11"/>
      <c r="O322" s="11" t="s">
        <v>4042</v>
      </c>
      <c r="P322" s="1"/>
      <c r="Q322" s="1"/>
      <c r="R322" s="11"/>
      <c r="S322" s="2">
        <f>CONSOLIDADO_2026[[#This Row],[Hora final]]-CONSOLIDADO_2026[[#This Row],[Hora inic]]</f>
        <v>0.29166666666666663</v>
      </c>
    </row>
    <row r="323" spans="1:19" hidden="1" x14ac:dyDescent="0.25">
      <c r="A323" t="s">
        <v>4043</v>
      </c>
      <c r="B323">
        <v>1000083810</v>
      </c>
      <c r="C323" t="s">
        <v>1193</v>
      </c>
      <c r="D323" s="11" t="s">
        <v>59</v>
      </c>
      <c r="E323" s="11" t="s">
        <v>4047</v>
      </c>
      <c r="F323" s="11" t="s">
        <v>4074</v>
      </c>
      <c r="G323" s="1">
        <v>46237</v>
      </c>
      <c r="H323" s="1">
        <v>46239</v>
      </c>
      <c r="I323" s="2">
        <v>0.5</v>
      </c>
      <c r="J323" s="2">
        <v>0.83333333333333337</v>
      </c>
      <c r="K323" s="11"/>
      <c r="L323" s="11" t="s">
        <v>4060</v>
      </c>
      <c r="M323" s="1">
        <v>46237</v>
      </c>
      <c r="N323" s="11"/>
      <c r="O323" s="11" t="s">
        <v>4042</v>
      </c>
      <c r="P323" s="1">
        <v>46238</v>
      </c>
      <c r="Q323" s="1"/>
      <c r="R323" s="11" t="s">
        <v>4081</v>
      </c>
      <c r="S323" s="2">
        <f>CONSOLIDADO_2026[[#This Row],[Hora final]]-CONSOLIDADO_2026[[#This Row],[Hora inic]]</f>
        <v>0.33333333333333337</v>
      </c>
    </row>
    <row r="324" spans="1:19" hidden="1" x14ac:dyDescent="0.25">
      <c r="A324" t="s">
        <v>4055</v>
      </c>
      <c r="B324">
        <v>1000083810</v>
      </c>
      <c r="C324" t="s">
        <v>1193</v>
      </c>
      <c r="D324" s="11" t="s">
        <v>59</v>
      </c>
      <c r="E324" s="11" t="s">
        <v>4047</v>
      </c>
      <c r="F324" s="11" t="s">
        <v>4074</v>
      </c>
      <c r="G324" s="1">
        <v>46237</v>
      </c>
      <c r="H324" s="1">
        <v>46239</v>
      </c>
      <c r="I324" s="2">
        <v>0.5</v>
      </c>
      <c r="J324" s="2">
        <v>0.83333333333333337</v>
      </c>
      <c r="K324" s="11"/>
      <c r="L324" s="11" t="s">
        <v>4060</v>
      </c>
      <c r="M324" s="1">
        <v>46238</v>
      </c>
      <c r="N324" s="11"/>
      <c r="O324" s="11" t="s">
        <v>4042</v>
      </c>
      <c r="P324" s="1">
        <v>46237</v>
      </c>
      <c r="Q324" s="1"/>
      <c r="R324" s="11" t="s">
        <v>4081</v>
      </c>
      <c r="S324" s="2">
        <f>CONSOLIDADO_2026[[#This Row],[Hora final]]-CONSOLIDADO_2026[[#This Row],[Hora inic]]</f>
        <v>0.33333333333333337</v>
      </c>
    </row>
    <row r="325" spans="1:19" hidden="1" x14ac:dyDescent="0.25">
      <c r="A325" t="s">
        <v>4053</v>
      </c>
      <c r="B325">
        <v>1000083810</v>
      </c>
      <c r="C325" t="s">
        <v>1193</v>
      </c>
      <c r="D325" s="11" t="s">
        <v>59</v>
      </c>
      <c r="E325" s="11" t="s">
        <v>4047</v>
      </c>
      <c r="F325" s="11" t="s">
        <v>16</v>
      </c>
      <c r="G325" s="1">
        <v>46237</v>
      </c>
      <c r="H325" s="1">
        <v>46239</v>
      </c>
      <c r="I325" s="2">
        <v>0.54166666666666663</v>
      </c>
      <c r="J325" s="2">
        <v>0.83333333333333337</v>
      </c>
      <c r="K325" s="11"/>
      <c r="L325" s="11" t="s">
        <v>327</v>
      </c>
      <c r="M325" s="1"/>
      <c r="N325" s="11"/>
      <c r="O325" s="11" t="s">
        <v>4042</v>
      </c>
      <c r="P325" s="1"/>
      <c r="Q325" s="1"/>
      <c r="R325" s="11"/>
      <c r="S325" s="2">
        <f>CONSOLIDADO_2026[[#This Row],[Hora final]]-CONSOLIDADO_2026[[#This Row],[Hora inic]]</f>
        <v>0.29166666666666674</v>
      </c>
    </row>
    <row r="326" spans="1:19" hidden="1" x14ac:dyDescent="0.25">
      <c r="A326" t="s">
        <v>4048</v>
      </c>
      <c r="B326">
        <v>1000083810</v>
      </c>
      <c r="C326" t="s">
        <v>1193</v>
      </c>
      <c r="D326" s="11" t="s">
        <v>59</v>
      </c>
      <c r="E326" s="11" t="s">
        <v>4047</v>
      </c>
      <c r="F326" s="11" t="s">
        <v>16</v>
      </c>
      <c r="G326" s="1">
        <v>46237</v>
      </c>
      <c r="H326" s="1">
        <v>46239</v>
      </c>
      <c r="I326" s="2"/>
      <c r="J326" s="2"/>
      <c r="K326" s="11"/>
      <c r="L326" s="11" t="s">
        <v>4041</v>
      </c>
      <c r="M326" s="1"/>
      <c r="N326" s="11"/>
      <c r="O326" s="11" t="s">
        <v>4042</v>
      </c>
      <c r="P326" s="1"/>
      <c r="Q326" s="1"/>
      <c r="R326" s="11"/>
      <c r="S326" s="2">
        <f>CONSOLIDADO_2026[[#This Row],[Hora final]]-CONSOLIDADO_2026[[#This Row],[Hora inic]]</f>
        <v>0</v>
      </c>
    </row>
    <row r="327" spans="1:19" hidden="1" x14ac:dyDescent="0.25">
      <c r="A327" t="s">
        <v>4043</v>
      </c>
      <c r="B327">
        <v>1003000892</v>
      </c>
      <c r="C327" t="s">
        <v>182</v>
      </c>
      <c r="D327" s="11" t="s">
        <v>245</v>
      </c>
      <c r="E327" s="11" t="s">
        <v>4040</v>
      </c>
      <c r="F327" s="11" t="s">
        <v>4104</v>
      </c>
      <c r="G327" s="1">
        <v>46237</v>
      </c>
      <c r="H327" s="1">
        <v>46237</v>
      </c>
      <c r="I327" s="2">
        <v>0.54166666666666663</v>
      </c>
      <c r="J327" s="2">
        <v>0.79166666666666663</v>
      </c>
      <c r="K327" s="11" t="s">
        <v>181</v>
      </c>
      <c r="L327" s="11" t="s">
        <v>182</v>
      </c>
      <c r="M327" s="1"/>
      <c r="N327" s="11"/>
      <c r="O327" s="11" t="s">
        <v>4042</v>
      </c>
      <c r="P327" s="1"/>
      <c r="Q327" s="1"/>
      <c r="R327" s="11"/>
      <c r="S327" s="2">
        <f>CONSOLIDADO_2026[[#This Row],[Hora final]]-CONSOLIDADO_2026[[#This Row],[Hora inic]]</f>
        <v>0.25</v>
      </c>
    </row>
    <row r="328" spans="1:19" hidden="1" x14ac:dyDescent="0.25">
      <c r="A328" t="s">
        <v>4043</v>
      </c>
      <c r="B328">
        <v>1020486493</v>
      </c>
      <c r="C328" t="s">
        <v>4105</v>
      </c>
      <c r="D328" s="11" t="s">
        <v>256</v>
      </c>
      <c r="E328" s="11" t="s">
        <v>4040</v>
      </c>
      <c r="F328" s="11" t="s">
        <v>4090</v>
      </c>
      <c r="G328" s="1">
        <v>46237</v>
      </c>
      <c r="H328" s="1">
        <v>46239</v>
      </c>
      <c r="I328" s="2">
        <v>0.58333333333333337</v>
      </c>
      <c r="J328" s="2">
        <v>0.875</v>
      </c>
      <c r="K328" s="11" t="s">
        <v>107</v>
      </c>
      <c r="L328" s="11" t="s">
        <v>108</v>
      </c>
      <c r="M328" s="1"/>
      <c r="N328" s="11"/>
      <c r="O328" s="11" t="s">
        <v>21</v>
      </c>
      <c r="P328" s="1"/>
      <c r="Q328" s="1"/>
      <c r="R328" s="11"/>
      <c r="S328" s="2">
        <f>CONSOLIDADO_2026[[#This Row],[Hora final]]-CONSOLIDADO_2026[[#This Row],[Hora inic]]</f>
        <v>0.29166666666666663</v>
      </c>
    </row>
    <row r="329" spans="1:19" hidden="1" x14ac:dyDescent="0.25">
      <c r="A329" t="s">
        <v>4055</v>
      </c>
      <c r="B329">
        <v>1020486493</v>
      </c>
      <c r="C329" t="s">
        <v>4105</v>
      </c>
      <c r="D329" s="11" t="s">
        <v>256</v>
      </c>
      <c r="E329" s="11" t="s">
        <v>4040</v>
      </c>
      <c r="F329" s="11" t="s">
        <v>4091</v>
      </c>
      <c r="G329" s="1">
        <v>46237</v>
      </c>
      <c r="H329" s="1">
        <v>46239</v>
      </c>
      <c r="I329" s="2">
        <v>0.54166666666666663</v>
      </c>
      <c r="J329" s="2">
        <v>0.875</v>
      </c>
      <c r="K329" s="11" t="s">
        <v>1382</v>
      </c>
      <c r="L329" s="11" t="s">
        <v>1383</v>
      </c>
      <c r="M329" s="1"/>
      <c r="N329" s="11"/>
      <c r="O329" s="11" t="s">
        <v>21</v>
      </c>
      <c r="P329" s="1"/>
      <c r="Q329" s="1"/>
      <c r="R329" s="11"/>
      <c r="S329" s="2">
        <f>CONSOLIDADO_2026[[#This Row],[Hora final]]-CONSOLIDADO_2026[[#This Row],[Hora inic]]</f>
        <v>0.33333333333333337</v>
      </c>
    </row>
    <row r="330" spans="1:19" hidden="1" x14ac:dyDescent="0.25">
      <c r="A330" t="s">
        <v>4053</v>
      </c>
      <c r="B330">
        <v>1020486493</v>
      </c>
      <c r="C330" t="s">
        <v>4106</v>
      </c>
      <c r="D330" s="11" t="s">
        <v>256</v>
      </c>
      <c r="E330" s="11" t="s">
        <v>4040</v>
      </c>
      <c r="F330" s="11" t="s">
        <v>4091</v>
      </c>
      <c r="G330" s="1">
        <v>46237</v>
      </c>
      <c r="H330" s="1">
        <v>46239</v>
      </c>
      <c r="I330" s="2">
        <v>0.25</v>
      </c>
      <c r="J330" s="2">
        <v>0.54166666666666663</v>
      </c>
      <c r="K330" s="11" t="s">
        <v>246</v>
      </c>
      <c r="L330" s="11" t="s">
        <v>247</v>
      </c>
      <c r="M330" s="1"/>
      <c r="N330" s="11"/>
      <c r="O330" s="11" t="s">
        <v>21</v>
      </c>
      <c r="P330" s="1"/>
      <c r="Q330" s="1"/>
      <c r="R330" s="11"/>
      <c r="S330" s="2">
        <f>CONSOLIDADO_2026[[#This Row],[Hora final]]-CONSOLIDADO_2026[[#This Row],[Hora inic]]</f>
        <v>0.29166666666666663</v>
      </c>
    </row>
    <row r="331" spans="1:19" hidden="1" x14ac:dyDescent="0.25">
      <c r="A331" t="s">
        <v>4048</v>
      </c>
      <c r="B331">
        <v>1020486493</v>
      </c>
      <c r="C331" t="s">
        <v>4106</v>
      </c>
      <c r="D331" s="11" t="s">
        <v>256</v>
      </c>
      <c r="E331" s="11" t="s">
        <v>4040</v>
      </c>
      <c r="F331" s="11" t="s">
        <v>4091</v>
      </c>
      <c r="G331" s="1">
        <v>46237</v>
      </c>
      <c r="H331" s="1">
        <v>46239</v>
      </c>
      <c r="I331" s="2"/>
      <c r="J331" s="2"/>
      <c r="K331" s="11"/>
      <c r="L331" s="11" t="s">
        <v>4041</v>
      </c>
      <c r="M331" s="1"/>
      <c r="N331" s="11"/>
      <c r="O331" s="11" t="s">
        <v>4042</v>
      </c>
      <c r="P331" s="1"/>
      <c r="Q331" s="1"/>
      <c r="R331" s="11"/>
      <c r="S331" s="2">
        <f>CONSOLIDADO_2026[[#This Row],[Hora final]]-CONSOLIDADO_2026[[#This Row],[Hora inic]]</f>
        <v>0</v>
      </c>
    </row>
    <row r="332" spans="1:19" hidden="1" x14ac:dyDescent="0.25">
      <c r="A332" t="s">
        <v>4051</v>
      </c>
      <c r="B332">
        <v>1020486493</v>
      </c>
      <c r="C332" t="s">
        <v>4106</v>
      </c>
      <c r="D332" s="11" t="s">
        <v>256</v>
      </c>
      <c r="E332" s="11" t="s">
        <v>4040</v>
      </c>
      <c r="F332" s="11" t="s">
        <v>4091</v>
      </c>
      <c r="G332" s="1">
        <v>46237</v>
      </c>
      <c r="H332" s="1">
        <v>46239</v>
      </c>
      <c r="I332" s="2"/>
      <c r="J332" s="2"/>
      <c r="K332" s="11"/>
      <c r="L332" s="11" t="s">
        <v>4041</v>
      </c>
      <c r="M332" s="1"/>
      <c r="N332" s="11" t="s">
        <v>4042</v>
      </c>
      <c r="O332" s="11" t="s">
        <v>4042</v>
      </c>
      <c r="P332" s="1"/>
      <c r="Q332" s="1"/>
      <c r="R332" s="11"/>
      <c r="S332" s="2">
        <f>CONSOLIDADO_2026[[#This Row],[Hora final]]-CONSOLIDADO_2026[[#This Row],[Hora inic]]</f>
        <v>0</v>
      </c>
    </row>
    <row r="333" spans="1:19" hidden="1" x14ac:dyDescent="0.25">
      <c r="A333" t="s">
        <v>4055</v>
      </c>
      <c r="B333" t="s">
        <v>134</v>
      </c>
      <c r="C333" t="s">
        <v>135</v>
      </c>
      <c r="D333" s="11" t="s">
        <v>39</v>
      </c>
      <c r="E333" s="11" t="s">
        <v>4046</v>
      </c>
      <c r="F333" s="11" t="s">
        <v>16</v>
      </c>
      <c r="G333" s="1">
        <v>46237</v>
      </c>
      <c r="H333" s="1">
        <v>46256</v>
      </c>
      <c r="I333" s="2">
        <v>0.25</v>
      </c>
      <c r="J333" s="2">
        <v>0.54166666666666663</v>
      </c>
      <c r="K333" s="11"/>
      <c r="L333" s="11" t="s">
        <v>327</v>
      </c>
      <c r="M333" s="1"/>
      <c r="N333" s="11"/>
      <c r="O333" s="11" t="s">
        <v>4042</v>
      </c>
      <c r="P333" s="1"/>
      <c r="Q333" s="1"/>
      <c r="R333" s="11"/>
      <c r="S333" s="2">
        <f>CONSOLIDADO_2026[[#This Row],[Hora final]]-CONSOLIDADO_2026[[#This Row],[Hora inic]]</f>
        <v>0.29166666666666663</v>
      </c>
    </row>
    <row r="334" spans="1:19" hidden="1" x14ac:dyDescent="0.25">
      <c r="A334" t="s">
        <v>4055</v>
      </c>
      <c r="B334" t="s">
        <v>4107</v>
      </c>
      <c r="C334" t="s">
        <v>4061</v>
      </c>
      <c r="D334" s="11" t="s">
        <v>256</v>
      </c>
      <c r="E334" s="11" t="s">
        <v>4040</v>
      </c>
      <c r="F334" s="11" t="s">
        <v>4091</v>
      </c>
      <c r="G334" s="1">
        <v>46237</v>
      </c>
      <c r="H334" s="1">
        <v>46239</v>
      </c>
      <c r="I334" s="2">
        <v>0.25</v>
      </c>
      <c r="J334" s="2">
        <v>0.58333333333333337</v>
      </c>
      <c r="K334" s="11" t="s">
        <v>116</v>
      </c>
      <c r="L334" s="11" t="s">
        <v>117</v>
      </c>
      <c r="M334" s="1"/>
      <c r="N334" s="11"/>
      <c r="O334" s="11" t="s">
        <v>21</v>
      </c>
      <c r="P334" s="1"/>
      <c r="Q334" s="1"/>
      <c r="R334" s="11"/>
      <c r="S334" s="2">
        <f>CONSOLIDADO_2026[[#This Row],[Hora final]]-CONSOLIDADO_2026[[#This Row],[Hora inic]]</f>
        <v>0.33333333333333337</v>
      </c>
    </row>
    <row r="335" spans="1:19" hidden="1" x14ac:dyDescent="0.25">
      <c r="A335" t="s">
        <v>4055</v>
      </c>
      <c r="B335" t="s">
        <v>2853</v>
      </c>
      <c r="C335" t="s">
        <v>4108</v>
      </c>
      <c r="D335" s="11" t="s">
        <v>59</v>
      </c>
      <c r="E335" s="11" t="s">
        <v>4047</v>
      </c>
      <c r="F335" s="11" t="s">
        <v>16</v>
      </c>
      <c r="G335" s="1">
        <v>46235</v>
      </c>
      <c r="H335" s="1">
        <v>46235</v>
      </c>
      <c r="I335" s="2"/>
      <c r="J335" s="2"/>
      <c r="K335" s="11"/>
      <c r="L335" s="11" t="s">
        <v>4041</v>
      </c>
      <c r="M335" s="1"/>
      <c r="N335" s="11"/>
      <c r="O335" s="11" t="s">
        <v>4042</v>
      </c>
      <c r="P335" s="1"/>
      <c r="Q335" s="1"/>
      <c r="R335" s="11"/>
      <c r="S335" s="2">
        <f>CONSOLIDADO_2026[[#This Row],[Hora final]]-CONSOLIDADO_2026[[#This Row],[Hora inic]]</f>
        <v>0</v>
      </c>
    </row>
    <row r="336" spans="1:19" hidden="1" x14ac:dyDescent="0.25">
      <c r="A336" t="s">
        <v>4055</v>
      </c>
      <c r="B336" t="s">
        <v>1446</v>
      </c>
      <c r="C336" t="s">
        <v>1447</v>
      </c>
      <c r="D336" s="11" t="s">
        <v>143</v>
      </c>
      <c r="E336" s="11" t="s">
        <v>4045</v>
      </c>
      <c r="F336" s="11" t="s">
        <v>4087</v>
      </c>
      <c r="G336" s="1">
        <v>46235</v>
      </c>
      <c r="H336" s="1">
        <v>46235</v>
      </c>
      <c r="I336" s="2"/>
      <c r="J336" s="2"/>
      <c r="K336" s="11"/>
      <c r="L336" s="11" t="s">
        <v>4041</v>
      </c>
      <c r="M336" s="1"/>
      <c r="N336" s="11"/>
      <c r="O336" s="11" t="s">
        <v>4042</v>
      </c>
      <c r="P336" s="1"/>
      <c r="Q336" s="1"/>
      <c r="R336" s="11"/>
      <c r="S336" s="2">
        <f>CONSOLIDADO_2026[[#This Row],[Hora final]]-CONSOLIDADO_2026[[#This Row],[Hora inic]]</f>
        <v>0</v>
      </c>
    </row>
    <row r="337" spans="1:19" hidden="1" x14ac:dyDescent="0.25">
      <c r="A337" t="s">
        <v>4055</v>
      </c>
      <c r="B337" t="s">
        <v>2999</v>
      </c>
      <c r="C337" t="s">
        <v>4109</v>
      </c>
      <c r="D337" s="11" t="s">
        <v>59</v>
      </c>
      <c r="E337" s="11" t="s">
        <v>4047</v>
      </c>
      <c r="F337" s="11" t="s">
        <v>16</v>
      </c>
      <c r="G337" s="1">
        <v>46235</v>
      </c>
      <c r="H337" s="1">
        <v>46235</v>
      </c>
      <c r="I337" s="2"/>
      <c r="J337" s="2"/>
      <c r="K337" s="11"/>
      <c r="L337" s="11" t="s">
        <v>4041</v>
      </c>
      <c r="M337" s="1"/>
      <c r="N337" s="11"/>
      <c r="O337" s="11" t="s">
        <v>4042</v>
      </c>
      <c r="P337" s="1"/>
      <c r="Q337" s="1"/>
      <c r="R337" s="11"/>
      <c r="S337" s="2">
        <f>CONSOLIDADO_2026[[#This Row],[Hora final]]-CONSOLIDADO_2026[[#This Row],[Hora inic]]</f>
        <v>0</v>
      </c>
    </row>
    <row r="338" spans="1:19" hidden="1" x14ac:dyDescent="0.25">
      <c r="A338" t="s">
        <v>4055</v>
      </c>
      <c r="B338" t="s">
        <v>2163</v>
      </c>
      <c r="C338" t="s">
        <v>4110</v>
      </c>
      <c r="D338" s="11" t="s">
        <v>59</v>
      </c>
      <c r="E338" s="11" t="s">
        <v>4047</v>
      </c>
      <c r="F338" s="11" t="s">
        <v>16</v>
      </c>
      <c r="G338" s="1">
        <v>46235</v>
      </c>
      <c r="H338" s="1">
        <v>46235</v>
      </c>
      <c r="I338" s="2"/>
      <c r="J338" s="2"/>
      <c r="K338" s="11"/>
      <c r="L338" s="11" t="s">
        <v>4041</v>
      </c>
      <c r="M338" s="1"/>
      <c r="N338" s="11"/>
      <c r="O338" s="11" t="s">
        <v>4042</v>
      </c>
      <c r="P338" s="1"/>
      <c r="Q338" s="1"/>
      <c r="R338" s="11"/>
      <c r="S338" s="2">
        <f>CONSOLIDADO_2026[[#This Row],[Hora final]]-CONSOLIDADO_2026[[#This Row],[Hora inic]]</f>
        <v>0</v>
      </c>
    </row>
    <row r="339" spans="1:19" hidden="1" x14ac:dyDescent="0.25">
      <c r="A339" t="s">
        <v>4055</v>
      </c>
      <c r="B339" t="s">
        <v>2498</v>
      </c>
      <c r="C339" t="s">
        <v>4111</v>
      </c>
      <c r="D339" s="11" t="s">
        <v>139</v>
      </c>
      <c r="E339" s="11" t="s">
        <v>4040</v>
      </c>
      <c r="F339" s="11" t="s">
        <v>16</v>
      </c>
      <c r="G339" s="1">
        <v>46235</v>
      </c>
      <c r="H339" s="1">
        <v>46235</v>
      </c>
      <c r="I339" s="2"/>
      <c r="J339" s="2"/>
      <c r="K339" s="11"/>
      <c r="L339" s="11" t="s">
        <v>4041</v>
      </c>
      <c r="M339" s="1"/>
      <c r="N339" s="11"/>
      <c r="O339" s="11" t="s">
        <v>4042</v>
      </c>
      <c r="P339" s="1"/>
      <c r="Q339" s="1"/>
      <c r="R339" s="11"/>
      <c r="S339" s="2">
        <f>CONSOLIDADO_2026[[#This Row],[Hora final]]-CONSOLIDADO_2026[[#This Row],[Hora inic]]</f>
        <v>0</v>
      </c>
    </row>
    <row r="340" spans="1:19" hidden="1" x14ac:dyDescent="0.25">
      <c r="A340" t="s">
        <v>4055</v>
      </c>
      <c r="B340" t="s">
        <v>1760</v>
      </c>
      <c r="C340" t="s">
        <v>4112</v>
      </c>
      <c r="D340" s="11" t="s">
        <v>55</v>
      </c>
      <c r="E340" s="11" t="s">
        <v>4047</v>
      </c>
      <c r="F340" s="11" t="s">
        <v>16</v>
      </c>
      <c r="G340" s="1">
        <v>46235</v>
      </c>
      <c r="H340" s="1">
        <v>46235</v>
      </c>
      <c r="I340" s="2"/>
      <c r="J340" s="2"/>
      <c r="K340" s="11"/>
      <c r="L340" s="11" t="s">
        <v>4041</v>
      </c>
      <c r="M340" s="1"/>
      <c r="N340" s="11"/>
      <c r="O340" s="11" t="s">
        <v>4042</v>
      </c>
      <c r="P340" s="1"/>
      <c r="Q340" s="1"/>
      <c r="R340" s="11"/>
      <c r="S340" s="2">
        <f>CONSOLIDADO_2026[[#This Row],[Hora final]]-CONSOLIDADO_2026[[#This Row],[Hora inic]]</f>
        <v>0</v>
      </c>
    </row>
    <row r="341" spans="1:19" hidden="1" x14ac:dyDescent="0.25">
      <c r="A341" t="s">
        <v>4055</v>
      </c>
      <c r="B341" t="s">
        <v>1301</v>
      </c>
      <c r="C341" t="s">
        <v>4113</v>
      </c>
      <c r="D341" s="11" t="s">
        <v>15</v>
      </c>
      <c r="E341" s="11" t="s">
        <v>4046</v>
      </c>
      <c r="F341" s="11" t="s">
        <v>16</v>
      </c>
      <c r="G341" s="1">
        <v>46235</v>
      </c>
      <c r="H341" s="1">
        <v>46235</v>
      </c>
      <c r="I341" s="2"/>
      <c r="J341" s="2"/>
      <c r="K341" s="11"/>
      <c r="L341" s="11" t="s">
        <v>4041</v>
      </c>
      <c r="M341" s="1"/>
      <c r="N341" s="11"/>
      <c r="O341" s="11" t="s">
        <v>4042</v>
      </c>
      <c r="P341" s="1"/>
      <c r="Q341" s="1"/>
      <c r="R341" s="11"/>
      <c r="S341" s="2">
        <f>CONSOLIDADO_2026[[#This Row],[Hora final]]-CONSOLIDADO_2026[[#This Row],[Hora inic]]</f>
        <v>0</v>
      </c>
    </row>
    <row r="342" spans="1:19" hidden="1" x14ac:dyDescent="0.25">
      <c r="A342" t="s">
        <v>4055</v>
      </c>
      <c r="B342" t="s">
        <v>3478</v>
      </c>
      <c r="C342" t="s">
        <v>3479</v>
      </c>
      <c r="D342" s="11" t="s">
        <v>344</v>
      </c>
      <c r="E342" s="11" t="s">
        <v>4056</v>
      </c>
      <c r="F342" s="11" t="s">
        <v>16</v>
      </c>
      <c r="G342" s="1">
        <v>46235</v>
      </c>
      <c r="H342" s="1">
        <v>46235</v>
      </c>
      <c r="I342" s="2"/>
      <c r="J342" s="2"/>
      <c r="K342" s="11"/>
      <c r="L342" s="11" t="s">
        <v>4041</v>
      </c>
      <c r="M342" s="1"/>
      <c r="N342" s="11"/>
      <c r="O342" s="11" t="s">
        <v>4042</v>
      </c>
      <c r="P342" s="1"/>
      <c r="Q342" s="1"/>
      <c r="R342" s="11"/>
      <c r="S342" s="2">
        <f>CONSOLIDADO_2026[[#This Row],[Hora final]]-CONSOLIDADO_2026[[#This Row],[Hora inic]]</f>
        <v>0</v>
      </c>
    </row>
    <row r="343" spans="1:19" hidden="1" x14ac:dyDescent="0.25">
      <c r="A343" t="s">
        <v>4055</v>
      </c>
      <c r="B343" t="s">
        <v>76</v>
      </c>
      <c r="C343" t="s">
        <v>77</v>
      </c>
      <c r="D343" s="11" t="s">
        <v>78</v>
      </c>
      <c r="E343" s="11" t="s">
        <v>4046</v>
      </c>
      <c r="F343" s="11" t="s">
        <v>16</v>
      </c>
      <c r="G343" s="1">
        <v>46237</v>
      </c>
      <c r="H343" s="1">
        <v>46241</v>
      </c>
      <c r="I343" s="2">
        <v>0.25</v>
      </c>
      <c r="J343" s="2">
        <v>0.54166666666666663</v>
      </c>
      <c r="K343" s="11" t="s">
        <v>73</v>
      </c>
      <c r="L343" s="11" t="s">
        <v>74</v>
      </c>
      <c r="M343" s="1"/>
      <c r="N343" s="11"/>
      <c r="O343" s="11" t="s">
        <v>21</v>
      </c>
      <c r="P343" s="1"/>
      <c r="Q343" s="1"/>
      <c r="R343" s="11"/>
      <c r="S343" s="2">
        <f>CONSOLIDADO_2026[[#This Row],[Hora final]]-CONSOLIDADO_2026[[#This Row],[Hora inic]]</f>
        <v>0.29166666666666663</v>
      </c>
    </row>
    <row r="344" spans="1:19" hidden="1" x14ac:dyDescent="0.25">
      <c r="A344" t="s">
        <v>4055</v>
      </c>
      <c r="B344" t="s">
        <v>1244</v>
      </c>
      <c r="C344" t="s">
        <v>1245</v>
      </c>
      <c r="D344" s="11" t="s">
        <v>102</v>
      </c>
      <c r="E344" s="11" t="s">
        <v>4046</v>
      </c>
      <c r="F344" s="11" t="s">
        <v>16</v>
      </c>
      <c r="G344" s="1">
        <v>46234</v>
      </c>
      <c r="H344" s="1">
        <v>46235</v>
      </c>
      <c r="I344" s="2"/>
      <c r="J344" s="2"/>
      <c r="K344" s="11"/>
      <c r="L344" s="11" t="s">
        <v>4041</v>
      </c>
      <c r="M344" s="1"/>
      <c r="N344" s="11"/>
      <c r="O344" s="11" t="s">
        <v>4042</v>
      </c>
      <c r="P344" s="1"/>
      <c r="Q344" s="1"/>
      <c r="R344" s="11"/>
      <c r="S344" s="2">
        <f>CONSOLIDADO_2026[[#This Row],[Hora final]]-CONSOLIDADO_2026[[#This Row],[Hora inic]]</f>
        <v>0</v>
      </c>
    </row>
    <row r="345" spans="1:19" hidden="1" x14ac:dyDescent="0.25">
      <c r="A345" t="s">
        <v>4055</v>
      </c>
      <c r="B345" t="s">
        <v>538</v>
      </c>
      <c r="C345" t="s">
        <v>4114</v>
      </c>
      <c r="D345" s="11" t="s">
        <v>51</v>
      </c>
      <c r="E345" s="11" t="s">
        <v>4047</v>
      </c>
      <c r="F345" s="11" t="s">
        <v>16</v>
      </c>
      <c r="G345" s="1">
        <v>46235</v>
      </c>
      <c r="H345" s="1">
        <v>46235</v>
      </c>
      <c r="I345" s="2"/>
      <c r="J345" s="2"/>
      <c r="K345" s="11"/>
      <c r="L345" s="11" t="s">
        <v>4041</v>
      </c>
      <c r="M345" s="1"/>
      <c r="N345" s="11"/>
      <c r="O345" s="11" t="s">
        <v>4042</v>
      </c>
      <c r="P345" s="1"/>
      <c r="Q345" s="1"/>
      <c r="R345" s="11"/>
      <c r="S345" s="2">
        <f>CONSOLIDADO_2026[[#This Row],[Hora final]]-CONSOLIDADO_2026[[#This Row],[Hora inic]]</f>
        <v>0</v>
      </c>
    </row>
    <row r="346" spans="1:19" hidden="1" x14ac:dyDescent="0.25">
      <c r="A346" t="s">
        <v>4055</v>
      </c>
      <c r="B346" t="s">
        <v>3899</v>
      </c>
      <c r="C346" t="s">
        <v>3900</v>
      </c>
      <c r="D346" s="11" t="s">
        <v>482</v>
      </c>
      <c r="E346" s="11" t="s">
        <v>4040</v>
      </c>
      <c r="F346" s="11" t="s">
        <v>16</v>
      </c>
      <c r="G346" s="1">
        <v>46234</v>
      </c>
      <c r="H346" s="1">
        <v>46234</v>
      </c>
      <c r="I346" s="2"/>
      <c r="J346" s="2"/>
      <c r="K346" s="11"/>
      <c r="L346" s="11" t="s">
        <v>4041</v>
      </c>
      <c r="M346" s="1"/>
      <c r="N346" s="11"/>
      <c r="O346" s="11" t="s">
        <v>4042</v>
      </c>
      <c r="P346" s="1"/>
      <c r="Q346" s="1"/>
      <c r="R346" s="11"/>
      <c r="S346" s="2">
        <f>CONSOLIDADO_2026[[#This Row],[Hora final]]-CONSOLIDADO_2026[[#This Row],[Hora inic]]</f>
        <v>0</v>
      </c>
    </row>
    <row r="347" spans="1:19" hidden="1" x14ac:dyDescent="0.25">
      <c r="A347" t="s">
        <v>4055</v>
      </c>
      <c r="B347" t="s">
        <v>3191</v>
      </c>
      <c r="C347" t="s">
        <v>4115</v>
      </c>
      <c r="D347" s="11" t="s">
        <v>78</v>
      </c>
      <c r="E347" s="11" t="s">
        <v>4046</v>
      </c>
      <c r="F347" s="11" t="s">
        <v>16</v>
      </c>
      <c r="G347" s="1">
        <v>46234</v>
      </c>
      <c r="H347" s="1">
        <v>46235</v>
      </c>
      <c r="I347" s="2"/>
      <c r="J347" s="2"/>
      <c r="K347" s="11"/>
      <c r="L347" s="11" t="s">
        <v>4041</v>
      </c>
      <c r="M347" s="1"/>
      <c r="N347" s="11"/>
      <c r="O347" s="11" t="s">
        <v>4042</v>
      </c>
      <c r="P347" s="1"/>
      <c r="Q347" s="1"/>
      <c r="R347" s="11"/>
      <c r="S347" s="2">
        <f>CONSOLIDADO_2026[[#This Row],[Hora final]]-CONSOLIDADO_2026[[#This Row],[Hora inic]]</f>
        <v>0</v>
      </c>
    </row>
    <row r="348" spans="1:19" hidden="1" x14ac:dyDescent="0.25">
      <c r="A348" t="s">
        <v>4055</v>
      </c>
      <c r="B348" t="s">
        <v>2865</v>
      </c>
      <c r="C348" t="s">
        <v>2866</v>
      </c>
      <c r="D348" s="11" t="s">
        <v>55</v>
      </c>
      <c r="E348" s="11" t="s">
        <v>4047</v>
      </c>
      <c r="F348" s="11" t="s">
        <v>16</v>
      </c>
      <c r="G348" s="1">
        <v>46233</v>
      </c>
      <c r="H348" s="1">
        <v>46235</v>
      </c>
      <c r="I348" s="2"/>
      <c r="J348" s="2"/>
      <c r="K348" s="11"/>
      <c r="L348" s="11" t="s">
        <v>4041</v>
      </c>
      <c r="M348" s="1"/>
      <c r="N348" s="11"/>
      <c r="O348" s="11" t="s">
        <v>4042</v>
      </c>
      <c r="P348" s="1"/>
      <c r="Q348" s="1"/>
      <c r="R348" s="11"/>
      <c r="S348" s="2">
        <f>CONSOLIDADO_2026[[#This Row],[Hora final]]-CONSOLIDADO_2026[[#This Row],[Hora inic]]</f>
        <v>0</v>
      </c>
    </row>
    <row r="349" spans="1:19" hidden="1" x14ac:dyDescent="0.25">
      <c r="A349" t="s">
        <v>4055</v>
      </c>
      <c r="B349" t="s">
        <v>3391</v>
      </c>
      <c r="C349" t="s">
        <v>4116</v>
      </c>
      <c r="D349" s="11" t="s">
        <v>619</v>
      </c>
      <c r="E349" s="11" t="s">
        <v>4045</v>
      </c>
      <c r="F349" s="11" t="s">
        <v>16</v>
      </c>
      <c r="G349" s="1">
        <v>46234</v>
      </c>
      <c r="H349" s="1">
        <v>46235</v>
      </c>
      <c r="I349" s="2"/>
      <c r="J349" s="2"/>
      <c r="K349" s="11"/>
      <c r="L349" s="11" t="s">
        <v>4041</v>
      </c>
      <c r="M349" s="1"/>
      <c r="N349" s="11"/>
      <c r="O349" s="11" t="s">
        <v>4042</v>
      </c>
      <c r="P349" s="1"/>
      <c r="Q349" s="1"/>
      <c r="R349" s="11"/>
      <c r="S349" s="2">
        <f>CONSOLIDADO_2026[[#This Row],[Hora final]]-CONSOLIDADO_2026[[#This Row],[Hora inic]]</f>
        <v>0</v>
      </c>
    </row>
    <row r="350" spans="1:19" hidden="1" x14ac:dyDescent="0.25">
      <c r="A350" t="s">
        <v>4055</v>
      </c>
      <c r="B350" t="s">
        <v>137</v>
      </c>
      <c r="C350" t="s">
        <v>4117</v>
      </c>
      <c r="D350" s="11" t="s">
        <v>139</v>
      </c>
      <c r="E350" s="11" t="s">
        <v>4040</v>
      </c>
      <c r="F350" s="11" t="s">
        <v>16</v>
      </c>
      <c r="G350" s="1">
        <v>46234</v>
      </c>
      <c r="H350" s="1">
        <v>46237</v>
      </c>
      <c r="I350" s="2"/>
      <c r="J350" s="2"/>
      <c r="K350" s="11"/>
      <c r="L350" s="11" t="s">
        <v>4041</v>
      </c>
      <c r="M350" s="1"/>
      <c r="N350" s="11"/>
      <c r="O350" s="11" t="s">
        <v>4042</v>
      </c>
      <c r="P350" s="1"/>
      <c r="Q350" s="1"/>
      <c r="R350" s="11"/>
      <c r="S350" s="2">
        <f>CONSOLIDADO_2026[[#This Row],[Hora final]]-CONSOLIDADO_2026[[#This Row],[Hora inic]]</f>
        <v>0</v>
      </c>
    </row>
    <row r="351" spans="1:19" hidden="1" x14ac:dyDescent="0.25">
      <c r="A351" t="s">
        <v>4055</v>
      </c>
      <c r="B351" t="s">
        <v>4118</v>
      </c>
      <c r="C351" t="s">
        <v>4049</v>
      </c>
      <c r="D351" s="11" t="s">
        <v>82</v>
      </c>
      <c r="E351" s="11" t="s">
        <v>4045</v>
      </c>
      <c r="F351" s="11" t="s">
        <v>4050</v>
      </c>
      <c r="G351" s="1">
        <v>46237</v>
      </c>
      <c r="H351" s="1">
        <v>46239</v>
      </c>
      <c r="I351" s="2">
        <v>0.54166666666666663</v>
      </c>
      <c r="J351" s="2">
        <v>0.83333333333333337</v>
      </c>
      <c r="K351" s="11" t="s">
        <v>264</v>
      </c>
      <c r="L351" s="11" t="s">
        <v>265</v>
      </c>
      <c r="M351" s="1"/>
      <c r="N351" s="11"/>
      <c r="O351" s="11" t="s">
        <v>21</v>
      </c>
      <c r="P351" s="1"/>
      <c r="Q351" s="1"/>
      <c r="R351" s="11"/>
      <c r="S351" s="2">
        <f>CONSOLIDADO_2026[[#This Row],[Hora final]]-CONSOLIDADO_2026[[#This Row],[Hora inic]]</f>
        <v>0.29166666666666674</v>
      </c>
    </row>
    <row r="352" spans="1:19" hidden="1" x14ac:dyDescent="0.25">
      <c r="A352" t="s">
        <v>4055</v>
      </c>
      <c r="B352" t="s">
        <v>113</v>
      </c>
      <c r="C352" t="s">
        <v>114</v>
      </c>
      <c r="D352" s="11" t="s">
        <v>51</v>
      </c>
      <c r="E352" s="11" t="s">
        <v>4047</v>
      </c>
      <c r="F352" s="11" t="s">
        <v>16</v>
      </c>
      <c r="G352" s="1">
        <v>46229</v>
      </c>
      <c r="H352" s="1">
        <v>46243</v>
      </c>
      <c r="I352" s="2">
        <v>0.25</v>
      </c>
      <c r="J352" s="2">
        <v>0.58333333333333337</v>
      </c>
      <c r="K352" s="11" t="s">
        <v>276</v>
      </c>
      <c r="L352" s="11" t="s">
        <v>277</v>
      </c>
      <c r="M352" s="1"/>
      <c r="N352" s="11"/>
      <c r="O352" s="11" t="s">
        <v>21</v>
      </c>
      <c r="P352" s="1"/>
      <c r="Q352" s="1"/>
      <c r="R352" s="11"/>
      <c r="S352" s="2">
        <f>CONSOLIDADO_2026[[#This Row],[Hora final]]-CONSOLIDADO_2026[[#This Row],[Hora inic]]</f>
        <v>0.33333333333333337</v>
      </c>
    </row>
    <row r="353" spans="1:19" hidden="1" x14ac:dyDescent="0.25">
      <c r="A353" t="s">
        <v>4055</v>
      </c>
      <c r="B353" t="s">
        <v>4119</v>
      </c>
      <c r="C353" t="s">
        <v>4054</v>
      </c>
      <c r="D353" s="11" t="s">
        <v>482</v>
      </c>
      <c r="E353" s="11" t="s">
        <v>4040</v>
      </c>
      <c r="F353" s="11" t="s">
        <v>4050</v>
      </c>
      <c r="G353" s="1">
        <v>46235</v>
      </c>
      <c r="H353" s="1">
        <v>46238</v>
      </c>
      <c r="I353" s="2">
        <v>0.25</v>
      </c>
      <c r="J353" s="2">
        <v>0.54166666666666663</v>
      </c>
      <c r="K353" s="11" t="s">
        <v>282</v>
      </c>
      <c r="L353" s="11" t="s">
        <v>283</v>
      </c>
      <c r="M353" s="1"/>
      <c r="N353" s="11"/>
      <c r="O353" s="11" t="s">
        <v>21</v>
      </c>
      <c r="P353" s="1"/>
      <c r="Q353" s="1"/>
      <c r="R353" s="11"/>
      <c r="S353" s="2">
        <f>CONSOLIDADO_2026[[#This Row],[Hora final]]-CONSOLIDADO_2026[[#This Row],[Hora inic]]</f>
        <v>0.29166666666666663</v>
      </c>
    </row>
    <row r="354" spans="1:19" hidden="1" x14ac:dyDescent="0.25">
      <c r="A354" t="s">
        <v>4055</v>
      </c>
      <c r="B354" t="s">
        <v>291</v>
      </c>
      <c r="C354" t="s">
        <v>292</v>
      </c>
      <c r="D354" s="11" t="s">
        <v>272</v>
      </c>
      <c r="E354" s="11" t="s">
        <v>4056</v>
      </c>
      <c r="F354" s="11" t="s">
        <v>92</v>
      </c>
      <c r="G354" s="1">
        <v>46233</v>
      </c>
      <c r="H354" s="1">
        <v>46238</v>
      </c>
      <c r="I354" s="2">
        <v>0.5</v>
      </c>
      <c r="J354" s="2">
        <v>0.83333333333333337</v>
      </c>
      <c r="K354" s="11" t="s">
        <v>285</v>
      </c>
      <c r="L354" s="11" t="s">
        <v>286</v>
      </c>
      <c r="M354" s="1"/>
      <c r="N354" s="11"/>
      <c r="O354" s="11" t="s">
        <v>21</v>
      </c>
      <c r="P354" s="1"/>
      <c r="Q354" s="1"/>
      <c r="R354" s="11"/>
      <c r="S354" s="2">
        <f>CONSOLIDADO_2026[[#This Row],[Hora final]]-CONSOLIDADO_2026[[#This Row],[Hora inic]]</f>
        <v>0.33333333333333337</v>
      </c>
    </row>
    <row r="355" spans="1:19" hidden="1" x14ac:dyDescent="0.25">
      <c r="A355" t="s">
        <v>4055</v>
      </c>
      <c r="B355" t="s">
        <v>4120</v>
      </c>
      <c r="C355" t="s">
        <v>4057</v>
      </c>
      <c r="D355" s="11" t="s">
        <v>482</v>
      </c>
      <c r="E355" s="11" t="s">
        <v>4040</v>
      </c>
      <c r="F355" s="11" t="s">
        <v>4050</v>
      </c>
      <c r="G355" s="1">
        <v>46235</v>
      </c>
      <c r="H355" s="1">
        <v>46238</v>
      </c>
      <c r="I355" s="2">
        <v>0.25</v>
      </c>
      <c r="J355" s="2">
        <v>0.58333333333333337</v>
      </c>
      <c r="K355" s="11" t="s">
        <v>246</v>
      </c>
      <c r="L355" s="11" t="s">
        <v>247</v>
      </c>
      <c r="M355" s="1"/>
      <c r="N355" s="11"/>
      <c r="O355" s="11" t="s">
        <v>21</v>
      </c>
      <c r="P355" s="1"/>
      <c r="Q355" s="1"/>
      <c r="R355" s="11"/>
      <c r="S355" s="2">
        <f>CONSOLIDADO_2026[[#This Row],[Hora final]]-CONSOLIDADO_2026[[#This Row],[Hora inic]]</f>
        <v>0.33333333333333337</v>
      </c>
    </row>
    <row r="356" spans="1:19" hidden="1" x14ac:dyDescent="0.25">
      <c r="A356" t="s">
        <v>4055</v>
      </c>
      <c r="B356" t="s">
        <v>2362</v>
      </c>
      <c r="C356" t="s">
        <v>4072</v>
      </c>
      <c r="D356" s="11" t="s">
        <v>139</v>
      </c>
      <c r="E356" s="11" t="s">
        <v>4040</v>
      </c>
      <c r="F356" s="11" t="s">
        <v>158</v>
      </c>
      <c r="G356" s="1">
        <v>46230</v>
      </c>
      <c r="H356" s="1"/>
      <c r="I356" s="2">
        <v>0.25</v>
      </c>
      <c r="J356" s="2">
        <v>0.54166666666666663</v>
      </c>
      <c r="K356" s="11" t="s">
        <v>257</v>
      </c>
      <c r="L356" s="11" t="s">
        <v>258</v>
      </c>
      <c r="M356" s="1"/>
      <c r="N356" s="11"/>
      <c r="O356" s="11" t="s">
        <v>21</v>
      </c>
      <c r="P356" s="1"/>
      <c r="Q356" s="1"/>
      <c r="R356" s="11"/>
      <c r="S356" s="2">
        <f>CONSOLIDADO_2026[[#This Row],[Hora final]]-CONSOLIDADO_2026[[#This Row],[Hora inic]]</f>
        <v>0.29166666666666663</v>
      </c>
    </row>
    <row r="357" spans="1:19" hidden="1" x14ac:dyDescent="0.25">
      <c r="A357" t="s">
        <v>4055</v>
      </c>
      <c r="B357" t="s">
        <v>279</v>
      </c>
      <c r="C357" t="s">
        <v>4121</v>
      </c>
      <c r="D357" s="11" t="s">
        <v>59</v>
      </c>
      <c r="E357" s="11" t="s">
        <v>4047</v>
      </c>
      <c r="F357" s="11" t="s">
        <v>16</v>
      </c>
      <c r="G357" s="1">
        <v>46231</v>
      </c>
      <c r="H357" s="1">
        <v>46235</v>
      </c>
      <c r="I357" s="2"/>
      <c r="J357" s="2"/>
      <c r="K357" s="11"/>
      <c r="L357" s="11" t="s">
        <v>4041</v>
      </c>
      <c r="M357" s="1"/>
      <c r="N357" s="11"/>
      <c r="O357" s="11" t="s">
        <v>4042</v>
      </c>
      <c r="P357" s="1"/>
      <c r="Q357" s="1"/>
      <c r="R357" s="11"/>
      <c r="S357" s="2">
        <f>CONSOLIDADO_2026[[#This Row],[Hora final]]-CONSOLIDADO_2026[[#This Row],[Hora inic]]</f>
        <v>0</v>
      </c>
    </row>
    <row r="358" spans="1:19" hidden="1" x14ac:dyDescent="0.25">
      <c r="A358" t="s">
        <v>4055</v>
      </c>
      <c r="B358" t="s">
        <v>187</v>
      </c>
      <c r="C358" t="s">
        <v>4122</v>
      </c>
      <c r="D358" s="11" t="s">
        <v>55</v>
      </c>
      <c r="E358" s="11" t="s">
        <v>4047</v>
      </c>
      <c r="F358" s="11" t="s">
        <v>16</v>
      </c>
      <c r="G358" s="1">
        <v>46232</v>
      </c>
      <c r="H358" s="1">
        <v>46235</v>
      </c>
      <c r="I358" s="2"/>
      <c r="J358" s="2"/>
      <c r="K358" s="11"/>
      <c r="L358" s="11" t="s">
        <v>4041</v>
      </c>
      <c r="M358" s="1"/>
      <c r="N358" s="11"/>
      <c r="O358" s="11" t="s">
        <v>4042</v>
      </c>
      <c r="P358" s="1"/>
      <c r="Q358" s="1"/>
      <c r="R358" s="11"/>
      <c r="S358" s="2">
        <f>CONSOLIDADO_2026[[#This Row],[Hora final]]-CONSOLIDADO_2026[[#This Row],[Hora inic]]</f>
        <v>0</v>
      </c>
    </row>
    <row r="359" spans="1:19" hidden="1" x14ac:dyDescent="0.25">
      <c r="A359" t="s">
        <v>4055</v>
      </c>
      <c r="B359" t="s">
        <v>3933</v>
      </c>
      <c r="C359" t="s">
        <v>3934</v>
      </c>
      <c r="D359" s="11" t="s">
        <v>68</v>
      </c>
      <c r="E359" s="11" t="s">
        <v>4040</v>
      </c>
      <c r="F359" s="11" t="s">
        <v>4123</v>
      </c>
      <c r="G359" s="1">
        <v>46238</v>
      </c>
      <c r="H359" s="1">
        <v>46240</v>
      </c>
      <c r="I359" s="2">
        <v>0.54166666666666663</v>
      </c>
      <c r="J359" s="2">
        <v>0.875</v>
      </c>
      <c r="K359" s="11" t="s">
        <v>1407</v>
      </c>
      <c r="L359" s="11" t="s">
        <v>1408</v>
      </c>
      <c r="M359" s="1"/>
      <c r="N359" s="11"/>
      <c r="O359" s="11" t="s">
        <v>21</v>
      </c>
      <c r="P359" s="1"/>
      <c r="Q359" s="1"/>
      <c r="R359" s="11"/>
      <c r="S359" s="2">
        <f>CONSOLIDADO_2026[[#This Row],[Hora final]]-CONSOLIDADO_2026[[#This Row],[Hora inic]]</f>
        <v>0.33333333333333337</v>
      </c>
    </row>
    <row r="360" spans="1:19" hidden="1" x14ac:dyDescent="0.25">
      <c r="A360" t="s">
        <v>4055</v>
      </c>
      <c r="B360" t="s">
        <v>207</v>
      </c>
      <c r="C360" t="s">
        <v>208</v>
      </c>
      <c r="D360" s="11" t="s">
        <v>28</v>
      </c>
      <c r="E360" s="11" t="s">
        <v>4046</v>
      </c>
      <c r="F360" s="11" t="s">
        <v>16</v>
      </c>
      <c r="G360" s="1">
        <v>46235</v>
      </c>
      <c r="H360" s="1">
        <v>46240</v>
      </c>
      <c r="I360" s="2">
        <v>0.58333333333333337</v>
      </c>
      <c r="J360" s="2">
        <v>0.875</v>
      </c>
      <c r="K360" s="11" t="s">
        <v>303</v>
      </c>
      <c r="L360" s="11" t="s">
        <v>304</v>
      </c>
      <c r="M360" s="1"/>
      <c r="N360" s="11"/>
      <c r="O360" s="11" t="s">
        <v>21</v>
      </c>
      <c r="P360" s="1"/>
      <c r="Q360" s="1"/>
      <c r="R360" s="11"/>
      <c r="S360" s="2">
        <f>CONSOLIDADO_2026[[#This Row],[Hora final]]-CONSOLIDADO_2026[[#This Row],[Hora inic]]</f>
        <v>0.29166666666666663</v>
      </c>
    </row>
    <row r="361" spans="1:19" hidden="1" x14ac:dyDescent="0.25">
      <c r="A361" t="s">
        <v>4055</v>
      </c>
      <c r="B361" t="s">
        <v>156</v>
      </c>
      <c r="C361" t="s">
        <v>157</v>
      </c>
      <c r="D361" s="11" t="s">
        <v>44</v>
      </c>
      <c r="E361" s="11" t="s">
        <v>4045</v>
      </c>
      <c r="F361" s="11" t="s">
        <v>4062</v>
      </c>
      <c r="G361" s="1">
        <v>46232</v>
      </c>
      <c r="H361" s="1">
        <v>46239</v>
      </c>
      <c r="I361" s="2">
        <v>0.58333333333333337</v>
      </c>
      <c r="J361" s="2">
        <v>0.875</v>
      </c>
      <c r="K361" s="11" t="s">
        <v>96</v>
      </c>
      <c r="L361" s="11" t="s">
        <v>97</v>
      </c>
      <c r="M361" s="1"/>
      <c r="N361" s="11"/>
      <c r="O361" s="11" t="s">
        <v>21</v>
      </c>
      <c r="P361" s="1"/>
      <c r="Q361" s="1"/>
      <c r="R361" s="11"/>
      <c r="S361" s="2">
        <f>CONSOLIDADO_2026[[#This Row],[Hora final]]-CONSOLIDADO_2026[[#This Row],[Hora inic]]</f>
        <v>0.29166666666666663</v>
      </c>
    </row>
    <row r="362" spans="1:19" hidden="1" x14ac:dyDescent="0.25">
      <c r="A362" t="s">
        <v>4055</v>
      </c>
      <c r="B362" t="s">
        <v>53</v>
      </c>
      <c r="C362" t="s">
        <v>88</v>
      </c>
      <c r="D362" s="11" t="s">
        <v>55</v>
      </c>
      <c r="E362" s="11" t="s">
        <v>4047</v>
      </c>
      <c r="F362" s="11" t="s">
        <v>16</v>
      </c>
      <c r="G362" s="1">
        <v>46229</v>
      </c>
      <c r="H362" s="1">
        <v>46258</v>
      </c>
      <c r="I362" s="2">
        <v>0.25</v>
      </c>
      <c r="J362" s="2">
        <v>0.58333333333333337</v>
      </c>
      <c r="K362" s="11" t="s">
        <v>85</v>
      </c>
      <c r="L362" s="11" t="s">
        <v>86</v>
      </c>
      <c r="M362" s="1"/>
      <c r="N362" s="11"/>
      <c r="O362" s="11" t="s">
        <v>21</v>
      </c>
      <c r="P362" s="1"/>
      <c r="Q362" s="1"/>
      <c r="R362" s="11"/>
      <c r="S362" s="2">
        <f>CONSOLIDADO_2026[[#This Row],[Hora final]]-CONSOLIDADO_2026[[#This Row],[Hora inic]]</f>
        <v>0.33333333333333337</v>
      </c>
    </row>
    <row r="363" spans="1:19" hidden="1" x14ac:dyDescent="0.25">
      <c r="A363" t="s">
        <v>4055</v>
      </c>
      <c r="B363" t="s">
        <v>57</v>
      </c>
      <c r="C363" t="s">
        <v>58</v>
      </c>
      <c r="D363" s="11" t="s">
        <v>59</v>
      </c>
      <c r="E363" s="11" t="s">
        <v>4047</v>
      </c>
      <c r="F363" s="11" t="s">
        <v>16</v>
      </c>
      <c r="G363" s="1">
        <v>46227</v>
      </c>
      <c r="H363" s="1">
        <v>46246</v>
      </c>
      <c r="I363" s="2">
        <v>0.25</v>
      </c>
      <c r="J363" s="2">
        <v>0.58333333333333337</v>
      </c>
      <c r="K363" s="11" t="s">
        <v>110</v>
      </c>
      <c r="L363" s="11" t="s">
        <v>111</v>
      </c>
      <c r="M363" s="1"/>
      <c r="N363" s="11"/>
      <c r="O363" s="11" t="s">
        <v>21</v>
      </c>
      <c r="P363" s="1"/>
      <c r="Q363" s="1"/>
      <c r="R363" s="11"/>
      <c r="S363" s="2">
        <f>CONSOLIDADO_2026[[#This Row],[Hora final]]-CONSOLIDADO_2026[[#This Row],[Hora inic]]</f>
        <v>0.33333333333333337</v>
      </c>
    </row>
    <row r="364" spans="1:19" hidden="1" x14ac:dyDescent="0.25">
      <c r="A364" t="s">
        <v>4055</v>
      </c>
      <c r="B364" t="s">
        <v>219</v>
      </c>
      <c r="C364" t="s">
        <v>220</v>
      </c>
      <c r="D364" s="11" t="s">
        <v>55</v>
      </c>
      <c r="E364" s="11" t="s">
        <v>4047</v>
      </c>
      <c r="F364" s="11" t="s">
        <v>16</v>
      </c>
      <c r="G364" s="1">
        <v>46225</v>
      </c>
      <c r="H364" s="1">
        <v>46239</v>
      </c>
      <c r="I364" s="2">
        <v>0.54166666666666663</v>
      </c>
      <c r="J364" s="2">
        <v>0.875</v>
      </c>
      <c r="K364" s="11" t="s">
        <v>213</v>
      </c>
      <c r="L364" s="11" t="s">
        <v>214</v>
      </c>
      <c r="M364" s="1"/>
      <c r="N364" s="11"/>
      <c r="O364" s="11" t="s">
        <v>21</v>
      </c>
      <c r="P364" s="1"/>
      <c r="Q364" s="1"/>
      <c r="R364" s="11"/>
      <c r="S364" s="2">
        <f>CONSOLIDADO_2026[[#This Row],[Hora final]]-CONSOLIDADO_2026[[#This Row],[Hora inic]]</f>
        <v>0.33333333333333337</v>
      </c>
    </row>
    <row r="365" spans="1:19" hidden="1" x14ac:dyDescent="0.25">
      <c r="A365" t="s">
        <v>4055</v>
      </c>
      <c r="B365" t="s">
        <v>70</v>
      </c>
      <c r="C365" t="s">
        <v>71</v>
      </c>
      <c r="D365" s="11" t="s">
        <v>55</v>
      </c>
      <c r="E365" s="11" t="s">
        <v>4047</v>
      </c>
      <c r="F365" s="11" t="s">
        <v>16</v>
      </c>
      <c r="G365" s="1">
        <v>46226</v>
      </c>
      <c r="H365" s="1">
        <v>46246</v>
      </c>
      <c r="I365" s="2">
        <v>0.58333333333333337</v>
      </c>
      <c r="J365" s="2">
        <v>0.875</v>
      </c>
      <c r="K365" s="11" t="s">
        <v>177</v>
      </c>
      <c r="L365" s="11" t="s">
        <v>178</v>
      </c>
      <c r="M365" s="1"/>
      <c r="N365" s="11"/>
      <c r="O365" s="11" t="s">
        <v>21</v>
      </c>
      <c r="P365" s="1"/>
      <c r="Q365" s="1"/>
      <c r="R365" s="11"/>
      <c r="S365" s="2">
        <f>CONSOLIDADO_2026[[#This Row],[Hora final]]-CONSOLIDADO_2026[[#This Row],[Hora inic]]</f>
        <v>0.29166666666666663</v>
      </c>
    </row>
    <row r="366" spans="1:19" hidden="1" x14ac:dyDescent="0.25">
      <c r="A366" t="s">
        <v>4055</v>
      </c>
      <c r="B366" t="s">
        <v>26</v>
      </c>
      <c r="C366" t="s">
        <v>27</v>
      </c>
      <c r="D366" s="11" t="s">
        <v>28</v>
      </c>
      <c r="E366" s="11" t="s">
        <v>4046</v>
      </c>
      <c r="F366" s="11" t="s">
        <v>16</v>
      </c>
      <c r="G366" s="1">
        <v>46226</v>
      </c>
      <c r="H366" s="1">
        <v>46255</v>
      </c>
      <c r="I366" s="2">
        <v>0.25</v>
      </c>
      <c r="J366" s="2">
        <v>0.54166666666666663</v>
      </c>
      <c r="K366" s="11" t="s">
        <v>17</v>
      </c>
      <c r="L366" s="11" t="s">
        <v>18</v>
      </c>
      <c r="M366" s="1"/>
      <c r="N366" s="11"/>
      <c r="O366" s="11" t="s">
        <v>21</v>
      </c>
      <c r="P366" s="1"/>
      <c r="Q366" s="1"/>
      <c r="R366" s="11"/>
      <c r="S366" s="2">
        <f>CONSOLIDADO_2026[[#This Row],[Hora final]]-CONSOLIDADO_2026[[#This Row],[Hora inic]]</f>
        <v>0.29166666666666663</v>
      </c>
    </row>
    <row r="367" spans="1:19" hidden="1" x14ac:dyDescent="0.25">
      <c r="A367" t="s">
        <v>4055</v>
      </c>
      <c r="B367" t="s">
        <v>270</v>
      </c>
      <c r="C367" t="s">
        <v>271</v>
      </c>
      <c r="D367" s="11" t="s">
        <v>272</v>
      </c>
      <c r="E367" s="11" t="s">
        <v>4056</v>
      </c>
      <c r="F367" s="11" t="s">
        <v>16</v>
      </c>
      <c r="G367" s="1">
        <v>46224</v>
      </c>
      <c r="H367" s="1">
        <v>46238</v>
      </c>
      <c r="I367" s="2">
        <v>0.25</v>
      </c>
      <c r="J367" s="2">
        <v>0.5</v>
      </c>
      <c r="K367" s="11"/>
      <c r="L367" s="11" t="s">
        <v>327</v>
      </c>
      <c r="M367" s="1"/>
      <c r="N367" s="11"/>
      <c r="O367" s="11" t="s">
        <v>4042</v>
      </c>
      <c r="P367" s="1"/>
      <c r="Q367" s="1"/>
      <c r="R367" s="11"/>
      <c r="S367" s="2">
        <f>CONSOLIDADO_2026[[#This Row],[Hora final]]-CONSOLIDADO_2026[[#This Row],[Hora inic]]</f>
        <v>0.25</v>
      </c>
    </row>
    <row r="368" spans="1:19" hidden="1" x14ac:dyDescent="0.25">
      <c r="A368" t="s">
        <v>4055</v>
      </c>
      <c r="B368" t="s">
        <v>62</v>
      </c>
      <c r="C368" t="s">
        <v>63</v>
      </c>
      <c r="D368" s="11" t="s">
        <v>64</v>
      </c>
      <c r="E368" s="11" t="s">
        <v>4046</v>
      </c>
      <c r="F368" s="11" t="s">
        <v>16</v>
      </c>
      <c r="G368" s="1">
        <v>46219</v>
      </c>
      <c r="H368" s="1">
        <v>46248</v>
      </c>
      <c r="I368" s="2">
        <v>0.25</v>
      </c>
      <c r="J368" s="2">
        <v>0.58333333333333337</v>
      </c>
      <c r="K368" s="11" t="s">
        <v>236</v>
      </c>
      <c r="L368" s="11" t="s">
        <v>237</v>
      </c>
      <c r="M368" s="1"/>
      <c r="N368" s="11"/>
      <c r="O368" s="11" t="s">
        <v>21</v>
      </c>
      <c r="P368" s="1"/>
      <c r="Q368" s="1"/>
      <c r="R368" s="11"/>
      <c r="S368" s="2">
        <f>CONSOLIDADO_2026[[#This Row],[Hora final]]-CONSOLIDADO_2026[[#This Row],[Hora inic]]</f>
        <v>0.33333333333333337</v>
      </c>
    </row>
    <row r="369" spans="1:19" hidden="1" x14ac:dyDescent="0.25">
      <c r="A369" t="s">
        <v>4055</v>
      </c>
      <c r="B369" t="s">
        <v>30</v>
      </c>
      <c r="C369" t="s">
        <v>61</v>
      </c>
      <c r="D369" s="11" t="s">
        <v>28</v>
      </c>
      <c r="E369" s="11" t="s">
        <v>4046</v>
      </c>
      <c r="F369" s="11" t="s">
        <v>24</v>
      </c>
      <c r="G369" s="1">
        <v>46230</v>
      </c>
      <c r="H369" s="1">
        <v>46248</v>
      </c>
      <c r="I369" s="2">
        <v>0.58333333333333337</v>
      </c>
      <c r="J369" s="2">
        <v>0.875</v>
      </c>
      <c r="K369" s="11" t="s">
        <v>45</v>
      </c>
      <c r="L369" s="11" t="s">
        <v>46</v>
      </c>
      <c r="M369" s="1"/>
      <c r="N369" s="11"/>
      <c r="O369" s="11" t="s">
        <v>21</v>
      </c>
      <c r="P369" s="1"/>
      <c r="Q369" s="1"/>
      <c r="R369" s="11"/>
      <c r="S369" s="2">
        <f>CONSOLIDADO_2026[[#This Row],[Hora final]]-CONSOLIDADO_2026[[#This Row],[Hora inic]]</f>
        <v>0.29166666666666663</v>
      </c>
    </row>
    <row r="370" spans="1:19" hidden="1" x14ac:dyDescent="0.25">
      <c r="A370" t="s">
        <v>4055</v>
      </c>
      <c r="B370" t="s">
        <v>122</v>
      </c>
      <c r="C370" t="s">
        <v>123</v>
      </c>
      <c r="D370" s="11" t="s">
        <v>124</v>
      </c>
      <c r="E370" s="11" t="s">
        <v>4045</v>
      </c>
      <c r="F370" s="11" t="s">
        <v>16</v>
      </c>
      <c r="G370" s="1">
        <v>46224</v>
      </c>
      <c r="H370" s="1">
        <v>46238</v>
      </c>
      <c r="I370" s="2">
        <v>0.25</v>
      </c>
      <c r="J370" s="2">
        <v>0.54166666666666663</v>
      </c>
      <c r="K370" s="11" t="s">
        <v>273</v>
      </c>
      <c r="L370" s="11" t="s">
        <v>274</v>
      </c>
      <c r="M370" s="1"/>
      <c r="N370" s="11"/>
      <c r="O370" s="11" t="s">
        <v>21</v>
      </c>
      <c r="P370" s="1"/>
      <c r="Q370" s="1"/>
      <c r="R370" s="11"/>
      <c r="S370" s="2">
        <f>CONSOLIDADO_2026[[#This Row],[Hora final]]-CONSOLIDADO_2026[[#This Row],[Hora inic]]</f>
        <v>0.29166666666666663</v>
      </c>
    </row>
    <row r="371" spans="1:19" hidden="1" x14ac:dyDescent="0.25">
      <c r="A371" t="s">
        <v>4055</v>
      </c>
      <c r="B371" t="s">
        <v>37</v>
      </c>
      <c r="C371" t="s">
        <v>38</v>
      </c>
      <c r="D371" s="11" t="s">
        <v>39</v>
      </c>
      <c r="E371" s="11" t="s">
        <v>4046</v>
      </c>
      <c r="F371" s="11" t="s">
        <v>36</v>
      </c>
      <c r="G371" s="1">
        <v>46217</v>
      </c>
      <c r="H371" s="1">
        <v>46342</v>
      </c>
      <c r="I371" s="2">
        <v>0.25</v>
      </c>
      <c r="J371" s="2">
        <v>0.58333333333333337</v>
      </c>
      <c r="K371" s="11" t="s">
        <v>148</v>
      </c>
      <c r="L371" s="11" t="s">
        <v>149</v>
      </c>
      <c r="M371" s="1"/>
      <c r="N371" s="11"/>
      <c r="O371" s="11" t="s">
        <v>21</v>
      </c>
      <c r="P371" s="1"/>
      <c r="Q371" s="1"/>
      <c r="R371" s="11"/>
      <c r="S371" s="2">
        <f>CONSOLIDADO_2026[[#This Row],[Hora final]]-CONSOLIDADO_2026[[#This Row],[Hora inic]]</f>
        <v>0.33333333333333337</v>
      </c>
    </row>
    <row r="372" spans="1:19" hidden="1" x14ac:dyDescent="0.25">
      <c r="A372" t="s">
        <v>4055</v>
      </c>
      <c r="B372" t="s">
        <v>4124</v>
      </c>
      <c r="C372" t="s">
        <v>4069</v>
      </c>
      <c r="D372" s="11" t="s">
        <v>64</v>
      </c>
      <c r="E372" s="11" t="s">
        <v>4046</v>
      </c>
      <c r="F372" s="11" t="s">
        <v>4050</v>
      </c>
      <c r="G372" s="1">
        <v>46195</v>
      </c>
      <c r="H372" s="1"/>
      <c r="I372" s="2">
        <v>0.25</v>
      </c>
      <c r="J372" s="2">
        <v>0.58333333333333337</v>
      </c>
      <c r="K372" s="11"/>
      <c r="L372" s="11" t="s">
        <v>327</v>
      </c>
      <c r="M372" s="1"/>
      <c r="N372" s="11"/>
      <c r="O372" s="11" t="s">
        <v>4042</v>
      </c>
      <c r="P372" s="1"/>
      <c r="Q372" s="1"/>
      <c r="R372" s="11"/>
      <c r="S372" s="2">
        <f>CONSOLIDADO_2026[[#This Row],[Hora final]]-CONSOLIDADO_2026[[#This Row],[Hora inic]]</f>
        <v>0.33333333333333337</v>
      </c>
    </row>
    <row r="373" spans="1:19" hidden="1" x14ac:dyDescent="0.25">
      <c r="A373" t="s">
        <v>4055</v>
      </c>
      <c r="B373">
        <v>1152699151</v>
      </c>
      <c r="C373" t="s">
        <v>1020</v>
      </c>
      <c r="D373" s="11" t="s">
        <v>4125</v>
      </c>
      <c r="E373" s="11" t="s">
        <v>4046</v>
      </c>
      <c r="F373" s="11" t="s">
        <v>4123</v>
      </c>
      <c r="G373" s="1">
        <v>46238</v>
      </c>
      <c r="H373" s="1">
        <v>46240</v>
      </c>
      <c r="I373" s="2">
        <v>0.33333333333333331</v>
      </c>
      <c r="J373" s="2">
        <v>0.625</v>
      </c>
      <c r="K373" s="11" t="s">
        <v>3662</v>
      </c>
      <c r="L373" s="11" t="s">
        <v>3663</v>
      </c>
      <c r="M373" s="1"/>
      <c r="N373" s="11"/>
      <c r="O373" s="11" t="s">
        <v>21</v>
      </c>
      <c r="P373" s="1"/>
      <c r="Q373" s="1"/>
      <c r="R373" s="11"/>
      <c r="S373" s="2">
        <f>CONSOLIDADO_2026[[#This Row],[Hora final]]-CONSOLIDADO_2026[[#This Row],[Hora inic]]</f>
        <v>0.29166666666666669</v>
      </c>
    </row>
    <row r="374" spans="1:19" hidden="1" x14ac:dyDescent="0.25">
      <c r="A374" t="s">
        <v>4053</v>
      </c>
      <c r="B374">
        <v>1152699151</v>
      </c>
      <c r="C374" t="s">
        <v>1020</v>
      </c>
      <c r="D374" s="11" t="s">
        <v>4125</v>
      </c>
      <c r="E374" s="11" t="s">
        <v>4046</v>
      </c>
      <c r="F374" s="11" t="s">
        <v>4123</v>
      </c>
      <c r="G374" s="1">
        <v>46238</v>
      </c>
      <c r="H374" s="1">
        <v>46240</v>
      </c>
      <c r="I374" s="2">
        <v>0.33333333333333331</v>
      </c>
      <c r="J374" s="2">
        <v>0.625</v>
      </c>
      <c r="K374" s="11" t="s">
        <v>3662</v>
      </c>
      <c r="L374" s="11" t="s">
        <v>3663</v>
      </c>
      <c r="M374" s="1"/>
      <c r="N374" s="11"/>
      <c r="O374" s="11" t="s">
        <v>21</v>
      </c>
      <c r="P374" s="1"/>
      <c r="Q374" s="1"/>
      <c r="R374" s="11"/>
      <c r="S374" s="2">
        <f>CONSOLIDADO_2026[[#This Row],[Hora final]]-CONSOLIDADO_2026[[#This Row],[Hora inic]]</f>
        <v>0.29166666666666669</v>
      </c>
    </row>
    <row r="375" spans="1:19" hidden="1" x14ac:dyDescent="0.25">
      <c r="A375" t="s">
        <v>4048</v>
      </c>
      <c r="B375">
        <v>1152699151</v>
      </c>
      <c r="C375" t="s">
        <v>1020</v>
      </c>
      <c r="D375" s="11" t="s">
        <v>4125</v>
      </c>
      <c r="E375" s="11" t="s">
        <v>4046</v>
      </c>
      <c r="F375" s="11" t="s">
        <v>4123</v>
      </c>
      <c r="G375" s="1">
        <v>46238</v>
      </c>
      <c r="H375" s="1">
        <v>46240</v>
      </c>
      <c r="I375" s="2">
        <v>0.33333333333333331</v>
      </c>
      <c r="J375" s="2">
        <v>0.625</v>
      </c>
      <c r="K375" s="11" t="s">
        <v>3662</v>
      </c>
      <c r="L375" s="11" t="s">
        <v>3663</v>
      </c>
      <c r="M375" s="1"/>
      <c r="N375" s="11"/>
      <c r="O375" s="11" t="s">
        <v>21</v>
      </c>
      <c r="P375" s="1"/>
      <c r="Q375" s="1"/>
      <c r="R375" s="11"/>
      <c r="S375" s="2">
        <f>CONSOLIDADO_2026[[#This Row],[Hora final]]-CONSOLIDADO_2026[[#This Row],[Hora inic]]</f>
        <v>0.29166666666666669</v>
      </c>
    </row>
    <row r="376" spans="1:19" hidden="1" x14ac:dyDescent="0.25">
      <c r="A376" t="s">
        <v>4051</v>
      </c>
      <c r="B376">
        <v>1152699151</v>
      </c>
      <c r="C376" t="s">
        <v>1020</v>
      </c>
      <c r="D376" s="11" t="s">
        <v>4125</v>
      </c>
      <c r="E376" s="11" t="s">
        <v>4046</v>
      </c>
      <c r="F376" s="11" t="s">
        <v>4123</v>
      </c>
      <c r="G376" s="1">
        <v>46238</v>
      </c>
      <c r="H376" s="1">
        <v>46240</v>
      </c>
      <c r="I376" s="2"/>
      <c r="J376" s="2"/>
      <c r="K376" s="11"/>
      <c r="L376" s="11" t="s">
        <v>4041</v>
      </c>
      <c r="M376" s="1"/>
      <c r="N376" s="11" t="s">
        <v>4042</v>
      </c>
      <c r="O376" s="11" t="s">
        <v>4042</v>
      </c>
      <c r="P376" s="1"/>
      <c r="Q376" s="1"/>
      <c r="R376" s="11"/>
      <c r="S376" s="2">
        <f>CONSOLIDADO_2026[[#This Row],[Hora final]]-CONSOLIDADO_2026[[#This Row],[Hora inic]]</f>
        <v>0</v>
      </c>
    </row>
    <row r="377" spans="1:19" hidden="1" x14ac:dyDescent="0.25">
      <c r="A377" t="s">
        <v>4055</v>
      </c>
      <c r="B377">
        <v>1152470285</v>
      </c>
      <c r="C377" t="s">
        <v>3594</v>
      </c>
      <c r="D377" s="11" t="s">
        <v>82</v>
      </c>
      <c r="E377" s="11" t="s">
        <v>4045</v>
      </c>
      <c r="F377" s="11" t="s">
        <v>24</v>
      </c>
      <c r="G377" s="1">
        <v>46238</v>
      </c>
      <c r="H377" s="1">
        <v>46238</v>
      </c>
      <c r="I377" s="2">
        <v>0.25</v>
      </c>
      <c r="J377" s="2">
        <v>0.58333333333333337</v>
      </c>
      <c r="K377" s="11" t="s">
        <v>1491</v>
      </c>
      <c r="L377" s="11" t="s">
        <v>1492</v>
      </c>
      <c r="M377" s="1"/>
      <c r="N377" s="11"/>
      <c r="O377" s="11" t="s">
        <v>21</v>
      </c>
      <c r="P377" s="1"/>
      <c r="Q377" s="1"/>
      <c r="R377" s="11"/>
      <c r="S377" s="2">
        <f>CONSOLIDADO_2026[[#This Row],[Hora final]]-CONSOLIDADO_2026[[#This Row],[Hora inic]]</f>
        <v>0.33333333333333337</v>
      </c>
    </row>
    <row r="378" spans="1:19" hidden="1" x14ac:dyDescent="0.25">
      <c r="A378" t="s">
        <v>4053</v>
      </c>
      <c r="B378">
        <v>1152470285</v>
      </c>
      <c r="C378" t="s">
        <v>4126</v>
      </c>
      <c r="D378" s="11" t="s">
        <v>82</v>
      </c>
      <c r="E378" s="11" t="s">
        <v>4045</v>
      </c>
      <c r="F378" s="11" t="s">
        <v>24</v>
      </c>
      <c r="G378" s="1">
        <v>46238</v>
      </c>
      <c r="H378" s="1">
        <v>46238</v>
      </c>
      <c r="I378" s="2"/>
      <c r="J378" s="2"/>
      <c r="K378" s="11"/>
      <c r="L378" s="11" t="s">
        <v>4041</v>
      </c>
      <c r="M378" s="1"/>
      <c r="N378" s="11"/>
      <c r="O378" s="11" t="s">
        <v>4042</v>
      </c>
      <c r="P378" s="1"/>
      <c r="Q378" s="1"/>
      <c r="R378" s="11"/>
      <c r="S378" s="2">
        <f>CONSOLIDADO_2026[[#This Row],[Hora final]]-CONSOLIDADO_2026[[#This Row],[Hora inic]]</f>
        <v>0</v>
      </c>
    </row>
    <row r="379" spans="1:19" hidden="1" x14ac:dyDescent="0.25">
      <c r="A379" t="s">
        <v>4055</v>
      </c>
      <c r="B379" t="s">
        <v>228</v>
      </c>
      <c r="C379" t="s">
        <v>229</v>
      </c>
      <c r="D379" s="11" t="s">
        <v>4078</v>
      </c>
      <c r="E379" s="11" t="s">
        <v>4046</v>
      </c>
      <c r="F379" s="11" t="s">
        <v>4079</v>
      </c>
      <c r="G379" s="1">
        <v>46238</v>
      </c>
      <c r="H379" s="1">
        <v>46238</v>
      </c>
      <c r="I379" s="2">
        <v>0.25</v>
      </c>
      <c r="J379" s="2">
        <v>0.58333333333333337</v>
      </c>
      <c r="K379" s="11" t="s">
        <v>228</v>
      </c>
      <c r="L379" s="11" t="s">
        <v>229</v>
      </c>
      <c r="M379" s="1"/>
      <c r="N379" s="11"/>
      <c r="O379" s="11" t="s">
        <v>4042</v>
      </c>
      <c r="P379" s="1"/>
      <c r="Q379" s="1"/>
      <c r="R379" s="11"/>
      <c r="S379" s="2">
        <f>CONSOLIDADO_2026[[#This Row],[Hora final]]-CONSOLIDADO_2026[[#This Row],[Hora inic]]</f>
        <v>0.33333333333333337</v>
      </c>
    </row>
    <row r="380" spans="1:19" hidden="1" x14ac:dyDescent="0.25">
      <c r="A380" t="s">
        <v>4055</v>
      </c>
      <c r="B380">
        <v>1193055266</v>
      </c>
      <c r="C380" t="s">
        <v>322</v>
      </c>
      <c r="D380" s="11" t="s">
        <v>4078</v>
      </c>
      <c r="E380" s="11" t="s">
        <v>4056</v>
      </c>
      <c r="F380" s="11" t="s">
        <v>4079</v>
      </c>
      <c r="G380" s="1">
        <v>46238</v>
      </c>
      <c r="H380" s="1">
        <v>46238</v>
      </c>
      <c r="I380" s="2">
        <v>0.25</v>
      </c>
      <c r="J380" s="2">
        <v>0.58333333333333337</v>
      </c>
      <c r="K380" s="11" t="s">
        <v>321</v>
      </c>
      <c r="L380" s="11" t="s">
        <v>322</v>
      </c>
      <c r="M380" s="1"/>
      <c r="N380" s="11"/>
      <c r="O380" s="11" t="s">
        <v>4042</v>
      </c>
      <c r="P380" s="1"/>
      <c r="Q380" s="1"/>
      <c r="R380" s="11"/>
      <c r="S380" s="2">
        <f>CONSOLIDADO_2026[[#This Row],[Hora final]]-CONSOLIDADO_2026[[#This Row],[Hora inic]]</f>
        <v>0.33333333333333337</v>
      </c>
    </row>
    <row r="381" spans="1:19" hidden="1" x14ac:dyDescent="0.25">
      <c r="A381" t="s">
        <v>4055</v>
      </c>
      <c r="B381">
        <v>1152687492</v>
      </c>
      <c r="C381" t="s">
        <v>4127</v>
      </c>
      <c r="D381" s="11" t="s">
        <v>414</v>
      </c>
      <c r="E381" s="11" t="s">
        <v>4056</v>
      </c>
      <c r="F381" s="11" t="s">
        <v>4050</v>
      </c>
      <c r="G381" s="1">
        <v>46238</v>
      </c>
      <c r="H381" s="1">
        <v>46240</v>
      </c>
      <c r="I381" s="2">
        <v>0.5</v>
      </c>
      <c r="J381" s="2">
        <v>0.79166666666666663</v>
      </c>
      <c r="K381" s="11" t="s">
        <v>267</v>
      </c>
      <c r="L381" s="11" t="s">
        <v>268</v>
      </c>
      <c r="M381" s="1"/>
      <c r="N381" s="11"/>
      <c r="O381" s="11" t="s">
        <v>21</v>
      </c>
      <c r="P381" s="1"/>
      <c r="Q381" s="1"/>
      <c r="R381" s="11"/>
      <c r="S381" s="2">
        <f>CONSOLIDADO_2026[[#This Row],[Hora final]]-CONSOLIDADO_2026[[#This Row],[Hora inic]]</f>
        <v>0.29166666666666663</v>
      </c>
    </row>
    <row r="382" spans="1:19" hidden="1" x14ac:dyDescent="0.25">
      <c r="A382" t="s">
        <v>4053</v>
      </c>
      <c r="B382">
        <v>1152687492</v>
      </c>
      <c r="C382" t="s">
        <v>4127</v>
      </c>
      <c r="D382" s="11" t="s">
        <v>414</v>
      </c>
      <c r="E382" s="11" t="s">
        <v>4056</v>
      </c>
      <c r="F382" s="11" t="s">
        <v>4050</v>
      </c>
      <c r="G382" s="1">
        <v>46238</v>
      </c>
      <c r="H382" s="1">
        <v>46240</v>
      </c>
      <c r="I382" s="2">
        <v>0.45833333333333331</v>
      </c>
      <c r="J382" s="2">
        <v>0.79166666666666663</v>
      </c>
      <c r="K382" s="11" t="s">
        <v>285</v>
      </c>
      <c r="L382" s="11" t="s">
        <v>286</v>
      </c>
      <c r="M382" s="1"/>
      <c r="N382" s="11"/>
      <c r="O382" s="11" t="s">
        <v>21</v>
      </c>
      <c r="P382" s="1"/>
      <c r="Q382" s="1"/>
      <c r="R382" s="11"/>
      <c r="S382" s="2">
        <f>CONSOLIDADO_2026[[#This Row],[Hora final]]-CONSOLIDADO_2026[[#This Row],[Hora inic]]</f>
        <v>0.33333333333333331</v>
      </c>
    </row>
    <row r="383" spans="1:19" hidden="1" x14ac:dyDescent="0.25">
      <c r="A383" t="s">
        <v>4048</v>
      </c>
      <c r="B383">
        <v>1152687492</v>
      </c>
      <c r="C383" t="s">
        <v>4127</v>
      </c>
      <c r="D383" s="11" t="s">
        <v>414</v>
      </c>
      <c r="E383" s="11" t="s">
        <v>4056</v>
      </c>
      <c r="F383" s="11" t="s">
        <v>4050</v>
      </c>
      <c r="G383" s="1">
        <v>46238</v>
      </c>
      <c r="H383" s="1">
        <v>46240</v>
      </c>
      <c r="I383" s="2">
        <v>0.29166666666666669</v>
      </c>
      <c r="J383" s="2">
        <v>0.625</v>
      </c>
      <c r="K383" s="11"/>
      <c r="L383" s="11" t="s">
        <v>4041</v>
      </c>
      <c r="M383" s="1"/>
      <c r="N383" s="11"/>
      <c r="O383" s="11" t="s">
        <v>4042</v>
      </c>
      <c r="P383" s="1"/>
      <c r="Q383" s="1"/>
      <c r="R383" s="11"/>
      <c r="S383" s="2">
        <f>CONSOLIDADO_2026[[#This Row],[Hora final]]-CONSOLIDADO_2026[[#This Row],[Hora inic]]</f>
        <v>0.33333333333333331</v>
      </c>
    </row>
    <row r="384" spans="1:19" hidden="1" x14ac:dyDescent="0.25">
      <c r="A384" t="s">
        <v>4051</v>
      </c>
      <c r="B384">
        <v>1152687492</v>
      </c>
      <c r="C384" t="s">
        <v>4127</v>
      </c>
      <c r="D384" s="11" t="s">
        <v>414</v>
      </c>
      <c r="E384" s="11" t="s">
        <v>4056</v>
      </c>
      <c r="F384" s="11" t="s">
        <v>4050</v>
      </c>
      <c r="G384" s="1">
        <v>46238</v>
      </c>
      <c r="H384" s="1">
        <v>46240</v>
      </c>
      <c r="I384" s="2"/>
      <c r="J384" s="2"/>
      <c r="K384" s="11"/>
      <c r="L384" s="11" t="s">
        <v>4041</v>
      </c>
      <c r="M384" s="1"/>
      <c r="N384" s="11" t="s">
        <v>4042</v>
      </c>
      <c r="O384" s="11" t="s">
        <v>4042</v>
      </c>
      <c r="P384" s="1"/>
      <c r="Q384" s="1"/>
      <c r="R384" s="11"/>
      <c r="S384" s="2">
        <f>CONSOLIDADO_2026[[#This Row],[Hora final]]-CONSOLIDADO_2026[[#This Row],[Hora inic]]</f>
        <v>0</v>
      </c>
    </row>
    <row r="385" spans="1:19" hidden="1" x14ac:dyDescent="0.25">
      <c r="A385" t="s">
        <v>4055</v>
      </c>
      <c r="B385">
        <v>1117545007</v>
      </c>
      <c r="C385" t="s">
        <v>2375</v>
      </c>
      <c r="D385" s="11" t="s">
        <v>139</v>
      </c>
      <c r="E385" s="11" t="s">
        <v>4040</v>
      </c>
      <c r="F385" s="11" t="s">
        <v>16</v>
      </c>
      <c r="G385" s="1">
        <v>46237</v>
      </c>
      <c r="H385" s="1">
        <v>46239</v>
      </c>
      <c r="I385" s="2">
        <v>0.25</v>
      </c>
      <c r="J385" s="2">
        <v>0.58333333333333337</v>
      </c>
      <c r="K385" s="11" t="s">
        <v>314</v>
      </c>
      <c r="L385" s="11" t="s">
        <v>315</v>
      </c>
      <c r="M385" s="1"/>
      <c r="N385" s="11"/>
      <c r="O385" s="11" t="s">
        <v>21</v>
      </c>
      <c r="P385" s="1"/>
      <c r="Q385" s="1"/>
      <c r="R385" s="11"/>
      <c r="S385" s="2">
        <f>CONSOLIDADO_2026[[#This Row],[Hora final]]-CONSOLIDADO_2026[[#This Row],[Hora inic]]</f>
        <v>0.33333333333333337</v>
      </c>
    </row>
    <row r="386" spans="1:19" hidden="1" x14ac:dyDescent="0.25">
      <c r="A386" t="s">
        <v>4053</v>
      </c>
      <c r="B386">
        <v>1117545007</v>
      </c>
      <c r="C386" t="s">
        <v>2375</v>
      </c>
      <c r="D386" s="11" t="s">
        <v>139</v>
      </c>
      <c r="E386" s="11" t="s">
        <v>4040</v>
      </c>
      <c r="F386" s="11" t="s">
        <v>16</v>
      </c>
      <c r="G386" s="1">
        <v>46237</v>
      </c>
      <c r="H386" s="1">
        <v>46239</v>
      </c>
      <c r="I386" s="2">
        <v>0.54166666666666663</v>
      </c>
      <c r="J386" s="2">
        <v>0.875</v>
      </c>
      <c r="K386" s="11" t="s">
        <v>73</v>
      </c>
      <c r="L386" s="11" t="s">
        <v>74</v>
      </c>
      <c r="M386" s="1"/>
      <c r="N386" s="11"/>
      <c r="O386" s="11" t="s">
        <v>21</v>
      </c>
      <c r="P386" s="1"/>
      <c r="Q386" s="1"/>
      <c r="R386" s="11"/>
      <c r="S386" s="2">
        <f>CONSOLIDADO_2026[[#This Row],[Hora final]]-CONSOLIDADO_2026[[#This Row],[Hora inic]]</f>
        <v>0.33333333333333337</v>
      </c>
    </row>
    <row r="387" spans="1:19" hidden="1" x14ac:dyDescent="0.25">
      <c r="A387" t="s">
        <v>4048</v>
      </c>
      <c r="B387">
        <v>1117545007</v>
      </c>
      <c r="C387" t="s">
        <v>2375</v>
      </c>
      <c r="D387" s="11" t="s">
        <v>139</v>
      </c>
      <c r="E387" s="11" t="s">
        <v>4040</v>
      </c>
      <c r="F387" s="11" t="s">
        <v>16</v>
      </c>
      <c r="G387" s="1">
        <v>46237</v>
      </c>
      <c r="H387" s="1">
        <v>46239</v>
      </c>
      <c r="I387" s="2"/>
      <c r="J387" s="2"/>
      <c r="K387" s="11"/>
      <c r="L387" s="11" t="s">
        <v>4041</v>
      </c>
      <c r="M387" s="1"/>
      <c r="N387" s="11"/>
      <c r="O387" s="11" t="s">
        <v>4042</v>
      </c>
      <c r="P387" s="1"/>
      <c r="Q387" s="1"/>
      <c r="R387" s="11"/>
      <c r="S387" s="2">
        <f>CONSOLIDADO_2026[[#This Row],[Hora final]]-CONSOLIDADO_2026[[#This Row],[Hora inic]]</f>
        <v>0</v>
      </c>
    </row>
    <row r="388" spans="1:19" hidden="1" x14ac:dyDescent="0.25">
      <c r="A388" t="s">
        <v>4055</v>
      </c>
      <c r="B388">
        <v>1214743121</v>
      </c>
      <c r="C388" t="s">
        <v>4128</v>
      </c>
      <c r="D388" s="11" t="s">
        <v>421</v>
      </c>
      <c r="E388" s="11" t="s">
        <v>4047</v>
      </c>
      <c r="F388" s="11" t="s">
        <v>4074</v>
      </c>
      <c r="G388" s="1">
        <v>46238</v>
      </c>
      <c r="H388" s="1"/>
      <c r="I388" s="2">
        <v>0.25</v>
      </c>
      <c r="J388" s="2">
        <v>0.54166666666666663</v>
      </c>
      <c r="K388" s="11"/>
      <c r="L388" s="11" t="s">
        <v>4060</v>
      </c>
      <c r="M388" s="1"/>
      <c r="N388" s="11"/>
      <c r="O388" s="11" t="s">
        <v>4042</v>
      </c>
      <c r="P388" s="1"/>
      <c r="Q388" s="1"/>
      <c r="R388" s="11" t="s">
        <v>4129</v>
      </c>
      <c r="S388" s="2">
        <f>CONSOLIDADO_2026[[#This Row],[Hora final]]-CONSOLIDADO_2026[[#This Row],[Hora inic]]</f>
        <v>0.29166666666666663</v>
      </c>
    </row>
    <row r="389" spans="1:19" hidden="1" x14ac:dyDescent="0.25">
      <c r="A389" t="s">
        <v>4053</v>
      </c>
      <c r="B389">
        <v>1214743121</v>
      </c>
      <c r="C389" t="s">
        <v>4128</v>
      </c>
      <c r="D389" s="11" t="s">
        <v>421</v>
      </c>
      <c r="E389" s="11" t="s">
        <v>4047</v>
      </c>
      <c r="F389" s="11" t="s">
        <v>4074</v>
      </c>
      <c r="G389" s="1">
        <v>46238</v>
      </c>
      <c r="H389" s="1"/>
      <c r="I389" s="2">
        <v>0.25</v>
      </c>
      <c r="J389" s="2">
        <v>0.54166666666666663</v>
      </c>
      <c r="K389" s="11"/>
      <c r="L389" s="11" t="s">
        <v>4084</v>
      </c>
      <c r="M389" s="1"/>
      <c r="N389" s="11"/>
      <c r="O389" s="11" t="s">
        <v>4042</v>
      </c>
      <c r="P389" s="1"/>
      <c r="Q389" s="1"/>
      <c r="R389" s="11" t="s">
        <v>4129</v>
      </c>
      <c r="S389" s="2">
        <f>CONSOLIDADO_2026[[#This Row],[Hora final]]-CONSOLIDADO_2026[[#This Row],[Hora inic]]</f>
        <v>0.29166666666666663</v>
      </c>
    </row>
    <row r="390" spans="1:19" hidden="1" x14ac:dyDescent="0.25">
      <c r="A390" t="s">
        <v>4055</v>
      </c>
      <c r="B390">
        <v>1005660092</v>
      </c>
      <c r="C390" t="s">
        <v>2316</v>
      </c>
      <c r="D390" s="11" t="s">
        <v>102</v>
      </c>
      <c r="E390" s="11" t="s">
        <v>4046</v>
      </c>
      <c r="F390" s="11" t="s">
        <v>16</v>
      </c>
      <c r="G390" s="1">
        <v>46238</v>
      </c>
      <c r="H390" s="1">
        <v>46238</v>
      </c>
      <c r="I390" s="2">
        <v>0.5</v>
      </c>
      <c r="J390" s="2">
        <v>0.79166666666666663</v>
      </c>
      <c r="K390" s="11"/>
      <c r="L390" s="11" t="s">
        <v>4060</v>
      </c>
      <c r="M390" s="1"/>
      <c r="N390" s="11"/>
      <c r="O390" s="11" t="s">
        <v>4042</v>
      </c>
      <c r="P390" s="1"/>
      <c r="Q390" s="1"/>
      <c r="R390" s="11"/>
      <c r="S390" s="2">
        <f>CONSOLIDADO_2026[[#This Row],[Hora final]]-CONSOLIDADO_2026[[#This Row],[Hora inic]]</f>
        <v>0.29166666666666663</v>
      </c>
    </row>
    <row r="391" spans="1:19" hidden="1" x14ac:dyDescent="0.25">
      <c r="A391" t="s">
        <v>4055</v>
      </c>
      <c r="B391">
        <v>88030132</v>
      </c>
      <c r="C391" t="s">
        <v>1956</v>
      </c>
      <c r="D391" s="11" t="s">
        <v>59</v>
      </c>
      <c r="E391" s="11" t="s">
        <v>4047</v>
      </c>
      <c r="F391" s="11" t="s">
        <v>4074</v>
      </c>
      <c r="G391" s="1">
        <v>46238</v>
      </c>
      <c r="H391" s="1">
        <v>46237</v>
      </c>
      <c r="I391" s="2">
        <v>0.25</v>
      </c>
      <c r="J391" s="2">
        <v>0.58333333333333337</v>
      </c>
      <c r="K391" s="11"/>
      <c r="L391" s="11" t="s">
        <v>4084</v>
      </c>
      <c r="M391" s="1"/>
      <c r="N391" s="11"/>
      <c r="O391" s="11" t="s">
        <v>4042</v>
      </c>
      <c r="P391" s="1"/>
      <c r="Q391" s="1"/>
      <c r="R391" s="11" t="s">
        <v>4085</v>
      </c>
      <c r="S391" s="2">
        <f>CONSOLIDADO_2026[[#This Row],[Hora final]]-CONSOLIDADO_2026[[#This Row],[Hora inic]]</f>
        <v>0.33333333333333337</v>
      </c>
    </row>
    <row r="392" spans="1:19" hidden="1" x14ac:dyDescent="0.25">
      <c r="A392" t="s">
        <v>4053</v>
      </c>
      <c r="B392">
        <v>88030132</v>
      </c>
      <c r="C392" t="s">
        <v>1956</v>
      </c>
      <c r="D392" s="11" t="s">
        <v>59</v>
      </c>
      <c r="E392" s="11" t="s">
        <v>4047</v>
      </c>
      <c r="F392" s="11" t="s">
        <v>4074</v>
      </c>
      <c r="G392" s="1">
        <v>46238</v>
      </c>
      <c r="H392" s="1">
        <v>46237</v>
      </c>
      <c r="I392" s="2">
        <v>0.25</v>
      </c>
      <c r="J392" s="2">
        <v>0.54166666666666663</v>
      </c>
      <c r="K392" s="11"/>
      <c r="L392" s="11" t="s">
        <v>4060</v>
      </c>
      <c r="M392" s="1">
        <v>46238</v>
      </c>
      <c r="N392" s="11"/>
      <c r="O392" s="11" t="s">
        <v>4042</v>
      </c>
      <c r="P392" s="1">
        <v>46237</v>
      </c>
      <c r="Q392" s="1"/>
      <c r="R392" s="11" t="s">
        <v>4081</v>
      </c>
      <c r="S392" s="2">
        <f>CONSOLIDADO_2026[[#This Row],[Hora final]]-CONSOLIDADO_2026[[#This Row],[Hora inic]]</f>
        <v>0.29166666666666663</v>
      </c>
    </row>
    <row r="393" spans="1:19" hidden="1" x14ac:dyDescent="0.25">
      <c r="A393" t="s">
        <v>4055</v>
      </c>
      <c r="B393">
        <v>1067963513</v>
      </c>
      <c r="C393" t="s">
        <v>4130</v>
      </c>
      <c r="D393" s="11" t="s">
        <v>68</v>
      </c>
      <c r="E393" s="11" t="s">
        <v>4040</v>
      </c>
      <c r="F393" s="11" t="s">
        <v>4074</v>
      </c>
      <c r="G393" s="1">
        <v>46238</v>
      </c>
      <c r="H393" s="1">
        <v>46238</v>
      </c>
      <c r="I393" s="2">
        <v>0.58333333333333337</v>
      </c>
      <c r="J393" s="2">
        <v>0.875</v>
      </c>
      <c r="K393" s="11"/>
      <c r="L393" s="11" t="s">
        <v>4060</v>
      </c>
      <c r="M393" s="1">
        <v>46240</v>
      </c>
      <c r="N393" s="11"/>
      <c r="O393" s="11" t="s">
        <v>4042</v>
      </c>
      <c r="P393" s="1">
        <v>46239</v>
      </c>
      <c r="Q393" s="1"/>
      <c r="R393" s="11" t="s">
        <v>4081</v>
      </c>
      <c r="S393" s="2">
        <f>CONSOLIDADO_2026[[#This Row],[Hora final]]-CONSOLIDADO_2026[[#This Row],[Hora inic]]</f>
        <v>0.29166666666666663</v>
      </c>
    </row>
    <row r="394" spans="1:19" hidden="1" x14ac:dyDescent="0.25">
      <c r="A394" t="s">
        <v>4053</v>
      </c>
      <c r="B394">
        <v>1067963513</v>
      </c>
      <c r="C394" t="s">
        <v>84</v>
      </c>
      <c r="D394" s="11" t="s">
        <v>68</v>
      </c>
      <c r="E394" s="11" t="s">
        <v>4040</v>
      </c>
      <c r="F394" s="11" t="s">
        <v>4074</v>
      </c>
      <c r="G394" s="1">
        <v>46238</v>
      </c>
      <c r="H394" s="1">
        <v>46238</v>
      </c>
      <c r="I394" s="2">
        <v>0.54166666666666663</v>
      </c>
      <c r="J394" s="2">
        <v>0.875</v>
      </c>
      <c r="K394" s="11"/>
      <c r="L394" s="11" t="s">
        <v>4060</v>
      </c>
      <c r="M394" s="1">
        <v>46240</v>
      </c>
      <c r="N394" s="11"/>
      <c r="O394" s="11" t="s">
        <v>4042</v>
      </c>
      <c r="P394" s="1">
        <v>46239</v>
      </c>
      <c r="Q394" s="1"/>
      <c r="R394" s="11" t="s">
        <v>4081</v>
      </c>
      <c r="S394" s="2">
        <f>CONSOLIDADO_2026[[#This Row],[Hora final]]-CONSOLIDADO_2026[[#This Row],[Hora inic]]</f>
        <v>0.33333333333333337</v>
      </c>
    </row>
    <row r="395" spans="1:19" hidden="1" x14ac:dyDescent="0.25">
      <c r="A395" t="s">
        <v>4048</v>
      </c>
      <c r="B395">
        <v>1067963513</v>
      </c>
      <c r="C395" t="s">
        <v>84</v>
      </c>
      <c r="D395" s="11" t="s">
        <v>68</v>
      </c>
      <c r="E395" s="11" t="s">
        <v>4040</v>
      </c>
      <c r="F395" s="11" t="s">
        <v>16</v>
      </c>
      <c r="G395" s="1">
        <v>46238</v>
      </c>
      <c r="H395" s="1">
        <v>46238</v>
      </c>
      <c r="I395" s="2">
        <v>0.25</v>
      </c>
      <c r="J395" s="2">
        <v>0.58333333333333337</v>
      </c>
      <c r="K395" s="11"/>
      <c r="L395" s="11" t="s">
        <v>4041</v>
      </c>
      <c r="M395" s="1"/>
      <c r="N395" s="11"/>
      <c r="O395" s="11" t="s">
        <v>4042</v>
      </c>
      <c r="P395" s="1"/>
      <c r="Q395" s="1"/>
      <c r="R395" s="11"/>
      <c r="S395" s="2">
        <f>CONSOLIDADO_2026[[#This Row],[Hora final]]-CONSOLIDADO_2026[[#This Row],[Hora inic]]</f>
        <v>0.33333333333333337</v>
      </c>
    </row>
    <row r="396" spans="1:19" hidden="1" x14ac:dyDescent="0.25">
      <c r="A396" t="s">
        <v>4055</v>
      </c>
      <c r="B396">
        <v>1000412686</v>
      </c>
      <c r="C396" t="s">
        <v>2872</v>
      </c>
      <c r="D396" s="11" t="s">
        <v>82</v>
      </c>
      <c r="E396" s="11" t="s">
        <v>4045</v>
      </c>
      <c r="F396" s="11" t="s">
        <v>4074</v>
      </c>
      <c r="G396" s="1">
        <v>46238</v>
      </c>
      <c r="H396" s="1">
        <v>46238</v>
      </c>
      <c r="I396" s="2">
        <v>0.25</v>
      </c>
      <c r="J396" s="2">
        <v>0.54166666666666663</v>
      </c>
      <c r="K396" s="11"/>
      <c r="L396" s="11" t="s">
        <v>4060</v>
      </c>
      <c r="M396" s="1">
        <v>46239</v>
      </c>
      <c r="N396" s="11"/>
      <c r="O396" s="11" t="s">
        <v>4042</v>
      </c>
      <c r="P396" s="1">
        <v>46238</v>
      </c>
      <c r="Q396" s="1"/>
      <c r="R396" s="11" t="s">
        <v>4081</v>
      </c>
      <c r="S396" s="2">
        <f>CONSOLIDADO_2026[[#This Row],[Hora final]]-CONSOLIDADO_2026[[#This Row],[Hora inic]]</f>
        <v>0.29166666666666663</v>
      </c>
    </row>
    <row r="397" spans="1:19" hidden="1" x14ac:dyDescent="0.25">
      <c r="A397" t="s">
        <v>4053</v>
      </c>
      <c r="B397">
        <v>1000412686</v>
      </c>
      <c r="C397" t="s">
        <v>2872</v>
      </c>
      <c r="D397" s="11" t="s">
        <v>82</v>
      </c>
      <c r="E397" s="11" t="s">
        <v>4045</v>
      </c>
      <c r="F397" s="11" t="s">
        <v>4074</v>
      </c>
      <c r="G397" s="1">
        <v>46238</v>
      </c>
      <c r="H397" s="1">
        <v>46238</v>
      </c>
      <c r="I397" s="2">
        <v>0.25</v>
      </c>
      <c r="J397" s="2">
        <v>0.54166666666666663</v>
      </c>
      <c r="K397" s="11"/>
      <c r="L397" s="11" t="s">
        <v>4060</v>
      </c>
      <c r="M397" s="1">
        <v>46239</v>
      </c>
      <c r="N397" s="11"/>
      <c r="O397" s="11" t="s">
        <v>4042</v>
      </c>
      <c r="P397" s="1">
        <v>46238</v>
      </c>
      <c r="Q397" s="1"/>
      <c r="R397" s="11" t="s">
        <v>4081</v>
      </c>
      <c r="S397" s="2">
        <f>CONSOLIDADO_2026[[#This Row],[Hora final]]-CONSOLIDADO_2026[[#This Row],[Hora inic]]</f>
        <v>0.29166666666666663</v>
      </c>
    </row>
    <row r="398" spans="1:19" hidden="1" x14ac:dyDescent="0.25">
      <c r="A398" t="s">
        <v>4048</v>
      </c>
      <c r="B398">
        <v>1000412686</v>
      </c>
      <c r="C398" t="s">
        <v>2872</v>
      </c>
      <c r="D398" s="11" t="s">
        <v>82</v>
      </c>
      <c r="E398" s="11" t="s">
        <v>4045</v>
      </c>
      <c r="F398" s="11" t="s">
        <v>16</v>
      </c>
      <c r="G398" s="1">
        <v>46238</v>
      </c>
      <c r="H398" s="1">
        <v>46238</v>
      </c>
      <c r="I398" s="2"/>
      <c r="J398" s="2">
        <v>0.83333333333333337</v>
      </c>
      <c r="K398" s="11"/>
      <c r="L398" s="11" t="s">
        <v>4041</v>
      </c>
      <c r="M398" s="1"/>
      <c r="N398" s="11"/>
      <c r="O398" s="11" t="s">
        <v>4042</v>
      </c>
      <c r="P398" s="1"/>
      <c r="Q398" s="1"/>
      <c r="R398" s="11"/>
      <c r="S398" s="2">
        <f>CONSOLIDADO_2026[[#This Row],[Hora final]]-CONSOLIDADO_2026[[#This Row],[Hora inic]]</f>
        <v>0.83333333333333337</v>
      </c>
    </row>
    <row r="399" spans="1:19" hidden="1" x14ac:dyDescent="0.25">
      <c r="A399" t="s">
        <v>4055</v>
      </c>
      <c r="B399">
        <v>1193104616</v>
      </c>
      <c r="C399" t="s">
        <v>2004</v>
      </c>
      <c r="D399" s="11" t="s">
        <v>55</v>
      </c>
      <c r="E399" s="11" t="s">
        <v>4047</v>
      </c>
      <c r="F399" s="11" t="s">
        <v>16</v>
      </c>
      <c r="G399" s="1">
        <v>46238</v>
      </c>
      <c r="H399" s="1">
        <v>46240</v>
      </c>
      <c r="I399" s="2">
        <v>0.25</v>
      </c>
      <c r="J399" s="2">
        <v>0.45833333333333331</v>
      </c>
      <c r="K399" s="11"/>
      <c r="L399" s="11" t="s">
        <v>327</v>
      </c>
      <c r="M399" s="1"/>
      <c r="N399" s="11"/>
      <c r="O399" s="11" t="s">
        <v>4042</v>
      </c>
      <c r="P399" s="1"/>
      <c r="Q399" s="1"/>
      <c r="R399" s="11"/>
      <c r="S399" s="2">
        <f>CONSOLIDADO_2026[[#This Row],[Hora final]]-CONSOLIDADO_2026[[#This Row],[Hora inic]]</f>
        <v>0.20833333333333331</v>
      </c>
    </row>
    <row r="400" spans="1:19" hidden="1" x14ac:dyDescent="0.25">
      <c r="A400" t="s">
        <v>4053</v>
      </c>
      <c r="B400">
        <v>1193104616</v>
      </c>
      <c r="C400" t="s">
        <v>2004</v>
      </c>
      <c r="D400" s="11" t="s">
        <v>55</v>
      </c>
      <c r="E400" s="11" t="s">
        <v>4047</v>
      </c>
      <c r="F400" s="11" t="s">
        <v>16</v>
      </c>
      <c r="G400" s="1">
        <v>46238</v>
      </c>
      <c r="H400" s="1">
        <v>46240</v>
      </c>
      <c r="I400" s="2">
        <v>0.25</v>
      </c>
      <c r="J400" s="2">
        <v>0.58333333333333337</v>
      </c>
      <c r="K400" s="11" t="s">
        <v>85</v>
      </c>
      <c r="L400" s="11" t="s">
        <v>86</v>
      </c>
      <c r="M400" s="1"/>
      <c r="N400" s="11"/>
      <c r="O400" s="11" t="s">
        <v>21</v>
      </c>
      <c r="P400" s="1"/>
      <c r="Q400" s="1"/>
      <c r="R400" s="11"/>
      <c r="S400" s="2">
        <f>CONSOLIDADO_2026[[#This Row],[Hora final]]-CONSOLIDADO_2026[[#This Row],[Hora inic]]</f>
        <v>0.33333333333333337</v>
      </c>
    </row>
    <row r="401" spans="1:19" hidden="1" x14ac:dyDescent="0.25">
      <c r="A401" t="s">
        <v>4048</v>
      </c>
      <c r="B401">
        <v>1193104616</v>
      </c>
      <c r="C401" t="s">
        <v>2004</v>
      </c>
      <c r="D401" s="11" t="s">
        <v>55</v>
      </c>
      <c r="E401" s="11" t="s">
        <v>4047</v>
      </c>
      <c r="F401" s="11" t="s">
        <v>16</v>
      </c>
      <c r="G401" s="1">
        <v>46238</v>
      </c>
      <c r="H401" s="1">
        <v>46240</v>
      </c>
      <c r="I401" s="2">
        <v>0.58333333333333337</v>
      </c>
      <c r="J401" s="2">
        <v>0.875</v>
      </c>
      <c r="K401" s="11"/>
      <c r="L401" s="11" t="s">
        <v>327</v>
      </c>
      <c r="M401" s="1"/>
      <c r="N401" s="11"/>
      <c r="O401" s="11" t="s">
        <v>4042</v>
      </c>
      <c r="P401" s="1"/>
      <c r="Q401" s="1"/>
      <c r="R401" s="11"/>
      <c r="S401" s="2">
        <f>CONSOLIDADO_2026[[#This Row],[Hora final]]-CONSOLIDADO_2026[[#This Row],[Hora inic]]</f>
        <v>0.29166666666666663</v>
      </c>
    </row>
    <row r="402" spans="1:19" hidden="1" x14ac:dyDescent="0.25">
      <c r="A402" t="s">
        <v>4051</v>
      </c>
      <c r="B402">
        <v>1193104616</v>
      </c>
      <c r="C402" t="s">
        <v>2004</v>
      </c>
      <c r="D402" s="11" t="s">
        <v>55</v>
      </c>
      <c r="E402" s="11" t="s">
        <v>4047</v>
      </c>
      <c r="F402" s="11" t="s">
        <v>16</v>
      </c>
      <c r="G402" s="1">
        <v>46238</v>
      </c>
      <c r="H402" s="1">
        <v>46240</v>
      </c>
      <c r="I402" s="2"/>
      <c r="J402" s="2"/>
      <c r="K402" s="11"/>
      <c r="L402" s="11" t="s">
        <v>4041</v>
      </c>
      <c r="M402" s="1"/>
      <c r="N402" s="11" t="s">
        <v>4042</v>
      </c>
      <c r="O402" s="11" t="s">
        <v>4042</v>
      </c>
      <c r="P402" s="1"/>
      <c r="Q402" s="1"/>
      <c r="R402" s="11"/>
      <c r="S402" s="2">
        <f>CONSOLIDADO_2026[[#This Row],[Hora final]]-CONSOLIDADO_2026[[#This Row],[Hora inic]]</f>
        <v>0</v>
      </c>
    </row>
    <row r="403" spans="1:19" hidden="1" x14ac:dyDescent="0.25">
      <c r="A403" t="s">
        <v>4055</v>
      </c>
      <c r="B403">
        <v>1001369228</v>
      </c>
      <c r="C403" t="s">
        <v>164</v>
      </c>
      <c r="D403" s="11" t="s">
        <v>4078</v>
      </c>
      <c r="E403" s="11" t="s">
        <v>4056</v>
      </c>
      <c r="F403" s="11" t="s">
        <v>16</v>
      </c>
      <c r="G403" s="1">
        <v>46238</v>
      </c>
      <c r="H403" s="1">
        <v>46239</v>
      </c>
      <c r="I403" s="2">
        <v>0.25</v>
      </c>
      <c r="J403" s="2">
        <v>0.58333333333333337</v>
      </c>
      <c r="K403" s="11"/>
      <c r="L403" s="11" t="s">
        <v>4131</v>
      </c>
      <c r="M403" s="1"/>
      <c r="N403" s="11"/>
      <c r="O403" s="11" t="s">
        <v>21</v>
      </c>
      <c r="P403" s="1"/>
      <c r="Q403" s="1"/>
      <c r="R403" s="11"/>
      <c r="S403" s="2">
        <f>CONSOLIDADO_2026[[#This Row],[Hora final]]-CONSOLIDADO_2026[[#This Row],[Hora inic]]</f>
        <v>0.33333333333333337</v>
      </c>
    </row>
    <row r="404" spans="1:19" hidden="1" x14ac:dyDescent="0.25">
      <c r="A404" t="s">
        <v>4053</v>
      </c>
      <c r="B404">
        <v>1001369228</v>
      </c>
      <c r="C404" t="s">
        <v>164</v>
      </c>
      <c r="D404" s="11" t="s">
        <v>4078</v>
      </c>
      <c r="E404" s="11" t="s">
        <v>4056</v>
      </c>
      <c r="F404" s="11" t="s">
        <v>16</v>
      </c>
      <c r="G404" s="1">
        <v>46238</v>
      </c>
      <c r="H404" s="1">
        <v>46239</v>
      </c>
      <c r="I404" s="2">
        <v>0.25</v>
      </c>
      <c r="J404" s="2">
        <v>0.58333333333333337</v>
      </c>
      <c r="K404" s="11"/>
      <c r="L404" s="11" t="s">
        <v>339</v>
      </c>
      <c r="M404" s="1"/>
      <c r="N404" s="11"/>
      <c r="O404" s="11" t="s">
        <v>4042</v>
      </c>
      <c r="P404" s="1"/>
      <c r="Q404" s="1"/>
      <c r="R404" s="11"/>
      <c r="S404" s="2">
        <f>CONSOLIDADO_2026[[#This Row],[Hora final]]-CONSOLIDADO_2026[[#This Row],[Hora inic]]</f>
        <v>0.33333333333333337</v>
      </c>
    </row>
    <row r="405" spans="1:19" hidden="1" x14ac:dyDescent="0.25">
      <c r="A405" t="s">
        <v>4055</v>
      </c>
      <c r="B405">
        <v>1005424850</v>
      </c>
      <c r="C405" t="s">
        <v>95</v>
      </c>
      <c r="D405" s="11" t="s">
        <v>82</v>
      </c>
      <c r="E405" s="11" t="s">
        <v>4045</v>
      </c>
      <c r="F405" s="11" t="s">
        <v>16</v>
      </c>
      <c r="G405" s="1">
        <v>46238</v>
      </c>
      <c r="H405" s="1">
        <v>46262</v>
      </c>
      <c r="I405" s="2">
        <v>0.25</v>
      </c>
      <c r="J405" s="2">
        <v>0.54166666666666663</v>
      </c>
      <c r="K405" s="11"/>
      <c r="L405" s="11" t="s">
        <v>327</v>
      </c>
      <c r="M405" s="1"/>
      <c r="N405" s="11"/>
      <c r="O405" s="11" t="s">
        <v>4042</v>
      </c>
      <c r="P405" s="1"/>
      <c r="Q405" s="1"/>
      <c r="R405" s="11"/>
      <c r="S405" s="2">
        <f>CONSOLIDADO_2026[[#This Row],[Hora final]]-CONSOLIDADO_2026[[#This Row],[Hora inic]]</f>
        <v>0.29166666666666663</v>
      </c>
    </row>
    <row r="406" spans="1:19" hidden="1" x14ac:dyDescent="0.25">
      <c r="A406" t="s">
        <v>4053</v>
      </c>
      <c r="B406">
        <v>1005424850</v>
      </c>
      <c r="C406" t="s">
        <v>95</v>
      </c>
      <c r="D406" s="11" t="s">
        <v>82</v>
      </c>
      <c r="E406" s="11" t="s">
        <v>4045</v>
      </c>
      <c r="F406" s="11" t="s">
        <v>16</v>
      </c>
      <c r="G406" s="1">
        <v>46238</v>
      </c>
      <c r="H406" s="1">
        <v>46262</v>
      </c>
      <c r="I406" s="2">
        <v>0.25</v>
      </c>
      <c r="J406" s="2">
        <v>0.54166666666666663</v>
      </c>
      <c r="K406" s="11"/>
      <c r="L406" s="11" t="s">
        <v>327</v>
      </c>
      <c r="M406" s="1"/>
      <c r="N406" s="11"/>
      <c r="O406" s="11" t="s">
        <v>4042</v>
      </c>
      <c r="P406" s="1"/>
      <c r="Q406" s="1"/>
      <c r="R406" s="11"/>
      <c r="S406" s="2">
        <f>CONSOLIDADO_2026[[#This Row],[Hora final]]-CONSOLIDADO_2026[[#This Row],[Hora inic]]</f>
        <v>0.29166666666666663</v>
      </c>
    </row>
    <row r="407" spans="1:19" hidden="1" x14ac:dyDescent="0.25">
      <c r="A407" t="s">
        <v>4048</v>
      </c>
      <c r="B407">
        <v>1005424850</v>
      </c>
      <c r="C407" t="s">
        <v>95</v>
      </c>
      <c r="D407" s="11" t="s">
        <v>82</v>
      </c>
      <c r="E407" s="11" t="s">
        <v>4045</v>
      </c>
      <c r="F407" s="11" t="s">
        <v>16</v>
      </c>
      <c r="G407" s="1">
        <v>46238</v>
      </c>
      <c r="H407" s="1">
        <v>46262</v>
      </c>
      <c r="I407" s="2">
        <v>0.5</v>
      </c>
      <c r="J407" s="2">
        <v>0.83333333333333337</v>
      </c>
      <c r="K407" s="11" t="s">
        <v>96</v>
      </c>
      <c r="L407" s="11" t="s">
        <v>97</v>
      </c>
      <c r="M407" s="1"/>
      <c r="N407" s="11"/>
      <c r="O407" s="11" t="s">
        <v>21</v>
      </c>
      <c r="P407" s="1"/>
      <c r="Q407" s="1"/>
      <c r="R407" s="11"/>
      <c r="S407" s="2">
        <f>CONSOLIDADO_2026[[#This Row],[Hora final]]-CONSOLIDADO_2026[[#This Row],[Hora inic]]</f>
        <v>0.33333333333333337</v>
      </c>
    </row>
    <row r="408" spans="1:19" hidden="1" x14ac:dyDescent="0.25">
      <c r="A408" t="s">
        <v>4051</v>
      </c>
      <c r="B408">
        <v>1005424850</v>
      </c>
      <c r="C408" t="s">
        <v>95</v>
      </c>
      <c r="D408" s="11" t="s">
        <v>82</v>
      </c>
      <c r="E408" s="11" t="s">
        <v>4045</v>
      </c>
      <c r="F408" s="11" t="s">
        <v>16</v>
      </c>
      <c r="G408" s="1">
        <v>46238</v>
      </c>
      <c r="H408" s="1">
        <v>46262</v>
      </c>
      <c r="I408" s="2"/>
      <c r="J408" s="2"/>
      <c r="K408" s="11"/>
      <c r="L408" s="11" t="s">
        <v>341</v>
      </c>
      <c r="M408" s="1"/>
      <c r="N408" s="11" t="s">
        <v>21</v>
      </c>
      <c r="O408" s="11" t="s">
        <v>21</v>
      </c>
      <c r="P408" s="1"/>
      <c r="Q408" s="1"/>
      <c r="R408" s="11"/>
      <c r="S408" s="2">
        <f>CONSOLIDADO_2026[[#This Row],[Hora final]]-CONSOLIDADO_2026[[#This Row],[Hora inic]]</f>
        <v>0</v>
      </c>
    </row>
    <row r="409" spans="1:19" hidden="1" x14ac:dyDescent="0.25">
      <c r="A409" t="s">
        <v>4052</v>
      </c>
      <c r="B409">
        <v>1005424850</v>
      </c>
      <c r="C409" t="s">
        <v>95</v>
      </c>
      <c r="D409" s="11" t="s">
        <v>82</v>
      </c>
      <c r="E409" s="11" t="s">
        <v>4045</v>
      </c>
      <c r="F409" s="11" t="s">
        <v>16</v>
      </c>
      <c r="G409" s="1">
        <v>46238</v>
      </c>
      <c r="H409" s="1">
        <v>46262</v>
      </c>
      <c r="I409" s="2">
        <v>0.25</v>
      </c>
      <c r="J409" s="2">
        <v>0.54166666666666663</v>
      </c>
      <c r="K409" s="11" t="s">
        <v>199</v>
      </c>
      <c r="L409" s="11" t="s">
        <v>200</v>
      </c>
      <c r="M409" s="1"/>
      <c r="N409" s="11"/>
      <c r="O409" s="11" t="s">
        <v>21</v>
      </c>
      <c r="P409" s="1"/>
      <c r="Q409" s="1"/>
      <c r="R409" s="11"/>
      <c r="S409" s="2">
        <f>CONSOLIDADO_2026[[#This Row],[Hora final]]-CONSOLIDADO_2026[[#This Row],[Hora inic]]</f>
        <v>0.29166666666666663</v>
      </c>
    </row>
    <row r="410" spans="1:19" hidden="1" x14ac:dyDescent="0.25">
      <c r="A410" t="s">
        <v>4163</v>
      </c>
      <c r="B410">
        <v>1005424850</v>
      </c>
      <c r="C410" t="s">
        <v>95</v>
      </c>
      <c r="D410" s="11" t="s">
        <v>82</v>
      </c>
      <c r="E410" s="11" t="s">
        <v>4045</v>
      </c>
      <c r="F410" s="11" t="s">
        <v>16</v>
      </c>
      <c r="G410" s="1">
        <v>46238</v>
      </c>
      <c r="H410" s="1">
        <v>46262</v>
      </c>
      <c r="I410" s="2">
        <v>0.25</v>
      </c>
      <c r="J410" s="2">
        <v>0.54166666666666663</v>
      </c>
      <c r="K410" s="11" t="s">
        <v>231</v>
      </c>
      <c r="L410" s="11" t="s">
        <v>232</v>
      </c>
      <c r="M410" s="1"/>
      <c r="N410" s="11"/>
      <c r="O410" s="11" t="s">
        <v>21</v>
      </c>
      <c r="P410" s="1"/>
      <c r="Q410" s="1"/>
      <c r="R410" s="11"/>
      <c r="S410" s="2">
        <f>CONSOLIDADO_2026[[#This Row],[Hora final]]-CONSOLIDADO_2026[[#This Row],[Hora inic]]</f>
        <v>0.29166666666666663</v>
      </c>
    </row>
    <row r="411" spans="1:19" hidden="1" x14ac:dyDescent="0.25">
      <c r="A411" t="s">
        <v>4055</v>
      </c>
      <c r="B411">
        <v>1140899272</v>
      </c>
      <c r="C411" t="s">
        <v>588</v>
      </c>
      <c r="D411" s="11" t="s">
        <v>28</v>
      </c>
      <c r="E411" s="11" t="s">
        <v>4046</v>
      </c>
      <c r="F411" s="11" t="s">
        <v>4074</v>
      </c>
      <c r="G411" s="1">
        <v>46238</v>
      </c>
      <c r="H411" s="1">
        <v>46240</v>
      </c>
      <c r="I411" s="2"/>
      <c r="J411" s="2"/>
      <c r="K411" s="11"/>
      <c r="L411" s="11" t="s">
        <v>4083</v>
      </c>
      <c r="M411" s="1">
        <v>46238</v>
      </c>
      <c r="N411" s="11"/>
      <c r="O411" s="11" t="s">
        <v>4042</v>
      </c>
      <c r="P411" s="1">
        <v>46238</v>
      </c>
      <c r="Q411" s="1"/>
      <c r="R411" s="11" t="s">
        <v>4081</v>
      </c>
      <c r="S411" s="2">
        <f>CONSOLIDADO_2026[[#This Row],[Hora final]]-CONSOLIDADO_2026[[#This Row],[Hora inic]]</f>
        <v>0</v>
      </c>
    </row>
    <row r="412" spans="1:19" hidden="1" x14ac:dyDescent="0.25">
      <c r="A412" t="s">
        <v>4053</v>
      </c>
      <c r="B412">
        <v>1140899272</v>
      </c>
      <c r="C412" t="s">
        <v>4132</v>
      </c>
      <c r="D412" s="11" t="s">
        <v>28</v>
      </c>
      <c r="E412" s="11" t="s">
        <v>4046</v>
      </c>
      <c r="F412" s="11" t="s">
        <v>16</v>
      </c>
      <c r="G412" s="1">
        <v>46238</v>
      </c>
      <c r="H412" s="1">
        <v>46240</v>
      </c>
      <c r="I412" s="2">
        <v>0.54166666666666663</v>
      </c>
      <c r="J412" s="2">
        <v>0.875</v>
      </c>
      <c r="K412" s="11"/>
      <c r="L412" s="11" t="s">
        <v>4133</v>
      </c>
      <c r="M412" s="1"/>
      <c r="N412" s="11"/>
      <c r="O412" s="11" t="s">
        <v>21</v>
      </c>
      <c r="P412" s="1"/>
      <c r="Q412" s="1"/>
      <c r="R412" s="11"/>
      <c r="S412" s="2">
        <f>CONSOLIDADO_2026[[#This Row],[Hora final]]-CONSOLIDADO_2026[[#This Row],[Hora inic]]</f>
        <v>0.33333333333333337</v>
      </c>
    </row>
    <row r="413" spans="1:19" hidden="1" x14ac:dyDescent="0.25">
      <c r="A413" t="s">
        <v>4048</v>
      </c>
      <c r="B413">
        <v>1140899272</v>
      </c>
      <c r="C413" t="s">
        <v>4132</v>
      </c>
      <c r="D413" s="11" t="s">
        <v>28</v>
      </c>
      <c r="E413" s="11" t="s">
        <v>4046</v>
      </c>
      <c r="F413" s="11" t="s">
        <v>16</v>
      </c>
      <c r="G413" s="1">
        <v>46238</v>
      </c>
      <c r="H413" s="1">
        <v>46240</v>
      </c>
      <c r="I413" s="2">
        <v>0.25</v>
      </c>
      <c r="J413" s="2">
        <v>0.5</v>
      </c>
      <c r="K413" s="11"/>
      <c r="L413" s="11" t="s">
        <v>327</v>
      </c>
      <c r="M413" s="1"/>
      <c r="N413" s="11"/>
      <c r="O413" s="11" t="s">
        <v>4042</v>
      </c>
      <c r="P413" s="1"/>
      <c r="Q413" s="1"/>
      <c r="R413" s="11"/>
      <c r="S413" s="2">
        <f>CONSOLIDADO_2026[[#This Row],[Hora final]]-CONSOLIDADO_2026[[#This Row],[Hora inic]]</f>
        <v>0.25</v>
      </c>
    </row>
    <row r="414" spans="1:19" hidden="1" x14ac:dyDescent="0.25">
      <c r="A414" t="s">
        <v>4051</v>
      </c>
      <c r="B414">
        <v>1140899272</v>
      </c>
      <c r="C414" t="s">
        <v>4132</v>
      </c>
      <c r="D414" s="11" t="s">
        <v>28</v>
      </c>
      <c r="E414" s="11" t="s">
        <v>4046</v>
      </c>
      <c r="F414" s="11" t="s">
        <v>16</v>
      </c>
      <c r="G414" s="1">
        <v>46238</v>
      </c>
      <c r="H414" s="1">
        <v>46240</v>
      </c>
      <c r="I414" s="2"/>
      <c r="J414" s="2"/>
      <c r="K414" s="11"/>
      <c r="L414" s="11" t="s">
        <v>4041</v>
      </c>
      <c r="M414" s="1"/>
      <c r="N414" s="11" t="s">
        <v>4042</v>
      </c>
      <c r="O414" s="11" t="s">
        <v>4042</v>
      </c>
      <c r="P414" s="1"/>
      <c r="Q414" s="1"/>
      <c r="R414" s="11"/>
      <c r="S414" s="2">
        <f>CONSOLIDADO_2026[[#This Row],[Hora final]]-CONSOLIDADO_2026[[#This Row],[Hora inic]]</f>
        <v>0</v>
      </c>
    </row>
    <row r="415" spans="1:19" hidden="1" x14ac:dyDescent="0.25">
      <c r="A415" t="s">
        <v>4055</v>
      </c>
      <c r="B415">
        <v>1037626926</v>
      </c>
      <c r="C415" t="s">
        <v>4134</v>
      </c>
      <c r="D415" s="11" t="s">
        <v>51</v>
      </c>
      <c r="E415" s="11" t="s">
        <v>4047</v>
      </c>
      <c r="F415" s="11" t="s">
        <v>16</v>
      </c>
      <c r="G415" s="1">
        <v>46237</v>
      </c>
      <c r="H415" s="1">
        <v>46238</v>
      </c>
      <c r="I415" s="2">
        <v>0.25</v>
      </c>
      <c r="J415" s="2">
        <v>0.54166666666666663</v>
      </c>
      <c r="K415" s="11"/>
      <c r="L415" s="11" t="s">
        <v>327</v>
      </c>
      <c r="M415" s="1"/>
      <c r="N415" s="11"/>
      <c r="O415" s="11" t="s">
        <v>4042</v>
      </c>
      <c r="P415" s="1"/>
      <c r="Q415" s="1"/>
      <c r="R415" s="11"/>
      <c r="S415" s="2">
        <f>CONSOLIDADO_2026[[#This Row],[Hora final]]-CONSOLIDADO_2026[[#This Row],[Hora inic]]</f>
        <v>0.29166666666666663</v>
      </c>
    </row>
    <row r="416" spans="1:19" hidden="1" x14ac:dyDescent="0.25">
      <c r="A416" t="s">
        <v>4053</v>
      </c>
      <c r="B416">
        <v>1037626926</v>
      </c>
      <c r="C416" t="s">
        <v>4135</v>
      </c>
      <c r="D416" s="11" t="s">
        <v>51</v>
      </c>
      <c r="E416" s="11" t="s">
        <v>4047</v>
      </c>
      <c r="F416" s="11" t="s">
        <v>16</v>
      </c>
      <c r="G416" s="1">
        <v>46237</v>
      </c>
      <c r="H416" s="1">
        <v>46238</v>
      </c>
      <c r="I416" s="2"/>
      <c r="J416" s="2"/>
      <c r="K416" s="11"/>
      <c r="L416" s="11" t="s">
        <v>4041</v>
      </c>
      <c r="M416" s="1"/>
      <c r="N416" s="11"/>
      <c r="O416" s="11" t="s">
        <v>4042</v>
      </c>
      <c r="P416" s="1"/>
      <c r="Q416" s="1"/>
      <c r="R416" s="11"/>
      <c r="S416" s="2">
        <f>CONSOLIDADO_2026[[#This Row],[Hora final]]-CONSOLIDADO_2026[[#This Row],[Hora inic]]</f>
        <v>0</v>
      </c>
    </row>
    <row r="417" spans="1:19" hidden="1" x14ac:dyDescent="0.25">
      <c r="A417" t="s">
        <v>4055</v>
      </c>
      <c r="B417">
        <v>1036656151</v>
      </c>
      <c r="C417" t="s">
        <v>4136</v>
      </c>
      <c r="D417" s="11" t="s">
        <v>15</v>
      </c>
      <c r="E417" s="11" t="s">
        <v>4046</v>
      </c>
      <c r="F417" s="11" t="s">
        <v>4074</v>
      </c>
      <c r="G417" s="1">
        <v>46238</v>
      </c>
      <c r="H417" s="1">
        <v>46239</v>
      </c>
      <c r="I417" s="2">
        <v>0.54166666666666663</v>
      </c>
      <c r="J417" s="2">
        <v>0.875</v>
      </c>
      <c r="K417" s="11"/>
      <c r="L417" s="11" t="s">
        <v>4060</v>
      </c>
      <c r="M417" s="1">
        <v>46238</v>
      </c>
      <c r="N417" s="11"/>
      <c r="O417" s="11" t="s">
        <v>4042</v>
      </c>
      <c r="P417" s="1">
        <v>46237</v>
      </c>
      <c r="Q417" s="1"/>
      <c r="R417" s="11" t="s">
        <v>4081</v>
      </c>
      <c r="S417" s="2">
        <f>CONSOLIDADO_2026[[#This Row],[Hora final]]-CONSOLIDADO_2026[[#This Row],[Hora inic]]</f>
        <v>0.33333333333333337</v>
      </c>
    </row>
    <row r="418" spans="1:19" hidden="1" x14ac:dyDescent="0.25">
      <c r="A418" t="s">
        <v>4053</v>
      </c>
      <c r="B418">
        <v>1036656151</v>
      </c>
      <c r="C418" t="s">
        <v>1697</v>
      </c>
      <c r="D418" s="11" t="s">
        <v>15</v>
      </c>
      <c r="E418" s="11" t="s">
        <v>4046</v>
      </c>
      <c r="F418" s="11" t="s">
        <v>16</v>
      </c>
      <c r="G418" s="1">
        <v>46238</v>
      </c>
      <c r="H418" s="1">
        <v>46239</v>
      </c>
      <c r="I418" s="2">
        <v>0.25</v>
      </c>
      <c r="J418" s="2">
        <v>0.54166666666666663</v>
      </c>
      <c r="K418" s="11" t="s">
        <v>177</v>
      </c>
      <c r="L418" s="11" t="s">
        <v>178</v>
      </c>
      <c r="M418" s="1"/>
      <c r="N418" s="11"/>
      <c r="O418" s="11" t="s">
        <v>21</v>
      </c>
      <c r="P418" s="1"/>
      <c r="Q418" s="1"/>
      <c r="R418" s="11"/>
      <c r="S418" s="2">
        <f>CONSOLIDADO_2026[[#This Row],[Hora final]]-CONSOLIDADO_2026[[#This Row],[Hora inic]]</f>
        <v>0.29166666666666663</v>
      </c>
    </row>
    <row r="419" spans="1:19" hidden="1" x14ac:dyDescent="0.25">
      <c r="A419" t="s">
        <v>4048</v>
      </c>
      <c r="B419">
        <v>1036656151</v>
      </c>
      <c r="C419" t="s">
        <v>1697</v>
      </c>
      <c r="D419" s="11" t="s">
        <v>15</v>
      </c>
      <c r="E419" s="11" t="s">
        <v>4046</v>
      </c>
      <c r="F419" s="11" t="s">
        <v>16</v>
      </c>
      <c r="G419" s="1">
        <v>46238</v>
      </c>
      <c r="H419" s="1">
        <v>46239</v>
      </c>
      <c r="I419" s="2"/>
      <c r="J419" s="2"/>
      <c r="K419" s="11"/>
      <c r="L419" s="11" t="s">
        <v>4041</v>
      </c>
      <c r="M419" s="1"/>
      <c r="N419" s="11"/>
      <c r="O419" s="11" t="s">
        <v>4042</v>
      </c>
      <c r="P419" s="1"/>
      <c r="Q419" s="1"/>
      <c r="R419" s="11"/>
      <c r="S419" s="2">
        <f>CONSOLIDADO_2026[[#This Row],[Hora final]]-CONSOLIDADO_2026[[#This Row],[Hora inic]]</f>
        <v>0</v>
      </c>
    </row>
    <row r="420" spans="1:19" hidden="1" x14ac:dyDescent="0.25">
      <c r="A420" t="s">
        <v>4055</v>
      </c>
      <c r="B420">
        <v>1001901817</v>
      </c>
      <c r="C420" t="s">
        <v>4137</v>
      </c>
      <c r="D420" s="11" t="s">
        <v>634</v>
      </c>
      <c r="E420" s="11" t="s">
        <v>4045</v>
      </c>
      <c r="F420" s="11" t="s">
        <v>4074</v>
      </c>
      <c r="G420" s="1">
        <v>46238</v>
      </c>
      <c r="H420" s="1">
        <v>46239</v>
      </c>
      <c r="I420" s="2">
        <v>0.25</v>
      </c>
      <c r="J420" s="2">
        <v>0.54166666666666663</v>
      </c>
      <c r="K420" s="11"/>
      <c r="L420" s="11" t="s">
        <v>4060</v>
      </c>
      <c r="M420" s="1">
        <v>46240</v>
      </c>
      <c r="N420" s="11"/>
      <c r="O420" s="11" t="s">
        <v>4042</v>
      </c>
      <c r="P420" s="1">
        <v>46239</v>
      </c>
      <c r="Q420" s="1"/>
      <c r="R420" s="11" t="s">
        <v>4081</v>
      </c>
      <c r="S420" s="2">
        <f>CONSOLIDADO_2026[[#This Row],[Hora final]]-CONSOLIDADO_2026[[#This Row],[Hora inic]]</f>
        <v>0.29166666666666663</v>
      </c>
    </row>
    <row r="421" spans="1:19" hidden="1" x14ac:dyDescent="0.25">
      <c r="A421" t="s">
        <v>4053</v>
      </c>
      <c r="B421">
        <v>1001901817</v>
      </c>
      <c r="C421" t="s">
        <v>4137</v>
      </c>
      <c r="D421" s="11" t="s">
        <v>634</v>
      </c>
      <c r="E421" s="11" t="s">
        <v>4045</v>
      </c>
      <c r="F421" s="11" t="s">
        <v>16</v>
      </c>
      <c r="G421" s="1">
        <v>46238</v>
      </c>
      <c r="H421" s="1">
        <v>46239</v>
      </c>
      <c r="I421" s="2">
        <v>0.54166666666666663</v>
      </c>
      <c r="J421" s="2">
        <v>0.875</v>
      </c>
      <c r="K421" s="11" t="s">
        <v>273</v>
      </c>
      <c r="L421" s="11" t="s">
        <v>274</v>
      </c>
      <c r="M421" s="1"/>
      <c r="N421" s="11"/>
      <c r="O421" s="11" t="s">
        <v>21</v>
      </c>
      <c r="P421" s="1"/>
      <c r="Q421" s="1"/>
      <c r="R421" s="11"/>
      <c r="S421" s="2">
        <f>CONSOLIDADO_2026[[#This Row],[Hora final]]-CONSOLIDADO_2026[[#This Row],[Hora inic]]</f>
        <v>0.33333333333333337</v>
      </c>
    </row>
    <row r="422" spans="1:19" hidden="1" x14ac:dyDescent="0.25">
      <c r="A422" t="s">
        <v>4055</v>
      </c>
      <c r="B422">
        <v>1037634709</v>
      </c>
      <c r="C422" t="s">
        <v>4044</v>
      </c>
      <c r="D422" s="11" t="s">
        <v>492</v>
      </c>
      <c r="E422" s="11" t="s">
        <v>4045</v>
      </c>
      <c r="F422" s="11" t="s">
        <v>4050</v>
      </c>
      <c r="G422" s="1">
        <v>46238</v>
      </c>
      <c r="H422" s="1">
        <v>46240</v>
      </c>
      <c r="I422" s="2">
        <v>0.25</v>
      </c>
      <c r="J422" s="2">
        <v>0.54166666666666663</v>
      </c>
      <c r="K422" s="11"/>
      <c r="L422" s="11" t="s">
        <v>327</v>
      </c>
      <c r="M422" s="1"/>
      <c r="N422" s="11"/>
      <c r="O422" s="11" t="s">
        <v>4042</v>
      </c>
      <c r="P422" s="1"/>
      <c r="Q422" s="1"/>
      <c r="R422" s="11"/>
      <c r="S422" s="2">
        <f>CONSOLIDADO_2026[[#This Row],[Hora final]]-CONSOLIDADO_2026[[#This Row],[Hora inic]]</f>
        <v>0.29166666666666663</v>
      </c>
    </row>
    <row r="423" spans="1:19" hidden="1" x14ac:dyDescent="0.25">
      <c r="A423" t="s">
        <v>4053</v>
      </c>
      <c r="B423">
        <v>1037634709</v>
      </c>
      <c r="C423" t="s">
        <v>4044</v>
      </c>
      <c r="D423" s="11" t="s">
        <v>492</v>
      </c>
      <c r="E423" s="11" t="s">
        <v>4045</v>
      </c>
      <c r="F423" s="11" t="s">
        <v>4050</v>
      </c>
      <c r="G423" s="1">
        <v>46238</v>
      </c>
      <c r="H423" s="1">
        <v>46240</v>
      </c>
      <c r="I423" s="2">
        <v>0.54166666666666663</v>
      </c>
      <c r="J423" s="2">
        <v>0.875</v>
      </c>
      <c r="K423" s="11" t="s">
        <v>199</v>
      </c>
      <c r="L423" s="11" t="s">
        <v>200</v>
      </c>
      <c r="M423" s="1"/>
      <c r="N423" s="11"/>
      <c r="O423" s="11" t="s">
        <v>21</v>
      </c>
      <c r="P423" s="1"/>
      <c r="Q423" s="1"/>
      <c r="R423" s="11"/>
      <c r="S423" s="2">
        <f>CONSOLIDADO_2026[[#This Row],[Hora final]]-CONSOLIDADO_2026[[#This Row],[Hora inic]]</f>
        <v>0.33333333333333337</v>
      </c>
    </row>
    <row r="424" spans="1:19" hidden="1" x14ac:dyDescent="0.25">
      <c r="A424" t="s">
        <v>4048</v>
      </c>
      <c r="B424">
        <v>1037634709</v>
      </c>
      <c r="C424" t="s">
        <v>4044</v>
      </c>
      <c r="D424" s="11" t="s">
        <v>492</v>
      </c>
      <c r="E424" s="11" t="s">
        <v>4045</v>
      </c>
      <c r="F424" s="11" t="s">
        <v>4050</v>
      </c>
      <c r="G424" s="1">
        <v>46238</v>
      </c>
      <c r="H424" s="1">
        <v>46240</v>
      </c>
      <c r="I424" s="2">
        <v>0.54166666666666663</v>
      </c>
      <c r="J424" s="2">
        <v>0.875</v>
      </c>
      <c r="K424" s="11" t="s">
        <v>150</v>
      </c>
      <c r="L424" s="11" t="s">
        <v>151</v>
      </c>
      <c r="M424" s="1"/>
      <c r="N424" s="11"/>
      <c r="O424" s="11" t="s">
        <v>21</v>
      </c>
      <c r="P424" s="1"/>
      <c r="Q424" s="1"/>
      <c r="R424" s="11"/>
      <c r="S424" s="2">
        <f>CONSOLIDADO_2026[[#This Row],[Hora final]]-CONSOLIDADO_2026[[#This Row],[Hora inic]]</f>
        <v>0.33333333333333337</v>
      </c>
    </row>
    <row r="425" spans="1:19" hidden="1" x14ac:dyDescent="0.25">
      <c r="A425" t="s">
        <v>4051</v>
      </c>
      <c r="B425">
        <v>1037634709</v>
      </c>
      <c r="C425" t="s">
        <v>4044</v>
      </c>
      <c r="D425" s="11" t="s">
        <v>492</v>
      </c>
      <c r="E425" s="11" t="s">
        <v>4045</v>
      </c>
      <c r="F425" s="11" t="s">
        <v>4050</v>
      </c>
      <c r="G425" s="1">
        <v>46238</v>
      </c>
      <c r="H425" s="1">
        <v>46240</v>
      </c>
      <c r="I425" s="2"/>
      <c r="J425" s="2"/>
      <c r="K425" s="11"/>
      <c r="L425" s="11" t="s">
        <v>4041</v>
      </c>
      <c r="M425" s="1"/>
      <c r="N425" s="11" t="s">
        <v>4042</v>
      </c>
      <c r="O425" s="11" t="s">
        <v>4042</v>
      </c>
      <c r="P425" s="1"/>
      <c r="Q425" s="1"/>
      <c r="R425" s="11"/>
      <c r="S425" s="2">
        <f>CONSOLIDADO_2026[[#This Row],[Hora final]]-CONSOLIDADO_2026[[#This Row],[Hora inic]]</f>
        <v>0</v>
      </c>
    </row>
    <row r="426" spans="1:19" hidden="1" x14ac:dyDescent="0.25">
      <c r="A426" t="s">
        <v>4055</v>
      </c>
      <c r="B426">
        <v>1000439437</v>
      </c>
      <c r="C426" t="s">
        <v>451</v>
      </c>
      <c r="D426" s="11" t="s">
        <v>139</v>
      </c>
      <c r="E426" s="11" t="s">
        <v>4040</v>
      </c>
      <c r="F426" s="11" t="s">
        <v>4074</v>
      </c>
      <c r="G426" s="1">
        <v>46238</v>
      </c>
      <c r="H426" s="1">
        <v>46240</v>
      </c>
      <c r="I426" s="2">
        <v>0.25</v>
      </c>
      <c r="J426" s="2">
        <v>0.54166666666666663</v>
      </c>
      <c r="K426" s="11"/>
      <c r="L426" s="11" t="s">
        <v>4060</v>
      </c>
      <c r="M426" s="1">
        <v>46238</v>
      </c>
      <c r="N426" s="11"/>
      <c r="O426" s="11" t="s">
        <v>4042</v>
      </c>
      <c r="P426" s="1">
        <v>46238</v>
      </c>
      <c r="Q426" s="1"/>
      <c r="R426" s="11" t="s">
        <v>4081</v>
      </c>
      <c r="S426" s="2">
        <f>CONSOLIDADO_2026[[#This Row],[Hora final]]-CONSOLIDADO_2026[[#This Row],[Hora inic]]</f>
        <v>0.29166666666666663</v>
      </c>
    </row>
    <row r="427" spans="1:19" hidden="1" x14ac:dyDescent="0.25">
      <c r="A427" t="s">
        <v>4053</v>
      </c>
      <c r="B427">
        <v>1000439437</v>
      </c>
      <c r="C427" t="s">
        <v>451</v>
      </c>
      <c r="D427" s="11" t="s">
        <v>139</v>
      </c>
      <c r="E427" s="11" t="s">
        <v>4040</v>
      </c>
      <c r="F427" s="11" t="s">
        <v>16</v>
      </c>
      <c r="G427" s="1">
        <v>46238</v>
      </c>
      <c r="H427" s="1">
        <v>46240</v>
      </c>
      <c r="I427" s="2">
        <v>0.25</v>
      </c>
      <c r="J427" s="2">
        <v>0.54166666666666663</v>
      </c>
      <c r="K427" s="11"/>
      <c r="L427" s="11" t="s">
        <v>327</v>
      </c>
      <c r="M427" s="1"/>
      <c r="N427" s="11"/>
      <c r="O427" s="11" t="s">
        <v>4042</v>
      </c>
      <c r="P427" s="1"/>
      <c r="Q427" s="1"/>
      <c r="R427" s="11"/>
      <c r="S427" s="2">
        <f>CONSOLIDADO_2026[[#This Row],[Hora final]]-CONSOLIDADO_2026[[#This Row],[Hora inic]]</f>
        <v>0.29166666666666663</v>
      </c>
    </row>
    <row r="428" spans="1:19" hidden="1" x14ac:dyDescent="0.25">
      <c r="A428" t="s">
        <v>4048</v>
      </c>
      <c r="B428">
        <v>1000439437</v>
      </c>
      <c r="C428" t="s">
        <v>451</v>
      </c>
      <c r="D428" s="11" t="s">
        <v>139</v>
      </c>
      <c r="E428" s="11" t="s">
        <v>4040</v>
      </c>
      <c r="F428" s="11" t="s">
        <v>16</v>
      </c>
      <c r="G428" s="1">
        <v>46238</v>
      </c>
      <c r="H428" s="1">
        <v>46240</v>
      </c>
      <c r="I428" s="2">
        <v>0.54166666666666663</v>
      </c>
      <c r="J428" s="2">
        <v>0.875</v>
      </c>
      <c r="K428" s="11" t="s">
        <v>73</v>
      </c>
      <c r="L428" s="11" t="s">
        <v>74</v>
      </c>
      <c r="M428" s="1"/>
      <c r="N428" s="11"/>
      <c r="O428" s="11" t="s">
        <v>21</v>
      </c>
      <c r="P428" s="1"/>
      <c r="Q428" s="1"/>
      <c r="R428" s="11"/>
      <c r="S428" s="2">
        <f>CONSOLIDADO_2026[[#This Row],[Hora final]]-CONSOLIDADO_2026[[#This Row],[Hora inic]]</f>
        <v>0.33333333333333337</v>
      </c>
    </row>
    <row r="429" spans="1:19" hidden="1" x14ac:dyDescent="0.25">
      <c r="A429" t="s">
        <v>4051</v>
      </c>
      <c r="B429">
        <v>1000439437</v>
      </c>
      <c r="C429" t="s">
        <v>451</v>
      </c>
      <c r="D429" s="11" t="s">
        <v>139</v>
      </c>
      <c r="E429" s="11" t="s">
        <v>4040</v>
      </c>
      <c r="F429" s="11" t="s">
        <v>16</v>
      </c>
      <c r="G429" s="1">
        <v>46238</v>
      </c>
      <c r="H429" s="1">
        <v>46240</v>
      </c>
      <c r="I429" s="2"/>
      <c r="J429" s="2"/>
      <c r="K429" s="11"/>
      <c r="L429" s="11" t="s">
        <v>4041</v>
      </c>
      <c r="M429" s="1"/>
      <c r="N429" s="11" t="s">
        <v>4042</v>
      </c>
      <c r="O429" s="11" t="s">
        <v>4042</v>
      </c>
      <c r="P429" s="1"/>
      <c r="Q429" s="1"/>
      <c r="R429" s="11"/>
      <c r="S429" s="2">
        <f>CONSOLIDADO_2026[[#This Row],[Hora final]]-CONSOLIDADO_2026[[#This Row],[Hora inic]]</f>
        <v>0</v>
      </c>
    </row>
    <row r="430" spans="1:19" hidden="1" x14ac:dyDescent="0.25">
      <c r="A430" t="s">
        <v>4055</v>
      </c>
      <c r="B430">
        <v>1017259589</v>
      </c>
      <c r="C430" t="s">
        <v>2094</v>
      </c>
      <c r="D430" s="11" t="s">
        <v>82</v>
      </c>
      <c r="E430" s="11" t="s">
        <v>4045</v>
      </c>
      <c r="F430" s="11" t="s">
        <v>4074</v>
      </c>
      <c r="G430" s="1">
        <v>46238</v>
      </c>
      <c r="H430" s="1">
        <v>46238</v>
      </c>
      <c r="I430" s="2">
        <v>0.25</v>
      </c>
      <c r="J430" s="2">
        <v>0.54166666666666663</v>
      </c>
      <c r="K430" s="11"/>
      <c r="L430" s="11" t="s">
        <v>4060</v>
      </c>
      <c r="M430" s="1">
        <v>46238</v>
      </c>
      <c r="N430" s="11"/>
      <c r="O430" s="11" t="s">
        <v>4042</v>
      </c>
      <c r="P430" s="1">
        <v>46238</v>
      </c>
      <c r="Q430" s="1"/>
      <c r="R430" s="11" t="s">
        <v>4081</v>
      </c>
      <c r="S430" s="2">
        <f>CONSOLIDADO_2026[[#This Row],[Hora final]]-CONSOLIDADO_2026[[#This Row],[Hora inic]]</f>
        <v>0.29166666666666663</v>
      </c>
    </row>
    <row r="431" spans="1:19" hidden="1" x14ac:dyDescent="0.25">
      <c r="A431" t="s">
        <v>4053</v>
      </c>
      <c r="B431">
        <v>1017259589</v>
      </c>
      <c r="C431" t="s">
        <v>4138</v>
      </c>
      <c r="D431" s="11" t="s">
        <v>82</v>
      </c>
      <c r="E431" s="11" t="s">
        <v>4045</v>
      </c>
      <c r="F431" s="11" t="s">
        <v>16</v>
      </c>
      <c r="G431" s="1">
        <v>46238</v>
      </c>
      <c r="H431" s="1">
        <v>46238</v>
      </c>
      <c r="I431" s="2">
        <v>0.25</v>
      </c>
      <c r="J431" s="2">
        <v>0.54166666666666663</v>
      </c>
      <c r="K431" s="11"/>
      <c r="L431" s="11" t="s">
        <v>4041</v>
      </c>
      <c r="M431" s="1"/>
      <c r="N431" s="11"/>
      <c r="O431" s="11" t="s">
        <v>4042</v>
      </c>
      <c r="P431" s="1"/>
      <c r="Q431" s="1"/>
      <c r="R431" s="11"/>
      <c r="S431" s="2">
        <f>CONSOLIDADO_2026[[#This Row],[Hora final]]-CONSOLIDADO_2026[[#This Row],[Hora inic]]</f>
        <v>0.29166666666666663</v>
      </c>
    </row>
    <row r="432" spans="1:19" hidden="1" x14ac:dyDescent="0.25">
      <c r="A432" t="s">
        <v>4048</v>
      </c>
      <c r="B432">
        <v>1017259589</v>
      </c>
      <c r="C432" t="s">
        <v>4138</v>
      </c>
      <c r="D432" s="11" t="s">
        <v>82</v>
      </c>
      <c r="E432" s="11" t="s">
        <v>4045</v>
      </c>
      <c r="F432" s="11" t="s">
        <v>16</v>
      </c>
      <c r="G432" s="1">
        <v>46238</v>
      </c>
      <c r="H432" s="1">
        <v>46238</v>
      </c>
      <c r="I432" s="2"/>
      <c r="J432" s="2"/>
      <c r="K432" s="11"/>
      <c r="L432" s="11" t="s">
        <v>4041</v>
      </c>
      <c r="M432" s="1"/>
      <c r="N432" s="11"/>
      <c r="O432" s="11" t="s">
        <v>4042</v>
      </c>
      <c r="P432" s="1"/>
      <c r="Q432" s="1"/>
      <c r="R432" s="11"/>
      <c r="S432" s="2">
        <f>CONSOLIDADO_2026[[#This Row],[Hora final]]-CONSOLIDADO_2026[[#This Row],[Hora inic]]</f>
        <v>0</v>
      </c>
    </row>
    <row r="433" spans="1:19" hidden="1" x14ac:dyDescent="0.25">
      <c r="A433" t="s">
        <v>4055</v>
      </c>
      <c r="B433" t="s">
        <v>181</v>
      </c>
      <c r="C433" t="s">
        <v>182</v>
      </c>
      <c r="D433" s="11" t="s">
        <v>245</v>
      </c>
      <c r="E433" s="11" t="s">
        <v>4040</v>
      </c>
      <c r="F433" s="11" t="s">
        <v>4104</v>
      </c>
      <c r="G433" s="1">
        <v>46238</v>
      </c>
      <c r="H433" s="1">
        <v>46238</v>
      </c>
      <c r="I433" s="2">
        <v>0.54166666666666663</v>
      </c>
      <c r="J433" s="2">
        <v>0.79166666666666663</v>
      </c>
      <c r="K433" s="11"/>
      <c r="L433" s="11" t="s">
        <v>9</v>
      </c>
      <c r="M433" s="1"/>
      <c r="N433" s="11"/>
      <c r="O433" s="11" t="s">
        <v>4042</v>
      </c>
      <c r="P433" s="1"/>
      <c r="Q433" s="1"/>
      <c r="R433" s="11"/>
      <c r="S433" s="2">
        <f>CONSOLIDADO_2026[[#This Row],[Hora final]]-CONSOLIDADO_2026[[#This Row],[Hora inic]]</f>
        <v>0.25</v>
      </c>
    </row>
    <row r="434" spans="1:19" hidden="1" x14ac:dyDescent="0.25">
      <c r="A434" t="s">
        <v>4053</v>
      </c>
      <c r="B434">
        <v>1143166909</v>
      </c>
      <c r="C434" t="s">
        <v>2717</v>
      </c>
      <c r="D434" s="11" t="s">
        <v>344</v>
      </c>
      <c r="E434" s="11" t="s">
        <v>4056</v>
      </c>
      <c r="F434" s="11" t="s">
        <v>4074</v>
      </c>
      <c r="G434" s="1">
        <v>46239</v>
      </c>
      <c r="H434" s="1"/>
      <c r="I434" s="2">
        <v>0.54166666666666663</v>
      </c>
      <c r="J434" s="2">
        <v>0.875</v>
      </c>
      <c r="K434" s="11"/>
      <c r="L434" s="11" t="s">
        <v>4139</v>
      </c>
      <c r="M434" s="1"/>
      <c r="N434" s="11"/>
      <c r="O434" s="11" t="s">
        <v>21</v>
      </c>
      <c r="P434" s="1">
        <v>46237</v>
      </c>
      <c r="Q434" s="1"/>
      <c r="R434" s="11" t="s">
        <v>4075</v>
      </c>
      <c r="S434" s="2">
        <f>CONSOLIDADO_2026[[#This Row],[Hora final]]-CONSOLIDADO_2026[[#This Row],[Hora inic]]</f>
        <v>0.33333333333333337</v>
      </c>
    </row>
    <row r="435" spans="1:19" hidden="1" x14ac:dyDescent="0.25">
      <c r="A435" t="s">
        <v>4048</v>
      </c>
      <c r="B435">
        <v>1143166909</v>
      </c>
      <c r="C435" t="s">
        <v>2717</v>
      </c>
      <c r="D435" s="11" t="s">
        <v>344</v>
      </c>
      <c r="E435" s="11" t="s">
        <v>4056</v>
      </c>
      <c r="F435" s="11" t="s">
        <v>4074</v>
      </c>
      <c r="G435" s="1">
        <v>46239</v>
      </c>
      <c r="H435" s="1"/>
      <c r="I435" s="2">
        <v>0.58333333333333337</v>
      </c>
      <c r="J435" s="2">
        <v>0.875</v>
      </c>
      <c r="K435" s="11"/>
      <c r="L435" s="11" t="s">
        <v>4041</v>
      </c>
      <c r="M435" s="1"/>
      <c r="N435" s="11"/>
      <c r="O435" s="11" t="s">
        <v>4042</v>
      </c>
      <c r="P435" s="1">
        <v>46237</v>
      </c>
      <c r="Q435" s="1"/>
      <c r="R435" s="11" t="s">
        <v>4075</v>
      </c>
      <c r="S435" s="2">
        <f>CONSOLIDADO_2026[[#This Row],[Hora final]]-CONSOLIDADO_2026[[#This Row],[Hora inic]]</f>
        <v>0.29166666666666663</v>
      </c>
    </row>
    <row r="436" spans="1:19" hidden="1" x14ac:dyDescent="0.25">
      <c r="A436" t="s">
        <v>4053</v>
      </c>
      <c r="B436">
        <v>1083001678</v>
      </c>
      <c r="C436" t="s">
        <v>599</v>
      </c>
      <c r="D436" s="11" t="s">
        <v>139</v>
      </c>
      <c r="E436" s="11" t="s">
        <v>4040</v>
      </c>
      <c r="F436" s="11" t="s">
        <v>4140</v>
      </c>
      <c r="G436" s="1">
        <v>46239</v>
      </c>
      <c r="H436" s="1">
        <v>46239</v>
      </c>
      <c r="I436" s="2">
        <v>0.54166666666666663</v>
      </c>
      <c r="J436" s="2">
        <v>0.875</v>
      </c>
      <c r="K436" s="11" t="s">
        <v>1491</v>
      </c>
      <c r="L436" s="11" t="s">
        <v>1492</v>
      </c>
      <c r="M436" s="1"/>
      <c r="N436" s="11"/>
      <c r="O436" s="11" t="s">
        <v>4042</v>
      </c>
      <c r="P436" s="1"/>
      <c r="Q436" s="1"/>
      <c r="R436" s="11"/>
      <c r="S436" s="2">
        <f>CONSOLIDADO_2026[[#This Row],[Hora final]]-CONSOLIDADO_2026[[#This Row],[Hora inic]]</f>
        <v>0.33333333333333337</v>
      </c>
    </row>
    <row r="437" spans="1:19" hidden="1" x14ac:dyDescent="0.25">
      <c r="A437" t="s">
        <v>4048</v>
      </c>
      <c r="B437">
        <v>1083001678</v>
      </c>
      <c r="C437" t="s">
        <v>599</v>
      </c>
      <c r="D437" s="11" t="s">
        <v>139</v>
      </c>
      <c r="E437" s="11" t="s">
        <v>4040</v>
      </c>
      <c r="F437" s="11" t="s">
        <v>4140</v>
      </c>
      <c r="G437" s="1">
        <v>46239</v>
      </c>
      <c r="H437" s="1">
        <v>46239</v>
      </c>
      <c r="I437" s="2"/>
      <c r="J437" s="2"/>
      <c r="K437" s="11"/>
      <c r="L437" s="11" t="s">
        <v>4041</v>
      </c>
      <c r="M437" s="1"/>
      <c r="N437" s="11"/>
      <c r="O437" s="11" t="s">
        <v>4042</v>
      </c>
      <c r="P437" s="1"/>
      <c r="Q437" s="1"/>
      <c r="R437" s="11"/>
      <c r="S437" s="2">
        <f>CONSOLIDADO_2026[[#This Row],[Hora final]]-CONSOLIDADO_2026[[#This Row],[Hora inic]]</f>
        <v>0</v>
      </c>
    </row>
    <row r="438" spans="1:19" hidden="1" x14ac:dyDescent="0.25">
      <c r="A438" t="s">
        <v>4053</v>
      </c>
      <c r="B438">
        <v>1020475954</v>
      </c>
      <c r="C438" t="s">
        <v>3934</v>
      </c>
      <c r="D438" s="11" t="s">
        <v>68</v>
      </c>
      <c r="E438" s="11" t="s">
        <v>4040</v>
      </c>
      <c r="F438" s="11" t="s">
        <v>4123</v>
      </c>
      <c r="G438" s="1">
        <v>46238</v>
      </c>
      <c r="H438" s="1">
        <v>46240</v>
      </c>
      <c r="I438" s="2">
        <v>0.54166666666666663</v>
      </c>
      <c r="J438" s="2">
        <v>0.875</v>
      </c>
      <c r="K438" s="11" t="s">
        <v>297</v>
      </c>
      <c r="L438" s="11" t="s">
        <v>298</v>
      </c>
      <c r="M438" s="1"/>
      <c r="N438" s="11"/>
      <c r="O438" s="11" t="s">
        <v>21</v>
      </c>
      <c r="P438" s="1"/>
      <c r="Q438" s="1"/>
      <c r="R438" s="11"/>
      <c r="S438" s="2">
        <f>CONSOLIDADO_2026[[#This Row],[Hora final]]-CONSOLIDADO_2026[[#This Row],[Hora inic]]</f>
        <v>0.33333333333333337</v>
      </c>
    </row>
    <row r="439" spans="1:19" hidden="1" x14ac:dyDescent="0.25">
      <c r="A439" t="s">
        <v>4048</v>
      </c>
      <c r="B439">
        <v>1020475954</v>
      </c>
      <c r="C439" t="s">
        <v>3934</v>
      </c>
      <c r="D439" s="11" t="s">
        <v>68</v>
      </c>
      <c r="E439" s="11" t="s">
        <v>4040</v>
      </c>
      <c r="F439" s="11" t="s">
        <v>4123</v>
      </c>
      <c r="G439" s="1">
        <v>46238</v>
      </c>
      <c r="H439" s="1">
        <v>46240</v>
      </c>
      <c r="I439" s="2">
        <v>0.25</v>
      </c>
      <c r="J439" s="2">
        <v>0.54166666666666663</v>
      </c>
      <c r="K439" s="11" t="s">
        <v>303</v>
      </c>
      <c r="L439" s="11" t="s">
        <v>304</v>
      </c>
      <c r="M439" s="1"/>
      <c r="N439" s="11"/>
      <c r="O439" s="11" t="s">
        <v>21</v>
      </c>
      <c r="P439" s="1"/>
      <c r="Q439" s="1"/>
      <c r="R439" s="11"/>
      <c r="S439" s="2">
        <f>CONSOLIDADO_2026[[#This Row],[Hora final]]-CONSOLIDADO_2026[[#This Row],[Hora inic]]</f>
        <v>0.29166666666666663</v>
      </c>
    </row>
    <row r="440" spans="1:19" hidden="1" x14ac:dyDescent="0.25">
      <c r="A440" t="s">
        <v>4051</v>
      </c>
      <c r="B440">
        <v>1020475954</v>
      </c>
      <c r="C440" t="s">
        <v>3934</v>
      </c>
      <c r="D440" s="11" t="s">
        <v>68</v>
      </c>
      <c r="E440" s="11" t="s">
        <v>4040</v>
      </c>
      <c r="F440" s="11" t="s">
        <v>4123</v>
      </c>
      <c r="G440" s="1">
        <v>46238</v>
      </c>
      <c r="H440" s="1">
        <v>46240</v>
      </c>
      <c r="I440" s="2"/>
      <c r="J440" s="2"/>
      <c r="K440" s="11"/>
      <c r="L440" s="11" t="s">
        <v>4041</v>
      </c>
      <c r="M440" s="1"/>
      <c r="N440" s="11" t="s">
        <v>4042</v>
      </c>
      <c r="O440" s="11" t="s">
        <v>4042</v>
      </c>
      <c r="P440" s="1"/>
      <c r="Q440" s="1"/>
      <c r="R440" s="11"/>
      <c r="S440" s="2">
        <f>CONSOLIDADO_2026[[#This Row],[Hora final]]-CONSOLIDADO_2026[[#This Row],[Hora inic]]</f>
        <v>0</v>
      </c>
    </row>
    <row r="441" spans="1:19" hidden="1" x14ac:dyDescent="0.25">
      <c r="A441" t="s">
        <v>4053</v>
      </c>
      <c r="B441">
        <v>1045718883</v>
      </c>
      <c r="C441" t="s">
        <v>34</v>
      </c>
      <c r="D441" s="11" t="s">
        <v>15</v>
      </c>
      <c r="E441" s="11" t="s">
        <v>4046</v>
      </c>
      <c r="F441" s="11" t="s">
        <v>16</v>
      </c>
      <c r="G441" s="1">
        <v>46224</v>
      </c>
      <c r="H441" s="1">
        <v>46239</v>
      </c>
      <c r="I441" s="2">
        <v>0.25</v>
      </c>
      <c r="J441" s="2">
        <v>0.54166666666666663</v>
      </c>
      <c r="K441" s="11" t="s">
        <v>300</v>
      </c>
      <c r="L441" s="11" t="s">
        <v>301</v>
      </c>
      <c r="M441" s="1"/>
      <c r="N441" s="11"/>
      <c r="O441" s="11" t="s">
        <v>21</v>
      </c>
      <c r="P441" s="1"/>
      <c r="Q441" s="1"/>
      <c r="R441" s="11"/>
      <c r="S441" s="2">
        <f>CONSOLIDADO_2026[[#This Row],[Hora final]]-CONSOLIDADO_2026[[#This Row],[Hora inic]]</f>
        <v>0.29166666666666663</v>
      </c>
    </row>
    <row r="442" spans="1:19" hidden="1" x14ac:dyDescent="0.25">
      <c r="A442" t="s">
        <v>4048</v>
      </c>
      <c r="B442">
        <v>1045718883</v>
      </c>
      <c r="C442" t="s">
        <v>34</v>
      </c>
      <c r="D442" s="11" t="s">
        <v>15</v>
      </c>
      <c r="E442" s="11" t="s">
        <v>4046</v>
      </c>
      <c r="F442" s="11" t="s">
        <v>16</v>
      </c>
      <c r="G442" s="1">
        <v>46224</v>
      </c>
      <c r="H442" s="1">
        <v>46239</v>
      </c>
      <c r="I442" s="2"/>
      <c r="J442" s="2"/>
      <c r="K442" s="11"/>
      <c r="L442" s="11" t="s">
        <v>4041</v>
      </c>
      <c r="M442" s="1"/>
      <c r="N442" s="11"/>
      <c r="O442" s="11" t="s">
        <v>4042</v>
      </c>
      <c r="P442" s="1"/>
      <c r="Q442" s="1"/>
      <c r="R442" s="11"/>
      <c r="S442" s="2">
        <f>CONSOLIDADO_2026[[#This Row],[Hora final]]-CONSOLIDADO_2026[[#This Row],[Hora inic]]</f>
        <v>0</v>
      </c>
    </row>
    <row r="443" spans="1:19" hidden="1" x14ac:dyDescent="0.25">
      <c r="A443" t="s">
        <v>4053</v>
      </c>
      <c r="B443">
        <v>1018466443</v>
      </c>
      <c r="C443" t="s">
        <v>4141</v>
      </c>
      <c r="D443" s="11" t="s">
        <v>482</v>
      </c>
      <c r="E443" s="11" t="s">
        <v>4040</v>
      </c>
      <c r="F443" s="11" t="s">
        <v>4123</v>
      </c>
      <c r="G443" s="1">
        <v>46239</v>
      </c>
      <c r="H443" s="1">
        <v>46244</v>
      </c>
      <c r="I443" s="2">
        <v>0.25</v>
      </c>
      <c r="J443" s="2">
        <v>0.58333333333333337</v>
      </c>
      <c r="K443" s="11" t="s">
        <v>1382</v>
      </c>
      <c r="L443" s="11" t="s">
        <v>1383</v>
      </c>
      <c r="M443" s="1"/>
      <c r="N443" s="11"/>
      <c r="O443" s="11" t="s">
        <v>21</v>
      </c>
      <c r="P443" s="1"/>
      <c r="Q443" s="1"/>
      <c r="R443" s="11"/>
      <c r="S443" s="2">
        <f>CONSOLIDADO_2026[[#This Row],[Hora final]]-CONSOLIDADO_2026[[#This Row],[Hora inic]]</f>
        <v>0.33333333333333337</v>
      </c>
    </row>
    <row r="444" spans="1:19" hidden="1" x14ac:dyDescent="0.25">
      <c r="A444" t="s">
        <v>4048</v>
      </c>
      <c r="B444">
        <v>1018466443</v>
      </c>
      <c r="C444" t="s">
        <v>4141</v>
      </c>
      <c r="D444" s="11" t="s">
        <v>482</v>
      </c>
      <c r="E444" s="11" t="s">
        <v>4040</v>
      </c>
      <c r="F444" s="11" t="s">
        <v>4123</v>
      </c>
      <c r="G444" s="1">
        <v>46239</v>
      </c>
      <c r="H444" s="1">
        <v>46244</v>
      </c>
      <c r="I444" s="2">
        <v>0.58333333333333337</v>
      </c>
      <c r="J444" s="2">
        <v>0.875</v>
      </c>
      <c r="K444" s="11" t="s">
        <v>193</v>
      </c>
      <c r="L444" s="11" t="s">
        <v>194</v>
      </c>
      <c r="M444" s="1"/>
      <c r="N444" s="11"/>
      <c r="O444" s="11" t="s">
        <v>21</v>
      </c>
      <c r="P444" s="1"/>
      <c r="Q444" s="1"/>
      <c r="R444" s="11"/>
      <c r="S444" s="2">
        <f>CONSOLIDADO_2026[[#This Row],[Hora final]]-CONSOLIDADO_2026[[#This Row],[Hora inic]]</f>
        <v>0.29166666666666663</v>
      </c>
    </row>
    <row r="445" spans="1:19" hidden="1" x14ac:dyDescent="0.25">
      <c r="A445" t="s">
        <v>4051</v>
      </c>
      <c r="B445">
        <v>1018466443</v>
      </c>
      <c r="C445" t="s">
        <v>4141</v>
      </c>
      <c r="D445" s="11" t="s">
        <v>482</v>
      </c>
      <c r="E445" s="11" t="s">
        <v>4040</v>
      </c>
      <c r="F445" s="11" t="s">
        <v>4123</v>
      </c>
      <c r="G445" s="1">
        <v>46239</v>
      </c>
      <c r="H445" s="1">
        <v>46244</v>
      </c>
      <c r="I445" s="2"/>
      <c r="J445" s="2"/>
      <c r="K445" s="11"/>
      <c r="L445" s="11" t="s">
        <v>341</v>
      </c>
      <c r="M445" s="1"/>
      <c r="N445" s="11" t="s">
        <v>4042</v>
      </c>
      <c r="O445" s="11" t="s">
        <v>4042</v>
      </c>
      <c r="P445" s="1"/>
      <c r="Q445" s="1"/>
      <c r="R445" s="11"/>
      <c r="S445" s="2">
        <f>CONSOLIDADO_2026[[#This Row],[Hora final]]-CONSOLIDADO_2026[[#This Row],[Hora inic]]</f>
        <v>0</v>
      </c>
    </row>
    <row r="446" spans="1:19" hidden="1" x14ac:dyDescent="0.25">
      <c r="A446" t="s">
        <v>4052</v>
      </c>
      <c r="B446">
        <v>1018466443</v>
      </c>
      <c r="C446" t="s">
        <v>4141</v>
      </c>
      <c r="D446" s="11" t="s">
        <v>482</v>
      </c>
      <c r="E446" s="11" t="s">
        <v>4040</v>
      </c>
      <c r="F446" s="11" t="s">
        <v>4123</v>
      </c>
      <c r="G446" s="1">
        <v>46239</v>
      </c>
      <c r="H446" s="1">
        <v>46244</v>
      </c>
      <c r="I446" s="2">
        <v>0.25</v>
      </c>
      <c r="J446" s="2">
        <v>0.58333333333333337</v>
      </c>
      <c r="K446" s="11" t="s">
        <v>231</v>
      </c>
      <c r="L446" s="11" t="s">
        <v>232</v>
      </c>
      <c r="M446" s="1"/>
      <c r="N446" s="11"/>
      <c r="O446" s="11" t="s">
        <v>21</v>
      </c>
      <c r="P446" s="1"/>
      <c r="Q446" s="1"/>
      <c r="R446" s="11"/>
      <c r="S446" s="2">
        <f>CONSOLIDADO_2026[[#This Row],[Hora final]]-CONSOLIDADO_2026[[#This Row],[Hora inic]]</f>
        <v>0.33333333333333337</v>
      </c>
    </row>
    <row r="447" spans="1:19" hidden="1" x14ac:dyDescent="0.25">
      <c r="A447" t="s">
        <v>4163</v>
      </c>
      <c r="B447">
        <v>1018466443</v>
      </c>
      <c r="C447" t="s">
        <v>1768</v>
      </c>
      <c r="D447" s="11" t="s">
        <v>482</v>
      </c>
      <c r="E447" s="11" t="s">
        <v>4040</v>
      </c>
      <c r="F447" s="11" t="s">
        <v>4123</v>
      </c>
      <c r="G447" s="1">
        <v>46239</v>
      </c>
      <c r="H447" s="1">
        <v>46244</v>
      </c>
      <c r="I447" s="2"/>
      <c r="J447" s="2"/>
      <c r="K447" s="11"/>
      <c r="L447" s="11" t="s">
        <v>4041</v>
      </c>
      <c r="M447" s="1"/>
      <c r="N447" s="11"/>
      <c r="O447" s="11" t="s">
        <v>4042</v>
      </c>
      <c r="P447" s="1"/>
      <c r="Q447" s="1"/>
      <c r="R447" s="11"/>
      <c r="S447" s="2">
        <f>CONSOLIDADO_2026[[#This Row],[Hora final]]-CONSOLIDADO_2026[[#This Row],[Hora inic]]</f>
        <v>0</v>
      </c>
    </row>
    <row r="448" spans="1:19" hidden="1" x14ac:dyDescent="0.25">
      <c r="A448" t="s">
        <v>4053</v>
      </c>
      <c r="B448">
        <v>1017267628</v>
      </c>
      <c r="C448" t="s">
        <v>255</v>
      </c>
      <c r="D448" s="11" t="s">
        <v>256</v>
      </c>
      <c r="E448" s="11" t="s">
        <v>4040</v>
      </c>
      <c r="F448" s="11" t="s">
        <v>4074</v>
      </c>
      <c r="G448" s="1">
        <v>46239</v>
      </c>
      <c r="H448" s="1">
        <v>46243</v>
      </c>
      <c r="I448" s="2">
        <v>0.25</v>
      </c>
      <c r="J448" s="2">
        <v>0.54166666666666663</v>
      </c>
      <c r="K448" s="11"/>
      <c r="L448" s="11" t="s">
        <v>4060</v>
      </c>
      <c r="M448" s="1">
        <v>46242</v>
      </c>
      <c r="N448" s="11"/>
      <c r="O448" s="11" t="s">
        <v>4042</v>
      </c>
      <c r="P448" s="1">
        <v>46237</v>
      </c>
      <c r="Q448" s="1"/>
      <c r="R448" s="11" t="s">
        <v>4081</v>
      </c>
      <c r="S448" s="2">
        <f>CONSOLIDADO_2026[[#This Row],[Hora final]]-CONSOLIDADO_2026[[#This Row],[Hora inic]]</f>
        <v>0.29166666666666663</v>
      </c>
    </row>
    <row r="449" spans="1:19" hidden="1" x14ac:dyDescent="0.25">
      <c r="A449" t="s">
        <v>4053</v>
      </c>
      <c r="B449" t="s">
        <v>228</v>
      </c>
      <c r="C449" t="s">
        <v>229</v>
      </c>
      <c r="D449" s="11" t="s">
        <v>4078</v>
      </c>
      <c r="E449" s="11" t="s">
        <v>4046</v>
      </c>
      <c r="F449" s="11" t="s">
        <v>4079</v>
      </c>
      <c r="G449" s="1">
        <v>46239</v>
      </c>
      <c r="H449" s="1">
        <v>46239</v>
      </c>
      <c r="I449" s="2">
        <v>0.25</v>
      </c>
      <c r="J449" s="2">
        <v>0.58333333333333337</v>
      </c>
      <c r="K449" s="11" t="s">
        <v>228</v>
      </c>
      <c r="L449" s="11" t="s">
        <v>229</v>
      </c>
      <c r="M449" s="1"/>
      <c r="N449" s="11"/>
      <c r="O449" s="11" t="s">
        <v>4042</v>
      </c>
      <c r="P449" s="1"/>
      <c r="Q449" s="1"/>
      <c r="R449" s="11"/>
      <c r="S449" s="2">
        <f>CONSOLIDADO_2026[[#This Row],[Hora final]]-CONSOLIDADO_2026[[#This Row],[Hora inic]]</f>
        <v>0.33333333333333337</v>
      </c>
    </row>
    <row r="450" spans="1:19" hidden="1" x14ac:dyDescent="0.25">
      <c r="A450" t="s">
        <v>4053</v>
      </c>
      <c r="B450">
        <v>1037669752</v>
      </c>
      <c r="C450" t="s">
        <v>3585</v>
      </c>
      <c r="D450" s="11" t="s">
        <v>143</v>
      </c>
      <c r="E450" s="11" t="s">
        <v>4045</v>
      </c>
      <c r="F450" s="11" t="s">
        <v>24</v>
      </c>
      <c r="G450" s="1">
        <v>46239</v>
      </c>
      <c r="H450" s="1">
        <v>46239</v>
      </c>
      <c r="I450" s="2">
        <v>0.54166666666666663</v>
      </c>
      <c r="J450" s="2">
        <v>0.875</v>
      </c>
      <c r="K450" s="11" t="s">
        <v>257</v>
      </c>
      <c r="L450" s="11" t="s">
        <v>258</v>
      </c>
      <c r="M450" s="1"/>
      <c r="N450" s="11"/>
      <c r="O450" s="11" t="s">
        <v>21</v>
      </c>
      <c r="P450" s="1"/>
      <c r="Q450" s="1"/>
      <c r="R450" s="11"/>
      <c r="S450" s="2">
        <f>CONSOLIDADO_2026[[#This Row],[Hora final]]-CONSOLIDADO_2026[[#This Row],[Hora inic]]</f>
        <v>0.33333333333333337</v>
      </c>
    </row>
    <row r="451" spans="1:19" hidden="1" x14ac:dyDescent="0.25">
      <c r="A451" t="s">
        <v>4048</v>
      </c>
      <c r="B451">
        <v>1037669752</v>
      </c>
      <c r="C451" t="s">
        <v>3585</v>
      </c>
      <c r="D451" s="11" t="s">
        <v>143</v>
      </c>
      <c r="E451" s="11" t="s">
        <v>4045</v>
      </c>
      <c r="F451" s="11" t="s">
        <v>24</v>
      </c>
      <c r="G451" s="1">
        <v>46239</v>
      </c>
      <c r="H451" s="1">
        <v>46239</v>
      </c>
      <c r="I451" s="2"/>
      <c r="J451" s="2"/>
      <c r="K451" s="11"/>
      <c r="L451" s="11" t="s">
        <v>4041</v>
      </c>
      <c r="M451" s="1"/>
      <c r="N451" s="11"/>
      <c r="O451" s="11" t="s">
        <v>4042</v>
      </c>
      <c r="P451" s="1"/>
      <c r="Q451" s="1"/>
      <c r="R451" s="11"/>
      <c r="S451" s="2">
        <f>CONSOLIDADO_2026[[#This Row],[Hora final]]-CONSOLIDADO_2026[[#This Row],[Hora inic]]</f>
        <v>0</v>
      </c>
    </row>
    <row r="452" spans="1:19" hidden="1" x14ac:dyDescent="0.25">
      <c r="A452" t="s">
        <v>4053</v>
      </c>
      <c r="B452">
        <v>1005605946</v>
      </c>
      <c r="C452" t="s">
        <v>185</v>
      </c>
      <c r="D452" s="11" t="s">
        <v>4078</v>
      </c>
      <c r="E452" s="11" t="s">
        <v>4056</v>
      </c>
      <c r="F452" s="11" t="s">
        <v>4079</v>
      </c>
      <c r="G452" s="1">
        <v>46239</v>
      </c>
      <c r="H452" s="1">
        <v>46239</v>
      </c>
      <c r="I452" s="2">
        <v>0.25</v>
      </c>
      <c r="J452" s="2">
        <v>0.58333333333333337</v>
      </c>
      <c r="K452" s="11" t="s">
        <v>184</v>
      </c>
      <c r="L452" s="11" t="s">
        <v>185</v>
      </c>
      <c r="M452" s="1"/>
      <c r="N452" s="11"/>
      <c r="O452" s="11" t="s">
        <v>4042</v>
      </c>
      <c r="P452" s="1"/>
      <c r="Q452" s="1"/>
      <c r="R452" s="11"/>
      <c r="S452" s="2">
        <f>CONSOLIDADO_2026[[#This Row],[Hora final]]-CONSOLIDADO_2026[[#This Row],[Hora inic]]</f>
        <v>0.33333333333333337</v>
      </c>
    </row>
    <row r="453" spans="1:19" hidden="1" x14ac:dyDescent="0.25">
      <c r="A453" t="s">
        <v>4053</v>
      </c>
      <c r="B453">
        <v>1143374438</v>
      </c>
      <c r="C453" t="s">
        <v>154</v>
      </c>
      <c r="D453" s="11" t="s">
        <v>28</v>
      </c>
      <c r="E453" s="11" t="s">
        <v>4046</v>
      </c>
      <c r="F453" s="11" t="s">
        <v>4074</v>
      </c>
      <c r="G453" s="1">
        <v>46239</v>
      </c>
      <c r="H453" s="1">
        <v>46268</v>
      </c>
      <c r="I453" s="2">
        <v>0.25</v>
      </c>
      <c r="J453" s="2">
        <v>0.58333333333333337</v>
      </c>
      <c r="K453" s="11"/>
      <c r="L453" s="11" t="s">
        <v>4060</v>
      </c>
      <c r="M453" s="1">
        <v>46240</v>
      </c>
      <c r="N453" s="11"/>
      <c r="O453" s="11" t="s">
        <v>4042</v>
      </c>
      <c r="P453" s="1">
        <v>46239</v>
      </c>
      <c r="Q453" s="1"/>
      <c r="R453" s="11" t="s">
        <v>4081</v>
      </c>
      <c r="S453" s="2">
        <f>CONSOLIDADO_2026[[#This Row],[Hora final]]-CONSOLIDADO_2026[[#This Row],[Hora inic]]</f>
        <v>0.33333333333333337</v>
      </c>
    </row>
    <row r="454" spans="1:19" hidden="1" x14ac:dyDescent="0.25">
      <c r="A454" t="s">
        <v>4048</v>
      </c>
      <c r="B454">
        <v>1143374438</v>
      </c>
      <c r="C454" t="s">
        <v>154</v>
      </c>
      <c r="D454" s="11" t="s">
        <v>28</v>
      </c>
      <c r="E454" s="11" t="s">
        <v>4046</v>
      </c>
      <c r="F454" s="11" t="s">
        <v>16</v>
      </c>
      <c r="G454" s="1">
        <v>46239</v>
      </c>
      <c r="H454" s="1">
        <v>46268</v>
      </c>
      <c r="I454" s="2">
        <v>0.58333333333333337</v>
      </c>
      <c r="J454" s="2">
        <v>0.875</v>
      </c>
      <c r="K454" s="11"/>
      <c r="L454" s="11" t="s">
        <v>4060</v>
      </c>
      <c r="M454" s="1"/>
      <c r="N454" s="11"/>
      <c r="O454" s="11" t="s">
        <v>4042</v>
      </c>
      <c r="P454" s="1"/>
      <c r="Q454" s="1"/>
      <c r="R454" s="11"/>
      <c r="S454" s="2">
        <f>CONSOLIDADO_2026[[#This Row],[Hora final]]-CONSOLIDADO_2026[[#This Row],[Hora inic]]</f>
        <v>0.29166666666666663</v>
      </c>
    </row>
    <row r="455" spans="1:19" hidden="1" x14ac:dyDescent="0.25">
      <c r="A455" t="s">
        <v>4051</v>
      </c>
      <c r="B455">
        <v>1143374438</v>
      </c>
      <c r="C455" t="s">
        <v>154</v>
      </c>
      <c r="D455" s="11" t="s">
        <v>28</v>
      </c>
      <c r="E455" s="11" t="s">
        <v>4046</v>
      </c>
      <c r="F455" s="11" t="s">
        <v>16</v>
      </c>
      <c r="G455" s="1">
        <v>46239</v>
      </c>
      <c r="H455" s="1">
        <v>46268</v>
      </c>
      <c r="I455" s="2"/>
      <c r="J455" s="2"/>
      <c r="K455" s="11"/>
      <c r="L455" s="11" t="s">
        <v>341</v>
      </c>
      <c r="M455" s="1"/>
      <c r="N455" s="11" t="s">
        <v>21</v>
      </c>
      <c r="O455" s="11" t="s">
        <v>21</v>
      </c>
      <c r="P455" s="1"/>
      <c r="Q455" s="1"/>
      <c r="R455" s="11"/>
      <c r="S455" s="2">
        <f>CONSOLIDADO_2026[[#This Row],[Hora final]]-CONSOLIDADO_2026[[#This Row],[Hora inic]]</f>
        <v>0</v>
      </c>
    </row>
    <row r="456" spans="1:19" hidden="1" x14ac:dyDescent="0.25">
      <c r="A456" t="s">
        <v>4052</v>
      </c>
      <c r="B456">
        <v>1143374438</v>
      </c>
      <c r="C456" t="s">
        <v>154</v>
      </c>
      <c r="D456" s="11" t="s">
        <v>28</v>
      </c>
      <c r="E456" s="11" t="s">
        <v>4046</v>
      </c>
      <c r="F456" s="11" t="s">
        <v>16</v>
      </c>
      <c r="G456" s="1">
        <v>46239</v>
      </c>
      <c r="H456" s="1">
        <v>46268</v>
      </c>
      <c r="I456" s="2">
        <v>0.25</v>
      </c>
      <c r="J456" s="2">
        <v>0.58333333333333337</v>
      </c>
      <c r="K456" s="11"/>
      <c r="L456" s="11" t="s">
        <v>327</v>
      </c>
      <c r="M456" s="1"/>
      <c r="N456" s="11"/>
      <c r="O456" s="11" t="s">
        <v>4042</v>
      </c>
      <c r="P456" s="1"/>
      <c r="Q456" s="1"/>
      <c r="R456" s="11"/>
      <c r="S456" s="2">
        <f>CONSOLIDADO_2026[[#This Row],[Hora final]]-CONSOLIDADO_2026[[#This Row],[Hora inic]]</f>
        <v>0.33333333333333337</v>
      </c>
    </row>
    <row r="457" spans="1:19" hidden="1" x14ac:dyDescent="0.25">
      <c r="A457" t="s">
        <v>4163</v>
      </c>
      <c r="B457">
        <v>1143374438</v>
      </c>
      <c r="C457" t="s">
        <v>154</v>
      </c>
      <c r="D457" s="11" t="s">
        <v>28</v>
      </c>
      <c r="E457" s="11" t="s">
        <v>4046</v>
      </c>
      <c r="F457" s="11" t="s">
        <v>16</v>
      </c>
      <c r="G457" s="1">
        <v>46239</v>
      </c>
      <c r="H457" s="1">
        <v>46268</v>
      </c>
      <c r="I457" s="2">
        <v>0.25</v>
      </c>
      <c r="J457" s="2">
        <v>0.54166666666666663</v>
      </c>
      <c r="K457" s="11" t="s">
        <v>213</v>
      </c>
      <c r="L457" s="11" t="s">
        <v>214</v>
      </c>
      <c r="M457" s="1"/>
      <c r="N457" s="11"/>
      <c r="O457" s="11" t="s">
        <v>21</v>
      </c>
      <c r="P457" s="1"/>
      <c r="Q457" s="1"/>
      <c r="R457" s="11"/>
      <c r="S457" s="2">
        <f>CONSOLIDADO_2026[[#This Row],[Hora final]]-CONSOLIDADO_2026[[#This Row],[Hora inic]]</f>
        <v>0.29166666666666663</v>
      </c>
    </row>
    <row r="458" spans="1:19" hidden="1" x14ac:dyDescent="0.25">
      <c r="A458" t="s">
        <v>4053</v>
      </c>
      <c r="B458">
        <v>42141273</v>
      </c>
      <c r="C458" t="s">
        <v>271</v>
      </c>
      <c r="D458" s="11" t="s">
        <v>272</v>
      </c>
      <c r="E458" s="11" t="s">
        <v>4056</v>
      </c>
      <c r="F458" s="11" t="s">
        <v>16</v>
      </c>
      <c r="G458" s="1">
        <v>46238</v>
      </c>
      <c r="H458" s="1">
        <v>46295</v>
      </c>
      <c r="I458" s="2">
        <v>0.25</v>
      </c>
      <c r="J458" s="2">
        <v>0.5</v>
      </c>
      <c r="K458" s="11" t="s">
        <v>267</v>
      </c>
      <c r="L458" s="11" t="s">
        <v>268</v>
      </c>
      <c r="M458" s="1"/>
      <c r="N458" s="11"/>
      <c r="O458" s="11" t="s">
        <v>21</v>
      </c>
      <c r="P458" s="1"/>
      <c r="Q458" s="1"/>
      <c r="R458" s="11"/>
      <c r="S458" s="2">
        <f>CONSOLIDADO_2026[[#This Row],[Hora final]]-CONSOLIDADO_2026[[#This Row],[Hora inic]]</f>
        <v>0.25</v>
      </c>
    </row>
    <row r="459" spans="1:19" hidden="1" x14ac:dyDescent="0.25">
      <c r="A459" t="s">
        <v>4053</v>
      </c>
      <c r="B459">
        <v>1017270154</v>
      </c>
      <c r="C459" t="s">
        <v>1004</v>
      </c>
      <c r="D459" s="11" t="s">
        <v>421</v>
      </c>
      <c r="E459" s="11" t="s">
        <v>4047</v>
      </c>
      <c r="F459" s="11" t="s">
        <v>4074</v>
      </c>
      <c r="G459" s="1">
        <v>46239</v>
      </c>
      <c r="H459" s="1">
        <v>46240</v>
      </c>
      <c r="I459" s="2">
        <v>0.25</v>
      </c>
      <c r="J459" s="2">
        <v>0.54166666666666663</v>
      </c>
      <c r="K459" s="11"/>
      <c r="L459" s="11" t="s">
        <v>4060</v>
      </c>
      <c r="M459" s="1">
        <v>46239</v>
      </c>
      <c r="N459" s="11"/>
      <c r="O459" s="11" t="s">
        <v>4042</v>
      </c>
      <c r="P459" s="1">
        <v>46239</v>
      </c>
      <c r="Q459" s="1"/>
      <c r="R459" s="11" t="s">
        <v>4081</v>
      </c>
      <c r="S459" s="2">
        <f>CONSOLIDADO_2026[[#This Row],[Hora final]]-CONSOLIDADO_2026[[#This Row],[Hora inic]]</f>
        <v>0.29166666666666663</v>
      </c>
    </row>
    <row r="460" spans="1:19" hidden="1" x14ac:dyDescent="0.25">
      <c r="A460" t="s">
        <v>4048</v>
      </c>
      <c r="B460">
        <v>1017270154</v>
      </c>
      <c r="C460" t="s">
        <v>4142</v>
      </c>
      <c r="D460" s="11" t="s">
        <v>421</v>
      </c>
      <c r="E460" s="11" t="s">
        <v>4047</v>
      </c>
      <c r="F460" s="11" t="s">
        <v>4074</v>
      </c>
      <c r="G460" s="1">
        <v>46239</v>
      </c>
      <c r="H460" s="1">
        <v>46240</v>
      </c>
      <c r="I460" s="2">
        <v>0.25</v>
      </c>
      <c r="J460" s="2">
        <v>0.54166666666666663</v>
      </c>
      <c r="K460" s="11"/>
      <c r="L460" s="11" t="s">
        <v>4060</v>
      </c>
      <c r="M460" s="1">
        <v>46239</v>
      </c>
      <c r="N460" s="11"/>
      <c r="O460" s="11" t="s">
        <v>4042</v>
      </c>
      <c r="P460" s="1">
        <v>46239</v>
      </c>
      <c r="Q460" s="1"/>
      <c r="R460" s="11" t="s">
        <v>4081</v>
      </c>
      <c r="S460" s="2">
        <f>CONSOLIDADO_2026[[#This Row],[Hora final]]-CONSOLIDADO_2026[[#This Row],[Hora inic]]</f>
        <v>0.29166666666666663</v>
      </c>
    </row>
    <row r="461" spans="1:19" hidden="1" x14ac:dyDescent="0.25">
      <c r="A461" t="s">
        <v>4051</v>
      </c>
      <c r="B461">
        <v>1017270154</v>
      </c>
      <c r="C461" t="s">
        <v>4142</v>
      </c>
      <c r="D461" s="11" t="s">
        <v>421</v>
      </c>
      <c r="E461" s="11" t="s">
        <v>4047</v>
      </c>
      <c r="F461" s="11" t="s">
        <v>16</v>
      </c>
      <c r="G461" s="1">
        <v>46239</v>
      </c>
      <c r="H461" s="1">
        <v>46240</v>
      </c>
      <c r="I461" s="2"/>
      <c r="J461" s="2"/>
      <c r="K461" s="11"/>
      <c r="L461" s="11" t="s">
        <v>4041</v>
      </c>
      <c r="M461" s="1"/>
      <c r="N461" s="11" t="s">
        <v>4042</v>
      </c>
      <c r="O461" s="11" t="s">
        <v>4042</v>
      </c>
      <c r="P461" s="1"/>
      <c r="Q461" s="1"/>
      <c r="R461" s="11"/>
      <c r="S461" s="2">
        <f>CONSOLIDADO_2026[[#This Row],[Hora final]]-CONSOLIDADO_2026[[#This Row],[Hora inic]]</f>
        <v>0</v>
      </c>
    </row>
    <row r="462" spans="1:19" hidden="1" x14ac:dyDescent="0.25">
      <c r="A462" t="s">
        <v>4053</v>
      </c>
      <c r="B462">
        <v>1035876080</v>
      </c>
      <c r="C462" t="s">
        <v>123</v>
      </c>
      <c r="D462" s="11" t="s">
        <v>124</v>
      </c>
      <c r="E462" s="11" t="s">
        <v>4045</v>
      </c>
      <c r="F462" s="11" t="s">
        <v>4074</v>
      </c>
      <c r="G462" s="1">
        <v>46238</v>
      </c>
      <c r="H462" s="1">
        <v>46245</v>
      </c>
      <c r="I462" s="2">
        <v>0.25</v>
      </c>
      <c r="J462" s="2">
        <v>0.54166666666666663</v>
      </c>
      <c r="K462" s="11"/>
      <c r="L462" s="11" t="s">
        <v>4060</v>
      </c>
      <c r="M462" s="1">
        <v>46245</v>
      </c>
      <c r="N462" s="11"/>
      <c r="O462" s="11" t="s">
        <v>4042</v>
      </c>
      <c r="P462" s="1">
        <v>46245</v>
      </c>
      <c r="Q462" s="1"/>
      <c r="R462" s="11" t="s">
        <v>4081</v>
      </c>
      <c r="S462" s="2">
        <f>CONSOLIDADO_2026[[#This Row],[Hora final]]-CONSOLIDADO_2026[[#This Row],[Hora inic]]</f>
        <v>0.29166666666666663</v>
      </c>
    </row>
    <row r="463" spans="1:19" hidden="1" x14ac:dyDescent="0.25">
      <c r="A463" t="s">
        <v>4053</v>
      </c>
      <c r="B463">
        <v>1003377961</v>
      </c>
      <c r="C463" t="s">
        <v>2582</v>
      </c>
      <c r="D463" s="11" t="s">
        <v>55</v>
      </c>
      <c r="E463" s="11" t="s">
        <v>4047</v>
      </c>
      <c r="F463" s="11" t="s">
        <v>16</v>
      </c>
      <c r="G463" s="1">
        <v>46239</v>
      </c>
      <c r="H463" s="1">
        <v>46239</v>
      </c>
      <c r="I463" s="2">
        <v>0.58333333333333337</v>
      </c>
      <c r="J463" s="2">
        <v>0.875</v>
      </c>
      <c r="K463" s="11"/>
      <c r="L463" s="11" t="s">
        <v>327</v>
      </c>
      <c r="M463" s="1"/>
      <c r="N463" s="11"/>
      <c r="O463" s="11" t="s">
        <v>4042</v>
      </c>
      <c r="P463" s="1"/>
      <c r="Q463" s="1"/>
      <c r="R463" s="11"/>
      <c r="S463" s="2">
        <f>CONSOLIDADO_2026[[#This Row],[Hora final]]-CONSOLIDADO_2026[[#This Row],[Hora inic]]</f>
        <v>0.29166666666666663</v>
      </c>
    </row>
    <row r="464" spans="1:19" hidden="1" x14ac:dyDescent="0.25">
      <c r="A464" t="s">
        <v>4048</v>
      </c>
      <c r="B464">
        <v>1003377961</v>
      </c>
      <c r="C464" t="s">
        <v>2582</v>
      </c>
      <c r="D464" s="11" t="s">
        <v>55</v>
      </c>
      <c r="E464" s="11" t="s">
        <v>4047</v>
      </c>
      <c r="F464" s="11" t="s">
        <v>16</v>
      </c>
      <c r="G464" s="1">
        <v>46239</v>
      </c>
      <c r="H464" s="1">
        <v>46239</v>
      </c>
      <c r="I464" s="2"/>
      <c r="J464" s="2"/>
      <c r="K464" s="11"/>
      <c r="L464" s="11" t="s">
        <v>4041</v>
      </c>
      <c r="M464" s="1"/>
      <c r="N464" s="11"/>
      <c r="O464" s="11" t="s">
        <v>4042</v>
      </c>
      <c r="P464" s="1"/>
      <c r="Q464" s="1"/>
      <c r="R464" s="11"/>
      <c r="S464" s="2">
        <f>CONSOLIDADO_2026[[#This Row],[Hora final]]-CONSOLIDADO_2026[[#This Row],[Hora inic]]</f>
        <v>0</v>
      </c>
    </row>
    <row r="465" spans="1:19" hidden="1" x14ac:dyDescent="0.25">
      <c r="A465" t="s">
        <v>4053</v>
      </c>
      <c r="B465">
        <v>1065664047</v>
      </c>
      <c r="C465" t="s">
        <v>1184</v>
      </c>
      <c r="D465" s="11" t="s">
        <v>162</v>
      </c>
      <c r="E465" s="11" t="s">
        <v>4056</v>
      </c>
      <c r="F465" s="11" t="s">
        <v>4074</v>
      </c>
      <c r="G465" s="1">
        <v>46239</v>
      </c>
      <c r="H465" s="1">
        <v>46240</v>
      </c>
      <c r="I465" s="2">
        <v>0.25</v>
      </c>
      <c r="J465" s="2">
        <v>0.58333333333333337</v>
      </c>
      <c r="K465" s="11"/>
      <c r="L465" s="11" t="s">
        <v>4060</v>
      </c>
      <c r="M465" s="1">
        <v>46238</v>
      </c>
      <c r="N465" s="11"/>
      <c r="O465" s="11" t="s">
        <v>4042</v>
      </c>
      <c r="P465" s="1">
        <v>46238</v>
      </c>
      <c r="Q465" s="1"/>
      <c r="R465" s="11" t="s">
        <v>4081</v>
      </c>
      <c r="S465" s="2">
        <f>CONSOLIDADO_2026[[#This Row],[Hora final]]-CONSOLIDADO_2026[[#This Row],[Hora inic]]</f>
        <v>0.33333333333333337</v>
      </c>
    </row>
    <row r="466" spans="1:19" hidden="1" x14ac:dyDescent="0.25">
      <c r="A466" t="s">
        <v>4048</v>
      </c>
      <c r="B466">
        <v>1065664047</v>
      </c>
      <c r="C466" t="s">
        <v>1184</v>
      </c>
      <c r="D466" s="11" t="s">
        <v>162</v>
      </c>
      <c r="E466" s="11" t="s">
        <v>4056</v>
      </c>
      <c r="F466" s="11" t="s">
        <v>16</v>
      </c>
      <c r="G466" s="1">
        <v>46239</v>
      </c>
      <c r="H466" s="1">
        <v>46240</v>
      </c>
      <c r="I466" s="2">
        <v>0.58333333333333337</v>
      </c>
      <c r="J466" s="2">
        <v>0.875</v>
      </c>
      <c r="K466" s="11" t="s">
        <v>321</v>
      </c>
      <c r="L466" s="11" t="s">
        <v>322</v>
      </c>
      <c r="M466" s="1"/>
      <c r="N466" s="11"/>
      <c r="O466" s="11" t="s">
        <v>21</v>
      </c>
      <c r="P466" s="1"/>
      <c r="Q466" s="1"/>
      <c r="R466" s="11"/>
      <c r="S466" s="2">
        <f>CONSOLIDADO_2026[[#This Row],[Hora final]]-CONSOLIDADO_2026[[#This Row],[Hora inic]]</f>
        <v>0.29166666666666663</v>
      </c>
    </row>
    <row r="467" spans="1:19" hidden="1" x14ac:dyDescent="0.25">
      <c r="A467" t="s">
        <v>4051</v>
      </c>
      <c r="B467">
        <v>1065664047</v>
      </c>
      <c r="C467" t="s">
        <v>1184</v>
      </c>
      <c r="D467" s="11" t="s">
        <v>162</v>
      </c>
      <c r="E467" s="11" t="s">
        <v>4056</v>
      </c>
      <c r="F467" s="11" t="s">
        <v>16</v>
      </c>
      <c r="G467" s="1">
        <v>46239</v>
      </c>
      <c r="H467" s="1">
        <v>46240</v>
      </c>
      <c r="I467" s="2"/>
      <c r="J467" s="2"/>
      <c r="K467" s="11"/>
      <c r="L467" s="11" t="s">
        <v>4041</v>
      </c>
      <c r="M467" s="1"/>
      <c r="N467" s="11" t="s">
        <v>4042</v>
      </c>
      <c r="O467" s="11" t="s">
        <v>4042</v>
      </c>
      <c r="P467" s="1"/>
      <c r="Q467" s="1"/>
      <c r="R467" s="11"/>
      <c r="S467" s="2">
        <f>CONSOLIDADO_2026[[#This Row],[Hora final]]-CONSOLIDADO_2026[[#This Row],[Hora inic]]</f>
        <v>0</v>
      </c>
    </row>
    <row r="468" spans="1:19" hidden="1" x14ac:dyDescent="0.25">
      <c r="A468" t="s">
        <v>4053</v>
      </c>
      <c r="B468">
        <v>1143394119</v>
      </c>
      <c r="C468" t="s">
        <v>4143</v>
      </c>
      <c r="D468" s="11" t="s">
        <v>59</v>
      </c>
      <c r="E468" s="11" t="s">
        <v>4047</v>
      </c>
      <c r="F468" s="11" t="s">
        <v>4074</v>
      </c>
      <c r="G468" s="1">
        <v>46238</v>
      </c>
      <c r="H468" s="1">
        <v>46239</v>
      </c>
      <c r="I468" s="2">
        <v>0.54166666666666663</v>
      </c>
      <c r="J468" s="2">
        <v>0.83333333333333337</v>
      </c>
      <c r="K468" s="11"/>
      <c r="L468" s="11" t="s">
        <v>4060</v>
      </c>
      <c r="M468" s="1">
        <v>46239</v>
      </c>
      <c r="N468" s="11"/>
      <c r="O468" s="11" t="s">
        <v>4042</v>
      </c>
      <c r="P468" s="1">
        <v>46238</v>
      </c>
      <c r="Q468" s="1"/>
      <c r="R468" s="11" t="s">
        <v>4081</v>
      </c>
      <c r="S468" s="2">
        <f>CONSOLIDADO_2026[[#This Row],[Hora final]]-CONSOLIDADO_2026[[#This Row],[Hora inic]]</f>
        <v>0.29166666666666674</v>
      </c>
    </row>
    <row r="469" spans="1:19" hidden="1" x14ac:dyDescent="0.25">
      <c r="A469" t="s">
        <v>4053</v>
      </c>
      <c r="B469">
        <v>1082896324</v>
      </c>
      <c r="C469" t="s">
        <v>127</v>
      </c>
      <c r="D469" s="11" t="s">
        <v>128</v>
      </c>
      <c r="E469" s="11" t="s">
        <v>4045</v>
      </c>
      <c r="F469" s="11" t="s">
        <v>4074</v>
      </c>
      <c r="G469" s="1">
        <v>46239</v>
      </c>
      <c r="H469" s="1">
        <v>46240</v>
      </c>
      <c r="I469" s="2">
        <v>0.25</v>
      </c>
      <c r="J469" s="2">
        <v>0.58333333333333337</v>
      </c>
      <c r="K469" s="11"/>
      <c r="L469" s="11" t="s">
        <v>4060</v>
      </c>
      <c r="M469" s="1">
        <v>46239</v>
      </c>
      <c r="N469" s="11"/>
      <c r="O469" s="11" t="s">
        <v>4042</v>
      </c>
      <c r="P469" s="1">
        <v>46238</v>
      </c>
      <c r="Q469" s="1"/>
      <c r="R469" s="11" t="s">
        <v>4081</v>
      </c>
      <c r="S469" s="2">
        <f>CONSOLIDADO_2026[[#This Row],[Hora final]]-CONSOLIDADO_2026[[#This Row],[Hora inic]]</f>
        <v>0.33333333333333337</v>
      </c>
    </row>
    <row r="470" spans="1:19" hidden="1" x14ac:dyDescent="0.25">
      <c r="A470" t="s">
        <v>4048</v>
      </c>
      <c r="B470">
        <v>1082896324</v>
      </c>
      <c r="C470" t="s">
        <v>127</v>
      </c>
      <c r="D470" s="11" t="s">
        <v>128</v>
      </c>
      <c r="E470" s="11" t="s">
        <v>4045</v>
      </c>
      <c r="F470" s="11" t="s">
        <v>16</v>
      </c>
      <c r="G470" s="1">
        <v>46239</v>
      </c>
      <c r="H470" s="1">
        <v>46240</v>
      </c>
      <c r="I470" s="2">
        <v>0.54166666666666663</v>
      </c>
      <c r="J470" s="2">
        <v>0.70833333333333337</v>
      </c>
      <c r="K470" s="11" t="s">
        <v>1382</v>
      </c>
      <c r="L470" s="11" t="s">
        <v>1383</v>
      </c>
      <c r="M470" s="1"/>
      <c r="N470" s="11"/>
      <c r="O470" s="11" t="s">
        <v>21</v>
      </c>
      <c r="P470" s="1"/>
      <c r="Q470" s="1"/>
      <c r="R470" s="11"/>
      <c r="S470" s="2">
        <f>CONSOLIDADO_2026[[#This Row],[Hora final]]-CONSOLIDADO_2026[[#This Row],[Hora inic]]</f>
        <v>0.16666666666666674</v>
      </c>
    </row>
    <row r="471" spans="1:19" hidden="1" x14ac:dyDescent="0.25">
      <c r="A471" t="s">
        <v>4051</v>
      </c>
      <c r="B471">
        <v>1082896324</v>
      </c>
      <c r="C471" t="s">
        <v>127</v>
      </c>
      <c r="D471" s="11" t="s">
        <v>128</v>
      </c>
      <c r="E471" s="11" t="s">
        <v>4045</v>
      </c>
      <c r="F471" s="11" t="s">
        <v>16</v>
      </c>
      <c r="G471" s="1">
        <v>46239</v>
      </c>
      <c r="H471" s="1">
        <v>46240</v>
      </c>
      <c r="I471" s="2"/>
      <c r="J471" s="2"/>
      <c r="K471" s="11"/>
      <c r="L471" s="11" t="s">
        <v>4041</v>
      </c>
      <c r="M471" s="1"/>
      <c r="N471" s="11" t="s">
        <v>4042</v>
      </c>
      <c r="O471" s="11" t="s">
        <v>4042</v>
      </c>
      <c r="P471" s="1"/>
      <c r="Q471" s="1"/>
      <c r="R471" s="11"/>
      <c r="S471" s="2">
        <f>CONSOLIDADO_2026[[#This Row],[Hora final]]-CONSOLIDADO_2026[[#This Row],[Hora inic]]</f>
        <v>0</v>
      </c>
    </row>
    <row r="472" spans="1:19" hidden="1" x14ac:dyDescent="0.25">
      <c r="A472" t="s">
        <v>4053</v>
      </c>
      <c r="B472">
        <v>1235045754</v>
      </c>
      <c r="C472" t="s">
        <v>2420</v>
      </c>
      <c r="D472" s="11" t="s">
        <v>421</v>
      </c>
      <c r="E472" s="11" t="s">
        <v>4047</v>
      </c>
      <c r="F472" s="11" t="s">
        <v>16</v>
      </c>
      <c r="G472" s="1">
        <v>46238</v>
      </c>
      <c r="H472" s="1">
        <v>46240</v>
      </c>
      <c r="I472" s="2">
        <v>0.25</v>
      </c>
      <c r="J472" s="2">
        <v>0.54166666666666663</v>
      </c>
      <c r="K472" s="11"/>
      <c r="L472" s="11" t="s">
        <v>327</v>
      </c>
      <c r="M472" s="1"/>
      <c r="N472" s="11"/>
      <c r="O472" s="11" t="s">
        <v>4042</v>
      </c>
      <c r="P472" s="1"/>
      <c r="Q472" s="1"/>
      <c r="R472" s="11"/>
      <c r="S472" s="2">
        <f>CONSOLIDADO_2026[[#This Row],[Hora final]]-CONSOLIDADO_2026[[#This Row],[Hora inic]]</f>
        <v>0.29166666666666663</v>
      </c>
    </row>
    <row r="473" spans="1:19" hidden="1" x14ac:dyDescent="0.25">
      <c r="A473" t="s">
        <v>4048</v>
      </c>
      <c r="B473">
        <v>1235045754</v>
      </c>
      <c r="C473" t="s">
        <v>2420</v>
      </c>
      <c r="D473" s="11" t="s">
        <v>421</v>
      </c>
      <c r="E473" s="11" t="s">
        <v>4047</v>
      </c>
      <c r="F473" s="11" t="s">
        <v>16</v>
      </c>
      <c r="G473" s="1">
        <v>46238</v>
      </c>
      <c r="H473" s="1">
        <v>46240</v>
      </c>
      <c r="I473" s="2">
        <v>0.54166666666666663</v>
      </c>
      <c r="J473" s="2">
        <v>0.875</v>
      </c>
      <c r="K473" s="11" t="s">
        <v>110</v>
      </c>
      <c r="L473" s="11" t="s">
        <v>111</v>
      </c>
      <c r="M473" s="1"/>
      <c r="N473" s="11"/>
      <c r="O473" s="11" t="s">
        <v>21</v>
      </c>
      <c r="P473" s="1"/>
      <c r="Q473" s="1"/>
      <c r="R473" s="11"/>
      <c r="S473" s="2">
        <f>CONSOLIDADO_2026[[#This Row],[Hora final]]-CONSOLIDADO_2026[[#This Row],[Hora inic]]</f>
        <v>0.33333333333333337</v>
      </c>
    </row>
    <row r="474" spans="1:19" hidden="1" x14ac:dyDescent="0.25">
      <c r="A474" t="s">
        <v>4051</v>
      </c>
      <c r="B474">
        <v>1235045754</v>
      </c>
      <c r="C474" t="s">
        <v>2420</v>
      </c>
      <c r="D474" s="11" t="s">
        <v>421</v>
      </c>
      <c r="E474" s="11" t="s">
        <v>4047</v>
      </c>
      <c r="F474" s="11" t="s">
        <v>16</v>
      </c>
      <c r="G474" s="1">
        <v>46238</v>
      </c>
      <c r="H474" s="1">
        <v>46240</v>
      </c>
      <c r="I474" s="2"/>
      <c r="J474" s="2"/>
      <c r="K474" s="11"/>
      <c r="L474" s="11" t="s">
        <v>4041</v>
      </c>
      <c r="M474" s="1"/>
      <c r="N474" s="11" t="s">
        <v>4042</v>
      </c>
      <c r="O474" s="11" t="s">
        <v>4042</v>
      </c>
      <c r="P474" s="1"/>
      <c r="Q474" s="1"/>
      <c r="R474" s="11"/>
      <c r="S474" s="2">
        <f>CONSOLIDADO_2026[[#This Row],[Hora final]]-CONSOLIDADO_2026[[#This Row],[Hora inic]]</f>
        <v>0</v>
      </c>
    </row>
    <row r="475" spans="1:19" hidden="1" x14ac:dyDescent="0.25">
      <c r="A475" t="s">
        <v>4053</v>
      </c>
      <c r="B475">
        <v>1005569691</v>
      </c>
      <c r="C475" t="s">
        <v>3651</v>
      </c>
      <c r="D475" s="11" t="s">
        <v>256</v>
      </c>
      <c r="E475" s="11" t="s">
        <v>4040</v>
      </c>
      <c r="F475" s="11" t="s">
        <v>16</v>
      </c>
      <c r="G475" s="1">
        <v>46239</v>
      </c>
      <c r="H475" s="1">
        <v>46240</v>
      </c>
      <c r="I475" s="2">
        <v>0.25</v>
      </c>
      <c r="J475" s="2">
        <v>0.54166666666666663</v>
      </c>
      <c r="K475" s="11"/>
      <c r="L475" s="11" t="s">
        <v>4060</v>
      </c>
      <c r="M475" s="1"/>
      <c r="N475" s="11"/>
      <c r="O475" s="11" t="s">
        <v>4042</v>
      </c>
      <c r="P475" s="1"/>
      <c r="Q475" s="1"/>
      <c r="R475" s="11"/>
      <c r="S475" s="2">
        <f>CONSOLIDADO_2026[[#This Row],[Hora final]]-CONSOLIDADO_2026[[#This Row],[Hora inic]]</f>
        <v>0.29166666666666663</v>
      </c>
    </row>
    <row r="476" spans="1:19" hidden="1" x14ac:dyDescent="0.25">
      <c r="A476" t="s">
        <v>4048</v>
      </c>
      <c r="B476">
        <v>1005569691</v>
      </c>
      <c r="C476" t="s">
        <v>3651</v>
      </c>
      <c r="D476" s="11" t="s">
        <v>256</v>
      </c>
      <c r="E476" s="11" t="s">
        <v>4040</v>
      </c>
      <c r="F476" s="11" t="s">
        <v>16</v>
      </c>
      <c r="G476" s="1">
        <v>46239</v>
      </c>
      <c r="H476" s="1">
        <v>46240</v>
      </c>
      <c r="I476" s="2">
        <v>0.58333333333333337</v>
      </c>
      <c r="J476" s="2">
        <v>0.875</v>
      </c>
      <c r="K476" s="11" t="s">
        <v>297</v>
      </c>
      <c r="L476" s="11" t="s">
        <v>298</v>
      </c>
      <c r="M476" s="1"/>
      <c r="N476" s="11"/>
      <c r="O476" s="11" t="s">
        <v>21</v>
      </c>
      <c r="P476" s="1"/>
      <c r="Q476" s="1"/>
      <c r="R476" s="11"/>
      <c r="S476" s="2">
        <f>CONSOLIDADO_2026[[#This Row],[Hora final]]-CONSOLIDADO_2026[[#This Row],[Hora inic]]</f>
        <v>0.29166666666666663</v>
      </c>
    </row>
    <row r="477" spans="1:19" hidden="1" x14ac:dyDescent="0.25">
      <c r="A477" t="s">
        <v>4051</v>
      </c>
      <c r="B477">
        <v>1005569691</v>
      </c>
      <c r="C477" t="s">
        <v>3651</v>
      </c>
      <c r="D477" s="11" t="s">
        <v>256</v>
      </c>
      <c r="E477" s="11" t="s">
        <v>4040</v>
      </c>
      <c r="F477" s="11" t="s">
        <v>16</v>
      </c>
      <c r="G477" s="1">
        <v>46239</v>
      </c>
      <c r="H477" s="1">
        <v>46240</v>
      </c>
      <c r="I477" s="2"/>
      <c r="J477" s="2"/>
      <c r="K477" s="11"/>
      <c r="L477" s="11" t="s">
        <v>4041</v>
      </c>
      <c r="M477" s="1"/>
      <c r="N477" s="11" t="s">
        <v>4042</v>
      </c>
      <c r="O477" s="11" t="s">
        <v>4042</v>
      </c>
      <c r="P477" s="1"/>
      <c r="Q477" s="1"/>
      <c r="R477" s="11"/>
      <c r="S477" s="2">
        <f>CONSOLIDADO_2026[[#This Row],[Hora final]]-CONSOLIDADO_2026[[#This Row],[Hora inic]]</f>
        <v>0</v>
      </c>
    </row>
    <row r="478" spans="1:19" hidden="1" x14ac:dyDescent="0.25">
      <c r="A478" t="s">
        <v>4053</v>
      </c>
      <c r="B478">
        <v>1001014608</v>
      </c>
      <c r="C478" t="s">
        <v>573</v>
      </c>
      <c r="D478" s="11" t="s">
        <v>55</v>
      </c>
      <c r="E478" s="11" t="s">
        <v>4047</v>
      </c>
      <c r="F478" s="11" t="s">
        <v>4074</v>
      </c>
      <c r="G478" s="1">
        <v>46239</v>
      </c>
      <c r="H478" s="1">
        <v>46268</v>
      </c>
      <c r="I478" s="2"/>
      <c r="J478" s="2"/>
      <c r="K478" s="11"/>
      <c r="L478" s="11" t="s">
        <v>4060</v>
      </c>
      <c r="M478" s="1"/>
      <c r="N478" s="11"/>
      <c r="O478" s="11" t="s">
        <v>4042</v>
      </c>
      <c r="P478" s="1">
        <v>46237</v>
      </c>
      <c r="Q478" s="1"/>
      <c r="R478" s="11" t="s">
        <v>4075</v>
      </c>
      <c r="S478" s="2">
        <f>CONSOLIDADO_2026[[#This Row],[Hora final]]-CONSOLIDADO_2026[[#This Row],[Hora inic]]</f>
        <v>0</v>
      </c>
    </row>
    <row r="479" spans="1:19" hidden="1" x14ac:dyDescent="0.25">
      <c r="A479" t="s">
        <v>4048</v>
      </c>
      <c r="B479">
        <v>1001014608</v>
      </c>
      <c r="C479" t="s">
        <v>573</v>
      </c>
      <c r="D479" s="11" t="s">
        <v>55</v>
      </c>
      <c r="E479" s="11" t="s">
        <v>4047</v>
      </c>
      <c r="F479" s="11" t="s">
        <v>4074</v>
      </c>
      <c r="G479" s="1">
        <v>46239</v>
      </c>
      <c r="H479" s="1">
        <v>46268</v>
      </c>
      <c r="I479" s="2">
        <v>0.58333333333333337</v>
      </c>
      <c r="J479" s="2">
        <v>0.875</v>
      </c>
      <c r="K479" s="11"/>
      <c r="L479" s="11" t="s">
        <v>4060</v>
      </c>
      <c r="M479" s="1"/>
      <c r="N479" s="11"/>
      <c r="O479" s="11" t="s">
        <v>4042</v>
      </c>
      <c r="P479" s="1">
        <v>46239</v>
      </c>
      <c r="Q479" s="1"/>
      <c r="R479" s="11" t="s">
        <v>4075</v>
      </c>
      <c r="S479" s="2">
        <f>CONSOLIDADO_2026[[#This Row],[Hora final]]-CONSOLIDADO_2026[[#This Row],[Hora inic]]</f>
        <v>0.29166666666666663</v>
      </c>
    </row>
    <row r="480" spans="1:19" hidden="1" x14ac:dyDescent="0.25">
      <c r="A480" t="s">
        <v>4051</v>
      </c>
      <c r="B480">
        <v>1001014608</v>
      </c>
      <c r="C480" t="s">
        <v>573</v>
      </c>
      <c r="D480" s="11" t="s">
        <v>55</v>
      </c>
      <c r="E480" s="11" t="s">
        <v>4047</v>
      </c>
      <c r="F480" s="11" t="s">
        <v>16</v>
      </c>
      <c r="G480" s="1">
        <v>46239</v>
      </c>
      <c r="H480" s="1">
        <v>46268</v>
      </c>
      <c r="I480" s="2"/>
      <c r="J480" s="2"/>
      <c r="K480" s="11"/>
      <c r="L480" s="11" t="s">
        <v>341</v>
      </c>
      <c r="M480" s="1"/>
      <c r="N480" s="11" t="s">
        <v>4042</v>
      </c>
      <c r="O480" s="11" t="s">
        <v>4042</v>
      </c>
      <c r="P480" s="1"/>
      <c r="Q480" s="1"/>
      <c r="R480" s="11"/>
      <c r="S480" s="2">
        <f>CONSOLIDADO_2026[[#This Row],[Hora final]]-CONSOLIDADO_2026[[#This Row],[Hora inic]]</f>
        <v>0</v>
      </c>
    </row>
    <row r="481" spans="1:19" hidden="1" x14ac:dyDescent="0.25">
      <c r="A481" t="s">
        <v>4052</v>
      </c>
      <c r="B481">
        <v>1001014608</v>
      </c>
      <c r="C481" t="s">
        <v>573</v>
      </c>
      <c r="D481" s="11" t="s">
        <v>55</v>
      </c>
      <c r="E481" s="11" t="s">
        <v>4047</v>
      </c>
      <c r="F481" s="11" t="s">
        <v>16</v>
      </c>
      <c r="G481" s="1">
        <v>46239</v>
      </c>
      <c r="H481" s="1">
        <v>46268</v>
      </c>
      <c r="I481" s="2"/>
      <c r="J481" s="2"/>
      <c r="K481" s="11"/>
      <c r="L481" s="11" t="s">
        <v>4041</v>
      </c>
      <c r="M481" s="1"/>
      <c r="N481" s="11"/>
      <c r="O481" s="11" t="s">
        <v>4042</v>
      </c>
      <c r="P481" s="1"/>
      <c r="Q481" s="1"/>
      <c r="R481" s="11"/>
      <c r="S481" s="2">
        <f>CONSOLIDADO_2026[[#This Row],[Hora final]]-CONSOLIDADO_2026[[#This Row],[Hora inic]]</f>
        <v>0</v>
      </c>
    </row>
    <row r="482" spans="1:19" hidden="1" x14ac:dyDescent="0.25">
      <c r="A482" t="s">
        <v>4053</v>
      </c>
      <c r="B482">
        <v>1041901478</v>
      </c>
      <c r="C482" t="s">
        <v>405</v>
      </c>
      <c r="D482" s="11" t="s">
        <v>256</v>
      </c>
      <c r="E482" s="11" t="s">
        <v>4040</v>
      </c>
      <c r="F482" s="11" t="s">
        <v>4074</v>
      </c>
      <c r="G482" s="1">
        <v>46239</v>
      </c>
      <c r="H482" s="1">
        <v>46240</v>
      </c>
      <c r="I482" s="2">
        <v>0.25</v>
      </c>
      <c r="J482" s="2">
        <v>0.58333333333333337</v>
      </c>
      <c r="K482" s="11"/>
      <c r="L482" s="11" t="s">
        <v>4060</v>
      </c>
      <c r="M482" s="1">
        <v>46239</v>
      </c>
      <c r="N482" s="11"/>
      <c r="O482" s="11" t="s">
        <v>4042</v>
      </c>
      <c r="P482" s="1">
        <v>46239</v>
      </c>
      <c r="Q482" s="1"/>
      <c r="R482" s="11" t="s">
        <v>4081</v>
      </c>
      <c r="S482" s="2">
        <f>CONSOLIDADO_2026[[#This Row],[Hora final]]-CONSOLIDADO_2026[[#This Row],[Hora inic]]</f>
        <v>0.33333333333333337</v>
      </c>
    </row>
    <row r="483" spans="1:19" hidden="1" x14ac:dyDescent="0.25">
      <c r="A483" t="s">
        <v>4048</v>
      </c>
      <c r="B483">
        <v>1041901478</v>
      </c>
      <c r="C483" t="s">
        <v>405</v>
      </c>
      <c r="D483" s="11" t="s">
        <v>256</v>
      </c>
      <c r="E483" s="11" t="s">
        <v>4040</v>
      </c>
      <c r="F483" s="11" t="s">
        <v>16</v>
      </c>
      <c r="G483" s="1">
        <v>46239</v>
      </c>
      <c r="H483" s="1">
        <v>46240</v>
      </c>
      <c r="I483" s="2">
        <v>0.54166666666666663</v>
      </c>
      <c r="J483" s="2">
        <v>0.875</v>
      </c>
      <c r="K483" s="11" t="s">
        <v>1407</v>
      </c>
      <c r="L483" s="11" t="s">
        <v>1408</v>
      </c>
      <c r="M483" s="1"/>
      <c r="N483" s="11"/>
      <c r="O483" s="11" t="s">
        <v>21</v>
      </c>
      <c r="P483" s="1"/>
      <c r="Q483" s="1"/>
      <c r="R483" s="11"/>
      <c r="S483" s="2">
        <f>CONSOLIDADO_2026[[#This Row],[Hora final]]-CONSOLIDADO_2026[[#This Row],[Hora inic]]</f>
        <v>0.33333333333333337</v>
      </c>
    </row>
    <row r="484" spans="1:19" hidden="1" x14ac:dyDescent="0.25">
      <c r="A484" t="s">
        <v>4051</v>
      </c>
      <c r="B484">
        <v>1041901478</v>
      </c>
      <c r="C484" t="s">
        <v>405</v>
      </c>
      <c r="D484" s="11" t="s">
        <v>256</v>
      </c>
      <c r="E484" s="11" t="s">
        <v>4040</v>
      </c>
      <c r="F484" s="11" t="s">
        <v>16</v>
      </c>
      <c r="G484" s="1">
        <v>46239</v>
      </c>
      <c r="H484" s="1">
        <v>46240</v>
      </c>
      <c r="I484" s="2"/>
      <c r="J484" s="2"/>
      <c r="K484" s="11"/>
      <c r="L484" s="11" t="s">
        <v>4041</v>
      </c>
      <c r="M484" s="1"/>
      <c r="N484" s="11" t="s">
        <v>4042</v>
      </c>
      <c r="O484" s="11" t="s">
        <v>4042</v>
      </c>
      <c r="P484" s="1"/>
      <c r="Q484" s="1"/>
      <c r="R484" s="11"/>
      <c r="S484" s="2">
        <f>CONSOLIDADO_2026[[#This Row],[Hora final]]-CONSOLIDADO_2026[[#This Row],[Hora inic]]</f>
        <v>0</v>
      </c>
    </row>
    <row r="485" spans="1:19" hidden="1" x14ac:dyDescent="0.25">
      <c r="A485" t="s">
        <v>4053</v>
      </c>
      <c r="B485">
        <v>1192923605</v>
      </c>
      <c r="C485" t="s">
        <v>395</v>
      </c>
      <c r="D485" s="11" t="s">
        <v>272</v>
      </c>
      <c r="E485" s="11" t="s">
        <v>4056</v>
      </c>
      <c r="F485" s="11" t="s">
        <v>16</v>
      </c>
      <c r="G485" s="1">
        <v>46239</v>
      </c>
      <c r="H485" s="1">
        <v>46240</v>
      </c>
      <c r="I485" s="2">
        <v>0.25</v>
      </c>
      <c r="J485" s="2">
        <v>0.54166666666666663</v>
      </c>
      <c r="K485" s="11"/>
      <c r="L485" s="11" t="s">
        <v>327</v>
      </c>
      <c r="M485" s="1"/>
      <c r="N485" s="11"/>
      <c r="O485" s="11" t="s">
        <v>4042</v>
      </c>
      <c r="P485" s="1"/>
      <c r="Q485" s="1"/>
      <c r="R485" s="11"/>
      <c r="S485" s="2">
        <f>CONSOLIDADO_2026[[#This Row],[Hora final]]-CONSOLIDADO_2026[[#This Row],[Hora inic]]</f>
        <v>0.29166666666666663</v>
      </c>
    </row>
    <row r="486" spans="1:19" hidden="1" x14ac:dyDescent="0.25">
      <c r="A486" t="s">
        <v>4048</v>
      </c>
      <c r="B486">
        <v>1192923605</v>
      </c>
      <c r="C486" t="s">
        <v>395</v>
      </c>
      <c r="D486" s="11" t="s">
        <v>272</v>
      </c>
      <c r="E486" s="11" t="s">
        <v>4056</v>
      </c>
      <c r="F486" s="11" t="s">
        <v>16</v>
      </c>
      <c r="G486" s="1">
        <v>46239</v>
      </c>
      <c r="H486" s="1">
        <v>46240</v>
      </c>
      <c r="I486" s="2">
        <v>0.54166666666666663</v>
      </c>
      <c r="J486" s="2">
        <v>0.875</v>
      </c>
      <c r="K486" s="11" t="s">
        <v>267</v>
      </c>
      <c r="L486" s="11" t="s">
        <v>268</v>
      </c>
      <c r="M486" s="1"/>
      <c r="N486" s="11"/>
      <c r="O486" s="11" t="s">
        <v>21</v>
      </c>
      <c r="P486" s="1"/>
      <c r="Q486" s="1"/>
      <c r="R486" s="11"/>
      <c r="S486" s="2">
        <f>CONSOLIDADO_2026[[#This Row],[Hora final]]-CONSOLIDADO_2026[[#This Row],[Hora inic]]</f>
        <v>0.33333333333333337</v>
      </c>
    </row>
    <row r="487" spans="1:19" hidden="1" x14ac:dyDescent="0.25">
      <c r="A487" t="s">
        <v>4051</v>
      </c>
      <c r="B487">
        <v>1192923605</v>
      </c>
      <c r="C487" t="s">
        <v>395</v>
      </c>
      <c r="D487" s="11" t="s">
        <v>272</v>
      </c>
      <c r="E487" s="11" t="s">
        <v>4056</v>
      </c>
      <c r="F487" s="11" t="s">
        <v>16</v>
      </c>
      <c r="G487" s="1">
        <v>46239</v>
      </c>
      <c r="H487" s="1">
        <v>46240</v>
      </c>
      <c r="I487" s="2"/>
      <c r="J487" s="2"/>
      <c r="K487" s="11"/>
      <c r="L487" s="11" t="s">
        <v>4041</v>
      </c>
      <c r="M487" s="1"/>
      <c r="N487" s="11" t="s">
        <v>4042</v>
      </c>
      <c r="O487" s="11" t="s">
        <v>4042</v>
      </c>
      <c r="P487" s="1"/>
      <c r="Q487" s="1"/>
      <c r="R487" s="11"/>
      <c r="S487" s="2">
        <f>CONSOLIDADO_2026[[#This Row],[Hora final]]-CONSOLIDADO_2026[[#This Row],[Hora inic]]</f>
        <v>0</v>
      </c>
    </row>
    <row r="488" spans="1:19" hidden="1" x14ac:dyDescent="0.25">
      <c r="A488" t="s">
        <v>4053</v>
      </c>
      <c r="B488">
        <v>1036670630</v>
      </c>
      <c r="C488" t="s">
        <v>1163</v>
      </c>
      <c r="D488" s="11" t="s">
        <v>51</v>
      </c>
      <c r="E488" s="11" t="s">
        <v>4047</v>
      </c>
      <c r="F488" s="11" t="s">
        <v>4074</v>
      </c>
      <c r="G488" s="1">
        <v>46239</v>
      </c>
      <c r="H488" s="1">
        <v>46239</v>
      </c>
      <c r="I488" s="2"/>
      <c r="J488" s="2"/>
      <c r="K488" s="11"/>
      <c r="L488" s="11" t="s">
        <v>4060</v>
      </c>
      <c r="M488" s="1">
        <v>46239</v>
      </c>
      <c r="N488" s="11"/>
      <c r="O488" s="11" t="s">
        <v>4042</v>
      </c>
      <c r="P488" s="1">
        <v>46239</v>
      </c>
      <c r="Q488" s="1"/>
      <c r="R488" s="11" t="s">
        <v>4081</v>
      </c>
      <c r="S488" s="2">
        <f>CONSOLIDADO_2026[[#This Row],[Hora final]]-CONSOLIDADO_2026[[#This Row],[Hora inic]]</f>
        <v>0</v>
      </c>
    </row>
    <row r="489" spans="1:19" hidden="1" x14ac:dyDescent="0.25">
      <c r="A489" t="s">
        <v>4053</v>
      </c>
      <c r="B489">
        <v>1026156098</v>
      </c>
      <c r="C489" t="s">
        <v>3553</v>
      </c>
      <c r="D489" s="11" t="s">
        <v>15</v>
      </c>
      <c r="E489" s="11" t="s">
        <v>4046</v>
      </c>
      <c r="F489" s="11" t="s">
        <v>4074</v>
      </c>
      <c r="G489" s="1">
        <v>46239</v>
      </c>
      <c r="H489" s="1">
        <v>46240</v>
      </c>
      <c r="I489" s="2">
        <v>0.58333333333333337</v>
      </c>
      <c r="J489" s="2">
        <v>0.875</v>
      </c>
      <c r="K489" s="11"/>
      <c r="L489" s="11" t="s">
        <v>4060</v>
      </c>
      <c r="M489" s="1">
        <v>46239</v>
      </c>
      <c r="N489" s="11"/>
      <c r="O489" s="11" t="s">
        <v>4042</v>
      </c>
      <c r="P489" s="1">
        <v>46239</v>
      </c>
      <c r="Q489" s="1"/>
      <c r="R489" s="11" t="s">
        <v>4081</v>
      </c>
      <c r="S489" s="2">
        <f>CONSOLIDADO_2026[[#This Row],[Hora final]]-CONSOLIDADO_2026[[#This Row],[Hora inic]]</f>
        <v>0.29166666666666663</v>
      </c>
    </row>
    <row r="490" spans="1:19" hidden="1" x14ac:dyDescent="0.25">
      <c r="A490" t="s">
        <v>4048</v>
      </c>
      <c r="B490">
        <v>1026156098</v>
      </c>
      <c r="C490" t="s">
        <v>3553</v>
      </c>
      <c r="D490" s="11" t="s">
        <v>15</v>
      </c>
      <c r="E490" s="11" t="s">
        <v>4046</v>
      </c>
      <c r="F490" s="11" t="s">
        <v>16</v>
      </c>
      <c r="G490" s="1">
        <v>46239</v>
      </c>
      <c r="H490" s="1">
        <v>46240</v>
      </c>
      <c r="I490" s="2">
        <v>0.25</v>
      </c>
      <c r="J490" s="2">
        <v>0.58333333333333337</v>
      </c>
      <c r="K490" s="11" t="s">
        <v>177</v>
      </c>
      <c r="L490" s="11" t="s">
        <v>178</v>
      </c>
      <c r="M490" s="1"/>
      <c r="N490" s="11"/>
      <c r="O490" s="11" t="s">
        <v>21</v>
      </c>
      <c r="P490" s="1"/>
      <c r="Q490" s="1"/>
      <c r="R490" s="11"/>
      <c r="S490" s="2">
        <f>CONSOLIDADO_2026[[#This Row],[Hora final]]-CONSOLIDADO_2026[[#This Row],[Hora inic]]</f>
        <v>0.33333333333333337</v>
      </c>
    </row>
    <row r="491" spans="1:19" hidden="1" x14ac:dyDescent="0.25">
      <c r="A491" t="s">
        <v>4051</v>
      </c>
      <c r="B491">
        <v>1026156098</v>
      </c>
      <c r="C491" t="s">
        <v>3553</v>
      </c>
      <c r="D491" s="11" t="s">
        <v>15</v>
      </c>
      <c r="E491" s="11" t="s">
        <v>4046</v>
      </c>
      <c r="F491" s="11" t="s">
        <v>16</v>
      </c>
      <c r="G491" s="1">
        <v>46239</v>
      </c>
      <c r="H491" s="1">
        <v>46240</v>
      </c>
      <c r="I491" s="2"/>
      <c r="J491" s="2"/>
      <c r="K491" s="11"/>
      <c r="L491" s="11" t="s">
        <v>4041</v>
      </c>
      <c r="M491" s="1"/>
      <c r="N491" s="11" t="s">
        <v>4042</v>
      </c>
      <c r="O491" s="11" t="s">
        <v>4042</v>
      </c>
      <c r="P491" s="1"/>
      <c r="Q491" s="1"/>
      <c r="R491" s="11"/>
      <c r="S491" s="2">
        <f>CONSOLIDADO_2026[[#This Row],[Hora final]]-CONSOLIDADO_2026[[#This Row],[Hora inic]]</f>
        <v>0</v>
      </c>
    </row>
    <row r="492" spans="1:19" hidden="1" x14ac:dyDescent="0.25">
      <c r="A492" t="s">
        <v>4053</v>
      </c>
      <c r="B492">
        <v>1128458157</v>
      </c>
      <c r="C492" t="s">
        <v>2784</v>
      </c>
      <c r="D492" s="11" t="s">
        <v>256</v>
      </c>
      <c r="E492" s="11" t="s">
        <v>4040</v>
      </c>
      <c r="F492" s="11" t="s">
        <v>4074</v>
      </c>
      <c r="G492" s="1">
        <v>46239</v>
      </c>
      <c r="H492" s="1">
        <v>46240</v>
      </c>
      <c r="I492" s="2">
        <v>0.58333333333333337</v>
      </c>
      <c r="J492" s="2">
        <v>0.875</v>
      </c>
      <c r="K492" s="11"/>
      <c r="L492" s="11" t="s">
        <v>4060</v>
      </c>
      <c r="M492" s="1">
        <v>46239</v>
      </c>
      <c r="N492" s="11"/>
      <c r="O492" s="11" t="s">
        <v>4042</v>
      </c>
      <c r="P492" s="1">
        <v>46239</v>
      </c>
      <c r="Q492" s="1"/>
      <c r="R492" s="11" t="s">
        <v>4081</v>
      </c>
      <c r="S492" s="2">
        <f>CONSOLIDADO_2026[[#This Row],[Hora final]]-CONSOLIDADO_2026[[#This Row],[Hora inic]]</f>
        <v>0.29166666666666663</v>
      </c>
    </row>
    <row r="493" spans="1:19" hidden="1" x14ac:dyDescent="0.25">
      <c r="A493" t="s">
        <v>4048</v>
      </c>
      <c r="B493">
        <v>1128458157</v>
      </c>
      <c r="C493" t="s">
        <v>2784</v>
      </c>
      <c r="D493" s="11" t="s">
        <v>256</v>
      </c>
      <c r="E493" s="11" t="s">
        <v>4040</v>
      </c>
      <c r="F493" s="11" t="s">
        <v>16</v>
      </c>
      <c r="G493" s="1">
        <v>46239</v>
      </c>
      <c r="H493" s="1">
        <v>46240</v>
      </c>
      <c r="I493" s="2">
        <v>0.58333333333333337</v>
      </c>
      <c r="J493" s="2">
        <v>0.875</v>
      </c>
      <c r="K493" s="11"/>
      <c r="L493" s="11" t="s">
        <v>327</v>
      </c>
      <c r="M493" s="1"/>
      <c r="N493" s="11"/>
      <c r="O493" s="11" t="s">
        <v>4042</v>
      </c>
      <c r="P493" s="1"/>
      <c r="Q493" s="1"/>
      <c r="R493" s="11"/>
      <c r="S493" s="2">
        <f>CONSOLIDADO_2026[[#This Row],[Hora final]]-CONSOLIDADO_2026[[#This Row],[Hora inic]]</f>
        <v>0.29166666666666663</v>
      </c>
    </row>
    <row r="494" spans="1:19" hidden="1" x14ac:dyDescent="0.25">
      <c r="A494" t="s">
        <v>4051</v>
      </c>
      <c r="B494">
        <v>1128458157</v>
      </c>
      <c r="C494" t="s">
        <v>2784</v>
      </c>
      <c r="D494" s="11" t="s">
        <v>256</v>
      </c>
      <c r="E494" s="11" t="s">
        <v>4040</v>
      </c>
      <c r="F494" s="11" t="s">
        <v>16</v>
      </c>
      <c r="G494" s="1">
        <v>46239</v>
      </c>
      <c r="H494" s="1">
        <v>46240</v>
      </c>
      <c r="I494" s="2"/>
      <c r="J494" s="2"/>
      <c r="K494" s="11"/>
      <c r="L494" s="11" t="s">
        <v>4041</v>
      </c>
      <c r="M494" s="1"/>
      <c r="N494" s="11" t="s">
        <v>4042</v>
      </c>
      <c r="O494" s="11" t="s">
        <v>4042</v>
      </c>
      <c r="P494" s="1"/>
      <c r="Q494" s="1"/>
      <c r="R494" s="11"/>
      <c r="S494" s="2">
        <f>CONSOLIDADO_2026[[#This Row],[Hora final]]-CONSOLIDADO_2026[[#This Row],[Hora inic]]</f>
        <v>0</v>
      </c>
    </row>
    <row r="495" spans="1:19" hidden="1" x14ac:dyDescent="0.25">
      <c r="A495" t="s">
        <v>4053</v>
      </c>
      <c r="B495">
        <v>1001868101</v>
      </c>
      <c r="C495" t="s">
        <v>151</v>
      </c>
      <c r="D495" s="11" t="s">
        <v>4078</v>
      </c>
      <c r="E495" s="11" t="s">
        <v>4045</v>
      </c>
      <c r="F495" s="11" t="s">
        <v>4079</v>
      </c>
      <c r="G495" s="1">
        <v>46239</v>
      </c>
      <c r="H495" s="1">
        <v>46239</v>
      </c>
      <c r="I495" s="2">
        <v>0.5</v>
      </c>
      <c r="J495" s="2">
        <v>0.79166666666666663</v>
      </c>
      <c r="K495" s="11" t="s">
        <v>150</v>
      </c>
      <c r="L495" s="11" t="s">
        <v>151</v>
      </c>
      <c r="M495" s="1"/>
      <c r="N495" s="11"/>
      <c r="O495" s="11" t="s">
        <v>4042</v>
      </c>
      <c r="P495" s="1"/>
      <c r="Q495" s="1"/>
      <c r="R495" s="11"/>
      <c r="S495" s="2">
        <f>CONSOLIDADO_2026[[#This Row],[Hora final]]-CONSOLIDADO_2026[[#This Row],[Hora inic]]</f>
        <v>0.29166666666666663</v>
      </c>
    </row>
    <row r="496" spans="1:19" hidden="1" x14ac:dyDescent="0.25">
      <c r="A496" t="s">
        <v>4053</v>
      </c>
      <c r="B496">
        <v>1065850707</v>
      </c>
      <c r="C496" t="s">
        <v>2743</v>
      </c>
      <c r="D496" s="11" t="s">
        <v>124</v>
      </c>
      <c r="E496" s="11" t="s">
        <v>4045</v>
      </c>
      <c r="F496" s="11" t="s">
        <v>4074</v>
      </c>
      <c r="G496" s="1">
        <v>46239</v>
      </c>
      <c r="H496" s="1">
        <v>46240</v>
      </c>
      <c r="I496" s="2">
        <v>0.54166666666666663</v>
      </c>
      <c r="J496" s="2">
        <v>0.875</v>
      </c>
      <c r="K496" s="11"/>
      <c r="L496" s="11" t="s">
        <v>4060</v>
      </c>
      <c r="M496" s="1">
        <v>46239</v>
      </c>
      <c r="N496" s="11"/>
      <c r="O496" s="11" t="s">
        <v>4042</v>
      </c>
      <c r="P496" s="1">
        <v>46239</v>
      </c>
      <c r="Q496" s="1"/>
      <c r="R496" s="11" t="s">
        <v>4081</v>
      </c>
      <c r="S496" s="2">
        <f>CONSOLIDADO_2026[[#This Row],[Hora final]]-CONSOLIDADO_2026[[#This Row],[Hora inic]]</f>
        <v>0.33333333333333337</v>
      </c>
    </row>
    <row r="497" spans="1:19" hidden="1" x14ac:dyDescent="0.25">
      <c r="A497" t="s">
        <v>4048</v>
      </c>
      <c r="B497">
        <v>1065850707</v>
      </c>
      <c r="C497" t="s">
        <v>2743</v>
      </c>
      <c r="D497" s="11" t="s">
        <v>124</v>
      </c>
      <c r="E497" s="11" t="s">
        <v>4045</v>
      </c>
      <c r="F497" s="11" t="s">
        <v>4074</v>
      </c>
      <c r="G497" s="1">
        <v>46239</v>
      </c>
      <c r="H497" s="1">
        <v>46240</v>
      </c>
      <c r="I497" s="2">
        <v>0.54166666666666663</v>
      </c>
      <c r="J497" s="2">
        <v>0.875</v>
      </c>
      <c r="K497" s="11"/>
      <c r="L497" s="11" t="s">
        <v>4060</v>
      </c>
      <c r="M497" s="1">
        <v>46239</v>
      </c>
      <c r="N497" s="11"/>
      <c r="O497" s="11" t="s">
        <v>4042</v>
      </c>
      <c r="P497" s="1">
        <v>46239</v>
      </c>
      <c r="Q497" s="1"/>
      <c r="R497" s="11" t="s">
        <v>4081</v>
      </c>
      <c r="S497" s="2">
        <f>CONSOLIDADO_2026[[#This Row],[Hora final]]-CONSOLIDADO_2026[[#This Row],[Hora inic]]</f>
        <v>0.33333333333333337</v>
      </c>
    </row>
    <row r="498" spans="1:19" hidden="1" x14ac:dyDescent="0.25">
      <c r="A498" t="s">
        <v>4051</v>
      </c>
      <c r="B498">
        <v>1065850707</v>
      </c>
      <c r="C498" t="s">
        <v>2743</v>
      </c>
      <c r="D498" s="11" t="s">
        <v>124</v>
      </c>
      <c r="E498" s="11" t="s">
        <v>4045</v>
      </c>
      <c r="F498" s="11" t="s">
        <v>16</v>
      </c>
      <c r="G498" s="1">
        <v>46239</v>
      </c>
      <c r="H498" s="1">
        <v>46240</v>
      </c>
      <c r="I498" s="2"/>
      <c r="J498" s="2"/>
      <c r="K498" s="11"/>
      <c r="L498" s="11" t="s">
        <v>4041</v>
      </c>
      <c r="M498" s="1"/>
      <c r="N498" s="11" t="s">
        <v>4042</v>
      </c>
      <c r="O498" s="11" t="s">
        <v>4042</v>
      </c>
      <c r="P498" s="1"/>
      <c r="Q498" s="1"/>
      <c r="R498" s="11"/>
      <c r="S498" s="2">
        <f>CONSOLIDADO_2026[[#This Row],[Hora final]]-CONSOLIDADO_2026[[#This Row],[Hora inic]]</f>
        <v>0</v>
      </c>
    </row>
    <row r="499" spans="1:19" hidden="1" x14ac:dyDescent="0.25">
      <c r="A499" t="s">
        <v>4053</v>
      </c>
      <c r="B499">
        <v>1007223463</v>
      </c>
      <c r="C499" t="s">
        <v>561</v>
      </c>
      <c r="D499" s="11" t="s">
        <v>4078</v>
      </c>
      <c r="E499" s="11" t="s">
        <v>4056</v>
      </c>
      <c r="F499" s="11" t="s">
        <v>4099</v>
      </c>
      <c r="G499" s="1">
        <v>46239</v>
      </c>
      <c r="H499" s="1">
        <v>46239</v>
      </c>
      <c r="I499" s="2">
        <v>0.45833333333333331</v>
      </c>
      <c r="J499" s="2">
        <v>0.5</v>
      </c>
      <c r="K499" s="11"/>
      <c r="L499" s="11" t="s">
        <v>339</v>
      </c>
      <c r="M499" s="1"/>
      <c r="N499" s="11"/>
      <c r="O499" s="11" t="s">
        <v>4042</v>
      </c>
      <c r="P499" s="1"/>
      <c r="Q499" s="1"/>
      <c r="R499" s="11"/>
      <c r="S499" s="2">
        <f>CONSOLIDADO_2026[[#This Row],[Hora final]]-CONSOLIDADO_2026[[#This Row],[Hora inic]]</f>
        <v>4.1666666666666685E-2</v>
      </c>
    </row>
    <row r="500" spans="1:19" hidden="1" x14ac:dyDescent="0.25">
      <c r="A500" t="s">
        <v>4048</v>
      </c>
      <c r="B500">
        <v>1143394119</v>
      </c>
      <c r="C500" t="s">
        <v>917</v>
      </c>
      <c r="D500" s="11" t="s">
        <v>59</v>
      </c>
      <c r="E500" s="11" t="s">
        <v>4047</v>
      </c>
      <c r="F500" s="11" t="s">
        <v>4074</v>
      </c>
      <c r="G500" s="1">
        <v>46239</v>
      </c>
      <c r="H500" s="1">
        <v>46239</v>
      </c>
      <c r="I500" s="2">
        <v>0.25</v>
      </c>
      <c r="J500" s="2">
        <v>0.79166666666666663</v>
      </c>
      <c r="K500" s="11"/>
      <c r="L500" s="11" t="s">
        <v>4144</v>
      </c>
      <c r="M500" s="1">
        <v>46239</v>
      </c>
      <c r="N500" s="11"/>
      <c r="O500" s="11" t="s">
        <v>4042</v>
      </c>
      <c r="P500" s="1">
        <v>46238</v>
      </c>
      <c r="Q500" s="1"/>
      <c r="R500" s="11" t="s">
        <v>4081</v>
      </c>
      <c r="S500" s="2">
        <f>CONSOLIDADO_2026[[#This Row],[Hora final]]-CONSOLIDADO_2026[[#This Row],[Hora inic]]</f>
        <v>0.54166666666666663</v>
      </c>
    </row>
    <row r="501" spans="1:19" hidden="1" x14ac:dyDescent="0.25">
      <c r="A501" t="s">
        <v>4051</v>
      </c>
      <c r="B501">
        <v>1143394119</v>
      </c>
      <c r="C501" t="s">
        <v>917</v>
      </c>
      <c r="D501" s="11" t="s">
        <v>59</v>
      </c>
      <c r="E501" s="11" t="s">
        <v>4047</v>
      </c>
      <c r="F501" s="11" t="s">
        <v>16</v>
      </c>
      <c r="G501" s="1">
        <v>46239</v>
      </c>
      <c r="H501" s="1">
        <v>46239</v>
      </c>
      <c r="I501" s="2"/>
      <c r="J501" s="2"/>
      <c r="K501" s="11"/>
      <c r="L501" s="11" t="s">
        <v>4041</v>
      </c>
      <c r="M501" s="1"/>
      <c r="N501" s="11" t="s">
        <v>4042</v>
      </c>
      <c r="O501" s="11" t="s">
        <v>4042</v>
      </c>
      <c r="P501" s="1"/>
      <c r="Q501" s="1"/>
      <c r="R501" s="11"/>
      <c r="S501" s="2">
        <f>CONSOLIDADO_2026[[#This Row],[Hora final]]-CONSOLIDADO_2026[[#This Row],[Hora inic]]</f>
        <v>0</v>
      </c>
    </row>
    <row r="502" spans="1:19" hidden="1" x14ac:dyDescent="0.25">
      <c r="A502" t="s">
        <v>4048</v>
      </c>
      <c r="B502">
        <v>42141273</v>
      </c>
      <c r="C502" t="s">
        <v>271</v>
      </c>
      <c r="D502" s="11" t="s">
        <v>272</v>
      </c>
      <c r="E502" s="11" t="s">
        <v>4056</v>
      </c>
      <c r="F502" s="11" t="s">
        <v>4065</v>
      </c>
      <c r="G502" s="1">
        <v>46232</v>
      </c>
      <c r="H502" s="1">
        <v>46261</v>
      </c>
      <c r="I502" s="2">
        <v>0.25</v>
      </c>
      <c r="J502" s="2">
        <v>0.5</v>
      </c>
      <c r="K502" s="11" t="s">
        <v>560</v>
      </c>
      <c r="L502" s="11" t="s">
        <v>561</v>
      </c>
      <c r="M502" s="1"/>
      <c r="N502" s="11"/>
      <c r="O502" s="11" t="s">
        <v>4042</v>
      </c>
      <c r="P502" s="1"/>
      <c r="Q502" s="1"/>
      <c r="R502" s="11"/>
      <c r="S502" s="2">
        <f>CONSOLIDADO_2026[[#This Row],[Hora final]]-CONSOLIDADO_2026[[#This Row],[Hora inic]]</f>
        <v>0.25</v>
      </c>
    </row>
    <row r="503" spans="1:19" hidden="1" x14ac:dyDescent="0.25">
      <c r="A503" t="s">
        <v>4051</v>
      </c>
      <c r="B503">
        <v>42141273</v>
      </c>
      <c r="C503" t="s">
        <v>271</v>
      </c>
      <c r="D503" s="11" t="s">
        <v>272</v>
      </c>
      <c r="E503" s="11" t="s">
        <v>4056</v>
      </c>
      <c r="F503" s="11" t="s">
        <v>4065</v>
      </c>
      <c r="G503" s="1">
        <v>46232</v>
      </c>
      <c r="H503" s="1">
        <v>46261</v>
      </c>
      <c r="I503" s="2"/>
      <c r="J503" s="2"/>
      <c r="K503" s="11"/>
      <c r="L503" s="11" t="s">
        <v>341</v>
      </c>
      <c r="M503" s="1"/>
      <c r="N503" s="11" t="s">
        <v>4042</v>
      </c>
      <c r="O503" s="11" t="s">
        <v>4042</v>
      </c>
      <c r="P503" s="1"/>
      <c r="Q503" s="1"/>
      <c r="R503" s="11"/>
      <c r="S503" s="2">
        <f>CONSOLIDADO_2026[[#This Row],[Hora final]]-CONSOLIDADO_2026[[#This Row],[Hora inic]]</f>
        <v>0</v>
      </c>
    </row>
    <row r="504" spans="1:19" hidden="1" x14ac:dyDescent="0.25">
      <c r="A504" t="s">
        <v>4052</v>
      </c>
      <c r="B504">
        <v>42141273</v>
      </c>
      <c r="C504" t="s">
        <v>271</v>
      </c>
      <c r="D504" s="11" t="s">
        <v>272</v>
      </c>
      <c r="E504" s="11" t="s">
        <v>4056</v>
      </c>
      <c r="F504" s="11" t="s">
        <v>4065</v>
      </c>
      <c r="G504" s="1">
        <v>46232</v>
      </c>
      <c r="H504" s="1">
        <v>46261</v>
      </c>
      <c r="I504" s="2">
        <v>0.25</v>
      </c>
      <c r="J504" s="2">
        <v>0.5</v>
      </c>
      <c r="K504" s="11" t="s">
        <v>184</v>
      </c>
      <c r="L504" s="11" t="s">
        <v>185</v>
      </c>
      <c r="M504" s="1"/>
      <c r="N504" s="11"/>
      <c r="O504" s="11" t="s">
        <v>4042</v>
      </c>
      <c r="P504" s="1"/>
      <c r="Q504" s="1"/>
      <c r="R504" s="11"/>
      <c r="S504" s="2">
        <f>CONSOLIDADO_2026[[#This Row],[Hora final]]-CONSOLIDADO_2026[[#This Row],[Hora inic]]</f>
        <v>0.25</v>
      </c>
    </row>
    <row r="505" spans="1:19" hidden="1" x14ac:dyDescent="0.25">
      <c r="A505" t="s">
        <v>4163</v>
      </c>
      <c r="B505">
        <v>42141273</v>
      </c>
      <c r="C505" t="s">
        <v>271</v>
      </c>
      <c r="D505" s="11" t="s">
        <v>272</v>
      </c>
      <c r="E505" s="11" t="s">
        <v>4056</v>
      </c>
      <c r="F505" s="11" t="s">
        <v>4065</v>
      </c>
      <c r="G505" s="1">
        <v>46232</v>
      </c>
      <c r="H505" s="1">
        <v>46261</v>
      </c>
      <c r="I505" s="2">
        <v>0.25</v>
      </c>
      <c r="J505" s="2">
        <v>0.5</v>
      </c>
      <c r="K505" s="11" t="s">
        <v>285</v>
      </c>
      <c r="L505" s="11" t="s">
        <v>286</v>
      </c>
      <c r="M505" s="1"/>
      <c r="N505" s="11"/>
      <c r="O505" s="11" t="s">
        <v>4042</v>
      </c>
      <c r="P505" s="1"/>
      <c r="Q505" s="1"/>
      <c r="R505" s="11"/>
      <c r="S505" s="2">
        <f>CONSOLIDADO_2026[[#This Row],[Hora final]]-CONSOLIDADO_2026[[#This Row],[Hora inic]]</f>
        <v>0.25</v>
      </c>
    </row>
    <row r="506" spans="1:19" hidden="1" x14ac:dyDescent="0.25">
      <c r="A506" t="s">
        <v>4048</v>
      </c>
      <c r="B506">
        <v>1035876080</v>
      </c>
      <c r="C506" t="s">
        <v>123</v>
      </c>
      <c r="D506" s="11" t="s">
        <v>124</v>
      </c>
      <c r="E506" s="11" t="s">
        <v>4045</v>
      </c>
      <c r="F506" s="11" t="s">
        <v>16</v>
      </c>
      <c r="G506" s="1">
        <v>46239</v>
      </c>
      <c r="H506" s="1">
        <v>46245</v>
      </c>
      <c r="I506" s="2">
        <v>0.25</v>
      </c>
      <c r="J506" s="2">
        <v>0.58333333333333337</v>
      </c>
      <c r="K506" s="11" t="s">
        <v>273</v>
      </c>
      <c r="L506" s="11" t="s">
        <v>274</v>
      </c>
      <c r="M506" s="1"/>
      <c r="N506" s="11"/>
      <c r="O506" s="11" t="s">
        <v>21</v>
      </c>
      <c r="P506" s="1"/>
      <c r="Q506" s="1"/>
      <c r="R506" s="11"/>
      <c r="S506" s="2">
        <f>CONSOLIDADO_2026[[#This Row],[Hora final]]-CONSOLIDADO_2026[[#This Row],[Hora inic]]</f>
        <v>0.33333333333333337</v>
      </c>
    </row>
    <row r="507" spans="1:19" hidden="1" x14ac:dyDescent="0.25">
      <c r="A507" t="s">
        <v>4051</v>
      </c>
      <c r="B507">
        <v>1035876080</v>
      </c>
      <c r="C507" t="s">
        <v>123</v>
      </c>
      <c r="D507" s="11" t="s">
        <v>124</v>
      </c>
      <c r="E507" s="11" t="s">
        <v>4045</v>
      </c>
      <c r="F507" s="11" t="s">
        <v>16</v>
      </c>
      <c r="G507" s="1">
        <v>46239</v>
      </c>
      <c r="H507" s="1">
        <v>46245</v>
      </c>
      <c r="I507" s="2"/>
      <c r="J507" s="2"/>
      <c r="K507" s="11"/>
      <c r="L507" s="11" t="s">
        <v>341</v>
      </c>
      <c r="M507" s="1"/>
      <c r="N507" s="11" t="s">
        <v>21</v>
      </c>
      <c r="O507" s="11" t="s">
        <v>21</v>
      </c>
      <c r="P507" s="1"/>
      <c r="Q507" s="1"/>
      <c r="R507" s="11"/>
      <c r="S507" s="2">
        <f>CONSOLIDADO_2026[[#This Row],[Hora final]]-CONSOLIDADO_2026[[#This Row],[Hora inic]]</f>
        <v>0</v>
      </c>
    </row>
    <row r="508" spans="1:19" hidden="1" x14ac:dyDescent="0.25">
      <c r="A508" t="s">
        <v>4052</v>
      </c>
      <c r="B508">
        <v>1035876080</v>
      </c>
      <c r="C508" t="s">
        <v>123</v>
      </c>
      <c r="D508" s="11" t="s">
        <v>124</v>
      </c>
      <c r="E508" s="11" t="s">
        <v>4045</v>
      </c>
      <c r="F508" s="11" t="s">
        <v>16</v>
      </c>
      <c r="G508" s="1">
        <v>46239</v>
      </c>
      <c r="H508" s="1">
        <v>46245</v>
      </c>
      <c r="I508" s="2">
        <v>0.25</v>
      </c>
      <c r="J508" s="2">
        <v>0.58333333333333337</v>
      </c>
      <c r="K508" s="11" t="s">
        <v>309</v>
      </c>
      <c r="L508" s="11" t="s">
        <v>310</v>
      </c>
      <c r="M508" s="1"/>
      <c r="N508" s="11"/>
      <c r="O508" s="11" t="s">
        <v>21</v>
      </c>
      <c r="P508" s="1"/>
      <c r="Q508" s="1"/>
      <c r="R508" s="11"/>
      <c r="S508" s="2">
        <f>CONSOLIDADO_2026[[#This Row],[Hora final]]-CONSOLIDADO_2026[[#This Row],[Hora inic]]</f>
        <v>0.33333333333333337</v>
      </c>
    </row>
    <row r="509" spans="1:19" hidden="1" x14ac:dyDescent="0.25">
      <c r="A509" t="s">
        <v>4163</v>
      </c>
      <c r="B509">
        <v>1035876080</v>
      </c>
      <c r="C509" t="s">
        <v>123</v>
      </c>
      <c r="D509" s="11" t="s">
        <v>124</v>
      </c>
      <c r="E509" s="11" t="s">
        <v>4045</v>
      </c>
      <c r="F509" s="11" t="s">
        <v>16</v>
      </c>
      <c r="G509" s="1">
        <v>46239</v>
      </c>
      <c r="H509" s="1">
        <v>46245</v>
      </c>
      <c r="I509" s="2">
        <v>0.25</v>
      </c>
      <c r="J509" s="2">
        <v>0.54166666666666663</v>
      </c>
      <c r="K509" s="11" t="s">
        <v>119</v>
      </c>
      <c r="L509" s="11" t="s">
        <v>120</v>
      </c>
      <c r="M509" s="1"/>
      <c r="N509" s="11"/>
      <c r="O509" s="11" t="s">
        <v>21</v>
      </c>
      <c r="P509" s="1"/>
      <c r="Q509" s="1"/>
      <c r="R509" s="11"/>
      <c r="S509" s="2">
        <f>CONSOLIDADO_2026[[#This Row],[Hora final]]-CONSOLIDADO_2026[[#This Row],[Hora inic]]</f>
        <v>0.29166666666666663</v>
      </c>
    </row>
    <row r="510" spans="1:19" hidden="1" x14ac:dyDescent="0.25">
      <c r="A510" t="s">
        <v>4048</v>
      </c>
      <c r="B510">
        <v>1001901817</v>
      </c>
      <c r="C510" t="s">
        <v>4137</v>
      </c>
      <c r="D510" s="11" t="s">
        <v>634</v>
      </c>
      <c r="E510" s="11" t="s">
        <v>4045</v>
      </c>
      <c r="F510" s="11" t="s">
        <v>16</v>
      </c>
      <c r="G510" s="1">
        <v>46237</v>
      </c>
      <c r="H510" s="1">
        <v>46239</v>
      </c>
      <c r="I510" s="2"/>
      <c r="J510" s="2"/>
      <c r="K510" s="11"/>
      <c r="L510" s="11" t="s">
        <v>4041</v>
      </c>
      <c r="M510" s="1"/>
      <c r="N510" s="11"/>
      <c r="O510" s="11" t="s">
        <v>4042</v>
      </c>
      <c r="P510" s="1"/>
      <c r="Q510" s="1"/>
      <c r="R510" s="11"/>
      <c r="S510" s="2">
        <f>CONSOLIDADO_2026[[#This Row],[Hora final]]-CONSOLIDADO_2026[[#This Row],[Hora inic]]</f>
        <v>0</v>
      </c>
    </row>
    <row r="511" spans="1:19" hidden="1" x14ac:dyDescent="0.25">
      <c r="A511" t="s">
        <v>4048</v>
      </c>
      <c r="B511">
        <v>88030132</v>
      </c>
      <c r="C511" t="s">
        <v>1956</v>
      </c>
      <c r="D511" s="11" t="s">
        <v>59</v>
      </c>
      <c r="E511" s="11" t="s">
        <v>4047</v>
      </c>
      <c r="F511" s="11" t="s">
        <v>16</v>
      </c>
      <c r="G511" s="1">
        <v>46237</v>
      </c>
      <c r="H511" s="1">
        <v>46237</v>
      </c>
      <c r="I511" s="2"/>
      <c r="J511" s="2"/>
      <c r="K511" s="11"/>
      <c r="L511" s="11" t="s">
        <v>4041</v>
      </c>
      <c r="M511" s="1"/>
      <c r="N511" s="11"/>
      <c r="O511" s="11" t="s">
        <v>4042</v>
      </c>
      <c r="P511" s="1"/>
      <c r="Q511" s="1"/>
      <c r="R511" s="11"/>
      <c r="S511" s="2">
        <f>CONSOLIDADO_2026[[#This Row],[Hora final]]-CONSOLIDADO_2026[[#This Row],[Hora inic]]</f>
        <v>0</v>
      </c>
    </row>
    <row r="512" spans="1:19" hidden="1" x14ac:dyDescent="0.25">
      <c r="A512" t="s">
        <v>4048</v>
      </c>
      <c r="B512">
        <v>1040184262</v>
      </c>
      <c r="C512" t="s">
        <v>4145</v>
      </c>
      <c r="D512" s="11" t="s">
        <v>2052</v>
      </c>
      <c r="E512" s="11" t="s">
        <v>4056</v>
      </c>
      <c r="F512" s="11" t="s">
        <v>16</v>
      </c>
      <c r="G512" s="1">
        <v>46237</v>
      </c>
      <c r="H512" s="1">
        <v>46238</v>
      </c>
      <c r="I512" s="2"/>
      <c r="J512" s="2"/>
      <c r="K512" s="11"/>
      <c r="L512" s="11" t="s">
        <v>4041</v>
      </c>
      <c r="M512" s="1"/>
      <c r="N512" s="11"/>
      <c r="O512" s="11" t="s">
        <v>4042</v>
      </c>
      <c r="P512" s="1"/>
      <c r="Q512" s="1"/>
      <c r="R512" s="11"/>
      <c r="S512" s="2">
        <f>CONSOLIDADO_2026[[#This Row],[Hora final]]-CONSOLIDADO_2026[[#This Row],[Hora inic]]</f>
        <v>0</v>
      </c>
    </row>
    <row r="513" spans="1:19" hidden="1" x14ac:dyDescent="0.25">
      <c r="A513" t="s">
        <v>4048</v>
      </c>
      <c r="B513" t="s">
        <v>228</v>
      </c>
      <c r="C513" t="s">
        <v>229</v>
      </c>
      <c r="D513" s="11" t="s">
        <v>4078</v>
      </c>
      <c r="E513" s="11" t="s">
        <v>4046</v>
      </c>
      <c r="F513" s="11" t="s">
        <v>4079</v>
      </c>
      <c r="G513" s="1">
        <v>46240</v>
      </c>
      <c r="H513" s="1">
        <v>46240</v>
      </c>
      <c r="I513" s="2">
        <v>0.25</v>
      </c>
      <c r="J513" s="2">
        <v>0.58333333333333337</v>
      </c>
      <c r="K513" s="11" t="s">
        <v>228</v>
      </c>
      <c r="L513" s="11" t="s">
        <v>229</v>
      </c>
      <c r="M513" s="1"/>
      <c r="N513" s="11"/>
      <c r="O513" s="11" t="s">
        <v>4042</v>
      </c>
      <c r="P513" s="1"/>
      <c r="Q513" s="1"/>
      <c r="R513" s="11"/>
      <c r="S513" s="2">
        <f>CONSOLIDADO_2026[[#This Row],[Hora final]]-CONSOLIDADO_2026[[#This Row],[Hora inic]]</f>
        <v>0.33333333333333337</v>
      </c>
    </row>
    <row r="514" spans="1:19" hidden="1" x14ac:dyDescent="0.25">
      <c r="A514" t="s">
        <v>4048</v>
      </c>
      <c r="B514">
        <v>1036670630</v>
      </c>
      <c r="C514" t="s">
        <v>1163</v>
      </c>
      <c r="D514" s="11" t="s">
        <v>51</v>
      </c>
      <c r="E514" s="11" t="s">
        <v>4047</v>
      </c>
      <c r="F514" s="11" t="s">
        <v>24</v>
      </c>
      <c r="G514" s="1">
        <v>46240</v>
      </c>
      <c r="H514" s="1">
        <v>46240</v>
      </c>
      <c r="I514" s="2">
        <v>0.54166666666666663</v>
      </c>
      <c r="J514" s="2">
        <v>0.875</v>
      </c>
      <c r="K514" s="11" t="s">
        <v>231</v>
      </c>
      <c r="L514" s="11" t="s">
        <v>232</v>
      </c>
      <c r="M514" s="1"/>
      <c r="N514" s="11"/>
      <c r="O514" s="11" t="s">
        <v>21</v>
      </c>
      <c r="P514" s="1"/>
      <c r="Q514" s="1"/>
      <c r="R514" s="11"/>
      <c r="S514" s="2">
        <f>CONSOLIDADO_2026[[#This Row],[Hora final]]-CONSOLIDADO_2026[[#This Row],[Hora inic]]</f>
        <v>0.33333333333333337</v>
      </c>
    </row>
    <row r="515" spans="1:19" hidden="1" x14ac:dyDescent="0.25">
      <c r="A515" t="s">
        <v>4051</v>
      </c>
      <c r="B515">
        <v>1036670630</v>
      </c>
      <c r="C515" t="s">
        <v>4146</v>
      </c>
      <c r="D515" s="11" t="s">
        <v>51</v>
      </c>
      <c r="E515" s="11" t="s">
        <v>4047</v>
      </c>
      <c r="F515" s="11" t="s">
        <v>24</v>
      </c>
      <c r="G515" s="1">
        <v>46240</v>
      </c>
      <c r="H515" s="1">
        <v>46240</v>
      </c>
      <c r="I515" s="2"/>
      <c r="J515" s="2"/>
      <c r="K515" s="11"/>
      <c r="L515" s="11" t="s">
        <v>4041</v>
      </c>
      <c r="M515" s="1"/>
      <c r="N515" s="11" t="s">
        <v>4042</v>
      </c>
      <c r="O515" s="11" t="s">
        <v>4042</v>
      </c>
      <c r="P515" s="1"/>
      <c r="Q515" s="1"/>
      <c r="R515" s="11"/>
      <c r="S515" s="2">
        <f>CONSOLIDADO_2026[[#This Row],[Hora final]]-CONSOLIDADO_2026[[#This Row],[Hora inic]]</f>
        <v>0</v>
      </c>
    </row>
    <row r="516" spans="1:19" hidden="1" x14ac:dyDescent="0.25">
      <c r="A516" t="s">
        <v>4048</v>
      </c>
      <c r="B516">
        <v>1001947708</v>
      </c>
      <c r="C516" t="s">
        <v>1444</v>
      </c>
      <c r="D516" s="11" t="s">
        <v>128</v>
      </c>
      <c r="E516" s="11" t="s">
        <v>4045</v>
      </c>
      <c r="F516" s="11" t="s">
        <v>4147</v>
      </c>
      <c r="G516" s="1">
        <v>46240</v>
      </c>
      <c r="H516" s="1">
        <v>46240</v>
      </c>
      <c r="I516" s="2">
        <v>0.375</v>
      </c>
      <c r="J516" s="2">
        <v>0.54166666666666663</v>
      </c>
      <c r="K516" s="11" t="s">
        <v>1382</v>
      </c>
      <c r="L516" s="11" t="s">
        <v>1383</v>
      </c>
      <c r="M516" s="1"/>
      <c r="N516" s="11"/>
      <c r="O516" s="11" t="s">
        <v>4042</v>
      </c>
      <c r="P516" s="1"/>
      <c r="Q516" s="1"/>
      <c r="R516" s="11"/>
      <c r="S516" s="2">
        <f>CONSOLIDADO_2026[[#This Row],[Hora final]]-CONSOLIDADO_2026[[#This Row],[Hora inic]]</f>
        <v>0.16666666666666663</v>
      </c>
    </row>
    <row r="517" spans="1:19" hidden="1" x14ac:dyDescent="0.25">
      <c r="A517" t="s">
        <v>4048</v>
      </c>
      <c r="B517" t="s">
        <v>4148</v>
      </c>
      <c r="C517" t="s">
        <v>4137</v>
      </c>
      <c r="D517" s="11" t="s">
        <v>634</v>
      </c>
      <c r="E517" s="11" t="s">
        <v>4045</v>
      </c>
      <c r="F517" s="11" t="s">
        <v>4074</v>
      </c>
      <c r="G517" s="1">
        <v>46240</v>
      </c>
      <c r="H517" s="1">
        <v>46240</v>
      </c>
      <c r="I517" s="2">
        <v>0.58333333333333337</v>
      </c>
      <c r="J517" s="2">
        <v>0.875</v>
      </c>
      <c r="K517" s="11"/>
      <c r="L517" s="11" t="s">
        <v>4149</v>
      </c>
      <c r="M517" s="1">
        <v>46240</v>
      </c>
      <c r="N517" s="11"/>
      <c r="O517" s="11" t="s">
        <v>21</v>
      </c>
      <c r="P517" s="1">
        <v>46239</v>
      </c>
      <c r="Q517" s="1"/>
      <c r="R517" s="11" t="s">
        <v>4081</v>
      </c>
      <c r="S517" s="2">
        <f>CONSOLIDADO_2026[[#This Row],[Hora final]]-CONSOLIDADO_2026[[#This Row],[Hora inic]]</f>
        <v>0.29166666666666663</v>
      </c>
    </row>
    <row r="518" spans="1:19" hidden="1" x14ac:dyDescent="0.25">
      <c r="A518" t="s">
        <v>4048</v>
      </c>
      <c r="B518">
        <v>1037630337</v>
      </c>
      <c r="C518" t="s">
        <v>1524</v>
      </c>
      <c r="D518" s="11" t="s">
        <v>51</v>
      </c>
      <c r="E518" s="11" t="s">
        <v>4047</v>
      </c>
      <c r="F518" s="11" t="s">
        <v>24</v>
      </c>
      <c r="G518" s="1">
        <v>46240</v>
      </c>
      <c r="H518" s="1">
        <v>46240</v>
      </c>
      <c r="I518" s="2">
        <v>0.25</v>
      </c>
      <c r="J518" s="2">
        <v>0.58333333333333337</v>
      </c>
      <c r="K518" s="11" t="s">
        <v>222</v>
      </c>
      <c r="L518" s="11" t="s">
        <v>223</v>
      </c>
      <c r="M518" s="1"/>
      <c r="N518" s="11"/>
      <c r="O518" s="11" t="s">
        <v>21</v>
      </c>
      <c r="P518" s="1"/>
      <c r="Q518" s="1"/>
      <c r="R518" s="11"/>
      <c r="S518" s="2">
        <f>CONSOLIDADO_2026[[#This Row],[Hora final]]-CONSOLIDADO_2026[[#This Row],[Hora inic]]</f>
        <v>0.33333333333333337</v>
      </c>
    </row>
    <row r="519" spans="1:19" hidden="1" x14ac:dyDescent="0.25">
      <c r="A519" t="s">
        <v>4051</v>
      </c>
      <c r="B519">
        <v>1037630337</v>
      </c>
      <c r="C519" t="s">
        <v>1524</v>
      </c>
      <c r="D519" s="11" t="s">
        <v>51</v>
      </c>
      <c r="E519" s="11" t="s">
        <v>4047</v>
      </c>
      <c r="F519" s="11" t="s">
        <v>24</v>
      </c>
      <c r="G519" s="1">
        <v>46240</v>
      </c>
      <c r="H519" s="1">
        <v>46240</v>
      </c>
      <c r="I519" s="2"/>
      <c r="J519" s="2"/>
      <c r="K519" s="11"/>
      <c r="L519" s="11" t="s">
        <v>4041</v>
      </c>
      <c r="M519" s="1"/>
      <c r="N519" s="11" t="s">
        <v>4042</v>
      </c>
      <c r="O519" s="11" t="s">
        <v>4042</v>
      </c>
      <c r="P519" s="1"/>
      <c r="Q519" s="1"/>
      <c r="R519" s="11"/>
      <c r="S519" s="2">
        <f>CONSOLIDADO_2026[[#This Row],[Hora final]]-CONSOLIDADO_2026[[#This Row],[Hora inic]]</f>
        <v>0</v>
      </c>
    </row>
    <row r="520" spans="1:19" hidden="1" x14ac:dyDescent="0.25">
      <c r="A520" t="s">
        <v>4048</v>
      </c>
      <c r="B520">
        <v>1067963513</v>
      </c>
      <c r="C520" t="s">
        <v>84</v>
      </c>
      <c r="D520" s="11" t="s">
        <v>68</v>
      </c>
      <c r="E520" s="11" t="s">
        <v>4040</v>
      </c>
      <c r="F520" s="11" t="s">
        <v>24</v>
      </c>
      <c r="G520" s="1">
        <v>46240</v>
      </c>
      <c r="H520" s="1">
        <v>46265</v>
      </c>
      <c r="I520" s="2">
        <v>0.25</v>
      </c>
      <c r="J520" s="2">
        <v>0.58333333333333337</v>
      </c>
      <c r="K520" s="11" t="s">
        <v>309</v>
      </c>
      <c r="L520" s="11" t="s">
        <v>310</v>
      </c>
      <c r="M520" s="1"/>
      <c r="N520" s="11"/>
      <c r="O520" s="11" t="s">
        <v>21</v>
      </c>
      <c r="P520" s="1"/>
      <c r="Q520" s="1"/>
      <c r="R520" s="11"/>
      <c r="S520" s="2">
        <f>CONSOLIDADO_2026[[#This Row],[Hora final]]-CONSOLIDADO_2026[[#This Row],[Hora inic]]</f>
        <v>0.33333333333333337</v>
      </c>
    </row>
    <row r="521" spans="1:19" hidden="1" x14ac:dyDescent="0.25">
      <c r="A521" t="s">
        <v>4051</v>
      </c>
      <c r="B521">
        <v>1067963513</v>
      </c>
      <c r="C521" t="s">
        <v>84</v>
      </c>
      <c r="D521" s="11" t="s">
        <v>68</v>
      </c>
      <c r="E521" s="11" t="s">
        <v>4040</v>
      </c>
      <c r="F521" s="11" t="s">
        <v>24</v>
      </c>
      <c r="G521" s="1">
        <v>46240</v>
      </c>
      <c r="H521" s="1">
        <v>46265</v>
      </c>
      <c r="I521" s="2"/>
      <c r="J521" s="2"/>
      <c r="K521" s="11"/>
      <c r="L521" s="11" t="s">
        <v>341</v>
      </c>
      <c r="M521" s="1"/>
      <c r="N521" s="11" t="s">
        <v>21</v>
      </c>
      <c r="O521" s="11" t="s">
        <v>21</v>
      </c>
      <c r="P521" s="1"/>
      <c r="Q521" s="1"/>
      <c r="R521" s="11"/>
      <c r="S521" s="2">
        <f>CONSOLIDADO_2026[[#This Row],[Hora final]]-CONSOLIDADO_2026[[#This Row],[Hora inic]]</f>
        <v>0</v>
      </c>
    </row>
    <row r="522" spans="1:19" hidden="1" x14ac:dyDescent="0.25">
      <c r="A522" t="s">
        <v>4052</v>
      </c>
      <c r="B522">
        <v>1067963513</v>
      </c>
      <c r="C522" t="s">
        <v>84</v>
      </c>
      <c r="D522" s="11" t="s">
        <v>68</v>
      </c>
      <c r="E522" s="11" t="s">
        <v>4040</v>
      </c>
      <c r="F522" s="11" t="s">
        <v>24</v>
      </c>
      <c r="G522" s="1">
        <v>46240</v>
      </c>
      <c r="H522" s="1">
        <v>46265</v>
      </c>
      <c r="I522" s="2">
        <v>0.58333333333333337</v>
      </c>
      <c r="J522" s="2">
        <v>0.875</v>
      </c>
      <c r="K522" s="11" t="s">
        <v>73</v>
      </c>
      <c r="L522" s="11" t="s">
        <v>74</v>
      </c>
      <c r="M522" s="1"/>
      <c r="N522" s="11"/>
      <c r="O522" s="11" t="s">
        <v>21</v>
      </c>
      <c r="P522" s="1"/>
      <c r="Q522" s="1"/>
      <c r="R522" s="11"/>
      <c r="S522" s="2">
        <f>CONSOLIDADO_2026[[#This Row],[Hora final]]-CONSOLIDADO_2026[[#This Row],[Hora inic]]</f>
        <v>0.29166666666666663</v>
      </c>
    </row>
    <row r="523" spans="1:19" hidden="1" x14ac:dyDescent="0.25">
      <c r="A523" t="s">
        <v>4163</v>
      </c>
      <c r="B523">
        <v>1067963513</v>
      </c>
      <c r="C523" t="s">
        <v>67</v>
      </c>
      <c r="D523" s="11" t="s">
        <v>68</v>
      </c>
      <c r="E523" s="11" t="s">
        <v>4040</v>
      </c>
      <c r="F523" s="11" t="s">
        <v>24</v>
      </c>
      <c r="G523" s="1">
        <v>46240</v>
      </c>
      <c r="H523" s="1">
        <v>46265</v>
      </c>
      <c r="I523" s="2">
        <v>0.54166666666666663</v>
      </c>
      <c r="J523" s="2">
        <v>0.875</v>
      </c>
      <c r="K523" s="11" t="s">
        <v>116</v>
      </c>
      <c r="L523" s="11" t="s">
        <v>117</v>
      </c>
      <c r="M523" s="1"/>
      <c r="N523" s="11"/>
      <c r="O523" s="11" t="s">
        <v>21</v>
      </c>
      <c r="P523" s="1"/>
      <c r="Q523" s="1"/>
      <c r="R523" s="11"/>
      <c r="S523" s="2">
        <f>CONSOLIDADO_2026[[#This Row],[Hora final]]-CONSOLIDADO_2026[[#This Row],[Hora inic]]</f>
        <v>0.33333333333333337</v>
      </c>
    </row>
    <row r="524" spans="1:19" hidden="1" x14ac:dyDescent="0.25">
      <c r="A524" t="s">
        <v>4048</v>
      </c>
      <c r="B524">
        <v>1045718883</v>
      </c>
      <c r="C524" t="s">
        <v>34</v>
      </c>
      <c r="D524" s="11" t="s">
        <v>15</v>
      </c>
      <c r="E524" s="11" t="s">
        <v>4046</v>
      </c>
      <c r="F524" s="11" t="s">
        <v>4074</v>
      </c>
      <c r="G524" s="1">
        <v>46239</v>
      </c>
      <c r="H524" s="1">
        <v>46249</v>
      </c>
      <c r="I524" s="2">
        <v>0.25</v>
      </c>
      <c r="J524" s="2">
        <v>0.54166666666666663</v>
      </c>
      <c r="K524" s="11"/>
      <c r="L524" s="11" t="s">
        <v>4060</v>
      </c>
      <c r="M524" s="1">
        <v>46240</v>
      </c>
      <c r="N524" s="11"/>
      <c r="O524" s="11" t="s">
        <v>4042</v>
      </c>
      <c r="P524" s="1">
        <v>46240</v>
      </c>
      <c r="Q524" s="1"/>
      <c r="R524" s="11" t="s">
        <v>4081</v>
      </c>
      <c r="S524" s="2">
        <f>CONSOLIDADO_2026[[#This Row],[Hora final]]-CONSOLIDADO_2026[[#This Row],[Hora inic]]</f>
        <v>0.29166666666666663</v>
      </c>
    </row>
    <row r="525" spans="1:19" hidden="1" x14ac:dyDescent="0.25">
      <c r="A525" t="s">
        <v>4052</v>
      </c>
      <c r="B525">
        <v>1045718883</v>
      </c>
      <c r="C525" t="s">
        <v>34</v>
      </c>
      <c r="D525" s="11" t="s">
        <v>15</v>
      </c>
      <c r="E525" s="11" t="s">
        <v>4046</v>
      </c>
      <c r="F525" s="11" t="s">
        <v>16</v>
      </c>
      <c r="G525" s="1">
        <v>46239</v>
      </c>
      <c r="H525" s="1">
        <v>46249</v>
      </c>
      <c r="I525" s="2">
        <v>0.54166666666666663</v>
      </c>
      <c r="J525" s="2">
        <v>0.875</v>
      </c>
      <c r="K525" s="11"/>
      <c r="L525" s="11" t="s">
        <v>327</v>
      </c>
      <c r="M525" s="1"/>
      <c r="N525" s="11"/>
      <c r="O525" s="11" t="s">
        <v>4042</v>
      </c>
      <c r="P525" s="1"/>
      <c r="Q525" s="1"/>
      <c r="R525" s="11"/>
      <c r="S525" s="2">
        <f>CONSOLIDADO_2026[[#This Row],[Hora final]]-CONSOLIDADO_2026[[#This Row],[Hora inic]]</f>
        <v>0.33333333333333337</v>
      </c>
    </row>
    <row r="526" spans="1:19" hidden="1" x14ac:dyDescent="0.25">
      <c r="A526" t="s">
        <v>4048</v>
      </c>
      <c r="B526">
        <v>1010135017</v>
      </c>
      <c r="C526" t="s">
        <v>1311</v>
      </c>
      <c r="D526" s="11" t="s">
        <v>256</v>
      </c>
      <c r="E526" s="11" t="s">
        <v>4040</v>
      </c>
      <c r="F526" s="11" t="s">
        <v>4074</v>
      </c>
      <c r="G526" s="1">
        <v>46239</v>
      </c>
      <c r="H526" s="1"/>
      <c r="I526" s="2">
        <v>0.54166666666666663</v>
      </c>
      <c r="J526" s="2">
        <v>0.875</v>
      </c>
      <c r="K526" s="11"/>
      <c r="L526" s="11" t="s">
        <v>4060</v>
      </c>
      <c r="M526" s="1"/>
      <c r="N526" s="11"/>
      <c r="O526" s="11" t="s">
        <v>4042</v>
      </c>
      <c r="P526" s="1"/>
      <c r="Q526" s="1">
        <v>46240</v>
      </c>
      <c r="R526" s="11" t="s">
        <v>4075</v>
      </c>
      <c r="S526" s="2">
        <f>CONSOLIDADO_2026[[#This Row],[Hora final]]-CONSOLIDADO_2026[[#This Row],[Hora inic]]</f>
        <v>0.33333333333333337</v>
      </c>
    </row>
    <row r="527" spans="1:19" hidden="1" x14ac:dyDescent="0.25">
      <c r="A527" t="s">
        <v>4051</v>
      </c>
      <c r="B527">
        <v>1010135017</v>
      </c>
      <c r="C527" t="s">
        <v>1311</v>
      </c>
      <c r="D527" s="11" t="s">
        <v>256</v>
      </c>
      <c r="E527" s="11" t="s">
        <v>4040</v>
      </c>
      <c r="F527" s="11" t="s">
        <v>4074</v>
      </c>
      <c r="G527" s="1">
        <v>46239</v>
      </c>
      <c r="H527" s="1"/>
      <c r="I527" s="2"/>
      <c r="J527" s="2"/>
      <c r="K527" s="11"/>
      <c r="L527" s="11" t="s">
        <v>4084</v>
      </c>
      <c r="M527" s="1"/>
      <c r="N527" s="11" t="s">
        <v>4042</v>
      </c>
      <c r="O527" s="11" t="s">
        <v>4042</v>
      </c>
      <c r="P527" s="1"/>
      <c r="Q527" s="1"/>
      <c r="R527" s="11" t="s">
        <v>4085</v>
      </c>
      <c r="S527" s="2">
        <f>CONSOLIDADO_2026[[#This Row],[Hora final]]-CONSOLIDADO_2026[[#This Row],[Hora inic]]</f>
        <v>0</v>
      </c>
    </row>
    <row r="528" spans="1:19" hidden="1" x14ac:dyDescent="0.25">
      <c r="A528" t="s">
        <v>4052</v>
      </c>
      <c r="B528">
        <v>1010135017</v>
      </c>
      <c r="C528" t="s">
        <v>1311</v>
      </c>
      <c r="D528" s="11" t="s">
        <v>256</v>
      </c>
      <c r="E528" s="11" t="s">
        <v>4040</v>
      </c>
      <c r="F528" s="11" t="s">
        <v>16</v>
      </c>
      <c r="G528" s="1">
        <v>46239</v>
      </c>
      <c r="H528" s="1"/>
      <c r="I528" s="2">
        <v>0.58333333333333337</v>
      </c>
      <c r="J528" s="2">
        <v>0.875</v>
      </c>
      <c r="K528" s="11"/>
      <c r="L528" s="11" t="s">
        <v>4084</v>
      </c>
      <c r="M528" s="1"/>
      <c r="N528" s="11"/>
      <c r="O528" s="11" t="s">
        <v>4042</v>
      </c>
      <c r="P528" s="1"/>
      <c r="Q528" s="1"/>
      <c r="R528" s="11"/>
      <c r="S528" s="2">
        <f>CONSOLIDADO_2026[[#This Row],[Hora final]]-CONSOLIDADO_2026[[#This Row],[Hora inic]]</f>
        <v>0.29166666666666663</v>
      </c>
    </row>
    <row r="529" spans="1:19" hidden="1" x14ac:dyDescent="0.25">
      <c r="A529" t="s">
        <v>4048</v>
      </c>
      <c r="B529">
        <v>1072648283</v>
      </c>
      <c r="C529" t="s">
        <v>828</v>
      </c>
      <c r="D529" s="11" t="s">
        <v>272</v>
      </c>
      <c r="E529" s="11" t="s">
        <v>4056</v>
      </c>
      <c r="F529" s="11" t="s">
        <v>4074</v>
      </c>
      <c r="G529" s="1">
        <v>46240</v>
      </c>
      <c r="H529" s="1">
        <v>46240</v>
      </c>
      <c r="I529" s="2">
        <v>0.54166666666666663</v>
      </c>
      <c r="J529" s="2">
        <v>0.875</v>
      </c>
      <c r="K529" s="11"/>
      <c r="L529" s="11" t="s">
        <v>4092</v>
      </c>
      <c r="M529" s="1">
        <v>46240</v>
      </c>
      <c r="N529" s="11"/>
      <c r="O529" s="11" t="s">
        <v>21</v>
      </c>
      <c r="P529" s="1">
        <v>46240</v>
      </c>
      <c r="Q529" s="1"/>
      <c r="R529" s="11" t="s">
        <v>4081</v>
      </c>
      <c r="S529" s="2">
        <f>CONSOLIDADO_2026[[#This Row],[Hora final]]-CONSOLIDADO_2026[[#This Row],[Hora inic]]</f>
        <v>0.33333333333333337</v>
      </c>
    </row>
    <row r="530" spans="1:19" hidden="1" x14ac:dyDescent="0.25">
      <c r="A530" t="s">
        <v>4051</v>
      </c>
      <c r="B530">
        <v>1072648283</v>
      </c>
      <c r="C530" t="s">
        <v>828</v>
      </c>
      <c r="D530" s="11" t="s">
        <v>272</v>
      </c>
      <c r="E530" s="11" t="s">
        <v>4056</v>
      </c>
      <c r="F530" s="11" t="s">
        <v>16</v>
      </c>
      <c r="G530" s="1">
        <v>46240</v>
      </c>
      <c r="H530" s="1">
        <v>46240</v>
      </c>
      <c r="I530" s="2"/>
      <c r="J530" s="2"/>
      <c r="K530" s="11"/>
      <c r="L530" s="11" t="s">
        <v>4083</v>
      </c>
      <c r="M530" s="1"/>
      <c r="N530" s="11" t="s">
        <v>4042</v>
      </c>
      <c r="O530" s="11" t="s">
        <v>4042</v>
      </c>
      <c r="P530" s="1"/>
      <c r="Q530" s="1"/>
      <c r="R530" s="11"/>
      <c r="S530" s="2">
        <f>CONSOLIDADO_2026[[#This Row],[Hora final]]-CONSOLIDADO_2026[[#This Row],[Hora inic]]</f>
        <v>0</v>
      </c>
    </row>
    <row r="531" spans="1:19" hidden="1" x14ac:dyDescent="0.25">
      <c r="A531" t="s">
        <v>4052</v>
      </c>
      <c r="B531">
        <v>1072648283</v>
      </c>
      <c r="C531" t="s">
        <v>828</v>
      </c>
      <c r="D531" s="11" t="s">
        <v>272</v>
      </c>
      <c r="E531" s="11" t="s">
        <v>4056</v>
      </c>
      <c r="F531" s="11" t="s">
        <v>16</v>
      </c>
      <c r="G531" s="1">
        <v>46240</v>
      </c>
      <c r="H531" s="1">
        <v>46240</v>
      </c>
      <c r="I531" s="2"/>
      <c r="J531" s="2"/>
      <c r="K531" s="11"/>
      <c r="L531" s="11" t="s">
        <v>4041</v>
      </c>
      <c r="M531" s="1"/>
      <c r="N531" s="11"/>
      <c r="O531" s="11" t="s">
        <v>4042</v>
      </c>
      <c r="P531" s="1"/>
      <c r="Q531" s="1"/>
      <c r="R531" s="11"/>
      <c r="S531" s="2">
        <f>CONSOLIDADO_2026[[#This Row],[Hora final]]-CONSOLIDADO_2026[[#This Row],[Hora inic]]</f>
        <v>0</v>
      </c>
    </row>
    <row r="532" spans="1:19" hidden="1" x14ac:dyDescent="0.25">
      <c r="A532" t="s">
        <v>4048</v>
      </c>
      <c r="B532">
        <v>1126251297</v>
      </c>
      <c r="C532" t="s">
        <v>286</v>
      </c>
      <c r="D532" s="11" t="s">
        <v>344</v>
      </c>
      <c r="E532" s="11" t="s">
        <v>4056</v>
      </c>
      <c r="F532" s="11" t="s">
        <v>4073</v>
      </c>
      <c r="G532" s="1">
        <v>46240</v>
      </c>
      <c r="H532" s="1">
        <v>46240</v>
      </c>
      <c r="I532" s="2">
        <v>0.58333333333333337</v>
      </c>
      <c r="J532" s="2">
        <v>0.875</v>
      </c>
      <c r="K532" s="11"/>
      <c r="L532" s="11" t="s">
        <v>4150</v>
      </c>
      <c r="M532" s="1"/>
      <c r="N532" s="11"/>
      <c r="O532" s="11" t="s">
        <v>4042</v>
      </c>
      <c r="P532" s="1"/>
      <c r="Q532" s="1"/>
      <c r="R532" s="11"/>
      <c r="S532" s="2">
        <f>CONSOLIDADO_2026[[#This Row],[Hora final]]-CONSOLIDADO_2026[[#This Row],[Hora inic]]</f>
        <v>0.29166666666666663</v>
      </c>
    </row>
    <row r="533" spans="1:19" hidden="1" x14ac:dyDescent="0.25">
      <c r="A533" t="s">
        <v>4048</v>
      </c>
      <c r="B533">
        <v>1001853191</v>
      </c>
      <c r="C533" t="s">
        <v>3240</v>
      </c>
      <c r="D533" s="11" t="s">
        <v>15</v>
      </c>
      <c r="E533" s="11" t="s">
        <v>4046</v>
      </c>
      <c r="F533" s="11" t="s">
        <v>16</v>
      </c>
      <c r="G533" s="1">
        <v>46240</v>
      </c>
      <c r="H533" s="1">
        <v>46242</v>
      </c>
      <c r="I533" s="2">
        <v>0.25</v>
      </c>
      <c r="J533" s="2">
        <v>0.58333333333333337</v>
      </c>
      <c r="K533" s="11"/>
      <c r="L533" s="11" t="s">
        <v>4060</v>
      </c>
      <c r="M533" s="1"/>
      <c r="N533" s="11"/>
      <c r="O533" s="11" t="s">
        <v>4042</v>
      </c>
      <c r="P533" s="1"/>
      <c r="Q533" s="1"/>
      <c r="R533" s="11"/>
      <c r="S533" s="2">
        <f>CONSOLIDADO_2026[[#This Row],[Hora final]]-CONSOLIDADO_2026[[#This Row],[Hora inic]]</f>
        <v>0.33333333333333337</v>
      </c>
    </row>
    <row r="534" spans="1:19" hidden="1" x14ac:dyDescent="0.25">
      <c r="A534" t="s">
        <v>4051</v>
      </c>
      <c r="B534">
        <v>1001853191</v>
      </c>
      <c r="C534" t="s">
        <v>3240</v>
      </c>
      <c r="D534" s="11" t="s">
        <v>15</v>
      </c>
      <c r="E534" s="11" t="s">
        <v>4046</v>
      </c>
      <c r="F534" s="11" t="s">
        <v>16</v>
      </c>
      <c r="G534" s="1">
        <v>46240</v>
      </c>
      <c r="H534" s="1">
        <v>46242</v>
      </c>
      <c r="I534" s="2">
        <v>0.45833333333333331</v>
      </c>
      <c r="J534" s="2">
        <v>0.875</v>
      </c>
      <c r="K534" s="11" t="s">
        <v>73</v>
      </c>
      <c r="L534" s="11" t="s">
        <v>74</v>
      </c>
      <c r="M534" s="1"/>
      <c r="N534" s="11" t="s">
        <v>4042</v>
      </c>
      <c r="O534" s="11" t="s">
        <v>4042</v>
      </c>
      <c r="P534" s="1"/>
      <c r="Q534" s="1"/>
      <c r="R534" s="11"/>
      <c r="S534" s="2">
        <f>CONSOLIDADO_2026[[#This Row],[Hora final]]-CONSOLIDADO_2026[[#This Row],[Hora inic]]</f>
        <v>0.41666666666666669</v>
      </c>
    </row>
    <row r="535" spans="1:19" hidden="1" x14ac:dyDescent="0.25">
      <c r="A535" t="s">
        <v>4052</v>
      </c>
      <c r="B535">
        <v>1001853191</v>
      </c>
      <c r="C535" t="s">
        <v>3240</v>
      </c>
      <c r="D535" s="11" t="s">
        <v>15</v>
      </c>
      <c r="E535" s="11" t="s">
        <v>4046</v>
      </c>
      <c r="F535" s="11" t="s">
        <v>16</v>
      </c>
      <c r="G535" s="1">
        <v>46240</v>
      </c>
      <c r="H535" s="1">
        <v>46242</v>
      </c>
      <c r="I535" s="2"/>
      <c r="J535" s="2"/>
      <c r="K535" s="11"/>
      <c r="L535" s="11" t="s">
        <v>4041</v>
      </c>
      <c r="M535" s="1"/>
      <c r="N535" s="11"/>
      <c r="O535" s="11" t="s">
        <v>4042</v>
      </c>
      <c r="P535" s="1"/>
      <c r="Q535" s="1"/>
      <c r="R535" s="11"/>
      <c r="S535" s="2">
        <f>CONSOLIDADO_2026[[#This Row],[Hora final]]-CONSOLIDADO_2026[[#This Row],[Hora inic]]</f>
        <v>0</v>
      </c>
    </row>
    <row r="536" spans="1:19" hidden="1" x14ac:dyDescent="0.25">
      <c r="A536" t="s">
        <v>4048</v>
      </c>
      <c r="B536">
        <v>1006490561</v>
      </c>
      <c r="C536" t="s">
        <v>4151</v>
      </c>
      <c r="D536" s="11" t="s">
        <v>482</v>
      </c>
      <c r="E536" s="11" t="s">
        <v>4040</v>
      </c>
      <c r="F536" s="11" t="s">
        <v>4074</v>
      </c>
      <c r="G536" s="1">
        <v>46240</v>
      </c>
      <c r="H536" s="1">
        <v>46242</v>
      </c>
      <c r="I536" s="2">
        <v>0.25</v>
      </c>
      <c r="J536" s="2">
        <v>0.58333333333333337</v>
      </c>
      <c r="K536" s="11"/>
      <c r="L536" s="11" t="s">
        <v>4060</v>
      </c>
      <c r="M536" s="1">
        <v>46240</v>
      </c>
      <c r="N536" s="11"/>
      <c r="O536" s="11" t="s">
        <v>4042</v>
      </c>
      <c r="P536" s="1">
        <v>46239</v>
      </c>
      <c r="Q536" s="1"/>
      <c r="R536" s="11" t="s">
        <v>4081</v>
      </c>
      <c r="S536" s="2">
        <f>CONSOLIDADO_2026[[#This Row],[Hora final]]-CONSOLIDADO_2026[[#This Row],[Hora inic]]</f>
        <v>0.33333333333333337</v>
      </c>
    </row>
    <row r="537" spans="1:19" hidden="1" x14ac:dyDescent="0.25">
      <c r="A537" t="s">
        <v>4051</v>
      </c>
      <c r="B537">
        <v>1006490561</v>
      </c>
      <c r="C537" t="s">
        <v>4151</v>
      </c>
      <c r="D537" s="11" t="s">
        <v>482</v>
      </c>
      <c r="E537" s="11" t="s">
        <v>4040</v>
      </c>
      <c r="F537" s="11" t="s">
        <v>16</v>
      </c>
      <c r="G537" s="1">
        <v>46240</v>
      </c>
      <c r="H537" s="1">
        <v>46242</v>
      </c>
      <c r="I537" s="2">
        <v>0.25</v>
      </c>
      <c r="J537" s="2">
        <v>0.66666666666666663</v>
      </c>
      <c r="K537" s="11" t="s">
        <v>309</v>
      </c>
      <c r="L537" s="11" t="s">
        <v>310</v>
      </c>
      <c r="M537" s="1"/>
      <c r="N537" s="11" t="s">
        <v>4042</v>
      </c>
      <c r="O537" s="11" t="s">
        <v>4042</v>
      </c>
      <c r="P537" s="1"/>
      <c r="Q537" s="1"/>
      <c r="R537" s="11"/>
      <c r="S537" s="2">
        <f>CONSOLIDADO_2026[[#This Row],[Hora final]]-CONSOLIDADO_2026[[#This Row],[Hora inic]]</f>
        <v>0.41666666666666663</v>
      </c>
    </row>
    <row r="538" spans="1:19" hidden="1" x14ac:dyDescent="0.25">
      <c r="A538" t="s">
        <v>4052</v>
      </c>
      <c r="B538">
        <v>1006490561</v>
      </c>
      <c r="C538" t="s">
        <v>4151</v>
      </c>
      <c r="D538" s="11" t="s">
        <v>482</v>
      </c>
      <c r="E538" s="11" t="s">
        <v>4040</v>
      </c>
      <c r="F538" s="11" t="s">
        <v>16</v>
      </c>
      <c r="G538" s="1">
        <v>46240</v>
      </c>
      <c r="H538" s="1">
        <v>46242</v>
      </c>
      <c r="I538" s="2"/>
      <c r="J538" s="2"/>
      <c r="K538" s="11"/>
      <c r="L538" s="11" t="s">
        <v>4041</v>
      </c>
      <c r="M538" s="1"/>
      <c r="N538" s="11"/>
      <c r="O538" s="11" t="s">
        <v>4042</v>
      </c>
      <c r="P538" s="1"/>
      <c r="Q538" s="1"/>
      <c r="R538" s="11"/>
      <c r="S538" s="2">
        <f>CONSOLIDADO_2026[[#This Row],[Hora final]]-CONSOLIDADO_2026[[#This Row],[Hora inic]]</f>
        <v>0</v>
      </c>
    </row>
    <row r="539" spans="1:19" hidden="1" x14ac:dyDescent="0.25">
      <c r="A539" t="s">
        <v>4048</v>
      </c>
      <c r="B539">
        <v>1193537336</v>
      </c>
      <c r="C539" t="s">
        <v>2134</v>
      </c>
      <c r="D539" s="11" t="s">
        <v>492</v>
      </c>
      <c r="E539" s="11" t="s">
        <v>4045</v>
      </c>
      <c r="F539" s="11" t="s">
        <v>4074</v>
      </c>
      <c r="G539" s="1">
        <v>46240</v>
      </c>
      <c r="H539" s="1">
        <v>46240</v>
      </c>
      <c r="I539" s="2"/>
      <c r="J539" s="2"/>
      <c r="K539" s="11"/>
      <c r="L539" s="11" t="s">
        <v>4083</v>
      </c>
      <c r="M539" s="1">
        <v>46240</v>
      </c>
      <c r="N539" s="11"/>
      <c r="O539" s="11" t="s">
        <v>4042</v>
      </c>
      <c r="P539" s="1">
        <v>46240</v>
      </c>
      <c r="Q539" s="1"/>
      <c r="R539" s="11" t="s">
        <v>4081</v>
      </c>
      <c r="S539" s="2">
        <f>CONSOLIDADO_2026[[#This Row],[Hora final]]-CONSOLIDADO_2026[[#This Row],[Hora inic]]</f>
        <v>0</v>
      </c>
    </row>
    <row r="540" spans="1:19" hidden="1" x14ac:dyDescent="0.25">
      <c r="A540" t="s">
        <v>4051</v>
      </c>
      <c r="B540">
        <v>1193537336</v>
      </c>
      <c r="C540" t="s">
        <v>2134</v>
      </c>
      <c r="D540" s="11" t="s">
        <v>492</v>
      </c>
      <c r="E540" s="11" t="s">
        <v>4045</v>
      </c>
      <c r="F540" s="11" t="s">
        <v>16</v>
      </c>
      <c r="G540" s="1">
        <v>46240</v>
      </c>
      <c r="H540" s="1">
        <v>46240</v>
      </c>
      <c r="I540" s="2"/>
      <c r="J540" s="2"/>
      <c r="K540" s="11"/>
      <c r="L540" s="11" t="s">
        <v>4041</v>
      </c>
      <c r="M540" s="1"/>
      <c r="N540" s="11" t="s">
        <v>4042</v>
      </c>
      <c r="O540" s="11" t="s">
        <v>4042</v>
      </c>
      <c r="P540" s="1"/>
      <c r="Q540" s="1"/>
      <c r="R540" s="11"/>
      <c r="S540" s="2">
        <f>CONSOLIDADO_2026[[#This Row],[Hora final]]-CONSOLIDADO_2026[[#This Row],[Hora inic]]</f>
        <v>0</v>
      </c>
    </row>
    <row r="541" spans="1:19" hidden="1" x14ac:dyDescent="0.25">
      <c r="A541" t="s">
        <v>4048</v>
      </c>
      <c r="B541">
        <v>1083048455</v>
      </c>
      <c r="C541" t="s">
        <v>2787</v>
      </c>
      <c r="D541" s="11" t="s">
        <v>256</v>
      </c>
      <c r="E541" s="11" t="s">
        <v>4040</v>
      </c>
      <c r="F541" s="11" t="s">
        <v>4074</v>
      </c>
      <c r="G541" s="1">
        <v>46240</v>
      </c>
      <c r="H541" s="1">
        <v>46240</v>
      </c>
      <c r="I541" s="2">
        <v>0.25</v>
      </c>
      <c r="J541" s="2">
        <v>0.54166666666666663</v>
      </c>
      <c r="K541" s="11"/>
      <c r="L541" s="11" t="s">
        <v>4060</v>
      </c>
      <c r="M541" s="1">
        <v>46240</v>
      </c>
      <c r="N541" s="11"/>
      <c r="O541" s="11" t="s">
        <v>4042</v>
      </c>
      <c r="P541" s="1">
        <v>46240</v>
      </c>
      <c r="Q541" s="1"/>
      <c r="R541" s="11" t="s">
        <v>4081</v>
      </c>
      <c r="S541" s="2">
        <f>CONSOLIDADO_2026[[#This Row],[Hora final]]-CONSOLIDADO_2026[[#This Row],[Hora inic]]</f>
        <v>0.29166666666666663</v>
      </c>
    </row>
    <row r="542" spans="1:19" hidden="1" x14ac:dyDescent="0.25">
      <c r="A542" t="s">
        <v>4051</v>
      </c>
      <c r="B542">
        <v>1083048455</v>
      </c>
      <c r="C542" t="s">
        <v>4152</v>
      </c>
      <c r="D542" s="11" t="s">
        <v>256</v>
      </c>
      <c r="E542" s="11" t="s">
        <v>4040</v>
      </c>
      <c r="F542" s="11" t="s">
        <v>16</v>
      </c>
      <c r="G542" s="1">
        <v>46240</v>
      </c>
      <c r="H542" s="1">
        <v>46240</v>
      </c>
      <c r="I542" s="2"/>
      <c r="J542" s="2"/>
      <c r="K542" s="11"/>
      <c r="L542" s="11" t="s">
        <v>4041</v>
      </c>
      <c r="M542" s="1"/>
      <c r="N542" s="11" t="s">
        <v>4042</v>
      </c>
      <c r="O542" s="11" t="s">
        <v>4042</v>
      </c>
      <c r="P542" s="1"/>
      <c r="Q542" s="1"/>
      <c r="R542" s="11"/>
      <c r="S542" s="2">
        <f>CONSOLIDADO_2026[[#This Row],[Hora final]]-CONSOLIDADO_2026[[#This Row],[Hora inic]]</f>
        <v>0</v>
      </c>
    </row>
    <row r="543" spans="1:19" hidden="1" x14ac:dyDescent="0.25">
      <c r="A543" t="s">
        <v>4048</v>
      </c>
      <c r="B543">
        <v>1042422897</v>
      </c>
      <c r="C543" t="s">
        <v>4100</v>
      </c>
      <c r="D543" s="11" t="s">
        <v>256</v>
      </c>
      <c r="E543" s="11" t="s">
        <v>4040</v>
      </c>
      <c r="F543" s="11" t="s">
        <v>4074</v>
      </c>
      <c r="G543" s="1">
        <v>46240</v>
      </c>
      <c r="H543" s="1"/>
      <c r="I543" s="2">
        <v>0.58333333333333337</v>
      </c>
      <c r="J543" s="2">
        <v>0.875</v>
      </c>
      <c r="K543" s="11"/>
      <c r="L543" s="11" t="s">
        <v>4060</v>
      </c>
      <c r="M543" s="1"/>
      <c r="N543" s="11"/>
      <c r="O543" s="11" t="s">
        <v>4042</v>
      </c>
      <c r="P543" s="1"/>
      <c r="Q543" s="1"/>
      <c r="R543" s="11"/>
      <c r="S543" s="2">
        <f>CONSOLIDADO_2026[[#This Row],[Hora final]]-CONSOLIDADO_2026[[#This Row],[Hora inic]]</f>
        <v>0.29166666666666663</v>
      </c>
    </row>
    <row r="544" spans="1:19" hidden="1" x14ac:dyDescent="0.25">
      <c r="A544" t="s">
        <v>4048</v>
      </c>
      <c r="B544">
        <v>1007959114</v>
      </c>
      <c r="C544" t="s">
        <v>4153</v>
      </c>
      <c r="D544" s="11" t="s">
        <v>39</v>
      </c>
      <c r="E544" s="11" t="s">
        <v>4046</v>
      </c>
      <c r="F544" s="11" t="s">
        <v>4074</v>
      </c>
      <c r="G544" s="1">
        <v>46240</v>
      </c>
      <c r="H544" s="1">
        <v>46240</v>
      </c>
      <c r="I544" s="2">
        <v>0.25</v>
      </c>
      <c r="J544" s="2">
        <v>0.54166666666666663</v>
      </c>
      <c r="K544" s="11"/>
      <c r="L544" s="11" t="s">
        <v>4060</v>
      </c>
      <c r="M544" s="1">
        <v>46240</v>
      </c>
      <c r="N544" s="11"/>
      <c r="O544" s="11" t="s">
        <v>4042</v>
      </c>
      <c r="P544" s="1">
        <v>46240</v>
      </c>
      <c r="Q544" s="1"/>
      <c r="R544" s="11" t="s">
        <v>4081</v>
      </c>
      <c r="S544" s="2">
        <f>CONSOLIDADO_2026[[#This Row],[Hora final]]-CONSOLIDADO_2026[[#This Row],[Hora inic]]</f>
        <v>0.29166666666666663</v>
      </c>
    </row>
    <row r="545" spans="1:19" hidden="1" x14ac:dyDescent="0.25">
      <c r="A545" t="s">
        <v>4051</v>
      </c>
      <c r="B545">
        <v>1007959114</v>
      </c>
      <c r="C545" t="s">
        <v>4154</v>
      </c>
      <c r="D545" s="11" t="s">
        <v>39</v>
      </c>
      <c r="E545" s="11" t="s">
        <v>4046</v>
      </c>
      <c r="F545" s="11" t="s">
        <v>16</v>
      </c>
      <c r="G545" s="1">
        <v>46240</v>
      </c>
      <c r="H545" s="1">
        <v>46240</v>
      </c>
      <c r="I545" s="2"/>
      <c r="J545" s="2"/>
      <c r="K545" s="11"/>
      <c r="L545" s="11" t="s">
        <v>4041</v>
      </c>
      <c r="M545" s="1"/>
      <c r="N545" s="11" t="s">
        <v>4042</v>
      </c>
      <c r="O545" s="11" t="s">
        <v>4042</v>
      </c>
      <c r="P545" s="1"/>
      <c r="Q545" s="1"/>
      <c r="R545" s="11"/>
      <c r="S545" s="2">
        <f>CONSOLIDADO_2026[[#This Row],[Hora final]]-CONSOLIDADO_2026[[#This Row],[Hora inic]]</f>
        <v>0</v>
      </c>
    </row>
    <row r="546" spans="1:19" hidden="1" x14ac:dyDescent="0.25">
      <c r="A546" t="s">
        <v>4048</v>
      </c>
      <c r="B546">
        <v>1084253148</v>
      </c>
      <c r="C546" t="s">
        <v>1125</v>
      </c>
      <c r="D546" s="11" t="s">
        <v>272</v>
      </c>
      <c r="E546" s="11" t="s">
        <v>4056</v>
      </c>
      <c r="F546" s="11" t="s">
        <v>4074</v>
      </c>
      <c r="G546" s="1">
        <v>46240</v>
      </c>
      <c r="H546" s="1">
        <v>46240</v>
      </c>
      <c r="I546" s="2">
        <v>0.25</v>
      </c>
      <c r="J546" s="2">
        <v>0.54166666666666663</v>
      </c>
      <c r="K546" s="11"/>
      <c r="L546" s="11" t="s">
        <v>4060</v>
      </c>
      <c r="M546" s="1"/>
      <c r="N546" s="11"/>
      <c r="O546" s="11" t="s">
        <v>4042</v>
      </c>
      <c r="P546" s="1"/>
      <c r="Q546" s="1">
        <v>46261</v>
      </c>
      <c r="R546" s="11" t="s">
        <v>4075</v>
      </c>
      <c r="S546" s="2">
        <f>CONSOLIDADO_2026[[#This Row],[Hora final]]-CONSOLIDADO_2026[[#This Row],[Hora inic]]</f>
        <v>0.29166666666666663</v>
      </c>
    </row>
    <row r="547" spans="1:19" hidden="1" x14ac:dyDescent="0.25">
      <c r="A547" t="s">
        <v>4051</v>
      </c>
      <c r="B547">
        <v>1084253148</v>
      </c>
      <c r="C547" t="s">
        <v>1125</v>
      </c>
      <c r="D547" s="11" t="s">
        <v>272</v>
      </c>
      <c r="E547" s="11" t="s">
        <v>4056</v>
      </c>
      <c r="F547" s="11" t="s">
        <v>4074</v>
      </c>
      <c r="G547" s="1">
        <v>46240</v>
      </c>
      <c r="H547" s="1">
        <v>46240</v>
      </c>
      <c r="I547" s="2"/>
      <c r="J547" s="2"/>
      <c r="K547" s="11"/>
      <c r="L547" s="11" t="s">
        <v>4083</v>
      </c>
      <c r="M547" s="1"/>
      <c r="N547" s="11" t="s">
        <v>4042</v>
      </c>
      <c r="O547" s="11" t="s">
        <v>4042</v>
      </c>
      <c r="P547" s="1"/>
      <c r="Q547" s="1">
        <v>46261</v>
      </c>
      <c r="R547" s="11" t="s">
        <v>4075</v>
      </c>
      <c r="S547" s="2">
        <f>CONSOLIDADO_2026[[#This Row],[Hora final]]-CONSOLIDADO_2026[[#This Row],[Hora inic]]</f>
        <v>0</v>
      </c>
    </row>
    <row r="548" spans="1:19" hidden="1" x14ac:dyDescent="0.25">
      <c r="A548" t="s">
        <v>4052</v>
      </c>
      <c r="B548">
        <v>1084253148</v>
      </c>
      <c r="C548" t="s">
        <v>1125</v>
      </c>
      <c r="D548" s="11" t="s">
        <v>272</v>
      </c>
      <c r="E548" s="11" t="s">
        <v>4056</v>
      </c>
      <c r="F548" s="11" t="s">
        <v>16</v>
      </c>
      <c r="G548" s="1">
        <v>46240</v>
      </c>
      <c r="H548" s="1">
        <v>46240</v>
      </c>
      <c r="I548" s="2"/>
      <c r="J548" s="2"/>
      <c r="K548" s="11"/>
      <c r="L548" s="11" t="s">
        <v>4041</v>
      </c>
      <c r="M548" s="1"/>
      <c r="N548" s="11"/>
      <c r="O548" s="11" t="s">
        <v>4042</v>
      </c>
      <c r="P548" s="1"/>
      <c r="Q548" s="1"/>
      <c r="R548" s="11"/>
      <c r="S548" s="2">
        <f>CONSOLIDADO_2026[[#This Row],[Hora final]]-CONSOLIDADO_2026[[#This Row],[Hora inic]]</f>
        <v>0</v>
      </c>
    </row>
    <row r="549" spans="1:19" hidden="1" x14ac:dyDescent="0.25">
      <c r="A549" t="s">
        <v>4048</v>
      </c>
      <c r="B549">
        <v>45529043</v>
      </c>
      <c r="C549" t="s">
        <v>798</v>
      </c>
      <c r="D549" s="11" t="s">
        <v>344</v>
      </c>
      <c r="E549" s="11" t="s">
        <v>4056</v>
      </c>
      <c r="F549" s="11" t="s">
        <v>16</v>
      </c>
      <c r="G549" s="1">
        <v>46240</v>
      </c>
      <c r="H549" s="1">
        <v>46240</v>
      </c>
      <c r="I549" s="2">
        <v>0.25</v>
      </c>
      <c r="J549" s="2">
        <v>0.58333333333333337</v>
      </c>
      <c r="K549" s="11"/>
      <c r="L549" s="11" t="s">
        <v>4155</v>
      </c>
      <c r="M549" s="1"/>
      <c r="N549" s="11"/>
      <c r="O549" s="11" t="s">
        <v>21</v>
      </c>
      <c r="P549" s="1"/>
      <c r="Q549" s="1"/>
      <c r="R549" s="11"/>
      <c r="S549" s="2">
        <f>CONSOLIDADO_2026[[#This Row],[Hora final]]-CONSOLIDADO_2026[[#This Row],[Hora inic]]</f>
        <v>0.33333333333333337</v>
      </c>
    </row>
    <row r="550" spans="1:19" hidden="1" x14ac:dyDescent="0.25">
      <c r="A550" t="s">
        <v>4051</v>
      </c>
      <c r="B550">
        <v>45529043</v>
      </c>
      <c r="C550" t="s">
        <v>798</v>
      </c>
      <c r="D550" s="11" t="s">
        <v>344</v>
      </c>
      <c r="E550" s="11" t="s">
        <v>4056</v>
      </c>
      <c r="F550" s="11" t="s">
        <v>16</v>
      </c>
      <c r="G550" s="1">
        <v>46240</v>
      </c>
      <c r="H550" s="1">
        <v>46240</v>
      </c>
      <c r="I550" s="2"/>
      <c r="J550" s="2"/>
      <c r="K550" s="11"/>
      <c r="L550" s="11" t="s">
        <v>4041</v>
      </c>
      <c r="M550" s="1"/>
      <c r="N550" s="11" t="s">
        <v>4042</v>
      </c>
      <c r="O550" s="11" t="s">
        <v>4042</v>
      </c>
      <c r="P550" s="1"/>
      <c r="Q550" s="1"/>
      <c r="R550" s="11"/>
      <c r="S550" s="2">
        <f>CONSOLIDADO_2026[[#This Row],[Hora final]]-CONSOLIDADO_2026[[#This Row],[Hora inic]]</f>
        <v>0</v>
      </c>
    </row>
    <row r="551" spans="1:19" hidden="1" x14ac:dyDescent="0.25">
      <c r="A551" t="s">
        <v>4048</v>
      </c>
      <c r="B551">
        <v>1214717629</v>
      </c>
      <c r="C551" t="s">
        <v>3086</v>
      </c>
      <c r="D551" s="11" t="s">
        <v>482</v>
      </c>
      <c r="E551" s="11" t="s">
        <v>4040</v>
      </c>
      <c r="F551" s="11" t="s">
        <v>4074</v>
      </c>
      <c r="G551" s="1">
        <v>46240</v>
      </c>
      <c r="H551" s="1">
        <v>46240</v>
      </c>
      <c r="I551" s="2">
        <v>0.54166666666666663</v>
      </c>
      <c r="J551" s="2">
        <v>0.875</v>
      </c>
      <c r="K551" s="11"/>
      <c r="L551" s="11" t="s">
        <v>4060</v>
      </c>
      <c r="M551" s="1">
        <v>46240</v>
      </c>
      <c r="N551" s="11"/>
      <c r="O551" s="11" t="s">
        <v>4042</v>
      </c>
      <c r="P551" s="1">
        <v>46240</v>
      </c>
      <c r="Q551" s="1"/>
      <c r="R551" s="11" t="s">
        <v>4081</v>
      </c>
      <c r="S551" s="2">
        <f>CONSOLIDADO_2026[[#This Row],[Hora final]]-CONSOLIDADO_2026[[#This Row],[Hora inic]]</f>
        <v>0.33333333333333337</v>
      </c>
    </row>
    <row r="552" spans="1:19" hidden="1" x14ac:dyDescent="0.25">
      <c r="A552" t="s">
        <v>4051</v>
      </c>
      <c r="B552">
        <v>1214717629</v>
      </c>
      <c r="C552" t="s">
        <v>3086</v>
      </c>
      <c r="D552" s="11" t="s">
        <v>482</v>
      </c>
      <c r="E552" s="11" t="s">
        <v>4040</v>
      </c>
      <c r="F552" s="11" t="s">
        <v>16</v>
      </c>
      <c r="G552" s="1">
        <v>46240</v>
      </c>
      <c r="H552" s="1">
        <v>46240</v>
      </c>
      <c r="I552" s="2"/>
      <c r="J552" s="2"/>
      <c r="K552" s="11"/>
      <c r="L552" s="11" t="s">
        <v>4041</v>
      </c>
      <c r="M552" s="1"/>
      <c r="N552" s="11" t="s">
        <v>4042</v>
      </c>
      <c r="O552" s="11" t="s">
        <v>4042</v>
      </c>
      <c r="P552" s="1"/>
      <c r="Q552" s="1"/>
      <c r="R552" s="11"/>
      <c r="S552" s="2">
        <f>CONSOLIDADO_2026[[#This Row],[Hora final]]-CONSOLIDADO_2026[[#This Row],[Hora inic]]</f>
        <v>0</v>
      </c>
    </row>
    <row r="553" spans="1:19" hidden="1" x14ac:dyDescent="0.25">
      <c r="A553" t="s">
        <v>4048</v>
      </c>
      <c r="B553">
        <v>1010039979</v>
      </c>
      <c r="C553" t="s">
        <v>3909</v>
      </c>
      <c r="D553" s="11" t="s">
        <v>128</v>
      </c>
      <c r="E553" s="11" t="s">
        <v>4045</v>
      </c>
      <c r="F553" s="11" t="s">
        <v>16</v>
      </c>
      <c r="G553" s="1">
        <v>46240</v>
      </c>
      <c r="H553" s="1">
        <v>46240</v>
      </c>
      <c r="I553" s="2">
        <v>0.58333333333333337</v>
      </c>
      <c r="J553" s="2">
        <v>0.875</v>
      </c>
      <c r="K553" s="11"/>
      <c r="L553" s="11" t="s">
        <v>4060</v>
      </c>
      <c r="M553" s="1"/>
      <c r="N553" s="11"/>
      <c r="O553" s="11" t="s">
        <v>4042</v>
      </c>
      <c r="P553" s="1"/>
      <c r="Q553" s="1"/>
      <c r="R553" s="11"/>
      <c r="S553" s="2">
        <f>CONSOLIDADO_2026[[#This Row],[Hora final]]-CONSOLIDADO_2026[[#This Row],[Hora inic]]</f>
        <v>0.29166666666666663</v>
      </c>
    </row>
    <row r="554" spans="1:19" hidden="1" x14ac:dyDescent="0.25">
      <c r="A554" t="s">
        <v>4048</v>
      </c>
      <c r="B554">
        <v>1214743963</v>
      </c>
      <c r="C554" t="s">
        <v>1573</v>
      </c>
      <c r="D554" s="11" t="s">
        <v>256</v>
      </c>
      <c r="E554" s="11" t="s">
        <v>4040</v>
      </c>
      <c r="F554" s="11" t="s">
        <v>16</v>
      </c>
      <c r="G554" s="1">
        <v>46240</v>
      </c>
      <c r="H554" s="1">
        <v>46240</v>
      </c>
      <c r="I554" s="2">
        <v>0.58333333333333337</v>
      </c>
      <c r="J554" s="2">
        <v>0.875</v>
      </c>
      <c r="K554" s="11"/>
      <c r="L554" s="11" t="s">
        <v>4060</v>
      </c>
      <c r="M554" s="1"/>
      <c r="N554" s="11"/>
      <c r="O554" s="11" t="s">
        <v>4042</v>
      </c>
      <c r="P554" s="1"/>
      <c r="Q554" s="1"/>
      <c r="R554" s="11"/>
      <c r="S554" s="2">
        <f>CONSOLIDADO_2026[[#This Row],[Hora final]]-CONSOLIDADO_2026[[#This Row],[Hora inic]]</f>
        <v>0.29166666666666663</v>
      </c>
    </row>
    <row r="555" spans="1:19" hidden="1" x14ac:dyDescent="0.25">
      <c r="A555" t="s">
        <v>4051</v>
      </c>
      <c r="B555">
        <v>1214743963</v>
      </c>
      <c r="C555" t="s">
        <v>1573</v>
      </c>
      <c r="D555" s="11" t="s">
        <v>256</v>
      </c>
      <c r="E555" s="11" t="s">
        <v>4040</v>
      </c>
      <c r="F555" s="11" t="s">
        <v>16</v>
      </c>
      <c r="G555" s="1">
        <v>46240</v>
      </c>
      <c r="H555" s="1">
        <v>46240</v>
      </c>
      <c r="I555" s="2"/>
      <c r="J555" s="2"/>
      <c r="K555" s="11"/>
      <c r="L555" s="11" t="s">
        <v>4041</v>
      </c>
      <c r="M555" s="1"/>
      <c r="N555" s="11" t="s">
        <v>4042</v>
      </c>
      <c r="O555" s="11" t="s">
        <v>4042</v>
      </c>
      <c r="P555" s="1"/>
      <c r="Q555" s="1"/>
      <c r="R555" s="11"/>
      <c r="S555" s="2">
        <f>CONSOLIDADO_2026[[#This Row],[Hora final]]-CONSOLIDADO_2026[[#This Row],[Hora inic]]</f>
        <v>0</v>
      </c>
    </row>
    <row r="556" spans="1:19" hidden="1" x14ac:dyDescent="0.25">
      <c r="A556" t="s">
        <v>4048</v>
      </c>
      <c r="B556">
        <v>1039462842</v>
      </c>
      <c r="C556" t="s">
        <v>503</v>
      </c>
      <c r="D556" s="11" t="s">
        <v>128</v>
      </c>
      <c r="E556" s="11" t="s">
        <v>4045</v>
      </c>
      <c r="F556" s="11" t="s">
        <v>16</v>
      </c>
      <c r="G556" s="1">
        <v>46240</v>
      </c>
      <c r="H556" s="1">
        <v>46240</v>
      </c>
      <c r="I556" s="2">
        <v>0.54166666666666663</v>
      </c>
      <c r="J556" s="2">
        <v>0.875</v>
      </c>
      <c r="K556" s="11"/>
      <c r="L556" s="11" t="s">
        <v>4060</v>
      </c>
      <c r="M556" s="1"/>
      <c r="N556" s="11"/>
      <c r="O556" s="11" t="s">
        <v>4042</v>
      </c>
      <c r="P556" s="1"/>
      <c r="Q556" s="1"/>
      <c r="R556" s="11"/>
      <c r="S556" s="2">
        <f>CONSOLIDADO_2026[[#This Row],[Hora final]]-CONSOLIDADO_2026[[#This Row],[Hora inic]]</f>
        <v>0.33333333333333337</v>
      </c>
    </row>
    <row r="557" spans="1:19" hidden="1" x14ac:dyDescent="0.25">
      <c r="A557" t="s">
        <v>4051</v>
      </c>
      <c r="B557">
        <v>1039462842</v>
      </c>
      <c r="C557" t="s">
        <v>503</v>
      </c>
      <c r="D557" s="11" t="s">
        <v>128</v>
      </c>
      <c r="E557" s="11" t="s">
        <v>4045</v>
      </c>
      <c r="F557" s="11" t="s">
        <v>16</v>
      </c>
      <c r="G557" s="1">
        <v>46240</v>
      </c>
      <c r="H557" s="1">
        <v>46240</v>
      </c>
      <c r="I557" s="2"/>
      <c r="J557" s="2"/>
      <c r="K557" s="11"/>
      <c r="L557" s="11" t="s">
        <v>4041</v>
      </c>
      <c r="M557" s="1"/>
      <c r="N557" s="11" t="s">
        <v>4042</v>
      </c>
      <c r="O557" s="11" t="s">
        <v>4042</v>
      </c>
      <c r="P557" s="1"/>
      <c r="Q557" s="1"/>
      <c r="R557" s="11"/>
      <c r="S557" s="2">
        <f>CONSOLIDADO_2026[[#This Row],[Hora final]]-CONSOLIDADO_2026[[#This Row],[Hora inic]]</f>
        <v>0</v>
      </c>
    </row>
    <row r="558" spans="1:19" hidden="1" x14ac:dyDescent="0.25">
      <c r="A558" t="s">
        <v>4051</v>
      </c>
      <c r="B558">
        <v>1127074377</v>
      </c>
      <c r="C558" t="s">
        <v>422</v>
      </c>
      <c r="D558" s="11" t="s">
        <v>421</v>
      </c>
      <c r="E558" s="11" t="s">
        <v>4047</v>
      </c>
      <c r="F558" s="11" t="s">
        <v>4087</v>
      </c>
      <c r="G558" s="1">
        <v>46242</v>
      </c>
      <c r="H558" s="1">
        <v>46242</v>
      </c>
      <c r="I558" s="2">
        <v>0.25</v>
      </c>
      <c r="J558" s="2">
        <v>0.66666666666666663</v>
      </c>
      <c r="K558" s="11" t="s">
        <v>1382</v>
      </c>
      <c r="L558" s="11" t="s">
        <v>1383</v>
      </c>
      <c r="M558" s="1"/>
      <c r="N558" s="11" t="s">
        <v>4042</v>
      </c>
      <c r="O558" s="11" t="s">
        <v>4042</v>
      </c>
      <c r="P558" s="1"/>
      <c r="Q558" s="1"/>
      <c r="R558" s="11"/>
      <c r="S558" s="2">
        <f>CONSOLIDADO_2026[[#This Row],[Hora final]]-CONSOLIDADO_2026[[#This Row],[Hora inic]]</f>
        <v>0.41666666666666663</v>
      </c>
    </row>
    <row r="559" spans="1:19" hidden="1" x14ac:dyDescent="0.25">
      <c r="A559" t="s">
        <v>4052</v>
      </c>
      <c r="B559">
        <v>1127074377</v>
      </c>
      <c r="C559" t="s">
        <v>422</v>
      </c>
      <c r="D559" s="11" t="s">
        <v>421</v>
      </c>
      <c r="E559" s="11" t="s">
        <v>4047</v>
      </c>
      <c r="F559" s="11" t="s">
        <v>4087</v>
      </c>
      <c r="G559" s="1">
        <v>46242</v>
      </c>
      <c r="H559" s="1">
        <v>46242</v>
      </c>
      <c r="I559" s="2"/>
      <c r="J559" s="2"/>
      <c r="K559" s="11"/>
      <c r="L559" s="11" t="s">
        <v>4041</v>
      </c>
      <c r="M559" s="1"/>
      <c r="N559" s="11"/>
      <c r="O559" s="11" t="s">
        <v>4042</v>
      </c>
      <c r="P559" s="1"/>
      <c r="Q559" s="1"/>
      <c r="R559" s="11"/>
      <c r="S559" s="2">
        <f>CONSOLIDADO_2026[[#This Row],[Hora final]]-CONSOLIDADO_2026[[#This Row],[Hora inic]]</f>
        <v>0</v>
      </c>
    </row>
    <row r="560" spans="1:19" hidden="1" x14ac:dyDescent="0.25">
      <c r="A560" t="s">
        <v>4051</v>
      </c>
      <c r="B560">
        <v>1001901817</v>
      </c>
      <c r="C560" t="s">
        <v>4137</v>
      </c>
      <c r="D560" s="11" t="s">
        <v>634</v>
      </c>
      <c r="E560" s="11" t="s">
        <v>4045</v>
      </c>
      <c r="F560" s="11" t="s">
        <v>16</v>
      </c>
      <c r="G560" s="1">
        <v>46240</v>
      </c>
      <c r="H560" s="1">
        <v>46240</v>
      </c>
      <c r="I560" s="2"/>
      <c r="J560" s="2"/>
      <c r="K560" s="11"/>
      <c r="L560" s="11" t="s">
        <v>4041</v>
      </c>
      <c r="M560" s="1"/>
      <c r="N560" s="11" t="s">
        <v>4042</v>
      </c>
      <c r="O560" s="11" t="s">
        <v>4042</v>
      </c>
      <c r="P560" s="1"/>
      <c r="Q560" s="1"/>
      <c r="R560" s="11"/>
      <c r="S560" s="2">
        <f>CONSOLIDADO_2026[[#This Row],[Hora final]]-CONSOLIDADO_2026[[#This Row],[Hora inic]]</f>
        <v>0</v>
      </c>
    </row>
    <row r="561" spans="1:19" hidden="1" x14ac:dyDescent="0.25">
      <c r="A561" t="s">
        <v>4051</v>
      </c>
      <c r="B561">
        <v>1042422897</v>
      </c>
      <c r="C561" t="s">
        <v>4100</v>
      </c>
      <c r="D561" s="11" t="s">
        <v>256</v>
      </c>
      <c r="E561" s="11" t="s">
        <v>4040</v>
      </c>
      <c r="F561" s="11" t="s">
        <v>4050</v>
      </c>
      <c r="G561" s="1">
        <v>46242</v>
      </c>
      <c r="H561" s="1">
        <v>46245</v>
      </c>
      <c r="I561" s="2">
        <v>0.25</v>
      </c>
      <c r="J561" s="2">
        <v>0.66666666666666663</v>
      </c>
      <c r="K561" s="11" t="s">
        <v>116</v>
      </c>
      <c r="L561" s="11" t="s">
        <v>117</v>
      </c>
      <c r="M561" s="1"/>
      <c r="N561" s="11" t="s">
        <v>4042</v>
      </c>
      <c r="O561" s="11" t="s">
        <v>4042</v>
      </c>
      <c r="P561" s="1"/>
      <c r="Q561" s="1"/>
      <c r="R561" s="11"/>
      <c r="S561" s="2">
        <f>CONSOLIDADO_2026[[#This Row],[Hora final]]-CONSOLIDADO_2026[[#This Row],[Hora inic]]</f>
        <v>0.41666666666666663</v>
      </c>
    </row>
    <row r="562" spans="1:19" hidden="1" x14ac:dyDescent="0.25">
      <c r="A562" t="s">
        <v>4052</v>
      </c>
      <c r="B562">
        <v>1042422897</v>
      </c>
      <c r="C562" t="s">
        <v>4100</v>
      </c>
      <c r="D562" s="11" t="s">
        <v>256</v>
      </c>
      <c r="E562" s="11" t="s">
        <v>4040</v>
      </c>
      <c r="F562" s="11" t="s">
        <v>4050</v>
      </c>
      <c r="G562" s="1">
        <v>46242</v>
      </c>
      <c r="H562" s="1">
        <v>46245</v>
      </c>
      <c r="I562" s="2">
        <v>0.54166666666666663</v>
      </c>
      <c r="J562" s="2">
        <v>0.875</v>
      </c>
      <c r="K562" s="11" t="s">
        <v>116</v>
      </c>
      <c r="L562" s="11" t="s">
        <v>117</v>
      </c>
      <c r="M562" s="1"/>
      <c r="N562" s="11"/>
      <c r="O562" s="11" t="s">
        <v>21</v>
      </c>
      <c r="P562" s="1"/>
      <c r="Q562" s="1"/>
      <c r="R562" s="11"/>
      <c r="S562" s="2">
        <f>CONSOLIDADO_2026[[#This Row],[Hora final]]-CONSOLIDADO_2026[[#This Row],[Hora inic]]</f>
        <v>0.33333333333333337</v>
      </c>
    </row>
    <row r="563" spans="1:19" hidden="1" x14ac:dyDescent="0.25">
      <c r="A563" t="s">
        <v>4163</v>
      </c>
      <c r="B563">
        <v>1042422897</v>
      </c>
      <c r="C563" t="s">
        <v>4100</v>
      </c>
      <c r="D563" s="11" t="s">
        <v>256</v>
      </c>
      <c r="E563" s="11" t="s">
        <v>4040</v>
      </c>
      <c r="F563" s="11" t="s">
        <v>4050</v>
      </c>
      <c r="G563" s="1">
        <v>46242</v>
      </c>
      <c r="H563" s="1">
        <v>46245</v>
      </c>
      <c r="I563" s="2">
        <v>0.25</v>
      </c>
      <c r="J563" s="2">
        <v>0.58333333333333337</v>
      </c>
      <c r="K563" s="11"/>
      <c r="L563" s="11" t="s">
        <v>327</v>
      </c>
      <c r="M563" s="1"/>
      <c r="N563" s="11"/>
      <c r="O563" s="11" t="s">
        <v>4042</v>
      </c>
      <c r="P563" s="1"/>
      <c r="Q563" s="1"/>
      <c r="R563" s="11"/>
      <c r="S563" s="2">
        <f>CONSOLIDADO_2026[[#This Row],[Hora final]]-CONSOLIDADO_2026[[#This Row],[Hora inic]]</f>
        <v>0.33333333333333337</v>
      </c>
    </row>
    <row r="564" spans="1:19" hidden="1" x14ac:dyDescent="0.25">
      <c r="A564" t="s">
        <v>4051</v>
      </c>
      <c r="B564">
        <v>1045718883</v>
      </c>
      <c r="C564" t="s">
        <v>34</v>
      </c>
      <c r="D564" s="11" t="s">
        <v>15</v>
      </c>
      <c r="E564" s="11" t="s">
        <v>4046</v>
      </c>
      <c r="F564" s="11" t="s">
        <v>4074</v>
      </c>
      <c r="G564" s="1">
        <v>46240</v>
      </c>
      <c r="H564" s="1">
        <v>46249</v>
      </c>
      <c r="I564" s="2">
        <v>0.25</v>
      </c>
      <c r="J564" s="2">
        <v>0.66666666666666663</v>
      </c>
      <c r="K564" s="11" t="s">
        <v>222</v>
      </c>
      <c r="L564" s="11" t="s">
        <v>223</v>
      </c>
      <c r="M564" s="1">
        <v>46240</v>
      </c>
      <c r="N564" s="11" t="s">
        <v>4042</v>
      </c>
      <c r="O564" s="11" t="s">
        <v>4042</v>
      </c>
      <c r="P564" s="1">
        <v>46240</v>
      </c>
      <c r="Q564" s="1"/>
      <c r="R564" s="11" t="s">
        <v>4081</v>
      </c>
      <c r="S564" s="2">
        <f>CONSOLIDADO_2026[[#This Row],[Hora final]]-CONSOLIDADO_2026[[#This Row],[Hora inic]]</f>
        <v>0.41666666666666663</v>
      </c>
    </row>
    <row r="565" spans="1:19" hidden="1" x14ac:dyDescent="0.25">
      <c r="A565" t="s">
        <v>4163</v>
      </c>
      <c r="B565">
        <v>1045718883</v>
      </c>
      <c r="C565" t="s">
        <v>34</v>
      </c>
      <c r="D565" s="11" t="s">
        <v>15</v>
      </c>
      <c r="E565" s="11" t="s">
        <v>4046</v>
      </c>
      <c r="F565" s="11" t="s">
        <v>16</v>
      </c>
      <c r="G565" s="1">
        <v>46240</v>
      </c>
      <c r="H565" s="1">
        <v>46249</v>
      </c>
      <c r="I565" s="2">
        <v>0.54166666666666663</v>
      </c>
      <c r="J565" s="2">
        <v>0.875</v>
      </c>
      <c r="K565" s="11" t="s">
        <v>300</v>
      </c>
      <c r="L565" s="11" t="s">
        <v>301</v>
      </c>
      <c r="M565" s="1"/>
      <c r="N565" s="11"/>
      <c r="O565" s="11" t="s">
        <v>21</v>
      </c>
      <c r="P565" s="1"/>
      <c r="Q565" s="1"/>
      <c r="R565" s="11"/>
      <c r="S565" s="2">
        <f>CONSOLIDADO_2026[[#This Row],[Hora final]]-CONSOLIDADO_2026[[#This Row],[Hora inic]]</f>
        <v>0.33333333333333337</v>
      </c>
    </row>
    <row r="566" spans="1:19" hidden="1" x14ac:dyDescent="0.25">
      <c r="A566" t="s">
        <v>4051</v>
      </c>
      <c r="B566">
        <v>1001446162</v>
      </c>
      <c r="C566" t="s">
        <v>3663</v>
      </c>
      <c r="D566" s="11" t="s">
        <v>4078</v>
      </c>
      <c r="E566" s="11" t="s">
        <v>4056</v>
      </c>
      <c r="F566" s="11" t="s">
        <v>4079</v>
      </c>
      <c r="G566" s="1">
        <v>46242</v>
      </c>
      <c r="H566" s="1">
        <v>46242</v>
      </c>
      <c r="I566" s="2">
        <v>0.25</v>
      </c>
      <c r="J566" s="2">
        <v>0.58333333333333337</v>
      </c>
      <c r="K566" s="11" t="s">
        <v>3662</v>
      </c>
      <c r="L566" s="11" t="s">
        <v>3663</v>
      </c>
      <c r="M566" s="1"/>
      <c r="N566" s="11" t="s">
        <v>4042</v>
      </c>
      <c r="O566" s="11" t="s">
        <v>4042</v>
      </c>
      <c r="P566" s="1"/>
      <c r="Q566" s="1"/>
      <c r="R566" s="11"/>
      <c r="S566" s="2">
        <f>CONSOLIDADO_2026[[#This Row],[Hora final]]-CONSOLIDADO_2026[[#This Row],[Hora inic]]</f>
        <v>0.33333333333333337</v>
      </c>
    </row>
    <row r="567" spans="1:19" hidden="1" x14ac:dyDescent="0.25">
      <c r="A567" t="s">
        <v>4051</v>
      </c>
      <c r="B567">
        <v>1001369228</v>
      </c>
      <c r="C567" t="s">
        <v>164</v>
      </c>
      <c r="D567" s="11" t="s">
        <v>4078</v>
      </c>
      <c r="E567" s="11" t="s">
        <v>4056</v>
      </c>
      <c r="F567" s="11" t="s">
        <v>4079</v>
      </c>
      <c r="G567" s="1">
        <v>46242</v>
      </c>
      <c r="H567" s="1">
        <v>46242</v>
      </c>
      <c r="I567" s="2">
        <v>0.25</v>
      </c>
      <c r="J567" s="2">
        <v>0.58333333333333337</v>
      </c>
      <c r="K567" s="11" t="s">
        <v>163</v>
      </c>
      <c r="L567" s="11" t="s">
        <v>164</v>
      </c>
      <c r="M567" s="1"/>
      <c r="N567" s="11" t="s">
        <v>4042</v>
      </c>
      <c r="O567" s="11" t="s">
        <v>4042</v>
      </c>
      <c r="P567" s="1"/>
      <c r="Q567" s="1"/>
      <c r="R567" s="11"/>
      <c r="S567" s="2">
        <f>CONSOLIDADO_2026[[#This Row],[Hora final]]-CONSOLIDADO_2026[[#This Row],[Hora inic]]</f>
        <v>0.33333333333333337</v>
      </c>
    </row>
    <row r="568" spans="1:19" hidden="1" x14ac:dyDescent="0.25">
      <c r="A568" t="s">
        <v>4051</v>
      </c>
      <c r="B568">
        <v>1003000892</v>
      </c>
      <c r="C568" t="s">
        <v>182</v>
      </c>
      <c r="D568" s="11" t="s">
        <v>139</v>
      </c>
      <c r="E568" s="11" t="s">
        <v>4040</v>
      </c>
      <c r="F568" s="11" t="s">
        <v>4104</v>
      </c>
      <c r="G568" s="1">
        <v>46242</v>
      </c>
      <c r="H568" s="1">
        <v>46242</v>
      </c>
      <c r="I568" s="2">
        <v>0.25</v>
      </c>
      <c r="J568" s="2">
        <v>0.54166666666666663</v>
      </c>
      <c r="K568" s="11"/>
      <c r="L568" s="11" t="s">
        <v>339</v>
      </c>
      <c r="M568" s="1"/>
      <c r="N568" s="11" t="s">
        <v>4042</v>
      </c>
      <c r="O568" s="11" t="s">
        <v>4042</v>
      </c>
      <c r="P568" s="1"/>
      <c r="Q568" s="1"/>
      <c r="R568" s="11"/>
      <c r="S568" s="2">
        <f>CONSOLIDADO_2026[[#This Row],[Hora final]]-CONSOLIDADO_2026[[#This Row],[Hora inic]]</f>
        <v>0.29166666666666663</v>
      </c>
    </row>
    <row r="569" spans="1:19" hidden="1" x14ac:dyDescent="0.25">
      <c r="A569" t="s">
        <v>4051</v>
      </c>
      <c r="B569">
        <v>1000921455</v>
      </c>
      <c r="C569" t="s">
        <v>14</v>
      </c>
      <c r="D569" s="11" t="s">
        <v>15</v>
      </c>
      <c r="E569" s="11" t="s">
        <v>4046</v>
      </c>
      <c r="F569" s="11" t="s">
        <v>16</v>
      </c>
      <c r="G569" s="1">
        <v>46239</v>
      </c>
      <c r="H569" s="1">
        <v>46246</v>
      </c>
      <c r="I569" s="2">
        <v>0.25</v>
      </c>
      <c r="J569" s="2">
        <v>0.66666666666666663</v>
      </c>
      <c r="K569" s="11" t="s">
        <v>17</v>
      </c>
      <c r="L569" s="11" t="s">
        <v>18</v>
      </c>
      <c r="M569" s="1"/>
      <c r="N569" s="11" t="s">
        <v>21</v>
      </c>
      <c r="O569" s="11" t="s">
        <v>21</v>
      </c>
      <c r="P569" s="1"/>
      <c r="Q569" s="1"/>
      <c r="R569" s="11"/>
      <c r="S569" s="2">
        <f>CONSOLIDADO_2026[[#This Row],[Hora final]]-CONSOLIDADO_2026[[#This Row],[Hora inic]]</f>
        <v>0.41666666666666663</v>
      </c>
    </row>
    <row r="570" spans="1:19" hidden="1" x14ac:dyDescent="0.25">
      <c r="A570" t="s">
        <v>4052</v>
      </c>
      <c r="B570">
        <v>1000921455</v>
      </c>
      <c r="C570" t="s">
        <v>14</v>
      </c>
      <c r="D570" s="11" t="s">
        <v>15</v>
      </c>
      <c r="E570" s="11" t="s">
        <v>4046</v>
      </c>
      <c r="F570" s="11" t="s">
        <v>16</v>
      </c>
      <c r="G570" s="1">
        <v>46239</v>
      </c>
      <c r="H570" s="1">
        <v>46246</v>
      </c>
      <c r="I570" s="2">
        <v>0.58333333333333337</v>
      </c>
      <c r="J570" s="2">
        <v>0.875</v>
      </c>
      <c r="K570" s="11"/>
      <c r="L570" s="11" t="s">
        <v>327</v>
      </c>
      <c r="M570" s="1"/>
      <c r="N570" s="11"/>
      <c r="O570" s="11" t="s">
        <v>4042</v>
      </c>
      <c r="P570" s="1"/>
      <c r="Q570" s="1"/>
      <c r="R570" s="11"/>
      <c r="S570" s="2">
        <f>CONSOLIDADO_2026[[#This Row],[Hora final]]-CONSOLIDADO_2026[[#This Row],[Hora inic]]</f>
        <v>0.29166666666666663</v>
      </c>
    </row>
    <row r="571" spans="1:19" hidden="1" x14ac:dyDescent="0.25">
      <c r="A571" t="s">
        <v>4051</v>
      </c>
      <c r="B571">
        <v>1143413583</v>
      </c>
      <c r="C571" t="s">
        <v>41</v>
      </c>
      <c r="D571" s="11" t="s">
        <v>28</v>
      </c>
      <c r="E571" s="11" t="s">
        <v>4046</v>
      </c>
      <c r="F571" s="11" t="s">
        <v>4050</v>
      </c>
      <c r="G571" s="1">
        <v>46240</v>
      </c>
      <c r="H571" s="1">
        <v>46244</v>
      </c>
      <c r="I571" s="2">
        <v>0.25</v>
      </c>
      <c r="J571" s="2">
        <v>0.66666666666666663</v>
      </c>
      <c r="K571" s="11" t="s">
        <v>231</v>
      </c>
      <c r="L571" s="11" t="s">
        <v>232</v>
      </c>
      <c r="M571" s="1"/>
      <c r="N571" s="11" t="s">
        <v>4042</v>
      </c>
      <c r="O571" s="11" t="s">
        <v>4042</v>
      </c>
      <c r="P571" s="1"/>
      <c r="Q571" s="1"/>
      <c r="R571" s="11"/>
      <c r="S571" s="2">
        <f>CONSOLIDADO_2026[[#This Row],[Hora final]]-CONSOLIDADO_2026[[#This Row],[Hora inic]]</f>
        <v>0.41666666666666663</v>
      </c>
    </row>
    <row r="572" spans="1:19" hidden="1" x14ac:dyDescent="0.25">
      <c r="A572" t="s">
        <v>4052</v>
      </c>
      <c r="B572">
        <v>1143413583</v>
      </c>
      <c r="C572" t="s">
        <v>41</v>
      </c>
      <c r="D572" s="11" t="s">
        <v>28</v>
      </c>
      <c r="E572" s="11" t="s">
        <v>4046</v>
      </c>
      <c r="F572" s="11" t="s">
        <v>4050</v>
      </c>
      <c r="G572" s="1">
        <v>46240</v>
      </c>
      <c r="H572" s="1">
        <v>46244</v>
      </c>
      <c r="I572" s="2">
        <v>0.25</v>
      </c>
      <c r="J572" s="2">
        <v>0.54166666666666663</v>
      </c>
      <c r="K572" s="11"/>
      <c r="L572" s="11" t="s">
        <v>327</v>
      </c>
      <c r="M572" s="1"/>
      <c r="N572" s="11"/>
      <c r="O572" s="11" t="s">
        <v>4042</v>
      </c>
      <c r="P572" s="1"/>
      <c r="Q572" s="1"/>
      <c r="R572" s="11"/>
      <c r="S572" s="2">
        <f>CONSOLIDADO_2026[[#This Row],[Hora final]]-CONSOLIDADO_2026[[#This Row],[Hora inic]]</f>
        <v>0.29166666666666663</v>
      </c>
    </row>
    <row r="573" spans="1:19" hidden="1" x14ac:dyDescent="0.25">
      <c r="A573" t="s">
        <v>4163</v>
      </c>
      <c r="B573">
        <v>1143413583</v>
      </c>
      <c r="C573" t="s">
        <v>41</v>
      </c>
      <c r="D573" s="11" t="s">
        <v>28</v>
      </c>
      <c r="E573" s="11" t="s">
        <v>4046</v>
      </c>
      <c r="F573" s="11" t="s">
        <v>4050</v>
      </c>
      <c r="G573" s="1">
        <v>46240</v>
      </c>
      <c r="H573" s="1">
        <v>46244</v>
      </c>
      <c r="I573" s="2"/>
      <c r="J573" s="2"/>
      <c r="K573" s="11"/>
      <c r="L573" s="11" t="s">
        <v>4041</v>
      </c>
      <c r="M573" s="1"/>
      <c r="N573" s="11"/>
      <c r="O573" s="11" t="s">
        <v>4042</v>
      </c>
      <c r="P573" s="1"/>
      <c r="Q573" s="1"/>
      <c r="R573" s="11"/>
      <c r="S573" s="2">
        <f>CONSOLIDADO_2026[[#This Row],[Hora final]]-CONSOLIDADO_2026[[#This Row],[Hora inic]]</f>
        <v>0</v>
      </c>
    </row>
    <row r="574" spans="1:19" hidden="1" x14ac:dyDescent="0.25">
      <c r="A574" t="s">
        <v>4051</v>
      </c>
      <c r="B574">
        <v>1037668455</v>
      </c>
      <c r="C574" t="s">
        <v>3013</v>
      </c>
      <c r="D574" s="11" t="s">
        <v>78</v>
      </c>
      <c r="E574" s="11" t="s">
        <v>4046</v>
      </c>
      <c r="F574" s="11" t="s">
        <v>16</v>
      </c>
      <c r="G574" s="1">
        <v>46241</v>
      </c>
      <c r="H574" s="1">
        <v>46242</v>
      </c>
      <c r="I574" s="2">
        <v>0.25</v>
      </c>
      <c r="J574" s="2">
        <v>0.66666666666666663</v>
      </c>
      <c r="K574" s="11" t="s">
        <v>209</v>
      </c>
      <c r="L574" s="11" t="s">
        <v>210</v>
      </c>
      <c r="M574" s="1"/>
      <c r="N574" s="11" t="s">
        <v>4042</v>
      </c>
      <c r="O574" s="11" t="s">
        <v>4042</v>
      </c>
      <c r="P574" s="1"/>
      <c r="Q574" s="1"/>
      <c r="R574" s="11"/>
      <c r="S574" s="2">
        <f>CONSOLIDADO_2026[[#This Row],[Hora final]]-CONSOLIDADO_2026[[#This Row],[Hora inic]]</f>
        <v>0.41666666666666663</v>
      </c>
    </row>
    <row r="575" spans="1:19" hidden="1" x14ac:dyDescent="0.25">
      <c r="A575" t="s">
        <v>4052</v>
      </c>
      <c r="B575">
        <v>1037668455</v>
      </c>
      <c r="C575" t="s">
        <v>3013</v>
      </c>
      <c r="D575" s="11" t="s">
        <v>78</v>
      </c>
      <c r="E575" s="11" t="s">
        <v>4046</v>
      </c>
      <c r="F575" s="11" t="s">
        <v>16</v>
      </c>
      <c r="G575" s="1">
        <v>46241</v>
      </c>
      <c r="H575" s="1">
        <v>46242</v>
      </c>
      <c r="I575" s="2"/>
      <c r="J575" s="2"/>
      <c r="K575" s="11"/>
      <c r="L575" s="11" t="s">
        <v>4041</v>
      </c>
      <c r="M575" s="1"/>
      <c r="N575" s="11"/>
      <c r="O575" s="11" t="s">
        <v>4042</v>
      </c>
      <c r="P575" s="1"/>
      <c r="Q575" s="1"/>
      <c r="R575" s="11"/>
      <c r="S575" s="2">
        <f>CONSOLIDADO_2026[[#This Row],[Hora final]]-CONSOLIDADO_2026[[#This Row],[Hora inic]]</f>
        <v>0</v>
      </c>
    </row>
    <row r="576" spans="1:19" hidden="1" x14ac:dyDescent="0.25">
      <c r="A576" t="s">
        <v>4051</v>
      </c>
      <c r="B576">
        <v>1026134762</v>
      </c>
      <c r="C576" t="s">
        <v>1359</v>
      </c>
      <c r="D576" s="11" t="s">
        <v>15</v>
      </c>
      <c r="E576" s="11" t="s">
        <v>4046</v>
      </c>
      <c r="F576" s="11" t="s">
        <v>16</v>
      </c>
      <c r="G576" s="1">
        <v>46242</v>
      </c>
      <c r="H576" s="1">
        <v>46242</v>
      </c>
      <c r="I576" s="2">
        <v>0.25</v>
      </c>
      <c r="J576" s="2">
        <v>0.66666666666666663</v>
      </c>
      <c r="K576" s="11" t="s">
        <v>119</v>
      </c>
      <c r="L576" s="11" t="s">
        <v>120</v>
      </c>
      <c r="M576" s="1"/>
      <c r="N576" s="11" t="s">
        <v>4042</v>
      </c>
      <c r="O576" s="11" t="s">
        <v>4042</v>
      </c>
      <c r="P576" s="1"/>
      <c r="Q576" s="1"/>
      <c r="R576" s="11"/>
      <c r="S576" s="2">
        <f>CONSOLIDADO_2026[[#This Row],[Hora final]]-CONSOLIDADO_2026[[#This Row],[Hora inic]]</f>
        <v>0.41666666666666663</v>
      </c>
    </row>
    <row r="577" spans="1:19" hidden="1" x14ac:dyDescent="0.25">
      <c r="A577" t="s">
        <v>4052</v>
      </c>
      <c r="B577">
        <v>1026134762</v>
      </c>
      <c r="C577" t="s">
        <v>1359</v>
      </c>
      <c r="D577" s="11" t="s">
        <v>15</v>
      </c>
      <c r="E577" s="11" t="s">
        <v>4046</v>
      </c>
      <c r="F577" s="11" t="s">
        <v>16</v>
      </c>
      <c r="G577" s="1">
        <v>46242</v>
      </c>
      <c r="H577" s="1">
        <v>46242</v>
      </c>
      <c r="I577" s="2"/>
      <c r="J577" s="2"/>
      <c r="K577" s="11"/>
      <c r="L577" s="11" t="s">
        <v>4041</v>
      </c>
      <c r="M577" s="1"/>
      <c r="N577" s="11"/>
      <c r="O577" s="11" t="s">
        <v>4042</v>
      </c>
      <c r="P577" s="1"/>
      <c r="Q577" s="1"/>
      <c r="R577" s="11"/>
      <c r="S577" s="2">
        <f>CONSOLIDADO_2026[[#This Row],[Hora final]]-CONSOLIDADO_2026[[#This Row],[Hora inic]]</f>
        <v>0</v>
      </c>
    </row>
    <row r="578" spans="1:19" hidden="1" x14ac:dyDescent="0.25">
      <c r="A578" t="s">
        <v>4051</v>
      </c>
      <c r="B578">
        <v>1001817894</v>
      </c>
      <c r="C578" t="s">
        <v>1546</v>
      </c>
      <c r="D578" s="11" t="s">
        <v>15</v>
      </c>
      <c r="E578" s="11" t="s">
        <v>4046</v>
      </c>
      <c r="F578" s="11" t="s">
        <v>16</v>
      </c>
      <c r="G578" s="1">
        <v>46242</v>
      </c>
      <c r="H578" s="1">
        <v>46242</v>
      </c>
      <c r="I578" s="2">
        <v>0.25</v>
      </c>
      <c r="J578" s="2">
        <v>0.66666666666666663</v>
      </c>
      <c r="K578" s="11"/>
      <c r="L578" s="11" t="s">
        <v>4060</v>
      </c>
      <c r="M578" s="1"/>
      <c r="N578" s="11" t="s">
        <v>4042</v>
      </c>
      <c r="O578" s="11" t="s">
        <v>4042</v>
      </c>
      <c r="P578" s="1"/>
      <c r="Q578" s="1"/>
      <c r="R578" s="11"/>
      <c r="S578" s="2">
        <f>CONSOLIDADO_2026[[#This Row],[Hora final]]-CONSOLIDADO_2026[[#This Row],[Hora inic]]</f>
        <v>0.41666666666666663</v>
      </c>
    </row>
    <row r="579" spans="1:19" hidden="1" x14ac:dyDescent="0.25">
      <c r="A579" t="s">
        <v>4052</v>
      </c>
      <c r="B579">
        <v>1001817894</v>
      </c>
      <c r="C579" t="s">
        <v>1546</v>
      </c>
      <c r="D579" s="11" t="s">
        <v>15</v>
      </c>
      <c r="E579" s="11" t="s">
        <v>4046</v>
      </c>
      <c r="F579" s="11" t="s">
        <v>16</v>
      </c>
      <c r="G579" s="1">
        <v>46242</v>
      </c>
      <c r="H579" s="1">
        <v>46242</v>
      </c>
      <c r="I579" s="2"/>
      <c r="J579" s="2"/>
      <c r="K579" s="11"/>
      <c r="L579" s="11" t="s">
        <v>4041</v>
      </c>
      <c r="M579" s="1"/>
      <c r="N579" s="11"/>
      <c r="O579" s="11" t="s">
        <v>4042</v>
      </c>
      <c r="P579" s="1"/>
      <c r="Q579" s="1"/>
      <c r="R579" s="11"/>
      <c r="S579" s="2">
        <f>CONSOLIDADO_2026[[#This Row],[Hora final]]-CONSOLIDADO_2026[[#This Row],[Hora inic]]</f>
        <v>0</v>
      </c>
    </row>
    <row r="580" spans="1:19" hidden="1" x14ac:dyDescent="0.25">
      <c r="A580" t="s">
        <v>4051</v>
      </c>
      <c r="B580">
        <v>1152446353</v>
      </c>
      <c r="C580" t="s">
        <v>205</v>
      </c>
      <c r="D580" s="11" t="s">
        <v>51</v>
      </c>
      <c r="E580" s="11" t="s">
        <v>4047</v>
      </c>
      <c r="F580" s="11" t="s">
        <v>92</v>
      </c>
      <c r="G580" s="1"/>
      <c r="H580" s="1"/>
      <c r="I580" s="2"/>
      <c r="J580" s="2"/>
      <c r="K580" s="11"/>
      <c r="L580" s="11" t="s">
        <v>346</v>
      </c>
      <c r="M580" s="1"/>
      <c r="N580" s="11" t="s">
        <v>4042</v>
      </c>
      <c r="O580" s="11" t="s">
        <v>4042</v>
      </c>
      <c r="P580" s="1"/>
      <c r="Q580" s="1"/>
      <c r="R580" s="11"/>
      <c r="S580" s="2">
        <f>CONSOLIDADO_2026[[#This Row],[Hora final]]-CONSOLIDADO_2026[[#This Row],[Hora inic]]</f>
        <v>0</v>
      </c>
    </row>
    <row r="581" spans="1:19" hidden="1" x14ac:dyDescent="0.25">
      <c r="A581" t="s">
        <v>4052</v>
      </c>
      <c r="B581">
        <v>1152446353</v>
      </c>
      <c r="C581" t="s">
        <v>205</v>
      </c>
      <c r="D581" s="11" t="s">
        <v>51</v>
      </c>
      <c r="E581" s="11" t="s">
        <v>4047</v>
      </c>
      <c r="F581" s="11" t="s">
        <v>92</v>
      </c>
      <c r="G581" s="1"/>
      <c r="H581" s="1"/>
      <c r="I581" s="2"/>
      <c r="J581" s="2"/>
      <c r="K581" s="11"/>
      <c r="L581" s="11" t="s">
        <v>346</v>
      </c>
      <c r="M581" s="1"/>
      <c r="N581" s="11"/>
      <c r="O581" s="11" t="s">
        <v>4042</v>
      </c>
      <c r="P581" s="1"/>
      <c r="Q581" s="1"/>
      <c r="R581" s="11"/>
      <c r="S581" s="2">
        <f>CONSOLIDADO_2026[[#This Row],[Hora final]]-CONSOLIDADO_2026[[#This Row],[Hora inic]]</f>
        <v>0</v>
      </c>
    </row>
    <row r="582" spans="1:19" hidden="1" x14ac:dyDescent="0.25">
      <c r="A582" t="s">
        <v>4051</v>
      </c>
      <c r="B582">
        <v>1083567466</v>
      </c>
      <c r="C582" t="s">
        <v>1453</v>
      </c>
      <c r="D582" s="11" t="s">
        <v>421</v>
      </c>
      <c r="E582" s="11" t="s">
        <v>4047</v>
      </c>
      <c r="F582" s="11" t="s">
        <v>16</v>
      </c>
      <c r="G582" s="1">
        <v>46242</v>
      </c>
      <c r="H582" s="1">
        <v>46242</v>
      </c>
      <c r="I582" s="2">
        <v>0.25</v>
      </c>
      <c r="J582" s="2">
        <v>0.66666666666666663</v>
      </c>
      <c r="K582" s="11"/>
      <c r="L582" s="11" t="s">
        <v>4060</v>
      </c>
      <c r="M582" s="1"/>
      <c r="N582" s="11" t="s">
        <v>4042</v>
      </c>
      <c r="O582" s="11" t="s">
        <v>4042</v>
      </c>
      <c r="P582" s="1"/>
      <c r="Q582" s="1"/>
      <c r="R582" s="11"/>
      <c r="S582" s="2">
        <f>CONSOLIDADO_2026[[#This Row],[Hora final]]-CONSOLIDADO_2026[[#This Row],[Hora inic]]</f>
        <v>0.41666666666666663</v>
      </c>
    </row>
    <row r="583" spans="1:19" hidden="1" x14ac:dyDescent="0.25">
      <c r="A583" t="s">
        <v>4052</v>
      </c>
      <c r="B583">
        <v>1083567466</v>
      </c>
      <c r="C583" t="s">
        <v>1453</v>
      </c>
      <c r="D583" s="11" t="s">
        <v>421</v>
      </c>
      <c r="E583" s="11" t="s">
        <v>4047</v>
      </c>
      <c r="F583" s="11" t="s">
        <v>16</v>
      </c>
      <c r="G583" s="1">
        <v>46242</v>
      </c>
      <c r="H583" s="1">
        <v>46242</v>
      </c>
      <c r="I583" s="2"/>
      <c r="J583" s="2"/>
      <c r="K583" s="11"/>
      <c r="L583" s="11" t="s">
        <v>4041</v>
      </c>
      <c r="M583" s="1"/>
      <c r="N583" s="11"/>
      <c r="O583" s="11" t="s">
        <v>4042</v>
      </c>
      <c r="P583" s="1"/>
      <c r="Q583" s="1"/>
      <c r="R583" s="11"/>
      <c r="S583" s="2">
        <f>CONSOLIDADO_2026[[#This Row],[Hora final]]-CONSOLIDADO_2026[[#This Row],[Hora inic]]</f>
        <v>0</v>
      </c>
    </row>
    <row r="584" spans="1:19" hidden="1" x14ac:dyDescent="0.25">
      <c r="A584" t="s">
        <v>4051</v>
      </c>
      <c r="B584">
        <v>1003083272</v>
      </c>
      <c r="C584" t="s">
        <v>1269</v>
      </c>
      <c r="D584" s="11" t="s">
        <v>55</v>
      </c>
      <c r="E584" s="11" t="s">
        <v>4047</v>
      </c>
      <c r="F584" s="11" t="s">
        <v>16</v>
      </c>
      <c r="G584" s="1">
        <v>46241</v>
      </c>
      <c r="H584" s="1">
        <v>46242</v>
      </c>
      <c r="I584" s="2">
        <v>0.25</v>
      </c>
      <c r="J584" s="2">
        <v>0.66666666666666663</v>
      </c>
      <c r="K584" s="11"/>
      <c r="L584" s="11" t="s">
        <v>327</v>
      </c>
      <c r="M584" s="1"/>
      <c r="N584" s="11" t="s">
        <v>4042</v>
      </c>
      <c r="O584" s="11" t="s">
        <v>4042</v>
      </c>
      <c r="P584" s="1"/>
      <c r="Q584" s="1"/>
      <c r="R584" s="11"/>
      <c r="S584" s="2">
        <f>CONSOLIDADO_2026[[#This Row],[Hora final]]-CONSOLIDADO_2026[[#This Row],[Hora inic]]</f>
        <v>0.41666666666666663</v>
      </c>
    </row>
    <row r="585" spans="1:19" hidden="1" x14ac:dyDescent="0.25">
      <c r="A585" t="s">
        <v>4052</v>
      </c>
      <c r="B585">
        <v>1003083272</v>
      </c>
      <c r="C585" t="s">
        <v>1269</v>
      </c>
      <c r="D585" s="11" t="s">
        <v>55</v>
      </c>
      <c r="E585" s="11" t="s">
        <v>4047</v>
      </c>
      <c r="F585" s="11" t="s">
        <v>16</v>
      </c>
      <c r="G585" s="1">
        <v>46241</v>
      </c>
      <c r="H585" s="1">
        <v>46242</v>
      </c>
      <c r="I585" s="2"/>
      <c r="J585" s="2"/>
      <c r="K585" s="11"/>
      <c r="L585" s="11" t="s">
        <v>4041</v>
      </c>
      <c r="M585" s="1"/>
      <c r="N585" s="11"/>
      <c r="O585" s="11" t="s">
        <v>4042</v>
      </c>
      <c r="P585" s="1"/>
      <c r="Q585" s="1"/>
      <c r="R585" s="11"/>
      <c r="S585" s="2">
        <f>CONSOLIDADO_2026[[#This Row],[Hora final]]-CONSOLIDADO_2026[[#This Row],[Hora inic]]</f>
        <v>0</v>
      </c>
    </row>
    <row r="586" spans="1:19" hidden="1" x14ac:dyDescent="0.25">
      <c r="A586" t="s">
        <v>4051</v>
      </c>
      <c r="B586">
        <v>1083037131</v>
      </c>
      <c r="C586" t="s">
        <v>533</v>
      </c>
      <c r="D586" s="11" t="s">
        <v>64</v>
      </c>
      <c r="E586" s="11" t="s">
        <v>4046</v>
      </c>
      <c r="F586" s="11" t="s">
        <v>16</v>
      </c>
      <c r="G586" s="1">
        <v>46242</v>
      </c>
      <c r="H586" s="1">
        <v>46242</v>
      </c>
      <c r="I586" s="2">
        <v>0.25</v>
      </c>
      <c r="J586" s="2">
        <v>0.66666666666666663</v>
      </c>
      <c r="K586" s="11"/>
      <c r="L586" s="11" t="s">
        <v>327</v>
      </c>
      <c r="M586" s="1"/>
      <c r="N586" s="11" t="s">
        <v>4042</v>
      </c>
      <c r="O586" s="11" t="s">
        <v>4042</v>
      </c>
      <c r="P586" s="1"/>
      <c r="Q586" s="1"/>
      <c r="R586" s="11"/>
      <c r="S586" s="2">
        <f>CONSOLIDADO_2026[[#This Row],[Hora final]]-CONSOLIDADO_2026[[#This Row],[Hora inic]]</f>
        <v>0.41666666666666663</v>
      </c>
    </row>
    <row r="587" spans="1:19" hidden="1" x14ac:dyDescent="0.25">
      <c r="A587" t="s">
        <v>4052</v>
      </c>
      <c r="B587">
        <v>1083037131</v>
      </c>
      <c r="C587" t="s">
        <v>533</v>
      </c>
      <c r="D587" s="11" t="s">
        <v>64</v>
      </c>
      <c r="E587" s="11" t="s">
        <v>4046</v>
      </c>
      <c r="F587" s="11" t="s">
        <v>16</v>
      </c>
      <c r="G587" s="1">
        <v>46242</v>
      </c>
      <c r="H587" s="1">
        <v>46242</v>
      </c>
      <c r="I587" s="2"/>
      <c r="J587" s="2"/>
      <c r="K587" s="11"/>
      <c r="L587" s="11" t="s">
        <v>4041</v>
      </c>
      <c r="M587" s="1"/>
      <c r="N587" s="11"/>
      <c r="O587" s="11" t="s">
        <v>4042</v>
      </c>
      <c r="P587" s="1"/>
      <c r="Q587" s="1"/>
      <c r="R587" s="11"/>
      <c r="S587" s="2">
        <f>CONSOLIDADO_2026[[#This Row],[Hora final]]-CONSOLIDADO_2026[[#This Row],[Hora inic]]</f>
        <v>0</v>
      </c>
    </row>
    <row r="588" spans="1:19" hidden="1" x14ac:dyDescent="0.25">
      <c r="A588" t="s">
        <v>4051</v>
      </c>
      <c r="B588">
        <v>1037637914</v>
      </c>
      <c r="C588" t="s">
        <v>2749</v>
      </c>
      <c r="D588" s="11" t="s">
        <v>15</v>
      </c>
      <c r="E588" s="11" t="s">
        <v>4046</v>
      </c>
      <c r="F588" s="11" t="s">
        <v>16</v>
      </c>
      <c r="G588" s="1">
        <v>46242</v>
      </c>
      <c r="H588" s="1">
        <v>46242</v>
      </c>
      <c r="I588" s="2">
        <v>0.25</v>
      </c>
      <c r="J588" s="2">
        <v>0.66666666666666663</v>
      </c>
      <c r="K588" s="11"/>
      <c r="L588" s="11" t="s">
        <v>327</v>
      </c>
      <c r="M588" s="1"/>
      <c r="N588" s="11" t="s">
        <v>4042</v>
      </c>
      <c r="O588" s="11" t="s">
        <v>4042</v>
      </c>
      <c r="P588" s="1"/>
      <c r="Q588" s="1"/>
      <c r="R588" s="11"/>
      <c r="S588" s="2">
        <f>CONSOLIDADO_2026[[#This Row],[Hora final]]-CONSOLIDADO_2026[[#This Row],[Hora inic]]</f>
        <v>0.41666666666666663</v>
      </c>
    </row>
    <row r="589" spans="1:19" hidden="1" x14ac:dyDescent="0.25">
      <c r="A589" t="s">
        <v>4052</v>
      </c>
      <c r="B589">
        <v>1037637914</v>
      </c>
      <c r="C589" t="s">
        <v>2749</v>
      </c>
      <c r="D589" s="11" t="s">
        <v>15</v>
      </c>
      <c r="E589" s="11" t="s">
        <v>4046</v>
      </c>
      <c r="F589" s="11" t="s">
        <v>16</v>
      </c>
      <c r="G589" s="1">
        <v>46242</v>
      </c>
      <c r="H589" s="1">
        <v>46242</v>
      </c>
      <c r="I589" s="2"/>
      <c r="J589" s="2"/>
      <c r="K589" s="11"/>
      <c r="L589" s="11" t="s">
        <v>4041</v>
      </c>
      <c r="M589" s="1"/>
      <c r="N589" s="11"/>
      <c r="O589" s="11" t="s">
        <v>4042</v>
      </c>
      <c r="P589" s="1"/>
      <c r="Q589" s="1"/>
      <c r="R589" s="11"/>
      <c r="S589" s="2">
        <f>CONSOLIDADO_2026[[#This Row],[Hora final]]-CONSOLIDADO_2026[[#This Row],[Hora inic]]</f>
        <v>0</v>
      </c>
    </row>
    <row r="590" spans="1:19" hidden="1" x14ac:dyDescent="0.25">
      <c r="A590" t="s">
        <v>4051</v>
      </c>
      <c r="B590">
        <v>1235045754</v>
      </c>
      <c r="C590" t="s">
        <v>2420</v>
      </c>
      <c r="D590" s="11" t="s">
        <v>421</v>
      </c>
      <c r="E590" s="11" t="s">
        <v>4047</v>
      </c>
      <c r="F590" s="11" t="s">
        <v>16</v>
      </c>
      <c r="G590" s="1">
        <v>46242</v>
      </c>
      <c r="H590" s="1">
        <v>46242</v>
      </c>
      <c r="I590" s="2"/>
      <c r="J590" s="2"/>
      <c r="K590" s="11"/>
      <c r="L590" s="11" t="s">
        <v>4060</v>
      </c>
      <c r="M590" s="1"/>
      <c r="N590" s="11" t="s">
        <v>4042</v>
      </c>
      <c r="O590" s="11" t="s">
        <v>4042</v>
      </c>
      <c r="P590" s="1"/>
      <c r="Q590" s="1"/>
      <c r="R590" s="11"/>
      <c r="S590" s="2">
        <f>CONSOLIDADO_2026[[#This Row],[Hora final]]-CONSOLIDADO_2026[[#This Row],[Hora inic]]</f>
        <v>0</v>
      </c>
    </row>
    <row r="591" spans="1:19" hidden="1" x14ac:dyDescent="0.25">
      <c r="A591" t="s">
        <v>4052</v>
      </c>
      <c r="B591">
        <v>1235045754</v>
      </c>
      <c r="C591" t="s">
        <v>2420</v>
      </c>
      <c r="D591" s="11" t="s">
        <v>421</v>
      </c>
      <c r="E591" s="11" t="s">
        <v>4047</v>
      </c>
      <c r="F591" s="11" t="s">
        <v>16</v>
      </c>
      <c r="G591" s="1">
        <v>46242</v>
      </c>
      <c r="H591" s="1">
        <v>46242</v>
      </c>
      <c r="I591" s="2"/>
      <c r="J591" s="2"/>
      <c r="K591" s="11"/>
      <c r="L591" s="11" t="s">
        <v>4041</v>
      </c>
      <c r="M591" s="1"/>
      <c r="N591" s="11"/>
      <c r="O591" s="11" t="s">
        <v>4042</v>
      </c>
      <c r="P591" s="1"/>
      <c r="Q591" s="1"/>
      <c r="R591" s="11"/>
      <c r="S591" s="2">
        <f>CONSOLIDADO_2026[[#This Row],[Hora final]]-CONSOLIDADO_2026[[#This Row],[Hora inic]]</f>
        <v>0</v>
      </c>
    </row>
    <row r="592" spans="1:19" hidden="1" x14ac:dyDescent="0.25">
      <c r="A592" t="s">
        <v>4051</v>
      </c>
      <c r="B592">
        <v>1015483595</v>
      </c>
      <c r="C592" t="s">
        <v>4156</v>
      </c>
      <c r="D592" s="11" t="s">
        <v>15</v>
      </c>
      <c r="E592" s="11" t="s">
        <v>4046</v>
      </c>
      <c r="F592" s="11" t="s">
        <v>24</v>
      </c>
      <c r="G592" s="1">
        <v>46244</v>
      </c>
      <c r="H592" s="1">
        <v>46265</v>
      </c>
      <c r="I592" s="2">
        <v>0.25</v>
      </c>
      <c r="J592" s="2">
        <v>0.66666666666666663</v>
      </c>
      <c r="K592" s="11"/>
      <c r="L592" s="11" t="s">
        <v>4060</v>
      </c>
      <c r="M592" s="1"/>
      <c r="N592" s="11" t="s">
        <v>4042</v>
      </c>
      <c r="O592" s="11" t="s">
        <v>4042</v>
      </c>
      <c r="P592" s="1"/>
      <c r="Q592" s="1"/>
      <c r="R592" s="11"/>
      <c r="S592" s="2">
        <f>CONSOLIDADO_2026[[#This Row],[Hora final]]-CONSOLIDADO_2026[[#This Row],[Hora inic]]</f>
        <v>0.41666666666666663</v>
      </c>
    </row>
    <row r="593" spans="1:19" hidden="1" x14ac:dyDescent="0.25">
      <c r="A593" t="s">
        <v>4052</v>
      </c>
      <c r="B593">
        <v>1015483595</v>
      </c>
      <c r="C593" t="s">
        <v>221</v>
      </c>
      <c r="D593" s="11" t="s">
        <v>15</v>
      </c>
      <c r="E593" s="11" t="s">
        <v>4046</v>
      </c>
      <c r="F593" s="11" t="s">
        <v>24</v>
      </c>
      <c r="G593" s="1">
        <v>46244</v>
      </c>
      <c r="H593" s="1">
        <v>46265</v>
      </c>
      <c r="I593" s="2">
        <v>0.25</v>
      </c>
      <c r="J593" s="2">
        <v>0.54166666666666663</v>
      </c>
      <c r="K593" s="11" t="s">
        <v>222</v>
      </c>
      <c r="L593" s="11" t="s">
        <v>223</v>
      </c>
      <c r="M593" s="1"/>
      <c r="N593" s="11"/>
      <c r="O593" s="11" t="s">
        <v>21</v>
      </c>
      <c r="P593" s="1"/>
      <c r="Q593" s="1"/>
      <c r="R593" s="11"/>
      <c r="S593" s="2">
        <f>CONSOLIDADO_2026[[#This Row],[Hora final]]-CONSOLIDADO_2026[[#This Row],[Hora inic]]</f>
        <v>0.29166666666666663</v>
      </c>
    </row>
    <row r="594" spans="1:19" hidden="1" x14ac:dyDescent="0.25">
      <c r="A594" t="s">
        <v>4163</v>
      </c>
      <c r="B594">
        <v>1015483595</v>
      </c>
      <c r="C594" t="s">
        <v>23</v>
      </c>
      <c r="D594" s="11" t="s">
        <v>15</v>
      </c>
      <c r="E594" s="11" t="s">
        <v>4046</v>
      </c>
      <c r="F594" s="11" t="s">
        <v>24</v>
      </c>
      <c r="G594" s="1">
        <v>46244</v>
      </c>
      <c r="H594" s="1">
        <v>46265</v>
      </c>
      <c r="I594" s="2">
        <v>0.25</v>
      </c>
      <c r="J594" s="2">
        <v>0.58333333333333337</v>
      </c>
      <c r="K594" s="11"/>
      <c r="L594" s="11" t="s">
        <v>327</v>
      </c>
      <c r="M594" s="1"/>
      <c r="N594" s="11"/>
      <c r="O594" s="11" t="s">
        <v>4042</v>
      </c>
      <c r="P594" s="1"/>
      <c r="Q594" s="1"/>
      <c r="R594" s="11"/>
      <c r="S594" s="2">
        <f>CONSOLIDADO_2026[[#This Row],[Hora final]]-CONSOLIDADO_2026[[#This Row],[Hora inic]]</f>
        <v>0.33333333333333337</v>
      </c>
    </row>
    <row r="595" spans="1:19" hidden="1" x14ac:dyDescent="0.25">
      <c r="A595" t="s">
        <v>4051</v>
      </c>
      <c r="B595">
        <v>1214714989</v>
      </c>
      <c r="C595" t="s">
        <v>2191</v>
      </c>
      <c r="D595" s="11" t="s">
        <v>256</v>
      </c>
      <c r="E595" s="11" t="s">
        <v>4040</v>
      </c>
      <c r="F595" s="11" t="s">
        <v>16</v>
      </c>
      <c r="G595" s="1">
        <v>46242</v>
      </c>
      <c r="H595" s="1">
        <v>46242</v>
      </c>
      <c r="I595" s="2">
        <v>0.25</v>
      </c>
      <c r="J595" s="2">
        <v>0.66666666666666663</v>
      </c>
      <c r="K595" s="11"/>
      <c r="L595" s="11" t="s">
        <v>4060</v>
      </c>
      <c r="M595" s="1"/>
      <c r="N595" s="11" t="s">
        <v>4042</v>
      </c>
      <c r="O595" s="11" t="s">
        <v>4042</v>
      </c>
      <c r="P595" s="1"/>
      <c r="Q595" s="1"/>
      <c r="R595" s="11"/>
      <c r="S595" s="2">
        <f>CONSOLIDADO_2026[[#This Row],[Hora final]]-CONSOLIDADO_2026[[#This Row],[Hora inic]]</f>
        <v>0.41666666666666663</v>
      </c>
    </row>
    <row r="596" spans="1:19" hidden="1" x14ac:dyDescent="0.25">
      <c r="A596" t="s">
        <v>4052</v>
      </c>
      <c r="B596">
        <v>1214714989</v>
      </c>
      <c r="C596" t="s">
        <v>2191</v>
      </c>
      <c r="D596" s="11" t="s">
        <v>256</v>
      </c>
      <c r="E596" s="11" t="s">
        <v>4040</v>
      </c>
      <c r="F596" s="11" t="s">
        <v>16</v>
      </c>
      <c r="G596" s="1">
        <v>46242</v>
      </c>
      <c r="H596" s="1">
        <v>46242</v>
      </c>
      <c r="I596" s="2"/>
      <c r="J596" s="2"/>
      <c r="K596" s="11"/>
      <c r="L596" s="11" t="s">
        <v>4041</v>
      </c>
      <c r="M596" s="1"/>
      <c r="N596" s="11"/>
      <c r="O596" s="11" t="s">
        <v>4042</v>
      </c>
      <c r="P596" s="1"/>
      <c r="Q596" s="1"/>
      <c r="R596" s="11"/>
      <c r="S596" s="2">
        <f>CONSOLIDADO_2026[[#This Row],[Hora final]]-CONSOLIDADO_2026[[#This Row],[Hora inic]]</f>
        <v>0</v>
      </c>
    </row>
    <row r="597" spans="1:19" hidden="1" x14ac:dyDescent="0.25">
      <c r="A597" t="s">
        <v>4051</v>
      </c>
      <c r="B597">
        <v>1010149319</v>
      </c>
      <c r="C597" t="s">
        <v>3177</v>
      </c>
      <c r="D597" s="11" t="s">
        <v>59</v>
      </c>
      <c r="E597" s="11" t="s">
        <v>4047</v>
      </c>
      <c r="F597" s="11" t="s">
        <v>16</v>
      </c>
      <c r="G597" s="1">
        <v>46242</v>
      </c>
      <c r="H597" s="1">
        <v>46242</v>
      </c>
      <c r="I597" s="2">
        <v>0.25</v>
      </c>
      <c r="J597" s="2">
        <v>0.54166666666666663</v>
      </c>
      <c r="K597" s="11"/>
      <c r="L597" s="11" t="s">
        <v>4060</v>
      </c>
      <c r="M597" s="1"/>
      <c r="N597" s="11" t="s">
        <v>4042</v>
      </c>
      <c r="O597" s="11" t="s">
        <v>4042</v>
      </c>
      <c r="P597" s="1"/>
      <c r="Q597" s="1"/>
      <c r="R597" s="11"/>
      <c r="S597" s="2">
        <f>CONSOLIDADO_2026[[#This Row],[Hora final]]-CONSOLIDADO_2026[[#This Row],[Hora inic]]</f>
        <v>0.29166666666666663</v>
      </c>
    </row>
    <row r="598" spans="1:19" hidden="1" x14ac:dyDescent="0.25">
      <c r="A598" t="s">
        <v>4052</v>
      </c>
      <c r="B598">
        <v>1010149319</v>
      </c>
      <c r="C598" t="s">
        <v>3177</v>
      </c>
      <c r="D598" s="11" t="s">
        <v>59</v>
      </c>
      <c r="E598" s="11" t="s">
        <v>4047</v>
      </c>
      <c r="F598" s="11" t="s">
        <v>16</v>
      </c>
      <c r="G598" s="1">
        <v>46242</v>
      </c>
      <c r="H598" s="1">
        <v>46242</v>
      </c>
      <c r="I598" s="2"/>
      <c r="J598" s="2"/>
      <c r="K598" s="11"/>
      <c r="L598" s="11" t="s">
        <v>4041</v>
      </c>
      <c r="M598" s="1"/>
      <c r="N598" s="11"/>
      <c r="O598" s="11" t="s">
        <v>4042</v>
      </c>
      <c r="P598" s="1"/>
      <c r="Q598" s="1"/>
      <c r="R598" s="11"/>
      <c r="S598" s="2">
        <f>CONSOLIDADO_2026[[#This Row],[Hora final]]-CONSOLIDADO_2026[[#This Row],[Hora inic]]</f>
        <v>0</v>
      </c>
    </row>
    <row r="599" spans="1:19" hidden="1" x14ac:dyDescent="0.25">
      <c r="A599" t="s">
        <v>4051</v>
      </c>
      <c r="B599">
        <v>1010246557</v>
      </c>
      <c r="C599" t="s">
        <v>3461</v>
      </c>
      <c r="D599" s="11" t="s">
        <v>256</v>
      </c>
      <c r="E599" s="11" t="s">
        <v>4040</v>
      </c>
      <c r="F599" s="11" t="s">
        <v>16</v>
      </c>
      <c r="G599" s="1">
        <v>46242</v>
      </c>
      <c r="H599" s="1">
        <v>46242</v>
      </c>
      <c r="I599" s="2">
        <v>0.25</v>
      </c>
      <c r="J599" s="2">
        <v>0.66666666666666663</v>
      </c>
      <c r="K599" s="11"/>
      <c r="L599" s="11" t="s">
        <v>4157</v>
      </c>
      <c r="M599" s="1"/>
      <c r="N599" s="11" t="s">
        <v>4042</v>
      </c>
      <c r="O599" s="11" t="s">
        <v>4042</v>
      </c>
      <c r="P599" s="1"/>
      <c r="Q599" s="1"/>
      <c r="R599" s="11"/>
      <c r="S599" s="2">
        <f>CONSOLIDADO_2026[[#This Row],[Hora final]]-CONSOLIDADO_2026[[#This Row],[Hora inic]]</f>
        <v>0.41666666666666663</v>
      </c>
    </row>
    <row r="600" spans="1:19" hidden="1" x14ac:dyDescent="0.25">
      <c r="A600" t="s">
        <v>4052</v>
      </c>
      <c r="B600">
        <v>1010246557</v>
      </c>
      <c r="C600" t="s">
        <v>3461</v>
      </c>
      <c r="D600" s="11" t="s">
        <v>256</v>
      </c>
      <c r="E600" s="11" t="s">
        <v>4040</v>
      </c>
      <c r="F600" s="11" t="s">
        <v>16</v>
      </c>
      <c r="G600" s="1">
        <v>46242</v>
      </c>
      <c r="H600" s="1">
        <v>46242</v>
      </c>
      <c r="I600" s="2"/>
      <c r="J600" s="2"/>
      <c r="K600" s="11"/>
      <c r="L600" s="11" t="s">
        <v>4041</v>
      </c>
      <c r="M600" s="1"/>
      <c r="N600" s="11"/>
      <c r="O600" s="11" t="s">
        <v>4042</v>
      </c>
      <c r="P600" s="1"/>
      <c r="Q600" s="1"/>
      <c r="R600" s="11"/>
      <c r="S600" s="2">
        <f>CONSOLIDADO_2026[[#This Row],[Hora final]]-CONSOLIDADO_2026[[#This Row],[Hora inic]]</f>
        <v>0</v>
      </c>
    </row>
    <row r="601" spans="1:19" hidden="1" x14ac:dyDescent="0.25">
      <c r="A601" t="s">
        <v>4051</v>
      </c>
      <c r="B601">
        <v>88030132</v>
      </c>
      <c r="C601" t="s">
        <v>1956</v>
      </c>
      <c r="D601" s="11" t="s">
        <v>59</v>
      </c>
      <c r="E601" s="11" t="s">
        <v>4047</v>
      </c>
      <c r="F601" s="11" t="s">
        <v>4074</v>
      </c>
      <c r="G601" s="1">
        <v>46242</v>
      </c>
      <c r="H601" s="1">
        <v>46243</v>
      </c>
      <c r="I601" s="2">
        <v>0.25</v>
      </c>
      <c r="J601" s="2">
        <v>0.66666666666666663</v>
      </c>
      <c r="K601" s="11"/>
      <c r="L601" s="11" t="s">
        <v>4060</v>
      </c>
      <c r="M601" s="1"/>
      <c r="N601" s="11" t="s">
        <v>4042</v>
      </c>
      <c r="O601" s="11" t="s">
        <v>4042</v>
      </c>
      <c r="P601" s="1"/>
      <c r="Q601" s="1"/>
      <c r="R601" s="11"/>
      <c r="S601" s="2">
        <f>CONSOLIDADO_2026[[#This Row],[Hora final]]-CONSOLIDADO_2026[[#This Row],[Hora inic]]</f>
        <v>0.41666666666666663</v>
      </c>
    </row>
    <row r="602" spans="1:19" hidden="1" x14ac:dyDescent="0.25">
      <c r="A602" t="s">
        <v>4052</v>
      </c>
      <c r="B602">
        <v>88030132</v>
      </c>
      <c r="C602" t="s">
        <v>1956</v>
      </c>
      <c r="D602" s="11" t="s">
        <v>59</v>
      </c>
      <c r="E602" s="11" t="s">
        <v>4047</v>
      </c>
      <c r="F602" s="11" t="s">
        <v>16</v>
      </c>
      <c r="G602" s="1">
        <v>46242</v>
      </c>
      <c r="H602" s="1">
        <v>46243</v>
      </c>
      <c r="I602" s="2">
        <v>0.25</v>
      </c>
      <c r="J602" s="2">
        <v>0.54166666666666663</v>
      </c>
      <c r="K602" s="11"/>
      <c r="L602" s="11" t="s">
        <v>4041</v>
      </c>
      <c r="M602" s="1"/>
      <c r="N602" s="11"/>
      <c r="O602" s="11" t="s">
        <v>4042</v>
      </c>
      <c r="P602" s="1"/>
      <c r="Q602" s="1"/>
      <c r="R602" s="11"/>
      <c r="S602" s="2">
        <f>CONSOLIDADO_2026[[#This Row],[Hora final]]-CONSOLIDADO_2026[[#This Row],[Hora inic]]</f>
        <v>0.29166666666666663</v>
      </c>
    </row>
    <row r="603" spans="1:19" hidden="1" x14ac:dyDescent="0.25">
      <c r="A603" t="s">
        <v>4051</v>
      </c>
      <c r="B603">
        <v>1107046318</v>
      </c>
      <c r="C603" t="s">
        <v>268</v>
      </c>
      <c r="D603" s="11" t="s">
        <v>344</v>
      </c>
      <c r="E603" s="11" t="s">
        <v>4056</v>
      </c>
      <c r="F603" s="11" t="s">
        <v>4079</v>
      </c>
      <c r="G603" s="1">
        <v>46242</v>
      </c>
      <c r="H603" s="1">
        <v>46242</v>
      </c>
      <c r="I603" s="2">
        <v>0.29166666666666669</v>
      </c>
      <c r="J603" s="2">
        <v>0.66666666666666663</v>
      </c>
      <c r="K603" s="11"/>
      <c r="L603" s="11" t="s">
        <v>339</v>
      </c>
      <c r="M603" s="1"/>
      <c r="N603" s="11" t="s">
        <v>4042</v>
      </c>
      <c r="O603" s="11" t="s">
        <v>4042</v>
      </c>
      <c r="P603" s="1"/>
      <c r="Q603" s="1"/>
      <c r="R603" s="11"/>
      <c r="S603" s="2">
        <f>CONSOLIDADO_2026[[#This Row],[Hora final]]-CONSOLIDADO_2026[[#This Row],[Hora inic]]</f>
        <v>0.37499999999999994</v>
      </c>
    </row>
    <row r="604" spans="1:19" hidden="1" x14ac:dyDescent="0.25">
      <c r="A604" t="s">
        <v>4051</v>
      </c>
      <c r="B604">
        <v>1038412205</v>
      </c>
      <c r="C604" t="s">
        <v>2848</v>
      </c>
      <c r="D604" s="11" t="s">
        <v>482</v>
      </c>
      <c r="E604" s="11" t="s">
        <v>4040</v>
      </c>
      <c r="F604" s="11" t="s">
        <v>4074</v>
      </c>
      <c r="G604" s="1">
        <v>46242</v>
      </c>
      <c r="H604" s="1">
        <v>46242</v>
      </c>
      <c r="I604" s="2">
        <v>0.25</v>
      </c>
      <c r="J604" s="2">
        <v>0.66666666666666663</v>
      </c>
      <c r="K604" s="11"/>
      <c r="L604" s="11" t="s">
        <v>4060</v>
      </c>
      <c r="M604" s="1"/>
      <c r="N604" s="11" t="s">
        <v>4042</v>
      </c>
      <c r="O604" s="11" t="s">
        <v>4042</v>
      </c>
      <c r="P604" s="1"/>
      <c r="Q604" s="1"/>
      <c r="R604" s="11"/>
      <c r="S604" s="2">
        <f>CONSOLIDADO_2026[[#This Row],[Hora final]]-CONSOLIDADO_2026[[#This Row],[Hora inic]]</f>
        <v>0.41666666666666663</v>
      </c>
    </row>
    <row r="605" spans="1:19" hidden="1" x14ac:dyDescent="0.25">
      <c r="A605" t="s">
        <v>4052</v>
      </c>
      <c r="B605">
        <v>1038412205</v>
      </c>
      <c r="C605" t="s">
        <v>2848</v>
      </c>
      <c r="D605" s="11" t="s">
        <v>482</v>
      </c>
      <c r="E605" s="11" t="s">
        <v>4040</v>
      </c>
      <c r="F605" s="11" t="s">
        <v>16</v>
      </c>
      <c r="G605" s="1">
        <v>46242</v>
      </c>
      <c r="H605" s="1">
        <v>46242</v>
      </c>
      <c r="I605" s="2">
        <v>0.54166666666666663</v>
      </c>
      <c r="J605" s="2">
        <v>0.875</v>
      </c>
      <c r="K605" s="11"/>
      <c r="L605" s="11" t="s">
        <v>4041</v>
      </c>
      <c r="M605" s="1"/>
      <c r="N605" s="11"/>
      <c r="O605" s="11" t="s">
        <v>4042</v>
      </c>
      <c r="P605" s="1"/>
      <c r="Q605" s="1"/>
      <c r="R605" s="11"/>
      <c r="S605" s="2">
        <f>CONSOLIDADO_2026[[#This Row],[Hora final]]-CONSOLIDADO_2026[[#This Row],[Hora inic]]</f>
        <v>0.33333333333333337</v>
      </c>
    </row>
    <row r="606" spans="1:19" hidden="1" x14ac:dyDescent="0.25">
      <c r="A606" t="s">
        <v>4051</v>
      </c>
      <c r="B606">
        <v>1071169507</v>
      </c>
      <c r="C606" t="s">
        <v>161</v>
      </c>
      <c r="D606" s="11" t="s">
        <v>162</v>
      </c>
      <c r="E606" s="11" t="s">
        <v>4056</v>
      </c>
      <c r="F606" s="11" t="s">
        <v>92</v>
      </c>
      <c r="G606" s="1">
        <v>46242</v>
      </c>
      <c r="H606" s="1">
        <v>46247</v>
      </c>
      <c r="I606" s="2"/>
      <c r="J606" s="2"/>
      <c r="K606" s="11"/>
      <c r="L606" s="11" t="s">
        <v>327</v>
      </c>
      <c r="M606" s="1"/>
      <c r="N606" s="11" t="s">
        <v>21</v>
      </c>
      <c r="O606" s="11" t="s">
        <v>21</v>
      </c>
      <c r="P606" s="1"/>
      <c r="Q606" s="1"/>
      <c r="R606" s="11"/>
      <c r="S606" s="2">
        <f>CONSOLIDADO_2026[[#This Row],[Hora final]]-CONSOLIDADO_2026[[#This Row],[Hora inic]]</f>
        <v>0</v>
      </c>
    </row>
    <row r="607" spans="1:19" hidden="1" x14ac:dyDescent="0.25">
      <c r="A607" t="s">
        <v>4052</v>
      </c>
      <c r="B607">
        <v>1071169507</v>
      </c>
      <c r="C607" t="s">
        <v>161</v>
      </c>
      <c r="D607" s="11" t="s">
        <v>162</v>
      </c>
      <c r="E607" s="11" t="s">
        <v>4056</v>
      </c>
      <c r="F607" s="11" t="s">
        <v>92</v>
      </c>
      <c r="G607" s="1">
        <v>46242</v>
      </c>
      <c r="H607" s="1">
        <v>46247</v>
      </c>
      <c r="I607" s="2">
        <v>0.25</v>
      </c>
      <c r="J607" s="2">
        <v>0.58333333333333337</v>
      </c>
      <c r="K607" s="11" t="s">
        <v>163</v>
      </c>
      <c r="L607" s="11" t="s">
        <v>164</v>
      </c>
      <c r="M607" s="1"/>
      <c r="N607" s="11"/>
      <c r="O607" s="11" t="s">
        <v>21</v>
      </c>
      <c r="P607" s="1"/>
      <c r="Q607" s="1"/>
      <c r="R607" s="11"/>
      <c r="S607" s="2">
        <f>CONSOLIDADO_2026[[#This Row],[Hora final]]-CONSOLIDADO_2026[[#This Row],[Hora inic]]</f>
        <v>0.33333333333333337</v>
      </c>
    </row>
    <row r="608" spans="1:19" hidden="1" x14ac:dyDescent="0.25">
      <c r="A608" t="s">
        <v>4163</v>
      </c>
      <c r="B608">
        <v>1071169507</v>
      </c>
      <c r="C608" t="s">
        <v>161</v>
      </c>
      <c r="D608" s="11" t="s">
        <v>162</v>
      </c>
      <c r="E608" s="11" t="s">
        <v>4056</v>
      </c>
      <c r="F608" s="11" t="s">
        <v>92</v>
      </c>
      <c r="G608" s="1">
        <v>46242</v>
      </c>
      <c r="H608" s="1">
        <v>46247</v>
      </c>
      <c r="I608" s="2">
        <v>0.25</v>
      </c>
      <c r="J608" s="2">
        <v>0.58333333333333337</v>
      </c>
      <c r="K608" s="11" t="s">
        <v>184</v>
      </c>
      <c r="L608" s="11" t="s">
        <v>185</v>
      </c>
      <c r="M608" s="1"/>
      <c r="N608" s="11"/>
      <c r="O608" s="11" t="s">
        <v>21</v>
      </c>
      <c r="P608" s="1"/>
      <c r="Q608" s="1"/>
      <c r="R608" s="11"/>
      <c r="S608" s="2">
        <f>CONSOLIDADO_2026[[#This Row],[Hora final]]-CONSOLIDADO_2026[[#This Row],[Hora inic]]</f>
        <v>0.33333333333333337</v>
      </c>
    </row>
    <row r="609" spans="1:19" hidden="1" x14ac:dyDescent="0.25">
      <c r="A609" t="s">
        <v>4051</v>
      </c>
      <c r="B609">
        <v>1001445343</v>
      </c>
      <c r="C609" t="s">
        <v>1432</v>
      </c>
      <c r="D609" s="11" t="s">
        <v>344</v>
      </c>
      <c r="E609" s="11" t="s">
        <v>4056</v>
      </c>
      <c r="F609" s="11" t="s">
        <v>16</v>
      </c>
      <c r="G609" s="1">
        <v>46242</v>
      </c>
      <c r="H609" s="1">
        <v>46242</v>
      </c>
      <c r="I609" s="2">
        <v>0.25</v>
      </c>
      <c r="J609" s="2">
        <v>0.58333333333333337</v>
      </c>
      <c r="K609" s="11" t="s">
        <v>184</v>
      </c>
      <c r="L609" s="11" t="s">
        <v>185</v>
      </c>
      <c r="M609" s="1"/>
      <c r="N609" s="11" t="s">
        <v>4042</v>
      </c>
      <c r="O609" s="11" t="s">
        <v>4042</v>
      </c>
      <c r="P609" s="1"/>
      <c r="Q609" s="1"/>
      <c r="R609" s="11"/>
      <c r="S609" s="2">
        <f>CONSOLIDADO_2026[[#This Row],[Hora final]]-CONSOLIDADO_2026[[#This Row],[Hora inic]]</f>
        <v>0.33333333333333337</v>
      </c>
    </row>
    <row r="610" spans="1:19" hidden="1" x14ac:dyDescent="0.25">
      <c r="A610" t="s">
        <v>4051</v>
      </c>
      <c r="B610">
        <v>1036965348</v>
      </c>
      <c r="C610" t="s">
        <v>229</v>
      </c>
      <c r="D610" s="11" t="s">
        <v>4079</v>
      </c>
      <c r="E610" s="11" t="s">
        <v>4046</v>
      </c>
      <c r="F610" s="11" t="s">
        <v>4079</v>
      </c>
      <c r="G610" s="1">
        <v>46242</v>
      </c>
      <c r="H610" s="1">
        <v>46242</v>
      </c>
      <c r="I610" s="2">
        <v>0.25</v>
      </c>
      <c r="J610" s="2">
        <v>0.58333333333333337</v>
      </c>
      <c r="K610" s="11" t="s">
        <v>228</v>
      </c>
      <c r="L610" s="11" t="s">
        <v>229</v>
      </c>
      <c r="M610" s="1"/>
      <c r="N610" s="11"/>
      <c r="O610" s="11" t="s">
        <v>4042</v>
      </c>
      <c r="P610" s="1"/>
      <c r="Q610" s="1"/>
      <c r="R610" s="11"/>
      <c r="S610" s="2">
        <f>CONSOLIDADO_2026[[#This Row],[Hora final]]-CONSOLIDADO_2026[[#This Row],[Hora inic]]</f>
        <v>0.33333333333333337</v>
      </c>
    </row>
    <row r="611" spans="1:19" hidden="1" x14ac:dyDescent="0.25">
      <c r="A611" t="s">
        <v>4052</v>
      </c>
      <c r="B611">
        <v>1036670630</v>
      </c>
      <c r="C611" t="s">
        <v>4146</v>
      </c>
      <c r="D611" s="11" t="s">
        <v>51</v>
      </c>
      <c r="E611" s="11" t="s">
        <v>4047</v>
      </c>
      <c r="F611" s="11" t="s">
        <v>24</v>
      </c>
      <c r="G611" s="1">
        <v>46244</v>
      </c>
      <c r="H611" s="1">
        <v>46244</v>
      </c>
      <c r="I611" s="2">
        <v>0.25</v>
      </c>
      <c r="J611" s="2">
        <v>0.54166666666666663</v>
      </c>
      <c r="K611" s="11" t="s">
        <v>85</v>
      </c>
      <c r="L611" s="11" t="s">
        <v>86</v>
      </c>
      <c r="M611" s="1"/>
      <c r="N611" s="11"/>
      <c r="O611" s="11" t="s">
        <v>21</v>
      </c>
      <c r="P611" s="1"/>
      <c r="Q611" s="1"/>
      <c r="R611" s="11"/>
      <c r="S611" s="2">
        <f>CONSOLIDADO_2026[[#This Row],[Hora final]]-CONSOLIDADO_2026[[#This Row],[Hora inic]]</f>
        <v>0.29166666666666663</v>
      </c>
    </row>
    <row r="612" spans="1:19" hidden="1" x14ac:dyDescent="0.25">
      <c r="A612" t="s">
        <v>4163</v>
      </c>
      <c r="B612">
        <v>1036670630</v>
      </c>
      <c r="C612" t="s">
        <v>1163</v>
      </c>
      <c r="D612" s="11" t="s">
        <v>51</v>
      </c>
      <c r="E612" s="11" t="s">
        <v>4047</v>
      </c>
      <c r="F612" s="11" t="s">
        <v>24</v>
      </c>
      <c r="G612" s="1">
        <v>46244</v>
      </c>
      <c r="H612" s="1">
        <v>46244</v>
      </c>
      <c r="I612" s="2"/>
      <c r="J612" s="2"/>
      <c r="K612" s="11"/>
      <c r="L612" s="11" t="s">
        <v>4041</v>
      </c>
      <c r="M612" s="1"/>
      <c r="N612" s="11"/>
      <c r="O612" s="11" t="s">
        <v>4042</v>
      </c>
      <c r="P612" s="1"/>
      <c r="Q612" s="1"/>
      <c r="R612" s="11"/>
      <c r="S612" s="2">
        <f>CONSOLIDADO_2026[[#This Row],[Hora final]]-CONSOLIDADO_2026[[#This Row],[Hora inic]]</f>
        <v>0</v>
      </c>
    </row>
    <row r="613" spans="1:19" hidden="1" x14ac:dyDescent="0.25">
      <c r="A613" t="s">
        <v>4052</v>
      </c>
      <c r="B613">
        <v>1028005084</v>
      </c>
      <c r="C613" t="s">
        <v>1836</v>
      </c>
      <c r="D613" s="11" t="s">
        <v>176</v>
      </c>
      <c r="E613" s="11" t="s">
        <v>4040</v>
      </c>
      <c r="F613" s="11" t="s">
        <v>4158</v>
      </c>
      <c r="G613" s="1">
        <v>46242</v>
      </c>
      <c r="H613" s="1"/>
      <c r="I613" s="2">
        <v>0.45833333333333331</v>
      </c>
      <c r="J613" s="2">
        <v>0.79166666666666663</v>
      </c>
      <c r="K613" s="11"/>
      <c r="L613" s="11" t="s">
        <v>4041</v>
      </c>
      <c r="M613" s="1"/>
      <c r="N613" s="11"/>
      <c r="O613" s="11" t="s">
        <v>4042</v>
      </c>
      <c r="P613" s="1"/>
      <c r="Q613" s="1"/>
      <c r="R613" s="11"/>
      <c r="S613" s="2">
        <f>CONSOLIDADO_2026[[#This Row],[Hora final]]-CONSOLIDADO_2026[[#This Row],[Hora inic]]</f>
        <v>0.33333333333333331</v>
      </c>
    </row>
    <row r="614" spans="1:19" hidden="1" x14ac:dyDescent="0.25">
      <c r="A614" t="s">
        <v>4052</v>
      </c>
      <c r="B614">
        <v>1007842898</v>
      </c>
      <c r="C614" t="s">
        <v>4159</v>
      </c>
      <c r="D614" s="11" t="s">
        <v>421</v>
      </c>
      <c r="E614" s="11" t="s">
        <v>4047</v>
      </c>
      <c r="F614" s="11" t="s">
        <v>4050</v>
      </c>
      <c r="G614" s="1">
        <v>46242</v>
      </c>
      <c r="H614" s="1"/>
      <c r="I614" s="2">
        <v>0.54166666666666663</v>
      </c>
      <c r="J614" s="2">
        <v>0.875</v>
      </c>
      <c r="K614" s="11" t="s">
        <v>213</v>
      </c>
      <c r="L614" s="11" t="s">
        <v>214</v>
      </c>
      <c r="M614" s="1"/>
      <c r="N614" s="11"/>
      <c r="O614" s="11" t="s">
        <v>21</v>
      </c>
      <c r="P614" s="1"/>
      <c r="Q614" s="1"/>
      <c r="R614" s="11"/>
      <c r="S614" s="2">
        <f>CONSOLIDADO_2026[[#This Row],[Hora final]]-CONSOLIDADO_2026[[#This Row],[Hora inic]]</f>
        <v>0.33333333333333337</v>
      </c>
    </row>
    <row r="615" spans="1:19" hidden="1" x14ac:dyDescent="0.25">
      <c r="A615" t="s">
        <v>4052</v>
      </c>
      <c r="B615">
        <v>1001446162</v>
      </c>
      <c r="C615" t="s">
        <v>3663</v>
      </c>
      <c r="D615" s="11" t="s">
        <v>4078</v>
      </c>
      <c r="E615" s="11" t="s">
        <v>4056</v>
      </c>
      <c r="F615" s="11" t="s">
        <v>4160</v>
      </c>
      <c r="G615" s="1">
        <v>46244</v>
      </c>
      <c r="H615" s="1">
        <v>46244</v>
      </c>
      <c r="I615" s="2">
        <v>0.33333333333333331</v>
      </c>
      <c r="J615" s="2">
        <v>0.625</v>
      </c>
      <c r="K615" s="11" t="s">
        <v>3662</v>
      </c>
      <c r="L615" s="11" t="s">
        <v>3663</v>
      </c>
      <c r="M615" s="1"/>
      <c r="N615" s="11"/>
      <c r="O615" s="11" t="s">
        <v>21</v>
      </c>
      <c r="P615" s="1"/>
      <c r="Q615" s="1"/>
      <c r="R615" s="11"/>
      <c r="S615" s="2">
        <f>CONSOLIDADO_2026[[#This Row],[Hora final]]-CONSOLIDADO_2026[[#This Row],[Hora inic]]</f>
        <v>0.29166666666666669</v>
      </c>
    </row>
    <row r="616" spans="1:19" hidden="1" x14ac:dyDescent="0.25">
      <c r="A616" t="s">
        <v>4052</v>
      </c>
      <c r="B616">
        <v>1107046318</v>
      </c>
      <c r="C616" t="s">
        <v>268</v>
      </c>
      <c r="D616" s="11" t="s">
        <v>4078</v>
      </c>
      <c r="E616" s="11" t="s">
        <v>4056</v>
      </c>
      <c r="F616" s="11" t="s">
        <v>4079</v>
      </c>
      <c r="G616" s="1">
        <v>46244</v>
      </c>
      <c r="H616" s="1">
        <v>46244</v>
      </c>
      <c r="I616" s="2">
        <v>0.25</v>
      </c>
      <c r="J616" s="2">
        <v>0.54166666666666663</v>
      </c>
      <c r="K616" s="11" t="s">
        <v>267</v>
      </c>
      <c r="L616" s="11" t="s">
        <v>268</v>
      </c>
      <c r="M616" s="1"/>
      <c r="N616" s="11"/>
      <c r="O616" s="11" t="s">
        <v>4042</v>
      </c>
      <c r="P616" s="1"/>
      <c r="Q616" s="1"/>
      <c r="R616" s="11"/>
      <c r="S616" s="2">
        <f>CONSOLIDADO_2026[[#This Row],[Hora final]]-CONSOLIDADO_2026[[#This Row],[Hora inic]]</f>
        <v>0.29166666666666663</v>
      </c>
    </row>
    <row r="617" spans="1:19" hidden="1" x14ac:dyDescent="0.25">
      <c r="A617" t="s">
        <v>4052</v>
      </c>
      <c r="B617">
        <v>1082896324</v>
      </c>
      <c r="C617" t="s">
        <v>127</v>
      </c>
      <c r="D617" s="11" t="s">
        <v>128</v>
      </c>
      <c r="E617" s="11" t="s">
        <v>4045</v>
      </c>
      <c r="F617" s="11" t="s">
        <v>16</v>
      </c>
      <c r="G617" s="1">
        <v>46242</v>
      </c>
      <c r="H617" s="1">
        <v>46272</v>
      </c>
      <c r="I617" s="2">
        <v>0.25</v>
      </c>
      <c r="J617" s="2">
        <v>0.54166666666666663</v>
      </c>
      <c r="K617" s="11"/>
      <c r="L617" s="11" t="s">
        <v>327</v>
      </c>
      <c r="M617" s="1"/>
      <c r="N617" s="11"/>
      <c r="O617" s="11" t="s">
        <v>4042</v>
      </c>
      <c r="P617" s="1"/>
      <c r="Q617" s="1"/>
      <c r="R617" s="11"/>
      <c r="S617" s="2">
        <f>CONSOLIDADO_2026[[#This Row],[Hora final]]-CONSOLIDADO_2026[[#This Row],[Hora inic]]</f>
        <v>0.29166666666666663</v>
      </c>
    </row>
    <row r="618" spans="1:19" hidden="1" x14ac:dyDescent="0.25">
      <c r="A618" t="s">
        <v>4163</v>
      </c>
      <c r="B618">
        <v>1082896324</v>
      </c>
      <c r="C618" t="s">
        <v>127</v>
      </c>
      <c r="D618" s="11" t="s">
        <v>128</v>
      </c>
      <c r="E618" s="11" t="s">
        <v>4045</v>
      </c>
      <c r="F618" s="11" t="s">
        <v>16</v>
      </c>
      <c r="G618" s="1">
        <v>46242</v>
      </c>
      <c r="H618" s="1">
        <v>46272</v>
      </c>
      <c r="I618" s="2">
        <v>0.25</v>
      </c>
      <c r="J618" s="2">
        <v>0.54166666666666663</v>
      </c>
      <c r="K618" s="11" t="s">
        <v>150</v>
      </c>
      <c r="L618" s="11" t="s">
        <v>151</v>
      </c>
      <c r="M618" s="1"/>
      <c r="N618" s="11"/>
      <c r="O618" s="11" t="s">
        <v>21</v>
      </c>
      <c r="P618" s="1"/>
      <c r="Q618" s="1"/>
      <c r="R618" s="11"/>
      <c r="S618" s="2">
        <f>CONSOLIDADO_2026[[#This Row],[Hora final]]-CONSOLIDADO_2026[[#This Row],[Hora inic]]</f>
        <v>0.29166666666666663</v>
      </c>
    </row>
    <row r="619" spans="1:19" hidden="1" x14ac:dyDescent="0.25">
      <c r="A619" t="s">
        <v>4052</v>
      </c>
      <c r="B619">
        <v>1036670970</v>
      </c>
      <c r="C619" t="s">
        <v>2687</v>
      </c>
      <c r="D619" s="11" t="s">
        <v>15</v>
      </c>
      <c r="E619" s="11" t="s">
        <v>4046</v>
      </c>
      <c r="F619" s="11" t="s">
        <v>16</v>
      </c>
      <c r="G619" s="1">
        <v>46244</v>
      </c>
      <c r="H619" s="1">
        <v>46244</v>
      </c>
      <c r="I619" s="2">
        <v>0.25</v>
      </c>
      <c r="J619" s="2">
        <v>0.58333333333333337</v>
      </c>
      <c r="K619" s="11"/>
      <c r="L619" s="11" t="s">
        <v>4060</v>
      </c>
      <c r="M619" s="1"/>
      <c r="N619" s="11"/>
      <c r="O619" s="11" t="s">
        <v>4042</v>
      </c>
      <c r="P619" s="1"/>
      <c r="Q619" s="1"/>
      <c r="R619" s="11"/>
      <c r="S619" s="2">
        <f>CONSOLIDADO_2026[[#This Row],[Hora final]]-CONSOLIDADO_2026[[#This Row],[Hora inic]]</f>
        <v>0.33333333333333337</v>
      </c>
    </row>
    <row r="620" spans="1:19" hidden="1" x14ac:dyDescent="0.25">
      <c r="A620" t="s">
        <v>4163</v>
      </c>
      <c r="B620">
        <v>1036670970</v>
      </c>
      <c r="C620" t="s">
        <v>2687</v>
      </c>
      <c r="D620" s="11" t="s">
        <v>15</v>
      </c>
      <c r="E620" s="11" t="s">
        <v>4046</v>
      </c>
      <c r="F620" s="11" t="s">
        <v>16</v>
      </c>
      <c r="G620" s="1">
        <v>46244</v>
      </c>
      <c r="H620" s="1">
        <v>46244</v>
      </c>
      <c r="I620" s="2"/>
      <c r="J620" s="2"/>
      <c r="K620" s="11"/>
      <c r="L620" s="11" t="s">
        <v>4041</v>
      </c>
      <c r="M620" s="1"/>
      <c r="N620" s="11"/>
      <c r="O620" s="11" t="s">
        <v>4042</v>
      </c>
      <c r="P620" s="1"/>
      <c r="Q620" s="1"/>
      <c r="R620" s="11"/>
      <c r="S620" s="2">
        <f>CONSOLIDADO_2026[[#This Row],[Hora final]]-CONSOLIDADO_2026[[#This Row],[Hora inic]]</f>
        <v>0</v>
      </c>
    </row>
    <row r="621" spans="1:19" hidden="1" x14ac:dyDescent="0.25">
      <c r="A621" t="s">
        <v>4052</v>
      </c>
      <c r="B621">
        <v>1003033764</v>
      </c>
      <c r="C621" t="s">
        <v>1275</v>
      </c>
      <c r="D621" s="11" t="s">
        <v>124</v>
      </c>
      <c r="E621" s="11" t="s">
        <v>4045</v>
      </c>
      <c r="F621" s="11" t="s">
        <v>16</v>
      </c>
      <c r="G621" s="1">
        <v>46244</v>
      </c>
      <c r="H621" s="1">
        <v>46245</v>
      </c>
      <c r="I621" s="2">
        <v>0.25</v>
      </c>
      <c r="J621" s="2">
        <v>0.54166666666666663</v>
      </c>
      <c r="K621" s="11"/>
      <c r="L621" s="11" t="s">
        <v>4060</v>
      </c>
      <c r="M621" s="1"/>
      <c r="N621" s="11"/>
      <c r="O621" s="11" t="s">
        <v>4042</v>
      </c>
      <c r="P621" s="1"/>
      <c r="Q621" s="1"/>
      <c r="R621" s="11"/>
      <c r="S621" s="2">
        <f>CONSOLIDADO_2026[[#This Row],[Hora final]]-CONSOLIDADO_2026[[#This Row],[Hora inic]]</f>
        <v>0.29166666666666663</v>
      </c>
    </row>
    <row r="622" spans="1:19" hidden="1" x14ac:dyDescent="0.25">
      <c r="A622" t="s">
        <v>4163</v>
      </c>
      <c r="B622">
        <v>1003033764</v>
      </c>
      <c r="C622" t="s">
        <v>1275</v>
      </c>
      <c r="D622" s="11" t="s">
        <v>124</v>
      </c>
      <c r="E622" s="11" t="s">
        <v>4045</v>
      </c>
      <c r="F622" s="11" t="s">
        <v>16</v>
      </c>
      <c r="G622" s="1">
        <v>46244</v>
      </c>
      <c r="H622" s="1">
        <v>46245</v>
      </c>
      <c r="I622" s="2">
        <v>0.25</v>
      </c>
      <c r="J622" s="2">
        <v>0.54166666666666663</v>
      </c>
      <c r="K622" s="11"/>
      <c r="L622" s="11" t="s">
        <v>327</v>
      </c>
      <c r="M622" s="1"/>
      <c r="N622" s="11"/>
      <c r="O622" s="11" t="s">
        <v>4042</v>
      </c>
      <c r="P622" s="1"/>
      <c r="Q622" s="1"/>
      <c r="R622" s="11"/>
      <c r="S622" s="2">
        <f>CONSOLIDADO_2026[[#This Row],[Hora final]]-CONSOLIDADO_2026[[#This Row],[Hora inic]]</f>
        <v>0.29166666666666663</v>
      </c>
    </row>
    <row r="623" spans="1:19" hidden="1" x14ac:dyDescent="0.25">
      <c r="A623" t="s">
        <v>4052</v>
      </c>
      <c r="B623">
        <v>1143345388</v>
      </c>
      <c r="C623" t="s">
        <v>3124</v>
      </c>
      <c r="D623" s="11" t="s">
        <v>55</v>
      </c>
      <c r="E623" s="11" t="s">
        <v>4047</v>
      </c>
      <c r="F623" s="11" t="s">
        <v>16</v>
      </c>
      <c r="G623" s="1">
        <v>46244</v>
      </c>
      <c r="H623" s="1">
        <v>46245</v>
      </c>
      <c r="I623" s="2">
        <v>0.25</v>
      </c>
      <c r="J623" s="2">
        <v>0.58333333333333337</v>
      </c>
      <c r="K623" s="11"/>
      <c r="L623" s="11" t="s">
        <v>4060</v>
      </c>
      <c r="M623" s="1"/>
      <c r="N623" s="11"/>
      <c r="O623" s="11" t="s">
        <v>4042</v>
      </c>
      <c r="P623" s="1"/>
      <c r="Q623" s="1"/>
      <c r="R623" s="11"/>
      <c r="S623" s="2">
        <f>CONSOLIDADO_2026[[#This Row],[Hora final]]-CONSOLIDADO_2026[[#This Row],[Hora inic]]</f>
        <v>0.33333333333333337</v>
      </c>
    </row>
    <row r="624" spans="1:19" hidden="1" x14ac:dyDescent="0.25">
      <c r="A624" t="s">
        <v>4163</v>
      </c>
      <c r="B624">
        <v>1143345388</v>
      </c>
      <c r="C624" t="s">
        <v>3124</v>
      </c>
      <c r="D624" s="11" t="s">
        <v>55</v>
      </c>
      <c r="E624" s="11" t="s">
        <v>4047</v>
      </c>
      <c r="F624" s="11" t="s">
        <v>16</v>
      </c>
      <c r="G624" s="1">
        <v>46244</v>
      </c>
      <c r="H624" s="1">
        <v>46245</v>
      </c>
      <c r="I624" s="2">
        <v>0.58333333333333337</v>
      </c>
      <c r="J624" s="2">
        <v>0.875</v>
      </c>
      <c r="K624" s="11"/>
      <c r="L624" s="11" t="s">
        <v>327</v>
      </c>
      <c r="M624" s="1"/>
      <c r="N624" s="11"/>
      <c r="O624" s="11" t="s">
        <v>4042</v>
      </c>
      <c r="P624" s="1"/>
      <c r="Q624" s="1"/>
      <c r="R624" s="11"/>
      <c r="S624" s="2">
        <f>CONSOLIDADO_2026[[#This Row],[Hora final]]-CONSOLIDADO_2026[[#This Row],[Hora inic]]</f>
        <v>0.29166666666666663</v>
      </c>
    </row>
    <row r="625" spans="1:19" hidden="1" x14ac:dyDescent="0.25">
      <c r="A625" t="s">
        <v>4052</v>
      </c>
      <c r="B625">
        <v>1193370054</v>
      </c>
      <c r="C625" t="s">
        <v>994</v>
      </c>
      <c r="D625" s="11" t="s">
        <v>59</v>
      </c>
      <c r="E625" s="11" t="s">
        <v>4047</v>
      </c>
      <c r="F625" s="11" t="s">
        <v>16</v>
      </c>
      <c r="G625" s="1">
        <v>46244</v>
      </c>
      <c r="H625" s="1">
        <v>46244</v>
      </c>
      <c r="I625" s="2">
        <v>0.25</v>
      </c>
      <c r="J625" s="2">
        <v>0.58333333333333337</v>
      </c>
      <c r="K625" s="11"/>
      <c r="L625" s="11" t="s">
        <v>4060</v>
      </c>
      <c r="M625" s="1"/>
      <c r="N625" s="11"/>
      <c r="O625" s="11" t="s">
        <v>4042</v>
      </c>
      <c r="P625" s="1"/>
      <c r="Q625" s="1"/>
      <c r="R625" s="11"/>
      <c r="S625" s="2">
        <f>CONSOLIDADO_2026[[#This Row],[Hora final]]-CONSOLIDADO_2026[[#This Row],[Hora inic]]</f>
        <v>0.33333333333333337</v>
      </c>
    </row>
    <row r="626" spans="1:19" hidden="1" x14ac:dyDescent="0.25">
      <c r="A626" t="s">
        <v>4163</v>
      </c>
      <c r="B626">
        <v>1193370054</v>
      </c>
      <c r="C626" t="s">
        <v>994</v>
      </c>
      <c r="D626" s="11" t="s">
        <v>59</v>
      </c>
      <c r="E626" s="11" t="s">
        <v>4047</v>
      </c>
      <c r="F626" s="11" t="s">
        <v>16</v>
      </c>
      <c r="G626" s="1">
        <v>46244</v>
      </c>
      <c r="H626" s="1">
        <v>46244</v>
      </c>
      <c r="I626" s="2">
        <v>0.25</v>
      </c>
      <c r="J626" s="2">
        <v>0.58333333333333337</v>
      </c>
      <c r="K626" s="11"/>
      <c r="L626" s="11" t="s">
        <v>327</v>
      </c>
      <c r="M626" s="1"/>
      <c r="N626" s="11"/>
      <c r="O626" s="11" t="s">
        <v>4042</v>
      </c>
      <c r="P626" s="1"/>
      <c r="Q626" s="1"/>
      <c r="R626" s="11"/>
      <c r="S626" s="2">
        <f>CONSOLIDADO_2026[[#This Row],[Hora final]]-CONSOLIDADO_2026[[#This Row],[Hora inic]]</f>
        <v>0.33333333333333337</v>
      </c>
    </row>
    <row r="627" spans="1:19" hidden="1" x14ac:dyDescent="0.25">
      <c r="A627" t="s">
        <v>4052</v>
      </c>
      <c r="B627">
        <v>1037646627</v>
      </c>
      <c r="C627" t="s">
        <v>3293</v>
      </c>
      <c r="D627" s="11" t="s">
        <v>124</v>
      </c>
      <c r="E627" s="11" t="s">
        <v>4045</v>
      </c>
      <c r="F627" s="11" t="s">
        <v>16</v>
      </c>
      <c r="G627" s="1">
        <v>46244</v>
      </c>
      <c r="H627" s="1">
        <v>46245</v>
      </c>
      <c r="I627" s="2"/>
      <c r="J627" s="2"/>
      <c r="K627" s="11"/>
      <c r="L627" s="11" t="s">
        <v>4083</v>
      </c>
      <c r="M627" s="1"/>
      <c r="N627" s="11"/>
      <c r="O627" s="11" t="s">
        <v>4042</v>
      </c>
      <c r="P627" s="1"/>
      <c r="Q627" s="1"/>
      <c r="R627" s="11"/>
      <c r="S627" s="2">
        <f>CONSOLIDADO_2026[[#This Row],[Hora final]]-CONSOLIDADO_2026[[#This Row],[Hora inic]]</f>
        <v>0</v>
      </c>
    </row>
    <row r="628" spans="1:19" hidden="1" x14ac:dyDescent="0.25">
      <c r="A628" t="s">
        <v>4163</v>
      </c>
      <c r="B628">
        <v>1037646627</v>
      </c>
      <c r="C628" t="s">
        <v>3293</v>
      </c>
      <c r="D628" s="11" t="s">
        <v>124</v>
      </c>
      <c r="E628" s="11" t="s">
        <v>4045</v>
      </c>
      <c r="F628" s="11" t="s">
        <v>16</v>
      </c>
      <c r="G628" s="1">
        <v>46244</v>
      </c>
      <c r="H628" s="1">
        <v>46245</v>
      </c>
      <c r="I628" s="2">
        <v>0.58333333333333337</v>
      </c>
      <c r="J628" s="2">
        <v>0.875</v>
      </c>
      <c r="K628" s="11" t="s">
        <v>303</v>
      </c>
      <c r="L628" s="11" t="s">
        <v>304</v>
      </c>
      <c r="M628" s="1"/>
      <c r="N628" s="11"/>
      <c r="O628" s="11" t="s">
        <v>21</v>
      </c>
      <c r="P628" s="1"/>
      <c r="Q628" s="1"/>
      <c r="R628" s="11"/>
      <c r="S628" s="2">
        <f>CONSOLIDADO_2026[[#This Row],[Hora final]]-CONSOLIDADO_2026[[#This Row],[Hora inic]]</f>
        <v>0.29166666666666663</v>
      </c>
    </row>
    <row r="629" spans="1:19" hidden="1" x14ac:dyDescent="0.25">
      <c r="A629" t="s">
        <v>4052</v>
      </c>
      <c r="B629">
        <v>1048266834</v>
      </c>
      <c r="C629" t="s">
        <v>1231</v>
      </c>
      <c r="D629" s="11" t="s">
        <v>68</v>
      </c>
      <c r="E629" s="11" t="s">
        <v>4040</v>
      </c>
      <c r="F629" s="11" t="s">
        <v>16</v>
      </c>
      <c r="G629" s="1">
        <v>46244</v>
      </c>
      <c r="H629" s="1">
        <v>46244</v>
      </c>
      <c r="I629" s="2">
        <v>0.25</v>
      </c>
      <c r="J629" s="2">
        <v>0.58333333333333337</v>
      </c>
      <c r="K629" s="11"/>
      <c r="L629" s="11" t="s">
        <v>327</v>
      </c>
      <c r="M629" s="1"/>
      <c r="N629" s="11"/>
      <c r="O629" s="11" t="s">
        <v>4042</v>
      </c>
      <c r="P629" s="1"/>
      <c r="Q629" s="1"/>
      <c r="R629" s="11"/>
      <c r="S629" s="2">
        <f>CONSOLIDADO_2026[[#This Row],[Hora final]]-CONSOLIDADO_2026[[#This Row],[Hora inic]]</f>
        <v>0.33333333333333337</v>
      </c>
    </row>
    <row r="630" spans="1:19" hidden="1" x14ac:dyDescent="0.25">
      <c r="A630" t="s">
        <v>4163</v>
      </c>
      <c r="B630">
        <v>1048266834</v>
      </c>
      <c r="C630" t="s">
        <v>1231</v>
      </c>
      <c r="D630" s="11" t="s">
        <v>68</v>
      </c>
      <c r="E630" s="11" t="s">
        <v>4040</v>
      </c>
      <c r="F630" s="11" t="s">
        <v>16</v>
      </c>
      <c r="G630" s="1">
        <v>46244</v>
      </c>
      <c r="H630" s="1">
        <v>46244</v>
      </c>
      <c r="I630" s="2"/>
      <c r="J630" s="2"/>
      <c r="K630" s="11"/>
      <c r="L630" s="11" t="s">
        <v>4041</v>
      </c>
      <c r="M630" s="1"/>
      <c r="N630" s="11"/>
      <c r="O630" s="11" t="s">
        <v>4042</v>
      </c>
      <c r="P630" s="1"/>
      <c r="Q630" s="1"/>
      <c r="R630" s="11"/>
      <c r="S630" s="2">
        <f>CONSOLIDADO_2026[[#This Row],[Hora final]]-CONSOLIDADO_2026[[#This Row],[Hora inic]]</f>
        <v>0</v>
      </c>
    </row>
    <row r="631" spans="1:19" hidden="1" x14ac:dyDescent="0.25">
      <c r="A631" t="s">
        <v>4052</v>
      </c>
      <c r="B631">
        <v>1069505986</v>
      </c>
      <c r="C631" t="s">
        <v>935</v>
      </c>
      <c r="D631" s="11" t="s">
        <v>59</v>
      </c>
      <c r="E631" s="11" t="s">
        <v>4047</v>
      </c>
      <c r="F631" s="11" t="s">
        <v>16</v>
      </c>
      <c r="G631" s="1">
        <v>46244</v>
      </c>
      <c r="H631" s="1">
        <v>46244</v>
      </c>
      <c r="I631" s="2">
        <v>0.25</v>
      </c>
      <c r="J631" s="2">
        <v>0.58333333333333337</v>
      </c>
      <c r="K631" s="11"/>
      <c r="L631" s="11" t="s">
        <v>327</v>
      </c>
      <c r="M631" s="1"/>
      <c r="N631" s="11"/>
      <c r="O631" s="11" t="s">
        <v>4042</v>
      </c>
      <c r="P631" s="1"/>
      <c r="Q631" s="1"/>
      <c r="R631" s="11"/>
      <c r="S631" s="2">
        <f>CONSOLIDADO_2026[[#This Row],[Hora final]]-CONSOLIDADO_2026[[#This Row],[Hora inic]]</f>
        <v>0.33333333333333337</v>
      </c>
    </row>
    <row r="632" spans="1:19" hidden="1" x14ac:dyDescent="0.25">
      <c r="A632" t="s">
        <v>4163</v>
      </c>
      <c r="B632">
        <v>1069505986</v>
      </c>
      <c r="C632" t="s">
        <v>935</v>
      </c>
      <c r="D632" s="11" t="s">
        <v>59</v>
      </c>
      <c r="E632" s="11" t="s">
        <v>4047</v>
      </c>
      <c r="F632" s="11" t="s">
        <v>16</v>
      </c>
      <c r="G632" s="1">
        <v>46244</v>
      </c>
      <c r="H632" s="1">
        <v>46244</v>
      </c>
      <c r="I632" s="2">
        <v>0.25</v>
      </c>
      <c r="J632" s="2">
        <v>0.54166666666666663</v>
      </c>
      <c r="K632" s="11"/>
      <c r="L632" s="11" t="s">
        <v>4041</v>
      </c>
      <c r="M632" s="1"/>
      <c r="N632" s="11"/>
      <c r="O632" s="11" t="s">
        <v>4042</v>
      </c>
      <c r="P632" s="1"/>
      <c r="Q632" s="1"/>
      <c r="R632" s="11"/>
      <c r="S632" s="2">
        <f>CONSOLIDADO_2026[[#This Row],[Hora final]]-CONSOLIDADO_2026[[#This Row],[Hora inic]]</f>
        <v>0.29166666666666663</v>
      </c>
    </row>
    <row r="633" spans="1:19" hidden="1" x14ac:dyDescent="0.25">
      <c r="A633" t="s">
        <v>4052</v>
      </c>
      <c r="B633">
        <v>1039468657</v>
      </c>
      <c r="C633" t="s">
        <v>2389</v>
      </c>
      <c r="D633" s="11" t="s">
        <v>2069</v>
      </c>
      <c r="E633" s="11" t="s">
        <v>4046</v>
      </c>
      <c r="F633" s="11" t="s">
        <v>16</v>
      </c>
      <c r="G633" s="1">
        <v>46244</v>
      </c>
      <c r="H633" s="1">
        <v>46245</v>
      </c>
      <c r="I633" s="2">
        <v>0.29166666666666669</v>
      </c>
      <c r="J633" s="2">
        <v>0.66666666666666663</v>
      </c>
      <c r="K633" s="11"/>
      <c r="L633" s="11" t="s">
        <v>327</v>
      </c>
      <c r="M633" s="1"/>
      <c r="N633" s="11"/>
      <c r="O633" s="11" t="s">
        <v>21</v>
      </c>
      <c r="P633" s="1"/>
      <c r="Q633" s="1"/>
      <c r="R633" s="11"/>
      <c r="S633" s="2">
        <f>CONSOLIDADO_2026[[#This Row],[Hora final]]-CONSOLIDADO_2026[[#This Row],[Hora inic]]</f>
        <v>0.37499999999999994</v>
      </c>
    </row>
    <row r="634" spans="1:19" hidden="1" x14ac:dyDescent="0.25">
      <c r="A634" t="s">
        <v>4163</v>
      </c>
      <c r="B634">
        <v>1039468657</v>
      </c>
      <c r="C634" t="s">
        <v>2389</v>
      </c>
      <c r="D634" s="11" t="s">
        <v>2069</v>
      </c>
      <c r="E634" s="11" t="s">
        <v>4046</v>
      </c>
      <c r="F634" s="11" t="s">
        <v>16</v>
      </c>
      <c r="G634" s="1">
        <v>46244</v>
      </c>
      <c r="H634" s="1">
        <v>46245</v>
      </c>
      <c r="I634" s="2">
        <v>0.29166666666666669</v>
      </c>
      <c r="J634" s="2">
        <v>0.58333333333333337</v>
      </c>
      <c r="K634" s="11" t="s">
        <v>222</v>
      </c>
      <c r="L634" s="11" t="s">
        <v>223</v>
      </c>
      <c r="M634" s="1"/>
      <c r="N634" s="11"/>
      <c r="O634" s="11" t="s">
        <v>21</v>
      </c>
      <c r="P634" s="1"/>
      <c r="Q634" s="1"/>
      <c r="R634" s="11"/>
      <c r="S634" s="2">
        <f>CONSOLIDADO_2026[[#This Row],[Hora final]]-CONSOLIDADO_2026[[#This Row],[Hora inic]]</f>
        <v>0.29166666666666669</v>
      </c>
    </row>
    <row r="635" spans="1:19" hidden="1" x14ac:dyDescent="0.25">
      <c r="A635" t="s">
        <v>4052</v>
      </c>
      <c r="B635">
        <v>1001995044</v>
      </c>
      <c r="C635" t="s">
        <v>3822</v>
      </c>
      <c r="D635" s="11" t="s">
        <v>139</v>
      </c>
      <c r="E635" s="11" t="s">
        <v>4040</v>
      </c>
      <c r="F635" s="11" t="s">
        <v>16</v>
      </c>
      <c r="G635" s="1">
        <v>46244</v>
      </c>
      <c r="H635" s="1">
        <v>46244</v>
      </c>
      <c r="I635" s="2"/>
      <c r="J635" s="2"/>
      <c r="K635" s="11"/>
      <c r="L635" s="11" t="s">
        <v>4060</v>
      </c>
      <c r="M635" s="1"/>
      <c r="N635" s="11"/>
      <c r="O635" s="11" t="s">
        <v>4042</v>
      </c>
      <c r="P635" s="1"/>
      <c r="Q635" s="1"/>
      <c r="R635" s="11"/>
      <c r="S635" s="2">
        <f>CONSOLIDADO_2026[[#This Row],[Hora final]]-CONSOLIDADO_2026[[#This Row],[Hora inic]]</f>
        <v>0</v>
      </c>
    </row>
    <row r="636" spans="1:19" hidden="1" x14ac:dyDescent="0.25">
      <c r="A636" t="s">
        <v>4163</v>
      </c>
      <c r="B636">
        <v>1001995044</v>
      </c>
      <c r="C636" t="s">
        <v>3822</v>
      </c>
      <c r="D636" s="11" t="s">
        <v>139</v>
      </c>
      <c r="E636" s="11" t="s">
        <v>4040</v>
      </c>
      <c r="F636" s="11" t="s">
        <v>16</v>
      </c>
      <c r="G636" s="1">
        <v>46244</v>
      </c>
      <c r="H636" s="1">
        <v>46244</v>
      </c>
      <c r="I636" s="2"/>
      <c r="J636" s="2"/>
      <c r="K636" s="11"/>
      <c r="L636" s="11" t="s">
        <v>4041</v>
      </c>
      <c r="M636" s="1"/>
      <c r="N636" s="11"/>
      <c r="O636" s="11" t="s">
        <v>4042</v>
      </c>
      <c r="P636" s="1"/>
      <c r="Q636" s="1"/>
      <c r="R636" s="11"/>
      <c r="S636" s="2">
        <f>CONSOLIDADO_2026[[#This Row],[Hora final]]-CONSOLIDADO_2026[[#This Row],[Hora inic]]</f>
        <v>0</v>
      </c>
    </row>
    <row r="637" spans="1:19" hidden="1" x14ac:dyDescent="0.25">
      <c r="A637" t="s">
        <v>4052</v>
      </c>
      <c r="B637">
        <v>1003361835</v>
      </c>
      <c r="C637" t="s">
        <v>878</v>
      </c>
      <c r="D637" s="11" t="s">
        <v>492</v>
      </c>
      <c r="E637" s="11" t="s">
        <v>4045</v>
      </c>
      <c r="F637" s="11" t="s">
        <v>16</v>
      </c>
      <c r="G637" s="1">
        <v>46244</v>
      </c>
      <c r="H637" s="1">
        <v>46245</v>
      </c>
      <c r="I637" s="2">
        <v>0.54166666666666663</v>
      </c>
      <c r="J637" s="2">
        <v>0.875</v>
      </c>
      <c r="K637" s="11"/>
      <c r="L637" s="11" t="s">
        <v>4060</v>
      </c>
      <c r="M637" s="1"/>
      <c r="N637" s="11"/>
      <c r="O637" s="11" t="s">
        <v>4042</v>
      </c>
      <c r="P637" s="1"/>
      <c r="Q637" s="1"/>
      <c r="R637" s="11"/>
      <c r="S637" s="2">
        <f>CONSOLIDADO_2026[[#This Row],[Hora final]]-CONSOLIDADO_2026[[#This Row],[Hora inic]]</f>
        <v>0.33333333333333337</v>
      </c>
    </row>
    <row r="638" spans="1:19" hidden="1" x14ac:dyDescent="0.25">
      <c r="A638" t="s">
        <v>4163</v>
      </c>
      <c r="B638">
        <v>1003361835</v>
      </c>
      <c r="C638" t="s">
        <v>878</v>
      </c>
      <c r="D638" s="11" t="s">
        <v>492</v>
      </c>
      <c r="E638" s="11" t="s">
        <v>4045</v>
      </c>
      <c r="F638" s="11" t="s">
        <v>16</v>
      </c>
      <c r="G638" s="1">
        <v>46244</v>
      </c>
      <c r="H638" s="1">
        <v>46245</v>
      </c>
      <c r="I638" s="2">
        <v>0.58333333333333337</v>
      </c>
      <c r="J638" s="2">
        <v>0.875</v>
      </c>
      <c r="K638" s="11"/>
      <c r="L638" s="11" t="s">
        <v>327</v>
      </c>
      <c r="M638" s="1"/>
      <c r="N638" s="11"/>
      <c r="O638" s="11" t="s">
        <v>4042</v>
      </c>
      <c r="P638" s="1"/>
      <c r="Q638" s="1"/>
      <c r="R638" s="11"/>
      <c r="S638" s="2">
        <f>CONSOLIDADO_2026[[#This Row],[Hora final]]-CONSOLIDADO_2026[[#This Row],[Hora inic]]</f>
        <v>0.29166666666666663</v>
      </c>
    </row>
    <row r="639" spans="1:19" hidden="1" x14ac:dyDescent="0.25">
      <c r="A639" t="s">
        <v>4052</v>
      </c>
      <c r="B639">
        <v>1007743475</v>
      </c>
      <c r="C639" t="s">
        <v>3284</v>
      </c>
      <c r="D639" s="11" t="s">
        <v>55</v>
      </c>
      <c r="E639" s="11" t="s">
        <v>4047</v>
      </c>
      <c r="F639" s="11" t="s">
        <v>16</v>
      </c>
      <c r="G639" s="1">
        <v>46244</v>
      </c>
      <c r="H639" s="1">
        <v>46244</v>
      </c>
      <c r="I639" s="2">
        <v>0.58333333333333337</v>
      </c>
      <c r="J639" s="2">
        <v>0.875</v>
      </c>
      <c r="K639" s="11"/>
      <c r="L639" s="11" t="s">
        <v>4060</v>
      </c>
      <c r="M639" s="1"/>
      <c r="N639" s="11"/>
      <c r="O639" s="11" t="s">
        <v>4042</v>
      </c>
      <c r="P639" s="1"/>
      <c r="Q639" s="1"/>
      <c r="R639" s="11"/>
      <c r="S639" s="2">
        <f>CONSOLIDADO_2026[[#This Row],[Hora final]]-CONSOLIDADO_2026[[#This Row],[Hora inic]]</f>
        <v>0.29166666666666663</v>
      </c>
    </row>
    <row r="640" spans="1:19" hidden="1" x14ac:dyDescent="0.25">
      <c r="A640" t="s">
        <v>4163</v>
      </c>
      <c r="B640">
        <v>1007743475</v>
      </c>
      <c r="C640" t="s">
        <v>3284</v>
      </c>
      <c r="D640" s="11" t="s">
        <v>55</v>
      </c>
      <c r="E640" s="11" t="s">
        <v>4047</v>
      </c>
      <c r="F640" s="11" t="s">
        <v>16</v>
      </c>
      <c r="G640" s="1">
        <v>46244</v>
      </c>
      <c r="H640" s="1">
        <v>46244</v>
      </c>
      <c r="I640" s="2"/>
      <c r="J640" s="2"/>
      <c r="K640" s="11"/>
      <c r="L640" s="11" t="s">
        <v>4041</v>
      </c>
      <c r="M640" s="1"/>
      <c r="N640" s="11"/>
      <c r="O640" s="11" t="s">
        <v>4042</v>
      </c>
      <c r="P640" s="1"/>
      <c r="Q640" s="1"/>
      <c r="R640" s="11"/>
      <c r="S640" s="2">
        <f>CONSOLIDADO_2026[[#This Row],[Hora final]]-CONSOLIDADO_2026[[#This Row],[Hora inic]]</f>
        <v>0</v>
      </c>
    </row>
    <row r="641" spans="1:19" hidden="1" x14ac:dyDescent="0.25">
      <c r="A641" t="s">
        <v>4052</v>
      </c>
      <c r="B641">
        <v>1002155665</v>
      </c>
      <c r="C641" t="s">
        <v>3791</v>
      </c>
      <c r="D641" s="11" t="s">
        <v>64</v>
      </c>
      <c r="E641" s="11" t="s">
        <v>4046</v>
      </c>
      <c r="F641" s="11" t="s">
        <v>16</v>
      </c>
      <c r="G641" s="1">
        <v>46244</v>
      </c>
      <c r="H641" s="1">
        <v>46245</v>
      </c>
      <c r="I641" s="2">
        <v>0.58333333333333337</v>
      </c>
      <c r="J641" s="2">
        <v>0.875</v>
      </c>
      <c r="K641" s="11"/>
      <c r="L641" s="11" t="s">
        <v>4060</v>
      </c>
      <c r="M641" s="1"/>
      <c r="N641" s="11"/>
      <c r="O641" s="11" t="s">
        <v>4042</v>
      </c>
      <c r="P641" s="1"/>
      <c r="Q641" s="1"/>
      <c r="R641" s="11"/>
      <c r="S641" s="2">
        <f>CONSOLIDADO_2026[[#This Row],[Hora final]]-CONSOLIDADO_2026[[#This Row],[Hora inic]]</f>
        <v>0.29166666666666663</v>
      </c>
    </row>
    <row r="642" spans="1:19" hidden="1" x14ac:dyDescent="0.25">
      <c r="A642" t="s">
        <v>4163</v>
      </c>
      <c r="B642">
        <v>1002155665</v>
      </c>
      <c r="C642" t="s">
        <v>3791</v>
      </c>
      <c r="D642" s="11" t="s">
        <v>64</v>
      </c>
      <c r="E642" s="11" t="s">
        <v>4046</v>
      </c>
      <c r="F642" s="11" t="s">
        <v>16</v>
      </c>
      <c r="G642" s="1">
        <v>46244</v>
      </c>
      <c r="H642" s="1">
        <v>46245</v>
      </c>
      <c r="I642" s="2">
        <v>0.54166666666666663</v>
      </c>
      <c r="J642" s="2">
        <v>0.875</v>
      </c>
      <c r="K642" s="11"/>
      <c r="L642" s="11" t="s">
        <v>4060</v>
      </c>
      <c r="M642" s="1"/>
      <c r="N642" s="11"/>
      <c r="O642" s="11" t="s">
        <v>4042</v>
      </c>
      <c r="P642" s="1"/>
      <c r="Q642" s="1"/>
      <c r="R642" s="11"/>
      <c r="S642" s="2">
        <f>CONSOLIDADO_2026[[#This Row],[Hora final]]-CONSOLIDADO_2026[[#This Row],[Hora inic]]</f>
        <v>0.33333333333333337</v>
      </c>
    </row>
    <row r="643" spans="1:19" hidden="1" x14ac:dyDescent="0.25">
      <c r="A643" t="s">
        <v>4052</v>
      </c>
      <c r="B643">
        <v>1003000892</v>
      </c>
      <c r="C643" t="s">
        <v>182</v>
      </c>
      <c r="D643" s="11" t="s">
        <v>51</v>
      </c>
      <c r="E643" s="11" t="s">
        <v>4047</v>
      </c>
      <c r="F643" s="11" t="s">
        <v>4104</v>
      </c>
      <c r="G643" s="1">
        <v>46244</v>
      </c>
      <c r="H643" s="1">
        <v>46244</v>
      </c>
      <c r="I643" s="2">
        <v>0.5</v>
      </c>
      <c r="J643" s="2">
        <v>0.79166666666666663</v>
      </c>
      <c r="K643" s="11"/>
      <c r="L643" s="11" t="s">
        <v>4161</v>
      </c>
      <c r="M643" s="1"/>
      <c r="N643" s="11"/>
      <c r="O643" s="11" t="s">
        <v>4042</v>
      </c>
      <c r="P643" s="1"/>
      <c r="Q643" s="1"/>
      <c r="R643" s="11"/>
      <c r="S643" s="2">
        <f>CONSOLIDADO_2026[[#This Row],[Hora final]]-CONSOLIDADO_2026[[#This Row],[Hora inic]]</f>
        <v>0.29166666666666663</v>
      </c>
    </row>
    <row r="644" spans="1:19" hidden="1" x14ac:dyDescent="0.25">
      <c r="A644" t="s">
        <v>4052</v>
      </c>
      <c r="B644">
        <v>43616929</v>
      </c>
      <c r="C644" t="s">
        <v>425</v>
      </c>
      <c r="D644" s="11" t="s">
        <v>128</v>
      </c>
      <c r="E644" s="11" t="s">
        <v>4045</v>
      </c>
      <c r="F644" s="11" t="s">
        <v>16</v>
      </c>
      <c r="G644" s="1">
        <v>46244</v>
      </c>
      <c r="H644" s="1">
        <v>46244</v>
      </c>
      <c r="I644" s="2">
        <v>0.58333333333333337</v>
      </c>
      <c r="J644" s="2">
        <v>0.875</v>
      </c>
      <c r="K644" s="11"/>
      <c r="L644" s="11" t="s">
        <v>4060</v>
      </c>
      <c r="M644" s="1"/>
      <c r="N644" s="11"/>
      <c r="O644" s="11" t="s">
        <v>4042</v>
      </c>
      <c r="P644" s="1"/>
      <c r="Q644" s="1"/>
      <c r="R644" s="11"/>
      <c r="S644" s="2">
        <f>CONSOLIDADO_2026[[#This Row],[Hora final]]-CONSOLIDADO_2026[[#This Row],[Hora inic]]</f>
        <v>0.29166666666666663</v>
      </c>
    </row>
    <row r="645" spans="1:19" hidden="1" x14ac:dyDescent="0.25">
      <c r="A645" t="s">
        <v>4163</v>
      </c>
      <c r="B645">
        <v>43616929</v>
      </c>
      <c r="C645" t="s">
        <v>425</v>
      </c>
      <c r="D645" s="11" t="s">
        <v>128</v>
      </c>
      <c r="E645" s="11" t="s">
        <v>4045</v>
      </c>
      <c r="F645" s="11" t="s">
        <v>16</v>
      </c>
      <c r="G645" s="1">
        <v>46244</v>
      </c>
      <c r="H645" s="1">
        <v>46244</v>
      </c>
      <c r="I645" s="2"/>
      <c r="J645" s="2"/>
      <c r="K645" s="11"/>
      <c r="L645" s="11" t="s">
        <v>4041</v>
      </c>
      <c r="M645" s="1"/>
      <c r="N645" s="11"/>
      <c r="O645" s="11" t="s">
        <v>4042</v>
      </c>
      <c r="P645" s="1"/>
      <c r="Q645" s="1"/>
      <c r="R645" s="11"/>
      <c r="S645" s="2">
        <f>CONSOLIDADO_2026[[#This Row],[Hora final]]-CONSOLIDADO_2026[[#This Row],[Hora inic]]</f>
        <v>0</v>
      </c>
    </row>
    <row r="646" spans="1:19" hidden="1" x14ac:dyDescent="0.25">
      <c r="A646" t="s">
        <v>4052</v>
      </c>
      <c r="B646">
        <v>1014237413</v>
      </c>
      <c r="C646" t="s">
        <v>845</v>
      </c>
      <c r="D646" s="11" t="s">
        <v>492</v>
      </c>
      <c r="E646" s="11" t="s">
        <v>4045</v>
      </c>
      <c r="F646" s="11" t="s">
        <v>16</v>
      </c>
      <c r="G646" s="1">
        <v>46244</v>
      </c>
      <c r="H646" s="1">
        <v>46246</v>
      </c>
      <c r="I646" s="2">
        <v>0.54166666666666663</v>
      </c>
      <c r="J646" s="2">
        <v>0.875</v>
      </c>
      <c r="K646" s="11"/>
      <c r="L646" s="11" t="s">
        <v>327</v>
      </c>
      <c r="M646" s="1"/>
      <c r="N646" s="11"/>
      <c r="O646" s="11" t="s">
        <v>4042</v>
      </c>
      <c r="P646" s="1"/>
      <c r="Q646" s="1"/>
      <c r="R646" s="11"/>
      <c r="S646" s="2">
        <f>CONSOLIDADO_2026[[#This Row],[Hora final]]-CONSOLIDADO_2026[[#This Row],[Hora inic]]</f>
        <v>0.33333333333333337</v>
      </c>
    </row>
    <row r="647" spans="1:19" hidden="1" x14ac:dyDescent="0.25">
      <c r="A647" t="s">
        <v>4163</v>
      </c>
      <c r="B647">
        <v>1014237413</v>
      </c>
      <c r="C647" t="s">
        <v>845</v>
      </c>
      <c r="D647" s="11" t="s">
        <v>492</v>
      </c>
      <c r="E647" s="11" t="s">
        <v>4045</v>
      </c>
      <c r="F647" s="11" t="s">
        <v>16</v>
      </c>
      <c r="G647" s="1">
        <v>46244</v>
      </c>
      <c r="H647" s="1">
        <v>46246</v>
      </c>
      <c r="I647" s="2"/>
      <c r="J647" s="2"/>
      <c r="K647" s="11"/>
      <c r="L647" s="11" t="s">
        <v>327</v>
      </c>
      <c r="M647" s="1"/>
      <c r="N647" s="11"/>
      <c r="O647" s="11" t="s">
        <v>4042</v>
      </c>
      <c r="P647" s="1"/>
      <c r="Q647" s="1"/>
      <c r="R647" s="11"/>
      <c r="S647" s="2">
        <f>CONSOLIDADO_2026[[#This Row],[Hora final]]-CONSOLIDADO_2026[[#This Row],[Hora inic]]</f>
        <v>0</v>
      </c>
    </row>
    <row r="648" spans="1:19" hidden="1" x14ac:dyDescent="0.25">
      <c r="A648" t="s">
        <v>4052</v>
      </c>
      <c r="B648">
        <v>1124014714</v>
      </c>
      <c r="C648" t="s">
        <v>2212</v>
      </c>
      <c r="D648" s="11" t="s">
        <v>421</v>
      </c>
      <c r="E648" s="11" t="s">
        <v>4047</v>
      </c>
      <c r="F648" s="11" t="s">
        <v>16</v>
      </c>
      <c r="G648" s="1">
        <v>46244</v>
      </c>
      <c r="H648" s="1">
        <v>46245</v>
      </c>
      <c r="I648" s="2">
        <v>0.54166666666666663</v>
      </c>
      <c r="J648" s="2">
        <v>0.875</v>
      </c>
      <c r="K648" s="11"/>
      <c r="L648" s="11" t="s">
        <v>4060</v>
      </c>
      <c r="M648" s="1"/>
      <c r="N648" s="11"/>
      <c r="O648" s="11" t="s">
        <v>4042</v>
      </c>
      <c r="P648" s="1"/>
      <c r="Q648" s="1"/>
      <c r="R648" s="11"/>
      <c r="S648" s="2">
        <f>CONSOLIDADO_2026[[#This Row],[Hora final]]-CONSOLIDADO_2026[[#This Row],[Hora inic]]</f>
        <v>0.33333333333333337</v>
      </c>
    </row>
    <row r="649" spans="1:19" hidden="1" x14ac:dyDescent="0.25">
      <c r="A649" t="s">
        <v>4163</v>
      </c>
      <c r="B649">
        <v>1124014714</v>
      </c>
      <c r="C649" t="s">
        <v>2212</v>
      </c>
      <c r="D649" s="11" t="s">
        <v>421</v>
      </c>
      <c r="E649" s="11" t="s">
        <v>4047</v>
      </c>
      <c r="F649" s="11" t="s">
        <v>4074</v>
      </c>
      <c r="G649" s="1">
        <v>46244</v>
      </c>
      <c r="H649" s="1">
        <v>46245</v>
      </c>
      <c r="I649" s="2">
        <v>0.54166666666666663</v>
      </c>
      <c r="J649" s="2">
        <v>0.875</v>
      </c>
      <c r="K649" s="11"/>
      <c r="L649" s="11" t="s">
        <v>4060</v>
      </c>
      <c r="M649" s="1"/>
      <c r="N649" s="11"/>
      <c r="O649" s="11" t="s">
        <v>4042</v>
      </c>
      <c r="P649" s="1"/>
      <c r="Q649" s="1"/>
      <c r="R649" s="11"/>
      <c r="S649" s="2">
        <f>CONSOLIDADO_2026[[#This Row],[Hora final]]-CONSOLIDADO_2026[[#This Row],[Hora inic]]</f>
        <v>0.33333333333333337</v>
      </c>
    </row>
    <row r="650" spans="1:19" hidden="1" x14ac:dyDescent="0.25">
      <c r="A650" t="s">
        <v>4052</v>
      </c>
      <c r="B650">
        <v>1193568408</v>
      </c>
      <c r="C650" t="s">
        <v>448</v>
      </c>
      <c r="D650" s="11" t="s">
        <v>344</v>
      </c>
      <c r="E650" s="11" t="s">
        <v>4056</v>
      </c>
      <c r="F650" s="11" t="s">
        <v>16</v>
      </c>
      <c r="G650" s="1">
        <v>46244</v>
      </c>
      <c r="H650" s="1">
        <v>46245</v>
      </c>
      <c r="I650" s="2">
        <v>0.58333333333333337</v>
      </c>
      <c r="J650" s="2">
        <v>0.875</v>
      </c>
      <c r="K650" s="11"/>
      <c r="L650" s="11" t="s">
        <v>4162</v>
      </c>
      <c r="M650" s="1"/>
      <c r="N650" s="11"/>
      <c r="O650" s="11" t="s">
        <v>21</v>
      </c>
      <c r="P650" s="1"/>
      <c r="Q650" s="1"/>
      <c r="R650" s="11"/>
      <c r="S650" s="2">
        <f>CONSOLIDADO_2026[[#This Row],[Hora final]]-CONSOLIDADO_2026[[#This Row],[Hora inic]]</f>
        <v>0.29166666666666663</v>
      </c>
    </row>
    <row r="651" spans="1:19" hidden="1" x14ac:dyDescent="0.25">
      <c r="A651" t="s">
        <v>4163</v>
      </c>
      <c r="B651">
        <v>1193568408</v>
      </c>
      <c r="C651" t="s">
        <v>448</v>
      </c>
      <c r="D651" s="11" t="s">
        <v>344</v>
      </c>
      <c r="E651" s="11" t="s">
        <v>4056</v>
      </c>
      <c r="F651" s="11" t="s">
        <v>16</v>
      </c>
      <c r="G651" s="1">
        <v>46244</v>
      </c>
      <c r="H651" s="1">
        <v>46245</v>
      </c>
      <c r="I651" s="2">
        <v>0.25</v>
      </c>
      <c r="J651" s="2">
        <v>0.58333333333333337</v>
      </c>
      <c r="K651" s="11" t="s">
        <v>3662</v>
      </c>
      <c r="L651" s="11" t="s">
        <v>3663</v>
      </c>
      <c r="M651" s="1"/>
      <c r="N651" s="11"/>
      <c r="O651" s="11" t="s">
        <v>21</v>
      </c>
      <c r="P651" s="1"/>
      <c r="Q651" s="1"/>
      <c r="R651" s="11"/>
      <c r="S651" s="2">
        <f>CONSOLIDADO_2026[[#This Row],[Hora final]]-CONSOLIDADO_2026[[#This Row],[Hora inic]]</f>
        <v>0.33333333333333337</v>
      </c>
    </row>
    <row r="652" spans="1:19" hidden="1" x14ac:dyDescent="0.25">
      <c r="A652" t="s">
        <v>4052</v>
      </c>
      <c r="B652">
        <v>1007959114</v>
      </c>
      <c r="C652" t="s">
        <v>337</v>
      </c>
      <c r="D652" s="11" t="s">
        <v>39</v>
      </c>
      <c r="E652" s="11" t="s">
        <v>4046</v>
      </c>
      <c r="F652" s="11" t="s">
        <v>16</v>
      </c>
      <c r="G652" s="1">
        <v>46244</v>
      </c>
      <c r="H652" s="1">
        <v>46244</v>
      </c>
      <c r="I652" s="2">
        <v>0.54166666666666663</v>
      </c>
      <c r="J652" s="2">
        <v>0.875</v>
      </c>
      <c r="K652" s="11"/>
      <c r="L652" s="11" t="s">
        <v>4060</v>
      </c>
      <c r="M652" s="1"/>
      <c r="N652" s="11"/>
      <c r="O652" s="11" t="s">
        <v>4042</v>
      </c>
      <c r="P652" s="1"/>
      <c r="Q652" s="1"/>
      <c r="R652" s="11"/>
      <c r="S652" s="2">
        <f>CONSOLIDADO_2026[[#This Row],[Hora final]]-CONSOLIDADO_2026[[#This Row],[Hora inic]]</f>
        <v>0.33333333333333337</v>
      </c>
    </row>
    <row r="653" spans="1:19" hidden="1" x14ac:dyDescent="0.25">
      <c r="A653" t="s">
        <v>4163</v>
      </c>
      <c r="B653">
        <v>1007959114</v>
      </c>
      <c r="C653" t="s">
        <v>337</v>
      </c>
      <c r="D653" s="11" t="s">
        <v>39</v>
      </c>
      <c r="E653" s="11" t="s">
        <v>4046</v>
      </c>
      <c r="F653" s="11" t="s">
        <v>16</v>
      </c>
      <c r="G653" s="1">
        <v>46244</v>
      </c>
      <c r="H653" s="1">
        <v>46244</v>
      </c>
      <c r="I653" s="2">
        <v>0.58333333333333337</v>
      </c>
      <c r="J653" s="2">
        <v>0.875</v>
      </c>
      <c r="K653" s="11"/>
      <c r="L653" s="11" t="s">
        <v>327</v>
      </c>
      <c r="M653" s="1"/>
      <c r="N653" s="11"/>
      <c r="O653" s="11" t="s">
        <v>4042</v>
      </c>
      <c r="P653" s="1"/>
      <c r="Q653" s="1"/>
      <c r="R653" s="11"/>
      <c r="S653" s="2">
        <f>CONSOLIDADO_2026[[#This Row],[Hora final]]-CONSOLIDADO_2026[[#This Row],[Hora inic]]</f>
        <v>0.29166666666666663</v>
      </c>
    </row>
    <row r="654" spans="1:19" hidden="1" x14ac:dyDescent="0.25">
      <c r="A654" t="s">
        <v>4052</v>
      </c>
      <c r="B654">
        <v>1053853703</v>
      </c>
      <c r="C654" t="s">
        <v>2209</v>
      </c>
      <c r="D654" s="11" t="s">
        <v>619</v>
      </c>
      <c r="E654" s="11" t="s">
        <v>4045</v>
      </c>
      <c r="F654" s="11" t="s">
        <v>4087</v>
      </c>
      <c r="G654" s="1">
        <v>46244</v>
      </c>
      <c r="H654" s="1">
        <v>46244</v>
      </c>
      <c r="I654" s="2">
        <v>0.5</v>
      </c>
      <c r="J654" s="2">
        <v>0.83333333333333337</v>
      </c>
      <c r="K654" s="11"/>
      <c r="L654" s="11" t="s">
        <v>327</v>
      </c>
      <c r="M654" s="1"/>
      <c r="N654" s="11"/>
      <c r="O654" s="11" t="s">
        <v>4042</v>
      </c>
      <c r="P654" s="1"/>
      <c r="Q654" s="1"/>
      <c r="R654" s="11"/>
      <c r="S654" s="2">
        <f>CONSOLIDADO_2026[[#This Row],[Hora final]]-CONSOLIDADO_2026[[#This Row],[Hora inic]]</f>
        <v>0.33333333333333337</v>
      </c>
    </row>
    <row r="655" spans="1:19" hidden="1" x14ac:dyDescent="0.25">
      <c r="A655" t="s">
        <v>4052</v>
      </c>
      <c r="B655">
        <v>1216726482</v>
      </c>
      <c r="C655" t="s">
        <v>2985</v>
      </c>
      <c r="D655" s="11" t="s">
        <v>634</v>
      </c>
      <c r="E655" s="11" t="s">
        <v>4045</v>
      </c>
      <c r="F655" s="11" t="s">
        <v>4087</v>
      </c>
      <c r="G655" s="1">
        <v>46244</v>
      </c>
      <c r="H655" s="1">
        <v>46244</v>
      </c>
      <c r="I655" s="2">
        <v>0.58333333333333337</v>
      </c>
      <c r="J655" s="2">
        <v>0.875</v>
      </c>
      <c r="K655" s="11"/>
      <c r="L655" s="11" t="s">
        <v>327</v>
      </c>
      <c r="M655" s="1"/>
      <c r="N655" s="11"/>
      <c r="O655" s="11" t="s">
        <v>4042</v>
      </c>
      <c r="P655" s="1"/>
      <c r="Q655" s="1"/>
      <c r="R655" s="11"/>
      <c r="S655" s="2">
        <f>CONSOLIDADO_2026[[#This Row],[Hora final]]-CONSOLIDADO_2026[[#This Row],[Hora inic]]</f>
        <v>0.29166666666666663</v>
      </c>
    </row>
    <row r="656" spans="1:19" hidden="1" x14ac:dyDescent="0.25">
      <c r="A656" t="s">
        <v>4163</v>
      </c>
      <c r="B656">
        <v>1040047481</v>
      </c>
      <c r="C656" t="s">
        <v>2331</v>
      </c>
      <c r="D656" s="11" t="s">
        <v>272</v>
      </c>
      <c r="E656" s="11" t="s">
        <v>4056</v>
      </c>
      <c r="F656" s="11" t="s">
        <v>16</v>
      </c>
      <c r="G656" s="1">
        <v>46242</v>
      </c>
      <c r="H656" s="1">
        <v>46248</v>
      </c>
      <c r="I656" s="2"/>
      <c r="J656" s="2"/>
      <c r="K656" s="11"/>
      <c r="L656" s="11" t="s">
        <v>4041</v>
      </c>
      <c r="M656" s="1"/>
      <c r="N656" s="11"/>
      <c r="O656" s="11" t="s">
        <v>4042</v>
      </c>
      <c r="P656" s="1"/>
      <c r="Q656" s="1"/>
      <c r="R656" s="11"/>
      <c r="S656" s="2">
        <f>CONSOLIDADO_2026[[#This Row],[Hora final]]-CONSOLIDADO_2026[[#This Row],[Hora inic]]</f>
        <v>0</v>
      </c>
    </row>
    <row r="657" spans="1:19" hidden="1" x14ac:dyDescent="0.25">
      <c r="A657" t="s">
        <v>4163</v>
      </c>
      <c r="B657">
        <v>1000921455</v>
      </c>
      <c r="C657" t="s">
        <v>14</v>
      </c>
      <c r="D657" s="11" t="s">
        <v>15</v>
      </c>
      <c r="E657" s="11" t="s">
        <v>4046</v>
      </c>
      <c r="F657" s="11" t="s">
        <v>16</v>
      </c>
      <c r="G657" s="1">
        <v>46242</v>
      </c>
      <c r="H657" s="1">
        <v>46246</v>
      </c>
      <c r="I657" s="2">
        <v>0.58333333333333337</v>
      </c>
      <c r="J657" s="2">
        <v>0.875</v>
      </c>
      <c r="K657" s="11"/>
      <c r="L657" s="11" t="s">
        <v>327</v>
      </c>
      <c r="M657" s="1"/>
      <c r="N657" s="11"/>
      <c r="O657" s="11" t="s">
        <v>4042</v>
      </c>
      <c r="P657" s="1"/>
      <c r="Q657" s="1"/>
      <c r="R657" s="11"/>
      <c r="S657" s="2">
        <f>CONSOLIDADO_2026[[#This Row],[Hora final]]-CONSOLIDADO_2026[[#This Row],[Hora inic]]</f>
        <v>0.29166666666666663</v>
      </c>
    </row>
    <row r="658" spans="1:19" hidden="1" x14ac:dyDescent="0.25">
      <c r="A658" t="s">
        <v>4163</v>
      </c>
      <c r="B658">
        <v>1007842898</v>
      </c>
      <c r="C658" t="s">
        <v>4159</v>
      </c>
      <c r="D658" s="11" t="s">
        <v>421</v>
      </c>
      <c r="E658" s="11" t="s">
        <v>4047</v>
      </c>
      <c r="F658" s="11" t="s">
        <v>4050</v>
      </c>
      <c r="G658" s="1">
        <v>46244</v>
      </c>
      <c r="H658" s="1">
        <v>46246</v>
      </c>
      <c r="I658" s="2">
        <v>0.58333333333333337</v>
      </c>
      <c r="J658" s="2">
        <v>0.875</v>
      </c>
      <c r="K658" s="11"/>
      <c r="L658" s="11" t="s">
        <v>327</v>
      </c>
      <c r="M658" s="1"/>
      <c r="N658" s="11"/>
      <c r="O658" s="11" t="s">
        <v>4042</v>
      </c>
      <c r="P658" s="1"/>
      <c r="Q658" s="1"/>
      <c r="R658" s="11"/>
      <c r="S658" s="2">
        <f>CONSOLIDADO_2026[[#This Row],[Hora final]]-CONSOLIDADO_2026[[#This Row],[Hora inic]]</f>
        <v>0.29166666666666663</v>
      </c>
    </row>
    <row r="659" spans="1:19" hidden="1" x14ac:dyDescent="0.25">
      <c r="A659" t="s">
        <v>4163</v>
      </c>
      <c r="B659">
        <v>1001851670</v>
      </c>
      <c r="C659" t="s">
        <v>50</v>
      </c>
      <c r="D659" s="11" t="s">
        <v>51</v>
      </c>
      <c r="E659" s="11" t="s">
        <v>4047</v>
      </c>
      <c r="F659" s="11" t="s">
        <v>36</v>
      </c>
      <c r="G659" s="1">
        <v>46241</v>
      </c>
      <c r="H659" s="1">
        <v>46366</v>
      </c>
      <c r="I659" s="2">
        <v>0.54166666666666663</v>
      </c>
      <c r="J659" s="2">
        <v>0.875</v>
      </c>
      <c r="K659" s="11" t="s">
        <v>73</v>
      </c>
      <c r="L659" s="11" t="s">
        <v>74</v>
      </c>
      <c r="M659" s="1"/>
      <c r="N659" s="11"/>
      <c r="O659" s="11" t="s">
        <v>21</v>
      </c>
      <c r="P659" s="1"/>
      <c r="Q659" s="1"/>
      <c r="R659" s="11"/>
      <c r="S659" s="2">
        <f>CONSOLIDADO_2026[[#This Row],[Hora final]]-CONSOLIDADO_2026[[#This Row],[Hora inic]]</f>
        <v>0.33333333333333337</v>
      </c>
    </row>
    <row r="660" spans="1:19" hidden="1" x14ac:dyDescent="0.25">
      <c r="A660" t="s">
        <v>4163</v>
      </c>
      <c r="B660">
        <v>1036965348</v>
      </c>
      <c r="C660" t="s">
        <v>229</v>
      </c>
      <c r="D660" s="11" t="s">
        <v>4078</v>
      </c>
      <c r="E660" s="11" t="s">
        <v>4046</v>
      </c>
      <c r="F660" s="11" t="s">
        <v>4079</v>
      </c>
      <c r="G660" s="1">
        <v>46245</v>
      </c>
      <c r="H660" s="1">
        <v>46245</v>
      </c>
      <c r="I660" s="2">
        <v>0.25</v>
      </c>
      <c r="J660" s="2">
        <v>0.58333333333333337</v>
      </c>
      <c r="K660" s="11"/>
      <c r="L660" s="11" t="s">
        <v>339</v>
      </c>
      <c r="M660" s="1"/>
      <c r="N660" s="11"/>
      <c r="O660" s="11" t="s">
        <v>4042</v>
      </c>
      <c r="P660" s="1"/>
      <c r="Q660" s="1"/>
      <c r="R660" s="11"/>
      <c r="S660" s="2">
        <f>CONSOLIDADO_2026[[#This Row],[Hora final]]-CONSOLIDADO_2026[[#This Row],[Hora inic]]</f>
        <v>0.33333333333333337</v>
      </c>
    </row>
    <row r="661" spans="1:19" hidden="1" x14ac:dyDescent="0.25">
      <c r="A661" t="s">
        <v>4163</v>
      </c>
      <c r="B661">
        <v>1037671907</v>
      </c>
      <c r="C661" t="s">
        <v>4164</v>
      </c>
      <c r="D661" s="11" t="s">
        <v>82</v>
      </c>
      <c r="E661" s="11" t="s">
        <v>4045</v>
      </c>
      <c r="F661" s="11" t="s">
        <v>4050</v>
      </c>
      <c r="G661" s="1">
        <v>46245</v>
      </c>
      <c r="H661" s="1">
        <v>46247</v>
      </c>
      <c r="I661" s="2">
        <v>0.5</v>
      </c>
      <c r="J661" s="2">
        <v>0.83333333333333337</v>
      </c>
      <c r="K661" s="11"/>
      <c r="L661" s="11" t="s">
        <v>327</v>
      </c>
      <c r="M661" s="1"/>
      <c r="N661" s="11"/>
      <c r="O661" s="11" t="s">
        <v>4042</v>
      </c>
      <c r="P661" s="1"/>
      <c r="Q661" s="1"/>
      <c r="R661" s="11"/>
      <c r="S661" s="2">
        <f>CONSOLIDADO_2026[[#This Row],[Hora final]]-CONSOLIDADO_2026[[#This Row],[Hora inic]]</f>
        <v>0.33333333333333337</v>
      </c>
    </row>
    <row r="662" spans="1:19" hidden="1" x14ac:dyDescent="0.25">
      <c r="A662" t="s">
        <v>4163</v>
      </c>
      <c r="B662">
        <v>1000662062</v>
      </c>
      <c r="C662" t="s">
        <v>330</v>
      </c>
      <c r="D662" s="11" t="s">
        <v>55</v>
      </c>
      <c r="E662" s="11" t="s">
        <v>4047</v>
      </c>
      <c r="F662" s="11" t="s">
        <v>16</v>
      </c>
      <c r="G662" s="1">
        <v>46245</v>
      </c>
      <c r="H662" s="1">
        <v>46249</v>
      </c>
      <c r="I662" s="2"/>
      <c r="J662" s="2"/>
      <c r="K662" s="11"/>
      <c r="L662" s="11" t="s">
        <v>327</v>
      </c>
      <c r="M662" s="1"/>
      <c r="N662" s="11"/>
      <c r="O662" s="11" t="s">
        <v>4042</v>
      </c>
      <c r="P662" s="1"/>
      <c r="Q662" s="1"/>
      <c r="R662" s="11"/>
      <c r="S662" s="2">
        <f>CONSOLIDADO_2026[[#This Row],[Hora final]]-CONSOLIDADO_2026[[#This Row],[Hora inic]]</f>
        <v>0</v>
      </c>
    </row>
    <row r="663" spans="1:19" hidden="1" x14ac:dyDescent="0.25">
      <c r="A663" t="s">
        <v>4163</v>
      </c>
      <c r="B663">
        <v>1003000892</v>
      </c>
      <c r="C663" t="s">
        <v>182</v>
      </c>
      <c r="D663" s="11" t="s">
        <v>256</v>
      </c>
      <c r="E663" s="11" t="s">
        <v>4040</v>
      </c>
      <c r="F663" s="11" t="s">
        <v>4104</v>
      </c>
      <c r="G663" s="1">
        <v>46245</v>
      </c>
      <c r="H663" s="1">
        <v>46245</v>
      </c>
      <c r="I663" s="2">
        <v>0.25</v>
      </c>
      <c r="J663" s="2">
        <v>0.58333333333333337</v>
      </c>
      <c r="K663" s="11"/>
      <c r="L663" s="11" t="s">
        <v>339</v>
      </c>
      <c r="M663" s="1"/>
      <c r="N663" s="11"/>
      <c r="O663" s="11" t="s">
        <v>4042</v>
      </c>
      <c r="P663" s="1"/>
      <c r="Q663" s="1"/>
      <c r="R663" s="11"/>
      <c r="S663" s="2">
        <f>CONSOLIDADO_2026[[#This Row],[Hora final]]-CONSOLIDADO_2026[[#This Row],[Hora inic]]</f>
        <v>0.33333333333333337</v>
      </c>
    </row>
    <row r="664" spans="1:19" hidden="1" x14ac:dyDescent="0.25">
      <c r="A664" t="s">
        <v>4163</v>
      </c>
      <c r="B664">
        <v>1000408752</v>
      </c>
      <c r="C664" t="s">
        <v>3636</v>
      </c>
      <c r="D664" s="11" t="s">
        <v>55</v>
      </c>
      <c r="E664" s="11" t="s">
        <v>4047</v>
      </c>
      <c r="F664" s="11" t="s">
        <v>16</v>
      </c>
      <c r="G664" s="1">
        <v>46244</v>
      </c>
      <c r="H664" s="1">
        <v>46246</v>
      </c>
      <c r="I664" s="2">
        <v>0.25</v>
      </c>
      <c r="J664" s="2">
        <v>0.54166666666666663</v>
      </c>
      <c r="K664" s="11"/>
      <c r="L664" s="11" t="s">
        <v>327</v>
      </c>
      <c r="M664" s="1"/>
      <c r="N664" s="11"/>
      <c r="O664" s="11" t="s">
        <v>4042</v>
      </c>
      <c r="P664" s="1"/>
      <c r="Q664" s="1"/>
      <c r="R664" s="11"/>
      <c r="S664" s="2">
        <f>CONSOLIDADO_2026[[#This Row],[Hora final]]-CONSOLIDADO_2026[[#This Row],[Hora inic]]</f>
        <v>0.29166666666666663</v>
      </c>
    </row>
    <row r="665" spans="1:19" hidden="1" x14ac:dyDescent="0.25">
      <c r="A665" t="s">
        <v>4163</v>
      </c>
      <c r="B665">
        <v>1077462479</v>
      </c>
      <c r="C665" t="s">
        <v>4027</v>
      </c>
      <c r="D665" s="11" t="s">
        <v>59</v>
      </c>
      <c r="E665" s="11" t="s">
        <v>4047</v>
      </c>
      <c r="F665" s="11" t="s">
        <v>4087</v>
      </c>
      <c r="G665" s="1">
        <v>46245</v>
      </c>
      <c r="H665" s="1">
        <v>46247</v>
      </c>
      <c r="I665" s="2">
        <v>0.25</v>
      </c>
      <c r="J665" s="2">
        <v>0.54166666666666663</v>
      </c>
      <c r="K665" s="11"/>
      <c r="L665" s="11" t="s">
        <v>327</v>
      </c>
      <c r="M665" s="1"/>
      <c r="N665" s="11"/>
      <c r="O665" s="11" t="s">
        <v>4042</v>
      </c>
      <c r="P665" s="1"/>
      <c r="Q665" s="1"/>
      <c r="R665" s="11"/>
      <c r="S665" s="2">
        <f>CONSOLIDADO_2026[[#This Row],[Hora final]]-CONSOLIDADO_2026[[#This Row],[Hora inic]]</f>
        <v>0.29166666666666663</v>
      </c>
    </row>
    <row r="666" spans="1:19" hidden="1" x14ac:dyDescent="0.25">
      <c r="A666" t="s">
        <v>4163</v>
      </c>
      <c r="B666">
        <v>1001369228</v>
      </c>
      <c r="C666" t="s">
        <v>164</v>
      </c>
      <c r="D666" s="11" t="s">
        <v>4079</v>
      </c>
      <c r="E666" s="11" t="s">
        <v>4056</v>
      </c>
      <c r="F666" s="11" t="s">
        <v>4079</v>
      </c>
      <c r="G666" s="1">
        <v>46245</v>
      </c>
      <c r="H666" s="1">
        <v>46245</v>
      </c>
      <c r="I666" s="2">
        <v>0.25</v>
      </c>
      <c r="J666" s="2">
        <v>0.58333333333333337</v>
      </c>
      <c r="K666" s="11"/>
      <c r="L666" s="11" t="s">
        <v>339</v>
      </c>
      <c r="M666" s="1"/>
      <c r="N666" s="11"/>
      <c r="O666" s="11" t="s">
        <v>4042</v>
      </c>
      <c r="P666" s="1"/>
      <c r="Q666" s="1"/>
      <c r="R666" s="11"/>
      <c r="S666" s="2">
        <f>CONSOLIDADO_2026[[#This Row],[Hora final]]-CONSOLIDADO_2026[[#This Row],[Hora inic]]</f>
        <v>0.33333333333333337</v>
      </c>
    </row>
    <row r="667" spans="1:19" hidden="1" x14ac:dyDescent="0.25">
      <c r="A667" t="s">
        <v>4163</v>
      </c>
      <c r="B667">
        <v>1017209928</v>
      </c>
      <c r="C667" t="s">
        <v>1205</v>
      </c>
      <c r="D667" s="11" t="s">
        <v>256</v>
      </c>
      <c r="E667" s="11" t="s">
        <v>4040</v>
      </c>
      <c r="F667" s="11" t="s">
        <v>16</v>
      </c>
      <c r="G667" s="1">
        <v>46245</v>
      </c>
      <c r="H667" s="1">
        <v>46246</v>
      </c>
      <c r="I667" s="2">
        <v>0.25</v>
      </c>
      <c r="J667" s="2">
        <v>0.58333333333333337</v>
      </c>
      <c r="K667" s="11"/>
      <c r="L667" s="11" t="s">
        <v>4060</v>
      </c>
      <c r="M667" s="1"/>
      <c r="N667" s="11"/>
      <c r="O667" s="11" t="s">
        <v>4042</v>
      </c>
      <c r="P667" s="1"/>
      <c r="Q667" s="1"/>
      <c r="R667" s="11"/>
      <c r="S667" s="2">
        <f>CONSOLIDADO_2026[[#This Row],[Hora final]]-CONSOLIDADO_2026[[#This Row],[Hora inic]]</f>
        <v>0.33333333333333337</v>
      </c>
    </row>
    <row r="668" spans="1:19" hidden="1" x14ac:dyDescent="0.25">
      <c r="A668" t="s">
        <v>4163</v>
      </c>
      <c r="B668">
        <v>1007508679</v>
      </c>
      <c r="C668" t="s">
        <v>1362</v>
      </c>
      <c r="D668" s="11" t="s">
        <v>51</v>
      </c>
      <c r="E668" s="11" t="s">
        <v>4047</v>
      </c>
      <c r="F668" s="11" t="s">
        <v>16</v>
      </c>
      <c r="G668" s="1">
        <v>46245</v>
      </c>
      <c r="H668" s="1">
        <v>46245</v>
      </c>
      <c r="I668" s="2">
        <v>0.58333333333333337</v>
      </c>
      <c r="J668" s="2">
        <v>0.875</v>
      </c>
      <c r="K668" s="11"/>
      <c r="L668" s="11" t="s">
        <v>327</v>
      </c>
      <c r="M668" s="1"/>
      <c r="N668" s="11"/>
      <c r="O668" s="11" t="s">
        <v>4042</v>
      </c>
      <c r="P668" s="1"/>
      <c r="Q668" s="1"/>
      <c r="R668" s="11"/>
      <c r="S668" s="2">
        <f>CONSOLIDADO_2026[[#This Row],[Hora final]]-CONSOLIDADO_2026[[#This Row],[Hora inic]]</f>
        <v>0.29166666666666663</v>
      </c>
    </row>
    <row r="669" spans="1:19" hidden="1" x14ac:dyDescent="0.25">
      <c r="A669" t="s">
        <v>4163</v>
      </c>
      <c r="B669">
        <v>1143360194</v>
      </c>
      <c r="C669" t="s">
        <v>3508</v>
      </c>
      <c r="D669" s="11" t="s">
        <v>64</v>
      </c>
      <c r="E669" s="11" t="s">
        <v>4046</v>
      </c>
      <c r="F669" s="11" t="s">
        <v>16</v>
      </c>
      <c r="G669" s="1">
        <v>46245</v>
      </c>
      <c r="H669" s="1">
        <v>46246</v>
      </c>
      <c r="I669" s="2">
        <v>0.25</v>
      </c>
      <c r="J669" s="2">
        <v>0.54166666666666663</v>
      </c>
      <c r="K669" s="11"/>
      <c r="L669" s="11" t="s">
        <v>4060</v>
      </c>
      <c r="M669" s="1"/>
      <c r="N669" s="11"/>
      <c r="O669" s="11" t="s">
        <v>4042</v>
      </c>
      <c r="P669" s="1"/>
      <c r="Q669" s="1"/>
      <c r="R669" s="11"/>
      <c r="S669" s="2">
        <f>CONSOLIDADO_2026[[#This Row],[Hora final]]-CONSOLIDADO_2026[[#This Row],[Hora inic]]</f>
        <v>0.29166666666666663</v>
      </c>
    </row>
    <row r="670" spans="1:19" hidden="1" x14ac:dyDescent="0.25">
      <c r="A670" t="s">
        <v>4163</v>
      </c>
      <c r="B670">
        <v>1001944593</v>
      </c>
      <c r="C670" t="s">
        <v>2629</v>
      </c>
      <c r="D670" s="11" t="s">
        <v>128</v>
      </c>
      <c r="E670" s="11" t="s">
        <v>4045</v>
      </c>
      <c r="F670" s="11" t="s">
        <v>16</v>
      </c>
      <c r="G670" s="1">
        <v>46245</v>
      </c>
      <c r="H670" s="1">
        <v>46245</v>
      </c>
      <c r="I670" s="2">
        <v>0.25</v>
      </c>
      <c r="J670" s="2">
        <v>0.54166666666666663</v>
      </c>
      <c r="K670" s="11"/>
      <c r="L670" s="11" t="s">
        <v>4060</v>
      </c>
      <c r="M670" s="1"/>
      <c r="N670" s="11"/>
      <c r="O670" s="11" t="s">
        <v>4042</v>
      </c>
      <c r="P670" s="1"/>
      <c r="Q670" s="1"/>
      <c r="R670" s="11"/>
      <c r="S670" s="2">
        <f>CONSOLIDADO_2026[[#This Row],[Hora final]]-CONSOLIDADO_2026[[#This Row],[Hora inic]]</f>
        <v>0.29166666666666663</v>
      </c>
    </row>
    <row r="671" spans="1:19" hidden="1" x14ac:dyDescent="0.25">
      <c r="A671" t="s">
        <v>4163</v>
      </c>
      <c r="B671">
        <v>1140876076</v>
      </c>
      <c r="C671" t="s">
        <v>1326</v>
      </c>
      <c r="D671" s="11" t="s">
        <v>15</v>
      </c>
      <c r="E671" s="11" t="s">
        <v>4046</v>
      </c>
      <c r="F671" s="11" t="s">
        <v>16</v>
      </c>
      <c r="G671" s="1">
        <v>46245</v>
      </c>
      <c r="H671" s="1">
        <v>46246</v>
      </c>
      <c r="I671" s="2">
        <v>0.58333333333333337</v>
      </c>
      <c r="J671" s="2">
        <v>0.875</v>
      </c>
      <c r="K671" s="11"/>
      <c r="L671" s="11" t="s">
        <v>327</v>
      </c>
      <c r="M671" s="1"/>
      <c r="N671" s="11"/>
      <c r="O671" s="11" t="s">
        <v>4042</v>
      </c>
      <c r="P671" s="1"/>
      <c r="Q671" s="1"/>
      <c r="R671" s="11"/>
      <c r="S671" s="2">
        <f>CONSOLIDADO_2026[[#This Row],[Hora final]]-CONSOLIDADO_2026[[#This Row],[Hora inic]]</f>
        <v>0.29166666666666663</v>
      </c>
    </row>
    <row r="672" spans="1:19" hidden="1" x14ac:dyDescent="0.25">
      <c r="A672" t="s">
        <v>4163</v>
      </c>
      <c r="B672">
        <v>1001897056</v>
      </c>
      <c r="C672" t="s">
        <v>334</v>
      </c>
      <c r="D672" s="11" t="s">
        <v>139</v>
      </c>
      <c r="E672" s="11" t="s">
        <v>4040</v>
      </c>
      <c r="F672" s="11" t="s">
        <v>16</v>
      </c>
      <c r="G672" s="1">
        <v>46245</v>
      </c>
      <c r="H672" s="1">
        <v>46249</v>
      </c>
      <c r="I672" s="2">
        <v>0.25</v>
      </c>
      <c r="J672" s="2">
        <v>0.54166666666666663</v>
      </c>
      <c r="K672" s="11"/>
      <c r="L672" s="11" t="s">
        <v>4060</v>
      </c>
      <c r="M672" s="1"/>
      <c r="N672" s="11"/>
      <c r="O672" s="11" t="s">
        <v>4042</v>
      </c>
      <c r="P672" s="1"/>
      <c r="Q672" s="1"/>
      <c r="R672" s="11"/>
      <c r="S672" s="2">
        <f>CONSOLIDADO_2026[[#This Row],[Hora final]]-CONSOLIDADO_2026[[#This Row],[Hora inic]]</f>
        <v>0.29166666666666663</v>
      </c>
    </row>
    <row r="673" spans="1:19" hidden="1" x14ac:dyDescent="0.25">
      <c r="A673" t="s">
        <v>4163</v>
      </c>
      <c r="B673">
        <v>1193584838</v>
      </c>
      <c r="C673" t="s">
        <v>3000</v>
      </c>
      <c r="D673" s="11" t="s">
        <v>59</v>
      </c>
      <c r="E673" s="11" t="s">
        <v>4047</v>
      </c>
      <c r="F673" s="11" t="s">
        <v>16</v>
      </c>
      <c r="G673" s="1">
        <v>46245</v>
      </c>
      <c r="H673" s="1">
        <v>46247</v>
      </c>
      <c r="I673" s="2">
        <v>0.5</v>
      </c>
      <c r="J673" s="2">
        <v>0.83333333333333337</v>
      </c>
      <c r="K673" s="11"/>
      <c r="L673" s="11" t="s">
        <v>4060</v>
      </c>
      <c r="M673" s="1"/>
      <c r="N673" s="11"/>
      <c r="O673" s="11" t="s">
        <v>4042</v>
      </c>
      <c r="P673" s="1"/>
      <c r="Q673" s="1"/>
      <c r="R673" s="11"/>
      <c r="S673" s="2">
        <f>CONSOLIDADO_2026[[#This Row],[Hora final]]-CONSOLIDADO_2026[[#This Row],[Hora inic]]</f>
        <v>0.33333333333333337</v>
      </c>
    </row>
    <row r="674" spans="1:19" hidden="1" x14ac:dyDescent="0.25">
      <c r="A674" t="s">
        <v>4163</v>
      </c>
      <c r="B674">
        <v>1052974971</v>
      </c>
      <c r="C674" t="s">
        <v>854</v>
      </c>
      <c r="D674" s="11" t="s">
        <v>176</v>
      </c>
      <c r="E674" s="11" t="s">
        <v>4040</v>
      </c>
      <c r="F674" s="11" t="s">
        <v>16</v>
      </c>
      <c r="G674" s="1">
        <v>46245</v>
      </c>
      <c r="H674" s="1">
        <v>46245</v>
      </c>
      <c r="I674" s="2">
        <v>0.41666666666666669</v>
      </c>
      <c r="J674" s="2">
        <v>0.79166666666666663</v>
      </c>
      <c r="K674" s="11"/>
      <c r="L674" s="11" t="s">
        <v>4060</v>
      </c>
      <c r="M674" s="1"/>
      <c r="N674" s="11"/>
      <c r="O674" s="11" t="s">
        <v>4042</v>
      </c>
      <c r="P674" s="1"/>
      <c r="Q674" s="1"/>
      <c r="R674" s="11"/>
      <c r="S674" s="2">
        <f>CONSOLIDADO_2026[[#This Row],[Hora final]]-CONSOLIDADO_2026[[#This Row],[Hora inic]]</f>
        <v>0.37499999999999994</v>
      </c>
    </row>
    <row r="675" spans="1:19" hidden="1" x14ac:dyDescent="0.25">
      <c r="A675" t="s">
        <v>4163</v>
      </c>
      <c r="B675">
        <v>43271257</v>
      </c>
      <c r="C675" t="s">
        <v>1302</v>
      </c>
      <c r="D675" s="11" t="s">
        <v>15</v>
      </c>
      <c r="E675" s="11" t="s">
        <v>4046</v>
      </c>
      <c r="F675" s="11" t="s">
        <v>16</v>
      </c>
      <c r="G675" s="1">
        <v>46245</v>
      </c>
      <c r="H675" s="1">
        <v>46246</v>
      </c>
      <c r="I675" s="2">
        <v>0.25</v>
      </c>
      <c r="J675" s="2">
        <v>0.58333333333333337</v>
      </c>
      <c r="K675" s="11"/>
      <c r="L675" s="11" t="s">
        <v>4060</v>
      </c>
      <c r="M675" s="1"/>
      <c r="N675" s="11"/>
      <c r="O675" s="11" t="s">
        <v>4042</v>
      </c>
      <c r="P675" s="1"/>
      <c r="Q675" s="1"/>
      <c r="R675" s="11"/>
      <c r="S675" s="2">
        <f>CONSOLIDADO_2026[[#This Row],[Hora final]]-CONSOLIDADO_2026[[#This Row],[Hora inic]]</f>
        <v>0.33333333333333337</v>
      </c>
    </row>
    <row r="676" spans="1:19" hidden="1" x14ac:dyDescent="0.25">
      <c r="A676" t="s">
        <v>4163</v>
      </c>
      <c r="B676">
        <v>1000416307</v>
      </c>
      <c r="C676" t="s">
        <v>3062</v>
      </c>
      <c r="D676" s="11" t="s">
        <v>132</v>
      </c>
      <c r="E676" s="11" t="s">
        <v>4040</v>
      </c>
      <c r="F676" s="11" t="s">
        <v>16</v>
      </c>
      <c r="G676" s="1">
        <v>46245</v>
      </c>
      <c r="H676" s="1">
        <v>46246</v>
      </c>
      <c r="I676" s="2">
        <v>0.25</v>
      </c>
      <c r="J676" s="2">
        <v>0.58333333333333337</v>
      </c>
      <c r="K676" s="11"/>
      <c r="L676" s="11" t="s">
        <v>327</v>
      </c>
      <c r="M676" s="1"/>
      <c r="N676" s="11"/>
      <c r="O676" s="11" t="s">
        <v>4042</v>
      </c>
      <c r="P676" s="1"/>
      <c r="Q676" s="1"/>
      <c r="R676" s="11"/>
      <c r="S676" s="2">
        <f>CONSOLIDADO_2026[[#This Row],[Hora final]]-CONSOLIDADO_2026[[#This Row],[Hora inic]]</f>
        <v>0.33333333333333337</v>
      </c>
    </row>
    <row r="677" spans="1:19" hidden="1" x14ac:dyDescent="0.25">
      <c r="A677" t="s">
        <v>4163</v>
      </c>
      <c r="B677">
        <v>1057608489</v>
      </c>
      <c r="C677" t="s">
        <v>3080</v>
      </c>
      <c r="D677" s="11" t="s">
        <v>132</v>
      </c>
      <c r="E677" s="11" t="s">
        <v>4040</v>
      </c>
      <c r="F677" s="11" t="s">
        <v>16</v>
      </c>
      <c r="G677" s="1">
        <v>46245</v>
      </c>
      <c r="H677" s="1">
        <v>46246</v>
      </c>
      <c r="I677" s="2">
        <v>0.25</v>
      </c>
      <c r="J677" s="2">
        <v>0.58333333333333337</v>
      </c>
      <c r="K677" s="11"/>
      <c r="L677" s="11" t="s">
        <v>327</v>
      </c>
      <c r="M677" s="1"/>
      <c r="N677" s="11"/>
      <c r="O677" s="11" t="s">
        <v>4042</v>
      </c>
      <c r="P677" s="1"/>
      <c r="Q677" s="1"/>
      <c r="R677" s="11"/>
      <c r="S677" s="2">
        <f>CONSOLIDADO_2026[[#This Row],[Hora final]]-CONSOLIDADO_2026[[#This Row],[Hora inic]]</f>
        <v>0.33333333333333337</v>
      </c>
    </row>
    <row r="678" spans="1:19" hidden="1" x14ac:dyDescent="0.25">
      <c r="A678" t="s">
        <v>4163</v>
      </c>
      <c r="B678">
        <v>1007223463</v>
      </c>
      <c r="C678" t="s">
        <v>561</v>
      </c>
      <c r="D678" s="11" t="s">
        <v>4078</v>
      </c>
      <c r="E678" s="11" t="s">
        <v>4056</v>
      </c>
      <c r="F678" s="11" t="s">
        <v>4079</v>
      </c>
      <c r="G678" s="1">
        <v>46245</v>
      </c>
      <c r="H678" s="1">
        <v>46245</v>
      </c>
      <c r="I678" s="2">
        <v>0.29166666666666669</v>
      </c>
      <c r="J678" s="2">
        <v>0.58333333333333337</v>
      </c>
      <c r="K678" s="11" t="s">
        <v>560</v>
      </c>
      <c r="L678" s="11" t="s">
        <v>561</v>
      </c>
      <c r="M678" s="1"/>
      <c r="N678" s="11"/>
      <c r="O678" s="11" t="s">
        <v>4042</v>
      </c>
      <c r="P678" s="1"/>
      <c r="Q678" s="1"/>
      <c r="R678" s="11"/>
      <c r="S678" s="2">
        <f>CONSOLIDADO_2026[[#This Row],[Hora final]]-CONSOLIDADO_2026[[#This Row],[Hora inic]]</f>
        <v>0.29166666666666669</v>
      </c>
    </row>
    <row r="679" spans="1:19" hidden="1" x14ac:dyDescent="0.25">
      <c r="A679" t="s">
        <v>4163</v>
      </c>
      <c r="B679">
        <v>1020470720</v>
      </c>
      <c r="C679" t="s">
        <v>620</v>
      </c>
      <c r="D679" s="11" t="s">
        <v>619</v>
      </c>
      <c r="E679" s="11" t="s">
        <v>4045</v>
      </c>
      <c r="F679" s="11" t="s">
        <v>16</v>
      </c>
      <c r="G679" s="1">
        <v>46245</v>
      </c>
      <c r="H679" s="1">
        <v>46246</v>
      </c>
      <c r="I679" s="2">
        <v>0.58333333333333337</v>
      </c>
      <c r="J679" s="2">
        <v>0.875</v>
      </c>
      <c r="K679" s="11"/>
      <c r="L679" s="11" t="s">
        <v>327</v>
      </c>
      <c r="M679" s="1"/>
      <c r="N679" s="11"/>
      <c r="O679" s="11" t="s">
        <v>4042</v>
      </c>
      <c r="P679" s="1"/>
      <c r="Q679" s="1"/>
      <c r="R679" s="11"/>
      <c r="S679" s="2">
        <f>CONSOLIDADO_2026[[#This Row],[Hora final]]-CONSOLIDADO_2026[[#This Row],[Hora inic]]</f>
        <v>0.29166666666666663</v>
      </c>
    </row>
    <row r="680" spans="1:19" hidden="1" x14ac:dyDescent="0.25">
      <c r="A680" t="s">
        <v>4163</v>
      </c>
      <c r="B680">
        <v>1047503032</v>
      </c>
      <c r="C680" t="s">
        <v>3019</v>
      </c>
      <c r="D680" s="11" t="s">
        <v>162</v>
      </c>
      <c r="E680" s="11" t="s">
        <v>4056</v>
      </c>
      <c r="F680" s="11" t="s">
        <v>16</v>
      </c>
      <c r="G680" s="1">
        <v>46245</v>
      </c>
      <c r="H680" s="1">
        <v>46246</v>
      </c>
      <c r="I680" s="2">
        <v>0.54166666666666663</v>
      </c>
      <c r="J680" s="2">
        <v>0.875</v>
      </c>
      <c r="K680" s="11"/>
      <c r="L680" s="11" t="s">
        <v>4060</v>
      </c>
      <c r="M680" s="1"/>
      <c r="N680" s="11"/>
      <c r="O680" s="11" t="s">
        <v>4042</v>
      </c>
      <c r="P680" s="1"/>
      <c r="Q680" s="1"/>
      <c r="R680" s="11"/>
      <c r="S680" s="2">
        <f>CONSOLIDADO_2026[[#This Row],[Hora final]]-CONSOLIDADO_2026[[#This Row],[Hora inic]]</f>
        <v>0.33333333333333337</v>
      </c>
    </row>
    <row r="681" spans="1:19" hidden="1" x14ac:dyDescent="0.25">
      <c r="A681" t="s">
        <v>4163</v>
      </c>
      <c r="B681">
        <v>1107046318</v>
      </c>
      <c r="C681" t="s">
        <v>268</v>
      </c>
      <c r="D681" s="11" t="s">
        <v>344</v>
      </c>
      <c r="E681" s="11" t="s">
        <v>4056</v>
      </c>
      <c r="F681" s="11" t="s">
        <v>4073</v>
      </c>
      <c r="G681" s="1">
        <v>46245</v>
      </c>
      <c r="H681" s="1">
        <v>46245</v>
      </c>
      <c r="I681" s="2">
        <v>0.25</v>
      </c>
      <c r="J681" s="2">
        <v>0.58333333333333337</v>
      </c>
      <c r="K681" s="11" t="s">
        <v>267</v>
      </c>
      <c r="L681" s="11" t="s">
        <v>268</v>
      </c>
      <c r="M681" s="1"/>
      <c r="N681" s="11"/>
      <c r="O681" s="11" t="s">
        <v>4042</v>
      </c>
      <c r="P681" s="1"/>
      <c r="Q681" s="1"/>
      <c r="R681" s="11"/>
      <c r="S681" s="2">
        <f>CONSOLIDADO_2026[[#This Row],[Hora final]]-CONSOLIDADO_2026[[#This Row],[Hora inic]]</f>
        <v>0.33333333333333337</v>
      </c>
    </row>
    <row r="682" spans="1:19" hidden="1" x14ac:dyDescent="0.25">
      <c r="A682" t="s">
        <v>4163</v>
      </c>
      <c r="B682">
        <v>1143373273</v>
      </c>
      <c r="C682" t="s">
        <v>2037</v>
      </c>
      <c r="D682" s="11" t="s">
        <v>272</v>
      </c>
      <c r="E682" s="11" t="s">
        <v>4056</v>
      </c>
      <c r="F682" s="11" t="s">
        <v>16</v>
      </c>
      <c r="G682" s="1">
        <v>46245</v>
      </c>
      <c r="H682" s="1">
        <v>46247</v>
      </c>
      <c r="I682" s="2">
        <v>0.58333333333333337</v>
      </c>
      <c r="J682" s="2">
        <v>0.875</v>
      </c>
      <c r="K682" s="11"/>
      <c r="L682" s="11" t="s">
        <v>4060</v>
      </c>
      <c r="M682" s="1"/>
      <c r="N682" s="11"/>
      <c r="O682" s="11" t="s">
        <v>4042</v>
      </c>
      <c r="P682" s="1"/>
      <c r="Q682" s="1"/>
      <c r="R682" s="11"/>
      <c r="S682" s="2">
        <f>CONSOLIDADO_2026[[#This Row],[Hora final]]-CONSOLIDADO_2026[[#This Row],[Hora inic]]</f>
        <v>0.29166666666666663</v>
      </c>
    </row>
    <row r="683" spans="1:19" hidden="1" x14ac:dyDescent="0.25">
      <c r="A683" t="s">
        <v>4163</v>
      </c>
      <c r="B683">
        <v>1085265026</v>
      </c>
      <c r="C683" t="s">
        <v>91</v>
      </c>
      <c r="D683" s="11" t="s">
        <v>55</v>
      </c>
      <c r="E683" s="11" t="s">
        <v>4047</v>
      </c>
      <c r="F683" s="11" t="s">
        <v>4165</v>
      </c>
      <c r="G683" s="1">
        <v>46245</v>
      </c>
      <c r="H683" s="1">
        <v>46249</v>
      </c>
      <c r="I683" s="2">
        <v>0.58333333333333337</v>
      </c>
      <c r="J683" s="2">
        <v>0.875</v>
      </c>
      <c r="K683" s="11"/>
      <c r="L683" s="11" t="s">
        <v>327</v>
      </c>
      <c r="M683" s="1"/>
      <c r="N683" s="11"/>
      <c r="O683" s="11" t="s">
        <v>4042</v>
      </c>
      <c r="P683" s="1"/>
      <c r="Q683" s="1"/>
      <c r="R683" s="11"/>
      <c r="S683" s="2">
        <f>CONSOLIDADO_2026[[#This Row],[Hora final]]-CONSOLIDADO_2026[[#This Row],[Hora inic]]</f>
        <v>0.29166666666666663</v>
      </c>
    </row>
    <row r="684" spans="1:19" hidden="1" x14ac:dyDescent="0.25">
      <c r="A684" t="s">
        <v>4163</v>
      </c>
      <c r="B684">
        <v>1044393706</v>
      </c>
      <c r="C684" t="s">
        <v>908</v>
      </c>
      <c r="D684" s="11" t="s">
        <v>128</v>
      </c>
      <c r="E684" s="11" t="s">
        <v>4045</v>
      </c>
      <c r="F684" s="11" t="s">
        <v>16</v>
      </c>
      <c r="G684" s="1">
        <v>46245</v>
      </c>
      <c r="H684" s="1">
        <v>46246</v>
      </c>
      <c r="I684" s="2">
        <v>0.58333333333333337</v>
      </c>
      <c r="J684" s="2">
        <v>0.875</v>
      </c>
      <c r="K684" s="11"/>
      <c r="L684" s="11" t="s">
        <v>4060</v>
      </c>
      <c r="M684" s="1"/>
      <c r="N684" s="11"/>
      <c r="O684" s="11" t="s">
        <v>4042</v>
      </c>
      <c r="P684" s="1"/>
      <c r="Q684" s="1"/>
      <c r="R684" s="11"/>
      <c r="S684" s="2">
        <f>CONSOLIDADO_2026[[#This Row],[Hora final]]-CONSOLIDADO_2026[[#This Row],[Hora inic]]</f>
        <v>0.29166666666666663</v>
      </c>
    </row>
    <row r="685" spans="1:19" hidden="1" x14ac:dyDescent="0.25">
      <c r="A685" t="s">
        <v>4163</v>
      </c>
      <c r="B685">
        <v>1037570349</v>
      </c>
      <c r="C685" t="s">
        <v>2818</v>
      </c>
      <c r="D685" s="11" t="s">
        <v>128</v>
      </c>
      <c r="E685" s="11" t="s">
        <v>4045</v>
      </c>
      <c r="F685" s="11" t="s">
        <v>16</v>
      </c>
      <c r="G685" s="1">
        <v>46245</v>
      </c>
      <c r="H685" s="1">
        <v>46246</v>
      </c>
      <c r="I685" s="2">
        <v>0.54166666666666663</v>
      </c>
      <c r="J685" s="2">
        <v>0.875</v>
      </c>
      <c r="K685" s="11"/>
      <c r="L685" s="11" t="s">
        <v>4060</v>
      </c>
      <c r="M685" s="1"/>
      <c r="N685" s="11"/>
      <c r="O685" s="11" t="s">
        <v>4042</v>
      </c>
      <c r="P685" s="1"/>
      <c r="Q685" s="1"/>
      <c r="R685" s="11"/>
      <c r="S685" s="2">
        <f>CONSOLIDADO_2026[[#This Row],[Hora final]]-CONSOLIDADO_2026[[#This Row],[Hora inic]]</f>
        <v>0.33333333333333337</v>
      </c>
    </row>
    <row r="686" spans="1:19" hidden="1" x14ac:dyDescent="0.25">
      <c r="A686" t="s">
        <v>4166</v>
      </c>
      <c r="B686">
        <v>1017261828</v>
      </c>
      <c r="C686" t="s">
        <v>210</v>
      </c>
      <c r="D686" s="11" t="s">
        <v>28</v>
      </c>
      <c r="E686" s="11" t="s">
        <v>4046</v>
      </c>
      <c r="F686" s="11" t="s">
        <v>16</v>
      </c>
      <c r="G686" s="1">
        <v>46248</v>
      </c>
      <c r="H686" s="1">
        <v>46249</v>
      </c>
      <c r="I686" s="2"/>
      <c r="J686" s="2"/>
      <c r="K686" s="11"/>
      <c r="L686" s="11" t="s">
        <v>4041</v>
      </c>
      <c r="M686" s="1"/>
      <c r="N686" s="11"/>
      <c r="O686" s="11" t="s">
        <v>4042</v>
      </c>
      <c r="P686" s="1"/>
      <c r="Q686" s="1"/>
      <c r="R686" s="11"/>
      <c r="S686" s="2">
        <f>CONSOLIDADO_2026[[#This Row],[Hora final]]-CONSOLIDADO_2026[[#This Row],[Hora inic]]</f>
        <v>0</v>
      </c>
    </row>
    <row r="687" spans="1:19" hidden="1" x14ac:dyDescent="0.25">
      <c r="A687" t="s">
        <v>4166</v>
      </c>
      <c r="B687">
        <v>1067959066</v>
      </c>
      <c r="C687" t="s">
        <v>3479</v>
      </c>
      <c r="D687" s="11" t="s">
        <v>344</v>
      </c>
      <c r="E687" s="11" t="s">
        <v>4056</v>
      </c>
      <c r="F687" s="11" t="s">
        <v>16</v>
      </c>
      <c r="G687" s="1">
        <v>46247</v>
      </c>
      <c r="H687" s="1">
        <v>46248</v>
      </c>
      <c r="I687" s="2"/>
      <c r="J687" s="2"/>
      <c r="K687" s="11"/>
      <c r="L687" s="11" t="s">
        <v>4041</v>
      </c>
      <c r="M687" s="1"/>
      <c r="N687" s="11"/>
      <c r="O687" s="11" t="s">
        <v>4042</v>
      </c>
      <c r="P687" s="1"/>
      <c r="Q687" s="1"/>
      <c r="R687" s="11"/>
      <c r="S687" s="2">
        <f>CONSOLIDADO_2026[[#This Row],[Hora final]]-CONSOLIDADO_2026[[#This Row],[Hora inic]]</f>
        <v>0</v>
      </c>
    </row>
    <row r="688" spans="1:19" hidden="1" x14ac:dyDescent="0.25">
      <c r="A688" t="s">
        <v>4166</v>
      </c>
      <c r="B688">
        <v>1143397459</v>
      </c>
      <c r="C688" t="s">
        <v>698</v>
      </c>
      <c r="D688" s="11" t="s">
        <v>634</v>
      </c>
      <c r="E688" s="11" t="s">
        <v>4045</v>
      </c>
      <c r="F688" s="11" t="s">
        <v>16</v>
      </c>
      <c r="G688" s="1">
        <v>46248</v>
      </c>
      <c r="H688" s="1">
        <v>46249</v>
      </c>
      <c r="I688" s="2"/>
      <c r="J688" s="2"/>
      <c r="K688" s="11"/>
      <c r="L688" s="11" t="s">
        <v>4041</v>
      </c>
      <c r="M688" s="1"/>
      <c r="N688" s="11"/>
      <c r="O688" s="11" t="s">
        <v>4042</v>
      </c>
      <c r="P688" s="1"/>
      <c r="Q688" s="1"/>
      <c r="R688" s="11"/>
      <c r="S688" s="2">
        <f>CONSOLIDADO_2026[[#This Row],[Hora final]]-CONSOLIDADO_2026[[#This Row],[Hora inic]]</f>
        <v>0</v>
      </c>
    </row>
    <row r="689" spans="1:19" hidden="1" x14ac:dyDescent="0.25">
      <c r="A689" t="s">
        <v>4166</v>
      </c>
      <c r="B689">
        <v>1036633827</v>
      </c>
      <c r="C689" t="s">
        <v>1356</v>
      </c>
      <c r="D689" s="11" t="s">
        <v>15</v>
      </c>
      <c r="E689" s="11" t="s">
        <v>4046</v>
      </c>
      <c r="F689" s="11" t="s">
        <v>16</v>
      </c>
      <c r="G689" s="1">
        <v>46249</v>
      </c>
      <c r="H689" s="1">
        <v>46249</v>
      </c>
      <c r="I689" s="2">
        <v>0.58333333333333337</v>
      </c>
      <c r="J689" s="2">
        <v>0.875</v>
      </c>
      <c r="K689" s="11"/>
      <c r="L689" s="11" t="s">
        <v>327</v>
      </c>
      <c r="M689" s="1"/>
      <c r="N689" s="11"/>
      <c r="O689" s="11" t="s">
        <v>4042</v>
      </c>
      <c r="P689" s="1"/>
      <c r="Q689" s="1"/>
      <c r="R689" s="11"/>
      <c r="S689" s="2">
        <f>CONSOLIDADO_2026[[#This Row],[Hora final]]-CONSOLIDADO_2026[[#This Row],[Hora inic]]</f>
        <v>0.29166666666666663</v>
      </c>
    </row>
    <row r="690" spans="1:19" hidden="1" x14ac:dyDescent="0.25">
      <c r="A690" t="s">
        <v>4166</v>
      </c>
      <c r="B690">
        <v>1003382575</v>
      </c>
      <c r="C690" t="s">
        <v>2702</v>
      </c>
      <c r="D690" s="11" t="s">
        <v>124</v>
      </c>
      <c r="E690" s="11" t="s">
        <v>4045</v>
      </c>
      <c r="F690" s="11" t="s">
        <v>16</v>
      </c>
      <c r="G690" s="1">
        <v>46248</v>
      </c>
      <c r="H690" s="1">
        <v>46249</v>
      </c>
      <c r="I690" s="2"/>
      <c r="J690" s="2"/>
      <c r="K690" s="11"/>
      <c r="L690" s="11" t="s">
        <v>4041</v>
      </c>
      <c r="M690" s="1"/>
      <c r="N690" s="11"/>
      <c r="O690" s="11" t="s">
        <v>4042</v>
      </c>
      <c r="P690" s="1"/>
      <c r="Q690" s="1"/>
      <c r="R690" s="11"/>
      <c r="S690" s="2">
        <f>CONSOLIDADO_2026[[#This Row],[Hora final]]-CONSOLIDADO_2026[[#This Row],[Hora inic]]</f>
        <v>0</v>
      </c>
    </row>
    <row r="691" spans="1:19" hidden="1" x14ac:dyDescent="0.25">
      <c r="A691" t="s">
        <v>4166</v>
      </c>
      <c r="B691">
        <v>1193584838</v>
      </c>
      <c r="C691" t="s">
        <v>3000</v>
      </c>
      <c r="D691" s="11" t="s">
        <v>59</v>
      </c>
      <c r="E691" s="11" t="s">
        <v>4047</v>
      </c>
      <c r="F691" s="11" t="s">
        <v>16</v>
      </c>
      <c r="G691" s="1">
        <v>46248</v>
      </c>
      <c r="H691" s="1">
        <v>46249</v>
      </c>
      <c r="I691" s="2"/>
      <c r="J691" s="2"/>
      <c r="K691" s="11"/>
      <c r="L691" s="11" t="s">
        <v>4041</v>
      </c>
      <c r="M691" s="1"/>
      <c r="N691" s="11"/>
      <c r="O691" s="11" t="s">
        <v>4042</v>
      </c>
      <c r="P691" s="1"/>
      <c r="Q691" s="1"/>
      <c r="R691" s="11"/>
      <c r="S691" s="2">
        <f>CONSOLIDADO_2026[[#This Row],[Hora final]]-CONSOLIDADO_2026[[#This Row],[Hora inic]]</f>
        <v>0</v>
      </c>
    </row>
    <row r="692" spans="1:19" hidden="1" x14ac:dyDescent="0.25">
      <c r="A692" t="s">
        <v>4166</v>
      </c>
      <c r="B692">
        <v>1042455156</v>
      </c>
      <c r="C692" t="s">
        <v>1341</v>
      </c>
      <c r="D692" s="11" t="s">
        <v>55</v>
      </c>
      <c r="E692" s="11" t="s">
        <v>4047</v>
      </c>
      <c r="F692" s="11" t="s">
        <v>16</v>
      </c>
      <c r="G692" s="1">
        <v>46248</v>
      </c>
      <c r="H692" s="1">
        <v>46249</v>
      </c>
      <c r="I692" s="2"/>
      <c r="J692" s="2"/>
      <c r="K692" s="11"/>
      <c r="L692" s="11" t="s">
        <v>4041</v>
      </c>
      <c r="M692" s="1"/>
      <c r="N692" s="11"/>
      <c r="O692" s="11" t="s">
        <v>4042</v>
      </c>
      <c r="P692" s="1"/>
      <c r="Q692" s="1"/>
      <c r="R692" s="11"/>
      <c r="S692" s="2">
        <f>CONSOLIDADO_2026[[#This Row],[Hora final]]-CONSOLIDADO_2026[[#This Row],[Hora inic]]</f>
        <v>0</v>
      </c>
    </row>
    <row r="693" spans="1:19" hidden="1" x14ac:dyDescent="0.25">
      <c r="A693" t="s">
        <v>4166</v>
      </c>
      <c r="B693">
        <v>1102808787</v>
      </c>
      <c r="C693" t="s">
        <v>135</v>
      </c>
      <c r="D693" s="11" t="s">
        <v>39</v>
      </c>
      <c r="E693" s="11" t="s">
        <v>4046</v>
      </c>
      <c r="F693" s="11" t="s">
        <v>16</v>
      </c>
      <c r="G693" s="1">
        <v>46237</v>
      </c>
      <c r="H693" s="1">
        <v>46276</v>
      </c>
      <c r="I693" s="2">
        <v>0.25</v>
      </c>
      <c r="J693" s="2">
        <v>0.58333333333333337</v>
      </c>
      <c r="K693" s="11" t="s">
        <v>318</v>
      </c>
      <c r="L693" s="11" t="s">
        <v>319</v>
      </c>
      <c r="M693" s="1"/>
      <c r="N693" s="11"/>
      <c r="O693" s="11" t="s">
        <v>21</v>
      </c>
      <c r="P693" s="1"/>
      <c r="Q693" s="1"/>
      <c r="R693" s="11"/>
      <c r="S693" s="2">
        <f>CONSOLIDADO_2026[[#This Row],[Hora final]]-CONSOLIDADO_2026[[#This Row],[Hora inic]]</f>
        <v>0.33333333333333337</v>
      </c>
    </row>
    <row r="694" spans="1:19" hidden="1" x14ac:dyDescent="0.25">
      <c r="A694" t="s">
        <v>4166</v>
      </c>
      <c r="B694">
        <v>1053860403</v>
      </c>
      <c r="C694" t="s">
        <v>2322</v>
      </c>
      <c r="D694" s="11" t="s">
        <v>272</v>
      </c>
      <c r="E694" s="11" t="s">
        <v>4056</v>
      </c>
      <c r="F694" s="11" t="s">
        <v>16</v>
      </c>
      <c r="G694" s="1">
        <v>46247</v>
      </c>
      <c r="H694" s="1">
        <v>46249</v>
      </c>
      <c r="I694" s="2"/>
      <c r="J694" s="2"/>
      <c r="K694" s="11"/>
      <c r="L694" s="11" t="s">
        <v>4041</v>
      </c>
      <c r="M694" s="1"/>
      <c r="N694" s="11"/>
      <c r="O694" s="11" t="s">
        <v>4042</v>
      </c>
      <c r="P694" s="1"/>
      <c r="Q694" s="1"/>
      <c r="R694" s="11"/>
      <c r="S694" s="2">
        <f>CONSOLIDADO_2026[[#This Row],[Hora final]]-CONSOLIDADO_2026[[#This Row],[Hora inic]]</f>
        <v>0</v>
      </c>
    </row>
    <row r="695" spans="1:19" hidden="1" x14ac:dyDescent="0.25">
      <c r="A695" t="s">
        <v>4166</v>
      </c>
      <c r="B695">
        <v>1036132488</v>
      </c>
      <c r="C695" t="s">
        <v>89</v>
      </c>
      <c r="D695" s="11" t="s">
        <v>59</v>
      </c>
      <c r="E695" s="11" t="s">
        <v>4047</v>
      </c>
      <c r="F695" s="11" t="s">
        <v>16</v>
      </c>
      <c r="G695" s="1">
        <v>46248</v>
      </c>
      <c r="H695" s="1">
        <v>46249</v>
      </c>
      <c r="I695" s="2"/>
      <c r="J695" s="2"/>
      <c r="K695" s="11"/>
      <c r="L695" s="11" t="s">
        <v>4041</v>
      </c>
      <c r="M695" s="1"/>
      <c r="N695" s="11"/>
      <c r="O695" s="11" t="s">
        <v>4042</v>
      </c>
      <c r="P695" s="1"/>
      <c r="Q695" s="1"/>
      <c r="R695" s="11"/>
      <c r="S695" s="2">
        <f>CONSOLIDADO_2026[[#This Row],[Hora final]]-CONSOLIDADO_2026[[#This Row],[Hora inic]]</f>
        <v>0</v>
      </c>
    </row>
    <row r="696" spans="1:19" hidden="1" x14ac:dyDescent="0.25">
      <c r="A696" t="s">
        <v>4166</v>
      </c>
      <c r="B696">
        <v>1152434926</v>
      </c>
      <c r="C696" t="s">
        <v>217</v>
      </c>
      <c r="D696" s="11" t="s">
        <v>59</v>
      </c>
      <c r="E696" s="11" t="s">
        <v>4047</v>
      </c>
      <c r="F696" s="11" t="s">
        <v>16</v>
      </c>
      <c r="G696" s="1">
        <v>46247</v>
      </c>
      <c r="H696" s="1">
        <v>46249</v>
      </c>
      <c r="I696" s="2"/>
      <c r="J696" s="2"/>
      <c r="K696" s="11"/>
      <c r="L696" s="11" t="s">
        <v>4041</v>
      </c>
      <c r="M696" s="1"/>
      <c r="N696" s="11"/>
      <c r="O696" s="11" t="s">
        <v>4042</v>
      </c>
      <c r="P696" s="1"/>
      <c r="Q696" s="1"/>
      <c r="R696" s="11"/>
      <c r="S696" s="2">
        <f>CONSOLIDADO_2026[[#This Row],[Hora final]]-CONSOLIDADO_2026[[#This Row],[Hora inic]]</f>
        <v>0</v>
      </c>
    </row>
    <row r="697" spans="1:19" hidden="1" x14ac:dyDescent="0.25">
      <c r="A697" t="s">
        <v>4166</v>
      </c>
      <c r="B697">
        <v>1045718883</v>
      </c>
      <c r="C697" t="s">
        <v>34</v>
      </c>
      <c r="D697" s="11" t="s">
        <v>15</v>
      </c>
      <c r="E697" s="11" t="s">
        <v>4046</v>
      </c>
      <c r="F697" s="11" t="s">
        <v>36</v>
      </c>
      <c r="G697" s="1">
        <v>46245</v>
      </c>
      <c r="H697" s="1">
        <v>46340</v>
      </c>
      <c r="I697" s="2">
        <v>0.54166666666666663</v>
      </c>
      <c r="J697" s="2">
        <v>0.875</v>
      </c>
      <c r="K697" s="11" t="s">
        <v>17</v>
      </c>
      <c r="L697" s="11" t="s">
        <v>18</v>
      </c>
      <c r="M697" s="1"/>
      <c r="N697" s="11"/>
      <c r="O697" s="11" t="s">
        <v>21</v>
      </c>
      <c r="P697" s="1"/>
      <c r="Q697" s="1"/>
      <c r="R697" s="11"/>
      <c r="S697" s="2">
        <f>CONSOLIDADO_2026[[#This Row],[Hora final]]-CONSOLIDADO_2026[[#This Row],[Hora inic]]</f>
        <v>0.33333333333333337</v>
      </c>
    </row>
    <row r="698" spans="1:19" hidden="1" x14ac:dyDescent="0.25">
      <c r="A698" t="s">
        <v>4166</v>
      </c>
      <c r="B698">
        <v>1035876080</v>
      </c>
      <c r="C698" t="s">
        <v>123</v>
      </c>
      <c r="D698" s="11" t="s">
        <v>124</v>
      </c>
      <c r="E698" s="11" t="s">
        <v>4045</v>
      </c>
      <c r="F698" s="11" t="s">
        <v>16</v>
      </c>
      <c r="G698" s="1">
        <v>46246</v>
      </c>
      <c r="H698" s="1">
        <v>46254</v>
      </c>
      <c r="I698" s="2">
        <v>0.25</v>
      </c>
      <c r="J698" s="2">
        <v>0.54166666666666663</v>
      </c>
      <c r="K698" s="11" t="s">
        <v>119</v>
      </c>
      <c r="L698" s="11" t="s">
        <v>120</v>
      </c>
      <c r="M698" s="1"/>
      <c r="N698" s="11"/>
      <c r="O698" s="11" t="s">
        <v>21</v>
      </c>
      <c r="P698" s="1"/>
      <c r="Q698" s="1"/>
      <c r="R698" s="11"/>
      <c r="S698" s="2">
        <f>CONSOLIDADO_2026[[#This Row],[Hora final]]-CONSOLIDADO_2026[[#This Row],[Hora inic]]</f>
        <v>0.29166666666666663</v>
      </c>
    </row>
    <row r="699" spans="1:19" hidden="1" x14ac:dyDescent="0.25">
      <c r="A699" t="s">
        <v>4166</v>
      </c>
      <c r="B699">
        <v>1085265026</v>
      </c>
      <c r="C699" t="s">
        <v>91</v>
      </c>
      <c r="D699" s="11" t="s">
        <v>55</v>
      </c>
      <c r="E699" s="11" t="s">
        <v>4047</v>
      </c>
      <c r="F699" s="11" t="s">
        <v>92</v>
      </c>
      <c r="G699" s="1">
        <v>46245</v>
      </c>
      <c r="H699" s="1">
        <v>46249</v>
      </c>
      <c r="I699" s="2"/>
      <c r="J699" s="2"/>
      <c r="K699" s="11"/>
      <c r="L699" s="11" t="s">
        <v>4041</v>
      </c>
      <c r="M699" s="1"/>
      <c r="N699" s="11"/>
      <c r="O699" s="11" t="s">
        <v>4042</v>
      </c>
      <c r="P699" s="1"/>
      <c r="Q699" s="1"/>
      <c r="R699" s="11"/>
      <c r="S699" s="2">
        <f>CONSOLIDADO_2026[[#This Row],[Hora final]]-CONSOLIDADO_2026[[#This Row],[Hora inic]]</f>
        <v>0</v>
      </c>
    </row>
    <row r="700" spans="1:19" hidden="1" x14ac:dyDescent="0.25">
      <c r="A700" t="s">
        <v>4166</v>
      </c>
      <c r="B700">
        <v>1000662062</v>
      </c>
      <c r="C700" t="s">
        <v>330</v>
      </c>
      <c r="D700" s="11" t="s">
        <v>55</v>
      </c>
      <c r="E700" s="11" t="s">
        <v>4047</v>
      </c>
      <c r="F700" s="11" t="s">
        <v>16</v>
      </c>
      <c r="G700" s="1">
        <v>46245</v>
      </c>
      <c r="H700" s="1">
        <v>46249</v>
      </c>
      <c r="I700" s="2"/>
      <c r="J700" s="2"/>
      <c r="K700" s="11"/>
      <c r="L700" s="11" t="s">
        <v>4041</v>
      </c>
      <c r="M700" s="1"/>
      <c r="N700" s="11"/>
      <c r="O700" s="11" t="s">
        <v>4042</v>
      </c>
      <c r="P700" s="1"/>
      <c r="Q700" s="1"/>
      <c r="R700" s="11"/>
      <c r="S700" s="2">
        <f>CONSOLIDADO_2026[[#This Row],[Hora final]]-CONSOLIDADO_2026[[#This Row],[Hora inic]]</f>
        <v>0</v>
      </c>
    </row>
    <row r="701" spans="1:19" hidden="1" x14ac:dyDescent="0.25">
      <c r="A701" t="s">
        <v>4166</v>
      </c>
      <c r="B701">
        <v>1037638426</v>
      </c>
      <c r="C701" t="s">
        <v>31</v>
      </c>
      <c r="D701" s="11" t="s">
        <v>28</v>
      </c>
      <c r="E701" s="11" t="s">
        <v>4046</v>
      </c>
      <c r="F701" s="11" t="s">
        <v>24</v>
      </c>
      <c r="G701" s="1">
        <v>46249</v>
      </c>
      <c r="H701" s="1">
        <v>46264</v>
      </c>
      <c r="I701" s="2">
        <v>0.54166666666666663</v>
      </c>
      <c r="J701" s="2">
        <v>0.875</v>
      </c>
      <c r="K701" s="11" t="s">
        <v>222</v>
      </c>
      <c r="L701" s="11" t="s">
        <v>223</v>
      </c>
      <c r="M701" s="1"/>
      <c r="N701" s="11"/>
      <c r="O701" s="11" t="s">
        <v>21</v>
      </c>
      <c r="P701" s="1"/>
      <c r="Q701" s="1"/>
      <c r="R701" s="11"/>
      <c r="S701" s="2">
        <f>CONSOLIDADO_2026[[#This Row],[Hora final]]-CONSOLIDADO_2026[[#This Row],[Hora inic]]</f>
        <v>0.33333333333333337</v>
      </c>
    </row>
    <row r="702" spans="1:19" hidden="1" x14ac:dyDescent="0.25">
      <c r="A702" t="s">
        <v>4166</v>
      </c>
      <c r="B702">
        <v>1082896324</v>
      </c>
      <c r="C702" t="s">
        <v>127</v>
      </c>
      <c r="D702" s="11" t="s">
        <v>128</v>
      </c>
      <c r="E702" s="11" t="s">
        <v>4045</v>
      </c>
      <c r="F702" s="11" t="s">
        <v>16</v>
      </c>
      <c r="G702" s="1">
        <v>46242</v>
      </c>
      <c r="H702" s="1">
        <v>46272</v>
      </c>
      <c r="I702" s="2">
        <v>0.25</v>
      </c>
      <c r="J702" s="2">
        <v>0.54166666666666663</v>
      </c>
      <c r="K702" s="11" t="s">
        <v>150</v>
      </c>
      <c r="L702" s="11" t="s">
        <v>151</v>
      </c>
      <c r="M702" s="1"/>
      <c r="N702" s="11"/>
      <c r="O702" s="11" t="s">
        <v>21</v>
      </c>
      <c r="P702" s="1"/>
      <c r="Q702" s="1"/>
      <c r="R702" s="11"/>
      <c r="S702" s="2">
        <f>CONSOLIDADO_2026[[#This Row],[Hora final]]-CONSOLIDADO_2026[[#This Row],[Hora inic]]</f>
        <v>0.29166666666666663</v>
      </c>
    </row>
    <row r="703" spans="1:19" hidden="1" x14ac:dyDescent="0.25">
      <c r="A703" t="s">
        <v>4166</v>
      </c>
      <c r="B703">
        <v>1015483595</v>
      </c>
      <c r="C703" t="s">
        <v>23</v>
      </c>
      <c r="D703" s="11" t="s">
        <v>15</v>
      </c>
      <c r="E703" s="11" t="s">
        <v>4046</v>
      </c>
      <c r="F703" s="11" t="s">
        <v>24</v>
      </c>
      <c r="G703" s="1">
        <v>46244</v>
      </c>
      <c r="H703" s="1">
        <v>46265</v>
      </c>
      <c r="I703" s="2">
        <v>0.25</v>
      </c>
      <c r="J703" s="2">
        <v>0.58333333333333337</v>
      </c>
      <c r="K703" s="11" t="s">
        <v>103</v>
      </c>
      <c r="L703" s="11" t="s">
        <v>104</v>
      </c>
      <c r="M703" s="1"/>
      <c r="N703" s="11"/>
      <c r="O703" s="11" t="s">
        <v>21</v>
      </c>
      <c r="P703" s="1"/>
      <c r="Q703" s="1"/>
      <c r="R703" s="11"/>
      <c r="S703" s="2">
        <f>CONSOLIDADO_2026[[#This Row],[Hora final]]-CONSOLIDADO_2026[[#This Row],[Hora inic]]</f>
        <v>0.33333333333333337</v>
      </c>
    </row>
    <row r="704" spans="1:19" hidden="1" x14ac:dyDescent="0.25">
      <c r="A704" t="s">
        <v>4166</v>
      </c>
      <c r="B704">
        <v>1001851670</v>
      </c>
      <c r="C704" t="s">
        <v>50</v>
      </c>
      <c r="D704" s="11" t="s">
        <v>51</v>
      </c>
      <c r="E704" s="11" t="s">
        <v>4047</v>
      </c>
      <c r="F704" s="11" t="s">
        <v>36</v>
      </c>
      <c r="G704" s="1">
        <v>46241</v>
      </c>
      <c r="H704" s="1">
        <v>46366</v>
      </c>
      <c r="I704" s="2">
        <v>0.54166666666666663</v>
      </c>
      <c r="J704" s="2">
        <v>0.875</v>
      </c>
      <c r="K704" s="11" t="s">
        <v>45</v>
      </c>
      <c r="L704" s="11" t="s">
        <v>46</v>
      </c>
      <c r="M704" s="1"/>
      <c r="N704" s="11"/>
      <c r="O704" s="11" t="s">
        <v>21</v>
      </c>
      <c r="P704" s="1"/>
      <c r="Q704" s="1"/>
      <c r="R704" s="11"/>
      <c r="S704" s="2">
        <f>CONSOLIDADO_2026[[#This Row],[Hora final]]-CONSOLIDADO_2026[[#This Row],[Hora inic]]</f>
        <v>0.33333333333333337</v>
      </c>
    </row>
    <row r="705" spans="1:19" hidden="1" x14ac:dyDescent="0.25">
      <c r="A705" t="s">
        <v>4166</v>
      </c>
      <c r="B705">
        <v>42141273</v>
      </c>
      <c r="C705" t="s">
        <v>271</v>
      </c>
      <c r="D705" s="11" t="s">
        <v>272</v>
      </c>
      <c r="E705" s="11" t="s">
        <v>4056</v>
      </c>
      <c r="F705" s="11" t="s">
        <v>4065</v>
      </c>
      <c r="G705" s="1">
        <v>46238</v>
      </c>
      <c r="H705" s="1">
        <v>46295</v>
      </c>
      <c r="I705" s="2">
        <v>0.25</v>
      </c>
      <c r="J705" s="2">
        <v>0.5</v>
      </c>
      <c r="K705" s="11" t="s">
        <v>184</v>
      </c>
      <c r="L705" s="11" t="s">
        <v>185</v>
      </c>
      <c r="M705" s="1"/>
      <c r="N705" s="11"/>
      <c r="O705" s="11" t="s">
        <v>4042</v>
      </c>
      <c r="P705" s="1"/>
      <c r="Q705" s="1"/>
      <c r="R705" s="11"/>
      <c r="S705" s="2">
        <f>CONSOLIDADO_2026[[#This Row],[Hora final]]-CONSOLIDADO_2026[[#This Row],[Hora inic]]</f>
        <v>0.25</v>
      </c>
    </row>
    <row r="706" spans="1:19" hidden="1" x14ac:dyDescent="0.25">
      <c r="A706" t="s">
        <v>4166</v>
      </c>
      <c r="B706">
        <v>1152221372</v>
      </c>
      <c r="C706" t="s">
        <v>2363</v>
      </c>
      <c r="D706" s="11" t="s">
        <v>139</v>
      </c>
      <c r="E706" s="11" t="s">
        <v>4040</v>
      </c>
      <c r="F706" s="11" t="s">
        <v>158</v>
      </c>
      <c r="G706" s="1">
        <v>46230</v>
      </c>
      <c r="H706" s="1">
        <v>46230</v>
      </c>
      <c r="I706" s="2">
        <v>0.25</v>
      </c>
      <c r="J706" s="2">
        <v>0.54166666666666663</v>
      </c>
      <c r="K706" s="11" t="s">
        <v>181</v>
      </c>
      <c r="L706" s="11" t="s">
        <v>182</v>
      </c>
      <c r="M706" s="1"/>
      <c r="N706" s="11"/>
      <c r="O706" s="11" t="s">
        <v>21</v>
      </c>
      <c r="P706" s="1"/>
      <c r="Q706" s="1"/>
      <c r="R706" s="11"/>
      <c r="S706" s="2">
        <f>CONSOLIDADO_2026[[#This Row],[Hora final]]-CONSOLIDADO_2026[[#This Row],[Hora inic]]</f>
        <v>0.29166666666666663</v>
      </c>
    </row>
    <row r="707" spans="1:19" hidden="1" x14ac:dyDescent="0.25">
      <c r="A707" t="s">
        <v>4166</v>
      </c>
      <c r="B707">
        <v>1017264032</v>
      </c>
      <c r="C707" t="s">
        <v>54</v>
      </c>
      <c r="D707" s="11" t="s">
        <v>55</v>
      </c>
      <c r="E707" s="11" t="s">
        <v>4047</v>
      </c>
      <c r="F707" s="11" t="s">
        <v>16</v>
      </c>
      <c r="G707" s="1">
        <v>46229</v>
      </c>
      <c r="H707" s="1">
        <v>46258</v>
      </c>
      <c r="I707" s="2">
        <v>0.25</v>
      </c>
      <c r="J707" s="2">
        <v>0.58333333333333337</v>
      </c>
      <c r="K707" s="11" t="s">
        <v>85</v>
      </c>
      <c r="L707" s="11" t="s">
        <v>86</v>
      </c>
      <c r="M707" s="1"/>
      <c r="N707" s="11"/>
      <c r="O707" s="11" t="s">
        <v>21</v>
      </c>
      <c r="P707" s="1"/>
      <c r="Q707" s="1"/>
      <c r="R707" s="11"/>
      <c r="S707" s="2">
        <f>CONSOLIDADO_2026[[#This Row],[Hora final]]-CONSOLIDADO_2026[[#This Row],[Hora inic]]</f>
        <v>0.33333333333333337</v>
      </c>
    </row>
    <row r="708" spans="1:19" hidden="1" x14ac:dyDescent="0.25">
      <c r="A708" t="s">
        <v>4166</v>
      </c>
      <c r="B708">
        <v>1037631989</v>
      </c>
      <c r="C708" t="s">
        <v>27</v>
      </c>
      <c r="D708" s="11" t="s">
        <v>28</v>
      </c>
      <c r="E708" s="11" t="s">
        <v>4046</v>
      </c>
      <c r="F708" s="11" t="s">
        <v>16</v>
      </c>
      <c r="G708" s="1">
        <v>46226</v>
      </c>
      <c r="H708" s="1">
        <v>46255</v>
      </c>
      <c r="I708" s="2">
        <v>0.25</v>
      </c>
      <c r="J708" s="2">
        <v>0.54166666666666663</v>
      </c>
      <c r="K708" s="11"/>
      <c r="L708" s="11" t="s">
        <v>327</v>
      </c>
      <c r="M708" s="1"/>
      <c r="N708" s="11"/>
      <c r="O708" s="11" t="s">
        <v>4042</v>
      </c>
      <c r="P708" s="1"/>
      <c r="Q708" s="1"/>
      <c r="R708" s="11"/>
      <c r="S708" s="2">
        <f>CONSOLIDADO_2026[[#This Row],[Hora final]]-CONSOLIDADO_2026[[#This Row],[Hora inic]]</f>
        <v>0.29166666666666663</v>
      </c>
    </row>
    <row r="709" spans="1:19" hidden="1" x14ac:dyDescent="0.25">
      <c r="A709" t="s">
        <v>4166</v>
      </c>
      <c r="B709">
        <v>1143414481</v>
      </c>
      <c r="C709" t="s">
        <v>2447</v>
      </c>
      <c r="D709" s="11" t="s">
        <v>28</v>
      </c>
      <c r="E709" s="11" t="s">
        <v>4046</v>
      </c>
      <c r="F709" s="11" t="s">
        <v>4123</v>
      </c>
      <c r="G709" s="1">
        <v>46247</v>
      </c>
      <c r="H709" s="1">
        <v>46252</v>
      </c>
      <c r="I709" s="2">
        <v>0.25</v>
      </c>
      <c r="J709" s="2">
        <v>0.54166666666666663</v>
      </c>
      <c r="K709" s="11" t="s">
        <v>294</v>
      </c>
      <c r="L709" s="11" t="s">
        <v>295</v>
      </c>
      <c r="M709" s="1"/>
      <c r="N709" s="11"/>
      <c r="O709" s="11" t="s">
        <v>21</v>
      </c>
      <c r="P709" s="1"/>
      <c r="Q709" s="1"/>
      <c r="R709" s="11"/>
      <c r="S709" s="2">
        <f>CONSOLIDADO_2026[[#This Row],[Hora final]]-CONSOLIDADO_2026[[#This Row],[Hora inic]]</f>
        <v>0.29166666666666663</v>
      </c>
    </row>
    <row r="710" spans="1:19" hidden="1" x14ac:dyDescent="0.25">
      <c r="A710" t="s">
        <v>4166</v>
      </c>
      <c r="B710">
        <v>1037630071</v>
      </c>
      <c r="C710" t="s">
        <v>3579</v>
      </c>
      <c r="D710" s="11" t="s">
        <v>176</v>
      </c>
      <c r="E710" s="11" t="s">
        <v>4040</v>
      </c>
      <c r="F710" s="11" t="s">
        <v>4062</v>
      </c>
      <c r="G710" s="1">
        <v>46247</v>
      </c>
      <c r="H710" s="1">
        <v>46265</v>
      </c>
      <c r="I710" s="2">
        <v>0.25</v>
      </c>
      <c r="J710" s="2">
        <v>0.58333333333333337</v>
      </c>
      <c r="K710" s="11" t="s">
        <v>251</v>
      </c>
      <c r="L710" s="11" t="s">
        <v>252</v>
      </c>
      <c r="M710" s="1"/>
      <c r="N710" s="11"/>
      <c r="O710" s="11" t="s">
        <v>21</v>
      </c>
      <c r="P710" s="1"/>
      <c r="Q710" s="1"/>
      <c r="R710" s="11"/>
      <c r="S710" s="2">
        <f>CONSOLIDADO_2026[[#This Row],[Hora final]]-CONSOLIDADO_2026[[#This Row],[Hora inic]]</f>
        <v>0.33333333333333337</v>
      </c>
    </row>
    <row r="711" spans="1:19" hidden="1" x14ac:dyDescent="0.25">
      <c r="A711" t="s">
        <v>4166</v>
      </c>
      <c r="B711">
        <v>1143460426</v>
      </c>
      <c r="C711" t="s">
        <v>4069</v>
      </c>
      <c r="D711" s="11" t="s">
        <v>64</v>
      </c>
      <c r="E711" s="11" t="s">
        <v>4046</v>
      </c>
      <c r="F711" s="11" t="s">
        <v>4050</v>
      </c>
      <c r="G711" s="1">
        <v>46195</v>
      </c>
      <c r="H711" s="1">
        <v>46198</v>
      </c>
      <c r="I711" s="2">
        <v>0.25</v>
      </c>
      <c r="J711" s="2">
        <v>0.58333333333333337</v>
      </c>
      <c r="K711" s="11" t="s">
        <v>236</v>
      </c>
      <c r="L711" s="11" t="s">
        <v>237</v>
      </c>
      <c r="M711" s="1"/>
      <c r="N711" s="11"/>
      <c r="O711" s="11" t="s">
        <v>21</v>
      </c>
      <c r="P711" s="1"/>
      <c r="Q711" s="1"/>
      <c r="R711" s="11"/>
      <c r="S711" s="2">
        <f>CONSOLIDADO_2026[[#This Row],[Hora final]]-CONSOLIDADO_2026[[#This Row],[Hora inic]]</f>
        <v>0.33333333333333337</v>
      </c>
    </row>
    <row r="712" spans="1:19" hidden="1" x14ac:dyDescent="0.25">
      <c r="A712" t="s">
        <v>4166</v>
      </c>
      <c r="B712">
        <v>1010108820</v>
      </c>
      <c r="C712" t="s">
        <v>1213</v>
      </c>
      <c r="D712" s="11" t="s">
        <v>421</v>
      </c>
      <c r="E712" s="11" t="s">
        <v>4047</v>
      </c>
      <c r="F712" s="11" t="s">
        <v>16</v>
      </c>
      <c r="G712" s="1">
        <v>46248</v>
      </c>
      <c r="H712" s="1">
        <v>46249</v>
      </c>
      <c r="I712" s="2">
        <v>0.58333333333333337</v>
      </c>
      <c r="J712" s="2">
        <v>0.875</v>
      </c>
      <c r="K712" s="11"/>
      <c r="L712" s="11" t="s">
        <v>4041</v>
      </c>
      <c r="M712" s="1"/>
      <c r="N712" s="11"/>
      <c r="O712" s="11" t="s">
        <v>4042</v>
      </c>
      <c r="P712" s="1"/>
      <c r="Q712" s="1"/>
      <c r="R712" s="11"/>
      <c r="S712" s="2">
        <f>CONSOLIDADO_2026[[#This Row],[Hora final]]-CONSOLIDADO_2026[[#This Row],[Hora inic]]</f>
        <v>0.29166666666666663</v>
      </c>
    </row>
    <row r="713" spans="1:19" hidden="1" x14ac:dyDescent="0.25">
      <c r="A713" t="s">
        <v>4166</v>
      </c>
      <c r="B713">
        <v>92541180</v>
      </c>
      <c r="C713" t="s">
        <v>2605</v>
      </c>
      <c r="D713" s="11" t="s">
        <v>128</v>
      </c>
      <c r="E713" s="11" t="s">
        <v>4045</v>
      </c>
      <c r="F713" s="11" t="s">
        <v>4074</v>
      </c>
      <c r="G713" s="1">
        <v>46247</v>
      </c>
      <c r="H713" s="1"/>
      <c r="I713" s="2">
        <v>0.25</v>
      </c>
      <c r="J713" s="2">
        <v>0.58333333333333337</v>
      </c>
      <c r="K713" s="11"/>
      <c r="L713" s="11" t="s">
        <v>4060</v>
      </c>
      <c r="M713" s="1"/>
      <c r="N713" s="11"/>
      <c r="O713" s="11" t="s">
        <v>4042</v>
      </c>
      <c r="P713" s="1"/>
      <c r="Q713" s="1"/>
      <c r="R713" s="11"/>
      <c r="S713" s="2">
        <f>CONSOLIDADO_2026[[#This Row],[Hora final]]-CONSOLIDADO_2026[[#This Row],[Hora inic]]</f>
        <v>0.33333333333333337</v>
      </c>
    </row>
    <row r="714" spans="1:19" hidden="1" x14ac:dyDescent="0.25">
      <c r="A714" t="s">
        <v>4166</v>
      </c>
      <c r="B714">
        <v>1143403750</v>
      </c>
      <c r="C714" t="s">
        <v>4167</v>
      </c>
      <c r="D714" s="11" t="s">
        <v>492</v>
      </c>
      <c r="E714" s="11" t="s">
        <v>4045</v>
      </c>
      <c r="F714" s="11" t="s">
        <v>4050</v>
      </c>
      <c r="G714" s="1">
        <v>46247</v>
      </c>
      <c r="H714" s="1">
        <v>46251</v>
      </c>
      <c r="I714" s="2"/>
      <c r="J714" s="2"/>
      <c r="K714" s="11"/>
      <c r="L714" s="11" t="s">
        <v>4041</v>
      </c>
      <c r="M714" s="1"/>
      <c r="N714" s="11"/>
      <c r="O714" s="11" t="s">
        <v>4042</v>
      </c>
      <c r="P714" s="1"/>
      <c r="Q714" s="1"/>
      <c r="R714" s="11"/>
      <c r="S714" s="2">
        <f>CONSOLIDADO_2026[[#This Row],[Hora final]]-CONSOLIDADO_2026[[#This Row],[Hora inic]]</f>
        <v>0</v>
      </c>
    </row>
    <row r="715" spans="1:19" hidden="1" x14ac:dyDescent="0.25">
      <c r="A715" t="s">
        <v>4166</v>
      </c>
      <c r="B715">
        <v>1001996913</v>
      </c>
      <c r="C715" t="s">
        <v>3174</v>
      </c>
      <c r="D715" s="11" t="s">
        <v>28</v>
      </c>
      <c r="E715" s="11" t="s">
        <v>4046</v>
      </c>
      <c r="F715" s="11" t="s">
        <v>16</v>
      </c>
      <c r="G715" s="1">
        <v>46248</v>
      </c>
      <c r="H715" s="1">
        <v>46249</v>
      </c>
      <c r="I715" s="2"/>
      <c r="J715" s="2"/>
      <c r="K715" s="11"/>
      <c r="L715" s="11" t="s">
        <v>4041</v>
      </c>
      <c r="M715" s="1"/>
      <c r="N715" s="11"/>
      <c r="O715" s="11" t="s">
        <v>4042</v>
      </c>
      <c r="P715" s="1"/>
      <c r="Q715" s="1"/>
      <c r="R715" s="11"/>
      <c r="S715" s="2">
        <f>CONSOLIDADO_2026[[#This Row],[Hora final]]-CONSOLIDADO_2026[[#This Row],[Hora inic]]</f>
        <v>0</v>
      </c>
    </row>
    <row r="716" spans="1:19" hidden="1" x14ac:dyDescent="0.25">
      <c r="A716" t="s">
        <v>4166</v>
      </c>
      <c r="B716">
        <v>73189515</v>
      </c>
      <c r="C716" t="s">
        <v>773</v>
      </c>
      <c r="D716" s="11" t="s">
        <v>272</v>
      </c>
      <c r="E716" s="11" t="s">
        <v>4056</v>
      </c>
      <c r="F716" s="11" t="s">
        <v>4087</v>
      </c>
      <c r="G716" s="1">
        <v>46248</v>
      </c>
      <c r="H716" s="1">
        <v>46252</v>
      </c>
      <c r="I716" s="2">
        <v>0.54166666666666663</v>
      </c>
      <c r="J716" s="2">
        <v>0.875</v>
      </c>
      <c r="K716" s="11" t="s">
        <v>267</v>
      </c>
      <c r="L716" s="11" t="s">
        <v>268</v>
      </c>
      <c r="M716" s="1"/>
      <c r="N716" s="11"/>
      <c r="O716" s="11" t="s">
        <v>21</v>
      </c>
      <c r="P716" s="1"/>
      <c r="Q716" s="1"/>
      <c r="R716" s="11"/>
      <c r="S716" s="2">
        <f>CONSOLIDADO_2026[[#This Row],[Hora final]]-CONSOLIDADO_2026[[#This Row],[Hora inic]]</f>
        <v>0.33333333333333337</v>
      </c>
    </row>
    <row r="717" spans="1:19" hidden="1" x14ac:dyDescent="0.25">
      <c r="A717" t="s">
        <v>4166</v>
      </c>
      <c r="B717">
        <v>1140903391</v>
      </c>
      <c r="C717" t="s">
        <v>301</v>
      </c>
      <c r="D717" s="11" t="s">
        <v>39</v>
      </c>
      <c r="E717" s="11" t="s">
        <v>4046</v>
      </c>
      <c r="F717" s="11" t="s">
        <v>4168</v>
      </c>
      <c r="G717" s="1">
        <v>46252</v>
      </c>
      <c r="H717" s="1">
        <v>46252</v>
      </c>
      <c r="I717" s="2">
        <v>0.33333333333333331</v>
      </c>
      <c r="J717" s="2">
        <v>0.66666666666666663</v>
      </c>
      <c r="K717" s="11"/>
      <c r="L717" s="11" t="s">
        <v>339</v>
      </c>
      <c r="M717" s="1"/>
      <c r="N717" s="11"/>
      <c r="O717" s="11" t="s">
        <v>4042</v>
      </c>
      <c r="P717" s="1"/>
      <c r="Q717" s="1"/>
      <c r="R717" s="11"/>
      <c r="S717" s="2">
        <f>CONSOLIDADO_2026[[#This Row],[Hora final]]-CONSOLIDADO_2026[[#This Row],[Hora inic]]</f>
        <v>0.33333333333333331</v>
      </c>
    </row>
    <row r="718" spans="1:19" hidden="1" x14ac:dyDescent="0.25">
      <c r="A718" t="s">
        <v>4166</v>
      </c>
      <c r="B718">
        <v>1040755197</v>
      </c>
      <c r="C718" t="s">
        <v>171</v>
      </c>
      <c r="D718" s="11" t="s">
        <v>172</v>
      </c>
      <c r="E718" s="11" t="s">
        <v>4046</v>
      </c>
      <c r="F718" s="11" t="s">
        <v>4074</v>
      </c>
      <c r="G718" s="1">
        <v>46252</v>
      </c>
      <c r="H718" s="1">
        <v>46262</v>
      </c>
      <c r="I718" s="2">
        <v>0.25</v>
      </c>
      <c r="J718" s="2">
        <v>0.54166666666666663</v>
      </c>
      <c r="K718" s="11"/>
      <c r="L718" s="11" t="s">
        <v>4169</v>
      </c>
      <c r="M718" s="1"/>
      <c r="N718" s="11"/>
      <c r="O718" s="11" t="s">
        <v>21</v>
      </c>
      <c r="P718" s="1"/>
      <c r="Q718" s="1"/>
      <c r="R718" s="11"/>
      <c r="S718" s="2">
        <f>CONSOLIDADO_2026[[#This Row],[Hora final]]-CONSOLIDADO_2026[[#This Row],[Hora inic]]</f>
        <v>0.29166666666666663</v>
      </c>
    </row>
    <row r="719" spans="1:19" hidden="1" x14ac:dyDescent="0.25">
      <c r="A719" t="s">
        <v>4166</v>
      </c>
      <c r="B719">
        <v>1143405766</v>
      </c>
      <c r="C719" t="s">
        <v>822</v>
      </c>
      <c r="D719" s="11" t="s">
        <v>124</v>
      </c>
      <c r="E719" s="11" t="s">
        <v>4045</v>
      </c>
      <c r="F719" s="11" t="s">
        <v>16</v>
      </c>
      <c r="G719" s="1">
        <v>46249</v>
      </c>
      <c r="H719" s="1">
        <v>46249</v>
      </c>
      <c r="I719" s="2"/>
      <c r="J719" s="2"/>
      <c r="K719" s="11"/>
      <c r="L719" s="11" t="s">
        <v>4041</v>
      </c>
      <c r="M719" s="1"/>
      <c r="N719" s="11"/>
      <c r="O719" s="11" t="s">
        <v>4042</v>
      </c>
      <c r="P719" s="1"/>
      <c r="Q719" s="1"/>
      <c r="R719" s="11"/>
      <c r="S719" s="2">
        <f>CONSOLIDADO_2026[[#This Row],[Hora final]]-CONSOLIDADO_2026[[#This Row],[Hora inic]]</f>
        <v>0</v>
      </c>
    </row>
    <row r="720" spans="1:19" hidden="1" x14ac:dyDescent="0.25">
      <c r="A720" t="s">
        <v>4166</v>
      </c>
      <c r="B720">
        <v>1002155665</v>
      </c>
      <c r="C720" t="s">
        <v>3791</v>
      </c>
      <c r="D720" s="11" t="s">
        <v>64</v>
      </c>
      <c r="E720" s="11" t="s">
        <v>4046</v>
      </c>
      <c r="F720" s="11" t="s">
        <v>16</v>
      </c>
      <c r="G720" s="1">
        <v>46249</v>
      </c>
      <c r="H720" s="1">
        <v>46249</v>
      </c>
      <c r="I720" s="2"/>
      <c r="J720" s="2"/>
      <c r="K720" s="11"/>
      <c r="L720" s="11" t="s">
        <v>4041</v>
      </c>
      <c r="M720" s="1"/>
      <c r="N720" s="11"/>
      <c r="O720" s="11" t="s">
        <v>4042</v>
      </c>
      <c r="P720" s="1"/>
      <c r="Q720" s="1"/>
      <c r="R720" s="11"/>
      <c r="S720" s="2">
        <f>CONSOLIDADO_2026[[#This Row],[Hora final]]-CONSOLIDADO_2026[[#This Row],[Hora inic]]</f>
        <v>0</v>
      </c>
    </row>
    <row r="721" spans="1:19" hidden="1" x14ac:dyDescent="0.25">
      <c r="A721" t="s">
        <v>4166</v>
      </c>
      <c r="B721">
        <v>1140891109</v>
      </c>
      <c r="C721" t="s">
        <v>1287</v>
      </c>
      <c r="D721" s="11" t="s">
        <v>51</v>
      </c>
      <c r="E721" s="11" t="s">
        <v>4047</v>
      </c>
      <c r="F721" s="11" t="s">
        <v>16</v>
      </c>
      <c r="G721" s="1">
        <v>46249</v>
      </c>
      <c r="H721" s="1">
        <v>46249</v>
      </c>
      <c r="I721" s="2">
        <v>0.54166666666666663</v>
      </c>
      <c r="J721" s="2">
        <v>0.875</v>
      </c>
      <c r="K721" s="11"/>
      <c r="L721" s="11" t="s">
        <v>4060</v>
      </c>
      <c r="M721" s="1"/>
      <c r="N721" s="11"/>
      <c r="O721" s="11" t="s">
        <v>4042</v>
      </c>
      <c r="P721" s="1"/>
      <c r="Q721" s="1"/>
      <c r="R721" s="11"/>
      <c r="S721" s="2">
        <f>CONSOLIDADO_2026[[#This Row],[Hora final]]-CONSOLIDADO_2026[[#This Row],[Hora inic]]</f>
        <v>0.33333333333333337</v>
      </c>
    </row>
    <row r="722" spans="1:19" hidden="1" x14ac:dyDescent="0.25">
      <c r="A722" t="s">
        <v>4166</v>
      </c>
      <c r="B722">
        <v>1037642818</v>
      </c>
      <c r="C722" t="s">
        <v>3692</v>
      </c>
      <c r="D722" s="11" t="s">
        <v>28</v>
      </c>
      <c r="E722" s="11" t="s">
        <v>4046</v>
      </c>
      <c r="F722" s="11" t="s">
        <v>16</v>
      </c>
      <c r="G722" s="1">
        <v>46248</v>
      </c>
      <c r="H722" s="1">
        <v>46249</v>
      </c>
      <c r="I722" s="2"/>
      <c r="J722" s="2"/>
      <c r="K722" s="11"/>
      <c r="L722" s="11" t="s">
        <v>4041</v>
      </c>
      <c r="M722" s="1"/>
      <c r="N722" s="11"/>
      <c r="O722" s="11" t="s">
        <v>4042</v>
      </c>
      <c r="P722" s="1"/>
      <c r="Q722" s="1"/>
      <c r="R722" s="11"/>
      <c r="S722" s="2">
        <f>CONSOLIDADO_2026[[#This Row],[Hora final]]-CONSOLIDADO_2026[[#This Row],[Hora inic]]</f>
        <v>0</v>
      </c>
    </row>
    <row r="723" spans="1:19" hidden="1" x14ac:dyDescent="0.25">
      <c r="A723" t="s">
        <v>4166</v>
      </c>
      <c r="B723">
        <v>1043006106</v>
      </c>
      <c r="C723" t="s">
        <v>202</v>
      </c>
      <c r="D723" s="11" t="s">
        <v>64</v>
      </c>
      <c r="E723" s="11" t="s">
        <v>4046</v>
      </c>
      <c r="F723" s="11" t="s">
        <v>16</v>
      </c>
      <c r="G723" s="1">
        <v>46248</v>
      </c>
      <c r="H723" s="1">
        <v>46277</v>
      </c>
      <c r="I723" s="2">
        <v>0.25</v>
      </c>
      <c r="J723" s="2">
        <v>0.58333333333333337</v>
      </c>
      <c r="K723" s="11" t="s">
        <v>199</v>
      </c>
      <c r="L723" s="11" t="s">
        <v>200</v>
      </c>
      <c r="M723" s="1"/>
      <c r="N723" s="11"/>
      <c r="O723" s="11" t="s">
        <v>21</v>
      </c>
      <c r="P723" s="1"/>
      <c r="Q723" s="1"/>
      <c r="R723" s="11"/>
      <c r="S723" s="2">
        <f>CONSOLIDADO_2026[[#This Row],[Hora final]]-CONSOLIDADO_2026[[#This Row],[Hora inic]]</f>
        <v>0.33333333333333337</v>
      </c>
    </row>
    <row r="724" spans="1:19" hidden="1" x14ac:dyDescent="0.25">
      <c r="A724" t="s">
        <v>4166</v>
      </c>
      <c r="B724">
        <v>1233343291</v>
      </c>
      <c r="C724" t="s">
        <v>3974</v>
      </c>
      <c r="D724" s="11" t="s">
        <v>143</v>
      </c>
      <c r="E724" s="11" t="s">
        <v>4045</v>
      </c>
      <c r="F724" s="11" t="s">
        <v>16</v>
      </c>
      <c r="G724" s="1">
        <v>46249</v>
      </c>
      <c r="H724" s="1">
        <v>46249</v>
      </c>
      <c r="I724" s="2"/>
      <c r="J724" s="2"/>
      <c r="K724" s="11"/>
      <c r="L724" s="11" t="s">
        <v>4041</v>
      </c>
      <c r="M724" s="1"/>
      <c r="N724" s="11"/>
      <c r="O724" s="11" t="s">
        <v>4042</v>
      </c>
      <c r="P724" s="1"/>
      <c r="Q724" s="1"/>
      <c r="R724" s="11"/>
      <c r="S724" s="2">
        <f>CONSOLIDADO_2026[[#This Row],[Hora final]]-CONSOLIDADO_2026[[#This Row],[Hora inic]]</f>
        <v>0</v>
      </c>
    </row>
    <row r="725" spans="1:19" hidden="1" x14ac:dyDescent="0.25">
      <c r="A725" t="s">
        <v>4166</v>
      </c>
      <c r="B725">
        <v>1003190674</v>
      </c>
      <c r="C725" t="s">
        <v>1950</v>
      </c>
      <c r="D725" s="11" t="s">
        <v>55</v>
      </c>
      <c r="E725" s="11" t="s">
        <v>4047</v>
      </c>
      <c r="F725" s="11" t="s">
        <v>16</v>
      </c>
      <c r="G725" s="1">
        <v>46249</v>
      </c>
      <c r="H725" s="1">
        <v>46249</v>
      </c>
      <c r="I725" s="2"/>
      <c r="J725" s="2"/>
      <c r="K725" s="11"/>
      <c r="L725" s="11" t="s">
        <v>4041</v>
      </c>
      <c r="M725" s="1"/>
      <c r="N725" s="11"/>
      <c r="O725" s="11" t="s">
        <v>4042</v>
      </c>
      <c r="P725" s="1"/>
      <c r="Q725" s="1"/>
      <c r="R725" s="11"/>
      <c r="S725" s="2">
        <f>CONSOLIDADO_2026[[#This Row],[Hora final]]-CONSOLIDADO_2026[[#This Row],[Hora inic]]</f>
        <v>0</v>
      </c>
    </row>
    <row r="726" spans="1:19" hidden="1" x14ac:dyDescent="0.25">
      <c r="A726" t="s">
        <v>4166</v>
      </c>
      <c r="B726">
        <v>1036675646</v>
      </c>
      <c r="C726" t="s">
        <v>957</v>
      </c>
      <c r="D726" s="11" t="s">
        <v>272</v>
      </c>
      <c r="E726" s="11" t="s">
        <v>4056</v>
      </c>
      <c r="F726" s="11" t="s">
        <v>16</v>
      </c>
      <c r="G726" s="1">
        <v>46249</v>
      </c>
      <c r="H726" s="1">
        <v>46249</v>
      </c>
      <c r="I726" s="2"/>
      <c r="J726" s="2"/>
      <c r="K726" s="11"/>
      <c r="L726" s="11" t="s">
        <v>4041</v>
      </c>
      <c r="M726" s="1"/>
      <c r="N726" s="11"/>
      <c r="O726" s="11" t="s">
        <v>4042</v>
      </c>
      <c r="P726" s="1"/>
      <c r="Q726" s="1"/>
      <c r="R726" s="11"/>
      <c r="S726" s="2">
        <f>CONSOLIDADO_2026[[#This Row],[Hora final]]-CONSOLIDADO_2026[[#This Row],[Hora inic]]</f>
        <v>0</v>
      </c>
    </row>
    <row r="727" spans="1:19" hidden="1" x14ac:dyDescent="0.25">
      <c r="A727" t="s">
        <v>4166</v>
      </c>
      <c r="B727">
        <v>1007959114</v>
      </c>
      <c r="C727" t="s">
        <v>337</v>
      </c>
      <c r="D727" s="11" t="s">
        <v>39</v>
      </c>
      <c r="E727" s="11" t="s">
        <v>4046</v>
      </c>
      <c r="F727" s="11" t="s">
        <v>4074</v>
      </c>
      <c r="G727" s="1">
        <v>46249</v>
      </c>
      <c r="H727" s="1">
        <v>46253</v>
      </c>
      <c r="I727" s="2">
        <v>0.58333333333333337</v>
      </c>
      <c r="J727" s="2">
        <v>0.875</v>
      </c>
      <c r="K727" s="11"/>
      <c r="L727" s="11" t="s">
        <v>4060</v>
      </c>
      <c r="M727" s="1"/>
      <c r="N727" s="11"/>
      <c r="O727" s="11" t="s">
        <v>4042</v>
      </c>
      <c r="P727" s="1"/>
      <c r="Q727" s="1"/>
      <c r="R727" s="11"/>
      <c r="S727" s="2">
        <f>CONSOLIDADO_2026[[#This Row],[Hora final]]-CONSOLIDADO_2026[[#This Row],[Hora inic]]</f>
        <v>0.29166666666666663</v>
      </c>
    </row>
    <row r="728" spans="1:19" hidden="1" x14ac:dyDescent="0.25">
      <c r="A728" t="s">
        <v>4166</v>
      </c>
      <c r="B728">
        <v>1152187746</v>
      </c>
      <c r="C728" t="s">
        <v>4007</v>
      </c>
      <c r="D728" s="11" t="s">
        <v>619</v>
      </c>
      <c r="E728" s="11" t="s">
        <v>4045</v>
      </c>
      <c r="F728" s="11" t="s">
        <v>4074</v>
      </c>
      <c r="G728" s="1">
        <v>46249</v>
      </c>
      <c r="H728" s="1"/>
      <c r="I728" s="2">
        <v>0.25</v>
      </c>
      <c r="J728" s="2">
        <v>0.54166666666666663</v>
      </c>
      <c r="K728" s="11"/>
      <c r="L728" s="11" t="s">
        <v>4170</v>
      </c>
      <c r="M728" s="1"/>
      <c r="N728" s="11"/>
      <c r="O728" s="11" t="s">
        <v>21</v>
      </c>
      <c r="P728" s="1"/>
      <c r="Q728" s="1"/>
      <c r="R728" s="11"/>
      <c r="S728" s="2">
        <f>CONSOLIDADO_2026[[#This Row],[Hora final]]-CONSOLIDADO_2026[[#This Row],[Hora inic]]</f>
        <v>0.29166666666666663</v>
      </c>
    </row>
    <row r="729" spans="1:19" hidden="1" x14ac:dyDescent="0.25">
      <c r="A729" t="s">
        <v>4166</v>
      </c>
      <c r="B729">
        <v>1152215751</v>
      </c>
      <c r="C729" t="s">
        <v>2668</v>
      </c>
      <c r="D729" s="11" t="s">
        <v>162</v>
      </c>
      <c r="E729" s="11" t="s">
        <v>4056</v>
      </c>
      <c r="F729" s="11" t="s">
        <v>16</v>
      </c>
      <c r="G729" s="1">
        <v>46249</v>
      </c>
      <c r="H729" s="1">
        <v>46249</v>
      </c>
      <c r="I729" s="2"/>
      <c r="J729" s="2"/>
      <c r="K729" s="11"/>
      <c r="L729" s="11" t="s">
        <v>4041</v>
      </c>
      <c r="M729" s="1"/>
      <c r="N729" s="11"/>
      <c r="O729" s="11" t="s">
        <v>4042</v>
      </c>
      <c r="P729" s="1"/>
      <c r="Q729" s="1"/>
      <c r="R729" s="11"/>
      <c r="S729" s="2">
        <f>CONSOLIDADO_2026[[#This Row],[Hora final]]-CONSOLIDADO_2026[[#This Row],[Hora inic]]</f>
        <v>0</v>
      </c>
    </row>
    <row r="730" spans="1:19" hidden="1" x14ac:dyDescent="0.25">
      <c r="A730" t="s">
        <v>4166</v>
      </c>
      <c r="B730">
        <v>1000395784</v>
      </c>
      <c r="C730" t="s">
        <v>963</v>
      </c>
      <c r="D730" s="11" t="s">
        <v>272</v>
      </c>
      <c r="E730" s="11" t="s">
        <v>4056</v>
      </c>
      <c r="F730" s="11" t="s">
        <v>16</v>
      </c>
      <c r="G730" s="1">
        <v>46249</v>
      </c>
      <c r="H730" s="1">
        <v>46249</v>
      </c>
      <c r="I730" s="2"/>
      <c r="J730" s="2"/>
      <c r="K730" s="11"/>
      <c r="L730" s="11" t="s">
        <v>4041</v>
      </c>
      <c r="M730" s="1"/>
      <c r="N730" s="11"/>
      <c r="O730" s="11" t="s">
        <v>4042</v>
      </c>
      <c r="P730" s="1"/>
      <c r="Q730" s="1"/>
      <c r="R730" s="11"/>
      <c r="S730" s="2">
        <f>CONSOLIDADO_2026[[#This Row],[Hora final]]-CONSOLIDADO_2026[[#This Row],[Hora inic]]</f>
        <v>0</v>
      </c>
    </row>
    <row r="731" spans="1:19" hidden="1" x14ac:dyDescent="0.25">
      <c r="A731" t="s">
        <v>4166</v>
      </c>
      <c r="B731">
        <v>1001014608</v>
      </c>
      <c r="C731" t="s">
        <v>573</v>
      </c>
      <c r="D731" s="11" t="s">
        <v>55</v>
      </c>
      <c r="E731" s="11" t="s">
        <v>4047</v>
      </c>
      <c r="F731" s="11" t="s">
        <v>16</v>
      </c>
      <c r="G731" s="1">
        <v>46249</v>
      </c>
      <c r="H731" s="1">
        <v>46249</v>
      </c>
      <c r="I731" s="2"/>
      <c r="J731" s="2"/>
      <c r="K731" s="11"/>
      <c r="L731" s="11" t="s">
        <v>4041</v>
      </c>
      <c r="M731" s="1"/>
      <c r="N731" s="11"/>
      <c r="O731" s="11" t="s">
        <v>4042</v>
      </c>
      <c r="P731" s="1"/>
      <c r="Q731" s="1"/>
      <c r="R731" s="11"/>
      <c r="S731" s="2">
        <f>CONSOLIDADO_2026[[#This Row],[Hora final]]-CONSOLIDADO_2026[[#This Row],[Hora inic]]</f>
        <v>0</v>
      </c>
    </row>
    <row r="732" spans="1:19" hidden="1" x14ac:dyDescent="0.25">
      <c r="A732" t="s">
        <v>4166</v>
      </c>
      <c r="B732">
        <v>1041149354</v>
      </c>
      <c r="C732" t="s">
        <v>2319</v>
      </c>
      <c r="D732" s="11" t="s">
        <v>55</v>
      </c>
      <c r="E732" s="11" t="s">
        <v>4047</v>
      </c>
      <c r="F732" s="11" t="s">
        <v>16</v>
      </c>
      <c r="G732" s="1">
        <v>46249</v>
      </c>
      <c r="H732" s="1">
        <v>46249</v>
      </c>
      <c r="I732" s="2"/>
      <c r="J732" s="2"/>
      <c r="K732" s="11"/>
      <c r="L732" s="11" t="s">
        <v>4041</v>
      </c>
      <c r="M732" s="1"/>
      <c r="N732" s="11"/>
      <c r="O732" s="11" t="s">
        <v>4042</v>
      </c>
      <c r="P732" s="1"/>
      <c r="Q732" s="1"/>
      <c r="R732" s="11"/>
      <c r="S732" s="2">
        <f>CONSOLIDADO_2026[[#This Row],[Hora final]]-CONSOLIDADO_2026[[#This Row],[Hora inic]]</f>
        <v>0</v>
      </c>
    </row>
    <row r="733" spans="1:19" hidden="1" x14ac:dyDescent="0.25">
      <c r="A733" t="s">
        <v>4166</v>
      </c>
      <c r="B733">
        <v>1152467699</v>
      </c>
      <c r="C733" t="s">
        <v>2793</v>
      </c>
      <c r="D733" s="11" t="s">
        <v>139</v>
      </c>
      <c r="E733" s="11" t="s">
        <v>4040</v>
      </c>
      <c r="F733" s="11" t="s">
        <v>16</v>
      </c>
      <c r="G733" s="1">
        <v>46249</v>
      </c>
      <c r="H733" s="1">
        <v>46249</v>
      </c>
      <c r="I733" s="2"/>
      <c r="J733" s="2"/>
      <c r="K733" s="11"/>
      <c r="L733" s="11" t="s">
        <v>4041</v>
      </c>
      <c r="M733" s="1"/>
      <c r="N733" s="11"/>
      <c r="O733" s="11" t="s">
        <v>4042</v>
      </c>
      <c r="P733" s="1"/>
      <c r="Q733" s="1"/>
      <c r="R733" s="11"/>
      <c r="S733" s="2">
        <f>CONSOLIDADO_2026[[#This Row],[Hora final]]-CONSOLIDADO_2026[[#This Row],[Hora inic]]</f>
        <v>0</v>
      </c>
    </row>
    <row r="734" spans="1:19" hidden="1" x14ac:dyDescent="0.25">
      <c r="A734" t="s">
        <v>4166</v>
      </c>
      <c r="B734">
        <v>1152709914</v>
      </c>
      <c r="C734" t="s">
        <v>3437</v>
      </c>
      <c r="D734" s="11" t="s">
        <v>139</v>
      </c>
      <c r="E734" s="11" t="s">
        <v>4040</v>
      </c>
      <c r="F734" s="11" t="s">
        <v>16</v>
      </c>
      <c r="G734" s="1">
        <v>46249</v>
      </c>
      <c r="H734" s="1">
        <v>46249</v>
      </c>
      <c r="I734" s="2"/>
      <c r="J734" s="2"/>
      <c r="K734" s="11"/>
      <c r="L734" s="11" t="s">
        <v>4041</v>
      </c>
      <c r="M734" s="1"/>
      <c r="N734" s="11"/>
      <c r="O734" s="11" t="s">
        <v>4042</v>
      </c>
      <c r="P734" s="1"/>
      <c r="Q734" s="1"/>
      <c r="R734" s="11"/>
      <c r="S734" s="2">
        <f>CONSOLIDADO_2026[[#This Row],[Hora final]]-CONSOLIDADO_2026[[#This Row],[Hora inic]]</f>
        <v>0</v>
      </c>
    </row>
    <row r="735" spans="1:19" hidden="1" x14ac:dyDescent="0.25">
      <c r="A735" t="s">
        <v>4166</v>
      </c>
      <c r="B735">
        <v>1000049316</v>
      </c>
      <c r="C735" t="s">
        <v>623</v>
      </c>
      <c r="D735" s="11" t="s">
        <v>492</v>
      </c>
      <c r="E735" s="11" t="s">
        <v>4045</v>
      </c>
      <c r="F735" s="11" t="s">
        <v>16</v>
      </c>
      <c r="G735" s="1">
        <v>46249</v>
      </c>
      <c r="H735" s="1">
        <v>46249</v>
      </c>
      <c r="I735" s="2"/>
      <c r="J735" s="2"/>
      <c r="K735" s="11"/>
      <c r="L735" s="11" t="s">
        <v>4041</v>
      </c>
      <c r="M735" s="1"/>
      <c r="N735" s="11"/>
      <c r="O735" s="11" t="s">
        <v>4042</v>
      </c>
      <c r="P735" s="1"/>
      <c r="Q735" s="1"/>
      <c r="R735" s="11"/>
      <c r="S735" s="2">
        <f>CONSOLIDADO_2026[[#This Row],[Hora final]]-CONSOLIDADO_2026[[#This Row],[Hora inic]]</f>
        <v>0</v>
      </c>
    </row>
    <row r="736" spans="1:19" hidden="1" x14ac:dyDescent="0.25">
      <c r="A736" t="s">
        <v>4166</v>
      </c>
      <c r="B736">
        <v>1000204850</v>
      </c>
      <c r="C736" t="s">
        <v>1468</v>
      </c>
      <c r="D736" s="11" t="s">
        <v>245</v>
      </c>
      <c r="E736" s="11" t="s">
        <v>4040</v>
      </c>
      <c r="F736" s="11" t="s">
        <v>16</v>
      </c>
      <c r="G736" s="1">
        <v>46249</v>
      </c>
      <c r="H736" s="1">
        <v>46249</v>
      </c>
      <c r="I736" s="2"/>
      <c r="J736" s="2"/>
      <c r="K736" s="11"/>
      <c r="L736" s="11" t="s">
        <v>4041</v>
      </c>
      <c r="M736" s="1"/>
      <c r="N736" s="11"/>
      <c r="O736" s="11" t="s">
        <v>4042</v>
      </c>
      <c r="P736" s="1"/>
      <c r="Q736" s="1"/>
      <c r="R736" s="11"/>
      <c r="S736" s="2">
        <f>CONSOLIDADO_2026[[#This Row],[Hora final]]-CONSOLIDADO_2026[[#This Row],[Hora inic]]</f>
        <v>0</v>
      </c>
    </row>
    <row r="737" spans="1:19" hidden="1" x14ac:dyDescent="0.25">
      <c r="A737" t="s">
        <v>4166</v>
      </c>
      <c r="B737">
        <v>1001446162</v>
      </c>
      <c r="C737" t="s">
        <v>3663</v>
      </c>
      <c r="D737" s="11" t="s">
        <v>4125</v>
      </c>
      <c r="E737" s="11" t="s">
        <v>4056</v>
      </c>
      <c r="F737" s="11" t="s">
        <v>4125</v>
      </c>
      <c r="G737" s="1">
        <v>46252</v>
      </c>
      <c r="H737" s="1">
        <v>46252</v>
      </c>
      <c r="I737" s="2">
        <v>0.25</v>
      </c>
      <c r="J737" s="2">
        <v>0.58333333333333337</v>
      </c>
      <c r="K737" s="11"/>
      <c r="L737" s="11" t="s">
        <v>339</v>
      </c>
      <c r="M737" s="1"/>
      <c r="N737" s="11"/>
      <c r="O737" s="11" t="s">
        <v>4042</v>
      </c>
      <c r="P737" s="1"/>
      <c r="Q737" s="1"/>
      <c r="R737" s="11"/>
      <c r="S737" s="2">
        <f>CONSOLIDADO_2026[[#This Row],[Hora final]]-CONSOLIDADO_2026[[#This Row],[Hora inic]]</f>
        <v>0.33333333333333337</v>
      </c>
    </row>
    <row r="738" spans="1:19" hidden="1" x14ac:dyDescent="0.25">
      <c r="A738" t="s">
        <v>4166</v>
      </c>
      <c r="B738">
        <v>43978621</v>
      </c>
      <c r="C738" t="s">
        <v>1600</v>
      </c>
      <c r="D738" s="11" t="s">
        <v>272</v>
      </c>
      <c r="E738" s="11" t="s">
        <v>4056</v>
      </c>
      <c r="F738" s="11" t="s">
        <v>16</v>
      </c>
      <c r="G738" s="1">
        <v>46249</v>
      </c>
      <c r="H738" s="1">
        <v>46249</v>
      </c>
      <c r="I738" s="2"/>
      <c r="J738" s="2"/>
      <c r="K738" s="11"/>
      <c r="L738" s="11" t="s">
        <v>4041</v>
      </c>
      <c r="M738" s="1"/>
      <c r="N738" s="11"/>
      <c r="O738" s="11" t="s">
        <v>4042</v>
      </c>
      <c r="P738" s="1"/>
      <c r="Q738" s="1"/>
      <c r="R738" s="11"/>
      <c r="S738" s="2">
        <f>CONSOLIDADO_2026[[#This Row],[Hora final]]-CONSOLIDADO_2026[[#This Row],[Hora inic]]</f>
        <v>0</v>
      </c>
    </row>
    <row r="739" spans="1:19" hidden="1" x14ac:dyDescent="0.25">
      <c r="A739" t="s">
        <v>4166</v>
      </c>
      <c r="B739">
        <v>1036965348</v>
      </c>
      <c r="C739" t="s">
        <v>229</v>
      </c>
      <c r="D739" s="11" t="s">
        <v>4079</v>
      </c>
      <c r="E739" s="11" t="s">
        <v>4046</v>
      </c>
      <c r="F739" s="11" t="s">
        <v>4079</v>
      </c>
      <c r="G739" s="1">
        <v>46252</v>
      </c>
      <c r="H739" s="1">
        <v>46252</v>
      </c>
      <c r="I739" s="2">
        <v>0.25</v>
      </c>
      <c r="J739" s="2">
        <v>0.58333333333333337</v>
      </c>
      <c r="K739" s="11"/>
      <c r="L739" s="11" t="s">
        <v>339</v>
      </c>
      <c r="M739" s="1"/>
      <c r="N739" s="11"/>
      <c r="O739" s="11" t="s">
        <v>4042</v>
      </c>
      <c r="P739" s="1"/>
      <c r="Q739" s="1"/>
      <c r="R739" s="11"/>
      <c r="S739" s="2">
        <f>CONSOLIDADO_2026[[#This Row],[Hora final]]-CONSOLIDADO_2026[[#This Row],[Hora inic]]</f>
        <v>0.33333333333333337</v>
      </c>
    </row>
    <row r="740" spans="1:19" hidden="1" x14ac:dyDescent="0.25">
      <c r="A740" t="s">
        <v>4166</v>
      </c>
      <c r="B740">
        <v>1143880690</v>
      </c>
      <c r="C740" t="s">
        <v>307</v>
      </c>
      <c r="D740" s="11" t="s">
        <v>128</v>
      </c>
      <c r="E740" s="11" t="s">
        <v>4045</v>
      </c>
      <c r="F740" s="11" t="s">
        <v>4104</v>
      </c>
      <c r="G740" s="1">
        <v>46252</v>
      </c>
      <c r="H740" s="1">
        <v>46252</v>
      </c>
      <c r="I740" s="2">
        <v>0.25</v>
      </c>
      <c r="J740" s="2">
        <v>0.58333333333333337</v>
      </c>
      <c r="K740" s="11"/>
      <c r="L740" s="11" t="s">
        <v>339</v>
      </c>
      <c r="M740" s="1"/>
      <c r="N740" s="11"/>
      <c r="O740" s="11" t="s">
        <v>4042</v>
      </c>
      <c r="P740" s="1"/>
      <c r="Q740" s="1"/>
      <c r="R740" s="11"/>
      <c r="S740" s="2">
        <f>CONSOLIDADO_2026[[#This Row],[Hora final]]-CONSOLIDADO_2026[[#This Row],[Hora inic]]</f>
        <v>0.33333333333333337</v>
      </c>
    </row>
    <row r="741" spans="1:19" hidden="1" x14ac:dyDescent="0.25">
      <c r="A741" t="s">
        <v>4166</v>
      </c>
      <c r="B741">
        <v>1193454765</v>
      </c>
      <c r="C741" t="s">
        <v>1428</v>
      </c>
      <c r="D741" s="11" t="s">
        <v>128</v>
      </c>
      <c r="E741" s="11" t="s">
        <v>4040</v>
      </c>
      <c r="F741" s="11" t="s">
        <v>4104</v>
      </c>
      <c r="G741" s="1">
        <v>46252</v>
      </c>
      <c r="H741" s="1">
        <v>46252</v>
      </c>
      <c r="I741" s="2">
        <v>0.5</v>
      </c>
      <c r="J741" s="2">
        <v>0.79166666666666663</v>
      </c>
      <c r="K741" s="11"/>
      <c r="L741" s="11" t="s">
        <v>339</v>
      </c>
      <c r="M741" s="1"/>
      <c r="N741" s="11"/>
      <c r="O741" s="11" t="s">
        <v>4042</v>
      </c>
      <c r="P741" s="1"/>
      <c r="Q741" s="1"/>
      <c r="R741" s="11"/>
      <c r="S741" s="2">
        <f>CONSOLIDADO_2026[[#This Row],[Hora final]]-CONSOLIDADO_2026[[#This Row],[Hora inic]]</f>
        <v>0.29166666666666663</v>
      </c>
    </row>
    <row r="742" spans="1:19" hidden="1" x14ac:dyDescent="0.25">
      <c r="A742" t="s">
        <v>4166</v>
      </c>
      <c r="B742">
        <v>52932342</v>
      </c>
      <c r="C742" t="s">
        <v>564</v>
      </c>
      <c r="D742" s="11" t="s">
        <v>421</v>
      </c>
      <c r="E742" s="11" t="s">
        <v>4047</v>
      </c>
      <c r="F742" s="11" t="s">
        <v>4074</v>
      </c>
      <c r="G742" s="1">
        <v>46252</v>
      </c>
      <c r="H742" s="1">
        <v>46254</v>
      </c>
      <c r="I742" s="2">
        <v>0.25</v>
      </c>
      <c r="J742" s="2">
        <v>0.58333333333333337</v>
      </c>
      <c r="K742" s="11"/>
      <c r="L742" s="11" t="s">
        <v>4171</v>
      </c>
      <c r="M742" s="1"/>
      <c r="N742" s="11"/>
      <c r="O742" s="11" t="s">
        <v>21</v>
      </c>
      <c r="P742" s="1"/>
      <c r="Q742" s="1"/>
      <c r="R742" s="11"/>
      <c r="S742" s="2">
        <f>CONSOLIDADO_2026[[#This Row],[Hora final]]-CONSOLIDADO_2026[[#This Row],[Hora inic]]</f>
        <v>0.33333333333333337</v>
      </c>
    </row>
    <row r="743" spans="1:19" hidden="1" x14ac:dyDescent="0.25">
      <c r="A743" t="s">
        <v>4166</v>
      </c>
      <c r="B743">
        <v>1040047481</v>
      </c>
      <c r="C743" t="s">
        <v>2331</v>
      </c>
      <c r="D743" s="11" t="s">
        <v>272</v>
      </c>
      <c r="E743" s="11" t="s">
        <v>4056</v>
      </c>
      <c r="F743" s="11" t="s">
        <v>36</v>
      </c>
      <c r="G743" s="1">
        <v>46244</v>
      </c>
      <c r="H743" s="1">
        <v>46369</v>
      </c>
      <c r="I743" s="2"/>
      <c r="J743" s="2"/>
      <c r="K743" s="11"/>
      <c r="L743" s="11" t="s">
        <v>341</v>
      </c>
      <c r="M743" s="1"/>
      <c r="N743" s="11"/>
      <c r="O743" s="11" t="s">
        <v>4042</v>
      </c>
      <c r="P743" s="1"/>
      <c r="Q743" s="1"/>
      <c r="R743" s="11"/>
      <c r="S743" s="2">
        <f>CONSOLIDADO_2026[[#This Row],[Hora final]]-CONSOLIDADO_2026[[#This Row],[Hora inic]]</f>
        <v>0</v>
      </c>
    </row>
    <row r="744" spans="1:19" hidden="1" x14ac:dyDescent="0.25">
      <c r="A744" t="s">
        <v>4166</v>
      </c>
      <c r="B744">
        <v>43453341</v>
      </c>
      <c r="C744" t="s">
        <v>146</v>
      </c>
      <c r="D744" s="11" t="s">
        <v>124</v>
      </c>
      <c r="E744" s="11" t="s">
        <v>4045</v>
      </c>
      <c r="F744" s="11" t="s">
        <v>4074</v>
      </c>
      <c r="G744" s="1">
        <v>46252</v>
      </c>
      <c r="H744" s="1">
        <v>46253</v>
      </c>
      <c r="I744" s="2">
        <v>0.25</v>
      </c>
      <c r="J744" s="2">
        <v>0.54166666666666663</v>
      </c>
      <c r="K744" s="11"/>
      <c r="L744" s="11" t="s">
        <v>4172</v>
      </c>
      <c r="M744" s="1"/>
      <c r="N744" s="11"/>
      <c r="O744" s="11" t="s">
        <v>21</v>
      </c>
      <c r="P744" s="1"/>
      <c r="Q744" s="1"/>
      <c r="R744" s="11"/>
      <c r="S744" s="2">
        <f>CONSOLIDADO_2026[[#This Row],[Hora final]]-CONSOLIDADO_2026[[#This Row],[Hora inic]]</f>
        <v>0.29166666666666663</v>
      </c>
    </row>
    <row r="745" spans="1:19" hidden="1" x14ac:dyDescent="0.25">
      <c r="A745" t="s">
        <v>4166</v>
      </c>
      <c r="B745">
        <v>1083048590</v>
      </c>
      <c r="C745" t="s">
        <v>2487</v>
      </c>
      <c r="D745" s="11" t="s">
        <v>28</v>
      </c>
      <c r="E745" s="11" t="s">
        <v>4046</v>
      </c>
      <c r="F745" s="11" t="s">
        <v>4074</v>
      </c>
      <c r="G745" s="1">
        <v>46252</v>
      </c>
      <c r="H745" s="1">
        <v>46252</v>
      </c>
      <c r="I745" s="2">
        <v>0.25</v>
      </c>
      <c r="J745" s="2">
        <v>0.58333333333333337</v>
      </c>
      <c r="K745" s="11"/>
      <c r="L745" s="11" t="s">
        <v>4060</v>
      </c>
      <c r="M745" s="1"/>
      <c r="N745" s="11"/>
      <c r="O745" s="11" t="s">
        <v>4042</v>
      </c>
      <c r="P745" s="1"/>
      <c r="Q745" s="1"/>
      <c r="R745" s="11"/>
      <c r="S745" s="2">
        <f>CONSOLIDADO_2026[[#This Row],[Hora final]]-CONSOLIDADO_2026[[#This Row],[Hora inic]]</f>
        <v>0.33333333333333337</v>
      </c>
    </row>
    <row r="746" spans="1:19" hidden="1" x14ac:dyDescent="0.25">
      <c r="A746" t="s">
        <v>4166</v>
      </c>
      <c r="B746">
        <v>1193037165</v>
      </c>
      <c r="C746" t="s">
        <v>3800</v>
      </c>
      <c r="D746" s="11" t="s">
        <v>78</v>
      </c>
      <c r="E746" s="11" t="s">
        <v>4046</v>
      </c>
      <c r="F746" s="11" t="s">
        <v>4074</v>
      </c>
      <c r="G746" s="1">
        <v>46252</v>
      </c>
      <c r="H746" s="1">
        <v>46253</v>
      </c>
      <c r="I746" s="2">
        <v>0.58333333333333337</v>
      </c>
      <c r="J746" s="2">
        <v>0.875</v>
      </c>
      <c r="K746" s="11"/>
      <c r="L746" s="11" t="s">
        <v>4173</v>
      </c>
      <c r="M746" s="1"/>
      <c r="N746" s="11"/>
      <c r="O746" s="11" t="s">
        <v>21</v>
      </c>
      <c r="P746" s="1"/>
      <c r="Q746" s="1"/>
      <c r="R746" s="11"/>
      <c r="S746" s="2">
        <f>CONSOLIDADO_2026[[#This Row],[Hora final]]-CONSOLIDADO_2026[[#This Row],[Hora inic]]</f>
        <v>0.29166666666666663</v>
      </c>
    </row>
    <row r="747" spans="1:19" hidden="1" x14ac:dyDescent="0.25">
      <c r="A747" t="s">
        <v>4166</v>
      </c>
      <c r="B747">
        <v>1001996913</v>
      </c>
      <c r="C747" t="s">
        <v>3174</v>
      </c>
      <c r="D747" s="11" t="s">
        <v>28</v>
      </c>
      <c r="E747" s="11" t="s">
        <v>4046</v>
      </c>
      <c r="F747" s="11" t="s">
        <v>4074</v>
      </c>
      <c r="G747" s="1">
        <v>46252</v>
      </c>
      <c r="H747" s="1">
        <v>46254</v>
      </c>
      <c r="I747" s="2">
        <v>0.25</v>
      </c>
      <c r="J747" s="2">
        <v>0.54166666666666663</v>
      </c>
      <c r="K747" s="11"/>
      <c r="L747" s="11" t="s">
        <v>4060</v>
      </c>
      <c r="M747" s="1"/>
      <c r="N747" s="11"/>
      <c r="O747" s="11" t="s">
        <v>4042</v>
      </c>
      <c r="P747" s="1"/>
      <c r="Q747" s="1"/>
      <c r="R747" s="11"/>
      <c r="S747" s="2">
        <f>CONSOLIDADO_2026[[#This Row],[Hora final]]-CONSOLIDADO_2026[[#This Row],[Hora inic]]</f>
        <v>0.29166666666666663</v>
      </c>
    </row>
    <row r="748" spans="1:19" hidden="1" x14ac:dyDescent="0.25">
      <c r="A748" t="s">
        <v>4166</v>
      </c>
      <c r="B748">
        <v>88030132</v>
      </c>
      <c r="C748" t="s">
        <v>1956</v>
      </c>
      <c r="D748" s="11" t="s">
        <v>59</v>
      </c>
      <c r="E748" s="11" t="s">
        <v>4047</v>
      </c>
      <c r="F748" s="11" t="s">
        <v>4074</v>
      </c>
      <c r="G748" s="1">
        <v>46252</v>
      </c>
      <c r="H748" s="1">
        <v>46253</v>
      </c>
      <c r="I748" s="2">
        <v>0.25</v>
      </c>
      <c r="J748" s="2">
        <v>0.5</v>
      </c>
      <c r="K748" s="11"/>
      <c r="L748" s="11" t="s">
        <v>4060</v>
      </c>
      <c r="M748" s="1"/>
      <c r="N748" s="11"/>
      <c r="O748" s="11" t="s">
        <v>4042</v>
      </c>
      <c r="P748" s="1"/>
      <c r="Q748" s="1"/>
      <c r="R748" s="11"/>
      <c r="S748" s="2">
        <f>CONSOLIDADO_2026[[#This Row],[Hora final]]-CONSOLIDADO_2026[[#This Row],[Hora inic]]</f>
        <v>0.25</v>
      </c>
    </row>
    <row r="749" spans="1:19" hidden="1" x14ac:dyDescent="0.25">
      <c r="A749" t="s">
        <v>4166</v>
      </c>
      <c r="B749">
        <v>1152467583</v>
      </c>
      <c r="C749" t="s">
        <v>3788</v>
      </c>
      <c r="D749" s="11" t="s">
        <v>68</v>
      </c>
      <c r="E749" s="11" t="s">
        <v>4040</v>
      </c>
      <c r="F749" s="11" t="s">
        <v>4074</v>
      </c>
      <c r="G749" s="1">
        <v>46252</v>
      </c>
      <c r="H749" s="1">
        <v>46253</v>
      </c>
      <c r="I749" s="2">
        <v>0.25</v>
      </c>
      <c r="J749" s="2">
        <v>0.54166666666666663</v>
      </c>
      <c r="K749" s="11"/>
      <c r="L749" s="11" t="s">
        <v>4060</v>
      </c>
      <c r="M749" s="1"/>
      <c r="N749" s="11"/>
      <c r="O749" s="11" t="s">
        <v>4042</v>
      </c>
      <c r="P749" s="1"/>
      <c r="Q749" s="1"/>
      <c r="R749" s="11"/>
      <c r="S749" s="2">
        <f>CONSOLIDADO_2026[[#This Row],[Hora final]]-CONSOLIDADO_2026[[#This Row],[Hora inic]]</f>
        <v>0.29166666666666663</v>
      </c>
    </row>
    <row r="750" spans="1:19" hidden="1" x14ac:dyDescent="0.25">
      <c r="A750" t="s">
        <v>4166</v>
      </c>
      <c r="B750">
        <v>1002210045</v>
      </c>
      <c r="C750" t="s">
        <v>1815</v>
      </c>
      <c r="D750" s="11" t="s">
        <v>421</v>
      </c>
      <c r="E750" s="11" t="s">
        <v>4047</v>
      </c>
      <c r="F750" s="11" t="s">
        <v>16</v>
      </c>
      <c r="G750" s="1">
        <v>46252</v>
      </c>
      <c r="H750" s="1">
        <v>46253</v>
      </c>
      <c r="I750" s="2">
        <v>0.25</v>
      </c>
      <c r="J750" s="2">
        <v>0.54166666666666663</v>
      </c>
      <c r="K750" s="11"/>
      <c r="L750" s="11" t="s">
        <v>327</v>
      </c>
      <c r="M750" s="1"/>
      <c r="N750" s="11"/>
      <c r="O750" s="11" t="s">
        <v>4042</v>
      </c>
      <c r="P750" s="1"/>
      <c r="Q750" s="1"/>
      <c r="R750" s="11"/>
      <c r="S750" s="2">
        <f>CONSOLIDADO_2026[[#This Row],[Hora final]]-CONSOLIDADO_2026[[#This Row],[Hora inic]]</f>
        <v>0.29166666666666663</v>
      </c>
    </row>
    <row r="751" spans="1:19" hidden="1" x14ac:dyDescent="0.25">
      <c r="A751" t="s">
        <v>4166</v>
      </c>
      <c r="B751">
        <v>1143375080</v>
      </c>
      <c r="C751" t="s">
        <v>203</v>
      </c>
      <c r="D751" s="11" t="s">
        <v>44</v>
      </c>
      <c r="E751" s="11" t="s">
        <v>4045</v>
      </c>
      <c r="F751" s="11" t="s">
        <v>158</v>
      </c>
      <c r="G751" s="1">
        <v>46252</v>
      </c>
      <c r="H751" s="1"/>
      <c r="I751" s="2">
        <v>0.54166666666666663</v>
      </c>
      <c r="J751" s="2">
        <v>0.875</v>
      </c>
      <c r="K751" s="11" t="s">
        <v>231</v>
      </c>
      <c r="L751" s="11" t="s">
        <v>232</v>
      </c>
      <c r="M751" s="1"/>
      <c r="N751" s="11"/>
      <c r="O751" s="11" t="s">
        <v>21</v>
      </c>
      <c r="P751" s="1"/>
      <c r="Q751" s="1"/>
      <c r="R751" s="11"/>
      <c r="S751" s="2">
        <f>CONSOLIDADO_2026[[#This Row],[Hora final]]-CONSOLIDADO_2026[[#This Row],[Hora inic]]</f>
        <v>0.33333333333333337</v>
      </c>
    </row>
    <row r="752" spans="1:19" hidden="1" x14ac:dyDescent="0.25">
      <c r="A752" t="s">
        <v>4166</v>
      </c>
      <c r="B752">
        <v>1143267842</v>
      </c>
      <c r="C752" t="s">
        <v>1501</v>
      </c>
      <c r="D752" s="11" t="s">
        <v>128</v>
      </c>
      <c r="E752" s="11" t="s">
        <v>4045</v>
      </c>
      <c r="F752" s="11" t="s">
        <v>4074</v>
      </c>
      <c r="G752" s="1">
        <v>46252</v>
      </c>
      <c r="H752" s="1">
        <v>46253</v>
      </c>
      <c r="I752" s="2">
        <v>0.25</v>
      </c>
      <c r="J752" s="2">
        <v>0.58333333333333337</v>
      </c>
      <c r="K752" s="11"/>
      <c r="L752" s="11" t="s">
        <v>4060</v>
      </c>
      <c r="M752" s="1"/>
      <c r="N752" s="11"/>
      <c r="O752" s="11" t="s">
        <v>4042</v>
      </c>
      <c r="P752" s="1"/>
      <c r="Q752" s="1"/>
      <c r="R752" s="11"/>
      <c r="S752" s="2">
        <f>CONSOLIDADO_2026[[#This Row],[Hora final]]-CONSOLIDADO_2026[[#This Row],[Hora inic]]</f>
        <v>0.33333333333333337</v>
      </c>
    </row>
    <row r="753" spans="1:19" hidden="1" x14ac:dyDescent="0.25">
      <c r="A753" t="s">
        <v>4166</v>
      </c>
      <c r="B753">
        <v>1152434926</v>
      </c>
      <c r="C753" t="s">
        <v>217</v>
      </c>
      <c r="D753" s="11" t="s">
        <v>59</v>
      </c>
      <c r="E753" s="11" t="s">
        <v>4047</v>
      </c>
      <c r="F753" s="11" t="s">
        <v>4074</v>
      </c>
      <c r="G753" s="1">
        <v>46252</v>
      </c>
      <c r="H753" s="1">
        <v>46255</v>
      </c>
      <c r="I753" s="2">
        <v>0.25</v>
      </c>
      <c r="J753" s="2">
        <v>0.58333333333333337</v>
      </c>
      <c r="K753" s="11"/>
      <c r="L753" s="11" t="s">
        <v>4060</v>
      </c>
      <c r="M753" s="1"/>
      <c r="N753" s="11"/>
      <c r="O753" s="11" t="s">
        <v>4042</v>
      </c>
      <c r="P753" s="1"/>
      <c r="Q753" s="1"/>
      <c r="R753" s="11"/>
      <c r="S753" s="2">
        <f>CONSOLIDADO_2026[[#This Row],[Hora final]]-CONSOLIDADO_2026[[#This Row],[Hora inic]]</f>
        <v>0.33333333333333337</v>
      </c>
    </row>
    <row r="754" spans="1:19" hidden="1" x14ac:dyDescent="0.25">
      <c r="A754" t="s">
        <v>4166</v>
      </c>
      <c r="B754">
        <v>1214714989</v>
      </c>
      <c r="C754" t="s">
        <v>2191</v>
      </c>
      <c r="D754" s="11" t="s">
        <v>256</v>
      </c>
      <c r="E754" s="11" t="s">
        <v>4040</v>
      </c>
      <c r="F754" s="11" t="s">
        <v>4074</v>
      </c>
      <c r="G754" s="1">
        <v>46252</v>
      </c>
      <c r="H754" s="1">
        <v>46253</v>
      </c>
      <c r="I754" s="2">
        <v>0.25</v>
      </c>
      <c r="J754" s="2">
        <v>0.58333333333333337</v>
      </c>
      <c r="K754" s="11"/>
      <c r="L754" s="11" t="s">
        <v>4060</v>
      </c>
      <c r="M754" s="1"/>
      <c r="N754" s="11"/>
      <c r="O754" s="11" t="s">
        <v>4042</v>
      </c>
      <c r="P754" s="1"/>
      <c r="Q754" s="1"/>
      <c r="R754" s="11"/>
      <c r="S754" s="2">
        <f>CONSOLIDADO_2026[[#This Row],[Hora final]]-CONSOLIDADO_2026[[#This Row],[Hora inic]]</f>
        <v>0.33333333333333337</v>
      </c>
    </row>
    <row r="755" spans="1:19" hidden="1" x14ac:dyDescent="0.25">
      <c r="A755" t="s">
        <v>4166</v>
      </c>
      <c r="B755">
        <v>1000099010</v>
      </c>
      <c r="C755" t="s">
        <v>660</v>
      </c>
      <c r="D755" s="11" t="s">
        <v>139</v>
      </c>
      <c r="E755" s="11" t="s">
        <v>4040</v>
      </c>
      <c r="F755" s="11" t="s">
        <v>4074</v>
      </c>
      <c r="G755" s="1">
        <v>46252</v>
      </c>
      <c r="H755" s="1">
        <v>46253</v>
      </c>
      <c r="I755" s="2">
        <v>0.25</v>
      </c>
      <c r="J755" s="2">
        <v>0.58333333333333337</v>
      </c>
      <c r="K755" s="11"/>
      <c r="L755" s="11" t="s">
        <v>4060</v>
      </c>
      <c r="M755" s="1"/>
      <c r="N755" s="11"/>
      <c r="O755" s="11" t="s">
        <v>4042</v>
      </c>
      <c r="P755" s="1"/>
      <c r="Q755" s="1"/>
      <c r="R755" s="11"/>
      <c r="S755" s="2">
        <f>CONSOLIDADO_2026[[#This Row],[Hora final]]-CONSOLIDADO_2026[[#This Row],[Hora inic]]</f>
        <v>0.33333333333333337</v>
      </c>
    </row>
    <row r="756" spans="1:19" hidden="1" x14ac:dyDescent="0.25">
      <c r="A756" t="s">
        <v>4166</v>
      </c>
      <c r="B756">
        <v>1001944593</v>
      </c>
      <c r="C756" t="s">
        <v>2629</v>
      </c>
      <c r="D756" s="11" t="s">
        <v>128</v>
      </c>
      <c r="E756" s="11" t="s">
        <v>4045</v>
      </c>
      <c r="F756" s="11" t="s">
        <v>4074</v>
      </c>
      <c r="G756" s="1">
        <v>46252</v>
      </c>
      <c r="H756" s="1">
        <v>46252</v>
      </c>
      <c r="I756" s="2">
        <v>0.25</v>
      </c>
      <c r="J756" s="2">
        <v>0.54166666666666663</v>
      </c>
      <c r="K756" s="11"/>
      <c r="L756" s="11" t="s">
        <v>4060</v>
      </c>
      <c r="M756" s="1"/>
      <c r="N756" s="11"/>
      <c r="O756" s="11" t="s">
        <v>4042</v>
      </c>
      <c r="P756" s="1"/>
      <c r="Q756" s="1"/>
      <c r="R756" s="11"/>
      <c r="S756" s="2">
        <f>CONSOLIDADO_2026[[#This Row],[Hora final]]-CONSOLIDADO_2026[[#This Row],[Hora inic]]</f>
        <v>0.29166666666666663</v>
      </c>
    </row>
    <row r="757" spans="1:19" hidden="1" x14ac:dyDescent="0.25">
      <c r="A757" t="s">
        <v>4166</v>
      </c>
      <c r="B757">
        <v>1007223463</v>
      </c>
      <c r="C757" t="s">
        <v>561</v>
      </c>
      <c r="D757" s="11" t="s">
        <v>4079</v>
      </c>
      <c r="E757" s="11" t="s">
        <v>4056</v>
      </c>
      <c r="F757" s="11" t="s">
        <v>4079</v>
      </c>
      <c r="G757" s="1">
        <v>46252</v>
      </c>
      <c r="H757" s="1">
        <v>46252</v>
      </c>
      <c r="I757" s="2">
        <v>0.29166666666666669</v>
      </c>
      <c r="J757" s="2">
        <v>0.58333333333333337</v>
      </c>
      <c r="K757" s="11"/>
      <c r="L757" s="11" t="s">
        <v>339</v>
      </c>
      <c r="M757" s="1"/>
      <c r="N757" s="11"/>
      <c r="O757" s="11" t="s">
        <v>4042</v>
      </c>
      <c r="P757" s="1"/>
      <c r="Q757" s="1"/>
      <c r="R757" s="11"/>
      <c r="S757" s="2">
        <f>CONSOLIDADO_2026[[#This Row],[Hora final]]-CONSOLIDADO_2026[[#This Row],[Hora inic]]</f>
        <v>0.29166666666666669</v>
      </c>
    </row>
    <row r="758" spans="1:19" hidden="1" x14ac:dyDescent="0.25">
      <c r="A758" t="s">
        <v>4166</v>
      </c>
      <c r="B758">
        <v>1017277147</v>
      </c>
      <c r="C758" t="s">
        <v>214</v>
      </c>
      <c r="D758" s="11" t="s">
        <v>44</v>
      </c>
      <c r="E758" s="11" t="s">
        <v>4045</v>
      </c>
      <c r="F758" s="11" t="s">
        <v>4073</v>
      </c>
      <c r="G758" s="1">
        <v>46252</v>
      </c>
      <c r="H758" s="1">
        <v>46252</v>
      </c>
      <c r="I758" s="2">
        <v>0.25</v>
      </c>
      <c r="J758" s="2">
        <v>0.58333333333333337</v>
      </c>
      <c r="K758" s="11"/>
      <c r="L758" s="11" t="s">
        <v>4174</v>
      </c>
      <c r="M758" s="1"/>
      <c r="N758" s="11"/>
      <c r="O758" s="11" t="s">
        <v>4042</v>
      </c>
      <c r="P758" s="1"/>
      <c r="Q758" s="1"/>
      <c r="R758" s="11"/>
      <c r="S758" s="2">
        <f>CONSOLIDADO_2026[[#This Row],[Hora final]]-CONSOLIDADO_2026[[#This Row],[Hora inic]]</f>
        <v>0.33333333333333337</v>
      </c>
    </row>
    <row r="759" spans="1:19" hidden="1" x14ac:dyDescent="0.25">
      <c r="A759" t="s">
        <v>4166</v>
      </c>
      <c r="B759">
        <v>43628997</v>
      </c>
      <c r="C759" t="s">
        <v>3256</v>
      </c>
      <c r="D759" s="11" t="s">
        <v>64</v>
      </c>
      <c r="E759" s="11" t="s">
        <v>4046</v>
      </c>
      <c r="F759" s="11" t="s">
        <v>16</v>
      </c>
      <c r="G759" s="1">
        <v>46252</v>
      </c>
      <c r="H759" s="1">
        <v>46253</v>
      </c>
      <c r="I759" s="2">
        <v>0.625</v>
      </c>
      <c r="J759" s="2">
        <v>0.875</v>
      </c>
      <c r="K759" s="11"/>
      <c r="L759" s="11" t="s">
        <v>327</v>
      </c>
      <c r="M759" s="1"/>
      <c r="N759" s="11"/>
      <c r="O759" s="11" t="s">
        <v>4042</v>
      </c>
      <c r="P759" s="1"/>
      <c r="Q759" s="1"/>
      <c r="R759" s="11"/>
      <c r="S759" s="2">
        <f>CONSOLIDADO_2026[[#This Row],[Hora final]]-CONSOLIDADO_2026[[#This Row],[Hora inic]]</f>
        <v>0.25</v>
      </c>
    </row>
    <row r="760" spans="1:19" hidden="1" x14ac:dyDescent="0.25">
      <c r="A760" t="s">
        <v>4166</v>
      </c>
      <c r="B760">
        <v>1007959114</v>
      </c>
      <c r="C760" t="s">
        <v>337</v>
      </c>
      <c r="D760" s="11" t="s">
        <v>39</v>
      </c>
      <c r="E760" s="11" t="s">
        <v>4046</v>
      </c>
      <c r="F760" s="11" t="s">
        <v>4074</v>
      </c>
      <c r="G760" s="1">
        <v>46252</v>
      </c>
      <c r="H760" s="1"/>
      <c r="I760" s="2">
        <v>0.58333333333333337</v>
      </c>
      <c r="J760" s="2">
        <v>0.875</v>
      </c>
      <c r="K760" s="11"/>
      <c r="L760" s="11" t="s">
        <v>4060</v>
      </c>
      <c r="M760" s="1"/>
      <c r="N760" s="11"/>
      <c r="O760" s="11" t="s">
        <v>4042</v>
      </c>
      <c r="P760" s="1"/>
      <c r="Q760" s="1"/>
      <c r="R760" s="11"/>
      <c r="S760" s="2">
        <f>CONSOLIDADO_2026[[#This Row],[Hora final]]-CONSOLIDADO_2026[[#This Row],[Hora inic]]</f>
        <v>0.29166666666666663</v>
      </c>
    </row>
    <row r="761" spans="1:19" hidden="1" x14ac:dyDescent="0.25">
      <c r="A761" t="s">
        <v>4166</v>
      </c>
      <c r="B761">
        <v>1000348983</v>
      </c>
      <c r="C761" t="s">
        <v>235</v>
      </c>
      <c r="D761" s="11" t="s">
        <v>4175</v>
      </c>
      <c r="E761" s="11" t="s">
        <v>4056</v>
      </c>
      <c r="F761" s="11" t="s">
        <v>4074</v>
      </c>
      <c r="G761" s="1">
        <v>46252</v>
      </c>
      <c r="H761" s="1"/>
      <c r="I761" s="2">
        <v>0.5</v>
      </c>
      <c r="J761" s="2">
        <v>0.79166666666666663</v>
      </c>
      <c r="K761" s="11"/>
      <c r="L761" s="11" t="s">
        <v>4176</v>
      </c>
      <c r="M761" s="1"/>
      <c r="N761" s="11"/>
      <c r="O761" s="11" t="s">
        <v>21</v>
      </c>
      <c r="P761" s="1"/>
      <c r="Q761" s="1"/>
      <c r="R761" s="11"/>
      <c r="S761" s="2">
        <f>CONSOLIDADO_2026[[#This Row],[Hora final]]-CONSOLIDADO_2026[[#This Row],[Hora inic]]</f>
        <v>0.29166666666666663</v>
      </c>
    </row>
    <row r="762" spans="1:19" hidden="1" x14ac:dyDescent="0.25">
      <c r="A762" t="s">
        <v>4166</v>
      </c>
      <c r="B762">
        <v>1037661959</v>
      </c>
      <c r="C762" t="s">
        <v>4080</v>
      </c>
      <c r="D762" s="11" t="s">
        <v>482</v>
      </c>
      <c r="E762" s="11" t="s">
        <v>4040</v>
      </c>
      <c r="F762" s="11" t="s">
        <v>4050</v>
      </c>
      <c r="G762" s="1">
        <v>46253</v>
      </c>
      <c r="H762" s="1">
        <v>46255</v>
      </c>
      <c r="I762" s="2">
        <v>0.54166666666666663</v>
      </c>
      <c r="J762" s="2">
        <v>0.875</v>
      </c>
      <c r="K762" s="11" t="s">
        <v>261</v>
      </c>
      <c r="L762" s="11" t="s">
        <v>262</v>
      </c>
      <c r="M762" s="1"/>
      <c r="N762" s="11"/>
      <c r="O762" s="11" t="s">
        <v>21</v>
      </c>
      <c r="P762" s="1"/>
      <c r="Q762" s="1"/>
      <c r="R762" s="11"/>
      <c r="S762" s="2">
        <f>CONSOLIDADO_2026[[#This Row],[Hora final]]-CONSOLIDADO_2026[[#This Row],[Hora inic]]</f>
        <v>0.33333333333333337</v>
      </c>
    </row>
    <row r="763" spans="1:19" hidden="1" x14ac:dyDescent="0.25">
      <c r="A763" t="s">
        <v>4166</v>
      </c>
      <c r="B763">
        <v>1126251297</v>
      </c>
      <c r="C763" t="s">
        <v>286</v>
      </c>
      <c r="D763" s="11" t="s">
        <v>162</v>
      </c>
      <c r="E763" s="11" t="s">
        <v>4056</v>
      </c>
      <c r="F763" s="11" t="s">
        <v>4073</v>
      </c>
      <c r="G763" s="1">
        <v>46252</v>
      </c>
      <c r="H763" s="1">
        <v>46252</v>
      </c>
      <c r="I763" s="2">
        <v>0.58333333333333337</v>
      </c>
      <c r="J763" s="2">
        <v>0.875</v>
      </c>
      <c r="K763" s="11"/>
      <c r="L763" s="11" t="s">
        <v>4307</v>
      </c>
      <c r="M763" s="1"/>
      <c r="N763" s="11"/>
      <c r="O763" s="11" t="s">
        <v>4042</v>
      </c>
      <c r="P763" s="1"/>
      <c r="Q763" s="1"/>
      <c r="R763" s="11"/>
      <c r="S763" s="2">
        <f>CONSOLIDADO_2026[[#This Row],[Hora final]]-CONSOLIDADO_2026[[#This Row],[Hora inic]]</f>
        <v>0.29166666666666663</v>
      </c>
    </row>
    <row r="764" spans="1:19" hidden="1" x14ac:dyDescent="0.25">
      <c r="A764" t="s">
        <v>4166</v>
      </c>
      <c r="B764">
        <v>1001140238</v>
      </c>
      <c r="C764" t="s">
        <v>74</v>
      </c>
      <c r="D764" s="11" t="s">
        <v>4078</v>
      </c>
      <c r="E764" s="11" t="s">
        <v>4045</v>
      </c>
      <c r="F764" s="11" t="s">
        <v>4099</v>
      </c>
      <c r="G764" s="1">
        <v>46252</v>
      </c>
      <c r="H764" s="1">
        <v>46252</v>
      </c>
      <c r="I764" s="2">
        <v>0.54166666666666663</v>
      </c>
      <c r="J764" s="2">
        <v>0.58333333333333337</v>
      </c>
      <c r="K764" s="11"/>
      <c r="L764" s="11" t="s">
        <v>339</v>
      </c>
      <c r="M764" s="1"/>
      <c r="N764" s="11"/>
      <c r="O764" s="11" t="s">
        <v>4042</v>
      </c>
      <c r="P764" s="1"/>
      <c r="Q764" s="1"/>
      <c r="R764" s="11"/>
      <c r="S764" s="2">
        <f>CONSOLIDADO_2026[[#This Row],[Hora final]]-CONSOLIDADO_2026[[#This Row],[Hora inic]]</f>
        <v>4.1666666666666741E-2</v>
      </c>
    </row>
    <row r="765" spans="1:19" hidden="1" x14ac:dyDescent="0.25">
      <c r="A765" t="s">
        <v>4166</v>
      </c>
      <c r="B765">
        <v>1010115185</v>
      </c>
      <c r="C765" t="s">
        <v>197</v>
      </c>
      <c r="D765" s="11" t="s">
        <v>39</v>
      </c>
      <c r="E765" s="11" t="s">
        <v>4046</v>
      </c>
      <c r="F765" s="11" t="s">
        <v>4073</v>
      </c>
      <c r="G765" s="1">
        <v>46252</v>
      </c>
      <c r="H765" s="1">
        <v>46252</v>
      </c>
      <c r="I765" s="2">
        <v>0.58333333333333337</v>
      </c>
      <c r="J765" s="2">
        <v>0.875</v>
      </c>
      <c r="K765" s="11"/>
      <c r="L765" s="11" t="s">
        <v>4177</v>
      </c>
      <c r="M765" s="1"/>
      <c r="N765" s="11"/>
      <c r="O765" s="11" t="s">
        <v>4042</v>
      </c>
      <c r="P765" s="1"/>
      <c r="Q765" s="1"/>
      <c r="R765" s="11"/>
      <c r="S765" s="2">
        <f>CONSOLIDADO_2026[[#This Row],[Hora final]]-CONSOLIDADO_2026[[#This Row],[Hora inic]]</f>
        <v>0.29166666666666663</v>
      </c>
    </row>
    <row r="766" spans="1:19" hidden="1" x14ac:dyDescent="0.25">
      <c r="A766" t="s">
        <v>4166</v>
      </c>
      <c r="B766">
        <v>1128467297</v>
      </c>
      <c r="C766" t="s">
        <v>3392</v>
      </c>
      <c r="D766" s="11" t="s">
        <v>619</v>
      </c>
      <c r="E766" s="11" t="s">
        <v>4045</v>
      </c>
      <c r="F766" s="11" t="s">
        <v>4074</v>
      </c>
      <c r="G766" s="1">
        <v>46252</v>
      </c>
      <c r="H766" s="1">
        <v>46253</v>
      </c>
      <c r="I766" s="2">
        <v>0.58333333333333337</v>
      </c>
      <c r="J766" s="2">
        <v>0.875</v>
      </c>
      <c r="K766" s="11"/>
      <c r="L766" s="11" t="s">
        <v>4060</v>
      </c>
      <c r="M766" s="1"/>
      <c r="N766" s="11"/>
      <c r="O766" s="11" t="s">
        <v>4042</v>
      </c>
      <c r="P766" s="1"/>
      <c r="Q766" s="1"/>
      <c r="R766" s="11"/>
      <c r="S766" s="2">
        <f>CONSOLIDADO_2026[[#This Row],[Hora final]]-CONSOLIDADO_2026[[#This Row],[Hora inic]]</f>
        <v>0.29166666666666663</v>
      </c>
    </row>
    <row r="767" spans="1:19" hidden="1" x14ac:dyDescent="0.25">
      <c r="A767" t="s">
        <v>4178</v>
      </c>
      <c r="B767">
        <v>1057608489</v>
      </c>
      <c r="C767" t="s">
        <v>3080</v>
      </c>
      <c r="D767" s="11" t="s">
        <v>132</v>
      </c>
      <c r="E767" s="11" t="s">
        <v>4040</v>
      </c>
      <c r="F767" s="11" t="s">
        <v>16</v>
      </c>
      <c r="G767" s="1">
        <v>46245</v>
      </c>
      <c r="H767" s="1">
        <v>46246</v>
      </c>
      <c r="I767" s="2">
        <v>0.58333333333333337</v>
      </c>
      <c r="J767" s="2">
        <v>0.875</v>
      </c>
      <c r="K767" s="11"/>
      <c r="L767" s="11" t="s">
        <v>327</v>
      </c>
      <c r="M767" s="1"/>
      <c r="N767" s="11"/>
      <c r="O767" s="11" t="s">
        <v>4042</v>
      </c>
      <c r="P767" s="1"/>
      <c r="Q767" s="1"/>
      <c r="R767" s="11"/>
      <c r="S767" s="2">
        <f>CONSOLIDADO_2026[[#This Row],[Hora final]]-CONSOLIDADO_2026[[#This Row],[Hora inic]]</f>
        <v>0.29166666666666663</v>
      </c>
    </row>
    <row r="768" spans="1:19" hidden="1" x14ac:dyDescent="0.25">
      <c r="A768" t="s">
        <v>4178</v>
      </c>
      <c r="B768">
        <v>43271257</v>
      </c>
      <c r="C768" t="s">
        <v>1302</v>
      </c>
      <c r="D768" s="11" t="s">
        <v>15</v>
      </c>
      <c r="E768" s="11" t="s">
        <v>4046</v>
      </c>
      <c r="F768" s="11" t="s">
        <v>16</v>
      </c>
      <c r="G768" s="1">
        <v>46245</v>
      </c>
      <c r="H768" s="1">
        <v>46246</v>
      </c>
      <c r="I768" s="2">
        <v>0.25</v>
      </c>
      <c r="J768" s="2">
        <v>0.54166666666666663</v>
      </c>
      <c r="K768" s="11"/>
      <c r="L768" s="11" t="s">
        <v>327</v>
      </c>
      <c r="M768" s="1"/>
      <c r="N768" s="11"/>
      <c r="O768" s="11" t="s">
        <v>4042</v>
      </c>
      <c r="P768" s="1"/>
      <c r="Q768" s="1"/>
      <c r="R768" s="11"/>
      <c r="S768" s="2">
        <f>CONSOLIDADO_2026[[#This Row],[Hora final]]-CONSOLIDADO_2026[[#This Row],[Hora inic]]</f>
        <v>0.29166666666666663</v>
      </c>
    </row>
    <row r="769" spans="1:19" hidden="1" x14ac:dyDescent="0.25">
      <c r="A769" t="s">
        <v>4178</v>
      </c>
      <c r="B769">
        <v>1140876076</v>
      </c>
      <c r="C769" t="s">
        <v>1326</v>
      </c>
      <c r="D769" s="11" t="s">
        <v>15</v>
      </c>
      <c r="E769" s="11" t="s">
        <v>4046</v>
      </c>
      <c r="F769" s="11" t="s">
        <v>16</v>
      </c>
      <c r="G769" s="1">
        <v>46245</v>
      </c>
      <c r="H769" s="1">
        <v>46246</v>
      </c>
      <c r="I769" s="2">
        <v>0.25</v>
      </c>
      <c r="J769" s="2">
        <v>0.58333333333333337</v>
      </c>
      <c r="K769" s="11"/>
      <c r="L769" s="11" t="s">
        <v>327</v>
      </c>
      <c r="M769" s="1"/>
      <c r="N769" s="11"/>
      <c r="O769" s="11" t="s">
        <v>4042</v>
      </c>
      <c r="P769" s="1"/>
      <c r="Q769" s="1"/>
      <c r="R769" s="11"/>
      <c r="S769" s="2">
        <f>CONSOLIDADO_2026[[#This Row],[Hora final]]-CONSOLIDADO_2026[[#This Row],[Hora inic]]</f>
        <v>0.33333333333333337</v>
      </c>
    </row>
    <row r="770" spans="1:19" hidden="1" x14ac:dyDescent="0.25">
      <c r="A770" t="s">
        <v>4178</v>
      </c>
      <c r="B770">
        <v>1001944593</v>
      </c>
      <c r="C770" t="s">
        <v>2629</v>
      </c>
      <c r="D770" s="11" t="s">
        <v>128</v>
      </c>
      <c r="E770" s="11" t="s">
        <v>4045</v>
      </c>
      <c r="F770" s="11" t="s">
        <v>16</v>
      </c>
      <c r="G770" s="1">
        <v>46245</v>
      </c>
      <c r="H770" s="1">
        <v>46245</v>
      </c>
      <c r="I770" s="2">
        <v>0.375</v>
      </c>
      <c r="J770" s="2">
        <v>0.70833333333333337</v>
      </c>
      <c r="K770" s="11"/>
      <c r="L770" s="11" t="s">
        <v>4041</v>
      </c>
      <c r="M770" s="1"/>
      <c r="N770" s="11"/>
      <c r="O770" s="11" t="s">
        <v>4042</v>
      </c>
      <c r="P770" s="1"/>
      <c r="Q770" s="1"/>
      <c r="R770" s="11"/>
      <c r="S770" s="2">
        <f>CONSOLIDADO_2026[[#This Row],[Hora final]]-CONSOLIDADO_2026[[#This Row],[Hora inic]]</f>
        <v>0.33333333333333337</v>
      </c>
    </row>
    <row r="771" spans="1:19" hidden="1" x14ac:dyDescent="0.25">
      <c r="A771" t="s">
        <v>4178</v>
      </c>
      <c r="B771">
        <v>1143360194</v>
      </c>
      <c r="C771" t="s">
        <v>3508</v>
      </c>
      <c r="D771" s="11" t="s">
        <v>64</v>
      </c>
      <c r="E771" s="11" t="s">
        <v>4046</v>
      </c>
      <c r="F771" s="11" t="s">
        <v>16</v>
      </c>
      <c r="G771" s="1">
        <v>46245</v>
      </c>
      <c r="H771" s="1">
        <v>46246</v>
      </c>
      <c r="I771" s="2">
        <v>0.58333333333333337</v>
      </c>
      <c r="J771" s="2">
        <v>0.875</v>
      </c>
      <c r="K771" s="11"/>
      <c r="L771" s="11" t="s">
        <v>4060</v>
      </c>
      <c r="M771" s="1"/>
      <c r="N771" s="11"/>
      <c r="O771" s="11" t="s">
        <v>4042</v>
      </c>
      <c r="P771" s="1"/>
      <c r="Q771" s="1"/>
      <c r="R771" s="11"/>
      <c r="S771" s="2">
        <f>CONSOLIDADO_2026[[#This Row],[Hora final]]-CONSOLIDADO_2026[[#This Row],[Hora inic]]</f>
        <v>0.29166666666666663</v>
      </c>
    </row>
    <row r="772" spans="1:19" hidden="1" x14ac:dyDescent="0.25">
      <c r="A772" t="s">
        <v>4178</v>
      </c>
      <c r="B772">
        <v>1000662062</v>
      </c>
      <c r="C772" t="s">
        <v>330</v>
      </c>
      <c r="D772" s="11" t="s">
        <v>55</v>
      </c>
      <c r="E772" s="11" t="s">
        <v>4047</v>
      </c>
      <c r="F772" s="11" t="s">
        <v>16</v>
      </c>
      <c r="G772" s="1">
        <v>46245</v>
      </c>
      <c r="H772" s="1">
        <v>46249</v>
      </c>
      <c r="I772" s="2">
        <v>0.58333333333333337</v>
      </c>
      <c r="J772" s="2">
        <v>0.875</v>
      </c>
      <c r="K772" s="11"/>
      <c r="L772" s="11" t="s">
        <v>327</v>
      </c>
      <c r="M772" s="1"/>
      <c r="N772" s="11"/>
      <c r="O772" s="11" t="s">
        <v>4042</v>
      </c>
      <c r="P772" s="1"/>
      <c r="Q772" s="1"/>
      <c r="R772" s="11"/>
      <c r="S772" s="2">
        <f>CONSOLIDADO_2026[[#This Row],[Hora final]]-CONSOLIDADO_2026[[#This Row],[Hora inic]]</f>
        <v>0.29166666666666663</v>
      </c>
    </row>
    <row r="773" spans="1:19" hidden="1" x14ac:dyDescent="0.25">
      <c r="A773" t="s">
        <v>4178</v>
      </c>
      <c r="B773">
        <v>1007508679</v>
      </c>
      <c r="C773" t="s">
        <v>1362</v>
      </c>
      <c r="D773" s="11" t="s">
        <v>51</v>
      </c>
      <c r="E773" s="11" t="s">
        <v>4047</v>
      </c>
      <c r="F773" s="11" t="s">
        <v>16</v>
      </c>
      <c r="G773" s="1">
        <v>46245</v>
      </c>
      <c r="H773" s="1">
        <v>46245</v>
      </c>
      <c r="I773" s="2"/>
      <c r="J773" s="2"/>
      <c r="K773" s="11"/>
      <c r="L773" s="11" t="s">
        <v>4041</v>
      </c>
      <c r="M773" s="1"/>
      <c r="N773" s="11"/>
      <c r="O773" s="11" t="s">
        <v>4042</v>
      </c>
      <c r="P773" s="1"/>
      <c r="Q773" s="1"/>
      <c r="R773" s="11"/>
      <c r="S773" s="2">
        <f>CONSOLIDADO_2026[[#This Row],[Hora final]]-CONSOLIDADO_2026[[#This Row],[Hora inic]]</f>
        <v>0</v>
      </c>
    </row>
    <row r="774" spans="1:19" hidden="1" x14ac:dyDescent="0.25">
      <c r="A774" t="s">
        <v>4178</v>
      </c>
      <c r="B774">
        <v>1017209928</v>
      </c>
      <c r="C774" t="s">
        <v>1205</v>
      </c>
      <c r="D774" s="11" t="s">
        <v>256</v>
      </c>
      <c r="E774" s="11" t="s">
        <v>4040</v>
      </c>
      <c r="F774" s="11" t="s">
        <v>16</v>
      </c>
      <c r="G774" s="1">
        <v>46245</v>
      </c>
      <c r="H774" s="1">
        <v>46246</v>
      </c>
      <c r="I774" s="2">
        <v>0.25</v>
      </c>
      <c r="J774" s="2">
        <v>0.54166666666666663</v>
      </c>
      <c r="K774" s="11"/>
      <c r="L774" s="11" t="s">
        <v>327</v>
      </c>
      <c r="M774" s="1"/>
      <c r="N774" s="11"/>
      <c r="O774" s="11" t="s">
        <v>4042</v>
      </c>
      <c r="P774" s="1"/>
      <c r="Q774" s="1"/>
      <c r="R774" s="11"/>
      <c r="S774" s="2">
        <f>CONSOLIDADO_2026[[#This Row],[Hora final]]-CONSOLIDADO_2026[[#This Row],[Hora inic]]</f>
        <v>0.29166666666666663</v>
      </c>
    </row>
    <row r="775" spans="1:19" hidden="1" x14ac:dyDescent="0.25">
      <c r="A775" t="s">
        <v>4178</v>
      </c>
      <c r="B775">
        <v>1002155665</v>
      </c>
      <c r="C775" t="s">
        <v>3791</v>
      </c>
      <c r="D775" s="11" t="s">
        <v>64</v>
      </c>
      <c r="E775" s="11" t="s">
        <v>4046</v>
      </c>
      <c r="F775" s="11" t="s">
        <v>16</v>
      </c>
      <c r="G775" s="1">
        <v>46244</v>
      </c>
      <c r="H775" s="1">
        <v>46245</v>
      </c>
      <c r="I775" s="2"/>
      <c r="J775" s="2"/>
      <c r="K775" s="11"/>
      <c r="L775" s="11" t="s">
        <v>4041</v>
      </c>
      <c r="M775" s="1"/>
      <c r="N775" s="11"/>
      <c r="O775" s="11" t="s">
        <v>4042</v>
      </c>
      <c r="P775" s="1"/>
      <c r="Q775" s="1"/>
      <c r="R775" s="11"/>
      <c r="S775" s="2">
        <f>CONSOLIDADO_2026[[#This Row],[Hora final]]-CONSOLIDADO_2026[[#This Row],[Hora inic]]</f>
        <v>0</v>
      </c>
    </row>
    <row r="776" spans="1:19" hidden="1" x14ac:dyDescent="0.25">
      <c r="A776" t="s">
        <v>4178</v>
      </c>
      <c r="B776">
        <v>1077462479</v>
      </c>
      <c r="C776" t="s">
        <v>4027</v>
      </c>
      <c r="D776" s="11" t="s">
        <v>59</v>
      </c>
      <c r="E776" s="11" t="s">
        <v>4047</v>
      </c>
      <c r="F776" s="11" t="s">
        <v>4087</v>
      </c>
      <c r="G776" s="1">
        <v>46245</v>
      </c>
      <c r="H776" s="1">
        <v>46247</v>
      </c>
      <c r="I776" s="2">
        <v>0.25</v>
      </c>
      <c r="J776" s="2">
        <v>0.54166666666666663</v>
      </c>
      <c r="K776" s="11"/>
      <c r="L776" s="11" t="s">
        <v>327</v>
      </c>
      <c r="M776" s="1"/>
      <c r="N776" s="11"/>
      <c r="O776" s="11" t="s">
        <v>4042</v>
      </c>
      <c r="P776" s="1"/>
      <c r="Q776" s="1"/>
      <c r="R776" s="11"/>
      <c r="S776" s="2">
        <f>CONSOLIDADO_2026[[#This Row],[Hora final]]-CONSOLIDADO_2026[[#This Row],[Hora inic]]</f>
        <v>0.29166666666666663</v>
      </c>
    </row>
    <row r="777" spans="1:19" hidden="1" x14ac:dyDescent="0.25">
      <c r="A777" t="s">
        <v>4178</v>
      </c>
      <c r="B777">
        <v>1000408752</v>
      </c>
      <c r="C777" t="s">
        <v>3636</v>
      </c>
      <c r="D777" s="11" t="s">
        <v>55</v>
      </c>
      <c r="E777" s="11" t="s">
        <v>4047</v>
      </c>
      <c r="F777" s="11" t="s">
        <v>16</v>
      </c>
      <c r="G777" s="1">
        <v>46244</v>
      </c>
      <c r="H777" s="1">
        <v>46246</v>
      </c>
      <c r="I777" s="2">
        <v>0.25</v>
      </c>
      <c r="J777" s="2">
        <v>0.58333333333333337</v>
      </c>
      <c r="K777" s="11"/>
      <c r="L777" s="11" t="s">
        <v>327</v>
      </c>
      <c r="M777" s="1"/>
      <c r="N777" s="11"/>
      <c r="O777" s="11" t="s">
        <v>4042</v>
      </c>
      <c r="P777" s="1"/>
      <c r="Q777" s="1"/>
      <c r="R777" s="11"/>
      <c r="S777" s="2">
        <f>CONSOLIDADO_2026[[#This Row],[Hora final]]-CONSOLIDADO_2026[[#This Row],[Hora inic]]</f>
        <v>0.33333333333333337</v>
      </c>
    </row>
    <row r="778" spans="1:19" hidden="1" x14ac:dyDescent="0.25">
      <c r="A778" t="s">
        <v>4178</v>
      </c>
      <c r="B778">
        <v>1193568408</v>
      </c>
      <c r="C778" t="s">
        <v>448</v>
      </c>
      <c r="D778" s="11" t="s">
        <v>344</v>
      </c>
      <c r="E778" s="11" t="s">
        <v>4056</v>
      </c>
      <c r="F778" s="11" t="s">
        <v>16</v>
      </c>
      <c r="G778" s="1">
        <v>46244</v>
      </c>
      <c r="H778" s="1">
        <v>46245</v>
      </c>
      <c r="I778" s="2"/>
      <c r="J778" s="2"/>
      <c r="K778" s="11"/>
      <c r="L778" s="11" t="s">
        <v>4041</v>
      </c>
      <c r="M778" s="1"/>
      <c r="N778" s="11"/>
      <c r="O778" s="11" t="s">
        <v>4042</v>
      </c>
      <c r="P778" s="1"/>
      <c r="Q778" s="1"/>
      <c r="R778" s="11"/>
      <c r="S778" s="2">
        <f>CONSOLIDADO_2026[[#This Row],[Hora final]]-CONSOLIDADO_2026[[#This Row],[Hora inic]]</f>
        <v>0</v>
      </c>
    </row>
    <row r="779" spans="1:19" hidden="1" x14ac:dyDescent="0.25">
      <c r="A779" t="s">
        <v>4178</v>
      </c>
      <c r="B779">
        <v>1037646627</v>
      </c>
      <c r="C779" t="s">
        <v>3293</v>
      </c>
      <c r="D779" s="11" t="s">
        <v>124</v>
      </c>
      <c r="E779" s="11" t="s">
        <v>4045</v>
      </c>
      <c r="F779" s="11" t="s">
        <v>16</v>
      </c>
      <c r="G779" s="1">
        <v>46244</v>
      </c>
      <c r="H779" s="1">
        <v>46245</v>
      </c>
      <c r="I779" s="2"/>
      <c r="J779" s="2"/>
      <c r="K779" s="11"/>
      <c r="L779" s="11" t="s">
        <v>4041</v>
      </c>
      <c r="M779" s="1"/>
      <c r="N779" s="11"/>
      <c r="O779" s="11" t="s">
        <v>4042</v>
      </c>
      <c r="P779" s="1"/>
      <c r="Q779" s="1"/>
      <c r="R779" s="11"/>
      <c r="S779" s="2">
        <f>CONSOLIDADO_2026[[#This Row],[Hora final]]-CONSOLIDADO_2026[[#This Row],[Hora inic]]</f>
        <v>0</v>
      </c>
    </row>
    <row r="780" spans="1:19" hidden="1" x14ac:dyDescent="0.25">
      <c r="A780" t="s">
        <v>4178</v>
      </c>
      <c r="B780">
        <v>1007959114</v>
      </c>
      <c r="C780" t="s">
        <v>337</v>
      </c>
      <c r="D780" s="11" t="s">
        <v>39</v>
      </c>
      <c r="E780" s="11" t="s">
        <v>4046</v>
      </c>
      <c r="F780" s="11" t="s">
        <v>16</v>
      </c>
      <c r="G780" s="1">
        <v>46244</v>
      </c>
      <c r="H780" s="1">
        <v>46244</v>
      </c>
      <c r="I780" s="2">
        <v>0.25</v>
      </c>
      <c r="J780" s="2">
        <v>0.58333333333333337</v>
      </c>
      <c r="K780" s="11"/>
      <c r="L780" s="11" t="s">
        <v>4041</v>
      </c>
      <c r="M780" s="1"/>
      <c r="N780" s="11"/>
      <c r="O780" s="11" t="s">
        <v>4042</v>
      </c>
      <c r="P780" s="1"/>
      <c r="Q780" s="1"/>
      <c r="R780" s="11"/>
      <c r="S780" s="2">
        <f>CONSOLIDADO_2026[[#This Row],[Hora final]]-CONSOLIDADO_2026[[#This Row],[Hora inic]]</f>
        <v>0.33333333333333337</v>
      </c>
    </row>
    <row r="781" spans="1:19" hidden="1" x14ac:dyDescent="0.25">
      <c r="A781" t="s">
        <v>4178</v>
      </c>
      <c r="B781">
        <v>1014237413</v>
      </c>
      <c r="C781" t="s">
        <v>845</v>
      </c>
      <c r="D781" s="11" t="s">
        <v>492</v>
      </c>
      <c r="E781" s="11" t="s">
        <v>4045</v>
      </c>
      <c r="F781" s="11" t="s">
        <v>16</v>
      </c>
      <c r="G781" s="1">
        <v>46244</v>
      </c>
      <c r="H781" s="1">
        <v>46246</v>
      </c>
      <c r="I781" s="2">
        <v>0.25</v>
      </c>
      <c r="J781" s="2">
        <v>0.54166666666666663</v>
      </c>
      <c r="K781" s="11"/>
      <c r="L781" s="11" t="s">
        <v>327</v>
      </c>
      <c r="M781" s="1"/>
      <c r="N781" s="11"/>
      <c r="O781" s="11" t="s">
        <v>4042</v>
      </c>
      <c r="P781" s="1"/>
      <c r="Q781" s="1"/>
      <c r="R781" s="11"/>
      <c r="S781" s="2">
        <f>CONSOLIDADO_2026[[#This Row],[Hora final]]-CONSOLIDADO_2026[[#This Row],[Hora inic]]</f>
        <v>0.29166666666666663</v>
      </c>
    </row>
    <row r="782" spans="1:19" hidden="1" x14ac:dyDescent="0.25">
      <c r="A782" t="s">
        <v>4178</v>
      </c>
      <c r="B782">
        <v>1003361835</v>
      </c>
      <c r="C782" t="s">
        <v>878</v>
      </c>
      <c r="D782" s="11" t="s">
        <v>492</v>
      </c>
      <c r="E782" s="11" t="s">
        <v>4045</v>
      </c>
      <c r="F782" s="11" t="s">
        <v>16</v>
      </c>
      <c r="G782" s="1">
        <v>46244</v>
      </c>
      <c r="H782" s="1">
        <v>46245</v>
      </c>
      <c r="I782" s="2"/>
      <c r="J782" s="2"/>
      <c r="K782" s="11"/>
      <c r="L782" s="11" t="s">
        <v>4041</v>
      </c>
      <c r="M782" s="1"/>
      <c r="N782" s="11"/>
      <c r="O782" s="11" t="s">
        <v>4042</v>
      </c>
      <c r="P782" s="1"/>
      <c r="Q782" s="1"/>
      <c r="R782" s="11"/>
      <c r="S782" s="2">
        <f>CONSOLIDADO_2026[[#This Row],[Hora final]]-CONSOLIDADO_2026[[#This Row],[Hora inic]]</f>
        <v>0</v>
      </c>
    </row>
    <row r="783" spans="1:19" hidden="1" x14ac:dyDescent="0.25">
      <c r="A783" t="s">
        <v>4178</v>
      </c>
      <c r="B783">
        <v>1143345388</v>
      </c>
      <c r="C783" t="s">
        <v>3124</v>
      </c>
      <c r="D783" s="11" t="s">
        <v>55</v>
      </c>
      <c r="E783" s="11" t="s">
        <v>4047</v>
      </c>
      <c r="F783" s="11" t="s">
        <v>16</v>
      </c>
      <c r="G783" s="1">
        <v>46244</v>
      </c>
      <c r="H783" s="1">
        <v>46245</v>
      </c>
      <c r="I783" s="2"/>
      <c r="J783" s="2"/>
      <c r="K783" s="11"/>
      <c r="L783" s="11" t="s">
        <v>4041</v>
      </c>
      <c r="M783" s="1"/>
      <c r="N783" s="11"/>
      <c r="O783" s="11" t="s">
        <v>4042</v>
      </c>
      <c r="P783" s="1"/>
      <c r="Q783" s="1"/>
      <c r="R783" s="11"/>
      <c r="S783" s="2">
        <f>CONSOLIDADO_2026[[#This Row],[Hora final]]-CONSOLIDADO_2026[[#This Row],[Hora inic]]</f>
        <v>0</v>
      </c>
    </row>
    <row r="784" spans="1:19" hidden="1" x14ac:dyDescent="0.25">
      <c r="A784" t="s">
        <v>4178</v>
      </c>
      <c r="B784">
        <v>1193370054</v>
      </c>
      <c r="C784" t="s">
        <v>994</v>
      </c>
      <c r="D784" s="11" t="s">
        <v>59</v>
      </c>
      <c r="E784" s="11" t="s">
        <v>4047</v>
      </c>
      <c r="F784" s="11" t="s">
        <v>16</v>
      </c>
      <c r="G784" s="1">
        <v>46244</v>
      </c>
      <c r="H784" s="1">
        <v>46244</v>
      </c>
      <c r="I784" s="2">
        <v>0.25</v>
      </c>
      <c r="J784" s="2">
        <v>0.54166666666666663</v>
      </c>
      <c r="K784" s="11"/>
      <c r="L784" s="11" t="s">
        <v>4041</v>
      </c>
      <c r="M784" s="1"/>
      <c r="N784" s="11"/>
      <c r="O784" s="11" t="s">
        <v>4042</v>
      </c>
      <c r="P784" s="1"/>
      <c r="Q784" s="1"/>
      <c r="R784" s="11"/>
      <c r="S784" s="2">
        <f>CONSOLIDADO_2026[[#This Row],[Hora final]]-CONSOLIDADO_2026[[#This Row],[Hora inic]]</f>
        <v>0.29166666666666663</v>
      </c>
    </row>
    <row r="785" spans="1:19" hidden="1" x14ac:dyDescent="0.25">
      <c r="A785" t="s">
        <v>4178</v>
      </c>
      <c r="B785">
        <v>1003033764</v>
      </c>
      <c r="C785" t="s">
        <v>1275</v>
      </c>
      <c r="D785" s="11" t="s">
        <v>124</v>
      </c>
      <c r="E785" s="11" t="s">
        <v>4045</v>
      </c>
      <c r="F785" s="11" t="s">
        <v>16</v>
      </c>
      <c r="G785" s="1">
        <v>46244</v>
      </c>
      <c r="H785" s="1">
        <v>46245</v>
      </c>
      <c r="I785" s="2"/>
      <c r="J785" s="2"/>
      <c r="K785" s="11"/>
      <c r="L785" s="11" t="s">
        <v>4041</v>
      </c>
      <c r="M785" s="1"/>
      <c r="N785" s="11"/>
      <c r="O785" s="11" t="s">
        <v>4042</v>
      </c>
      <c r="P785" s="1"/>
      <c r="Q785" s="1"/>
      <c r="R785" s="11"/>
      <c r="S785" s="2">
        <f>CONSOLIDADO_2026[[#This Row],[Hora final]]-CONSOLIDADO_2026[[#This Row],[Hora inic]]</f>
        <v>0</v>
      </c>
    </row>
    <row r="786" spans="1:19" hidden="1" x14ac:dyDescent="0.25">
      <c r="A786" t="s">
        <v>4178</v>
      </c>
      <c r="B786">
        <v>1000921455</v>
      </c>
      <c r="C786" t="s">
        <v>14</v>
      </c>
      <c r="D786" s="11" t="s">
        <v>15</v>
      </c>
      <c r="E786" s="11" t="s">
        <v>4046</v>
      </c>
      <c r="F786" s="11" t="s">
        <v>16</v>
      </c>
      <c r="G786" s="1">
        <v>46242</v>
      </c>
      <c r="H786" s="1">
        <v>46246</v>
      </c>
      <c r="I786" s="2">
        <v>0.58333333333333337</v>
      </c>
      <c r="J786" s="2">
        <v>0.875</v>
      </c>
      <c r="K786" s="11"/>
      <c r="L786" s="11" t="s">
        <v>327</v>
      </c>
      <c r="M786" s="1"/>
      <c r="N786" s="11"/>
      <c r="O786" s="11" t="s">
        <v>4042</v>
      </c>
      <c r="P786" s="1"/>
      <c r="Q786" s="1"/>
      <c r="R786" s="11"/>
      <c r="S786" s="2">
        <f>CONSOLIDADO_2026[[#This Row],[Hora final]]-CONSOLIDADO_2026[[#This Row],[Hora inic]]</f>
        <v>0.29166666666666663</v>
      </c>
    </row>
    <row r="787" spans="1:19" hidden="1" x14ac:dyDescent="0.25">
      <c r="A787" t="s">
        <v>4178</v>
      </c>
      <c r="B787">
        <v>1007842898</v>
      </c>
      <c r="C787" t="s">
        <v>4159</v>
      </c>
      <c r="D787" s="11" t="s">
        <v>421</v>
      </c>
      <c r="E787" s="11" t="s">
        <v>4047</v>
      </c>
      <c r="F787" s="11" t="s">
        <v>4050</v>
      </c>
      <c r="G787" s="1">
        <v>46244</v>
      </c>
      <c r="H787" s="1">
        <v>46246</v>
      </c>
      <c r="I787" s="2">
        <v>0.54166666666666663</v>
      </c>
      <c r="J787" s="2">
        <v>0.875</v>
      </c>
      <c r="K787" s="11"/>
      <c r="L787" s="11" t="s">
        <v>4041</v>
      </c>
      <c r="M787" s="1"/>
      <c r="N787" s="11"/>
      <c r="O787" s="11" t="s">
        <v>4042</v>
      </c>
      <c r="P787" s="1"/>
      <c r="Q787" s="1"/>
      <c r="R787" s="11"/>
      <c r="S787" s="2">
        <f>CONSOLIDADO_2026[[#This Row],[Hora final]]-CONSOLIDADO_2026[[#This Row],[Hora inic]]</f>
        <v>0.33333333333333337</v>
      </c>
    </row>
    <row r="788" spans="1:19" hidden="1" x14ac:dyDescent="0.25">
      <c r="A788" t="s">
        <v>4178</v>
      </c>
      <c r="B788">
        <v>1082896324</v>
      </c>
      <c r="C788" t="s">
        <v>127</v>
      </c>
      <c r="D788" s="11" t="s">
        <v>128</v>
      </c>
      <c r="E788" s="11" t="s">
        <v>4045</v>
      </c>
      <c r="F788" s="11" t="s">
        <v>16</v>
      </c>
      <c r="G788" s="1">
        <v>46242</v>
      </c>
      <c r="H788" s="1">
        <v>46272</v>
      </c>
      <c r="I788" s="2">
        <v>0.25</v>
      </c>
      <c r="J788" s="2">
        <v>0.58333333333333337</v>
      </c>
      <c r="K788" s="11" t="s">
        <v>231</v>
      </c>
      <c r="L788" s="11" t="s">
        <v>232</v>
      </c>
      <c r="M788" s="1"/>
      <c r="N788" s="11"/>
      <c r="O788" s="11" t="s">
        <v>21</v>
      </c>
      <c r="P788" s="1"/>
      <c r="Q788" s="1"/>
      <c r="R788" s="11"/>
      <c r="S788" s="2">
        <f>CONSOLIDADO_2026[[#This Row],[Hora final]]-CONSOLIDADO_2026[[#This Row],[Hora inic]]</f>
        <v>0.33333333333333337</v>
      </c>
    </row>
    <row r="789" spans="1:19" hidden="1" x14ac:dyDescent="0.25">
      <c r="A789" t="s">
        <v>4178</v>
      </c>
      <c r="B789">
        <v>1045718883</v>
      </c>
      <c r="C789" t="s">
        <v>34</v>
      </c>
      <c r="D789" s="11" t="s">
        <v>15</v>
      </c>
      <c r="E789" s="11" t="s">
        <v>4046</v>
      </c>
      <c r="F789" s="11" t="s">
        <v>16</v>
      </c>
      <c r="G789" s="1">
        <v>46240</v>
      </c>
      <c r="H789" s="1">
        <v>46249</v>
      </c>
      <c r="I789" s="2"/>
      <c r="J789" s="2"/>
      <c r="K789" s="11"/>
      <c r="L789" s="11" t="s">
        <v>4041</v>
      </c>
      <c r="M789" s="1"/>
      <c r="N789" s="11"/>
      <c r="O789" s="11" t="s">
        <v>4042</v>
      </c>
      <c r="P789" s="1"/>
      <c r="Q789" s="1"/>
      <c r="R789" s="11"/>
      <c r="S789" s="2">
        <f>CONSOLIDADO_2026[[#This Row],[Hora final]]-CONSOLIDADO_2026[[#This Row],[Hora inic]]</f>
        <v>0</v>
      </c>
    </row>
    <row r="790" spans="1:19" hidden="1" x14ac:dyDescent="0.25">
      <c r="A790" t="s">
        <v>4178</v>
      </c>
      <c r="B790">
        <v>1042422897</v>
      </c>
      <c r="C790" t="s">
        <v>4100</v>
      </c>
      <c r="D790" s="11" t="s">
        <v>256</v>
      </c>
      <c r="E790" s="11" t="s">
        <v>4040</v>
      </c>
      <c r="F790" s="11" t="s">
        <v>4050</v>
      </c>
      <c r="G790" s="1">
        <v>46242</v>
      </c>
      <c r="H790" s="1">
        <v>46245</v>
      </c>
      <c r="I790" s="2"/>
      <c r="J790" s="2"/>
      <c r="K790" s="11"/>
      <c r="L790" s="11" t="s">
        <v>4041</v>
      </c>
      <c r="M790" s="1"/>
      <c r="N790" s="11"/>
      <c r="O790" s="11" t="s">
        <v>4042</v>
      </c>
      <c r="P790" s="1"/>
      <c r="Q790" s="1"/>
      <c r="R790" s="11"/>
      <c r="S790" s="2">
        <f>CONSOLIDADO_2026[[#This Row],[Hora final]]-CONSOLIDADO_2026[[#This Row],[Hora inic]]</f>
        <v>0</v>
      </c>
    </row>
    <row r="791" spans="1:19" hidden="1" x14ac:dyDescent="0.25">
      <c r="A791" t="s">
        <v>4178</v>
      </c>
      <c r="B791">
        <v>1143374438</v>
      </c>
      <c r="C791" t="s">
        <v>154</v>
      </c>
      <c r="D791" s="11" t="s">
        <v>28</v>
      </c>
      <c r="E791" s="11" t="s">
        <v>4046</v>
      </c>
      <c r="F791" s="11" t="s">
        <v>16</v>
      </c>
      <c r="G791" s="1">
        <v>46239</v>
      </c>
      <c r="H791" s="1">
        <v>46268</v>
      </c>
      <c r="I791" s="2">
        <v>0.25</v>
      </c>
      <c r="J791" s="2">
        <v>0.54166666666666663</v>
      </c>
      <c r="K791" s="11"/>
      <c r="L791" s="11" t="s">
        <v>327</v>
      </c>
      <c r="M791" s="1"/>
      <c r="N791" s="11"/>
      <c r="O791" s="11" t="s">
        <v>4042</v>
      </c>
      <c r="P791" s="1"/>
      <c r="Q791" s="1"/>
      <c r="R791" s="11"/>
      <c r="S791" s="2">
        <f>CONSOLIDADO_2026[[#This Row],[Hora final]]-CONSOLIDADO_2026[[#This Row],[Hora inic]]</f>
        <v>0.29166666666666663</v>
      </c>
    </row>
    <row r="792" spans="1:19" hidden="1" x14ac:dyDescent="0.25">
      <c r="A792" t="s">
        <v>4178</v>
      </c>
      <c r="B792">
        <v>1015483595</v>
      </c>
      <c r="C792" t="s">
        <v>23</v>
      </c>
      <c r="D792" s="11" t="s">
        <v>15</v>
      </c>
      <c r="E792" s="11" t="s">
        <v>4046</v>
      </c>
      <c r="F792" s="11" t="s">
        <v>24</v>
      </c>
      <c r="G792" s="1">
        <v>46244</v>
      </c>
      <c r="H792" s="1">
        <v>46265</v>
      </c>
      <c r="I792" s="2">
        <v>0.25</v>
      </c>
      <c r="J792" s="2">
        <v>0.54166666666666663</v>
      </c>
      <c r="K792" s="11" t="s">
        <v>300</v>
      </c>
      <c r="L792" s="11" t="s">
        <v>301</v>
      </c>
      <c r="M792" s="1"/>
      <c r="N792" s="11"/>
      <c r="O792" s="11" t="s">
        <v>21</v>
      </c>
      <c r="P792" s="1"/>
      <c r="Q792" s="1"/>
      <c r="R792" s="11"/>
      <c r="S792" s="2">
        <f>CONSOLIDADO_2026[[#This Row],[Hora final]]-CONSOLIDADO_2026[[#This Row],[Hora inic]]</f>
        <v>0.29166666666666663</v>
      </c>
    </row>
    <row r="793" spans="1:19" hidden="1" x14ac:dyDescent="0.25">
      <c r="A793" t="s">
        <v>4178</v>
      </c>
      <c r="B793">
        <v>1001851670</v>
      </c>
      <c r="C793" t="s">
        <v>50</v>
      </c>
      <c r="D793" s="11" t="s">
        <v>51</v>
      </c>
      <c r="E793" s="11" t="s">
        <v>4047</v>
      </c>
      <c r="F793" s="11" t="s">
        <v>36</v>
      </c>
      <c r="G793" s="1">
        <v>46241</v>
      </c>
      <c r="H793" s="1">
        <v>46366</v>
      </c>
      <c r="I793" s="2">
        <v>0.25</v>
      </c>
      <c r="J793" s="2">
        <v>0.54166666666666663</v>
      </c>
      <c r="K793" s="11" t="s">
        <v>309</v>
      </c>
      <c r="L793" s="11" t="s">
        <v>310</v>
      </c>
      <c r="M793" s="1"/>
      <c r="N793" s="11"/>
      <c r="O793" s="11" t="s">
        <v>21</v>
      </c>
      <c r="P793" s="1"/>
      <c r="Q793" s="1"/>
      <c r="R793" s="11"/>
      <c r="S793" s="2">
        <f>CONSOLIDADO_2026[[#This Row],[Hora final]]-CONSOLIDADO_2026[[#This Row],[Hora inic]]</f>
        <v>0.29166666666666663</v>
      </c>
    </row>
    <row r="794" spans="1:19" hidden="1" x14ac:dyDescent="0.25">
      <c r="A794" t="s">
        <v>4178</v>
      </c>
      <c r="B794">
        <v>1067963513</v>
      </c>
      <c r="C794" t="s">
        <v>67</v>
      </c>
      <c r="D794" s="11" t="s">
        <v>68</v>
      </c>
      <c r="E794" s="11" t="s">
        <v>4040</v>
      </c>
      <c r="F794" s="11" t="s">
        <v>24</v>
      </c>
      <c r="G794" s="1">
        <v>46240</v>
      </c>
      <c r="H794" s="1">
        <v>46265</v>
      </c>
      <c r="I794" s="2">
        <v>0.58333333333333337</v>
      </c>
      <c r="J794" s="2">
        <v>0.875</v>
      </c>
      <c r="K794" s="11" t="s">
        <v>45</v>
      </c>
      <c r="L794" s="11" t="s">
        <v>46</v>
      </c>
      <c r="M794" s="1"/>
      <c r="N794" s="11"/>
      <c r="O794" s="11" t="s">
        <v>21</v>
      </c>
      <c r="P794" s="1"/>
      <c r="Q794" s="1"/>
      <c r="R794" s="11"/>
      <c r="S794" s="2">
        <f>CONSOLIDADO_2026[[#This Row],[Hora final]]-CONSOLIDADO_2026[[#This Row],[Hora inic]]</f>
        <v>0.29166666666666663</v>
      </c>
    </row>
    <row r="795" spans="1:19" hidden="1" x14ac:dyDescent="0.25">
      <c r="A795" t="s">
        <v>4178</v>
      </c>
      <c r="B795">
        <v>42141273</v>
      </c>
      <c r="C795" t="s">
        <v>271</v>
      </c>
      <c r="D795" s="11" t="s">
        <v>272</v>
      </c>
      <c r="E795" s="11" t="s">
        <v>4056</v>
      </c>
      <c r="F795" s="11" t="s">
        <v>4065</v>
      </c>
      <c r="G795" s="1">
        <v>46232</v>
      </c>
      <c r="H795" s="1">
        <v>46261</v>
      </c>
      <c r="I795" s="2">
        <v>0.25</v>
      </c>
      <c r="J795" s="2">
        <v>0.5</v>
      </c>
      <c r="K795" s="11" t="s">
        <v>285</v>
      </c>
      <c r="L795" s="11" t="s">
        <v>286</v>
      </c>
      <c r="M795" s="1"/>
      <c r="N795" s="11"/>
      <c r="O795" s="11" t="s">
        <v>4042</v>
      </c>
      <c r="P795" s="1"/>
      <c r="Q795" s="1"/>
      <c r="R795" s="11"/>
      <c r="S795" s="2">
        <f>CONSOLIDADO_2026[[#This Row],[Hora final]]-CONSOLIDADO_2026[[#This Row],[Hora inic]]</f>
        <v>0.25</v>
      </c>
    </row>
    <row r="796" spans="1:19" hidden="1" x14ac:dyDescent="0.25">
      <c r="A796" t="s">
        <v>4178</v>
      </c>
      <c r="B796">
        <v>1035876080</v>
      </c>
      <c r="C796" t="s">
        <v>123</v>
      </c>
      <c r="D796" s="11" t="s">
        <v>124</v>
      </c>
      <c r="E796" s="11" t="s">
        <v>4045</v>
      </c>
      <c r="F796" s="11" t="s">
        <v>16</v>
      </c>
      <c r="G796" s="1">
        <v>46239</v>
      </c>
      <c r="H796" s="1">
        <v>46245</v>
      </c>
      <c r="I796" s="2"/>
      <c r="J796" s="2"/>
      <c r="K796" s="11"/>
      <c r="L796" s="11" t="s">
        <v>4041</v>
      </c>
      <c r="M796" s="1"/>
      <c r="N796" s="11"/>
      <c r="O796" s="11" t="s">
        <v>4042</v>
      </c>
      <c r="P796" s="1"/>
      <c r="Q796" s="1"/>
      <c r="R796" s="11"/>
      <c r="S796" s="2">
        <f>CONSOLIDADO_2026[[#This Row],[Hora final]]-CONSOLIDADO_2026[[#This Row],[Hora inic]]</f>
        <v>0</v>
      </c>
    </row>
    <row r="797" spans="1:19" hidden="1" x14ac:dyDescent="0.25">
      <c r="A797" t="s">
        <v>4178</v>
      </c>
      <c r="B797">
        <v>1005424850</v>
      </c>
      <c r="C797" t="s">
        <v>95</v>
      </c>
      <c r="D797" s="11" t="s">
        <v>82</v>
      </c>
      <c r="E797" s="11" t="s">
        <v>4045</v>
      </c>
      <c r="F797" s="11" t="s">
        <v>16</v>
      </c>
      <c r="G797" s="1">
        <v>46238</v>
      </c>
      <c r="H797" s="1">
        <v>46262</v>
      </c>
      <c r="I797" s="2"/>
      <c r="J797" s="2"/>
      <c r="K797" s="11"/>
      <c r="L797" s="11" t="s">
        <v>4041</v>
      </c>
      <c r="M797" s="1"/>
      <c r="N797" s="11"/>
      <c r="O797" s="11" t="s">
        <v>4042</v>
      </c>
      <c r="P797" s="1"/>
      <c r="Q797" s="1"/>
      <c r="R797" s="11"/>
      <c r="S797" s="2">
        <f>CONSOLIDADO_2026[[#This Row],[Hora final]]-CONSOLIDADO_2026[[#This Row],[Hora inic]]</f>
        <v>0</v>
      </c>
    </row>
    <row r="798" spans="1:19" hidden="1" x14ac:dyDescent="0.25">
      <c r="A798" t="s">
        <v>4178</v>
      </c>
      <c r="B798">
        <v>1001137222</v>
      </c>
      <c r="C798" t="s">
        <v>2908</v>
      </c>
      <c r="D798" s="11" t="s">
        <v>102</v>
      </c>
      <c r="E798" s="11" t="s">
        <v>4046</v>
      </c>
      <c r="F798" s="11" t="s">
        <v>4140</v>
      </c>
      <c r="G798" s="1">
        <v>46246</v>
      </c>
      <c r="H798" s="1">
        <v>46246</v>
      </c>
      <c r="I798" s="2">
        <v>0.54166666666666663</v>
      </c>
      <c r="J798" s="2">
        <v>0.875</v>
      </c>
      <c r="K798" s="11" t="s">
        <v>17</v>
      </c>
      <c r="L798" s="11" t="s">
        <v>18</v>
      </c>
      <c r="M798" s="1"/>
      <c r="N798" s="11"/>
      <c r="O798" s="11" t="s">
        <v>4042</v>
      </c>
      <c r="P798" s="1"/>
      <c r="Q798" s="1"/>
      <c r="R798" s="11"/>
      <c r="S798" s="2">
        <f>CONSOLIDADO_2026[[#This Row],[Hora final]]-CONSOLIDADO_2026[[#This Row],[Hora inic]]</f>
        <v>0.33333333333333337</v>
      </c>
    </row>
    <row r="799" spans="1:19" hidden="1" x14ac:dyDescent="0.25">
      <c r="A799" t="s">
        <v>4178</v>
      </c>
      <c r="B799">
        <v>1152221372</v>
      </c>
      <c r="C799" t="s">
        <v>2363</v>
      </c>
      <c r="D799" s="11" t="s">
        <v>139</v>
      </c>
      <c r="E799" s="11" t="s">
        <v>4040</v>
      </c>
      <c r="F799" s="11" t="s">
        <v>158</v>
      </c>
      <c r="G799" s="1">
        <v>46230</v>
      </c>
      <c r="H799" s="1">
        <v>46230</v>
      </c>
      <c r="I799" s="2">
        <v>0.25</v>
      </c>
      <c r="J799" s="2">
        <v>0.54166666666666663</v>
      </c>
      <c r="K799" s="11" t="s">
        <v>119</v>
      </c>
      <c r="L799" s="11" t="s">
        <v>120</v>
      </c>
      <c r="M799" s="1"/>
      <c r="N799" s="11"/>
      <c r="O799" s="11" t="s">
        <v>21</v>
      </c>
      <c r="P799" s="1"/>
      <c r="Q799" s="1"/>
      <c r="R799" s="11"/>
      <c r="S799" s="2">
        <f>CONSOLIDADO_2026[[#This Row],[Hora final]]-CONSOLIDADO_2026[[#This Row],[Hora inic]]</f>
        <v>0.29166666666666663</v>
      </c>
    </row>
    <row r="800" spans="1:19" hidden="1" x14ac:dyDescent="0.25">
      <c r="A800" t="s">
        <v>4178</v>
      </c>
      <c r="B800">
        <v>1094275204</v>
      </c>
      <c r="C800" t="s">
        <v>1879</v>
      </c>
      <c r="D800" s="11" t="s">
        <v>272</v>
      </c>
      <c r="E800" s="11" t="s">
        <v>4056</v>
      </c>
      <c r="F800" s="11" t="s">
        <v>4140</v>
      </c>
      <c r="G800" s="1">
        <v>46246</v>
      </c>
      <c r="H800" s="1">
        <v>46246</v>
      </c>
      <c r="I800" s="2">
        <v>0.58333333333333337</v>
      </c>
      <c r="J800" s="2">
        <v>0.875</v>
      </c>
      <c r="K800" s="11" t="s">
        <v>3662</v>
      </c>
      <c r="L800" s="11" t="s">
        <v>3663</v>
      </c>
      <c r="M800" s="1"/>
      <c r="N800" s="11"/>
      <c r="O800" s="11" t="s">
        <v>4042</v>
      </c>
      <c r="P800" s="1"/>
      <c r="Q800" s="1"/>
      <c r="R800" s="11"/>
      <c r="S800" s="2">
        <f>CONSOLIDADO_2026[[#This Row],[Hora final]]-CONSOLIDADO_2026[[#This Row],[Hora inic]]</f>
        <v>0.29166666666666663</v>
      </c>
    </row>
    <row r="801" spans="1:19" hidden="1" x14ac:dyDescent="0.25">
      <c r="A801" t="s">
        <v>4178</v>
      </c>
      <c r="B801">
        <v>1001479648</v>
      </c>
      <c r="C801" t="s">
        <v>2970</v>
      </c>
      <c r="D801" s="11" t="s">
        <v>344</v>
      </c>
      <c r="E801" s="11" t="s">
        <v>4056</v>
      </c>
      <c r="F801" s="11" t="s">
        <v>4140</v>
      </c>
      <c r="G801" s="1">
        <v>46245</v>
      </c>
      <c r="H801" s="1">
        <v>46245</v>
      </c>
      <c r="I801" s="2"/>
      <c r="J801" s="2"/>
      <c r="K801" s="11"/>
      <c r="L801" s="11" t="s">
        <v>4041</v>
      </c>
      <c r="M801" s="1"/>
      <c r="N801" s="11"/>
      <c r="O801" s="11" t="s">
        <v>4042</v>
      </c>
      <c r="P801" s="1"/>
      <c r="Q801" s="1"/>
      <c r="R801" s="11"/>
      <c r="S801" s="2">
        <f>CONSOLIDADO_2026[[#This Row],[Hora final]]-CONSOLIDADO_2026[[#This Row],[Hora inic]]</f>
        <v>0</v>
      </c>
    </row>
    <row r="802" spans="1:19" hidden="1" x14ac:dyDescent="0.25">
      <c r="A802" t="s">
        <v>4178</v>
      </c>
      <c r="B802">
        <v>1004960056</v>
      </c>
      <c r="C802" t="s">
        <v>644</v>
      </c>
      <c r="D802" s="11" t="s">
        <v>634</v>
      </c>
      <c r="E802" s="11" t="s">
        <v>4045</v>
      </c>
      <c r="F802" s="11" t="s">
        <v>4091</v>
      </c>
      <c r="G802" s="1">
        <v>46246</v>
      </c>
      <c r="H802" s="1">
        <v>46247</v>
      </c>
      <c r="I802" s="2">
        <v>0.25</v>
      </c>
      <c r="J802" s="2">
        <v>0.54166666666666663</v>
      </c>
      <c r="K802" s="11" t="s">
        <v>213</v>
      </c>
      <c r="L802" s="11" t="s">
        <v>214</v>
      </c>
      <c r="M802" s="1"/>
      <c r="N802" s="11"/>
      <c r="O802" s="11" t="s">
        <v>21</v>
      </c>
      <c r="P802" s="1"/>
      <c r="Q802" s="1"/>
      <c r="R802" s="11"/>
      <c r="S802" s="2">
        <f>CONSOLIDADO_2026[[#This Row],[Hora final]]-CONSOLIDADO_2026[[#This Row],[Hora inic]]</f>
        <v>0.29166666666666663</v>
      </c>
    </row>
    <row r="803" spans="1:19" hidden="1" x14ac:dyDescent="0.25">
      <c r="A803" t="s">
        <v>4178</v>
      </c>
      <c r="B803">
        <v>1017264032</v>
      </c>
      <c r="C803" t="s">
        <v>54</v>
      </c>
      <c r="D803" s="11" t="s">
        <v>55</v>
      </c>
      <c r="E803" s="11" t="s">
        <v>4047</v>
      </c>
      <c r="F803" s="11" t="s">
        <v>16</v>
      </c>
      <c r="G803" s="1">
        <v>46229</v>
      </c>
      <c r="H803" s="1">
        <v>46258</v>
      </c>
      <c r="I803" s="2">
        <v>0.25</v>
      </c>
      <c r="J803" s="2">
        <v>0.58333333333333337</v>
      </c>
      <c r="K803" s="11"/>
      <c r="L803" s="11" t="s">
        <v>327</v>
      </c>
      <c r="M803" s="1"/>
      <c r="N803" s="11"/>
      <c r="O803" s="11" t="s">
        <v>4042</v>
      </c>
      <c r="P803" s="1"/>
      <c r="Q803" s="1"/>
      <c r="R803" s="11"/>
      <c r="S803" s="2">
        <f>CONSOLIDADO_2026[[#This Row],[Hora final]]-CONSOLIDADO_2026[[#This Row],[Hora inic]]</f>
        <v>0.33333333333333337</v>
      </c>
    </row>
    <row r="804" spans="1:19" hidden="1" x14ac:dyDescent="0.25">
      <c r="A804" t="s">
        <v>4178</v>
      </c>
      <c r="B804">
        <v>1071169507</v>
      </c>
      <c r="C804" t="s">
        <v>161</v>
      </c>
      <c r="D804" s="11" t="s">
        <v>162</v>
      </c>
      <c r="E804" s="11" t="s">
        <v>4056</v>
      </c>
      <c r="F804" s="11" t="s">
        <v>92</v>
      </c>
      <c r="G804" s="1">
        <v>46242</v>
      </c>
      <c r="H804" s="1">
        <v>46247</v>
      </c>
      <c r="I804" s="2">
        <v>0.25</v>
      </c>
      <c r="J804" s="2">
        <v>0.58333333333333337</v>
      </c>
      <c r="K804" s="11" t="s">
        <v>163</v>
      </c>
      <c r="L804" s="11" t="s">
        <v>164</v>
      </c>
      <c r="M804" s="1"/>
      <c r="N804" s="11"/>
      <c r="O804" s="11" t="s">
        <v>21</v>
      </c>
      <c r="P804" s="1"/>
      <c r="Q804" s="1"/>
      <c r="R804" s="11"/>
      <c r="S804" s="2">
        <f>CONSOLIDADO_2026[[#This Row],[Hora final]]-CONSOLIDADO_2026[[#This Row],[Hora inic]]</f>
        <v>0.33333333333333337</v>
      </c>
    </row>
    <row r="805" spans="1:19" hidden="1" x14ac:dyDescent="0.25">
      <c r="A805" t="s">
        <v>4178</v>
      </c>
      <c r="B805">
        <v>1036132488</v>
      </c>
      <c r="C805" t="s">
        <v>89</v>
      </c>
      <c r="D805" s="11" t="s">
        <v>59</v>
      </c>
      <c r="E805" s="11" t="s">
        <v>4047</v>
      </c>
      <c r="F805" s="11" t="s">
        <v>16</v>
      </c>
      <c r="G805" s="1">
        <v>46227</v>
      </c>
      <c r="H805" s="1">
        <v>46246</v>
      </c>
      <c r="I805" s="2">
        <v>0.25</v>
      </c>
      <c r="J805" s="2">
        <v>0.58333333333333337</v>
      </c>
      <c r="K805" s="11" t="s">
        <v>85</v>
      </c>
      <c r="L805" s="11" t="s">
        <v>86</v>
      </c>
      <c r="M805" s="1"/>
      <c r="N805" s="11"/>
      <c r="O805" s="11" t="s">
        <v>21</v>
      </c>
      <c r="P805" s="1"/>
      <c r="Q805" s="1"/>
      <c r="R805" s="11"/>
      <c r="S805" s="2">
        <f>CONSOLIDADO_2026[[#This Row],[Hora final]]-CONSOLIDADO_2026[[#This Row],[Hora inic]]</f>
        <v>0.33333333333333337</v>
      </c>
    </row>
    <row r="806" spans="1:19" hidden="1" x14ac:dyDescent="0.25">
      <c r="A806" t="s">
        <v>4178</v>
      </c>
      <c r="B806">
        <v>43558465</v>
      </c>
      <c r="C806" t="s">
        <v>71</v>
      </c>
      <c r="D806" s="11" t="s">
        <v>55</v>
      </c>
      <c r="E806" s="11" t="s">
        <v>4047</v>
      </c>
      <c r="F806" s="11" t="s">
        <v>16</v>
      </c>
      <c r="G806" s="1">
        <v>46226</v>
      </c>
      <c r="H806" s="1">
        <v>46246</v>
      </c>
      <c r="I806" s="2">
        <v>0.58333333333333337</v>
      </c>
      <c r="J806" s="2">
        <v>0.875</v>
      </c>
      <c r="K806" s="11"/>
      <c r="L806" s="11" t="s">
        <v>327</v>
      </c>
      <c r="M806" s="1"/>
      <c r="N806" s="11"/>
      <c r="O806" s="11" t="s">
        <v>4042</v>
      </c>
      <c r="P806" s="1"/>
      <c r="Q806" s="1"/>
      <c r="R806" s="11"/>
      <c r="S806" s="2">
        <f>CONSOLIDADO_2026[[#This Row],[Hora final]]-CONSOLIDADO_2026[[#This Row],[Hora inic]]</f>
        <v>0.29166666666666663</v>
      </c>
    </row>
    <row r="807" spans="1:19" hidden="1" x14ac:dyDescent="0.25">
      <c r="A807" t="s">
        <v>4178</v>
      </c>
      <c r="B807">
        <v>1037631989</v>
      </c>
      <c r="C807" t="s">
        <v>27</v>
      </c>
      <c r="D807" s="11" t="s">
        <v>28</v>
      </c>
      <c r="E807" s="11" t="s">
        <v>4046</v>
      </c>
      <c r="F807" s="11" t="s">
        <v>16</v>
      </c>
      <c r="G807" s="1">
        <v>46226</v>
      </c>
      <c r="H807" s="1">
        <v>46255</v>
      </c>
      <c r="I807" s="2">
        <v>0.25</v>
      </c>
      <c r="J807" s="2">
        <v>0.54166666666666663</v>
      </c>
      <c r="K807" s="11"/>
      <c r="L807" s="11" t="s">
        <v>327</v>
      </c>
      <c r="M807" s="1"/>
      <c r="N807" s="11"/>
      <c r="O807" s="11" t="s">
        <v>4042</v>
      </c>
      <c r="P807" s="1"/>
      <c r="Q807" s="1"/>
      <c r="R807" s="11"/>
      <c r="S807" s="2">
        <f>CONSOLIDADO_2026[[#This Row],[Hora final]]-CONSOLIDADO_2026[[#This Row],[Hora inic]]</f>
        <v>0.29166666666666663</v>
      </c>
    </row>
    <row r="808" spans="1:19" hidden="1" x14ac:dyDescent="0.25">
      <c r="A808" t="s">
        <v>4178</v>
      </c>
      <c r="B808">
        <v>1043006106</v>
      </c>
      <c r="C808" t="s">
        <v>202</v>
      </c>
      <c r="D808" s="11" t="s">
        <v>64</v>
      </c>
      <c r="E808" s="11" t="s">
        <v>4046</v>
      </c>
      <c r="F808" s="11" t="s">
        <v>16</v>
      </c>
      <c r="G808" s="1">
        <v>46219</v>
      </c>
      <c r="H808" s="1">
        <v>46248</v>
      </c>
      <c r="I808" s="2">
        <v>0.25</v>
      </c>
      <c r="J808" s="2">
        <v>0.58333333333333337</v>
      </c>
      <c r="K808" s="11"/>
      <c r="L808" s="11" t="s">
        <v>327</v>
      </c>
      <c r="M808" s="1"/>
      <c r="N808" s="11"/>
      <c r="O808" s="11" t="s">
        <v>4042</v>
      </c>
      <c r="P808" s="1"/>
      <c r="Q808" s="1"/>
      <c r="R808" s="11"/>
      <c r="S808" s="2">
        <f>CONSOLIDADO_2026[[#This Row],[Hora final]]-CONSOLIDADO_2026[[#This Row],[Hora inic]]</f>
        <v>0.33333333333333337</v>
      </c>
    </row>
    <row r="809" spans="1:19" hidden="1" x14ac:dyDescent="0.25">
      <c r="A809" t="s">
        <v>4178</v>
      </c>
      <c r="B809">
        <v>1037638426</v>
      </c>
      <c r="C809" t="s">
        <v>31</v>
      </c>
      <c r="D809" s="11" t="s">
        <v>28</v>
      </c>
      <c r="E809" s="11" t="s">
        <v>4046</v>
      </c>
      <c r="F809" s="11" t="s">
        <v>24</v>
      </c>
      <c r="G809" s="1">
        <v>46230</v>
      </c>
      <c r="H809" s="1">
        <v>46262</v>
      </c>
      <c r="I809" s="2">
        <v>0.54166666666666663</v>
      </c>
      <c r="J809" s="2">
        <v>0.875</v>
      </c>
      <c r="K809" s="11" t="s">
        <v>222</v>
      </c>
      <c r="L809" s="11" t="s">
        <v>223</v>
      </c>
      <c r="M809" s="1"/>
      <c r="N809" s="11"/>
      <c r="O809" s="11" t="s">
        <v>21</v>
      </c>
      <c r="P809" s="1"/>
      <c r="Q809" s="1"/>
      <c r="R809" s="11"/>
      <c r="S809" s="2">
        <f>CONSOLIDADO_2026[[#This Row],[Hora final]]-CONSOLIDADO_2026[[#This Row],[Hora inic]]</f>
        <v>0.33333333333333337</v>
      </c>
    </row>
    <row r="810" spans="1:19" hidden="1" x14ac:dyDescent="0.25">
      <c r="A810" t="s">
        <v>4178</v>
      </c>
      <c r="B810">
        <v>1121506548</v>
      </c>
      <c r="C810" t="s">
        <v>38</v>
      </c>
      <c r="D810" s="11" t="s">
        <v>39</v>
      </c>
      <c r="E810" s="11" t="s">
        <v>4046</v>
      </c>
      <c r="F810" s="11" t="s">
        <v>36</v>
      </c>
      <c r="G810" s="1">
        <v>46217</v>
      </c>
      <c r="H810" s="1">
        <v>46342</v>
      </c>
      <c r="I810" s="2">
        <v>0.25</v>
      </c>
      <c r="J810" s="2">
        <v>0.58333333333333337</v>
      </c>
      <c r="K810" s="11" t="s">
        <v>303</v>
      </c>
      <c r="L810" s="11" t="s">
        <v>304</v>
      </c>
      <c r="M810" s="1"/>
      <c r="N810" s="11"/>
      <c r="O810" s="11" t="s">
        <v>21</v>
      </c>
      <c r="P810" s="1"/>
      <c r="Q810" s="1"/>
      <c r="R810" s="11"/>
      <c r="S810" s="2">
        <f>CONSOLIDADO_2026[[#This Row],[Hora final]]-CONSOLIDADO_2026[[#This Row],[Hora inic]]</f>
        <v>0.33333333333333337</v>
      </c>
    </row>
    <row r="811" spans="1:19" hidden="1" x14ac:dyDescent="0.25">
      <c r="A811" t="s">
        <v>4178</v>
      </c>
      <c r="B811">
        <v>1143460426</v>
      </c>
      <c r="C811" t="s">
        <v>4069</v>
      </c>
      <c r="D811" s="11" t="s">
        <v>64</v>
      </c>
      <c r="E811" s="11" t="s">
        <v>4046</v>
      </c>
      <c r="F811" s="11" t="s">
        <v>4050</v>
      </c>
      <c r="G811" s="1">
        <v>46195</v>
      </c>
      <c r="H811" s="1">
        <v>46198</v>
      </c>
      <c r="I811" s="2">
        <v>0.25</v>
      </c>
      <c r="J811" s="2">
        <v>0.54166666666666663</v>
      </c>
      <c r="K811" s="11" t="s">
        <v>236</v>
      </c>
      <c r="L811" s="11" t="s">
        <v>237</v>
      </c>
      <c r="M811" s="1"/>
      <c r="N811" s="11"/>
      <c r="O811" s="11" t="s">
        <v>21</v>
      </c>
      <c r="P811" s="1"/>
      <c r="Q811" s="1"/>
      <c r="R811" s="11"/>
      <c r="S811" s="2">
        <f>CONSOLIDADO_2026[[#This Row],[Hora final]]-CONSOLIDADO_2026[[#This Row],[Hora inic]]</f>
        <v>0.29166666666666663</v>
      </c>
    </row>
    <row r="812" spans="1:19" hidden="1" x14ac:dyDescent="0.25">
      <c r="A812" t="s">
        <v>4178</v>
      </c>
      <c r="B812">
        <v>1001897056</v>
      </c>
      <c r="C812" t="s">
        <v>334</v>
      </c>
      <c r="D812" s="11" t="s">
        <v>139</v>
      </c>
      <c r="E812" s="11" t="s">
        <v>4040</v>
      </c>
      <c r="F812" s="11" t="s">
        <v>16</v>
      </c>
      <c r="G812" s="1">
        <v>46245</v>
      </c>
      <c r="H812" s="1">
        <v>46249</v>
      </c>
      <c r="I812" s="2">
        <v>0.54166666666666663</v>
      </c>
      <c r="J812" s="2">
        <v>0.875</v>
      </c>
      <c r="K812" s="11"/>
      <c r="L812" s="11" t="s">
        <v>327</v>
      </c>
      <c r="M812" s="1"/>
      <c r="N812" s="11"/>
      <c r="O812" s="11" t="s">
        <v>4042</v>
      </c>
      <c r="P812" s="1"/>
      <c r="Q812" s="1"/>
      <c r="R812" s="11"/>
      <c r="S812" s="2">
        <f>CONSOLIDADO_2026[[#This Row],[Hora final]]-CONSOLIDADO_2026[[#This Row],[Hora inic]]</f>
        <v>0.33333333333333337</v>
      </c>
    </row>
    <row r="813" spans="1:19" hidden="1" x14ac:dyDescent="0.25">
      <c r="A813" t="s">
        <v>4178</v>
      </c>
      <c r="B813">
        <v>1098777544</v>
      </c>
      <c r="C813" t="s">
        <v>131</v>
      </c>
      <c r="D813" s="11" t="s">
        <v>132</v>
      </c>
      <c r="E813" s="11" t="s">
        <v>4040</v>
      </c>
      <c r="F813" s="11" t="s">
        <v>16</v>
      </c>
      <c r="G813" s="1">
        <v>46217</v>
      </c>
      <c r="H813" s="1">
        <v>46246</v>
      </c>
      <c r="I813" s="2">
        <v>0.25</v>
      </c>
      <c r="J813" s="2">
        <v>0.54166666666666663</v>
      </c>
      <c r="K813" s="11"/>
      <c r="L813" s="11" t="s">
        <v>327</v>
      </c>
      <c r="M813" s="1"/>
      <c r="N813" s="11"/>
      <c r="O813" s="11" t="s">
        <v>4042</v>
      </c>
      <c r="P813" s="1"/>
      <c r="Q813" s="1"/>
      <c r="R813" s="11"/>
      <c r="S813" s="2">
        <f>CONSOLIDADO_2026[[#This Row],[Hora final]]-CONSOLIDADO_2026[[#This Row],[Hora inic]]</f>
        <v>0.29166666666666663</v>
      </c>
    </row>
    <row r="814" spans="1:19" hidden="1" x14ac:dyDescent="0.25">
      <c r="A814" t="s">
        <v>4178</v>
      </c>
      <c r="B814">
        <v>1000416307</v>
      </c>
      <c r="C814" t="s">
        <v>3062</v>
      </c>
      <c r="D814" s="11" t="s">
        <v>132</v>
      </c>
      <c r="E814" s="11" t="s">
        <v>4040</v>
      </c>
      <c r="F814" s="11" t="s">
        <v>16</v>
      </c>
      <c r="G814" s="1">
        <v>46245</v>
      </c>
      <c r="H814" s="1">
        <v>46246</v>
      </c>
      <c r="I814" s="2">
        <v>0.25</v>
      </c>
      <c r="J814" s="2">
        <v>0.54166666666666663</v>
      </c>
      <c r="K814" s="11" t="s">
        <v>116</v>
      </c>
      <c r="L814" s="11" t="s">
        <v>117</v>
      </c>
      <c r="M814" s="1"/>
      <c r="N814" s="11"/>
      <c r="O814" s="11" t="s">
        <v>21</v>
      </c>
      <c r="P814" s="1"/>
      <c r="Q814" s="1"/>
      <c r="R814" s="11"/>
      <c r="S814" s="2">
        <f>CONSOLIDADO_2026[[#This Row],[Hora final]]-CONSOLIDADO_2026[[#This Row],[Hora inic]]</f>
        <v>0.29166666666666663</v>
      </c>
    </row>
    <row r="815" spans="1:19" hidden="1" x14ac:dyDescent="0.25">
      <c r="A815" t="s">
        <v>4178</v>
      </c>
      <c r="B815">
        <v>1052974971</v>
      </c>
      <c r="C815" t="s">
        <v>854</v>
      </c>
      <c r="D815" s="11" t="s">
        <v>176</v>
      </c>
      <c r="E815" s="11" t="s">
        <v>4040</v>
      </c>
      <c r="F815" s="11" t="s">
        <v>16</v>
      </c>
      <c r="G815" s="1">
        <v>46245</v>
      </c>
      <c r="H815" s="1">
        <v>46245</v>
      </c>
      <c r="I815" s="2">
        <v>0.29166666666666669</v>
      </c>
      <c r="J815" s="2">
        <v>0.66666666666666663</v>
      </c>
      <c r="K815" s="11"/>
      <c r="L815" s="11" t="s">
        <v>4041</v>
      </c>
      <c r="M815" s="1"/>
      <c r="N815" s="11"/>
      <c r="O815" s="11" t="s">
        <v>4042</v>
      </c>
      <c r="P815" s="1"/>
      <c r="Q815" s="1"/>
      <c r="R815" s="11"/>
      <c r="S815" s="2">
        <f>CONSOLIDADO_2026[[#This Row],[Hora final]]-CONSOLIDADO_2026[[#This Row],[Hora inic]]</f>
        <v>0.37499999999999994</v>
      </c>
    </row>
    <row r="816" spans="1:19" hidden="1" x14ac:dyDescent="0.25">
      <c r="A816" t="s">
        <v>4178</v>
      </c>
      <c r="B816">
        <v>1124014714</v>
      </c>
      <c r="C816" t="s">
        <v>2212</v>
      </c>
      <c r="D816" s="11" t="s">
        <v>421</v>
      </c>
      <c r="E816" s="11" t="s">
        <v>4047</v>
      </c>
      <c r="F816" s="11" t="s">
        <v>16</v>
      </c>
      <c r="G816" s="1">
        <v>46244</v>
      </c>
      <c r="H816" s="1">
        <v>46245</v>
      </c>
      <c r="I816" s="2">
        <v>0.54166666666666663</v>
      </c>
      <c r="J816" s="2">
        <v>0.875</v>
      </c>
      <c r="K816" s="11"/>
      <c r="L816" s="11" t="s">
        <v>4041</v>
      </c>
      <c r="M816" s="1"/>
      <c r="N816" s="11"/>
      <c r="O816" s="11" t="s">
        <v>4042</v>
      </c>
      <c r="P816" s="1"/>
      <c r="Q816" s="1"/>
      <c r="R816" s="11"/>
      <c r="S816" s="2">
        <f>CONSOLIDADO_2026[[#This Row],[Hora final]]-CONSOLIDADO_2026[[#This Row],[Hora inic]]</f>
        <v>0.33333333333333337</v>
      </c>
    </row>
    <row r="817" spans="1:19" hidden="1" x14ac:dyDescent="0.25">
      <c r="A817" t="s">
        <v>4178</v>
      </c>
      <c r="B817">
        <v>1193584838</v>
      </c>
      <c r="C817" t="s">
        <v>3000</v>
      </c>
      <c r="D817" s="11" t="s">
        <v>59</v>
      </c>
      <c r="E817" s="11" t="s">
        <v>4047</v>
      </c>
      <c r="F817" s="11" t="s">
        <v>16</v>
      </c>
      <c r="G817" s="1">
        <v>46245</v>
      </c>
      <c r="H817" s="1">
        <v>46247</v>
      </c>
      <c r="I817" s="2">
        <v>0.54166666666666663</v>
      </c>
      <c r="J817" s="2">
        <v>0.83333333333333337</v>
      </c>
      <c r="K817" s="11"/>
      <c r="L817" s="11" t="s">
        <v>4060</v>
      </c>
      <c r="M817" s="1"/>
      <c r="N817" s="11"/>
      <c r="O817" s="11" t="s">
        <v>4042</v>
      </c>
      <c r="P817" s="1"/>
      <c r="Q817" s="1"/>
      <c r="R817" s="11"/>
      <c r="S817" s="2">
        <f>CONSOLIDADO_2026[[#This Row],[Hora final]]-CONSOLIDADO_2026[[#This Row],[Hora inic]]</f>
        <v>0.29166666666666674</v>
      </c>
    </row>
    <row r="818" spans="1:19" hidden="1" x14ac:dyDescent="0.25">
      <c r="A818" t="s">
        <v>4178</v>
      </c>
      <c r="B818">
        <v>1020470720</v>
      </c>
      <c r="C818" t="s">
        <v>620</v>
      </c>
      <c r="D818" s="11" t="s">
        <v>619</v>
      </c>
      <c r="E818" s="11" t="s">
        <v>4045</v>
      </c>
      <c r="F818" s="11" t="s">
        <v>16</v>
      </c>
      <c r="G818" s="1">
        <v>46245</v>
      </c>
      <c r="H818" s="1">
        <v>46246</v>
      </c>
      <c r="I818" s="2">
        <v>0.25</v>
      </c>
      <c r="J818" s="2">
        <v>0.58333333333333337</v>
      </c>
      <c r="K818" s="11"/>
      <c r="L818" s="11" t="s">
        <v>327</v>
      </c>
      <c r="M818" s="1"/>
      <c r="N818" s="11"/>
      <c r="O818" s="11" t="s">
        <v>4042</v>
      </c>
      <c r="P818" s="1"/>
      <c r="Q818" s="1"/>
      <c r="R818" s="11"/>
      <c r="S818" s="2">
        <f>CONSOLIDADO_2026[[#This Row],[Hora final]]-CONSOLIDADO_2026[[#This Row],[Hora inic]]</f>
        <v>0.33333333333333337</v>
      </c>
    </row>
    <row r="819" spans="1:19" hidden="1" x14ac:dyDescent="0.25">
      <c r="A819" t="s">
        <v>4178</v>
      </c>
      <c r="B819">
        <v>1037671907</v>
      </c>
      <c r="C819" t="s">
        <v>4164</v>
      </c>
      <c r="D819" s="11" t="s">
        <v>82</v>
      </c>
      <c r="E819" s="11" t="s">
        <v>4045</v>
      </c>
      <c r="F819" s="11" t="s">
        <v>4050</v>
      </c>
      <c r="G819" s="1">
        <v>46245</v>
      </c>
      <c r="H819" s="1">
        <v>46247</v>
      </c>
      <c r="I819" s="2">
        <v>0.5</v>
      </c>
      <c r="J819" s="2">
        <v>0.83333333333333337</v>
      </c>
      <c r="K819" s="11"/>
      <c r="L819" s="11" t="s">
        <v>327</v>
      </c>
      <c r="M819" s="1"/>
      <c r="N819" s="11"/>
      <c r="O819" s="11" t="s">
        <v>4042</v>
      </c>
      <c r="P819" s="1"/>
      <c r="Q819" s="1"/>
      <c r="R819" s="11"/>
      <c r="S819" s="2">
        <f>CONSOLIDADO_2026[[#This Row],[Hora final]]-CONSOLIDADO_2026[[#This Row],[Hora inic]]</f>
        <v>0.33333333333333337</v>
      </c>
    </row>
    <row r="820" spans="1:19" hidden="1" x14ac:dyDescent="0.25">
      <c r="A820" t="s">
        <v>4178</v>
      </c>
      <c r="B820">
        <v>1039468657</v>
      </c>
      <c r="C820" t="s">
        <v>2389</v>
      </c>
      <c r="D820" s="11" t="s">
        <v>2069</v>
      </c>
      <c r="E820" s="11" t="s">
        <v>4046</v>
      </c>
      <c r="F820" s="11" t="s">
        <v>16</v>
      </c>
      <c r="G820" s="1">
        <v>46244</v>
      </c>
      <c r="H820" s="1">
        <v>46245</v>
      </c>
      <c r="I820" s="2"/>
      <c r="J820" s="2"/>
      <c r="K820" s="11"/>
      <c r="L820" s="11" t="s">
        <v>4041</v>
      </c>
      <c r="M820" s="1"/>
      <c r="N820" s="11"/>
      <c r="O820" s="11" t="s">
        <v>4042</v>
      </c>
      <c r="P820" s="1"/>
      <c r="Q820" s="1"/>
      <c r="R820" s="11"/>
      <c r="S820" s="2">
        <f>CONSOLIDADO_2026[[#This Row],[Hora final]]-CONSOLIDADO_2026[[#This Row],[Hora inic]]</f>
        <v>0</v>
      </c>
    </row>
    <row r="821" spans="1:19" hidden="1" x14ac:dyDescent="0.25">
      <c r="A821" t="s">
        <v>4178</v>
      </c>
      <c r="B821">
        <v>1102808787</v>
      </c>
      <c r="C821" t="s">
        <v>135</v>
      </c>
      <c r="D821" s="11" t="s">
        <v>39</v>
      </c>
      <c r="E821" s="11" t="s">
        <v>4046</v>
      </c>
      <c r="F821" s="11" t="s">
        <v>16</v>
      </c>
      <c r="G821" s="1">
        <v>46237</v>
      </c>
      <c r="H821" s="1">
        <v>46276</v>
      </c>
      <c r="I821" s="2">
        <v>0.25</v>
      </c>
      <c r="J821" s="2">
        <v>0.54166666666666663</v>
      </c>
      <c r="K821" s="11"/>
      <c r="L821" s="11" t="s">
        <v>327</v>
      </c>
      <c r="M821" s="1"/>
      <c r="N821" s="11"/>
      <c r="O821" s="11" t="s">
        <v>4042</v>
      </c>
      <c r="P821" s="1"/>
      <c r="Q821" s="1"/>
      <c r="R821" s="11"/>
      <c r="S821" s="2">
        <f>CONSOLIDADO_2026[[#This Row],[Hora final]]-CONSOLIDADO_2026[[#This Row],[Hora inic]]</f>
        <v>0.29166666666666663</v>
      </c>
    </row>
    <row r="822" spans="1:19" hidden="1" x14ac:dyDescent="0.25">
      <c r="A822" t="s">
        <v>4178</v>
      </c>
      <c r="B822">
        <v>1047503032</v>
      </c>
      <c r="C822" t="s">
        <v>3019</v>
      </c>
      <c r="D822" s="11" t="s">
        <v>162</v>
      </c>
      <c r="E822" s="11" t="s">
        <v>4056</v>
      </c>
      <c r="F822" s="11" t="s">
        <v>16</v>
      </c>
      <c r="G822" s="1">
        <v>46245</v>
      </c>
      <c r="H822" s="1">
        <v>46246</v>
      </c>
      <c r="I822" s="2">
        <v>0.25</v>
      </c>
      <c r="J822" s="2">
        <v>0.58333333333333337</v>
      </c>
      <c r="K822" s="11" t="s">
        <v>267</v>
      </c>
      <c r="L822" s="11" t="s">
        <v>268</v>
      </c>
      <c r="M822" s="1"/>
      <c r="N822" s="11"/>
      <c r="O822" s="11" t="s">
        <v>21</v>
      </c>
      <c r="P822" s="1"/>
      <c r="Q822" s="1"/>
      <c r="R822" s="11"/>
      <c r="S822" s="2">
        <f>CONSOLIDADO_2026[[#This Row],[Hora final]]-CONSOLIDADO_2026[[#This Row],[Hora inic]]</f>
        <v>0.33333333333333337</v>
      </c>
    </row>
    <row r="823" spans="1:19" hidden="1" x14ac:dyDescent="0.25">
      <c r="A823" t="s">
        <v>4178</v>
      </c>
      <c r="B823">
        <v>1036965348</v>
      </c>
      <c r="C823" t="s">
        <v>229</v>
      </c>
      <c r="D823" s="11" t="s">
        <v>4079</v>
      </c>
      <c r="E823" s="11" t="s">
        <v>4046</v>
      </c>
      <c r="F823" s="11" t="s">
        <v>4079</v>
      </c>
      <c r="G823" s="1">
        <v>46246</v>
      </c>
      <c r="H823" s="1">
        <v>46246</v>
      </c>
      <c r="I823" s="2">
        <v>0.25</v>
      </c>
      <c r="J823" s="2">
        <v>0.58333333333333337</v>
      </c>
      <c r="K823" s="11"/>
      <c r="L823" s="11" t="s">
        <v>339</v>
      </c>
      <c r="M823" s="1"/>
      <c r="N823" s="11"/>
      <c r="O823" s="11" t="s">
        <v>4042</v>
      </c>
      <c r="P823" s="1"/>
      <c r="Q823" s="1"/>
      <c r="R823" s="11"/>
      <c r="S823" s="2">
        <f>CONSOLIDADO_2026[[#This Row],[Hora final]]-CONSOLIDADO_2026[[#This Row],[Hora inic]]</f>
        <v>0.33333333333333337</v>
      </c>
    </row>
    <row r="824" spans="1:19" hidden="1" x14ac:dyDescent="0.25">
      <c r="A824" t="s">
        <v>4178</v>
      </c>
      <c r="B824">
        <v>1143373273</v>
      </c>
      <c r="C824" t="s">
        <v>2037</v>
      </c>
      <c r="D824" s="11" t="s">
        <v>272</v>
      </c>
      <c r="E824" s="11" t="s">
        <v>4056</v>
      </c>
      <c r="F824" s="11" t="s">
        <v>16</v>
      </c>
      <c r="G824" s="1">
        <v>46245</v>
      </c>
      <c r="H824" s="1">
        <v>46247</v>
      </c>
      <c r="I824" s="2">
        <v>0.54166666666666663</v>
      </c>
      <c r="J824" s="2">
        <v>0.875</v>
      </c>
      <c r="K824" s="11" t="s">
        <v>184</v>
      </c>
      <c r="L824" s="11" t="s">
        <v>185</v>
      </c>
      <c r="M824" s="1"/>
      <c r="N824" s="11"/>
      <c r="O824" s="11" t="s">
        <v>21</v>
      </c>
      <c r="P824" s="1"/>
      <c r="Q824" s="1"/>
      <c r="R824" s="11"/>
      <c r="S824" s="2">
        <f>CONSOLIDADO_2026[[#This Row],[Hora final]]-CONSOLIDADO_2026[[#This Row],[Hora inic]]</f>
        <v>0.33333333333333337</v>
      </c>
    </row>
    <row r="825" spans="1:19" hidden="1" x14ac:dyDescent="0.25">
      <c r="A825" t="s">
        <v>4178</v>
      </c>
      <c r="B825">
        <v>1085265026</v>
      </c>
      <c r="C825" t="s">
        <v>91</v>
      </c>
      <c r="D825" s="11" t="s">
        <v>55</v>
      </c>
      <c r="E825" s="11" t="s">
        <v>4047</v>
      </c>
      <c r="F825" s="11" t="s">
        <v>4165</v>
      </c>
      <c r="G825" s="1">
        <v>46245</v>
      </c>
      <c r="H825" s="1">
        <v>46249</v>
      </c>
      <c r="I825" s="2">
        <v>0.58333333333333337</v>
      </c>
      <c r="J825" s="2">
        <v>0.875</v>
      </c>
      <c r="K825" s="11" t="s">
        <v>199</v>
      </c>
      <c r="L825" s="11" t="s">
        <v>200</v>
      </c>
      <c r="M825" s="1"/>
      <c r="N825" s="11"/>
      <c r="O825" s="11" t="s">
        <v>21</v>
      </c>
      <c r="P825" s="1"/>
      <c r="Q825" s="1"/>
      <c r="R825" s="11"/>
      <c r="S825" s="2">
        <f>CONSOLIDADO_2026[[#This Row],[Hora final]]-CONSOLIDADO_2026[[#This Row],[Hora inic]]</f>
        <v>0.29166666666666663</v>
      </c>
    </row>
    <row r="826" spans="1:19" hidden="1" x14ac:dyDescent="0.25">
      <c r="A826" t="s">
        <v>4178</v>
      </c>
      <c r="B826">
        <v>1044393706</v>
      </c>
      <c r="C826" t="s">
        <v>908</v>
      </c>
      <c r="D826" s="11" t="s">
        <v>128</v>
      </c>
      <c r="E826" s="11" t="s">
        <v>4045</v>
      </c>
      <c r="F826" s="11" t="s">
        <v>16</v>
      </c>
      <c r="G826" s="1">
        <v>46245</v>
      </c>
      <c r="H826" s="1">
        <v>46246</v>
      </c>
      <c r="I826" s="2">
        <v>0.54166666666666663</v>
      </c>
      <c r="J826" s="2">
        <v>0.875</v>
      </c>
      <c r="K826" s="11"/>
      <c r="L826" s="11" t="s">
        <v>327</v>
      </c>
      <c r="M826" s="1"/>
      <c r="N826" s="11"/>
      <c r="O826" s="11" t="s">
        <v>4042</v>
      </c>
      <c r="P826" s="1"/>
      <c r="Q826" s="1"/>
      <c r="R826" s="11"/>
      <c r="S826" s="2">
        <f>CONSOLIDADO_2026[[#This Row],[Hora final]]-CONSOLIDADO_2026[[#This Row],[Hora inic]]</f>
        <v>0.33333333333333337</v>
      </c>
    </row>
    <row r="827" spans="1:19" hidden="1" x14ac:dyDescent="0.25">
      <c r="A827" t="s">
        <v>4178</v>
      </c>
      <c r="B827">
        <v>1037570349</v>
      </c>
      <c r="C827" t="s">
        <v>2818</v>
      </c>
      <c r="D827" s="11" t="s">
        <v>128</v>
      </c>
      <c r="E827" s="11" t="s">
        <v>4045</v>
      </c>
      <c r="F827" s="11" t="s">
        <v>16</v>
      </c>
      <c r="G827" s="1">
        <v>46245</v>
      </c>
      <c r="H827" s="1">
        <v>46246</v>
      </c>
      <c r="I827" s="2">
        <v>0.25</v>
      </c>
      <c r="J827" s="2">
        <v>0.54166666666666663</v>
      </c>
      <c r="K827" s="11"/>
      <c r="L827" s="11" t="s">
        <v>4060</v>
      </c>
      <c r="M827" s="1"/>
      <c r="N827" s="11"/>
      <c r="O827" s="11" t="s">
        <v>4042</v>
      </c>
      <c r="P827" s="1"/>
      <c r="Q827" s="1"/>
      <c r="R827" s="11"/>
      <c r="S827" s="2">
        <f>CONSOLIDADO_2026[[#This Row],[Hora final]]-CONSOLIDADO_2026[[#This Row],[Hora inic]]</f>
        <v>0.29166666666666663</v>
      </c>
    </row>
    <row r="828" spans="1:19" hidden="1" x14ac:dyDescent="0.25">
      <c r="A828" t="s">
        <v>4178</v>
      </c>
      <c r="B828">
        <v>1045718883</v>
      </c>
      <c r="C828" t="s">
        <v>34</v>
      </c>
      <c r="D828" s="11" t="s">
        <v>15</v>
      </c>
      <c r="E828" s="11" t="s">
        <v>4046</v>
      </c>
      <c r="F828" s="11" t="s">
        <v>36</v>
      </c>
      <c r="G828" s="1">
        <v>46245</v>
      </c>
      <c r="H828" s="1">
        <v>46340</v>
      </c>
      <c r="I828" s="2">
        <v>0.25</v>
      </c>
      <c r="J828" s="2">
        <v>0.54166666666666663</v>
      </c>
      <c r="K828" s="11" t="s">
        <v>150</v>
      </c>
      <c r="L828" s="11" t="s">
        <v>151</v>
      </c>
      <c r="M828" s="1"/>
      <c r="N828" s="11"/>
      <c r="O828" s="11" t="s">
        <v>21</v>
      </c>
      <c r="P828" s="1"/>
      <c r="Q828" s="1"/>
      <c r="R828" s="11"/>
      <c r="S828" s="2">
        <f>CONSOLIDADO_2026[[#This Row],[Hora final]]-CONSOLIDADO_2026[[#This Row],[Hora inic]]</f>
        <v>0.29166666666666663</v>
      </c>
    </row>
    <row r="829" spans="1:19" hidden="1" x14ac:dyDescent="0.25">
      <c r="A829" t="s">
        <v>4178</v>
      </c>
      <c r="B829">
        <v>1035876080</v>
      </c>
      <c r="C829" t="s">
        <v>123</v>
      </c>
      <c r="D829" s="11" t="s">
        <v>124</v>
      </c>
      <c r="E829" s="11" t="s">
        <v>4045</v>
      </c>
      <c r="F829" s="11" t="s">
        <v>16</v>
      </c>
      <c r="G829" s="1">
        <v>46246</v>
      </c>
      <c r="H829" s="1">
        <v>46254</v>
      </c>
      <c r="I829" s="2">
        <v>0.25</v>
      </c>
      <c r="J829" s="2">
        <v>0.54166666666666663</v>
      </c>
      <c r="K829" s="11"/>
      <c r="L829" s="11" t="s">
        <v>327</v>
      </c>
      <c r="M829" s="1"/>
      <c r="N829" s="11"/>
      <c r="O829" s="11" t="s">
        <v>4042</v>
      </c>
      <c r="P829" s="1"/>
      <c r="Q829" s="1"/>
      <c r="R829" s="11"/>
      <c r="S829" s="2">
        <f>CONSOLIDADO_2026[[#This Row],[Hora final]]-CONSOLIDADO_2026[[#This Row],[Hora inic]]</f>
        <v>0.29166666666666663</v>
      </c>
    </row>
    <row r="830" spans="1:19" hidden="1" x14ac:dyDescent="0.25">
      <c r="A830" t="s">
        <v>4178</v>
      </c>
      <c r="B830">
        <v>1094971283</v>
      </c>
      <c r="C830" t="s">
        <v>3374</v>
      </c>
      <c r="D830" s="11" t="s">
        <v>256</v>
      </c>
      <c r="E830" s="11" t="s">
        <v>4040</v>
      </c>
      <c r="F830" s="11" t="s">
        <v>4179</v>
      </c>
      <c r="G830" s="1">
        <v>46245</v>
      </c>
      <c r="H830" s="1">
        <v>46247</v>
      </c>
      <c r="I830" s="2">
        <v>0.25</v>
      </c>
      <c r="J830" s="2">
        <v>0.58333333333333337</v>
      </c>
      <c r="K830" s="11" t="s">
        <v>181</v>
      </c>
      <c r="L830" s="11" t="s">
        <v>182</v>
      </c>
      <c r="M830" s="1"/>
      <c r="N830" s="11"/>
      <c r="O830" s="11" t="s">
        <v>21</v>
      </c>
      <c r="P830" s="1"/>
      <c r="Q830" s="1"/>
      <c r="R830" s="11"/>
      <c r="S830" s="2">
        <f>CONSOLIDADO_2026[[#This Row],[Hora final]]-CONSOLIDADO_2026[[#This Row],[Hora inic]]</f>
        <v>0.33333333333333337</v>
      </c>
    </row>
    <row r="831" spans="1:19" hidden="1" x14ac:dyDescent="0.25">
      <c r="A831" t="s">
        <v>4178</v>
      </c>
      <c r="B831">
        <v>1037644923</v>
      </c>
      <c r="C831" t="s">
        <v>2677</v>
      </c>
      <c r="D831" s="11" t="s">
        <v>492</v>
      </c>
      <c r="E831" s="11" t="s">
        <v>4045</v>
      </c>
      <c r="F831" s="11" t="s">
        <v>16</v>
      </c>
      <c r="G831" s="1">
        <v>46247</v>
      </c>
      <c r="H831" s="1">
        <v>46247</v>
      </c>
      <c r="I831" s="2">
        <v>0.54166666666666663</v>
      </c>
      <c r="J831" s="2">
        <v>0.875</v>
      </c>
      <c r="K831" s="11"/>
      <c r="L831" s="11" t="s">
        <v>4060</v>
      </c>
      <c r="M831" s="1"/>
      <c r="N831" s="11"/>
      <c r="O831" s="11" t="s">
        <v>4042</v>
      </c>
      <c r="P831" s="1"/>
      <c r="Q831" s="1"/>
      <c r="R831" s="11"/>
      <c r="S831" s="2">
        <f>CONSOLIDADO_2026[[#This Row],[Hora final]]-CONSOLIDADO_2026[[#This Row],[Hora inic]]</f>
        <v>0.33333333333333337</v>
      </c>
    </row>
    <row r="832" spans="1:19" hidden="1" x14ac:dyDescent="0.25">
      <c r="A832" t="s">
        <v>4178</v>
      </c>
      <c r="B832">
        <v>1007223463</v>
      </c>
      <c r="C832" t="s">
        <v>561</v>
      </c>
      <c r="D832" s="11" t="s">
        <v>4079</v>
      </c>
      <c r="E832" s="11" t="s">
        <v>4056</v>
      </c>
      <c r="F832" s="11" t="s">
        <v>4079</v>
      </c>
      <c r="G832" s="1">
        <v>46246</v>
      </c>
      <c r="H832" s="1">
        <v>46246</v>
      </c>
      <c r="I832" s="2">
        <v>0.25</v>
      </c>
      <c r="J832" s="2">
        <v>0.58333333333333337</v>
      </c>
      <c r="K832" s="11"/>
      <c r="L832" s="11" t="s">
        <v>339</v>
      </c>
      <c r="M832" s="1"/>
      <c r="N832" s="11"/>
      <c r="O832" s="11" t="s">
        <v>4042</v>
      </c>
      <c r="P832" s="1"/>
      <c r="Q832" s="1"/>
      <c r="R832" s="11"/>
      <c r="S832" s="2">
        <f>CONSOLIDADO_2026[[#This Row],[Hora final]]-CONSOLIDADO_2026[[#This Row],[Hora inic]]</f>
        <v>0.33333333333333337</v>
      </c>
    </row>
    <row r="833" spans="1:19" hidden="1" x14ac:dyDescent="0.25">
      <c r="A833" t="s">
        <v>4178</v>
      </c>
      <c r="B833">
        <v>1098686151</v>
      </c>
      <c r="C833" t="s">
        <v>1882</v>
      </c>
      <c r="D833" s="11" t="s">
        <v>51</v>
      </c>
      <c r="E833" s="11" t="s">
        <v>4047</v>
      </c>
      <c r="F833" s="11" t="s">
        <v>16</v>
      </c>
      <c r="G833" s="1">
        <v>46246</v>
      </c>
      <c r="H833" s="1">
        <v>46248</v>
      </c>
      <c r="I833" s="2">
        <v>0.54166666666666663</v>
      </c>
      <c r="J833" s="2">
        <v>0.875</v>
      </c>
      <c r="K833" s="11"/>
      <c r="L833" s="11" t="s">
        <v>4060</v>
      </c>
      <c r="M833" s="1"/>
      <c r="N833" s="11"/>
      <c r="O833" s="11" t="s">
        <v>4042</v>
      </c>
      <c r="P833" s="1"/>
      <c r="Q833" s="1"/>
      <c r="R833" s="11"/>
      <c r="S833" s="2">
        <f>CONSOLIDADO_2026[[#This Row],[Hora final]]-CONSOLIDADO_2026[[#This Row],[Hora inic]]</f>
        <v>0.33333333333333337</v>
      </c>
    </row>
    <row r="834" spans="1:19" hidden="1" x14ac:dyDescent="0.25">
      <c r="A834" t="s">
        <v>4178</v>
      </c>
      <c r="B834">
        <v>1143267842</v>
      </c>
      <c r="C834" t="s">
        <v>1501</v>
      </c>
      <c r="D834" s="11" t="s">
        <v>128</v>
      </c>
      <c r="E834" s="11" t="s">
        <v>4045</v>
      </c>
      <c r="F834" s="11" t="s">
        <v>16</v>
      </c>
      <c r="G834" s="1">
        <v>46246</v>
      </c>
      <c r="H834" s="1">
        <v>46248</v>
      </c>
      <c r="I834" s="2">
        <v>0.58333333333333337</v>
      </c>
      <c r="J834" s="2">
        <v>0.875</v>
      </c>
      <c r="K834" s="11"/>
      <c r="L834" s="11" t="s">
        <v>4060</v>
      </c>
      <c r="M834" s="1"/>
      <c r="N834" s="11"/>
      <c r="O834" s="11" t="s">
        <v>4042</v>
      </c>
      <c r="P834" s="1"/>
      <c r="Q834" s="1"/>
      <c r="R834" s="11"/>
      <c r="S834" s="2">
        <f>CONSOLIDADO_2026[[#This Row],[Hora final]]-CONSOLIDADO_2026[[#This Row],[Hora inic]]</f>
        <v>0.29166666666666663</v>
      </c>
    </row>
    <row r="835" spans="1:19" hidden="1" x14ac:dyDescent="0.25">
      <c r="A835" t="s">
        <v>4178</v>
      </c>
      <c r="B835">
        <v>1152462704</v>
      </c>
      <c r="C835" t="s">
        <v>746</v>
      </c>
      <c r="D835" s="11" t="s">
        <v>132</v>
      </c>
      <c r="E835" s="11" t="s">
        <v>4040</v>
      </c>
      <c r="F835" s="11" t="s">
        <v>16</v>
      </c>
      <c r="G835" s="1">
        <v>46246</v>
      </c>
      <c r="H835" s="1">
        <v>46248</v>
      </c>
      <c r="I835" s="2">
        <v>0.25</v>
      </c>
      <c r="J835" s="2">
        <v>0.58333333333333337</v>
      </c>
      <c r="K835" s="11"/>
      <c r="L835" s="11" t="s">
        <v>4060</v>
      </c>
      <c r="M835" s="1"/>
      <c r="N835" s="11"/>
      <c r="O835" s="11" t="s">
        <v>4042</v>
      </c>
      <c r="P835" s="1"/>
      <c r="Q835" s="1"/>
      <c r="R835" s="11"/>
      <c r="S835" s="2">
        <f>CONSOLIDADO_2026[[#This Row],[Hora final]]-CONSOLIDADO_2026[[#This Row],[Hora inic]]</f>
        <v>0.33333333333333337</v>
      </c>
    </row>
    <row r="836" spans="1:19" hidden="1" x14ac:dyDescent="0.25">
      <c r="A836" t="s">
        <v>4178</v>
      </c>
      <c r="B836">
        <v>1082926383</v>
      </c>
      <c r="C836" t="s">
        <v>663</v>
      </c>
      <c r="D836" s="11" t="s">
        <v>132</v>
      </c>
      <c r="E836" s="11" t="s">
        <v>4040</v>
      </c>
      <c r="F836" s="11" t="s">
        <v>16</v>
      </c>
      <c r="G836" s="1">
        <v>46246</v>
      </c>
      <c r="H836" s="1">
        <v>46248</v>
      </c>
      <c r="I836" s="2">
        <v>0.58333333333333337</v>
      </c>
      <c r="J836" s="2">
        <v>0.875</v>
      </c>
      <c r="K836" s="11"/>
      <c r="L836" s="11" t="s">
        <v>327</v>
      </c>
      <c r="M836" s="1"/>
      <c r="N836" s="11"/>
      <c r="O836" s="11" t="s">
        <v>4042</v>
      </c>
      <c r="P836" s="1"/>
      <c r="Q836" s="1"/>
      <c r="R836" s="11"/>
      <c r="S836" s="2">
        <f>CONSOLIDADO_2026[[#This Row],[Hora final]]-CONSOLIDADO_2026[[#This Row],[Hora inic]]</f>
        <v>0.29166666666666663</v>
      </c>
    </row>
    <row r="837" spans="1:19" hidden="1" x14ac:dyDescent="0.25">
      <c r="A837" t="s">
        <v>4178</v>
      </c>
      <c r="B837">
        <v>59310511</v>
      </c>
      <c r="C837" t="s">
        <v>1323</v>
      </c>
      <c r="D837" s="11" t="s">
        <v>64</v>
      </c>
      <c r="E837" s="11" t="s">
        <v>4046</v>
      </c>
      <c r="F837" s="11" t="s">
        <v>16</v>
      </c>
      <c r="G837" s="1">
        <v>46246</v>
      </c>
      <c r="H837" s="1">
        <v>46246</v>
      </c>
      <c r="I837" s="2">
        <v>0.58333333333333337</v>
      </c>
      <c r="J837" s="2">
        <v>0.875</v>
      </c>
      <c r="K837" s="11"/>
      <c r="L837" s="11" t="s">
        <v>4060</v>
      </c>
      <c r="M837" s="1"/>
      <c r="N837" s="11"/>
      <c r="O837" s="11" t="s">
        <v>4042</v>
      </c>
      <c r="P837" s="1"/>
      <c r="Q837" s="1"/>
      <c r="R837" s="11"/>
      <c r="S837" s="2">
        <f>CONSOLIDADO_2026[[#This Row],[Hora final]]-CONSOLIDADO_2026[[#This Row],[Hora inic]]</f>
        <v>0.29166666666666663</v>
      </c>
    </row>
    <row r="838" spans="1:19" hidden="1" x14ac:dyDescent="0.25">
      <c r="A838" t="s">
        <v>4178</v>
      </c>
      <c r="B838">
        <v>1000532653</v>
      </c>
      <c r="C838" t="s">
        <v>1187</v>
      </c>
      <c r="D838" s="11" t="s">
        <v>132</v>
      </c>
      <c r="E838" s="11" t="s">
        <v>4040</v>
      </c>
      <c r="F838" s="11" t="s">
        <v>16</v>
      </c>
      <c r="G838" s="1">
        <v>46246</v>
      </c>
      <c r="H838" s="1">
        <v>46246</v>
      </c>
      <c r="I838" s="2">
        <v>0.58333333333333337</v>
      </c>
      <c r="J838" s="2">
        <v>0.875</v>
      </c>
      <c r="K838" s="11" t="s">
        <v>73</v>
      </c>
      <c r="L838" s="11" t="s">
        <v>74</v>
      </c>
      <c r="M838" s="1"/>
      <c r="N838" s="11"/>
      <c r="O838" s="11" t="s">
        <v>21</v>
      </c>
      <c r="P838" s="1"/>
      <c r="Q838" s="1"/>
      <c r="R838" s="11"/>
      <c r="S838" s="2">
        <f>CONSOLIDADO_2026[[#This Row],[Hora final]]-CONSOLIDADO_2026[[#This Row],[Hora inic]]</f>
        <v>0.29166666666666663</v>
      </c>
    </row>
    <row r="839" spans="1:19" hidden="1" x14ac:dyDescent="0.25">
      <c r="A839" t="s">
        <v>4178</v>
      </c>
      <c r="B839">
        <v>43986125</v>
      </c>
      <c r="C839" t="s">
        <v>1299</v>
      </c>
      <c r="D839" s="11" t="s">
        <v>55</v>
      </c>
      <c r="E839" s="11" t="s">
        <v>4047</v>
      </c>
      <c r="F839" s="11" t="s">
        <v>16</v>
      </c>
      <c r="G839" s="1">
        <v>46246</v>
      </c>
      <c r="H839" s="1">
        <v>46248</v>
      </c>
      <c r="I839" s="2">
        <v>0.58333333333333337</v>
      </c>
      <c r="J839" s="2">
        <v>0.875</v>
      </c>
      <c r="K839" s="11"/>
      <c r="L839" s="11" t="s">
        <v>4060</v>
      </c>
      <c r="M839" s="1"/>
      <c r="N839" s="11"/>
      <c r="O839" s="11" t="s">
        <v>4042</v>
      </c>
      <c r="P839" s="1"/>
      <c r="Q839" s="1"/>
      <c r="R839" s="11"/>
      <c r="S839" s="2">
        <f>CONSOLIDADO_2026[[#This Row],[Hora final]]-CONSOLIDADO_2026[[#This Row],[Hora inic]]</f>
        <v>0.29166666666666663</v>
      </c>
    </row>
    <row r="840" spans="1:19" hidden="1" x14ac:dyDescent="0.25">
      <c r="A840" t="s">
        <v>4178</v>
      </c>
      <c r="B840">
        <v>1040755197</v>
      </c>
      <c r="C840" t="s">
        <v>171</v>
      </c>
      <c r="D840" s="11" t="s">
        <v>102</v>
      </c>
      <c r="E840" s="11" t="s">
        <v>4046</v>
      </c>
      <c r="F840" s="11" t="s">
        <v>16</v>
      </c>
      <c r="G840" s="1">
        <v>46246</v>
      </c>
      <c r="H840" s="1">
        <v>46246</v>
      </c>
      <c r="I840" s="2">
        <v>0.58333333333333337</v>
      </c>
      <c r="J840" s="2">
        <v>0.875</v>
      </c>
      <c r="K840" s="11"/>
      <c r="L840" s="11" t="s">
        <v>4060</v>
      </c>
      <c r="M840" s="1"/>
      <c r="N840" s="11"/>
      <c r="O840" s="11" t="s">
        <v>4042</v>
      </c>
      <c r="P840" s="1"/>
      <c r="Q840" s="1"/>
      <c r="R840" s="11"/>
      <c r="S840" s="2">
        <f>CONSOLIDADO_2026[[#This Row],[Hora final]]-CONSOLIDADO_2026[[#This Row],[Hora inic]]</f>
        <v>0.29166666666666663</v>
      </c>
    </row>
    <row r="841" spans="1:19" hidden="1" x14ac:dyDescent="0.25">
      <c r="A841" t="s">
        <v>4178</v>
      </c>
      <c r="B841">
        <v>1001140238</v>
      </c>
      <c r="C841" t="s">
        <v>74</v>
      </c>
      <c r="D841" s="11" t="s">
        <v>132</v>
      </c>
      <c r="E841" s="11" t="s">
        <v>4040</v>
      </c>
      <c r="F841" s="11" t="s">
        <v>4099</v>
      </c>
      <c r="G841" s="1">
        <v>46246</v>
      </c>
      <c r="H841" s="1">
        <v>46246</v>
      </c>
      <c r="I841" s="2">
        <v>0.58333333333333337</v>
      </c>
      <c r="J841" s="2">
        <v>0.625</v>
      </c>
      <c r="K841" s="11"/>
      <c r="L841" s="11" t="s">
        <v>339</v>
      </c>
      <c r="M841" s="1"/>
      <c r="N841" s="11"/>
      <c r="O841" s="11" t="s">
        <v>4042</v>
      </c>
      <c r="P841" s="1"/>
      <c r="Q841" s="1"/>
      <c r="R841" s="11"/>
      <c r="S841" s="2">
        <f>CONSOLIDADO_2026[[#This Row],[Hora final]]-CONSOLIDADO_2026[[#This Row],[Hora inic]]</f>
        <v>4.166666666666663E-2</v>
      </c>
    </row>
    <row r="842" spans="1:19" hidden="1" x14ac:dyDescent="0.25">
      <c r="A842" t="s">
        <v>4180</v>
      </c>
      <c r="B842">
        <v>1098686151</v>
      </c>
      <c r="C842" t="s">
        <v>1882</v>
      </c>
      <c r="D842" s="11" t="s">
        <v>51</v>
      </c>
      <c r="E842" s="11" t="s">
        <v>4047</v>
      </c>
      <c r="F842" s="11" t="s">
        <v>16</v>
      </c>
      <c r="G842" s="1">
        <v>46246</v>
      </c>
      <c r="H842" s="1">
        <v>46248</v>
      </c>
      <c r="I842" s="2">
        <v>0.25</v>
      </c>
      <c r="J842" s="2">
        <v>0.54166666666666663</v>
      </c>
      <c r="K842" s="11"/>
      <c r="L842" s="11" t="s">
        <v>4060</v>
      </c>
      <c r="M842" s="1"/>
      <c r="N842" s="11"/>
      <c r="O842" s="11" t="s">
        <v>4042</v>
      </c>
      <c r="P842" s="1"/>
      <c r="Q842" s="1"/>
      <c r="R842" s="11"/>
      <c r="S842" s="2">
        <f>CONSOLIDADO_2026[[#This Row],[Hora final]]-CONSOLIDADO_2026[[#This Row],[Hora inic]]</f>
        <v>0.29166666666666663</v>
      </c>
    </row>
    <row r="843" spans="1:19" hidden="1" x14ac:dyDescent="0.25">
      <c r="A843" t="s">
        <v>4180</v>
      </c>
      <c r="B843">
        <v>1094971283</v>
      </c>
      <c r="C843" t="s">
        <v>3374</v>
      </c>
      <c r="D843" s="11" t="s">
        <v>256</v>
      </c>
      <c r="E843" s="11" t="s">
        <v>4040</v>
      </c>
      <c r="F843" s="11" t="s">
        <v>16</v>
      </c>
      <c r="G843" s="1">
        <v>46245</v>
      </c>
      <c r="H843" s="1">
        <v>46247</v>
      </c>
      <c r="I843" s="2">
        <v>0.25</v>
      </c>
      <c r="J843" s="2">
        <v>0.54166666666666663</v>
      </c>
      <c r="K843" s="11"/>
      <c r="L843" s="11" t="s">
        <v>327</v>
      </c>
      <c r="M843" s="1"/>
      <c r="N843" s="11"/>
      <c r="O843" s="11" t="s">
        <v>4042</v>
      </c>
      <c r="P843" s="1"/>
      <c r="Q843" s="1"/>
      <c r="R843" s="11"/>
      <c r="S843" s="2">
        <f>CONSOLIDADO_2026[[#This Row],[Hora final]]-CONSOLIDADO_2026[[#This Row],[Hora inic]]</f>
        <v>0.29166666666666663</v>
      </c>
    </row>
    <row r="844" spans="1:19" hidden="1" x14ac:dyDescent="0.25">
      <c r="A844" t="s">
        <v>4180</v>
      </c>
      <c r="B844">
        <v>1037644923</v>
      </c>
      <c r="C844" t="s">
        <v>2677</v>
      </c>
      <c r="D844" s="11" t="s">
        <v>492</v>
      </c>
      <c r="E844" s="11" t="s">
        <v>4045</v>
      </c>
      <c r="F844" s="11" t="s">
        <v>16</v>
      </c>
      <c r="G844" s="1">
        <v>46247</v>
      </c>
      <c r="H844" s="1">
        <v>46247</v>
      </c>
      <c r="I844" s="2">
        <v>0.54166666666666663</v>
      </c>
      <c r="J844" s="2">
        <v>0.875</v>
      </c>
      <c r="K844" s="11"/>
      <c r="L844" s="11" t="s">
        <v>4060</v>
      </c>
      <c r="M844" s="1"/>
      <c r="N844" s="11"/>
      <c r="O844" s="11" t="s">
        <v>4042</v>
      </c>
      <c r="P844" s="1"/>
      <c r="Q844" s="1"/>
      <c r="R844" s="11"/>
      <c r="S844" s="2">
        <f>CONSOLIDADO_2026[[#This Row],[Hora final]]-CONSOLIDADO_2026[[#This Row],[Hora inic]]</f>
        <v>0.33333333333333337</v>
      </c>
    </row>
    <row r="845" spans="1:19" hidden="1" x14ac:dyDescent="0.25">
      <c r="A845" t="s">
        <v>4180</v>
      </c>
      <c r="B845">
        <v>1044393706</v>
      </c>
      <c r="C845" t="s">
        <v>908</v>
      </c>
      <c r="D845" s="11" t="s">
        <v>128</v>
      </c>
      <c r="E845" s="11" t="s">
        <v>4045</v>
      </c>
      <c r="F845" s="11" t="s">
        <v>16</v>
      </c>
      <c r="G845" s="1">
        <v>46245</v>
      </c>
      <c r="H845" s="1">
        <v>46246</v>
      </c>
      <c r="I845" s="2"/>
      <c r="J845" s="2"/>
      <c r="K845" s="11"/>
      <c r="L845" s="11" t="s">
        <v>4041</v>
      </c>
      <c r="M845" s="1"/>
      <c r="N845" s="11"/>
      <c r="O845" s="11" t="s">
        <v>4042</v>
      </c>
      <c r="P845" s="1"/>
      <c r="Q845" s="1"/>
      <c r="R845" s="11"/>
      <c r="S845" s="2">
        <f>CONSOLIDADO_2026[[#This Row],[Hora final]]-CONSOLIDADO_2026[[#This Row],[Hora inic]]</f>
        <v>0</v>
      </c>
    </row>
    <row r="846" spans="1:19" hidden="1" x14ac:dyDescent="0.25">
      <c r="A846" t="s">
        <v>4180</v>
      </c>
      <c r="B846">
        <v>1037570349</v>
      </c>
      <c r="C846" t="s">
        <v>2818</v>
      </c>
      <c r="D846" s="11" t="s">
        <v>128</v>
      </c>
      <c r="E846" s="11" t="s">
        <v>4045</v>
      </c>
      <c r="F846" s="11" t="s">
        <v>16</v>
      </c>
      <c r="G846" s="1">
        <v>46245</v>
      </c>
      <c r="H846" s="1">
        <v>46246</v>
      </c>
      <c r="I846" s="2"/>
      <c r="J846" s="2"/>
      <c r="K846" s="11"/>
      <c r="L846" s="11" t="s">
        <v>4041</v>
      </c>
      <c r="M846" s="1"/>
      <c r="N846" s="11"/>
      <c r="O846" s="11" t="s">
        <v>4042</v>
      </c>
      <c r="P846" s="1"/>
      <c r="Q846" s="1"/>
      <c r="R846" s="11"/>
      <c r="S846" s="2">
        <f>CONSOLIDADO_2026[[#This Row],[Hora final]]-CONSOLIDADO_2026[[#This Row],[Hora inic]]</f>
        <v>0</v>
      </c>
    </row>
    <row r="847" spans="1:19" hidden="1" x14ac:dyDescent="0.25">
      <c r="A847" t="s">
        <v>4180</v>
      </c>
      <c r="B847">
        <v>1035876080</v>
      </c>
      <c r="C847" t="s">
        <v>123</v>
      </c>
      <c r="D847" s="11" t="s">
        <v>124</v>
      </c>
      <c r="E847" s="11" t="s">
        <v>4045</v>
      </c>
      <c r="F847" s="11" t="s">
        <v>16</v>
      </c>
      <c r="G847" s="1">
        <v>46246</v>
      </c>
      <c r="H847" s="1">
        <v>46254</v>
      </c>
      <c r="I847" s="2">
        <v>0.25</v>
      </c>
      <c r="J847" s="2">
        <v>0.58333333333333337</v>
      </c>
      <c r="K847" s="11" t="s">
        <v>150</v>
      </c>
      <c r="L847" s="11" t="s">
        <v>151</v>
      </c>
      <c r="M847" s="1"/>
      <c r="N847" s="11"/>
      <c r="O847" s="11" t="s">
        <v>21</v>
      </c>
      <c r="P847" s="1"/>
      <c r="Q847" s="1"/>
      <c r="R847" s="11"/>
      <c r="S847" s="2">
        <f>CONSOLIDADO_2026[[#This Row],[Hora final]]-CONSOLIDADO_2026[[#This Row],[Hora inic]]</f>
        <v>0.33333333333333337</v>
      </c>
    </row>
    <row r="848" spans="1:19" hidden="1" x14ac:dyDescent="0.25">
      <c r="A848" t="s">
        <v>4180</v>
      </c>
      <c r="B848">
        <v>1085265026</v>
      </c>
      <c r="C848" t="s">
        <v>91</v>
      </c>
      <c r="D848" s="11" t="s">
        <v>55</v>
      </c>
      <c r="E848" s="11" t="s">
        <v>4047</v>
      </c>
      <c r="F848" s="11" t="s">
        <v>92</v>
      </c>
      <c r="G848" s="1">
        <v>46245</v>
      </c>
      <c r="H848" s="1">
        <v>46249</v>
      </c>
      <c r="I848" s="2">
        <v>0.25</v>
      </c>
      <c r="J848" s="2">
        <v>0.58333333333333337</v>
      </c>
      <c r="K848" s="11"/>
      <c r="L848" s="11" t="s">
        <v>327</v>
      </c>
      <c r="M848" s="1"/>
      <c r="N848" s="11"/>
      <c r="O848" s="11" t="s">
        <v>4042</v>
      </c>
      <c r="P848" s="1"/>
      <c r="Q848" s="1"/>
      <c r="R848" s="11"/>
      <c r="S848" s="2">
        <f>CONSOLIDADO_2026[[#This Row],[Hora final]]-CONSOLIDADO_2026[[#This Row],[Hora inic]]</f>
        <v>0.33333333333333337</v>
      </c>
    </row>
    <row r="849" spans="1:19" hidden="1" x14ac:dyDescent="0.25">
      <c r="A849" t="s">
        <v>4180</v>
      </c>
      <c r="B849">
        <v>1000416307</v>
      </c>
      <c r="C849" t="s">
        <v>3062</v>
      </c>
      <c r="D849" s="11" t="s">
        <v>132</v>
      </c>
      <c r="E849" s="11" t="s">
        <v>4040</v>
      </c>
      <c r="F849" s="11" t="s">
        <v>16</v>
      </c>
      <c r="G849" s="1">
        <v>46245</v>
      </c>
      <c r="H849" s="1">
        <v>46246</v>
      </c>
      <c r="I849" s="2"/>
      <c r="J849" s="2"/>
      <c r="K849" s="11"/>
      <c r="L849" s="11" t="s">
        <v>4041</v>
      </c>
      <c r="M849" s="1"/>
      <c r="N849" s="11"/>
      <c r="O849" s="11" t="s">
        <v>4042</v>
      </c>
      <c r="P849" s="1"/>
      <c r="Q849" s="1"/>
      <c r="R849" s="11"/>
      <c r="S849" s="2">
        <f>CONSOLIDADO_2026[[#This Row],[Hora final]]-CONSOLIDADO_2026[[#This Row],[Hora inic]]</f>
        <v>0</v>
      </c>
    </row>
    <row r="850" spans="1:19" hidden="1" x14ac:dyDescent="0.25">
      <c r="A850" t="s">
        <v>4180</v>
      </c>
      <c r="B850">
        <v>1047503032</v>
      </c>
      <c r="C850" t="s">
        <v>3019</v>
      </c>
      <c r="D850" s="11" t="s">
        <v>162</v>
      </c>
      <c r="E850" s="11" t="s">
        <v>4056</v>
      </c>
      <c r="F850" s="11" t="s">
        <v>16</v>
      </c>
      <c r="G850" s="1">
        <v>46245</v>
      </c>
      <c r="H850" s="1">
        <v>46246</v>
      </c>
      <c r="I850" s="2"/>
      <c r="J850" s="2"/>
      <c r="K850" s="11"/>
      <c r="L850" s="11" t="s">
        <v>4041</v>
      </c>
      <c r="M850" s="1"/>
      <c r="N850" s="11"/>
      <c r="O850" s="11" t="s">
        <v>4042</v>
      </c>
      <c r="P850" s="1"/>
      <c r="Q850" s="1"/>
      <c r="R850" s="11"/>
      <c r="S850" s="2">
        <f>CONSOLIDADO_2026[[#This Row],[Hora final]]-CONSOLIDADO_2026[[#This Row],[Hora inic]]</f>
        <v>0</v>
      </c>
    </row>
    <row r="851" spans="1:19" hidden="1" x14ac:dyDescent="0.25">
      <c r="A851" t="s">
        <v>4180</v>
      </c>
      <c r="B851">
        <v>1007111078</v>
      </c>
      <c r="C851" t="s">
        <v>3672</v>
      </c>
      <c r="D851" s="11" t="s">
        <v>4175</v>
      </c>
      <c r="E851" s="11" t="s">
        <v>4056</v>
      </c>
      <c r="F851" s="11" t="s">
        <v>4087</v>
      </c>
      <c r="G851" s="1">
        <v>46247</v>
      </c>
      <c r="H851" s="1">
        <v>46247</v>
      </c>
      <c r="I851" s="2">
        <v>0.29166666666666669</v>
      </c>
      <c r="J851" s="2">
        <v>0.66666666666666663</v>
      </c>
      <c r="K851" s="11" t="s">
        <v>285</v>
      </c>
      <c r="L851" s="11" t="s">
        <v>286</v>
      </c>
      <c r="M851" s="1"/>
      <c r="N851" s="11"/>
      <c r="O851" s="11" t="s">
        <v>21</v>
      </c>
      <c r="P851" s="1"/>
      <c r="Q851" s="1"/>
      <c r="R851" s="11"/>
      <c r="S851" s="2">
        <f>CONSOLIDADO_2026[[#This Row],[Hora final]]-CONSOLIDADO_2026[[#This Row],[Hora inic]]</f>
        <v>0.37499999999999994</v>
      </c>
    </row>
    <row r="852" spans="1:19" hidden="1" x14ac:dyDescent="0.25">
      <c r="A852" t="s">
        <v>4180</v>
      </c>
      <c r="B852">
        <v>1020470720</v>
      </c>
      <c r="C852" t="s">
        <v>620</v>
      </c>
      <c r="D852" s="11" t="s">
        <v>619</v>
      </c>
      <c r="E852" s="11" t="s">
        <v>4045</v>
      </c>
      <c r="F852" s="11" t="s">
        <v>16</v>
      </c>
      <c r="G852" s="1">
        <v>46245</v>
      </c>
      <c r="H852" s="1">
        <v>46246</v>
      </c>
      <c r="I852" s="2"/>
      <c r="J852" s="2"/>
      <c r="K852" s="11"/>
      <c r="L852" s="11" t="s">
        <v>4041</v>
      </c>
      <c r="M852" s="1"/>
      <c r="N852" s="11"/>
      <c r="O852" s="11" t="s">
        <v>4042</v>
      </c>
      <c r="P852" s="1"/>
      <c r="Q852" s="1"/>
      <c r="R852" s="11"/>
      <c r="S852" s="2">
        <f>CONSOLIDADO_2026[[#This Row],[Hora final]]-CONSOLIDADO_2026[[#This Row],[Hora inic]]</f>
        <v>0</v>
      </c>
    </row>
    <row r="853" spans="1:19" hidden="1" x14ac:dyDescent="0.25">
      <c r="A853" t="s">
        <v>4180</v>
      </c>
      <c r="B853">
        <v>1057608489</v>
      </c>
      <c r="C853" t="s">
        <v>3080</v>
      </c>
      <c r="D853" s="11" t="s">
        <v>132</v>
      </c>
      <c r="E853" s="11" t="s">
        <v>4040</v>
      </c>
      <c r="F853" s="11" t="s">
        <v>16</v>
      </c>
      <c r="G853" s="1">
        <v>46245</v>
      </c>
      <c r="H853" s="1">
        <v>46246</v>
      </c>
      <c r="I853" s="2"/>
      <c r="J853" s="2"/>
      <c r="K853" s="11"/>
      <c r="L853" s="11" t="s">
        <v>4041</v>
      </c>
      <c r="M853" s="1"/>
      <c r="N853" s="11"/>
      <c r="O853" s="11" t="s">
        <v>4042</v>
      </c>
      <c r="P853" s="1"/>
      <c r="Q853" s="1"/>
      <c r="R853" s="11"/>
      <c r="S853" s="2">
        <f>CONSOLIDADO_2026[[#This Row],[Hora final]]-CONSOLIDADO_2026[[#This Row],[Hora inic]]</f>
        <v>0</v>
      </c>
    </row>
    <row r="854" spans="1:19" hidden="1" x14ac:dyDescent="0.25">
      <c r="A854" t="s">
        <v>4180</v>
      </c>
      <c r="B854">
        <v>43271257</v>
      </c>
      <c r="C854" t="s">
        <v>1302</v>
      </c>
      <c r="D854" s="11" t="s">
        <v>15</v>
      </c>
      <c r="E854" s="11" t="s">
        <v>4046</v>
      </c>
      <c r="F854" s="11" t="s">
        <v>16</v>
      </c>
      <c r="G854" s="1">
        <v>46245</v>
      </c>
      <c r="H854" s="1">
        <v>46246</v>
      </c>
      <c r="I854" s="2"/>
      <c r="J854" s="2"/>
      <c r="K854" s="11"/>
      <c r="L854" s="11" t="s">
        <v>4041</v>
      </c>
      <c r="M854" s="1"/>
      <c r="N854" s="11"/>
      <c r="O854" s="11" t="s">
        <v>4042</v>
      </c>
      <c r="P854" s="1"/>
      <c r="Q854" s="1"/>
      <c r="R854" s="11"/>
      <c r="S854" s="2">
        <f>CONSOLIDADO_2026[[#This Row],[Hora final]]-CONSOLIDADO_2026[[#This Row],[Hora inic]]</f>
        <v>0</v>
      </c>
    </row>
    <row r="855" spans="1:19" hidden="1" x14ac:dyDescent="0.25">
      <c r="A855" t="s">
        <v>4180</v>
      </c>
      <c r="B855">
        <v>1193584838</v>
      </c>
      <c r="C855" t="s">
        <v>3000</v>
      </c>
      <c r="D855" s="11" t="s">
        <v>59</v>
      </c>
      <c r="E855" s="11" t="s">
        <v>4047</v>
      </c>
      <c r="F855" s="11" t="s">
        <v>16</v>
      </c>
      <c r="G855" s="1">
        <v>46245</v>
      </c>
      <c r="H855" s="1">
        <v>46247</v>
      </c>
      <c r="I855" s="2">
        <v>0.25</v>
      </c>
      <c r="J855" s="2">
        <v>0.58333333333333337</v>
      </c>
      <c r="K855" s="11"/>
      <c r="L855" s="11" t="s">
        <v>327</v>
      </c>
      <c r="M855" s="1"/>
      <c r="N855" s="11"/>
      <c r="O855" s="11" t="s">
        <v>4042</v>
      </c>
      <c r="P855" s="1"/>
      <c r="Q855" s="1"/>
      <c r="R855" s="11"/>
      <c r="S855" s="2">
        <f>CONSOLIDADO_2026[[#This Row],[Hora final]]-CONSOLIDADO_2026[[#This Row],[Hora inic]]</f>
        <v>0.33333333333333337</v>
      </c>
    </row>
    <row r="856" spans="1:19" hidden="1" x14ac:dyDescent="0.25">
      <c r="A856" t="s">
        <v>4180</v>
      </c>
      <c r="B856">
        <v>1140876076</v>
      </c>
      <c r="C856" t="s">
        <v>1326</v>
      </c>
      <c r="D856" s="11" t="s">
        <v>15</v>
      </c>
      <c r="E856" s="11" t="s">
        <v>4046</v>
      </c>
      <c r="F856" s="11" t="s">
        <v>16</v>
      </c>
      <c r="G856" s="1">
        <v>46245</v>
      </c>
      <c r="H856" s="1">
        <v>46246</v>
      </c>
      <c r="I856" s="2"/>
      <c r="J856" s="2"/>
      <c r="K856" s="11"/>
      <c r="L856" s="11" t="s">
        <v>4041</v>
      </c>
      <c r="M856" s="1"/>
      <c r="N856" s="11"/>
      <c r="O856" s="11" t="s">
        <v>4042</v>
      </c>
      <c r="P856" s="1"/>
      <c r="Q856" s="1"/>
      <c r="R856" s="11"/>
      <c r="S856" s="2">
        <f>CONSOLIDADO_2026[[#This Row],[Hora final]]-CONSOLIDADO_2026[[#This Row],[Hora inic]]</f>
        <v>0</v>
      </c>
    </row>
    <row r="857" spans="1:19" hidden="1" x14ac:dyDescent="0.25">
      <c r="A857" t="s">
        <v>4180</v>
      </c>
      <c r="B857">
        <v>1143360194</v>
      </c>
      <c r="C857" t="s">
        <v>3508</v>
      </c>
      <c r="D857" s="11" t="s">
        <v>64</v>
      </c>
      <c r="E857" s="11" t="s">
        <v>4046</v>
      </c>
      <c r="F857" s="11" t="s">
        <v>16</v>
      </c>
      <c r="G857" s="1">
        <v>46245</v>
      </c>
      <c r="H857" s="1">
        <v>46246</v>
      </c>
      <c r="I857" s="2"/>
      <c r="J857" s="2"/>
      <c r="K857" s="11"/>
      <c r="L857" s="11" t="s">
        <v>4041</v>
      </c>
      <c r="M857" s="1"/>
      <c r="N857" s="11"/>
      <c r="O857" s="11" t="s">
        <v>4042</v>
      </c>
      <c r="P857" s="1"/>
      <c r="Q857" s="1"/>
      <c r="R857" s="11"/>
      <c r="S857" s="2">
        <f>CONSOLIDADO_2026[[#This Row],[Hora final]]-CONSOLIDADO_2026[[#This Row],[Hora inic]]</f>
        <v>0</v>
      </c>
    </row>
    <row r="858" spans="1:19" hidden="1" x14ac:dyDescent="0.25">
      <c r="A858" t="s">
        <v>4180</v>
      </c>
      <c r="B858">
        <v>1017209928</v>
      </c>
      <c r="C858" t="s">
        <v>1205</v>
      </c>
      <c r="D858" s="11" t="s">
        <v>256</v>
      </c>
      <c r="E858" s="11" t="s">
        <v>4040</v>
      </c>
      <c r="F858" s="11" t="s">
        <v>16</v>
      </c>
      <c r="G858" s="1">
        <v>46245</v>
      </c>
      <c r="H858" s="1">
        <v>46246</v>
      </c>
      <c r="I858" s="2"/>
      <c r="J858" s="2"/>
      <c r="K858" s="11"/>
      <c r="L858" s="11" t="s">
        <v>4041</v>
      </c>
      <c r="M858" s="1"/>
      <c r="N858" s="11"/>
      <c r="O858" s="11" t="s">
        <v>4042</v>
      </c>
      <c r="P858" s="1"/>
      <c r="Q858" s="1"/>
      <c r="R858" s="11"/>
      <c r="S858" s="2">
        <f>CONSOLIDADO_2026[[#This Row],[Hora final]]-CONSOLIDADO_2026[[#This Row],[Hora inic]]</f>
        <v>0</v>
      </c>
    </row>
    <row r="859" spans="1:19" hidden="1" x14ac:dyDescent="0.25">
      <c r="A859" t="s">
        <v>4180</v>
      </c>
      <c r="B859">
        <v>1077462479</v>
      </c>
      <c r="C859" t="s">
        <v>4027</v>
      </c>
      <c r="D859" s="11" t="s">
        <v>59</v>
      </c>
      <c r="E859" s="11" t="s">
        <v>4047</v>
      </c>
      <c r="F859" s="11" t="s">
        <v>4087</v>
      </c>
      <c r="G859" s="1">
        <v>46245</v>
      </c>
      <c r="H859" s="1">
        <v>46247</v>
      </c>
      <c r="I859" s="2">
        <v>0.5</v>
      </c>
      <c r="J859" s="2">
        <v>0.83333333333333337</v>
      </c>
      <c r="K859" s="11" t="s">
        <v>45</v>
      </c>
      <c r="L859" s="11" t="s">
        <v>46</v>
      </c>
      <c r="M859" s="1"/>
      <c r="N859" s="11"/>
      <c r="O859" s="11" t="s">
        <v>21</v>
      </c>
      <c r="P859" s="1"/>
      <c r="Q859" s="1"/>
      <c r="R859" s="11"/>
      <c r="S859" s="2">
        <f>CONSOLIDADO_2026[[#This Row],[Hora final]]-CONSOLIDADO_2026[[#This Row],[Hora inic]]</f>
        <v>0.33333333333333337</v>
      </c>
    </row>
    <row r="860" spans="1:19" hidden="1" x14ac:dyDescent="0.25">
      <c r="A860" t="s">
        <v>4180</v>
      </c>
      <c r="B860">
        <v>1000408752</v>
      </c>
      <c r="C860" t="s">
        <v>3636</v>
      </c>
      <c r="D860" s="11" t="s">
        <v>55</v>
      </c>
      <c r="E860" s="11" t="s">
        <v>4047</v>
      </c>
      <c r="F860" s="11" t="s">
        <v>16</v>
      </c>
      <c r="G860" s="1">
        <v>46244</v>
      </c>
      <c r="H860" s="1">
        <v>46246</v>
      </c>
      <c r="I860" s="2"/>
      <c r="J860" s="2"/>
      <c r="K860" s="11"/>
      <c r="L860" s="11" t="s">
        <v>4041</v>
      </c>
      <c r="M860" s="1"/>
      <c r="N860" s="11"/>
      <c r="O860" s="11" t="s">
        <v>4042</v>
      </c>
      <c r="P860" s="1"/>
      <c r="Q860" s="1"/>
      <c r="R860" s="11"/>
      <c r="S860" s="2">
        <f>CONSOLIDADO_2026[[#This Row],[Hora final]]-CONSOLIDADO_2026[[#This Row],[Hora inic]]</f>
        <v>0</v>
      </c>
    </row>
    <row r="861" spans="1:19" hidden="1" x14ac:dyDescent="0.25">
      <c r="A861" t="s">
        <v>4180</v>
      </c>
      <c r="B861">
        <v>1014237413</v>
      </c>
      <c r="C861" t="s">
        <v>845</v>
      </c>
      <c r="D861" s="11" t="s">
        <v>492</v>
      </c>
      <c r="E861" s="11" t="s">
        <v>4045</v>
      </c>
      <c r="F861" s="11" t="s">
        <v>16</v>
      </c>
      <c r="G861" s="1">
        <v>46244</v>
      </c>
      <c r="H861" s="1">
        <v>46246</v>
      </c>
      <c r="I861" s="2"/>
      <c r="J861" s="2"/>
      <c r="K861" s="11"/>
      <c r="L861" s="11" t="s">
        <v>4041</v>
      </c>
      <c r="M861" s="1"/>
      <c r="N861" s="11"/>
      <c r="O861" s="11" t="s">
        <v>4042</v>
      </c>
      <c r="P861" s="1"/>
      <c r="Q861" s="1"/>
      <c r="R861" s="11"/>
      <c r="S861" s="2">
        <f>CONSOLIDADO_2026[[#This Row],[Hora final]]-CONSOLIDADO_2026[[#This Row],[Hora inic]]</f>
        <v>0</v>
      </c>
    </row>
    <row r="862" spans="1:19" hidden="1" x14ac:dyDescent="0.25">
      <c r="A862" t="s">
        <v>4180</v>
      </c>
      <c r="B862">
        <v>1000921455</v>
      </c>
      <c r="C862" t="s">
        <v>14</v>
      </c>
      <c r="D862" s="11" t="s">
        <v>15</v>
      </c>
      <c r="E862" s="11" t="s">
        <v>4046</v>
      </c>
      <c r="F862" s="11" t="s">
        <v>16</v>
      </c>
      <c r="G862" s="1">
        <v>46242</v>
      </c>
      <c r="H862" s="1">
        <v>46246</v>
      </c>
      <c r="I862" s="2"/>
      <c r="J862" s="2"/>
      <c r="K862" s="11"/>
      <c r="L862" s="11" t="s">
        <v>4041</v>
      </c>
      <c r="M862" s="1"/>
      <c r="N862" s="11"/>
      <c r="O862" s="11" t="s">
        <v>4042</v>
      </c>
      <c r="P862" s="1"/>
      <c r="Q862" s="1"/>
      <c r="R862" s="11"/>
      <c r="S862" s="2">
        <f>CONSOLIDADO_2026[[#This Row],[Hora final]]-CONSOLIDADO_2026[[#This Row],[Hora inic]]</f>
        <v>0</v>
      </c>
    </row>
    <row r="863" spans="1:19" hidden="1" x14ac:dyDescent="0.25">
      <c r="A863" t="s">
        <v>4180</v>
      </c>
      <c r="B863">
        <v>1143374438</v>
      </c>
      <c r="C863" t="s">
        <v>154</v>
      </c>
      <c r="D863" s="11" t="s">
        <v>28</v>
      </c>
      <c r="E863" s="11" t="s">
        <v>4046</v>
      </c>
      <c r="F863" s="11" t="s">
        <v>16</v>
      </c>
      <c r="G863" s="1">
        <v>46239</v>
      </c>
      <c r="H863" s="1">
        <v>46268</v>
      </c>
      <c r="I863" s="2">
        <v>0.58333333333333337</v>
      </c>
      <c r="J863" s="2">
        <v>0.875</v>
      </c>
      <c r="K863" s="11"/>
      <c r="L863" s="11" t="s">
        <v>327</v>
      </c>
      <c r="M863" s="1"/>
      <c r="N863" s="11"/>
      <c r="O863" s="11" t="s">
        <v>4042</v>
      </c>
      <c r="P863" s="1"/>
      <c r="Q863" s="1"/>
      <c r="R863" s="11"/>
      <c r="S863" s="2">
        <f>CONSOLIDADO_2026[[#This Row],[Hora final]]-CONSOLIDADO_2026[[#This Row],[Hora inic]]</f>
        <v>0.29166666666666663</v>
      </c>
    </row>
    <row r="864" spans="1:19" hidden="1" x14ac:dyDescent="0.25">
      <c r="A864" t="s">
        <v>4180</v>
      </c>
      <c r="B864">
        <v>1015483595</v>
      </c>
      <c r="C864" t="s">
        <v>23</v>
      </c>
      <c r="D864" s="11" t="s">
        <v>15</v>
      </c>
      <c r="E864" s="11" t="s">
        <v>4046</v>
      </c>
      <c r="F864" s="11" t="s">
        <v>24</v>
      </c>
      <c r="G864" s="1">
        <v>46244</v>
      </c>
      <c r="H864" s="1">
        <v>46265</v>
      </c>
      <c r="I864" s="2">
        <v>0.54166666666666663</v>
      </c>
      <c r="J864" s="2">
        <v>0.875</v>
      </c>
      <c r="K864" s="11" t="s">
        <v>222</v>
      </c>
      <c r="L864" s="11" t="s">
        <v>223</v>
      </c>
      <c r="M864" s="1"/>
      <c r="N864" s="11"/>
      <c r="O864" s="11" t="s">
        <v>21</v>
      </c>
      <c r="P864" s="1"/>
      <c r="Q864" s="1"/>
      <c r="R864" s="11"/>
      <c r="S864" s="2">
        <f>CONSOLIDADO_2026[[#This Row],[Hora final]]-CONSOLIDADO_2026[[#This Row],[Hora inic]]</f>
        <v>0.33333333333333337</v>
      </c>
    </row>
    <row r="865" spans="1:19" hidden="1" x14ac:dyDescent="0.25">
      <c r="A865" t="s">
        <v>4180</v>
      </c>
      <c r="B865">
        <v>1001851670</v>
      </c>
      <c r="C865" t="s">
        <v>50</v>
      </c>
      <c r="D865" s="11" t="s">
        <v>51</v>
      </c>
      <c r="E865" s="11" t="s">
        <v>4047</v>
      </c>
      <c r="F865" s="11" t="s">
        <v>36</v>
      </c>
      <c r="G865" s="1">
        <v>46241</v>
      </c>
      <c r="H865" s="1">
        <v>46366</v>
      </c>
      <c r="I865" s="2">
        <v>0.54166666666666663</v>
      </c>
      <c r="J865" s="2">
        <v>0.875</v>
      </c>
      <c r="K865" s="11" t="s">
        <v>309</v>
      </c>
      <c r="L865" s="11" t="s">
        <v>310</v>
      </c>
      <c r="M865" s="1"/>
      <c r="N865" s="11"/>
      <c r="O865" s="11" t="s">
        <v>21</v>
      </c>
      <c r="P865" s="1"/>
      <c r="Q865" s="1"/>
      <c r="R865" s="11"/>
      <c r="S865" s="2">
        <f>CONSOLIDADO_2026[[#This Row],[Hora final]]-CONSOLIDADO_2026[[#This Row],[Hora inic]]</f>
        <v>0.33333333333333337</v>
      </c>
    </row>
    <row r="866" spans="1:19" hidden="1" x14ac:dyDescent="0.25">
      <c r="A866" t="s">
        <v>4180</v>
      </c>
      <c r="B866">
        <v>1067963513</v>
      </c>
      <c r="C866" t="s">
        <v>67</v>
      </c>
      <c r="D866" s="11" t="s">
        <v>68</v>
      </c>
      <c r="E866" s="11" t="s">
        <v>4040</v>
      </c>
      <c r="F866" s="11" t="s">
        <v>24</v>
      </c>
      <c r="G866" s="1">
        <v>46240</v>
      </c>
      <c r="H866" s="1">
        <v>46265</v>
      </c>
      <c r="I866" s="2">
        <v>0.25</v>
      </c>
      <c r="J866" s="2">
        <v>0.54166666666666663</v>
      </c>
      <c r="K866" s="11"/>
      <c r="L866" s="11" t="s">
        <v>346</v>
      </c>
      <c r="M866" s="1"/>
      <c r="N866" s="11"/>
      <c r="O866" s="11" t="s">
        <v>4042</v>
      </c>
      <c r="P866" s="1"/>
      <c r="Q866" s="1"/>
      <c r="R866" s="11"/>
      <c r="S866" s="2">
        <f>CONSOLIDADO_2026[[#This Row],[Hora final]]-CONSOLIDADO_2026[[#This Row],[Hora inic]]</f>
        <v>0.29166666666666663</v>
      </c>
    </row>
    <row r="867" spans="1:19" hidden="1" x14ac:dyDescent="0.25">
      <c r="A867" t="s">
        <v>4180</v>
      </c>
      <c r="B867">
        <v>42141273</v>
      </c>
      <c r="C867" t="s">
        <v>271</v>
      </c>
      <c r="D867" s="11" t="s">
        <v>272</v>
      </c>
      <c r="E867" s="11" t="s">
        <v>4056</v>
      </c>
      <c r="F867" s="11" t="s">
        <v>4065</v>
      </c>
      <c r="G867" s="1">
        <v>46232</v>
      </c>
      <c r="H867" s="1">
        <v>46261</v>
      </c>
      <c r="I867" s="2">
        <v>0.25</v>
      </c>
      <c r="J867" s="2">
        <v>0.5</v>
      </c>
      <c r="K867" s="11" t="s">
        <v>184</v>
      </c>
      <c r="L867" s="11" t="s">
        <v>185</v>
      </c>
      <c r="M867" s="1"/>
      <c r="N867" s="11"/>
      <c r="O867" s="11" t="s">
        <v>4042</v>
      </c>
      <c r="P867" s="1"/>
      <c r="Q867" s="1"/>
      <c r="R867" s="11"/>
      <c r="S867" s="2">
        <f>CONSOLIDADO_2026[[#This Row],[Hora final]]-CONSOLIDADO_2026[[#This Row],[Hora inic]]</f>
        <v>0.25</v>
      </c>
    </row>
    <row r="868" spans="1:19" hidden="1" x14ac:dyDescent="0.25">
      <c r="A868" t="s">
        <v>4180</v>
      </c>
      <c r="B868">
        <v>1010246557</v>
      </c>
      <c r="C868" t="s">
        <v>3461</v>
      </c>
      <c r="D868" s="11" t="s">
        <v>256</v>
      </c>
      <c r="E868" s="11" t="s">
        <v>4040</v>
      </c>
      <c r="F868" s="11" t="s">
        <v>4140</v>
      </c>
      <c r="G868" s="1">
        <v>46247</v>
      </c>
      <c r="H868" s="1">
        <v>46247</v>
      </c>
      <c r="I868" s="2">
        <v>0.25</v>
      </c>
      <c r="J868" s="2">
        <v>0.54166666666666663</v>
      </c>
      <c r="K868" s="11" t="s">
        <v>116</v>
      </c>
      <c r="L868" s="11" t="s">
        <v>117</v>
      </c>
      <c r="M868" s="1"/>
      <c r="N868" s="11"/>
      <c r="O868" s="11" t="s">
        <v>4042</v>
      </c>
      <c r="P868" s="1"/>
      <c r="Q868" s="1"/>
      <c r="R868" s="11"/>
      <c r="S868" s="2">
        <f>CONSOLIDADO_2026[[#This Row],[Hora final]]-CONSOLIDADO_2026[[#This Row],[Hora inic]]</f>
        <v>0.29166666666666663</v>
      </c>
    </row>
    <row r="869" spans="1:19" hidden="1" x14ac:dyDescent="0.25">
      <c r="A869" t="s">
        <v>4180</v>
      </c>
      <c r="B869">
        <v>1001137222</v>
      </c>
      <c r="C869" t="s">
        <v>2908</v>
      </c>
      <c r="D869" s="11" t="s">
        <v>102</v>
      </c>
      <c r="E869" s="11" t="s">
        <v>4046</v>
      </c>
      <c r="F869" s="11" t="s">
        <v>4140</v>
      </c>
      <c r="G869" s="1">
        <v>46246</v>
      </c>
      <c r="H869" s="1">
        <v>46246</v>
      </c>
      <c r="I869" s="2"/>
      <c r="J869" s="2"/>
      <c r="K869" s="11"/>
      <c r="L869" s="11" t="s">
        <v>4041</v>
      </c>
      <c r="M869" s="1"/>
      <c r="N869" s="11"/>
      <c r="O869" s="11" t="s">
        <v>4042</v>
      </c>
      <c r="P869" s="1"/>
      <c r="Q869" s="1"/>
      <c r="R869" s="11"/>
      <c r="S869" s="2">
        <f>CONSOLIDADO_2026[[#This Row],[Hora final]]-CONSOLIDADO_2026[[#This Row],[Hora inic]]</f>
        <v>0</v>
      </c>
    </row>
    <row r="870" spans="1:19" hidden="1" x14ac:dyDescent="0.25">
      <c r="A870" t="s">
        <v>4180</v>
      </c>
      <c r="B870">
        <v>1152221372</v>
      </c>
      <c r="C870" t="s">
        <v>2363</v>
      </c>
      <c r="D870" s="11" t="s">
        <v>139</v>
      </c>
      <c r="E870" s="11" t="s">
        <v>4040</v>
      </c>
      <c r="F870" s="11" t="s">
        <v>158</v>
      </c>
      <c r="G870" s="1">
        <v>46230</v>
      </c>
      <c r="H870" s="1">
        <v>46230</v>
      </c>
      <c r="I870" s="2">
        <v>0.54166666666666663</v>
      </c>
      <c r="J870" s="2">
        <v>0.875</v>
      </c>
      <c r="K870" s="11"/>
      <c r="L870" s="11" t="s">
        <v>327</v>
      </c>
      <c r="M870" s="1"/>
      <c r="N870" s="11"/>
      <c r="O870" s="11" t="s">
        <v>4042</v>
      </c>
      <c r="P870" s="1"/>
      <c r="Q870" s="1"/>
      <c r="R870" s="11"/>
      <c r="S870" s="2">
        <f>CONSOLIDADO_2026[[#This Row],[Hora final]]-CONSOLIDADO_2026[[#This Row],[Hora inic]]</f>
        <v>0.33333333333333337</v>
      </c>
    </row>
    <row r="871" spans="1:19" hidden="1" x14ac:dyDescent="0.25">
      <c r="A871" t="s">
        <v>4180</v>
      </c>
      <c r="B871">
        <v>1094275204</v>
      </c>
      <c r="C871" t="s">
        <v>1879</v>
      </c>
      <c r="D871" s="11" t="s">
        <v>272</v>
      </c>
      <c r="E871" s="11" t="s">
        <v>4056</v>
      </c>
      <c r="F871" s="11" t="s">
        <v>4140</v>
      </c>
      <c r="G871" s="1">
        <v>46246</v>
      </c>
      <c r="H871" s="1">
        <v>46246</v>
      </c>
      <c r="I871" s="2"/>
      <c r="J871" s="2"/>
      <c r="K871" s="11"/>
      <c r="L871" s="11" t="s">
        <v>4041</v>
      </c>
      <c r="M871" s="1"/>
      <c r="N871" s="11"/>
      <c r="O871" s="11" t="s">
        <v>4042</v>
      </c>
      <c r="P871" s="1"/>
      <c r="Q871" s="1"/>
      <c r="R871" s="11"/>
      <c r="S871" s="2">
        <f>CONSOLIDADO_2026[[#This Row],[Hora final]]-CONSOLIDADO_2026[[#This Row],[Hora inic]]</f>
        <v>0</v>
      </c>
    </row>
    <row r="872" spans="1:19" hidden="1" x14ac:dyDescent="0.25">
      <c r="A872" t="s">
        <v>4180</v>
      </c>
      <c r="B872">
        <v>1004960056</v>
      </c>
      <c r="C872" t="s">
        <v>644</v>
      </c>
      <c r="D872" s="11" t="s">
        <v>634</v>
      </c>
      <c r="E872" s="11" t="s">
        <v>4045</v>
      </c>
      <c r="F872" s="11" t="s">
        <v>4091</v>
      </c>
      <c r="G872" s="1">
        <v>46246</v>
      </c>
      <c r="H872" s="1">
        <v>46247</v>
      </c>
      <c r="I872" s="2">
        <v>0.25</v>
      </c>
      <c r="J872" s="2">
        <v>0.54166666666666663</v>
      </c>
      <c r="K872" s="11" t="s">
        <v>199</v>
      </c>
      <c r="L872" s="11" t="s">
        <v>200</v>
      </c>
      <c r="M872" s="1"/>
      <c r="N872" s="11"/>
      <c r="O872" s="11" t="s">
        <v>21</v>
      </c>
      <c r="P872" s="1"/>
      <c r="Q872" s="1"/>
      <c r="R872" s="11"/>
      <c r="S872" s="2">
        <f>CONSOLIDADO_2026[[#This Row],[Hora final]]-CONSOLIDADO_2026[[#This Row],[Hora inic]]</f>
        <v>0.29166666666666663</v>
      </c>
    </row>
    <row r="873" spans="1:19" hidden="1" x14ac:dyDescent="0.25">
      <c r="A873" t="s">
        <v>4180</v>
      </c>
      <c r="B873">
        <v>1017264032</v>
      </c>
      <c r="C873" t="s">
        <v>54</v>
      </c>
      <c r="D873" s="11" t="s">
        <v>55</v>
      </c>
      <c r="E873" s="11" t="s">
        <v>4047</v>
      </c>
      <c r="F873" s="11" t="s">
        <v>16</v>
      </c>
      <c r="G873" s="1">
        <v>46229</v>
      </c>
      <c r="H873" s="1">
        <v>46258</v>
      </c>
      <c r="I873" s="2">
        <v>0.58333333333333337</v>
      </c>
      <c r="J873" s="2">
        <v>0.875</v>
      </c>
      <c r="K873" s="11"/>
      <c r="L873" s="11" t="s">
        <v>327</v>
      </c>
      <c r="M873" s="1"/>
      <c r="N873" s="11"/>
      <c r="O873" s="11" t="s">
        <v>4042</v>
      </c>
      <c r="P873" s="1"/>
      <c r="Q873" s="1"/>
      <c r="R873" s="11"/>
      <c r="S873" s="2">
        <f>CONSOLIDADO_2026[[#This Row],[Hora final]]-CONSOLIDADO_2026[[#This Row],[Hora inic]]</f>
        <v>0.29166666666666663</v>
      </c>
    </row>
    <row r="874" spans="1:19" hidden="1" x14ac:dyDescent="0.25">
      <c r="A874" t="s">
        <v>4180</v>
      </c>
      <c r="B874">
        <v>1000640883</v>
      </c>
      <c r="C874" t="s">
        <v>3269</v>
      </c>
      <c r="D874" s="11" t="s">
        <v>55</v>
      </c>
      <c r="E874" s="11" t="s">
        <v>4047</v>
      </c>
      <c r="F874" s="11" t="s">
        <v>16</v>
      </c>
      <c r="G874" s="1">
        <v>46247</v>
      </c>
      <c r="H874" s="1"/>
      <c r="I874" s="2">
        <v>0.58333333333333337</v>
      </c>
      <c r="J874" s="2">
        <v>0.875</v>
      </c>
      <c r="K874" s="11"/>
      <c r="L874" s="11" t="s">
        <v>4084</v>
      </c>
      <c r="M874" s="1"/>
      <c r="N874" s="11"/>
      <c r="O874" s="11" t="s">
        <v>4042</v>
      </c>
      <c r="P874" s="1"/>
      <c r="Q874" s="1"/>
      <c r="R874" s="11"/>
      <c r="S874" s="2">
        <f>CONSOLIDADO_2026[[#This Row],[Hora final]]-CONSOLIDADO_2026[[#This Row],[Hora inic]]</f>
        <v>0.29166666666666663</v>
      </c>
    </row>
    <row r="875" spans="1:19" hidden="1" x14ac:dyDescent="0.25">
      <c r="A875" t="s">
        <v>4180</v>
      </c>
      <c r="B875">
        <v>1071169507</v>
      </c>
      <c r="C875" t="s">
        <v>161</v>
      </c>
      <c r="D875" s="11" t="s">
        <v>162</v>
      </c>
      <c r="E875" s="11" t="s">
        <v>4056</v>
      </c>
      <c r="F875" s="11" t="s">
        <v>92</v>
      </c>
      <c r="G875" s="1">
        <v>46242</v>
      </c>
      <c r="H875" s="1">
        <v>46247</v>
      </c>
      <c r="I875" s="2">
        <v>0.58333333333333337</v>
      </c>
      <c r="J875" s="2">
        <v>0.875</v>
      </c>
      <c r="K875" s="11" t="s">
        <v>267</v>
      </c>
      <c r="L875" s="11" t="s">
        <v>268</v>
      </c>
      <c r="M875" s="1"/>
      <c r="N875" s="11"/>
      <c r="O875" s="11" t="s">
        <v>21</v>
      </c>
      <c r="P875" s="1"/>
      <c r="Q875" s="1"/>
      <c r="R875" s="11"/>
      <c r="S875" s="2">
        <f>CONSOLIDADO_2026[[#This Row],[Hora final]]-CONSOLIDADO_2026[[#This Row],[Hora inic]]</f>
        <v>0.29166666666666663</v>
      </c>
    </row>
    <row r="876" spans="1:19" hidden="1" x14ac:dyDescent="0.25">
      <c r="A876" t="s">
        <v>4180</v>
      </c>
      <c r="B876">
        <v>1036132488</v>
      </c>
      <c r="C876" t="s">
        <v>89</v>
      </c>
      <c r="D876" s="11" t="s">
        <v>59</v>
      </c>
      <c r="E876" s="11" t="s">
        <v>4047</v>
      </c>
      <c r="F876" s="11" t="s">
        <v>16</v>
      </c>
      <c r="G876" s="1">
        <v>46227</v>
      </c>
      <c r="H876" s="1">
        <v>46246</v>
      </c>
      <c r="I876" s="2"/>
      <c r="J876" s="2"/>
      <c r="K876" s="11"/>
      <c r="L876" s="11" t="s">
        <v>4041</v>
      </c>
      <c r="M876" s="1"/>
      <c r="N876" s="11"/>
      <c r="O876" s="11" t="s">
        <v>4042</v>
      </c>
      <c r="P876" s="1"/>
      <c r="Q876" s="1"/>
      <c r="R876" s="11"/>
      <c r="S876" s="2">
        <f>CONSOLIDADO_2026[[#This Row],[Hora final]]-CONSOLIDADO_2026[[#This Row],[Hora inic]]</f>
        <v>0</v>
      </c>
    </row>
    <row r="877" spans="1:19" hidden="1" x14ac:dyDescent="0.25">
      <c r="A877" t="s">
        <v>4180</v>
      </c>
      <c r="B877">
        <v>1037631989</v>
      </c>
      <c r="C877" t="s">
        <v>27</v>
      </c>
      <c r="D877" s="11" t="s">
        <v>28</v>
      </c>
      <c r="E877" s="11" t="s">
        <v>4046</v>
      </c>
      <c r="F877" s="11" t="s">
        <v>16</v>
      </c>
      <c r="G877" s="1">
        <v>46226</v>
      </c>
      <c r="H877" s="1">
        <v>46255</v>
      </c>
      <c r="I877" s="2">
        <v>0.54166666666666663</v>
      </c>
      <c r="J877" s="2">
        <v>0.875</v>
      </c>
      <c r="K877" s="11"/>
      <c r="L877" s="11" t="s">
        <v>327</v>
      </c>
      <c r="M877" s="1"/>
      <c r="N877" s="11"/>
      <c r="O877" s="11" t="s">
        <v>4042</v>
      </c>
      <c r="P877" s="1"/>
      <c r="Q877" s="1"/>
      <c r="R877" s="11"/>
      <c r="S877" s="2">
        <f>CONSOLIDADO_2026[[#This Row],[Hora final]]-CONSOLIDADO_2026[[#This Row],[Hora inic]]</f>
        <v>0.33333333333333337</v>
      </c>
    </row>
    <row r="878" spans="1:19" hidden="1" x14ac:dyDescent="0.25">
      <c r="A878" t="s">
        <v>4180</v>
      </c>
      <c r="B878">
        <v>1143414481</v>
      </c>
      <c r="C878" t="s">
        <v>2447</v>
      </c>
      <c r="D878" s="11" t="s">
        <v>28</v>
      </c>
      <c r="E878" s="11" t="s">
        <v>4046</v>
      </c>
      <c r="F878" s="11" t="s">
        <v>4123</v>
      </c>
      <c r="G878" s="1">
        <v>46247</v>
      </c>
      <c r="H878" s="1">
        <v>46252</v>
      </c>
      <c r="I878" s="2">
        <v>0.54166666666666663</v>
      </c>
      <c r="J878" s="2">
        <v>0.875</v>
      </c>
      <c r="K878" s="11" t="s">
        <v>73</v>
      </c>
      <c r="L878" s="11" t="s">
        <v>74</v>
      </c>
      <c r="M878" s="1"/>
      <c r="N878" s="11"/>
      <c r="O878" s="11" t="s">
        <v>21</v>
      </c>
      <c r="P878" s="1"/>
      <c r="Q878" s="1"/>
      <c r="R878" s="11"/>
      <c r="S878" s="2">
        <f>CONSOLIDADO_2026[[#This Row],[Hora final]]-CONSOLIDADO_2026[[#This Row],[Hora inic]]</f>
        <v>0.33333333333333337</v>
      </c>
    </row>
    <row r="879" spans="1:19" hidden="1" x14ac:dyDescent="0.25">
      <c r="A879" t="s">
        <v>4180</v>
      </c>
      <c r="B879">
        <v>1043006106</v>
      </c>
      <c r="C879" t="s">
        <v>202</v>
      </c>
      <c r="D879" s="11" t="s">
        <v>64</v>
      </c>
      <c r="E879" s="11" t="s">
        <v>4046</v>
      </c>
      <c r="F879" s="11" t="s">
        <v>16</v>
      </c>
      <c r="G879" s="1">
        <v>46219</v>
      </c>
      <c r="H879" s="1">
        <v>46248</v>
      </c>
      <c r="I879" s="2">
        <v>0.58333333333333337</v>
      </c>
      <c r="J879" s="2">
        <v>0.875</v>
      </c>
      <c r="K879" s="11" t="s">
        <v>231</v>
      </c>
      <c r="L879" s="11" t="s">
        <v>232</v>
      </c>
      <c r="M879" s="1"/>
      <c r="N879" s="11"/>
      <c r="O879" s="11" t="s">
        <v>21</v>
      </c>
      <c r="P879" s="1"/>
      <c r="Q879" s="1"/>
      <c r="R879" s="11"/>
      <c r="S879" s="2">
        <f>CONSOLIDADO_2026[[#This Row],[Hora final]]-CONSOLIDADO_2026[[#This Row],[Hora inic]]</f>
        <v>0.29166666666666663</v>
      </c>
    </row>
    <row r="880" spans="1:19" hidden="1" x14ac:dyDescent="0.25">
      <c r="A880" t="s">
        <v>4180</v>
      </c>
      <c r="B880">
        <v>1037638426</v>
      </c>
      <c r="C880" t="s">
        <v>31</v>
      </c>
      <c r="D880" s="11" t="s">
        <v>28</v>
      </c>
      <c r="E880" s="11" t="s">
        <v>4046</v>
      </c>
      <c r="F880" s="11" t="s">
        <v>24</v>
      </c>
      <c r="G880" s="1">
        <v>46230</v>
      </c>
      <c r="H880" s="1">
        <v>46262</v>
      </c>
      <c r="I880" s="2">
        <v>0.25</v>
      </c>
      <c r="J880" s="2">
        <v>0.54166666666666663</v>
      </c>
      <c r="K880" s="11" t="s">
        <v>300</v>
      </c>
      <c r="L880" s="11" t="s">
        <v>301</v>
      </c>
      <c r="M880" s="1"/>
      <c r="N880" s="11"/>
      <c r="O880" s="11" t="s">
        <v>21</v>
      </c>
      <c r="P880" s="1"/>
      <c r="Q880" s="1"/>
      <c r="R880" s="11"/>
      <c r="S880" s="2">
        <f>CONSOLIDADO_2026[[#This Row],[Hora final]]-CONSOLIDADO_2026[[#This Row],[Hora inic]]</f>
        <v>0.29166666666666663</v>
      </c>
    </row>
    <row r="881" spans="1:19" hidden="1" x14ac:dyDescent="0.25">
      <c r="A881" t="s">
        <v>4180</v>
      </c>
      <c r="B881">
        <v>1121506548</v>
      </c>
      <c r="C881" t="s">
        <v>38</v>
      </c>
      <c r="D881" s="11" t="s">
        <v>39</v>
      </c>
      <c r="E881" s="11" t="s">
        <v>4046</v>
      </c>
      <c r="F881" s="11" t="s">
        <v>36</v>
      </c>
      <c r="G881" s="1">
        <v>46217</v>
      </c>
      <c r="H881" s="1">
        <v>46342</v>
      </c>
      <c r="I881" s="2">
        <v>0.58333333333333337</v>
      </c>
      <c r="J881" s="2">
        <v>0.875</v>
      </c>
      <c r="K881" s="11"/>
      <c r="L881" s="11" t="s">
        <v>327</v>
      </c>
      <c r="M881" s="1"/>
      <c r="N881" s="11"/>
      <c r="O881" s="11" t="s">
        <v>4042</v>
      </c>
      <c r="P881" s="1"/>
      <c r="Q881" s="1"/>
      <c r="R881" s="11"/>
      <c r="S881" s="2">
        <f>CONSOLIDADO_2026[[#This Row],[Hora final]]-CONSOLIDADO_2026[[#This Row],[Hora inic]]</f>
        <v>0.29166666666666663</v>
      </c>
    </row>
    <row r="882" spans="1:19" hidden="1" x14ac:dyDescent="0.25">
      <c r="A882" t="s">
        <v>4180</v>
      </c>
      <c r="B882">
        <v>1037630071</v>
      </c>
      <c r="C882" t="s">
        <v>3579</v>
      </c>
      <c r="D882" s="11" t="s">
        <v>176</v>
      </c>
      <c r="E882" s="11" t="s">
        <v>4040</v>
      </c>
      <c r="F882" s="11" t="s">
        <v>4062</v>
      </c>
      <c r="G882" s="1">
        <v>46247</v>
      </c>
      <c r="H882" s="1">
        <v>46265</v>
      </c>
      <c r="I882" s="2">
        <v>0.25</v>
      </c>
      <c r="J882" s="2">
        <v>0.58333333333333337</v>
      </c>
      <c r="K882" s="11" t="s">
        <v>85</v>
      </c>
      <c r="L882" s="11" t="s">
        <v>86</v>
      </c>
      <c r="M882" s="1"/>
      <c r="N882" s="11"/>
      <c r="O882" s="11" t="s">
        <v>21</v>
      </c>
      <c r="P882" s="1"/>
      <c r="Q882" s="1"/>
      <c r="R882" s="11"/>
      <c r="S882" s="2">
        <f>CONSOLIDADO_2026[[#This Row],[Hora final]]-CONSOLIDADO_2026[[#This Row],[Hora inic]]</f>
        <v>0.33333333333333337</v>
      </c>
    </row>
    <row r="883" spans="1:19" hidden="1" x14ac:dyDescent="0.25">
      <c r="A883" t="s">
        <v>4180</v>
      </c>
      <c r="B883">
        <v>1143460426</v>
      </c>
      <c r="C883" t="s">
        <v>4069</v>
      </c>
      <c r="D883" s="11" t="s">
        <v>64</v>
      </c>
      <c r="E883" s="11" t="s">
        <v>4046</v>
      </c>
      <c r="F883" s="11" t="s">
        <v>4050</v>
      </c>
      <c r="G883" s="1">
        <v>46195</v>
      </c>
      <c r="H883" s="1">
        <v>46198</v>
      </c>
      <c r="I883" s="2">
        <v>0.58333333333333337</v>
      </c>
      <c r="J883" s="2">
        <v>0.875</v>
      </c>
      <c r="K883" s="11" t="s">
        <v>236</v>
      </c>
      <c r="L883" s="11" t="s">
        <v>237</v>
      </c>
      <c r="M883" s="1"/>
      <c r="N883" s="11"/>
      <c r="O883" s="11" t="s">
        <v>21</v>
      </c>
      <c r="P883" s="1"/>
      <c r="Q883" s="1"/>
      <c r="R883" s="11"/>
      <c r="S883" s="2">
        <f>CONSOLIDADO_2026[[#This Row],[Hora final]]-CONSOLIDADO_2026[[#This Row],[Hora inic]]</f>
        <v>0.29166666666666663</v>
      </c>
    </row>
    <row r="884" spans="1:19" hidden="1" x14ac:dyDescent="0.25">
      <c r="A884" t="s">
        <v>4180</v>
      </c>
      <c r="B884">
        <v>1001897056</v>
      </c>
      <c r="C884" t="s">
        <v>334</v>
      </c>
      <c r="D884" s="11" t="s">
        <v>139</v>
      </c>
      <c r="E884" s="11" t="s">
        <v>4040</v>
      </c>
      <c r="F884" s="11" t="s">
        <v>16</v>
      </c>
      <c r="G884" s="1">
        <v>46245</v>
      </c>
      <c r="H884" s="1">
        <v>46249</v>
      </c>
      <c r="I884" s="2">
        <v>0.54166666666666663</v>
      </c>
      <c r="J884" s="2">
        <v>0.875</v>
      </c>
      <c r="K884" s="11"/>
      <c r="L884" s="11" t="s">
        <v>327</v>
      </c>
      <c r="M884" s="1"/>
      <c r="N884" s="11"/>
      <c r="O884" s="11" t="s">
        <v>4042</v>
      </c>
      <c r="P884" s="1"/>
      <c r="Q884" s="1"/>
      <c r="R884" s="11"/>
      <c r="S884" s="2">
        <f>CONSOLIDADO_2026[[#This Row],[Hora final]]-CONSOLIDADO_2026[[#This Row],[Hora inic]]</f>
        <v>0.33333333333333337</v>
      </c>
    </row>
    <row r="885" spans="1:19" hidden="1" x14ac:dyDescent="0.25">
      <c r="A885" t="s">
        <v>4180</v>
      </c>
      <c r="B885">
        <v>1098777544</v>
      </c>
      <c r="C885" t="s">
        <v>131</v>
      </c>
      <c r="D885" s="11" t="s">
        <v>132</v>
      </c>
      <c r="E885" s="11" t="s">
        <v>4040</v>
      </c>
      <c r="F885" s="11" t="s">
        <v>16</v>
      </c>
      <c r="G885" s="1">
        <v>46217</v>
      </c>
      <c r="H885" s="1">
        <v>46246</v>
      </c>
      <c r="I885" s="2"/>
      <c r="J885" s="2"/>
      <c r="K885" s="11"/>
      <c r="L885" s="11" t="s">
        <v>4041</v>
      </c>
      <c r="M885" s="1"/>
      <c r="N885" s="11"/>
      <c r="O885" s="11" t="s">
        <v>4042</v>
      </c>
      <c r="P885" s="1"/>
      <c r="Q885" s="1"/>
      <c r="R885" s="11"/>
      <c r="S885" s="2">
        <f>CONSOLIDADO_2026[[#This Row],[Hora final]]-CONSOLIDADO_2026[[#This Row],[Hora inic]]</f>
        <v>0</v>
      </c>
    </row>
    <row r="886" spans="1:19" hidden="1" x14ac:dyDescent="0.25">
      <c r="A886" t="s">
        <v>4180</v>
      </c>
      <c r="B886">
        <v>1152462704</v>
      </c>
      <c r="C886" t="s">
        <v>746</v>
      </c>
      <c r="D886" s="11" t="s">
        <v>132</v>
      </c>
      <c r="E886" s="11" t="s">
        <v>4040</v>
      </c>
      <c r="F886" s="11" t="s">
        <v>16</v>
      </c>
      <c r="G886" s="1">
        <v>46246</v>
      </c>
      <c r="H886" s="1">
        <v>46248</v>
      </c>
      <c r="I886" s="2"/>
      <c r="J886" s="2"/>
      <c r="K886" s="11"/>
      <c r="L886" s="11" t="s">
        <v>4060</v>
      </c>
      <c r="M886" s="1"/>
      <c r="N886" s="11"/>
      <c r="O886" s="11" t="s">
        <v>4042</v>
      </c>
      <c r="P886" s="1"/>
      <c r="Q886" s="1"/>
      <c r="R886" s="11"/>
      <c r="S886" s="2">
        <f>CONSOLIDADO_2026[[#This Row],[Hora final]]-CONSOLIDADO_2026[[#This Row],[Hora inic]]</f>
        <v>0</v>
      </c>
    </row>
    <row r="887" spans="1:19" hidden="1" x14ac:dyDescent="0.25">
      <c r="A887" t="s">
        <v>4180</v>
      </c>
      <c r="B887">
        <v>1082926383</v>
      </c>
      <c r="C887" t="s">
        <v>663</v>
      </c>
      <c r="D887" s="11" t="s">
        <v>132</v>
      </c>
      <c r="E887" s="11" t="s">
        <v>4040</v>
      </c>
      <c r="F887" s="11" t="s">
        <v>16</v>
      </c>
      <c r="G887" s="1">
        <v>46246</v>
      </c>
      <c r="H887" s="1">
        <v>46248</v>
      </c>
      <c r="I887" s="2">
        <v>0.25</v>
      </c>
      <c r="J887" s="2">
        <v>0.58333333333333337</v>
      </c>
      <c r="K887" s="11"/>
      <c r="L887" s="11" t="s">
        <v>327</v>
      </c>
      <c r="M887" s="1"/>
      <c r="N887" s="11"/>
      <c r="O887" s="11" t="s">
        <v>4042</v>
      </c>
      <c r="P887" s="1"/>
      <c r="Q887" s="1"/>
      <c r="R887" s="11"/>
      <c r="S887" s="2">
        <f>CONSOLIDADO_2026[[#This Row],[Hora final]]-CONSOLIDADO_2026[[#This Row],[Hora inic]]</f>
        <v>0.33333333333333337</v>
      </c>
    </row>
    <row r="888" spans="1:19" hidden="1" x14ac:dyDescent="0.25">
      <c r="A888" t="s">
        <v>4180</v>
      </c>
      <c r="B888">
        <v>1000662062</v>
      </c>
      <c r="C888" t="s">
        <v>330</v>
      </c>
      <c r="D888" s="11" t="s">
        <v>55</v>
      </c>
      <c r="E888" s="11" t="s">
        <v>4047</v>
      </c>
      <c r="F888" s="11" t="s">
        <v>16</v>
      </c>
      <c r="G888" s="1">
        <v>46245</v>
      </c>
      <c r="H888" s="1">
        <v>46249</v>
      </c>
      <c r="I888" s="2">
        <v>0.25</v>
      </c>
      <c r="J888" s="2">
        <v>0.58333333333333337</v>
      </c>
      <c r="K888" s="11"/>
      <c r="L888" s="11" t="s">
        <v>327</v>
      </c>
      <c r="M888" s="1"/>
      <c r="N888" s="11"/>
      <c r="O888" s="11" t="s">
        <v>4042</v>
      </c>
      <c r="P888" s="1"/>
      <c r="Q888" s="1"/>
      <c r="R888" s="11"/>
      <c r="S888" s="2">
        <f>CONSOLIDADO_2026[[#This Row],[Hora final]]-CONSOLIDADO_2026[[#This Row],[Hora inic]]</f>
        <v>0.33333333333333337</v>
      </c>
    </row>
    <row r="889" spans="1:19" hidden="1" x14ac:dyDescent="0.25">
      <c r="A889" t="s">
        <v>4180</v>
      </c>
      <c r="B889">
        <v>43558465</v>
      </c>
      <c r="C889" t="s">
        <v>71</v>
      </c>
      <c r="D889" s="11" t="s">
        <v>55</v>
      </c>
      <c r="E889" s="11" t="s">
        <v>4047</v>
      </c>
      <c r="F889" s="11" t="s">
        <v>16</v>
      </c>
      <c r="G889" s="1">
        <v>46226</v>
      </c>
      <c r="H889" s="1">
        <v>46246</v>
      </c>
      <c r="I889" s="2"/>
      <c r="J889" s="2"/>
      <c r="K889" s="11"/>
      <c r="L889" s="11" t="s">
        <v>4041</v>
      </c>
      <c r="M889" s="1"/>
      <c r="N889" s="11"/>
      <c r="O889" s="11" t="s">
        <v>4042</v>
      </c>
      <c r="P889" s="1"/>
      <c r="Q889" s="1"/>
      <c r="R889" s="11"/>
      <c r="S889" s="2">
        <f>CONSOLIDADO_2026[[#This Row],[Hora final]]-CONSOLIDADO_2026[[#This Row],[Hora inic]]</f>
        <v>0</v>
      </c>
    </row>
    <row r="890" spans="1:19" hidden="1" x14ac:dyDescent="0.25">
      <c r="A890" t="s">
        <v>4180</v>
      </c>
      <c r="B890">
        <v>1082896324</v>
      </c>
      <c r="C890" t="s">
        <v>127</v>
      </c>
      <c r="D890" s="11" t="s">
        <v>128</v>
      </c>
      <c r="E890" s="11" t="s">
        <v>4045</v>
      </c>
      <c r="F890" s="11" t="s">
        <v>16</v>
      </c>
      <c r="G890" s="1">
        <v>46242</v>
      </c>
      <c r="H890" s="1">
        <v>46272</v>
      </c>
      <c r="I890" s="2">
        <v>0.58333333333333337</v>
      </c>
      <c r="J890" s="2">
        <v>0.875</v>
      </c>
      <c r="K890" s="11" t="s">
        <v>213</v>
      </c>
      <c r="L890" s="11" t="s">
        <v>214</v>
      </c>
      <c r="M890" s="1"/>
      <c r="N890" s="11"/>
      <c r="O890" s="11" t="s">
        <v>21</v>
      </c>
      <c r="P890" s="1"/>
      <c r="Q890" s="1"/>
      <c r="R890" s="11"/>
      <c r="S890" s="2">
        <f>CONSOLIDADO_2026[[#This Row],[Hora final]]-CONSOLIDADO_2026[[#This Row],[Hora inic]]</f>
        <v>0.29166666666666663</v>
      </c>
    </row>
    <row r="891" spans="1:19" hidden="1" x14ac:dyDescent="0.25">
      <c r="A891" t="s">
        <v>4180</v>
      </c>
      <c r="B891">
        <v>1143267842</v>
      </c>
      <c r="C891" t="s">
        <v>1501</v>
      </c>
      <c r="D891" s="11" t="s">
        <v>128</v>
      </c>
      <c r="E891" s="11" t="s">
        <v>4045</v>
      </c>
      <c r="F891" s="11" t="s">
        <v>16</v>
      </c>
      <c r="G891" s="1">
        <v>46246</v>
      </c>
      <c r="H891" s="1">
        <v>46248</v>
      </c>
      <c r="I891" s="2">
        <v>0.54166666666666663</v>
      </c>
      <c r="J891" s="2">
        <v>0.875</v>
      </c>
      <c r="K891" s="11"/>
      <c r="L891" s="11" t="s">
        <v>4060</v>
      </c>
      <c r="M891" s="1"/>
      <c r="N891" s="11"/>
      <c r="O891" s="11" t="s">
        <v>4042</v>
      </c>
      <c r="P891" s="1"/>
      <c r="Q891" s="1"/>
      <c r="R891" s="11"/>
      <c r="S891" s="2">
        <f>CONSOLIDADO_2026[[#This Row],[Hora final]]-CONSOLIDADO_2026[[#This Row],[Hora inic]]</f>
        <v>0.33333333333333337</v>
      </c>
    </row>
    <row r="892" spans="1:19" hidden="1" x14ac:dyDescent="0.25">
      <c r="A892" t="s">
        <v>4180</v>
      </c>
      <c r="B892">
        <v>1037671907</v>
      </c>
      <c r="C892" t="s">
        <v>4164</v>
      </c>
      <c r="D892" s="11" t="s">
        <v>82</v>
      </c>
      <c r="E892" s="11" t="s">
        <v>4045</v>
      </c>
      <c r="F892" s="11" t="s">
        <v>4050</v>
      </c>
      <c r="G892" s="1">
        <v>46245</v>
      </c>
      <c r="H892" s="1">
        <v>46247</v>
      </c>
      <c r="I892" s="2">
        <v>0.25</v>
      </c>
      <c r="J892" s="2">
        <v>0.54166666666666663</v>
      </c>
      <c r="K892" s="11"/>
      <c r="L892" s="11" t="s">
        <v>327</v>
      </c>
      <c r="M892" s="1"/>
      <c r="N892" s="11"/>
      <c r="O892" s="11" t="s">
        <v>4042</v>
      </c>
      <c r="P892" s="1"/>
      <c r="Q892" s="1"/>
      <c r="R892" s="11"/>
      <c r="S892" s="2">
        <f>CONSOLIDADO_2026[[#This Row],[Hora final]]-CONSOLIDADO_2026[[#This Row],[Hora inic]]</f>
        <v>0.29166666666666663</v>
      </c>
    </row>
    <row r="893" spans="1:19" hidden="1" x14ac:dyDescent="0.25">
      <c r="A893" t="s">
        <v>4180</v>
      </c>
      <c r="B893">
        <v>1045718883</v>
      </c>
      <c r="C893" t="s">
        <v>34</v>
      </c>
      <c r="D893" s="11" t="s">
        <v>15</v>
      </c>
      <c r="E893" s="11" t="s">
        <v>4046</v>
      </c>
      <c r="F893" s="11" t="s">
        <v>36</v>
      </c>
      <c r="G893" s="1">
        <v>46245</v>
      </c>
      <c r="H893" s="1">
        <v>46340</v>
      </c>
      <c r="I893" s="2">
        <v>0.25</v>
      </c>
      <c r="J893" s="2">
        <v>0.54166666666666663</v>
      </c>
      <c r="K893" s="11" t="s">
        <v>17</v>
      </c>
      <c r="L893" s="11" t="s">
        <v>18</v>
      </c>
      <c r="M893" s="1"/>
      <c r="N893" s="11"/>
      <c r="O893" s="11" t="s">
        <v>21</v>
      </c>
      <c r="P893" s="1"/>
      <c r="Q893" s="1"/>
      <c r="R893" s="11"/>
      <c r="S893" s="2">
        <f>CONSOLIDADO_2026[[#This Row],[Hora final]]-CONSOLIDADO_2026[[#This Row],[Hora inic]]</f>
        <v>0.29166666666666663</v>
      </c>
    </row>
    <row r="894" spans="1:19" hidden="1" x14ac:dyDescent="0.25">
      <c r="A894" t="s">
        <v>4180</v>
      </c>
      <c r="B894">
        <v>1102808787</v>
      </c>
      <c r="C894" t="s">
        <v>135</v>
      </c>
      <c r="D894" s="11" t="s">
        <v>39</v>
      </c>
      <c r="E894" s="11" t="s">
        <v>4046</v>
      </c>
      <c r="F894" s="11" t="s">
        <v>16</v>
      </c>
      <c r="G894" s="1">
        <v>46237</v>
      </c>
      <c r="H894" s="1">
        <v>46276</v>
      </c>
      <c r="I894" s="2">
        <v>0.54166666666666663</v>
      </c>
      <c r="J894" s="2">
        <v>0.875</v>
      </c>
      <c r="K894" s="11"/>
      <c r="L894" s="11" t="s">
        <v>327</v>
      </c>
      <c r="M894" s="1"/>
      <c r="N894" s="11"/>
      <c r="O894" s="11" t="s">
        <v>4042</v>
      </c>
      <c r="P894" s="1"/>
      <c r="Q894" s="1"/>
      <c r="R894" s="11"/>
      <c r="S894" s="2">
        <f>CONSOLIDADO_2026[[#This Row],[Hora final]]-CONSOLIDADO_2026[[#This Row],[Hora inic]]</f>
        <v>0.33333333333333337</v>
      </c>
    </row>
    <row r="895" spans="1:19" hidden="1" x14ac:dyDescent="0.25">
      <c r="A895" t="s">
        <v>4180</v>
      </c>
      <c r="B895">
        <v>59310511</v>
      </c>
      <c r="C895" t="s">
        <v>1323</v>
      </c>
      <c r="D895" s="11" t="s">
        <v>64</v>
      </c>
      <c r="E895" s="11" t="s">
        <v>4046</v>
      </c>
      <c r="F895" s="11" t="s">
        <v>16</v>
      </c>
      <c r="G895" s="1">
        <v>46246</v>
      </c>
      <c r="H895" s="1">
        <v>46246</v>
      </c>
      <c r="I895" s="2"/>
      <c r="J895" s="2"/>
      <c r="K895" s="11"/>
      <c r="L895" s="11" t="s">
        <v>4041</v>
      </c>
      <c r="M895" s="1"/>
      <c r="N895" s="11"/>
      <c r="O895" s="11" t="s">
        <v>4042</v>
      </c>
      <c r="P895" s="1"/>
      <c r="Q895" s="1"/>
      <c r="R895" s="11"/>
      <c r="S895" s="2">
        <f>CONSOLIDADO_2026[[#This Row],[Hora final]]-CONSOLIDADO_2026[[#This Row],[Hora inic]]</f>
        <v>0</v>
      </c>
    </row>
    <row r="896" spans="1:19" hidden="1" x14ac:dyDescent="0.25">
      <c r="A896" t="s">
        <v>4180</v>
      </c>
      <c r="B896">
        <v>1005424850</v>
      </c>
      <c r="C896" t="s">
        <v>95</v>
      </c>
      <c r="D896" s="11" t="s">
        <v>82</v>
      </c>
      <c r="E896" s="11" t="s">
        <v>4045</v>
      </c>
      <c r="F896" s="11" t="s">
        <v>4062</v>
      </c>
      <c r="G896" s="1">
        <v>46247</v>
      </c>
      <c r="H896" s="1">
        <v>46262</v>
      </c>
      <c r="I896" s="2">
        <v>0.5</v>
      </c>
      <c r="J896" s="2">
        <v>0.83333333333333337</v>
      </c>
      <c r="K896" s="11" t="s">
        <v>303</v>
      </c>
      <c r="L896" s="11" t="s">
        <v>304</v>
      </c>
      <c r="M896" s="1"/>
      <c r="N896" s="11"/>
      <c r="O896" s="11" t="s">
        <v>21</v>
      </c>
      <c r="P896" s="1"/>
      <c r="Q896" s="1"/>
      <c r="R896" s="11"/>
      <c r="S896" s="2">
        <f>CONSOLIDADO_2026[[#This Row],[Hora final]]-CONSOLIDADO_2026[[#This Row],[Hora inic]]</f>
        <v>0.33333333333333337</v>
      </c>
    </row>
    <row r="897" spans="1:19" hidden="1" x14ac:dyDescent="0.25">
      <c r="A897" t="s">
        <v>4180</v>
      </c>
      <c r="B897">
        <v>1036132488</v>
      </c>
      <c r="C897" t="s">
        <v>89</v>
      </c>
      <c r="D897" s="11" t="s">
        <v>59</v>
      </c>
      <c r="E897" s="11" t="s">
        <v>4047</v>
      </c>
      <c r="F897" s="11" t="s">
        <v>16</v>
      </c>
      <c r="G897" s="1">
        <v>46247</v>
      </c>
      <c r="H897" s="1">
        <v>46248</v>
      </c>
      <c r="I897" s="2">
        <v>0.25</v>
      </c>
      <c r="J897" s="2">
        <v>0.58333333333333337</v>
      </c>
      <c r="K897" s="11"/>
      <c r="L897" s="11" t="s">
        <v>4060</v>
      </c>
      <c r="M897" s="1"/>
      <c r="N897" s="11"/>
      <c r="O897" s="11" t="s">
        <v>4042</v>
      </c>
      <c r="P897" s="1"/>
      <c r="Q897" s="1"/>
      <c r="R897" s="11"/>
      <c r="S897" s="2">
        <f>CONSOLIDADO_2026[[#This Row],[Hora final]]-CONSOLIDADO_2026[[#This Row],[Hora inic]]</f>
        <v>0.33333333333333337</v>
      </c>
    </row>
    <row r="898" spans="1:19" hidden="1" x14ac:dyDescent="0.25">
      <c r="A898" t="s">
        <v>4180</v>
      </c>
      <c r="B898">
        <v>1143373273</v>
      </c>
      <c r="C898" t="s">
        <v>2037</v>
      </c>
      <c r="D898" s="11" t="s">
        <v>272</v>
      </c>
      <c r="E898" s="11" t="s">
        <v>4056</v>
      </c>
      <c r="F898" s="11" t="s">
        <v>16</v>
      </c>
      <c r="G898" s="1">
        <v>46245</v>
      </c>
      <c r="H898" s="1">
        <v>46247</v>
      </c>
      <c r="I898" s="2">
        <v>0.25</v>
      </c>
      <c r="J898" s="2">
        <v>0.58333333333333337</v>
      </c>
      <c r="K898" s="11" t="s">
        <v>3662</v>
      </c>
      <c r="L898" s="11" t="s">
        <v>3663</v>
      </c>
      <c r="M898" s="1"/>
      <c r="N898" s="11"/>
      <c r="O898" s="11" t="s">
        <v>21</v>
      </c>
      <c r="P898" s="1"/>
      <c r="Q898" s="1"/>
      <c r="R898" s="11"/>
      <c r="S898" s="2">
        <f>CONSOLIDADO_2026[[#This Row],[Hora final]]-CONSOLIDADO_2026[[#This Row],[Hora inic]]</f>
        <v>0.33333333333333337</v>
      </c>
    </row>
    <row r="899" spans="1:19" hidden="1" x14ac:dyDescent="0.25">
      <c r="A899" t="s">
        <v>4180</v>
      </c>
      <c r="B899">
        <v>1036965348</v>
      </c>
      <c r="C899" t="s">
        <v>229</v>
      </c>
      <c r="D899" s="11" t="s">
        <v>4079</v>
      </c>
      <c r="E899" s="11" t="s">
        <v>4046</v>
      </c>
      <c r="F899" s="11" t="s">
        <v>4079</v>
      </c>
      <c r="G899" s="1">
        <v>46247</v>
      </c>
      <c r="H899" s="1">
        <v>46247</v>
      </c>
      <c r="I899" s="2">
        <v>0.25</v>
      </c>
      <c r="J899" s="2">
        <v>0.58333333333333337</v>
      </c>
      <c r="K899" s="11"/>
      <c r="L899" s="11" t="s">
        <v>339</v>
      </c>
      <c r="M899" s="1"/>
      <c r="N899" s="11"/>
      <c r="O899" s="11" t="s">
        <v>4042</v>
      </c>
      <c r="P899" s="1"/>
      <c r="Q899" s="1"/>
      <c r="R899" s="11"/>
      <c r="S899" s="2">
        <f>CONSOLIDADO_2026[[#This Row],[Hora final]]-CONSOLIDADO_2026[[#This Row],[Hora inic]]</f>
        <v>0.33333333333333337</v>
      </c>
    </row>
    <row r="900" spans="1:19" hidden="1" x14ac:dyDescent="0.25">
      <c r="A900" t="s">
        <v>4180</v>
      </c>
      <c r="B900">
        <v>1000532653</v>
      </c>
      <c r="C900" t="s">
        <v>1187</v>
      </c>
      <c r="D900" s="11" t="s">
        <v>132</v>
      </c>
      <c r="E900" s="11" t="s">
        <v>4040</v>
      </c>
      <c r="F900" s="11" t="s">
        <v>16</v>
      </c>
      <c r="G900" s="1">
        <v>46246</v>
      </c>
      <c r="H900" s="1">
        <v>46246</v>
      </c>
      <c r="I900" s="2"/>
      <c r="J900" s="2"/>
      <c r="K900" s="11"/>
      <c r="L900" s="11" t="s">
        <v>4041</v>
      </c>
      <c r="M900" s="1"/>
      <c r="N900" s="11"/>
      <c r="O900" s="11" t="s">
        <v>4042</v>
      </c>
      <c r="P900" s="1"/>
      <c r="Q900" s="1"/>
      <c r="R900" s="11"/>
      <c r="S900" s="2">
        <f>CONSOLIDADO_2026[[#This Row],[Hora final]]-CONSOLIDADO_2026[[#This Row],[Hora inic]]</f>
        <v>0</v>
      </c>
    </row>
    <row r="901" spans="1:19" hidden="1" x14ac:dyDescent="0.25">
      <c r="A901" t="s">
        <v>4180</v>
      </c>
      <c r="B901">
        <v>43986125</v>
      </c>
      <c r="C901" t="s">
        <v>1299</v>
      </c>
      <c r="D901" s="11" t="s">
        <v>55</v>
      </c>
      <c r="E901" s="11" t="s">
        <v>4047</v>
      </c>
      <c r="F901" s="11" t="s">
        <v>16</v>
      </c>
      <c r="G901" s="1">
        <v>46246</v>
      </c>
      <c r="H901" s="1">
        <v>46248</v>
      </c>
      <c r="I901" s="2">
        <v>0.25</v>
      </c>
      <c r="J901" s="2">
        <v>0.58333333333333337</v>
      </c>
      <c r="K901" s="11"/>
      <c r="L901" s="11" t="s">
        <v>327</v>
      </c>
      <c r="M901" s="1"/>
      <c r="N901" s="11"/>
      <c r="O901" s="11" t="s">
        <v>4042</v>
      </c>
      <c r="P901" s="1"/>
      <c r="Q901" s="1"/>
      <c r="R901" s="11"/>
      <c r="S901" s="2">
        <f>CONSOLIDADO_2026[[#This Row],[Hora final]]-CONSOLIDADO_2026[[#This Row],[Hora inic]]</f>
        <v>0.33333333333333337</v>
      </c>
    </row>
    <row r="902" spans="1:19" hidden="1" x14ac:dyDescent="0.25">
      <c r="A902" t="s">
        <v>4180</v>
      </c>
      <c r="B902">
        <v>1040755197</v>
      </c>
      <c r="C902" t="s">
        <v>171</v>
      </c>
      <c r="D902" s="11" t="s">
        <v>102</v>
      </c>
      <c r="E902" s="11" t="s">
        <v>4046</v>
      </c>
      <c r="F902" s="11" t="s">
        <v>16</v>
      </c>
      <c r="G902" s="1">
        <v>46246</v>
      </c>
      <c r="H902" s="1">
        <v>46246</v>
      </c>
      <c r="I902" s="2">
        <v>0.25</v>
      </c>
      <c r="J902" s="2">
        <v>0.5</v>
      </c>
      <c r="K902" s="11"/>
      <c r="L902" s="11" t="s">
        <v>4041</v>
      </c>
      <c r="M902" s="1"/>
      <c r="N902" s="11"/>
      <c r="O902" s="11" t="s">
        <v>4042</v>
      </c>
      <c r="P902" s="1"/>
      <c r="Q902" s="1"/>
      <c r="R902" s="11"/>
      <c r="S902" s="2">
        <f>CONSOLIDADO_2026[[#This Row],[Hora final]]-CONSOLIDADO_2026[[#This Row],[Hora inic]]</f>
        <v>0.25</v>
      </c>
    </row>
    <row r="903" spans="1:19" hidden="1" x14ac:dyDescent="0.25">
      <c r="A903" t="s">
        <v>4180</v>
      </c>
      <c r="B903">
        <v>1152462501</v>
      </c>
      <c r="C903" t="s">
        <v>3056</v>
      </c>
      <c r="D903" s="11" t="s">
        <v>28</v>
      </c>
      <c r="E903" s="11" t="s">
        <v>4046</v>
      </c>
      <c r="F903" s="11" t="s">
        <v>16</v>
      </c>
      <c r="G903" s="1">
        <v>46247</v>
      </c>
      <c r="H903" s="1">
        <v>46248</v>
      </c>
      <c r="I903" s="2">
        <v>0.58333333333333337</v>
      </c>
      <c r="J903" s="2">
        <v>0.875</v>
      </c>
      <c r="K903" s="11" t="s">
        <v>119</v>
      </c>
      <c r="L903" s="11" t="s">
        <v>120</v>
      </c>
      <c r="M903" s="1"/>
      <c r="N903" s="11"/>
      <c r="O903" s="11" t="s">
        <v>21</v>
      </c>
      <c r="P903" s="1"/>
      <c r="Q903" s="1"/>
      <c r="R903" s="11"/>
      <c r="S903" s="2">
        <f>CONSOLIDADO_2026[[#This Row],[Hora final]]-CONSOLIDADO_2026[[#This Row],[Hora inic]]</f>
        <v>0.29166666666666663</v>
      </c>
    </row>
    <row r="904" spans="1:19" hidden="1" x14ac:dyDescent="0.25">
      <c r="A904" t="s">
        <v>4180</v>
      </c>
      <c r="B904">
        <v>1053860403</v>
      </c>
      <c r="C904" t="s">
        <v>2322</v>
      </c>
      <c r="D904" s="11" t="s">
        <v>272</v>
      </c>
      <c r="E904" s="11" t="s">
        <v>4056</v>
      </c>
      <c r="F904" s="11" t="s">
        <v>16</v>
      </c>
      <c r="G904" s="1">
        <v>46247</v>
      </c>
      <c r="H904" s="1">
        <v>46249</v>
      </c>
      <c r="I904" s="2">
        <v>0.54166666666666663</v>
      </c>
      <c r="J904" s="2">
        <v>0.875</v>
      </c>
      <c r="K904" s="11" t="s">
        <v>560</v>
      </c>
      <c r="L904" s="11" t="s">
        <v>561</v>
      </c>
      <c r="M904" s="1"/>
      <c r="N904" s="11"/>
      <c r="O904" s="11" t="s">
        <v>21</v>
      </c>
      <c r="P904" s="1"/>
      <c r="Q904" s="1"/>
      <c r="R904" s="11"/>
      <c r="S904" s="2">
        <f>CONSOLIDADO_2026[[#This Row],[Hora final]]-CONSOLIDADO_2026[[#This Row],[Hora inic]]</f>
        <v>0.33333333333333337</v>
      </c>
    </row>
    <row r="905" spans="1:19" hidden="1" x14ac:dyDescent="0.25">
      <c r="A905" t="s">
        <v>4180</v>
      </c>
      <c r="B905">
        <v>1001369228</v>
      </c>
      <c r="C905" t="s">
        <v>164</v>
      </c>
      <c r="D905" s="11" t="s">
        <v>4079</v>
      </c>
      <c r="E905" s="11" t="s">
        <v>4056</v>
      </c>
      <c r="F905" s="11" t="s">
        <v>4079</v>
      </c>
      <c r="G905" s="1">
        <v>46247</v>
      </c>
      <c r="H905" s="1">
        <v>46248</v>
      </c>
      <c r="I905" s="2">
        <v>0.25</v>
      </c>
      <c r="J905" s="2">
        <v>0.58333333333333337</v>
      </c>
      <c r="K905" s="11"/>
      <c r="L905" s="11" t="s">
        <v>339</v>
      </c>
      <c r="M905" s="1"/>
      <c r="N905" s="11"/>
      <c r="O905" s="11" t="s">
        <v>4042</v>
      </c>
      <c r="P905" s="1"/>
      <c r="Q905" s="1"/>
      <c r="R905" s="11"/>
      <c r="S905" s="2">
        <f>CONSOLIDADO_2026[[#This Row],[Hora final]]-CONSOLIDADO_2026[[#This Row],[Hora inic]]</f>
        <v>0.33333333333333337</v>
      </c>
    </row>
    <row r="906" spans="1:19" hidden="1" x14ac:dyDescent="0.25">
      <c r="A906" t="s">
        <v>4180</v>
      </c>
      <c r="B906">
        <v>1003459576</v>
      </c>
      <c r="C906" t="s">
        <v>1032</v>
      </c>
      <c r="D906" s="11" t="s">
        <v>59</v>
      </c>
      <c r="E906" s="11" t="s">
        <v>4047</v>
      </c>
      <c r="F906" s="11" t="s">
        <v>16</v>
      </c>
      <c r="G906" s="1">
        <v>46247</v>
      </c>
      <c r="H906" s="1">
        <v>46248</v>
      </c>
      <c r="I906" s="2">
        <v>0.45833333333333331</v>
      </c>
      <c r="J906" s="2">
        <v>0.75</v>
      </c>
      <c r="K906" s="11"/>
      <c r="L906" s="11" t="s">
        <v>4060</v>
      </c>
      <c r="M906" s="1"/>
      <c r="N906" s="11"/>
      <c r="O906" s="11" t="s">
        <v>4042</v>
      </c>
      <c r="P906" s="1"/>
      <c r="Q906" s="1"/>
      <c r="R906" s="11"/>
      <c r="S906" s="2">
        <f>CONSOLIDADO_2026[[#This Row],[Hora final]]-CONSOLIDADO_2026[[#This Row],[Hora inic]]</f>
        <v>0.29166666666666669</v>
      </c>
    </row>
    <row r="907" spans="1:19" hidden="1" x14ac:dyDescent="0.25">
      <c r="A907" t="s">
        <v>4180</v>
      </c>
      <c r="B907">
        <v>1000100875</v>
      </c>
      <c r="C907" t="s">
        <v>3648</v>
      </c>
      <c r="D907" s="11" t="s">
        <v>55</v>
      </c>
      <c r="E907" s="11" t="s">
        <v>4047</v>
      </c>
      <c r="F907" s="11" t="s">
        <v>16</v>
      </c>
      <c r="G907" s="1">
        <v>46247</v>
      </c>
      <c r="H907" s="1">
        <v>46248</v>
      </c>
      <c r="I907" s="2">
        <v>0.58333333333333337</v>
      </c>
      <c r="J907" s="2">
        <v>0.875</v>
      </c>
      <c r="K907" s="11"/>
      <c r="L907" s="11" t="s">
        <v>4060</v>
      </c>
      <c r="M907" s="1"/>
      <c r="N907" s="11"/>
      <c r="O907" s="11" t="s">
        <v>4042</v>
      </c>
      <c r="P907" s="1"/>
      <c r="Q907" s="1"/>
      <c r="R907" s="11"/>
      <c r="S907" s="2">
        <f>CONSOLIDADO_2026[[#This Row],[Hora final]]-CONSOLIDADO_2026[[#This Row],[Hora inic]]</f>
        <v>0.29166666666666663</v>
      </c>
    </row>
    <row r="908" spans="1:19" hidden="1" x14ac:dyDescent="0.25">
      <c r="A908" t="s">
        <v>4180</v>
      </c>
      <c r="B908">
        <v>1152434926</v>
      </c>
      <c r="C908" t="s">
        <v>217</v>
      </c>
      <c r="D908" s="11" t="s">
        <v>59</v>
      </c>
      <c r="E908" s="11" t="s">
        <v>4047</v>
      </c>
      <c r="F908" s="11" t="s">
        <v>16</v>
      </c>
      <c r="G908" s="1">
        <v>46247</v>
      </c>
      <c r="H908" s="1">
        <v>46249</v>
      </c>
      <c r="I908" s="2">
        <v>0.25</v>
      </c>
      <c r="J908" s="2">
        <v>0.58333333333333337</v>
      </c>
      <c r="K908" s="11"/>
      <c r="L908" s="11" t="s">
        <v>327</v>
      </c>
      <c r="M908" s="1"/>
      <c r="N908" s="11"/>
      <c r="O908" s="11" t="s">
        <v>4042</v>
      </c>
      <c r="P908" s="1"/>
      <c r="Q908" s="1"/>
      <c r="R908" s="11"/>
      <c r="S908" s="2">
        <f>CONSOLIDADO_2026[[#This Row],[Hora final]]-CONSOLIDADO_2026[[#This Row],[Hora inic]]</f>
        <v>0.33333333333333337</v>
      </c>
    </row>
    <row r="909" spans="1:19" hidden="1" x14ac:dyDescent="0.25">
      <c r="A909" t="s">
        <v>4180</v>
      </c>
      <c r="B909">
        <v>1052409952</v>
      </c>
      <c r="C909" t="s">
        <v>2406</v>
      </c>
      <c r="D909" s="11" t="s">
        <v>44</v>
      </c>
      <c r="E909" s="11" t="s">
        <v>4045</v>
      </c>
      <c r="F909" s="11" t="s">
        <v>16</v>
      </c>
      <c r="G909" s="1">
        <v>46247</v>
      </c>
      <c r="H909" s="1">
        <v>46248</v>
      </c>
      <c r="I909" s="2">
        <v>0.58333333333333337</v>
      </c>
      <c r="J909" s="2">
        <v>0.875</v>
      </c>
      <c r="K909" s="11"/>
      <c r="L909" s="11" t="s">
        <v>4060</v>
      </c>
      <c r="M909" s="1"/>
      <c r="N909" s="11"/>
      <c r="O909" s="11" t="s">
        <v>4042</v>
      </c>
      <c r="P909" s="1"/>
      <c r="Q909" s="1"/>
      <c r="R909" s="11"/>
      <c r="S909" s="2">
        <f>CONSOLIDADO_2026[[#This Row],[Hora final]]-CONSOLIDADO_2026[[#This Row],[Hora inic]]</f>
        <v>0.29166666666666663</v>
      </c>
    </row>
    <row r="910" spans="1:19" hidden="1" x14ac:dyDescent="0.25">
      <c r="A910" t="s">
        <v>4180</v>
      </c>
      <c r="B910">
        <v>1036665065</v>
      </c>
      <c r="C910" t="s">
        <v>3689</v>
      </c>
      <c r="D910" s="11" t="s">
        <v>39</v>
      </c>
      <c r="E910" s="11" t="s">
        <v>4046</v>
      </c>
      <c r="F910" s="11" t="s">
        <v>16</v>
      </c>
      <c r="G910" s="1">
        <v>46247</v>
      </c>
      <c r="H910" s="1">
        <v>46248</v>
      </c>
      <c r="I910" s="2">
        <v>0.25</v>
      </c>
      <c r="J910" s="2">
        <v>0.58333333333333337</v>
      </c>
      <c r="K910" s="11"/>
      <c r="L910" s="11" t="s">
        <v>4060</v>
      </c>
      <c r="M910" s="1"/>
      <c r="N910" s="11"/>
      <c r="O910" s="11" t="s">
        <v>4042</v>
      </c>
      <c r="P910" s="1"/>
      <c r="Q910" s="1"/>
      <c r="R910" s="11"/>
      <c r="S910" s="2">
        <f>CONSOLIDADO_2026[[#This Row],[Hora final]]-CONSOLIDADO_2026[[#This Row],[Hora inic]]</f>
        <v>0.33333333333333337</v>
      </c>
    </row>
    <row r="911" spans="1:19" hidden="1" x14ac:dyDescent="0.25">
      <c r="A911" t="s">
        <v>4180</v>
      </c>
      <c r="B911">
        <v>1001013936</v>
      </c>
      <c r="C911" t="s">
        <v>3856</v>
      </c>
      <c r="D911" s="11" t="s">
        <v>28</v>
      </c>
      <c r="E911" s="11" t="s">
        <v>4046</v>
      </c>
      <c r="F911" s="11" t="s">
        <v>16</v>
      </c>
      <c r="G911" s="1">
        <v>46247</v>
      </c>
      <c r="H911" s="1">
        <v>46248</v>
      </c>
      <c r="I911" s="2">
        <v>0.25</v>
      </c>
      <c r="J911" s="2">
        <v>0.54166666666666663</v>
      </c>
      <c r="K911" s="11"/>
      <c r="L911" s="11" t="s">
        <v>327</v>
      </c>
      <c r="M911" s="1"/>
      <c r="N911" s="11"/>
      <c r="O911" s="11" t="s">
        <v>4042</v>
      </c>
      <c r="P911" s="1"/>
      <c r="Q911" s="1"/>
      <c r="R911" s="11"/>
      <c r="S911" s="2">
        <f>CONSOLIDADO_2026[[#This Row],[Hora final]]-CONSOLIDADO_2026[[#This Row],[Hora inic]]</f>
        <v>0.29166666666666663</v>
      </c>
    </row>
    <row r="912" spans="1:19" hidden="1" x14ac:dyDescent="0.25">
      <c r="A912" t="s">
        <v>4180</v>
      </c>
      <c r="B912">
        <v>1152436231</v>
      </c>
      <c r="C912" t="s">
        <v>142</v>
      </c>
      <c r="D912" s="11" t="s">
        <v>143</v>
      </c>
      <c r="E912" s="11" t="s">
        <v>4045</v>
      </c>
      <c r="F912" s="11" t="s">
        <v>16</v>
      </c>
      <c r="G912" s="1">
        <v>46247</v>
      </c>
      <c r="H912" s="1">
        <v>46248</v>
      </c>
      <c r="I912" s="2">
        <v>0.25</v>
      </c>
      <c r="J912" s="2">
        <v>0.58333333333333337</v>
      </c>
      <c r="K912" s="11"/>
      <c r="L912" s="11" t="s">
        <v>4060</v>
      </c>
      <c r="M912" s="1"/>
      <c r="N912" s="11"/>
      <c r="O912" s="11" t="s">
        <v>4042</v>
      </c>
      <c r="P912" s="1"/>
      <c r="Q912" s="1"/>
      <c r="R912" s="11"/>
      <c r="S912" s="2">
        <f>CONSOLIDADO_2026[[#This Row],[Hora final]]-CONSOLIDADO_2026[[#This Row],[Hora inic]]</f>
        <v>0.33333333333333337</v>
      </c>
    </row>
    <row r="913" spans="1:19" hidden="1" x14ac:dyDescent="0.25">
      <c r="A913" t="s">
        <v>4180</v>
      </c>
      <c r="B913">
        <v>1234090551</v>
      </c>
      <c r="C913" t="s">
        <v>2250</v>
      </c>
      <c r="D913" s="11" t="s">
        <v>162</v>
      </c>
      <c r="E913" s="11" t="s">
        <v>4056</v>
      </c>
      <c r="F913" s="11" t="s">
        <v>16</v>
      </c>
      <c r="G913" s="1">
        <v>46247</v>
      </c>
      <c r="H913" s="1">
        <v>46248</v>
      </c>
      <c r="I913" s="2">
        <v>0.25</v>
      </c>
      <c r="J913" s="2">
        <v>0.58333333333333337</v>
      </c>
      <c r="K913" s="11"/>
      <c r="L913" s="11" t="s">
        <v>4060</v>
      </c>
      <c r="M913" s="1"/>
      <c r="N913" s="11"/>
      <c r="O913" s="11" t="s">
        <v>4042</v>
      </c>
      <c r="P913" s="1"/>
      <c r="Q913" s="1"/>
      <c r="R913" s="11"/>
      <c r="S913" s="2">
        <f>CONSOLIDADO_2026[[#This Row],[Hora final]]-CONSOLIDADO_2026[[#This Row],[Hora inic]]</f>
        <v>0.33333333333333337</v>
      </c>
    </row>
    <row r="914" spans="1:19" hidden="1" x14ac:dyDescent="0.25">
      <c r="A914" t="s">
        <v>4180</v>
      </c>
      <c r="B914">
        <v>43453341</v>
      </c>
      <c r="C914" t="s">
        <v>146</v>
      </c>
      <c r="D914" s="11" t="s">
        <v>124</v>
      </c>
      <c r="E914" s="11" t="s">
        <v>4045</v>
      </c>
      <c r="F914" s="11" t="s">
        <v>16</v>
      </c>
      <c r="G914" s="1">
        <v>46247</v>
      </c>
      <c r="H914" s="1">
        <v>46248</v>
      </c>
      <c r="I914" s="2">
        <v>0.25</v>
      </c>
      <c r="J914" s="2">
        <v>0.58333333333333337</v>
      </c>
      <c r="K914" s="11"/>
      <c r="L914" s="11" t="s">
        <v>4060</v>
      </c>
      <c r="M914" s="1"/>
      <c r="N914" s="11"/>
      <c r="O914" s="11" t="s">
        <v>4042</v>
      </c>
      <c r="P914" s="1"/>
      <c r="Q914" s="1"/>
      <c r="R914" s="11"/>
      <c r="S914" s="2">
        <f>CONSOLIDADO_2026[[#This Row],[Hora final]]-CONSOLIDADO_2026[[#This Row],[Hora inic]]</f>
        <v>0.33333333333333337</v>
      </c>
    </row>
    <row r="915" spans="1:19" hidden="1" x14ac:dyDescent="0.25">
      <c r="A915" t="s">
        <v>4180</v>
      </c>
      <c r="B915" t="s">
        <v>4181</v>
      </c>
      <c r="C915" t="s">
        <v>4182</v>
      </c>
      <c r="D915" s="11" t="s">
        <v>256</v>
      </c>
      <c r="E915" s="11" t="s">
        <v>4040</v>
      </c>
      <c r="F915" s="11" t="s">
        <v>16</v>
      </c>
      <c r="G915" s="1">
        <v>46247</v>
      </c>
      <c r="H915" s="1">
        <v>46248</v>
      </c>
      <c r="I915" s="2">
        <v>0.58333333333333337</v>
      </c>
      <c r="J915" s="2">
        <v>0.875</v>
      </c>
      <c r="K915" s="11"/>
      <c r="L915" s="11" t="s">
        <v>327</v>
      </c>
      <c r="M915" s="1"/>
      <c r="N915" s="11"/>
      <c r="O915" s="11" t="s">
        <v>4042</v>
      </c>
      <c r="P915" s="1"/>
      <c r="Q915" s="1"/>
      <c r="R915" s="11"/>
      <c r="S915" s="2">
        <f>CONSOLIDADO_2026[[#This Row],[Hora final]]-CONSOLIDADO_2026[[#This Row],[Hora inic]]</f>
        <v>0.29166666666666663</v>
      </c>
    </row>
    <row r="916" spans="1:19" hidden="1" x14ac:dyDescent="0.25">
      <c r="A916" t="s">
        <v>4180</v>
      </c>
      <c r="B916">
        <v>1067959066</v>
      </c>
      <c r="C916" t="s">
        <v>3479</v>
      </c>
      <c r="D916" s="11" t="s">
        <v>344</v>
      </c>
      <c r="E916" s="11" t="s">
        <v>4056</v>
      </c>
      <c r="F916" s="11" t="s">
        <v>16</v>
      </c>
      <c r="G916" s="1">
        <v>46247</v>
      </c>
      <c r="H916" s="1">
        <v>46248</v>
      </c>
      <c r="I916" s="2">
        <v>0.58333333333333337</v>
      </c>
      <c r="J916" s="2">
        <v>0.875</v>
      </c>
      <c r="K916" s="11"/>
      <c r="L916" s="11" t="s">
        <v>4060</v>
      </c>
      <c r="M916" s="1"/>
      <c r="N916" s="11"/>
      <c r="O916" s="11" t="s">
        <v>4042</v>
      </c>
      <c r="P916" s="1"/>
      <c r="Q916" s="1"/>
      <c r="R916" s="11"/>
      <c r="S916" s="2">
        <f>CONSOLIDADO_2026[[#This Row],[Hora final]]-CONSOLIDADO_2026[[#This Row],[Hora inic]]</f>
        <v>0.29166666666666663</v>
      </c>
    </row>
    <row r="917" spans="1:19" hidden="1" x14ac:dyDescent="0.25">
      <c r="A917" t="s">
        <v>4180</v>
      </c>
      <c r="B917">
        <v>72342968</v>
      </c>
      <c r="C917" t="s">
        <v>380</v>
      </c>
      <c r="D917" s="11" t="s">
        <v>39</v>
      </c>
      <c r="E917" s="11" t="s">
        <v>4046</v>
      </c>
      <c r="F917" s="11" t="s">
        <v>16</v>
      </c>
      <c r="G917" s="1">
        <v>46247</v>
      </c>
      <c r="H917" s="1">
        <v>46248</v>
      </c>
      <c r="I917" s="2">
        <v>0.54166666666666663</v>
      </c>
      <c r="J917" s="2">
        <v>0.875</v>
      </c>
      <c r="K917" s="11"/>
      <c r="L917" s="11" t="s">
        <v>327</v>
      </c>
      <c r="M917" s="1"/>
      <c r="N917" s="11"/>
      <c r="O917" s="11" t="s">
        <v>4042</v>
      </c>
      <c r="P917" s="1"/>
      <c r="Q917" s="1"/>
      <c r="R917" s="11"/>
      <c r="S917" s="2">
        <f>CONSOLIDADO_2026[[#This Row],[Hora final]]-CONSOLIDADO_2026[[#This Row],[Hora inic]]</f>
        <v>0.33333333333333337</v>
      </c>
    </row>
    <row r="918" spans="1:19" hidden="1" x14ac:dyDescent="0.25">
      <c r="A918" t="s">
        <v>4180</v>
      </c>
      <c r="B918">
        <v>1037642818</v>
      </c>
      <c r="C918" t="s">
        <v>3692</v>
      </c>
      <c r="D918" s="11" t="s">
        <v>28</v>
      </c>
      <c r="E918" s="11" t="s">
        <v>4046</v>
      </c>
      <c r="F918" s="11" t="s">
        <v>16</v>
      </c>
      <c r="G918" s="1">
        <v>46247</v>
      </c>
      <c r="H918" s="1">
        <v>46247</v>
      </c>
      <c r="I918" s="2">
        <v>0.29166666666666669</v>
      </c>
      <c r="J918" s="2">
        <v>0.875</v>
      </c>
      <c r="K918" s="11"/>
      <c r="L918" s="11" t="s">
        <v>327</v>
      </c>
      <c r="M918" s="1"/>
      <c r="N918" s="11"/>
      <c r="O918" s="11" t="s">
        <v>4042</v>
      </c>
      <c r="P918" s="1"/>
      <c r="Q918" s="1"/>
      <c r="R918" s="11"/>
      <c r="S918" s="2">
        <f>CONSOLIDADO_2026[[#This Row],[Hora final]]-CONSOLIDADO_2026[[#This Row],[Hora inic]]</f>
        <v>0.58333333333333326</v>
      </c>
    </row>
    <row r="919" spans="1:19" hidden="1" x14ac:dyDescent="0.25">
      <c r="A919" t="s">
        <v>4180</v>
      </c>
      <c r="B919">
        <v>1143411265</v>
      </c>
      <c r="C919" t="s">
        <v>2355</v>
      </c>
      <c r="D919" s="11" t="s">
        <v>55</v>
      </c>
      <c r="E919" s="11" t="s">
        <v>4047</v>
      </c>
      <c r="F919" s="11" t="s">
        <v>16</v>
      </c>
      <c r="G919" s="1">
        <v>46247</v>
      </c>
      <c r="H919" s="1">
        <v>46248</v>
      </c>
      <c r="I919" s="2">
        <v>0.58333333333333337</v>
      </c>
      <c r="J919" s="2">
        <v>0.875</v>
      </c>
      <c r="K919" s="11"/>
      <c r="L919" s="11" t="s">
        <v>4060</v>
      </c>
      <c r="M919" s="1"/>
      <c r="N919" s="11"/>
      <c r="O919" s="11" t="s">
        <v>4042</v>
      </c>
      <c r="P919" s="1"/>
      <c r="Q919" s="1"/>
      <c r="R919" s="11"/>
      <c r="S919" s="2">
        <f>CONSOLIDADO_2026[[#This Row],[Hora final]]-CONSOLIDADO_2026[[#This Row],[Hora inic]]</f>
        <v>0.29166666666666663</v>
      </c>
    </row>
    <row r="920" spans="1:19" hidden="1" x14ac:dyDescent="0.25">
      <c r="A920" t="s">
        <v>4180</v>
      </c>
      <c r="B920">
        <v>1000398069</v>
      </c>
      <c r="C920" t="s">
        <v>3764</v>
      </c>
      <c r="D920" s="11" t="s">
        <v>143</v>
      </c>
      <c r="E920" s="11" t="s">
        <v>4045</v>
      </c>
      <c r="F920" s="11" t="s">
        <v>16</v>
      </c>
      <c r="G920" s="1">
        <v>46247</v>
      </c>
      <c r="H920" s="1">
        <v>46248</v>
      </c>
      <c r="I920" s="2">
        <v>0.54166666666666663</v>
      </c>
      <c r="J920" s="2">
        <v>0.875</v>
      </c>
      <c r="K920" s="11"/>
      <c r="L920" s="11" t="s">
        <v>4060</v>
      </c>
      <c r="M920" s="1"/>
      <c r="N920" s="11"/>
      <c r="O920" s="11" t="s">
        <v>4042</v>
      </c>
      <c r="P920" s="1"/>
      <c r="Q920" s="1"/>
      <c r="R920" s="11"/>
      <c r="S920" s="2">
        <f>CONSOLIDADO_2026[[#This Row],[Hora final]]-CONSOLIDADO_2026[[#This Row],[Hora inic]]</f>
        <v>0.33333333333333337</v>
      </c>
    </row>
    <row r="921" spans="1:19" hidden="1" x14ac:dyDescent="0.25">
      <c r="A921" t="s">
        <v>4180</v>
      </c>
      <c r="B921">
        <v>1001140238</v>
      </c>
      <c r="C921" t="s">
        <v>74</v>
      </c>
      <c r="D921" s="11" t="s">
        <v>28</v>
      </c>
      <c r="E921" s="11" t="s">
        <v>4046</v>
      </c>
      <c r="F921" s="11" t="s">
        <v>4099</v>
      </c>
      <c r="G921" s="1">
        <v>46247</v>
      </c>
      <c r="H921" s="1">
        <v>46247</v>
      </c>
      <c r="I921" s="2">
        <v>0.5</v>
      </c>
      <c r="J921" s="2">
        <v>0.54166666666666663</v>
      </c>
      <c r="K921" s="11"/>
      <c r="L921" s="11" t="s">
        <v>339</v>
      </c>
      <c r="M921" s="1"/>
      <c r="N921" s="11"/>
      <c r="O921" s="11" t="s">
        <v>4042</v>
      </c>
      <c r="P921" s="1"/>
      <c r="Q921" s="1"/>
      <c r="R921" s="11"/>
      <c r="S921" s="2">
        <f>CONSOLIDADO_2026[[#This Row],[Hora final]]-CONSOLIDADO_2026[[#This Row],[Hora inic]]</f>
        <v>4.166666666666663E-2</v>
      </c>
    </row>
    <row r="922" spans="1:19" hidden="1" x14ac:dyDescent="0.25">
      <c r="A922" t="s">
        <v>4180</v>
      </c>
      <c r="B922">
        <v>52814989</v>
      </c>
      <c r="C922" t="s">
        <v>2478</v>
      </c>
      <c r="D922" s="11" t="s">
        <v>143</v>
      </c>
      <c r="E922" s="11" t="s">
        <v>4045</v>
      </c>
      <c r="F922" s="11" t="s">
        <v>16</v>
      </c>
      <c r="G922" s="1">
        <v>46247</v>
      </c>
      <c r="H922" s="1">
        <v>46248</v>
      </c>
      <c r="I922" s="2">
        <v>0.58333333333333337</v>
      </c>
      <c r="J922" s="2">
        <v>0.875</v>
      </c>
      <c r="K922" s="11"/>
      <c r="L922" s="11" t="s">
        <v>4060</v>
      </c>
      <c r="M922" s="1"/>
      <c r="N922" s="11"/>
      <c r="O922" s="11" t="s">
        <v>4042</v>
      </c>
      <c r="P922" s="1"/>
      <c r="Q922" s="1"/>
      <c r="R922" s="11"/>
      <c r="S922" s="2">
        <f>CONSOLIDADO_2026[[#This Row],[Hora final]]-CONSOLIDADO_2026[[#This Row],[Hora inic]]</f>
        <v>0.29166666666666663</v>
      </c>
    </row>
    <row r="923" spans="1:19" hidden="1" x14ac:dyDescent="0.25">
      <c r="A923" t="s">
        <v>4180</v>
      </c>
      <c r="B923">
        <v>1000348983</v>
      </c>
      <c r="C923" t="s">
        <v>235</v>
      </c>
      <c r="D923" s="11" t="s">
        <v>162</v>
      </c>
      <c r="E923" s="11" t="s">
        <v>4056</v>
      </c>
      <c r="F923" s="11" t="s">
        <v>16</v>
      </c>
      <c r="G923" s="1">
        <v>46247</v>
      </c>
      <c r="H923" s="1"/>
      <c r="I923" s="2">
        <v>0.25</v>
      </c>
      <c r="J923" s="2">
        <v>0.58333333333333337</v>
      </c>
      <c r="K923" s="11"/>
      <c r="L923" s="11" t="s">
        <v>4085</v>
      </c>
      <c r="M923" s="1"/>
      <c r="N923" s="11"/>
      <c r="O923" s="11" t="s">
        <v>21</v>
      </c>
      <c r="P923" s="1"/>
      <c r="Q923" s="1"/>
      <c r="R923" s="11"/>
      <c r="S923" s="2">
        <f>CONSOLIDADO_2026[[#This Row],[Hora final]]-CONSOLIDADO_2026[[#This Row],[Hora inic]]</f>
        <v>0.33333333333333337</v>
      </c>
    </row>
    <row r="924" spans="1:19" hidden="1" x14ac:dyDescent="0.25">
      <c r="A924" t="s">
        <v>4183</v>
      </c>
      <c r="B924">
        <v>1001013936</v>
      </c>
      <c r="C924" t="s">
        <v>3856</v>
      </c>
      <c r="D924" s="11" t="s">
        <v>28</v>
      </c>
      <c r="E924" s="11" t="s">
        <v>4046</v>
      </c>
      <c r="F924" s="11" t="s">
        <v>16</v>
      </c>
      <c r="G924" s="1">
        <v>46247</v>
      </c>
      <c r="H924" s="1">
        <v>46248</v>
      </c>
      <c r="I924" s="2">
        <v>0.25</v>
      </c>
      <c r="J924" s="2">
        <v>0.58333333333333337</v>
      </c>
      <c r="K924" s="11"/>
      <c r="L924" s="11" t="s">
        <v>327</v>
      </c>
      <c r="M924" s="1"/>
      <c r="N924" s="11"/>
      <c r="O924" s="11" t="s">
        <v>4042</v>
      </c>
      <c r="P924" s="1"/>
      <c r="Q924" s="1"/>
      <c r="R924" s="11"/>
      <c r="S924" s="2">
        <f>CONSOLIDADO_2026[[#This Row],[Hora final]]-CONSOLIDADO_2026[[#This Row],[Hora inic]]</f>
        <v>0.33333333333333337</v>
      </c>
    </row>
    <row r="925" spans="1:19" hidden="1" x14ac:dyDescent="0.25">
      <c r="A925" t="s">
        <v>4183</v>
      </c>
      <c r="B925">
        <v>1234090551</v>
      </c>
      <c r="C925" t="s">
        <v>2250</v>
      </c>
      <c r="D925" s="11" t="s">
        <v>162</v>
      </c>
      <c r="E925" s="11" t="s">
        <v>4056</v>
      </c>
      <c r="F925" s="11" t="s">
        <v>16</v>
      </c>
      <c r="G925" s="1">
        <v>46247</v>
      </c>
      <c r="H925" s="1">
        <v>46248</v>
      </c>
      <c r="I925" s="2">
        <v>0.58333333333333337</v>
      </c>
      <c r="J925" s="2">
        <v>0.875</v>
      </c>
      <c r="K925" s="11" t="s">
        <v>285</v>
      </c>
      <c r="L925" s="11" t="s">
        <v>286</v>
      </c>
      <c r="M925" s="1"/>
      <c r="N925" s="11"/>
      <c r="O925" s="11" t="s">
        <v>21</v>
      </c>
      <c r="P925" s="1"/>
      <c r="Q925" s="1"/>
      <c r="R925" s="11"/>
      <c r="S925" s="2">
        <f>CONSOLIDADO_2026[[#This Row],[Hora final]]-CONSOLIDADO_2026[[#This Row],[Hora inic]]</f>
        <v>0.29166666666666663</v>
      </c>
    </row>
    <row r="926" spans="1:19" hidden="1" x14ac:dyDescent="0.25">
      <c r="A926" t="s">
        <v>4183</v>
      </c>
      <c r="B926">
        <v>1152436231</v>
      </c>
      <c r="C926" t="s">
        <v>142</v>
      </c>
      <c r="D926" s="11" t="s">
        <v>143</v>
      </c>
      <c r="E926" s="11" t="s">
        <v>4045</v>
      </c>
      <c r="F926" s="11" t="s">
        <v>16</v>
      </c>
      <c r="G926" s="1">
        <v>46247</v>
      </c>
      <c r="H926" s="1">
        <v>46248</v>
      </c>
      <c r="I926" s="2">
        <v>0.25</v>
      </c>
      <c r="J926" s="2">
        <v>0.54166666666666663</v>
      </c>
      <c r="K926" s="11"/>
      <c r="L926" s="11" t="s">
        <v>327</v>
      </c>
      <c r="M926" s="1"/>
      <c r="N926" s="11"/>
      <c r="O926" s="11" t="s">
        <v>4042</v>
      </c>
      <c r="P926" s="1"/>
      <c r="Q926" s="1"/>
      <c r="R926" s="11"/>
      <c r="S926" s="2">
        <f>CONSOLIDADO_2026[[#This Row],[Hora final]]-CONSOLIDADO_2026[[#This Row],[Hora inic]]</f>
        <v>0.29166666666666663</v>
      </c>
    </row>
    <row r="927" spans="1:19" hidden="1" x14ac:dyDescent="0.25">
      <c r="A927" t="s">
        <v>4183</v>
      </c>
      <c r="B927">
        <v>1036665065</v>
      </c>
      <c r="C927" t="s">
        <v>3689</v>
      </c>
      <c r="D927" s="11" t="s">
        <v>39</v>
      </c>
      <c r="E927" s="11" t="s">
        <v>4046</v>
      </c>
      <c r="F927" s="11" t="s">
        <v>16</v>
      </c>
      <c r="G927" s="1">
        <v>46247</v>
      </c>
      <c r="H927" s="1">
        <v>46248</v>
      </c>
      <c r="I927" s="2">
        <v>0.25</v>
      </c>
      <c r="J927" s="2">
        <v>0.58333333333333337</v>
      </c>
      <c r="K927" s="11"/>
      <c r="L927" s="11" t="s">
        <v>327</v>
      </c>
      <c r="M927" s="1"/>
      <c r="N927" s="11"/>
      <c r="O927" s="11" t="s">
        <v>4042</v>
      </c>
      <c r="P927" s="1"/>
      <c r="Q927" s="1"/>
      <c r="R927" s="11"/>
      <c r="S927" s="2">
        <f>CONSOLIDADO_2026[[#This Row],[Hora final]]-CONSOLIDADO_2026[[#This Row],[Hora inic]]</f>
        <v>0.33333333333333337</v>
      </c>
    </row>
    <row r="928" spans="1:19" hidden="1" x14ac:dyDescent="0.25">
      <c r="A928" t="s">
        <v>4183</v>
      </c>
      <c r="B928">
        <v>1052409952</v>
      </c>
      <c r="C928" t="s">
        <v>2406</v>
      </c>
      <c r="D928" s="11" t="s">
        <v>44</v>
      </c>
      <c r="E928" s="11" t="s">
        <v>4045</v>
      </c>
      <c r="F928" s="11" t="s">
        <v>16</v>
      </c>
      <c r="G928" s="1">
        <v>46247</v>
      </c>
      <c r="H928" s="1">
        <v>46248</v>
      </c>
      <c r="I928" s="2">
        <v>0.25</v>
      </c>
      <c r="J928" s="2">
        <v>0.58333333333333337</v>
      </c>
      <c r="K928" s="11"/>
      <c r="L928" s="11" t="s">
        <v>327</v>
      </c>
      <c r="M928" s="1"/>
      <c r="N928" s="11"/>
      <c r="O928" s="11" t="s">
        <v>4042</v>
      </c>
      <c r="P928" s="1"/>
      <c r="Q928" s="1"/>
      <c r="R928" s="11"/>
      <c r="S928" s="2">
        <f>CONSOLIDADO_2026[[#This Row],[Hora final]]-CONSOLIDADO_2026[[#This Row],[Hora inic]]</f>
        <v>0.33333333333333337</v>
      </c>
    </row>
    <row r="929" spans="1:19" hidden="1" x14ac:dyDescent="0.25">
      <c r="A929" t="s">
        <v>4183</v>
      </c>
      <c r="B929">
        <v>1152434926</v>
      </c>
      <c r="C929" t="s">
        <v>217</v>
      </c>
      <c r="D929" s="11" t="s">
        <v>59</v>
      </c>
      <c r="E929" s="11" t="s">
        <v>4047</v>
      </c>
      <c r="F929" s="11" t="s">
        <v>16</v>
      </c>
      <c r="G929" s="1">
        <v>46247</v>
      </c>
      <c r="H929" s="1">
        <v>46249</v>
      </c>
      <c r="I929" s="2">
        <v>0.25</v>
      </c>
      <c r="J929" s="2">
        <v>0.54166666666666663</v>
      </c>
      <c r="K929" s="11"/>
      <c r="L929" s="11" t="s">
        <v>327</v>
      </c>
      <c r="M929" s="1"/>
      <c r="N929" s="11"/>
      <c r="O929" s="11" t="s">
        <v>4042</v>
      </c>
      <c r="P929" s="1"/>
      <c r="Q929" s="1"/>
      <c r="R929" s="11"/>
      <c r="S929" s="2">
        <f>CONSOLIDADO_2026[[#This Row],[Hora final]]-CONSOLIDADO_2026[[#This Row],[Hora inic]]</f>
        <v>0.29166666666666663</v>
      </c>
    </row>
    <row r="930" spans="1:19" hidden="1" x14ac:dyDescent="0.25">
      <c r="A930" t="s">
        <v>4183</v>
      </c>
      <c r="B930">
        <v>1000100875</v>
      </c>
      <c r="C930" t="s">
        <v>3648</v>
      </c>
      <c r="D930" s="11" t="s">
        <v>55</v>
      </c>
      <c r="E930" s="11" t="s">
        <v>4047</v>
      </c>
      <c r="F930" s="11" t="s">
        <v>16</v>
      </c>
      <c r="G930" s="1">
        <v>46247</v>
      </c>
      <c r="H930" s="1">
        <v>46248</v>
      </c>
      <c r="I930" s="2">
        <v>0.58333333333333337</v>
      </c>
      <c r="J930" s="2">
        <v>0.875</v>
      </c>
      <c r="K930" s="11"/>
      <c r="L930" s="11" t="s">
        <v>327</v>
      </c>
      <c r="M930" s="1"/>
      <c r="N930" s="11"/>
      <c r="O930" s="11" t="s">
        <v>4042</v>
      </c>
      <c r="P930" s="1"/>
      <c r="Q930" s="1"/>
      <c r="R930" s="11"/>
      <c r="S930" s="2">
        <f>CONSOLIDADO_2026[[#This Row],[Hora final]]-CONSOLIDADO_2026[[#This Row],[Hora inic]]</f>
        <v>0.29166666666666663</v>
      </c>
    </row>
    <row r="931" spans="1:19" hidden="1" x14ac:dyDescent="0.25">
      <c r="A931" t="s">
        <v>4183</v>
      </c>
      <c r="B931">
        <v>1003459576</v>
      </c>
      <c r="C931" t="s">
        <v>1032</v>
      </c>
      <c r="D931" s="11" t="s">
        <v>59</v>
      </c>
      <c r="E931" s="11" t="s">
        <v>4047</v>
      </c>
      <c r="F931" s="11" t="s">
        <v>16</v>
      </c>
      <c r="G931" s="1">
        <v>46247</v>
      </c>
      <c r="H931" s="1">
        <v>46248</v>
      </c>
      <c r="I931" s="2"/>
      <c r="J931" s="2"/>
      <c r="K931" s="11"/>
      <c r="L931" s="11" t="s">
        <v>327</v>
      </c>
      <c r="M931" s="1"/>
      <c r="N931" s="11"/>
      <c r="O931" s="11" t="s">
        <v>4042</v>
      </c>
      <c r="P931" s="1"/>
      <c r="Q931" s="1"/>
      <c r="R931" s="11"/>
      <c r="S931" s="2">
        <f>CONSOLIDADO_2026[[#This Row],[Hora final]]-CONSOLIDADO_2026[[#This Row],[Hora inic]]</f>
        <v>0</v>
      </c>
    </row>
    <row r="932" spans="1:19" hidden="1" x14ac:dyDescent="0.25">
      <c r="A932" t="s">
        <v>4183</v>
      </c>
      <c r="B932">
        <v>1036132488</v>
      </c>
      <c r="C932" t="s">
        <v>89</v>
      </c>
      <c r="D932" s="11" t="s">
        <v>59</v>
      </c>
      <c r="E932" s="11" t="s">
        <v>4047</v>
      </c>
      <c r="F932" s="11" t="s">
        <v>16</v>
      </c>
      <c r="G932" s="1">
        <v>46247</v>
      </c>
      <c r="H932" s="1">
        <v>46248</v>
      </c>
      <c r="I932" s="2">
        <v>0.25</v>
      </c>
      <c r="J932" s="2">
        <v>0.54166666666666663</v>
      </c>
      <c r="K932" s="11" t="s">
        <v>119</v>
      </c>
      <c r="L932" s="11" t="s">
        <v>120</v>
      </c>
      <c r="M932" s="1"/>
      <c r="N932" s="11"/>
      <c r="O932" s="11" t="s">
        <v>21</v>
      </c>
      <c r="P932" s="1"/>
      <c r="Q932" s="1"/>
      <c r="R932" s="11"/>
      <c r="S932" s="2">
        <f>CONSOLIDADO_2026[[#This Row],[Hora final]]-CONSOLIDADO_2026[[#This Row],[Hora inic]]</f>
        <v>0.29166666666666663</v>
      </c>
    </row>
    <row r="933" spans="1:19" hidden="1" x14ac:dyDescent="0.25">
      <c r="A933" t="s">
        <v>4183</v>
      </c>
      <c r="B933">
        <v>1152462501</v>
      </c>
      <c r="C933" t="s">
        <v>3056</v>
      </c>
      <c r="D933" s="11" t="s">
        <v>28</v>
      </c>
      <c r="E933" s="11" t="s">
        <v>4046</v>
      </c>
      <c r="F933" s="11" t="s">
        <v>16</v>
      </c>
      <c r="G933" s="1">
        <v>46247</v>
      </c>
      <c r="H933" s="1">
        <v>46248</v>
      </c>
      <c r="I933" s="2">
        <v>0.29166666666666669</v>
      </c>
      <c r="J933" s="2">
        <v>0.66666666666666663</v>
      </c>
      <c r="K933" s="11" t="s">
        <v>231</v>
      </c>
      <c r="L933" s="11" t="s">
        <v>232</v>
      </c>
      <c r="M933" s="1"/>
      <c r="N933" s="11"/>
      <c r="O933" s="11" t="s">
        <v>21</v>
      </c>
      <c r="P933" s="1"/>
      <c r="Q933" s="1"/>
      <c r="R933" s="11"/>
      <c r="S933" s="2">
        <f>CONSOLIDADO_2026[[#This Row],[Hora final]]-CONSOLIDADO_2026[[#This Row],[Hora inic]]</f>
        <v>0.37499999999999994</v>
      </c>
    </row>
    <row r="934" spans="1:19" hidden="1" x14ac:dyDescent="0.25">
      <c r="A934" t="s">
        <v>4183</v>
      </c>
      <c r="B934">
        <v>1040755197</v>
      </c>
      <c r="C934" t="s">
        <v>171</v>
      </c>
      <c r="D934" s="11" t="s">
        <v>102</v>
      </c>
      <c r="E934" s="11" t="s">
        <v>4046</v>
      </c>
      <c r="F934" s="11" t="s">
        <v>16</v>
      </c>
      <c r="G934" s="1">
        <v>46246</v>
      </c>
      <c r="H934" s="1">
        <v>46246</v>
      </c>
      <c r="I934" s="2"/>
      <c r="J934" s="2"/>
      <c r="K934" s="11"/>
      <c r="L934" s="11" t="s">
        <v>4041</v>
      </c>
      <c r="M934" s="1"/>
      <c r="N934" s="11"/>
      <c r="O934" s="11" t="s">
        <v>4042</v>
      </c>
      <c r="P934" s="1"/>
      <c r="Q934" s="1"/>
      <c r="R934" s="11"/>
      <c r="S934" s="2">
        <f>CONSOLIDADO_2026[[#This Row],[Hora final]]-CONSOLIDADO_2026[[#This Row],[Hora inic]]</f>
        <v>0</v>
      </c>
    </row>
    <row r="935" spans="1:19" hidden="1" x14ac:dyDescent="0.25">
      <c r="A935" t="s">
        <v>4183</v>
      </c>
      <c r="B935">
        <v>43986125</v>
      </c>
      <c r="C935" t="s">
        <v>1299</v>
      </c>
      <c r="D935" s="11" t="s">
        <v>55</v>
      </c>
      <c r="E935" s="11" t="s">
        <v>4047</v>
      </c>
      <c r="F935" s="11" t="s">
        <v>16</v>
      </c>
      <c r="G935" s="1">
        <v>46246</v>
      </c>
      <c r="H935" s="1">
        <v>46248</v>
      </c>
      <c r="I935" s="2">
        <v>0.25</v>
      </c>
      <c r="J935" s="2">
        <v>0.58333333333333337</v>
      </c>
      <c r="K935" s="11" t="s">
        <v>181</v>
      </c>
      <c r="L935" s="11" t="s">
        <v>182</v>
      </c>
      <c r="M935" s="1"/>
      <c r="N935" s="11"/>
      <c r="O935" s="11" t="s">
        <v>21</v>
      </c>
      <c r="P935" s="1"/>
      <c r="Q935" s="1"/>
      <c r="R935" s="11"/>
      <c r="S935" s="2">
        <f>CONSOLIDADO_2026[[#This Row],[Hora final]]-CONSOLIDADO_2026[[#This Row],[Hora inic]]</f>
        <v>0.33333333333333337</v>
      </c>
    </row>
    <row r="936" spans="1:19" hidden="1" x14ac:dyDescent="0.25">
      <c r="A936" t="s">
        <v>4183</v>
      </c>
      <c r="B936">
        <v>1143373273</v>
      </c>
      <c r="C936" t="s">
        <v>2037</v>
      </c>
      <c r="D936" s="11" t="s">
        <v>272</v>
      </c>
      <c r="E936" s="11" t="s">
        <v>4056</v>
      </c>
      <c r="F936" s="11" t="s">
        <v>16</v>
      </c>
      <c r="G936" s="1">
        <v>46245</v>
      </c>
      <c r="H936" s="1">
        <v>46247</v>
      </c>
      <c r="I936" s="2"/>
      <c r="J936" s="2"/>
      <c r="K936" s="11"/>
      <c r="L936" s="11" t="s">
        <v>4041</v>
      </c>
      <c r="M936" s="1"/>
      <c r="N936" s="11"/>
      <c r="O936" s="11" t="s">
        <v>4042</v>
      </c>
      <c r="P936" s="1"/>
      <c r="Q936" s="1"/>
      <c r="R936" s="11"/>
      <c r="S936" s="2">
        <f>CONSOLIDADO_2026[[#This Row],[Hora final]]-CONSOLIDADO_2026[[#This Row],[Hora inic]]</f>
        <v>0</v>
      </c>
    </row>
    <row r="937" spans="1:19" hidden="1" x14ac:dyDescent="0.25">
      <c r="A937" t="s">
        <v>4183</v>
      </c>
      <c r="B937">
        <v>1143267842</v>
      </c>
      <c r="C937" t="s">
        <v>1501</v>
      </c>
      <c r="D937" s="11" t="s">
        <v>128</v>
      </c>
      <c r="E937" s="11" t="s">
        <v>4045</v>
      </c>
      <c r="F937" s="11" t="s">
        <v>16</v>
      </c>
      <c r="G937" s="1">
        <v>46246</v>
      </c>
      <c r="H937" s="1">
        <v>46248</v>
      </c>
      <c r="I937" s="2">
        <v>0.58333333333333337</v>
      </c>
      <c r="J937" s="2">
        <v>0.875</v>
      </c>
      <c r="K937" s="11" t="s">
        <v>199</v>
      </c>
      <c r="L937" s="11" t="s">
        <v>200</v>
      </c>
      <c r="M937" s="1"/>
      <c r="N937" s="11"/>
      <c r="O937" s="11" t="s">
        <v>21</v>
      </c>
      <c r="P937" s="1"/>
      <c r="Q937" s="1"/>
      <c r="R937" s="11"/>
      <c r="S937" s="2">
        <f>CONSOLIDADO_2026[[#This Row],[Hora final]]-CONSOLIDADO_2026[[#This Row],[Hora inic]]</f>
        <v>0.29166666666666663</v>
      </c>
    </row>
    <row r="938" spans="1:19" hidden="1" x14ac:dyDescent="0.25">
      <c r="A938" t="s">
        <v>4183</v>
      </c>
      <c r="B938">
        <v>1082926383</v>
      </c>
      <c r="C938" t="s">
        <v>663</v>
      </c>
      <c r="D938" s="11" t="s">
        <v>132</v>
      </c>
      <c r="E938" s="11" t="s">
        <v>4040</v>
      </c>
      <c r="F938" s="11" t="s">
        <v>16</v>
      </c>
      <c r="G938" s="1">
        <v>46246</v>
      </c>
      <c r="H938" s="1">
        <v>46248</v>
      </c>
      <c r="I938" s="2">
        <v>0.25</v>
      </c>
      <c r="J938" s="2">
        <v>0.54166666666666663</v>
      </c>
      <c r="K938" s="11" t="s">
        <v>309</v>
      </c>
      <c r="L938" s="11" t="s">
        <v>310</v>
      </c>
      <c r="M938" s="1"/>
      <c r="N938" s="11"/>
      <c r="O938" s="11" t="s">
        <v>21</v>
      </c>
      <c r="P938" s="1"/>
      <c r="Q938" s="1"/>
      <c r="R938" s="11"/>
      <c r="S938" s="2">
        <f>CONSOLIDADO_2026[[#This Row],[Hora final]]-CONSOLIDADO_2026[[#This Row],[Hora inic]]</f>
        <v>0.29166666666666663</v>
      </c>
    </row>
    <row r="939" spans="1:19" hidden="1" x14ac:dyDescent="0.25">
      <c r="A939" t="s">
        <v>4183</v>
      </c>
      <c r="B939">
        <v>1098686151</v>
      </c>
      <c r="C939" t="s">
        <v>1882</v>
      </c>
      <c r="D939" s="11" t="s">
        <v>51</v>
      </c>
      <c r="E939" s="11" t="s">
        <v>4047</v>
      </c>
      <c r="F939" s="11" t="s">
        <v>16</v>
      </c>
      <c r="G939" s="1">
        <v>46246</v>
      </c>
      <c r="H939" s="1">
        <v>46248</v>
      </c>
      <c r="I939" s="2">
        <v>0.25</v>
      </c>
      <c r="J939" s="2">
        <v>0.54166666666666663</v>
      </c>
      <c r="K939" s="11"/>
      <c r="L939" s="11" t="s">
        <v>327</v>
      </c>
      <c r="M939" s="1"/>
      <c r="N939" s="11"/>
      <c r="O939" s="11" t="s">
        <v>4042</v>
      </c>
      <c r="P939" s="1"/>
      <c r="Q939" s="1"/>
      <c r="R939" s="11"/>
      <c r="S939" s="2">
        <f>CONSOLIDADO_2026[[#This Row],[Hora final]]-CONSOLIDADO_2026[[#This Row],[Hora inic]]</f>
        <v>0.29166666666666663</v>
      </c>
    </row>
    <row r="940" spans="1:19" hidden="1" x14ac:dyDescent="0.25">
      <c r="A940" t="s">
        <v>4183</v>
      </c>
      <c r="B940">
        <v>1094971283</v>
      </c>
      <c r="C940" t="s">
        <v>3374</v>
      </c>
      <c r="D940" s="11" t="s">
        <v>256</v>
      </c>
      <c r="E940" s="11" t="s">
        <v>4040</v>
      </c>
      <c r="F940" s="11" t="s">
        <v>16</v>
      </c>
      <c r="G940" s="1">
        <v>46245</v>
      </c>
      <c r="H940" s="1">
        <v>46247</v>
      </c>
      <c r="I940" s="2"/>
      <c r="J940" s="2"/>
      <c r="K940" s="11"/>
      <c r="L940" s="11" t="s">
        <v>4041</v>
      </c>
      <c r="M940" s="1"/>
      <c r="N940" s="11"/>
      <c r="O940" s="11" t="s">
        <v>4042</v>
      </c>
      <c r="P940" s="1"/>
      <c r="Q940" s="1"/>
      <c r="R940" s="11"/>
      <c r="S940" s="2">
        <f>CONSOLIDADO_2026[[#This Row],[Hora final]]-CONSOLIDADO_2026[[#This Row],[Hora inic]]</f>
        <v>0</v>
      </c>
    </row>
    <row r="941" spans="1:19" hidden="1" x14ac:dyDescent="0.25">
      <c r="A941" t="s">
        <v>4183</v>
      </c>
      <c r="B941">
        <v>1037644923</v>
      </c>
      <c r="C941" t="s">
        <v>2677</v>
      </c>
      <c r="D941" s="11" t="s">
        <v>492</v>
      </c>
      <c r="E941" s="11" t="s">
        <v>4045</v>
      </c>
      <c r="F941" s="11" t="s">
        <v>16</v>
      </c>
      <c r="G941" s="1">
        <v>46247</v>
      </c>
      <c r="H941" s="1">
        <v>46247</v>
      </c>
      <c r="I941" s="2">
        <v>0.25</v>
      </c>
      <c r="J941" s="2">
        <v>0.54166666666666663</v>
      </c>
      <c r="K941" s="11"/>
      <c r="L941" s="11" t="s">
        <v>4041</v>
      </c>
      <c r="M941" s="1"/>
      <c r="N941" s="11"/>
      <c r="O941" s="11" t="s">
        <v>4042</v>
      </c>
      <c r="P941" s="1"/>
      <c r="Q941" s="1"/>
      <c r="R941" s="11"/>
      <c r="S941" s="2">
        <f>CONSOLIDADO_2026[[#This Row],[Hora final]]-CONSOLIDADO_2026[[#This Row],[Hora inic]]</f>
        <v>0.29166666666666663</v>
      </c>
    </row>
    <row r="942" spans="1:19" hidden="1" x14ac:dyDescent="0.25">
      <c r="A942" t="s">
        <v>4183</v>
      </c>
      <c r="B942">
        <v>1035876080</v>
      </c>
      <c r="C942" t="s">
        <v>123</v>
      </c>
      <c r="D942" s="11" t="s">
        <v>124</v>
      </c>
      <c r="E942" s="11" t="s">
        <v>4045</v>
      </c>
      <c r="F942" s="11" t="s">
        <v>16</v>
      </c>
      <c r="G942" s="1">
        <v>46246</v>
      </c>
      <c r="H942" s="1">
        <v>46254</v>
      </c>
      <c r="I942" s="2">
        <v>0.25</v>
      </c>
      <c r="J942" s="2">
        <v>0.58333333333333337</v>
      </c>
      <c r="K942" s="11" t="s">
        <v>213</v>
      </c>
      <c r="L942" s="11" t="s">
        <v>214</v>
      </c>
      <c r="M942" s="1"/>
      <c r="N942" s="11"/>
      <c r="O942" s="11" t="s">
        <v>21</v>
      </c>
      <c r="P942" s="1"/>
      <c r="Q942" s="1"/>
      <c r="R942" s="11"/>
      <c r="S942" s="2">
        <f>CONSOLIDADO_2026[[#This Row],[Hora final]]-CONSOLIDADO_2026[[#This Row],[Hora inic]]</f>
        <v>0.33333333333333337</v>
      </c>
    </row>
    <row r="943" spans="1:19" hidden="1" x14ac:dyDescent="0.25">
      <c r="A943" t="s">
        <v>4183</v>
      </c>
      <c r="B943">
        <v>1085265026</v>
      </c>
      <c r="C943" t="s">
        <v>91</v>
      </c>
      <c r="D943" s="11" t="s">
        <v>55</v>
      </c>
      <c r="E943" s="11" t="s">
        <v>4047</v>
      </c>
      <c r="F943" s="11" t="s">
        <v>92</v>
      </c>
      <c r="G943" s="1">
        <v>46245</v>
      </c>
      <c r="H943" s="1">
        <v>46249</v>
      </c>
      <c r="I943" s="2">
        <v>0.25</v>
      </c>
      <c r="J943" s="2">
        <v>0.54166666666666663</v>
      </c>
      <c r="K943" s="11" t="s">
        <v>85</v>
      </c>
      <c r="L943" s="11" t="s">
        <v>86</v>
      </c>
      <c r="M943" s="1"/>
      <c r="N943" s="11"/>
      <c r="O943" s="11" t="s">
        <v>21</v>
      </c>
      <c r="P943" s="1"/>
      <c r="Q943" s="1"/>
      <c r="R943" s="11"/>
      <c r="S943" s="2">
        <f>CONSOLIDADO_2026[[#This Row],[Hora final]]-CONSOLIDADO_2026[[#This Row],[Hora inic]]</f>
        <v>0.29166666666666663</v>
      </c>
    </row>
    <row r="944" spans="1:19" hidden="1" x14ac:dyDescent="0.25">
      <c r="A944" t="s">
        <v>4183</v>
      </c>
      <c r="B944">
        <v>1193584838</v>
      </c>
      <c r="C944" t="s">
        <v>3000</v>
      </c>
      <c r="D944" s="11" t="s">
        <v>59</v>
      </c>
      <c r="E944" s="11" t="s">
        <v>4047</v>
      </c>
      <c r="F944" s="11" t="s">
        <v>16</v>
      </c>
      <c r="G944" s="1">
        <v>46245</v>
      </c>
      <c r="H944" s="1">
        <v>46247</v>
      </c>
      <c r="I944" s="2"/>
      <c r="J944" s="2"/>
      <c r="K944" s="11"/>
      <c r="L944" s="11" t="s">
        <v>4041</v>
      </c>
      <c r="M944" s="1"/>
      <c r="N944" s="11"/>
      <c r="O944" s="11" t="s">
        <v>4042</v>
      </c>
      <c r="P944" s="1"/>
      <c r="Q944" s="1"/>
      <c r="R944" s="11"/>
      <c r="S944" s="2">
        <f>CONSOLIDADO_2026[[#This Row],[Hora final]]-CONSOLIDADO_2026[[#This Row],[Hora inic]]</f>
        <v>0</v>
      </c>
    </row>
    <row r="945" spans="1:19" hidden="1" x14ac:dyDescent="0.25">
      <c r="A945" t="s">
        <v>4183</v>
      </c>
      <c r="B945">
        <v>1000662062</v>
      </c>
      <c r="C945" t="s">
        <v>330</v>
      </c>
      <c r="D945" s="11" t="s">
        <v>55</v>
      </c>
      <c r="E945" s="11" t="s">
        <v>4047</v>
      </c>
      <c r="F945" s="11" t="s">
        <v>16</v>
      </c>
      <c r="G945" s="1">
        <v>46245</v>
      </c>
      <c r="H945" s="1">
        <v>46249</v>
      </c>
      <c r="I945" s="2">
        <v>0.58333333333333337</v>
      </c>
      <c r="J945" s="2">
        <v>0.875</v>
      </c>
      <c r="K945" s="11"/>
      <c r="L945" s="11" t="s">
        <v>327</v>
      </c>
      <c r="M945" s="1"/>
      <c r="N945" s="11"/>
      <c r="O945" s="11" t="s">
        <v>4042</v>
      </c>
      <c r="P945" s="1"/>
      <c r="Q945" s="1"/>
      <c r="R945" s="11"/>
      <c r="S945" s="2">
        <f>CONSOLIDADO_2026[[#This Row],[Hora final]]-CONSOLIDADO_2026[[#This Row],[Hora inic]]</f>
        <v>0.29166666666666663</v>
      </c>
    </row>
    <row r="946" spans="1:19" hidden="1" x14ac:dyDescent="0.25">
      <c r="A946" t="s">
        <v>4183</v>
      </c>
      <c r="B946">
        <v>1077462479</v>
      </c>
      <c r="C946" t="s">
        <v>4027</v>
      </c>
      <c r="D946" s="11" t="s">
        <v>59</v>
      </c>
      <c r="E946" s="11" t="s">
        <v>4047</v>
      </c>
      <c r="F946" s="11" t="s">
        <v>4087</v>
      </c>
      <c r="G946" s="1">
        <v>46245</v>
      </c>
      <c r="H946" s="1">
        <v>46247</v>
      </c>
      <c r="I946" s="2"/>
      <c r="J946" s="2"/>
      <c r="K946" s="11"/>
      <c r="L946" s="11" t="s">
        <v>4041</v>
      </c>
      <c r="M946" s="1"/>
      <c r="N946" s="11"/>
      <c r="O946" s="11" t="s">
        <v>4042</v>
      </c>
      <c r="P946" s="1"/>
      <c r="Q946" s="1"/>
      <c r="R946" s="11"/>
      <c r="S946" s="2">
        <f>CONSOLIDADO_2026[[#This Row],[Hora final]]-CONSOLIDADO_2026[[#This Row],[Hora inic]]</f>
        <v>0</v>
      </c>
    </row>
    <row r="947" spans="1:19" hidden="1" x14ac:dyDescent="0.25">
      <c r="A947" t="s">
        <v>4183</v>
      </c>
      <c r="B947">
        <v>1037638426</v>
      </c>
      <c r="C947" t="s">
        <v>31</v>
      </c>
      <c r="D947" s="11" t="s">
        <v>28</v>
      </c>
      <c r="E947" s="11" t="s">
        <v>4046</v>
      </c>
      <c r="F947" s="11" t="s">
        <v>24</v>
      </c>
      <c r="G947" s="1">
        <v>46230</v>
      </c>
      <c r="H947" s="1">
        <v>46262</v>
      </c>
      <c r="I947" s="2">
        <v>0.25</v>
      </c>
      <c r="J947" s="2">
        <v>0.58333333333333337</v>
      </c>
      <c r="K947" s="11" t="s">
        <v>222</v>
      </c>
      <c r="L947" s="11" t="s">
        <v>223</v>
      </c>
      <c r="M947" s="1"/>
      <c r="N947" s="11"/>
      <c r="O947" s="11" t="s">
        <v>21</v>
      </c>
      <c r="P947" s="1"/>
      <c r="Q947" s="1"/>
      <c r="R947" s="11"/>
      <c r="S947" s="2">
        <f>CONSOLIDADO_2026[[#This Row],[Hora final]]-CONSOLIDADO_2026[[#This Row],[Hora inic]]</f>
        <v>0.33333333333333337</v>
      </c>
    </row>
    <row r="948" spans="1:19" hidden="1" x14ac:dyDescent="0.25">
      <c r="A948" t="s">
        <v>4183</v>
      </c>
      <c r="B948">
        <v>1082896324</v>
      </c>
      <c r="C948" t="s">
        <v>127</v>
      </c>
      <c r="D948" s="11" t="s">
        <v>128</v>
      </c>
      <c r="E948" s="11" t="s">
        <v>4045</v>
      </c>
      <c r="F948" s="11" t="s">
        <v>16</v>
      </c>
      <c r="G948" s="1">
        <v>46242</v>
      </c>
      <c r="H948" s="1">
        <v>46272</v>
      </c>
      <c r="I948" s="2">
        <v>0.25</v>
      </c>
      <c r="J948" s="2">
        <v>0.54166666666666663</v>
      </c>
      <c r="K948" s="11"/>
      <c r="L948" s="11" t="s">
        <v>327</v>
      </c>
      <c r="M948" s="1"/>
      <c r="N948" s="11"/>
      <c r="O948" s="11" t="s">
        <v>4042</v>
      </c>
      <c r="P948" s="1"/>
      <c r="Q948" s="1"/>
      <c r="R948" s="11"/>
      <c r="S948" s="2">
        <f>CONSOLIDADO_2026[[#This Row],[Hora final]]-CONSOLIDADO_2026[[#This Row],[Hora inic]]</f>
        <v>0.29166666666666663</v>
      </c>
    </row>
    <row r="949" spans="1:19" hidden="1" x14ac:dyDescent="0.25">
      <c r="A949" t="s">
        <v>4183</v>
      </c>
      <c r="B949">
        <v>1143374438</v>
      </c>
      <c r="C949" t="s">
        <v>154</v>
      </c>
      <c r="D949" s="11" t="s">
        <v>28</v>
      </c>
      <c r="E949" s="11" t="s">
        <v>4046</v>
      </c>
      <c r="F949" s="11" t="s">
        <v>16</v>
      </c>
      <c r="G949" s="1">
        <v>46239</v>
      </c>
      <c r="H949" s="1">
        <v>46268</v>
      </c>
      <c r="I949" s="2">
        <v>0.58333333333333337</v>
      </c>
      <c r="J949" s="2">
        <v>0.875</v>
      </c>
      <c r="K949" s="11"/>
      <c r="L949" s="11" t="s">
        <v>327</v>
      </c>
      <c r="M949" s="1"/>
      <c r="N949" s="11"/>
      <c r="O949" s="11" t="s">
        <v>4042</v>
      </c>
      <c r="P949" s="1"/>
      <c r="Q949" s="1"/>
      <c r="R949" s="11"/>
      <c r="S949" s="2">
        <f>CONSOLIDADO_2026[[#This Row],[Hora final]]-CONSOLIDADO_2026[[#This Row],[Hora inic]]</f>
        <v>0.29166666666666663</v>
      </c>
    </row>
    <row r="950" spans="1:19" hidden="1" x14ac:dyDescent="0.25">
      <c r="A950" t="s">
        <v>4183</v>
      </c>
      <c r="B950">
        <v>1015483595</v>
      </c>
      <c r="C950" t="s">
        <v>23</v>
      </c>
      <c r="D950" s="11" t="s">
        <v>15</v>
      </c>
      <c r="E950" s="11" t="s">
        <v>4046</v>
      </c>
      <c r="F950" s="11" t="s">
        <v>24</v>
      </c>
      <c r="G950" s="1">
        <v>46244</v>
      </c>
      <c r="H950" s="1">
        <v>46265</v>
      </c>
      <c r="I950" s="2">
        <v>0.54166666666666663</v>
      </c>
      <c r="J950" s="2">
        <v>0.875</v>
      </c>
      <c r="K950" s="11" t="s">
        <v>17</v>
      </c>
      <c r="L950" s="11" t="s">
        <v>18</v>
      </c>
      <c r="M950" s="1"/>
      <c r="N950" s="11"/>
      <c r="O950" s="11" t="s">
        <v>21</v>
      </c>
      <c r="P950" s="1"/>
      <c r="Q950" s="1"/>
      <c r="R950" s="11"/>
      <c r="S950" s="2">
        <f>CONSOLIDADO_2026[[#This Row],[Hora final]]-CONSOLIDADO_2026[[#This Row],[Hora inic]]</f>
        <v>0.33333333333333337</v>
      </c>
    </row>
    <row r="951" spans="1:19" hidden="1" x14ac:dyDescent="0.25">
      <c r="A951" t="s">
        <v>4183</v>
      </c>
      <c r="B951">
        <v>1001851670</v>
      </c>
      <c r="C951" t="s">
        <v>50</v>
      </c>
      <c r="D951" s="11" t="s">
        <v>51</v>
      </c>
      <c r="E951" s="11" t="s">
        <v>4047</v>
      </c>
      <c r="F951" s="11" t="s">
        <v>36</v>
      </c>
      <c r="G951" s="1">
        <v>46241</v>
      </c>
      <c r="H951" s="1">
        <v>46366</v>
      </c>
      <c r="I951" s="2">
        <v>0.25</v>
      </c>
      <c r="J951" s="2">
        <v>0.54166666666666663</v>
      </c>
      <c r="K951" s="11" t="s">
        <v>73</v>
      </c>
      <c r="L951" s="11" t="s">
        <v>74</v>
      </c>
      <c r="M951" s="1"/>
      <c r="N951" s="11"/>
      <c r="O951" s="11" t="s">
        <v>21</v>
      </c>
      <c r="P951" s="1"/>
      <c r="Q951" s="1"/>
      <c r="R951" s="11"/>
      <c r="S951" s="2">
        <f>CONSOLIDADO_2026[[#This Row],[Hora final]]-CONSOLIDADO_2026[[#This Row],[Hora inic]]</f>
        <v>0.29166666666666663</v>
      </c>
    </row>
    <row r="952" spans="1:19" hidden="1" x14ac:dyDescent="0.25">
      <c r="A952" t="s">
        <v>4183</v>
      </c>
      <c r="B952">
        <v>1067963513</v>
      </c>
      <c r="C952" t="s">
        <v>67</v>
      </c>
      <c r="D952" s="11" t="s">
        <v>68</v>
      </c>
      <c r="E952" s="11" t="s">
        <v>4040</v>
      </c>
      <c r="F952" s="11" t="s">
        <v>24</v>
      </c>
      <c r="G952" s="1">
        <v>46240</v>
      </c>
      <c r="H952" s="1">
        <v>46265</v>
      </c>
      <c r="I952" s="2"/>
      <c r="J952" s="2"/>
      <c r="K952" s="11"/>
      <c r="L952" s="11" t="s">
        <v>346</v>
      </c>
      <c r="M952" s="1"/>
      <c r="N952" s="11"/>
      <c r="O952" s="11" t="s">
        <v>4042</v>
      </c>
      <c r="P952" s="1"/>
      <c r="Q952" s="1"/>
      <c r="R952" s="11"/>
      <c r="S952" s="2">
        <f>CONSOLIDADO_2026[[#This Row],[Hora final]]-CONSOLIDADO_2026[[#This Row],[Hora inic]]</f>
        <v>0</v>
      </c>
    </row>
    <row r="953" spans="1:19" hidden="1" x14ac:dyDescent="0.25">
      <c r="A953" t="s">
        <v>4183</v>
      </c>
      <c r="B953">
        <v>1005424850</v>
      </c>
      <c r="C953" t="s">
        <v>95</v>
      </c>
      <c r="D953" s="11" t="s">
        <v>82</v>
      </c>
      <c r="E953" s="11" t="s">
        <v>4045</v>
      </c>
      <c r="F953" s="11" t="s">
        <v>4062</v>
      </c>
      <c r="G953" s="1">
        <v>46247</v>
      </c>
      <c r="H953" s="1">
        <v>46262</v>
      </c>
      <c r="I953" s="2">
        <v>0.5</v>
      </c>
      <c r="J953" s="2">
        <v>0.83333333333333337</v>
      </c>
      <c r="K953" s="11" t="s">
        <v>303</v>
      </c>
      <c r="L953" s="11" t="s">
        <v>304</v>
      </c>
      <c r="M953" s="1"/>
      <c r="N953" s="11"/>
      <c r="O953" s="11" t="s">
        <v>21</v>
      </c>
      <c r="P953" s="1"/>
      <c r="Q953" s="1"/>
      <c r="R953" s="11"/>
      <c r="S953" s="2">
        <f>CONSOLIDADO_2026[[#This Row],[Hora final]]-CONSOLIDADO_2026[[#This Row],[Hora inic]]</f>
        <v>0.33333333333333337</v>
      </c>
    </row>
    <row r="954" spans="1:19" hidden="1" x14ac:dyDescent="0.25">
      <c r="A954" t="s">
        <v>4183</v>
      </c>
      <c r="B954">
        <v>42141273</v>
      </c>
      <c r="C954" t="s">
        <v>271</v>
      </c>
      <c r="D954" s="11" t="s">
        <v>272</v>
      </c>
      <c r="E954" s="11" t="s">
        <v>4056</v>
      </c>
      <c r="F954" s="11" t="s">
        <v>4065</v>
      </c>
      <c r="G954" s="1">
        <v>46232</v>
      </c>
      <c r="H954" s="1">
        <v>46261</v>
      </c>
      <c r="I954" s="2">
        <v>0.25</v>
      </c>
      <c r="J954" s="2">
        <v>0.5</v>
      </c>
      <c r="K954" s="11"/>
      <c r="L954" s="11" t="s">
        <v>327</v>
      </c>
      <c r="M954" s="1"/>
      <c r="N954" s="11"/>
      <c r="O954" s="11" t="s">
        <v>4042</v>
      </c>
      <c r="P954" s="1"/>
      <c r="Q954" s="1"/>
      <c r="R954" s="11"/>
      <c r="S954" s="2">
        <f>CONSOLIDADO_2026[[#This Row],[Hora final]]-CONSOLIDADO_2026[[#This Row],[Hora inic]]</f>
        <v>0.25</v>
      </c>
    </row>
    <row r="955" spans="1:19" hidden="1" x14ac:dyDescent="0.25">
      <c r="A955" t="s">
        <v>4183</v>
      </c>
      <c r="B955">
        <v>1037671907</v>
      </c>
      <c r="C955" t="s">
        <v>4164</v>
      </c>
      <c r="D955" s="11" t="s">
        <v>82</v>
      </c>
      <c r="E955" s="11" t="s">
        <v>4045</v>
      </c>
      <c r="F955" s="11" t="s">
        <v>4050</v>
      </c>
      <c r="G955" s="1">
        <v>46245</v>
      </c>
      <c r="H955" s="1">
        <v>46247</v>
      </c>
      <c r="I955" s="2"/>
      <c r="J955" s="2"/>
      <c r="K955" s="11"/>
      <c r="L955" s="11" t="s">
        <v>4041</v>
      </c>
      <c r="M955" s="1"/>
      <c r="N955" s="11"/>
      <c r="O955" s="11" t="s">
        <v>4042</v>
      </c>
      <c r="P955" s="1"/>
      <c r="Q955" s="1"/>
      <c r="R955" s="11"/>
      <c r="S955" s="2">
        <f>CONSOLIDADO_2026[[#This Row],[Hora final]]-CONSOLIDADO_2026[[#This Row],[Hora inic]]</f>
        <v>0</v>
      </c>
    </row>
    <row r="956" spans="1:19" hidden="1" x14ac:dyDescent="0.25">
      <c r="A956" t="s">
        <v>4183</v>
      </c>
      <c r="B956">
        <v>1010246557</v>
      </c>
      <c r="C956" t="s">
        <v>3461</v>
      </c>
      <c r="D956" s="11" t="s">
        <v>256</v>
      </c>
      <c r="E956" s="11" t="s">
        <v>4040</v>
      </c>
      <c r="F956" s="11" t="s">
        <v>4140</v>
      </c>
      <c r="G956" s="1">
        <v>46247</v>
      </c>
      <c r="H956" s="1">
        <v>46247</v>
      </c>
      <c r="I956" s="2"/>
      <c r="J956" s="2"/>
      <c r="K956" s="11"/>
      <c r="L956" s="11" t="s">
        <v>4041</v>
      </c>
      <c r="M956" s="1"/>
      <c r="N956" s="11"/>
      <c r="O956" s="11" t="s">
        <v>4042</v>
      </c>
      <c r="P956" s="1"/>
      <c r="Q956" s="1"/>
      <c r="R956" s="11"/>
      <c r="S956" s="2">
        <f>CONSOLIDADO_2026[[#This Row],[Hora final]]-CONSOLIDADO_2026[[#This Row],[Hora inic]]</f>
        <v>0</v>
      </c>
    </row>
    <row r="957" spans="1:19" hidden="1" x14ac:dyDescent="0.25">
      <c r="A957" t="s">
        <v>4183</v>
      </c>
      <c r="B957">
        <v>1152221372</v>
      </c>
      <c r="C957" t="s">
        <v>2363</v>
      </c>
      <c r="D957" s="11" t="s">
        <v>139</v>
      </c>
      <c r="E957" s="11" t="s">
        <v>4040</v>
      </c>
      <c r="F957" s="11" t="s">
        <v>158</v>
      </c>
      <c r="G957" s="1">
        <v>46230</v>
      </c>
      <c r="H957" s="1">
        <v>46230</v>
      </c>
      <c r="I957" s="2">
        <v>0.58333333333333337</v>
      </c>
      <c r="J957" s="2">
        <v>0.875</v>
      </c>
      <c r="K957" s="11" t="s">
        <v>116</v>
      </c>
      <c r="L957" s="11" t="s">
        <v>117</v>
      </c>
      <c r="M957" s="1"/>
      <c r="N957" s="11"/>
      <c r="O957" s="11" t="s">
        <v>21</v>
      </c>
      <c r="P957" s="1"/>
      <c r="Q957" s="1"/>
      <c r="R957" s="11"/>
      <c r="S957" s="2">
        <f>CONSOLIDADO_2026[[#This Row],[Hora final]]-CONSOLIDADO_2026[[#This Row],[Hora inic]]</f>
        <v>0.29166666666666663</v>
      </c>
    </row>
    <row r="958" spans="1:19" hidden="1" x14ac:dyDescent="0.25">
      <c r="A958" t="s">
        <v>4183</v>
      </c>
      <c r="B958">
        <v>1004960056</v>
      </c>
      <c r="C958" t="s">
        <v>644</v>
      </c>
      <c r="D958" s="11" t="s">
        <v>634</v>
      </c>
      <c r="E958" s="11" t="s">
        <v>4045</v>
      </c>
      <c r="F958" s="11" t="s">
        <v>4091</v>
      </c>
      <c r="G958" s="1">
        <v>46246</v>
      </c>
      <c r="H958" s="1">
        <v>46247</v>
      </c>
      <c r="I958" s="2"/>
      <c r="J958" s="2"/>
      <c r="K958" s="11"/>
      <c r="L958" s="11" t="s">
        <v>4041</v>
      </c>
      <c r="M958" s="1"/>
      <c r="N958" s="11"/>
      <c r="O958" s="11" t="s">
        <v>4042</v>
      </c>
      <c r="P958" s="1"/>
      <c r="Q958" s="1"/>
      <c r="R958" s="11"/>
      <c r="S958" s="2">
        <f>CONSOLIDADO_2026[[#This Row],[Hora final]]-CONSOLIDADO_2026[[#This Row],[Hora inic]]</f>
        <v>0</v>
      </c>
    </row>
    <row r="959" spans="1:19" hidden="1" x14ac:dyDescent="0.25">
      <c r="A959" t="s">
        <v>4183</v>
      </c>
      <c r="B959">
        <v>1017264032</v>
      </c>
      <c r="C959" t="s">
        <v>54</v>
      </c>
      <c r="D959" s="11" t="s">
        <v>55</v>
      </c>
      <c r="E959" s="11" t="s">
        <v>4047</v>
      </c>
      <c r="F959" s="11" t="s">
        <v>16</v>
      </c>
      <c r="G959" s="1">
        <v>46229</v>
      </c>
      <c r="H959" s="1">
        <v>46258</v>
      </c>
      <c r="I959" s="2">
        <v>0.58333333333333337</v>
      </c>
      <c r="J959" s="2">
        <v>0.875</v>
      </c>
      <c r="K959" s="11"/>
      <c r="L959" s="11" t="s">
        <v>327</v>
      </c>
      <c r="M959" s="1"/>
      <c r="N959" s="11"/>
      <c r="O959" s="11" t="s">
        <v>4042</v>
      </c>
      <c r="P959" s="1"/>
      <c r="Q959" s="1"/>
      <c r="R959" s="11"/>
      <c r="S959" s="2">
        <f>CONSOLIDADO_2026[[#This Row],[Hora final]]-CONSOLIDADO_2026[[#This Row],[Hora inic]]</f>
        <v>0.29166666666666663</v>
      </c>
    </row>
    <row r="960" spans="1:19" hidden="1" x14ac:dyDescent="0.25">
      <c r="A960" t="s">
        <v>4183</v>
      </c>
      <c r="B960">
        <v>1000640883</v>
      </c>
      <c r="C960" t="s">
        <v>3269</v>
      </c>
      <c r="D960" s="11" t="s">
        <v>55</v>
      </c>
      <c r="E960" s="11" t="s">
        <v>4047</v>
      </c>
      <c r="F960" s="11" t="s">
        <v>16</v>
      </c>
      <c r="G960" s="1">
        <v>46247</v>
      </c>
      <c r="H960" s="1"/>
      <c r="I960" s="2">
        <v>0.58333333333333337</v>
      </c>
      <c r="J960" s="2">
        <v>0.875</v>
      </c>
      <c r="K960" s="11"/>
      <c r="L960" s="11" t="s">
        <v>4084</v>
      </c>
      <c r="M960" s="1"/>
      <c r="N960" s="11"/>
      <c r="O960" s="11" t="s">
        <v>4042</v>
      </c>
      <c r="P960" s="1"/>
      <c r="Q960" s="1"/>
      <c r="R960" s="11"/>
      <c r="S960" s="2">
        <f>CONSOLIDADO_2026[[#This Row],[Hora final]]-CONSOLIDADO_2026[[#This Row],[Hora inic]]</f>
        <v>0.29166666666666663</v>
      </c>
    </row>
    <row r="961" spans="1:19" hidden="1" x14ac:dyDescent="0.25">
      <c r="A961" t="s">
        <v>4183</v>
      </c>
      <c r="B961">
        <v>1037631989</v>
      </c>
      <c r="C961" t="s">
        <v>27</v>
      </c>
      <c r="D961" s="11" t="s">
        <v>28</v>
      </c>
      <c r="E961" s="11" t="s">
        <v>4046</v>
      </c>
      <c r="F961" s="11" t="s">
        <v>16</v>
      </c>
      <c r="G961" s="1">
        <v>46226</v>
      </c>
      <c r="H961" s="1">
        <v>46255</v>
      </c>
      <c r="I961" s="2">
        <v>0.54166666666666663</v>
      </c>
      <c r="J961" s="2">
        <v>0.875</v>
      </c>
      <c r="K961" s="11"/>
      <c r="L961" s="11" t="s">
        <v>327</v>
      </c>
      <c r="M961" s="1"/>
      <c r="N961" s="11"/>
      <c r="O961" s="11" t="s">
        <v>4042</v>
      </c>
      <c r="P961" s="1"/>
      <c r="Q961" s="1"/>
      <c r="R961" s="11"/>
      <c r="S961" s="2">
        <f>CONSOLIDADO_2026[[#This Row],[Hora final]]-CONSOLIDADO_2026[[#This Row],[Hora inic]]</f>
        <v>0.33333333333333337</v>
      </c>
    </row>
    <row r="962" spans="1:19" hidden="1" x14ac:dyDescent="0.25">
      <c r="A962" t="s">
        <v>4183</v>
      </c>
      <c r="B962">
        <v>1143414481</v>
      </c>
      <c r="C962" t="s">
        <v>2447</v>
      </c>
      <c r="D962" s="11" t="s">
        <v>28</v>
      </c>
      <c r="E962" s="11" t="s">
        <v>4046</v>
      </c>
      <c r="F962" s="11" t="s">
        <v>4123</v>
      </c>
      <c r="G962" s="1">
        <v>46247</v>
      </c>
      <c r="H962" s="1">
        <v>46252</v>
      </c>
      <c r="I962" s="2">
        <v>0.58333333333333337</v>
      </c>
      <c r="J962" s="2">
        <v>0.875</v>
      </c>
      <c r="K962" s="11"/>
      <c r="L962" s="11" t="s">
        <v>327</v>
      </c>
      <c r="M962" s="1"/>
      <c r="N962" s="11"/>
      <c r="O962" s="11" t="s">
        <v>4042</v>
      </c>
      <c r="P962" s="1"/>
      <c r="Q962" s="1"/>
      <c r="R962" s="11"/>
      <c r="S962" s="2">
        <f>CONSOLIDADO_2026[[#This Row],[Hora final]]-CONSOLIDADO_2026[[#This Row],[Hora inic]]</f>
        <v>0.29166666666666663</v>
      </c>
    </row>
    <row r="963" spans="1:19" hidden="1" x14ac:dyDescent="0.25">
      <c r="A963" t="s">
        <v>4183</v>
      </c>
      <c r="B963">
        <v>1043006106</v>
      </c>
      <c r="C963" t="s">
        <v>202</v>
      </c>
      <c r="D963" s="11" t="s">
        <v>64</v>
      </c>
      <c r="E963" s="11" t="s">
        <v>4046</v>
      </c>
      <c r="F963" s="11" t="s">
        <v>16</v>
      </c>
      <c r="G963" s="1">
        <v>46219</v>
      </c>
      <c r="H963" s="1">
        <v>46248</v>
      </c>
      <c r="I963" s="2">
        <v>0.58333333333333337</v>
      </c>
      <c r="J963" s="2">
        <v>0.875</v>
      </c>
      <c r="K963" s="11"/>
      <c r="L963" s="11" t="s">
        <v>327</v>
      </c>
      <c r="M963" s="1"/>
      <c r="N963" s="11"/>
      <c r="O963" s="11" t="s">
        <v>4042</v>
      </c>
      <c r="P963" s="1"/>
      <c r="Q963" s="1"/>
      <c r="R963" s="11"/>
      <c r="S963" s="2">
        <f>CONSOLIDADO_2026[[#This Row],[Hora final]]-CONSOLIDADO_2026[[#This Row],[Hora inic]]</f>
        <v>0.29166666666666663</v>
      </c>
    </row>
    <row r="964" spans="1:19" hidden="1" x14ac:dyDescent="0.25">
      <c r="A964" t="s">
        <v>4183</v>
      </c>
      <c r="B964">
        <v>1121506548</v>
      </c>
      <c r="C964" t="s">
        <v>38</v>
      </c>
      <c r="D964" s="11" t="s">
        <v>39</v>
      </c>
      <c r="E964" s="11" t="s">
        <v>4046</v>
      </c>
      <c r="F964" s="11" t="s">
        <v>36</v>
      </c>
      <c r="G964" s="1">
        <v>46217</v>
      </c>
      <c r="H964" s="1">
        <v>46342</v>
      </c>
      <c r="I964" s="2">
        <v>0.58333333333333337</v>
      </c>
      <c r="J964" s="2">
        <v>0.875</v>
      </c>
      <c r="K964" s="11" t="s">
        <v>300</v>
      </c>
      <c r="L964" s="11" t="s">
        <v>301</v>
      </c>
      <c r="M964" s="1"/>
      <c r="N964" s="11"/>
      <c r="O964" s="11" t="s">
        <v>21</v>
      </c>
      <c r="P964" s="1"/>
      <c r="Q964" s="1"/>
      <c r="R964" s="11"/>
      <c r="S964" s="2">
        <f>CONSOLIDADO_2026[[#This Row],[Hora final]]-CONSOLIDADO_2026[[#This Row],[Hora inic]]</f>
        <v>0.29166666666666663</v>
      </c>
    </row>
    <row r="965" spans="1:19" hidden="1" x14ac:dyDescent="0.25">
      <c r="A965" t="s">
        <v>4183</v>
      </c>
      <c r="B965">
        <v>1037630071</v>
      </c>
      <c r="C965" t="s">
        <v>3579</v>
      </c>
      <c r="D965" s="11" t="s">
        <v>176</v>
      </c>
      <c r="E965" s="11" t="s">
        <v>4040</v>
      </c>
      <c r="F965" s="11" t="s">
        <v>4062</v>
      </c>
      <c r="G965" s="1">
        <v>46247</v>
      </c>
      <c r="H965" s="1">
        <v>46265</v>
      </c>
      <c r="I965" s="2">
        <v>0.25</v>
      </c>
      <c r="J965" s="2">
        <v>0.58333333333333337</v>
      </c>
      <c r="K965" s="11" t="s">
        <v>45</v>
      </c>
      <c r="L965" s="11" t="s">
        <v>46</v>
      </c>
      <c r="M965" s="1"/>
      <c r="N965" s="11"/>
      <c r="O965" s="11" t="s">
        <v>21</v>
      </c>
      <c r="P965" s="1"/>
      <c r="Q965" s="1"/>
      <c r="R965" s="11"/>
      <c r="S965" s="2">
        <f>CONSOLIDADO_2026[[#This Row],[Hora final]]-CONSOLIDADO_2026[[#This Row],[Hora inic]]</f>
        <v>0.33333333333333337</v>
      </c>
    </row>
    <row r="966" spans="1:19" hidden="1" x14ac:dyDescent="0.25">
      <c r="A966" t="s">
        <v>4183</v>
      </c>
      <c r="B966">
        <v>1143460426</v>
      </c>
      <c r="C966" t="s">
        <v>4069</v>
      </c>
      <c r="D966" s="11" t="s">
        <v>64</v>
      </c>
      <c r="E966" s="11" t="s">
        <v>4046</v>
      </c>
      <c r="F966" s="11" t="s">
        <v>4050</v>
      </c>
      <c r="G966" s="1">
        <v>46195</v>
      </c>
      <c r="H966" s="1">
        <v>46198</v>
      </c>
      <c r="I966" s="2">
        <v>0.58333333333333337</v>
      </c>
      <c r="J966" s="2">
        <v>0.875</v>
      </c>
      <c r="K966" s="11" t="s">
        <v>236</v>
      </c>
      <c r="L966" s="11" t="s">
        <v>237</v>
      </c>
      <c r="M966" s="1"/>
      <c r="N966" s="11"/>
      <c r="O966" s="11" t="s">
        <v>21</v>
      </c>
      <c r="P966" s="1"/>
      <c r="Q966" s="1"/>
      <c r="R966" s="11"/>
      <c r="S966" s="2">
        <f>CONSOLIDADO_2026[[#This Row],[Hora final]]-CONSOLIDADO_2026[[#This Row],[Hora inic]]</f>
        <v>0.29166666666666663</v>
      </c>
    </row>
    <row r="967" spans="1:19" hidden="1" x14ac:dyDescent="0.25">
      <c r="A967" t="s">
        <v>4183</v>
      </c>
      <c r="B967">
        <v>1001897056</v>
      </c>
      <c r="C967" t="s">
        <v>334</v>
      </c>
      <c r="D967" s="11" t="s">
        <v>139</v>
      </c>
      <c r="E967" s="11" t="s">
        <v>4040</v>
      </c>
      <c r="F967" s="11" t="s">
        <v>16</v>
      </c>
      <c r="G967" s="1">
        <v>46245</v>
      </c>
      <c r="H967" s="1">
        <v>46249</v>
      </c>
      <c r="I967" s="2">
        <v>0.54166666666666663</v>
      </c>
      <c r="J967" s="2">
        <v>0.875</v>
      </c>
      <c r="K967" s="11"/>
      <c r="L967" s="11" t="s">
        <v>327</v>
      </c>
      <c r="M967" s="1"/>
      <c r="N967" s="11"/>
      <c r="O967" s="11" t="s">
        <v>4042</v>
      </c>
      <c r="P967" s="1"/>
      <c r="Q967" s="1"/>
      <c r="R967" s="11"/>
      <c r="S967" s="2">
        <f>CONSOLIDADO_2026[[#This Row],[Hora final]]-CONSOLIDADO_2026[[#This Row],[Hora inic]]</f>
        <v>0.33333333333333337</v>
      </c>
    </row>
    <row r="968" spans="1:19" hidden="1" x14ac:dyDescent="0.25">
      <c r="A968" t="s">
        <v>4183</v>
      </c>
      <c r="B968">
        <v>1152462704</v>
      </c>
      <c r="C968" t="s">
        <v>746</v>
      </c>
      <c r="D968" s="11" t="s">
        <v>132</v>
      </c>
      <c r="E968" s="11" t="s">
        <v>4040</v>
      </c>
      <c r="F968" s="11" t="s">
        <v>16</v>
      </c>
      <c r="G968" s="1">
        <v>46246</v>
      </c>
      <c r="H968" s="1">
        <v>46248</v>
      </c>
      <c r="I968" s="2">
        <v>0.58333333333333337</v>
      </c>
      <c r="J968" s="2">
        <v>0.875</v>
      </c>
      <c r="K968" s="11"/>
      <c r="L968" s="11" t="s">
        <v>4060</v>
      </c>
      <c r="M968" s="1"/>
      <c r="N968" s="11"/>
      <c r="O968" s="11" t="s">
        <v>4042</v>
      </c>
      <c r="P968" s="1"/>
      <c r="Q968" s="1"/>
      <c r="R968" s="11"/>
      <c r="S968" s="2">
        <f>CONSOLIDADO_2026[[#This Row],[Hora final]]-CONSOLIDADO_2026[[#This Row],[Hora inic]]</f>
        <v>0.29166666666666663</v>
      </c>
    </row>
    <row r="969" spans="1:19" hidden="1" x14ac:dyDescent="0.25">
      <c r="A969" t="s">
        <v>4183</v>
      </c>
      <c r="B969">
        <v>1045718883</v>
      </c>
      <c r="C969" t="s">
        <v>34</v>
      </c>
      <c r="D969" s="11" t="s">
        <v>15</v>
      </c>
      <c r="E969" s="11" t="s">
        <v>4046</v>
      </c>
      <c r="F969" s="11" t="s">
        <v>36</v>
      </c>
      <c r="G969" s="1">
        <v>46245</v>
      </c>
      <c r="H969" s="1">
        <v>46340</v>
      </c>
      <c r="I969" s="2">
        <v>0.25</v>
      </c>
      <c r="J969" s="2">
        <v>0.54166666666666663</v>
      </c>
      <c r="K969" s="11" t="s">
        <v>150</v>
      </c>
      <c r="L969" s="11" t="s">
        <v>151</v>
      </c>
      <c r="M969" s="1"/>
      <c r="N969" s="11"/>
      <c r="O969" s="11" t="s">
        <v>21</v>
      </c>
      <c r="P969" s="1"/>
      <c r="Q969" s="1"/>
      <c r="R969" s="11"/>
      <c r="S969" s="2">
        <f>CONSOLIDADO_2026[[#This Row],[Hora final]]-CONSOLIDADO_2026[[#This Row],[Hora inic]]</f>
        <v>0.29166666666666663</v>
      </c>
    </row>
    <row r="970" spans="1:19" hidden="1" x14ac:dyDescent="0.25">
      <c r="A970" t="s">
        <v>4183</v>
      </c>
      <c r="B970">
        <v>1102808787</v>
      </c>
      <c r="C970" t="s">
        <v>135</v>
      </c>
      <c r="D970" s="11" t="s">
        <v>39</v>
      </c>
      <c r="E970" s="11" t="s">
        <v>4046</v>
      </c>
      <c r="F970" s="11" t="s">
        <v>16</v>
      </c>
      <c r="G970" s="1">
        <v>46237</v>
      </c>
      <c r="H970" s="1">
        <v>46276</v>
      </c>
      <c r="I970" s="2">
        <v>0.25</v>
      </c>
      <c r="J970" s="2">
        <v>0.58333333333333337</v>
      </c>
      <c r="K970" s="11"/>
      <c r="L970" s="11" t="s">
        <v>327</v>
      </c>
      <c r="M970" s="1"/>
      <c r="N970" s="11"/>
      <c r="O970" s="11" t="s">
        <v>4042</v>
      </c>
      <c r="P970" s="1"/>
      <c r="Q970" s="1"/>
      <c r="R970" s="11"/>
      <c r="S970" s="2">
        <f>CONSOLIDADO_2026[[#This Row],[Hora final]]-CONSOLIDADO_2026[[#This Row],[Hora inic]]</f>
        <v>0.33333333333333337</v>
      </c>
    </row>
    <row r="971" spans="1:19" hidden="1" x14ac:dyDescent="0.25">
      <c r="A971" t="s">
        <v>4183</v>
      </c>
      <c r="B971">
        <v>1007111078</v>
      </c>
      <c r="C971" t="s">
        <v>3672</v>
      </c>
      <c r="D971" s="11" t="s">
        <v>4175</v>
      </c>
      <c r="E971" s="11" t="s">
        <v>4056</v>
      </c>
      <c r="F971" s="11" t="s">
        <v>4087</v>
      </c>
      <c r="G971" s="1">
        <v>46247</v>
      </c>
      <c r="H971" s="1">
        <v>46247</v>
      </c>
      <c r="I971" s="2"/>
      <c r="J971" s="2"/>
      <c r="K971" s="11"/>
      <c r="L971" s="11" t="s">
        <v>4041</v>
      </c>
      <c r="M971" s="1"/>
      <c r="N971" s="11"/>
      <c r="O971" s="11" t="s">
        <v>4042</v>
      </c>
      <c r="P971" s="1"/>
      <c r="Q971" s="1"/>
      <c r="R971" s="11"/>
      <c r="S971" s="2">
        <f>CONSOLIDADO_2026[[#This Row],[Hora final]]-CONSOLIDADO_2026[[#This Row],[Hora inic]]</f>
        <v>0</v>
      </c>
    </row>
    <row r="972" spans="1:19" hidden="1" x14ac:dyDescent="0.25">
      <c r="A972" t="s">
        <v>4183</v>
      </c>
      <c r="B972">
        <v>1053860403</v>
      </c>
      <c r="C972" t="s">
        <v>2322</v>
      </c>
      <c r="D972" s="11" t="s">
        <v>272</v>
      </c>
      <c r="E972" s="11" t="s">
        <v>4056</v>
      </c>
      <c r="F972" s="11" t="s">
        <v>16</v>
      </c>
      <c r="G972" s="1">
        <v>46247</v>
      </c>
      <c r="H972" s="1">
        <v>46249</v>
      </c>
      <c r="I972" s="2">
        <v>0.25</v>
      </c>
      <c r="J972" s="2">
        <v>0.54166666666666663</v>
      </c>
      <c r="K972" s="11" t="s">
        <v>184</v>
      </c>
      <c r="L972" s="11" t="s">
        <v>185</v>
      </c>
      <c r="M972" s="1"/>
      <c r="N972" s="11"/>
      <c r="O972" s="11" t="s">
        <v>21</v>
      </c>
      <c r="P972" s="1"/>
      <c r="Q972" s="1"/>
      <c r="R972" s="11"/>
      <c r="S972" s="2">
        <f>CONSOLIDADO_2026[[#This Row],[Hora final]]-CONSOLIDADO_2026[[#This Row],[Hora inic]]</f>
        <v>0.29166666666666663</v>
      </c>
    </row>
    <row r="973" spans="1:19" hidden="1" x14ac:dyDescent="0.25">
      <c r="A973" t="s">
        <v>4183</v>
      </c>
      <c r="B973">
        <v>1001369228</v>
      </c>
      <c r="C973" t="s">
        <v>164</v>
      </c>
      <c r="D973" s="11" t="s">
        <v>4078</v>
      </c>
      <c r="E973" s="11" t="s">
        <v>4056</v>
      </c>
      <c r="F973" s="11" t="s">
        <v>4079</v>
      </c>
      <c r="G973" s="1">
        <v>46248</v>
      </c>
      <c r="H973" s="1">
        <v>46248</v>
      </c>
      <c r="I973" s="2">
        <v>0.25</v>
      </c>
      <c r="J973" s="2">
        <v>0.58333333333333337</v>
      </c>
      <c r="K973" s="11"/>
      <c r="L973" s="11" t="s">
        <v>339</v>
      </c>
      <c r="M973" s="1"/>
      <c r="N973" s="11"/>
      <c r="O973" s="11" t="s">
        <v>4042</v>
      </c>
      <c r="P973" s="1"/>
      <c r="Q973" s="1"/>
      <c r="R973" s="11"/>
      <c r="S973" s="2">
        <f>CONSOLIDADO_2026[[#This Row],[Hora final]]-CONSOLIDADO_2026[[#This Row],[Hora inic]]</f>
        <v>0.33333333333333337</v>
      </c>
    </row>
    <row r="974" spans="1:19" hidden="1" x14ac:dyDescent="0.25">
      <c r="A974" t="s">
        <v>4183</v>
      </c>
      <c r="B974">
        <v>1036965348</v>
      </c>
      <c r="C974" t="s">
        <v>229</v>
      </c>
      <c r="D974" s="11" t="s">
        <v>4078</v>
      </c>
      <c r="E974" s="11" t="s">
        <v>4046</v>
      </c>
      <c r="F974" s="11" t="s">
        <v>4079</v>
      </c>
      <c r="G974" s="1">
        <v>46248</v>
      </c>
      <c r="H974" s="1">
        <v>46248</v>
      </c>
      <c r="I974" s="2">
        <v>0.25</v>
      </c>
      <c r="J974" s="2">
        <v>0.58333333333333337</v>
      </c>
      <c r="K974" s="11"/>
      <c r="L974" s="11" t="s">
        <v>339</v>
      </c>
      <c r="M974" s="1"/>
      <c r="N974" s="11"/>
      <c r="O974" s="11" t="s">
        <v>4042</v>
      </c>
      <c r="P974" s="1"/>
      <c r="Q974" s="1"/>
      <c r="R974" s="11"/>
      <c r="S974" s="2">
        <f>CONSOLIDADO_2026[[#This Row],[Hora final]]-CONSOLIDADO_2026[[#This Row],[Hora inic]]</f>
        <v>0.33333333333333337</v>
      </c>
    </row>
    <row r="975" spans="1:19" hidden="1" x14ac:dyDescent="0.25">
      <c r="A975" t="s">
        <v>4183</v>
      </c>
      <c r="B975">
        <v>43453341</v>
      </c>
      <c r="C975" t="s">
        <v>146</v>
      </c>
      <c r="D975" s="11" t="s">
        <v>124</v>
      </c>
      <c r="E975" s="11" t="s">
        <v>4045</v>
      </c>
      <c r="F975" s="11" t="s">
        <v>16</v>
      </c>
      <c r="G975" s="1">
        <v>46247</v>
      </c>
      <c r="H975" s="1">
        <v>46248</v>
      </c>
      <c r="I975" s="2">
        <v>0.54166666666666663</v>
      </c>
      <c r="J975" s="2">
        <v>0.875</v>
      </c>
      <c r="K975" s="11"/>
      <c r="L975" s="11" t="s">
        <v>327</v>
      </c>
      <c r="M975" s="1"/>
      <c r="N975" s="11"/>
      <c r="O975" s="11" t="s">
        <v>4042</v>
      </c>
      <c r="P975" s="1"/>
      <c r="Q975" s="1"/>
      <c r="R975" s="11"/>
      <c r="S975" s="2">
        <f>CONSOLIDADO_2026[[#This Row],[Hora final]]-CONSOLIDADO_2026[[#This Row],[Hora inic]]</f>
        <v>0.33333333333333337</v>
      </c>
    </row>
    <row r="976" spans="1:19" hidden="1" x14ac:dyDescent="0.25">
      <c r="A976" t="s">
        <v>4183</v>
      </c>
      <c r="B976" t="s">
        <v>4181</v>
      </c>
      <c r="C976" t="s">
        <v>4182</v>
      </c>
      <c r="D976" s="11" t="s">
        <v>256</v>
      </c>
      <c r="E976" s="11" t="s">
        <v>4040</v>
      </c>
      <c r="F976" s="11" t="s">
        <v>16</v>
      </c>
      <c r="G976" s="1">
        <v>46247</v>
      </c>
      <c r="H976" s="1">
        <v>46248</v>
      </c>
      <c r="I976" s="2">
        <v>0.25</v>
      </c>
      <c r="J976" s="2">
        <v>0.58333333333333337</v>
      </c>
      <c r="K976" s="11"/>
      <c r="L976" s="11" t="s">
        <v>327</v>
      </c>
      <c r="M976" s="1"/>
      <c r="N976" s="11"/>
      <c r="O976" s="11" t="s">
        <v>4042</v>
      </c>
      <c r="P976" s="1"/>
      <c r="Q976" s="1"/>
      <c r="R976" s="11"/>
      <c r="S976" s="2">
        <f>CONSOLIDADO_2026[[#This Row],[Hora final]]-CONSOLIDADO_2026[[#This Row],[Hora inic]]</f>
        <v>0.33333333333333337</v>
      </c>
    </row>
    <row r="977" spans="1:19" hidden="1" x14ac:dyDescent="0.25">
      <c r="A977" t="s">
        <v>4183</v>
      </c>
      <c r="B977">
        <v>1001446162</v>
      </c>
      <c r="C977" t="s">
        <v>3663</v>
      </c>
      <c r="D977" s="11" t="s">
        <v>4125</v>
      </c>
      <c r="E977" s="11" t="s">
        <v>4056</v>
      </c>
      <c r="F977" s="11" t="s">
        <v>4125</v>
      </c>
      <c r="G977" s="1">
        <v>46248</v>
      </c>
      <c r="H977" s="1">
        <v>46248</v>
      </c>
      <c r="I977" s="2">
        <v>0.29166666666666669</v>
      </c>
      <c r="J977" s="2">
        <v>0.625</v>
      </c>
      <c r="K977" s="11"/>
      <c r="L977" s="11" t="s">
        <v>339</v>
      </c>
      <c r="M977" s="1"/>
      <c r="N977" s="11"/>
      <c r="O977" s="11" t="s">
        <v>4042</v>
      </c>
      <c r="P977" s="1"/>
      <c r="Q977" s="1"/>
      <c r="R977" s="11"/>
      <c r="S977" s="2">
        <f>CONSOLIDADO_2026[[#This Row],[Hora final]]-CONSOLIDADO_2026[[#This Row],[Hora inic]]</f>
        <v>0.33333333333333331</v>
      </c>
    </row>
    <row r="978" spans="1:19" hidden="1" x14ac:dyDescent="0.25">
      <c r="A978" t="s">
        <v>4183</v>
      </c>
      <c r="B978">
        <v>1067959066</v>
      </c>
      <c r="C978" t="s">
        <v>3479</v>
      </c>
      <c r="D978" s="11" t="s">
        <v>344</v>
      </c>
      <c r="E978" s="11" t="s">
        <v>4056</v>
      </c>
      <c r="F978" s="11" t="s">
        <v>16</v>
      </c>
      <c r="G978" s="1">
        <v>46247</v>
      </c>
      <c r="H978" s="1">
        <v>46248</v>
      </c>
      <c r="I978" s="2">
        <v>0.58333333333333337</v>
      </c>
      <c r="J978" s="2">
        <v>0.875</v>
      </c>
      <c r="K978" s="11"/>
      <c r="L978" s="11" t="s">
        <v>4184</v>
      </c>
      <c r="M978" s="1"/>
      <c r="N978" s="11"/>
      <c r="O978" s="11" t="s">
        <v>21</v>
      </c>
      <c r="P978" s="1"/>
      <c r="Q978" s="1"/>
      <c r="R978" s="11"/>
      <c r="S978" s="2">
        <f>CONSOLIDADO_2026[[#This Row],[Hora final]]-CONSOLIDADO_2026[[#This Row],[Hora inic]]</f>
        <v>0.29166666666666663</v>
      </c>
    </row>
    <row r="979" spans="1:19" hidden="1" x14ac:dyDescent="0.25">
      <c r="A979" t="s">
        <v>4183</v>
      </c>
      <c r="B979">
        <v>72342968</v>
      </c>
      <c r="C979" t="s">
        <v>380</v>
      </c>
      <c r="D979" s="11" t="s">
        <v>39</v>
      </c>
      <c r="E979" s="11" t="s">
        <v>4046</v>
      </c>
      <c r="F979" s="11" t="s">
        <v>16</v>
      </c>
      <c r="G979" s="1">
        <v>46247</v>
      </c>
      <c r="H979" s="1">
        <v>46248</v>
      </c>
      <c r="I979" s="2">
        <v>0.58333333333333337</v>
      </c>
      <c r="J979" s="2">
        <v>0.875</v>
      </c>
      <c r="K979" s="11"/>
      <c r="L979" s="11" t="s">
        <v>327</v>
      </c>
      <c r="M979" s="1"/>
      <c r="N979" s="11"/>
      <c r="O979" s="11" t="s">
        <v>4042</v>
      </c>
      <c r="P979" s="1"/>
      <c r="Q979" s="1"/>
      <c r="R979" s="11"/>
      <c r="S979" s="2">
        <f>CONSOLIDADO_2026[[#This Row],[Hora final]]-CONSOLIDADO_2026[[#This Row],[Hora inic]]</f>
        <v>0.29166666666666663</v>
      </c>
    </row>
    <row r="980" spans="1:19" hidden="1" x14ac:dyDescent="0.25">
      <c r="A980" t="s">
        <v>4183</v>
      </c>
      <c r="B980">
        <v>1037642818</v>
      </c>
      <c r="C980" t="s">
        <v>3692</v>
      </c>
      <c r="D980" s="11" t="s">
        <v>28</v>
      </c>
      <c r="E980" s="11" t="s">
        <v>4046</v>
      </c>
      <c r="F980" s="11" t="s">
        <v>16</v>
      </c>
      <c r="G980" s="1">
        <v>46247</v>
      </c>
      <c r="H980" s="1">
        <v>46247</v>
      </c>
      <c r="I980" s="2"/>
      <c r="J980" s="2"/>
      <c r="K980" s="11"/>
      <c r="L980" s="11" t="s">
        <v>4041</v>
      </c>
      <c r="M980" s="1"/>
      <c r="N980" s="11"/>
      <c r="O980" s="11" t="s">
        <v>4042</v>
      </c>
      <c r="P980" s="1"/>
      <c r="Q980" s="1"/>
      <c r="R980" s="11"/>
      <c r="S980" s="2">
        <f>CONSOLIDADO_2026[[#This Row],[Hora final]]-CONSOLIDADO_2026[[#This Row],[Hora inic]]</f>
        <v>0</v>
      </c>
    </row>
    <row r="981" spans="1:19" hidden="1" x14ac:dyDescent="0.25">
      <c r="A981" t="s">
        <v>4183</v>
      </c>
      <c r="B981">
        <v>1143411265</v>
      </c>
      <c r="C981" t="s">
        <v>2355</v>
      </c>
      <c r="D981" s="11" t="s">
        <v>55</v>
      </c>
      <c r="E981" s="11" t="s">
        <v>4047</v>
      </c>
      <c r="F981" s="11" t="s">
        <v>16</v>
      </c>
      <c r="G981" s="1">
        <v>46247</v>
      </c>
      <c r="H981" s="1">
        <v>46248</v>
      </c>
      <c r="I981" s="2">
        <v>0.58333333333333337</v>
      </c>
      <c r="J981" s="2">
        <v>0.875</v>
      </c>
      <c r="K981" s="11"/>
      <c r="L981" s="11" t="s">
        <v>4060</v>
      </c>
      <c r="M981" s="1"/>
      <c r="N981" s="11"/>
      <c r="O981" s="11" t="s">
        <v>4042</v>
      </c>
      <c r="P981" s="1"/>
      <c r="Q981" s="1"/>
      <c r="R981" s="11"/>
      <c r="S981" s="2">
        <f>CONSOLIDADO_2026[[#This Row],[Hora final]]-CONSOLIDADO_2026[[#This Row],[Hora inic]]</f>
        <v>0.29166666666666663</v>
      </c>
    </row>
    <row r="982" spans="1:19" hidden="1" x14ac:dyDescent="0.25">
      <c r="A982" t="s">
        <v>4183</v>
      </c>
      <c r="B982">
        <v>73189515</v>
      </c>
      <c r="C982" t="s">
        <v>773</v>
      </c>
      <c r="D982" s="11" t="s">
        <v>272</v>
      </c>
      <c r="E982" s="11" t="s">
        <v>4056</v>
      </c>
      <c r="F982" s="11" t="s">
        <v>4087</v>
      </c>
      <c r="G982" s="1">
        <v>46248</v>
      </c>
      <c r="H982" s="1">
        <v>46252</v>
      </c>
      <c r="I982" s="2">
        <v>0.58333333333333337</v>
      </c>
      <c r="J982" s="2">
        <v>0.875</v>
      </c>
      <c r="K982" s="11" t="s">
        <v>560</v>
      </c>
      <c r="L982" s="11" t="s">
        <v>561</v>
      </c>
      <c r="M982" s="1"/>
      <c r="N982" s="11"/>
      <c r="O982" s="11" t="s">
        <v>21</v>
      </c>
      <c r="P982" s="1"/>
      <c r="Q982" s="1"/>
      <c r="R982" s="11"/>
      <c r="S982" s="2">
        <f>CONSOLIDADO_2026[[#This Row],[Hora final]]-CONSOLIDADO_2026[[#This Row],[Hora inic]]</f>
        <v>0.29166666666666663</v>
      </c>
    </row>
    <row r="983" spans="1:19" hidden="1" x14ac:dyDescent="0.25">
      <c r="A983" t="s">
        <v>4183</v>
      </c>
      <c r="B983">
        <v>1010108820</v>
      </c>
      <c r="C983" t="s">
        <v>1213</v>
      </c>
      <c r="D983" s="11" t="s">
        <v>421</v>
      </c>
      <c r="E983" s="11" t="s">
        <v>4047</v>
      </c>
      <c r="F983" s="11" t="s">
        <v>4074</v>
      </c>
      <c r="G983" s="1">
        <v>46248</v>
      </c>
      <c r="H983" s="1">
        <v>46249</v>
      </c>
      <c r="I983" s="2">
        <v>0.25</v>
      </c>
      <c r="J983" s="2">
        <v>0.58333333333333337</v>
      </c>
      <c r="K983" s="11"/>
      <c r="L983" s="11" t="s">
        <v>4060</v>
      </c>
      <c r="M983" s="1"/>
      <c r="N983" s="11"/>
      <c r="O983" s="11" t="s">
        <v>4042</v>
      </c>
      <c r="P983" s="1"/>
      <c r="Q983" s="1"/>
      <c r="R983" s="11"/>
      <c r="S983" s="2">
        <f>CONSOLIDADO_2026[[#This Row],[Hora final]]-CONSOLIDADO_2026[[#This Row],[Hora inic]]</f>
        <v>0.33333333333333337</v>
      </c>
    </row>
    <row r="984" spans="1:19" hidden="1" x14ac:dyDescent="0.25">
      <c r="A984" t="s">
        <v>4183</v>
      </c>
      <c r="B984">
        <v>1000398069</v>
      </c>
      <c r="C984" t="s">
        <v>3764</v>
      </c>
      <c r="D984" s="11" t="s">
        <v>143</v>
      </c>
      <c r="E984" s="11" t="s">
        <v>4045</v>
      </c>
      <c r="F984" s="11" t="s">
        <v>16</v>
      </c>
      <c r="G984" s="1">
        <v>46247</v>
      </c>
      <c r="H984" s="1">
        <v>46248</v>
      </c>
      <c r="I984" s="2">
        <v>0.54166666666666663</v>
      </c>
      <c r="J984" s="2">
        <v>0.875</v>
      </c>
      <c r="K984" s="11"/>
      <c r="L984" s="11" t="s">
        <v>327</v>
      </c>
      <c r="M984" s="1"/>
      <c r="N984" s="11"/>
      <c r="O984" s="11" t="s">
        <v>4042</v>
      </c>
      <c r="P984" s="1"/>
      <c r="Q984" s="1"/>
      <c r="R984" s="11"/>
      <c r="S984" s="2">
        <f>CONSOLIDADO_2026[[#This Row],[Hora final]]-CONSOLIDADO_2026[[#This Row],[Hora inic]]</f>
        <v>0.33333333333333337</v>
      </c>
    </row>
    <row r="985" spans="1:19" hidden="1" x14ac:dyDescent="0.25">
      <c r="A985" t="s">
        <v>4183</v>
      </c>
      <c r="B985">
        <v>1017267159</v>
      </c>
      <c r="C985" t="s">
        <v>1908</v>
      </c>
      <c r="D985" s="11" t="s">
        <v>44</v>
      </c>
      <c r="E985" s="11" t="s">
        <v>4045</v>
      </c>
      <c r="F985" s="11" t="s">
        <v>16</v>
      </c>
      <c r="G985" s="1">
        <v>46248</v>
      </c>
      <c r="H985" s="1">
        <v>46248</v>
      </c>
      <c r="I985" s="2">
        <v>0.58333333333333337</v>
      </c>
      <c r="J985" s="2">
        <v>0.875</v>
      </c>
      <c r="K985" s="11"/>
      <c r="L985" s="11" t="s">
        <v>327</v>
      </c>
      <c r="M985" s="1"/>
      <c r="N985" s="11"/>
      <c r="O985" s="11" t="s">
        <v>4042</v>
      </c>
      <c r="P985" s="1"/>
      <c r="Q985" s="1"/>
      <c r="R985" s="11"/>
      <c r="S985" s="2">
        <f>CONSOLIDADO_2026[[#This Row],[Hora final]]-CONSOLIDADO_2026[[#This Row],[Hora inic]]</f>
        <v>0.29166666666666663</v>
      </c>
    </row>
    <row r="986" spans="1:19" hidden="1" x14ac:dyDescent="0.25">
      <c r="A986" t="s">
        <v>4183</v>
      </c>
      <c r="B986">
        <v>1143403750</v>
      </c>
      <c r="C986" t="s">
        <v>4167</v>
      </c>
      <c r="D986" s="11" t="s">
        <v>492</v>
      </c>
      <c r="E986" s="11" t="s">
        <v>4045</v>
      </c>
      <c r="F986" s="11" t="s">
        <v>4050</v>
      </c>
      <c r="G986" s="1">
        <v>46248</v>
      </c>
      <c r="H986" s="1">
        <v>46251</v>
      </c>
      <c r="I986" s="2">
        <v>0.54166666666666663</v>
      </c>
      <c r="J986" s="2">
        <v>0.875</v>
      </c>
      <c r="K986" s="11"/>
      <c r="L986" s="11" t="s">
        <v>327</v>
      </c>
      <c r="M986" s="1"/>
      <c r="N986" s="11"/>
      <c r="O986" s="11" t="s">
        <v>4042</v>
      </c>
      <c r="P986" s="1"/>
      <c r="Q986" s="1"/>
      <c r="R986" s="11"/>
      <c r="S986" s="2">
        <f>CONSOLIDADO_2026[[#This Row],[Hora final]]-CONSOLIDADO_2026[[#This Row],[Hora inic]]</f>
        <v>0.33333333333333337</v>
      </c>
    </row>
    <row r="987" spans="1:19" hidden="1" x14ac:dyDescent="0.25">
      <c r="A987" t="s">
        <v>4183</v>
      </c>
      <c r="B987">
        <v>1002159701</v>
      </c>
      <c r="C987" t="s">
        <v>1272</v>
      </c>
      <c r="D987" s="11" t="s">
        <v>245</v>
      </c>
      <c r="E987" s="11" t="s">
        <v>4040</v>
      </c>
      <c r="F987" s="11" t="s">
        <v>16</v>
      </c>
      <c r="G987" s="1">
        <v>46248</v>
      </c>
      <c r="H987" s="1">
        <v>46248</v>
      </c>
      <c r="I987" s="2">
        <v>0.54166666666666663</v>
      </c>
      <c r="J987" s="2">
        <v>0.875</v>
      </c>
      <c r="K987" s="11"/>
      <c r="L987" s="11" t="s">
        <v>327</v>
      </c>
      <c r="M987" s="1"/>
      <c r="N987" s="11"/>
      <c r="O987" s="11" t="s">
        <v>4042</v>
      </c>
      <c r="P987" s="1"/>
      <c r="Q987" s="1"/>
      <c r="R987" s="11"/>
      <c r="S987" s="2">
        <f>CONSOLIDADO_2026[[#This Row],[Hora final]]-CONSOLIDADO_2026[[#This Row],[Hora inic]]</f>
        <v>0.33333333333333337</v>
      </c>
    </row>
    <row r="988" spans="1:19" hidden="1" x14ac:dyDescent="0.25">
      <c r="A988" t="s">
        <v>4183</v>
      </c>
      <c r="B988">
        <v>1000348983</v>
      </c>
      <c r="C988" t="s">
        <v>235</v>
      </c>
      <c r="D988" s="11" t="s">
        <v>162</v>
      </c>
      <c r="E988" s="11" t="s">
        <v>4056</v>
      </c>
      <c r="F988" s="11" t="s">
        <v>16</v>
      </c>
      <c r="G988" s="1">
        <v>46247</v>
      </c>
      <c r="H988" s="1"/>
      <c r="I988" s="2">
        <v>0.25</v>
      </c>
      <c r="J988" s="2">
        <v>0.58333333333333337</v>
      </c>
      <c r="K988" s="11"/>
      <c r="L988" s="11" t="s">
        <v>4084</v>
      </c>
      <c r="M988" s="1"/>
      <c r="N988" s="11"/>
      <c r="O988" s="11" t="s">
        <v>4042</v>
      </c>
      <c r="P988" s="1"/>
      <c r="Q988" s="1"/>
      <c r="R988" s="11"/>
      <c r="S988" s="2">
        <f>CONSOLIDADO_2026[[#This Row],[Hora final]]-CONSOLIDADO_2026[[#This Row],[Hora inic]]</f>
        <v>0.33333333333333337</v>
      </c>
    </row>
    <row r="989" spans="1:19" hidden="1" x14ac:dyDescent="0.25">
      <c r="A989" t="s">
        <v>4183</v>
      </c>
      <c r="B989">
        <v>52814989</v>
      </c>
      <c r="C989" t="s">
        <v>2478</v>
      </c>
      <c r="D989" s="11" t="s">
        <v>143</v>
      </c>
      <c r="E989" s="11" t="s">
        <v>4045</v>
      </c>
      <c r="F989" s="11" t="s">
        <v>16</v>
      </c>
      <c r="G989" s="1">
        <v>46247</v>
      </c>
      <c r="H989" s="1">
        <v>46248</v>
      </c>
      <c r="I989" s="2">
        <v>0.58333333333333337</v>
      </c>
      <c r="J989" s="2">
        <v>0.875</v>
      </c>
      <c r="K989" s="11"/>
      <c r="L989" s="11" t="s">
        <v>4060</v>
      </c>
      <c r="M989" s="1"/>
      <c r="N989" s="11"/>
      <c r="O989" s="11" t="s">
        <v>4042</v>
      </c>
      <c r="P989" s="1"/>
      <c r="Q989" s="1"/>
      <c r="R989" s="11"/>
      <c r="S989" s="2">
        <f>CONSOLIDADO_2026[[#This Row],[Hora final]]-CONSOLIDADO_2026[[#This Row],[Hora inic]]</f>
        <v>0.29166666666666663</v>
      </c>
    </row>
    <row r="990" spans="1:19" hidden="1" x14ac:dyDescent="0.25">
      <c r="A990" t="s">
        <v>4183</v>
      </c>
      <c r="B990">
        <v>1018484929</v>
      </c>
      <c r="C990" t="s">
        <v>2450</v>
      </c>
      <c r="D990" s="11" t="s">
        <v>68</v>
      </c>
      <c r="E990" s="11" t="s">
        <v>4040</v>
      </c>
      <c r="F990" s="11" t="s">
        <v>16</v>
      </c>
      <c r="G990" s="1">
        <v>46248</v>
      </c>
      <c r="H990" s="1">
        <v>46248</v>
      </c>
      <c r="I990" s="2">
        <v>0.58333333333333337</v>
      </c>
      <c r="J990" s="2">
        <v>0.875</v>
      </c>
      <c r="K990" s="11"/>
      <c r="L990" s="11" t="s">
        <v>327</v>
      </c>
      <c r="M990" s="1"/>
      <c r="N990" s="11"/>
      <c r="O990" s="11" t="s">
        <v>4042</v>
      </c>
      <c r="P990" s="1"/>
      <c r="Q990" s="1"/>
      <c r="R990" s="11"/>
      <c r="S990" s="2">
        <f>CONSOLIDADO_2026[[#This Row],[Hora final]]-CONSOLIDADO_2026[[#This Row],[Hora inic]]</f>
        <v>0.29166666666666663</v>
      </c>
    </row>
    <row r="991" spans="1:19" hidden="1" x14ac:dyDescent="0.25">
      <c r="A991" t="s">
        <v>4183</v>
      </c>
      <c r="B991">
        <v>1042455156</v>
      </c>
      <c r="C991" t="s">
        <v>1341</v>
      </c>
      <c r="D991" s="11" t="s">
        <v>55</v>
      </c>
      <c r="E991" s="11" t="s">
        <v>4047</v>
      </c>
      <c r="F991" s="11" t="s">
        <v>16</v>
      </c>
      <c r="G991" s="1">
        <v>46248</v>
      </c>
      <c r="H991" s="1">
        <v>46249</v>
      </c>
      <c r="I991" s="2">
        <v>0.58333333333333337</v>
      </c>
      <c r="J991" s="2">
        <v>0.875</v>
      </c>
      <c r="K991" s="11"/>
      <c r="L991" s="11" t="s">
        <v>327</v>
      </c>
      <c r="M991" s="1"/>
      <c r="N991" s="11"/>
      <c r="O991" s="11" t="s">
        <v>4042</v>
      </c>
      <c r="P991" s="1"/>
      <c r="Q991" s="1"/>
      <c r="R991" s="11"/>
      <c r="S991" s="2">
        <f>CONSOLIDADO_2026[[#This Row],[Hora final]]-CONSOLIDADO_2026[[#This Row],[Hora inic]]</f>
        <v>0.29166666666666663</v>
      </c>
    </row>
    <row r="992" spans="1:19" hidden="1" x14ac:dyDescent="0.25">
      <c r="A992" t="s">
        <v>4183</v>
      </c>
      <c r="B992">
        <v>1193584838</v>
      </c>
      <c r="C992" t="s">
        <v>3000</v>
      </c>
      <c r="D992" s="11" t="s">
        <v>59</v>
      </c>
      <c r="E992" s="11" t="s">
        <v>4047</v>
      </c>
      <c r="F992" s="11" t="s">
        <v>4074</v>
      </c>
      <c r="G992" s="1">
        <v>46248</v>
      </c>
      <c r="H992" s="1">
        <v>46249</v>
      </c>
      <c r="I992" s="2">
        <v>0.25</v>
      </c>
      <c r="J992" s="2">
        <v>0.58333333333333337</v>
      </c>
      <c r="K992" s="11"/>
      <c r="L992" s="11" t="s">
        <v>4060</v>
      </c>
      <c r="M992" s="1"/>
      <c r="N992" s="11"/>
      <c r="O992" s="11" t="s">
        <v>4042</v>
      </c>
      <c r="P992" s="1"/>
      <c r="Q992" s="1"/>
      <c r="R992" s="11"/>
      <c r="S992" s="2">
        <f>CONSOLIDADO_2026[[#This Row],[Hora final]]-CONSOLIDADO_2026[[#This Row],[Hora inic]]</f>
        <v>0.33333333333333337</v>
      </c>
    </row>
    <row r="993" spans="1:19" hidden="1" x14ac:dyDescent="0.25">
      <c r="A993" t="s">
        <v>4183</v>
      </c>
      <c r="B993">
        <v>1003382575</v>
      </c>
      <c r="C993" t="s">
        <v>2702</v>
      </c>
      <c r="D993" s="11" t="s">
        <v>124</v>
      </c>
      <c r="E993" s="11" t="s">
        <v>4045</v>
      </c>
      <c r="F993" s="11" t="s">
        <v>16</v>
      </c>
      <c r="G993" s="1">
        <v>46248</v>
      </c>
      <c r="H993" s="1">
        <v>46249</v>
      </c>
      <c r="I993" s="2">
        <v>0.29166666666666669</v>
      </c>
      <c r="J993" s="2">
        <v>0.54166666666666663</v>
      </c>
      <c r="K993" s="11"/>
      <c r="L993" s="11" t="s">
        <v>327</v>
      </c>
      <c r="M993" s="1"/>
      <c r="N993" s="11"/>
      <c r="O993" s="11" t="s">
        <v>4042</v>
      </c>
      <c r="P993" s="1"/>
      <c r="Q993" s="1"/>
      <c r="R993" s="11"/>
      <c r="S993" s="2">
        <f>CONSOLIDADO_2026[[#This Row],[Hora final]]-CONSOLIDADO_2026[[#This Row],[Hora inic]]</f>
        <v>0.24999999999999994</v>
      </c>
    </row>
    <row r="994" spans="1:19" hidden="1" x14ac:dyDescent="0.25">
      <c r="A994" t="s">
        <v>4183</v>
      </c>
      <c r="B994">
        <v>1143397459</v>
      </c>
      <c r="C994" t="s">
        <v>698</v>
      </c>
      <c r="D994" s="11" t="s">
        <v>634</v>
      </c>
      <c r="E994" s="11" t="s">
        <v>4045</v>
      </c>
      <c r="F994" s="11" t="s">
        <v>16</v>
      </c>
      <c r="G994" s="1">
        <v>46248</v>
      </c>
      <c r="H994" s="1">
        <v>46249</v>
      </c>
      <c r="I994" s="2">
        <v>0.25</v>
      </c>
      <c r="J994" s="2">
        <v>0.54166666666666663</v>
      </c>
      <c r="K994" s="11"/>
      <c r="L994" s="11" t="s">
        <v>327</v>
      </c>
      <c r="M994" s="1"/>
      <c r="N994" s="11"/>
      <c r="O994" s="11" t="s">
        <v>4042</v>
      </c>
      <c r="P994" s="1"/>
      <c r="Q994" s="1"/>
      <c r="R994" s="11"/>
      <c r="S994" s="2">
        <f>CONSOLIDADO_2026[[#This Row],[Hora final]]-CONSOLIDADO_2026[[#This Row],[Hora inic]]</f>
        <v>0.29166666666666663</v>
      </c>
    </row>
    <row r="995" spans="1:19" hidden="1" x14ac:dyDescent="0.25">
      <c r="A995" t="s">
        <v>4183</v>
      </c>
      <c r="B995">
        <v>1020482893</v>
      </c>
      <c r="C995" t="s">
        <v>2366</v>
      </c>
      <c r="D995" s="11" t="s">
        <v>132</v>
      </c>
      <c r="E995" s="11" t="s">
        <v>4040</v>
      </c>
      <c r="F995" s="11" t="s">
        <v>16</v>
      </c>
      <c r="G995" s="1">
        <v>46248</v>
      </c>
      <c r="H995" s="1">
        <v>46248</v>
      </c>
      <c r="I995" s="2">
        <v>0.25</v>
      </c>
      <c r="J995" s="2">
        <v>0.54166666666666663</v>
      </c>
      <c r="K995" s="11"/>
      <c r="L995" s="11" t="s">
        <v>327</v>
      </c>
      <c r="M995" s="1"/>
      <c r="N995" s="11"/>
      <c r="O995" s="11" t="s">
        <v>4042</v>
      </c>
      <c r="P995" s="1"/>
      <c r="Q995" s="1"/>
      <c r="R995" s="11"/>
      <c r="S995" s="2">
        <f>CONSOLIDADO_2026[[#This Row],[Hora final]]-CONSOLIDADO_2026[[#This Row],[Hora inic]]</f>
        <v>0.29166666666666663</v>
      </c>
    </row>
    <row r="996" spans="1:19" hidden="1" x14ac:dyDescent="0.25">
      <c r="A996" t="s">
        <v>4183</v>
      </c>
      <c r="B996">
        <v>1001996913</v>
      </c>
      <c r="C996" t="s">
        <v>3174</v>
      </c>
      <c r="D996" s="11" t="s">
        <v>28</v>
      </c>
      <c r="E996" s="11" t="s">
        <v>4046</v>
      </c>
      <c r="F996" s="11" t="s">
        <v>4074</v>
      </c>
      <c r="G996" s="1">
        <v>46248</v>
      </c>
      <c r="H996" s="1">
        <v>46249</v>
      </c>
      <c r="I996" s="2"/>
      <c r="J996" s="2"/>
      <c r="K996" s="11"/>
      <c r="L996" s="11" t="s">
        <v>4060</v>
      </c>
      <c r="M996" s="1"/>
      <c r="N996" s="11"/>
      <c r="O996" s="11" t="s">
        <v>4042</v>
      </c>
      <c r="P996" s="1"/>
      <c r="Q996" s="1"/>
      <c r="R996" s="11"/>
      <c r="S996" s="2">
        <f>CONSOLIDADO_2026[[#This Row],[Hora final]]-CONSOLIDADO_2026[[#This Row],[Hora inic]]</f>
        <v>0</v>
      </c>
    </row>
    <row r="997" spans="1:19" hidden="1" x14ac:dyDescent="0.25">
      <c r="A997" t="s">
        <v>4183</v>
      </c>
      <c r="B997">
        <v>1017261828</v>
      </c>
      <c r="C997" t="s">
        <v>210</v>
      </c>
      <c r="D997" s="11" t="s">
        <v>28</v>
      </c>
      <c r="E997" s="11" t="s">
        <v>4046</v>
      </c>
      <c r="F997" s="11" t="s">
        <v>16</v>
      </c>
      <c r="G997" s="1">
        <v>46248</v>
      </c>
      <c r="H997" s="1">
        <v>46249</v>
      </c>
      <c r="I997" s="2">
        <v>0.54166666666666663</v>
      </c>
      <c r="J997" s="2">
        <v>0.875</v>
      </c>
      <c r="K997" s="11"/>
      <c r="L997" s="11" t="s">
        <v>327</v>
      </c>
      <c r="M997" s="1"/>
      <c r="N997" s="11"/>
      <c r="O997" s="11" t="s">
        <v>4042</v>
      </c>
      <c r="P997" s="1"/>
      <c r="Q997" s="1"/>
      <c r="R997" s="11"/>
      <c r="S997" s="2">
        <f>CONSOLIDADO_2026[[#This Row],[Hora final]]-CONSOLIDADO_2026[[#This Row],[Hora inic]]</f>
        <v>0.33333333333333337</v>
      </c>
    </row>
    <row r="998" spans="1:19" hidden="1" x14ac:dyDescent="0.25">
      <c r="A998" t="s">
        <v>4183</v>
      </c>
      <c r="B998">
        <v>1007223463</v>
      </c>
      <c r="C998" t="s">
        <v>561</v>
      </c>
      <c r="D998" s="11" t="s">
        <v>272</v>
      </c>
      <c r="E998" s="11" t="s">
        <v>4056</v>
      </c>
      <c r="F998" s="11" t="s">
        <v>4099</v>
      </c>
      <c r="G998" s="1">
        <v>46248</v>
      </c>
      <c r="H998" s="1">
        <v>46248</v>
      </c>
      <c r="I998" s="2">
        <v>0.58333333333333337</v>
      </c>
      <c r="J998" s="2">
        <v>0.625</v>
      </c>
      <c r="K998" s="11"/>
      <c r="L998" s="11" t="s">
        <v>339</v>
      </c>
      <c r="M998" s="1"/>
      <c r="N998" s="11"/>
      <c r="O998" s="11" t="s">
        <v>4042</v>
      </c>
      <c r="P998" s="1"/>
      <c r="Q998" s="1"/>
      <c r="R998" s="11"/>
      <c r="S998" s="2">
        <f>CONSOLIDADO_2026[[#This Row],[Hora final]]-CONSOLIDADO_2026[[#This Row],[Hora inic]]</f>
        <v>4.166666666666663E-2</v>
      </c>
    </row>
    <row r="999" spans="1:19" hidden="1" x14ac:dyDescent="0.25">
      <c r="A999" t="s">
        <v>4185</v>
      </c>
      <c r="B999">
        <v>1020482893</v>
      </c>
      <c r="C999" t="s">
        <v>4186</v>
      </c>
      <c r="D999" s="11" t="s">
        <v>132</v>
      </c>
      <c r="E999" s="11" t="s">
        <v>4040</v>
      </c>
      <c r="F999" s="11" t="s">
        <v>16</v>
      </c>
      <c r="G999" s="1">
        <v>46248</v>
      </c>
      <c r="H999" s="1">
        <v>46248</v>
      </c>
      <c r="I999" s="2"/>
      <c r="J999" s="2"/>
      <c r="K999" s="11"/>
      <c r="L999" s="11" t="s">
        <v>4041</v>
      </c>
      <c r="M999" s="1"/>
      <c r="N999" s="11"/>
      <c r="O999" s="11" t="s">
        <v>4042</v>
      </c>
      <c r="P999" s="1"/>
      <c r="Q999" s="1"/>
      <c r="R999" s="11"/>
      <c r="S999" s="2">
        <f>CONSOLIDADO_2026[[#This Row],[Hora final]]-CONSOLIDADO_2026[[#This Row],[Hora inic]]</f>
        <v>0</v>
      </c>
    </row>
    <row r="1000" spans="1:19" hidden="1" x14ac:dyDescent="0.25">
      <c r="A1000" t="s">
        <v>4185</v>
      </c>
      <c r="B1000">
        <v>1003382575</v>
      </c>
      <c r="C1000" t="s">
        <v>4187</v>
      </c>
      <c r="D1000" s="11" t="s">
        <v>124</v>
      </c>
      <c r="E1000" s="11" t="s">
        <v>4045</v>
      </c>
      <c r="F1000" s="11" t="s">
        <v>16</v>
      </c>
      <c r="G1000" s="1">
        <v>46248</v>
      </c>
      <c r="H1000" s="1">
        <v>46249</v>
      </c>
      <c r="I1000" s="2">
        <v>0.25</v>
      </c>
      <c r="J1000" s="2">
        <v>0.66666666666666663</v>
      </c>
      <c r="K1000" s="11" t="s">
        <v>251</v>
      </c>
      <c r="L1000" s="11" t="s">
        <v>252</v>
      </c>
      <c r="M1000" s="1"/>
      <c r="N1000" s="11"/>
      <c r="O1000" s="11" t="s">
        <v>21</v>
      </c>
      <c r="P1000" s="1"/>
      <c r="Q1000" s="1"/>
      <c r="R1000" s="11"/>
      <c r="S1000" s="2">
        <f>CONSOLIDADO_2026[[#This Row],[Hora final]]-CONSOLIDADO_2026[[#This Row],[Hora inic]]</f>
        <v>0.41666666666666663</v>
      </c>
    </row>
    <row r="1001" spans="1:19" hidden="1" x14ac:dyDescent="0.25">
      <c r="A1001" t="s">
        <v>4185</v>
      </c>
      <c r="B1001">
        <v>1193584838</v>
      </c>
      <c r="C1001" t="s">
        <v>4109</v>
      </c>
      <c r="D1001" s="11" t="s">
        <v>59</v>
      </c>
      <c r="E1001" s="11" t="s">
        <v>4047</v>
      </c>
      <c r="F1001" s="11" t="s">
        <v>4074</v>
      </c>
      <c r="G1001" s="1">
        <v>46248</v>
      </c>
      <c r="H1001" s="1">
        <v>46249</v>
      </c>
      <c r="I1001" s="2">
        <v>0.25</v>
      </c>
      <c r="J1001" s="2">
        <v>0.66666666666666663</v>
      </c>
      <c r="K1001" s="11"/>
      <c r="L1001" s="11" t="s">
        <v>4060</v>
      </c>
      <c r="M1001" s="1"/>
      <c r="N1001" s="11"/>
      <c r="O1001" s="11" t="s">
        <v>4042</v>
      </c>
      <c r="P1001" s="1"/>
      <c r="Q1001" s="1"/>
      <c r="R1001" s="11"/>
      <c r="S1001" s="2">
        <f>CONSOLIDADO_2026[[#This Row],[Hora final]]-CONSOLIDADO_2026[[#This Row],[Hora inic]]</f>
        <v>0.41666666666666663</v>
      </c>
    </row>
    <row r="1002" spans="1:19" hidden="1" x14ac:dyDescent="0.25">
      <c r="A1002" t="s">
        <v>4185</v>
      </c>
      <c r="B1002">
        <v>52814989</v>
      </c>
      <c r="C1002" t="s">
        <v>2478</v>
      </c>
      <c r="D1002" s="11" t="s">
        <v>143</v>
      </c>
      <c r="E1002" s="11" t="s">
        <v>4045</v>
      </c>
      <c r="F1002" s="11" t="s">
        <v>16</v>
      </c>
      <c r="G1002" s="1">
        <v>46247</v>
      </c>
      <c r="H1002" s="1">
        <v>46248</v>
      </c>
      <c r="I1002" s="2"/>
      <c r="J1002" s="2"/>
      <c r="K1002" s="11"/>
      <c r="L1002" s="11" t="s">
        <v>4041</v>
      </c>
      <c r="M1002" s="1"/>
      <c r="N1002" s="11"/>
      <c r="O1002" s="11" t="s">
        <v>4042</v>
      </c>
      <c r="P1002" s="1"/>
      <c r="Q1002" s="1"/>
      <c r="R1002" s="11"/>
      <c r="S1002" s="2">
        <f>CONSOLIDADO_2026[[#This Row],[Hora final]]-CONSOLIDADO_2026[[#This Row],[Hora inic]]</f>
        <v>0</v>
      </c>
    </row>
    <row r="1003" spans="1:19" hidden="1" x14ac:dyDescent="0.25">
      <c r="A1003" t="s">
        <v>4185</v>
      </c>
      <c r="B1003">
        <v>1042455156</v>
      </c>
      <c r="C1003" t="s">
        <v>1341</v>
      </c>
      <c r="D1003" s="11" t="s">
        <v>55</v>
      </c>
      <c r="E1003" s="11" t="s">
        <v>4047</v>
      </c>
      <c r="F1003" s="11" t="s">
        <v>16</v>
      </c>
      <c r="G1003" s="1">
        <v>46248</v>
      </c>
      <c r="H1003" s="1">
        <v>46249</v>
      </c>
      <c r="I1003" s="2">
        <v>0.25</v>
      </c>
      <c r="J1003" s="2">
        <v>0.66666666666666663</v>
      </c>
      <c r="K1003" s="11"/>
      <c r="L1003" s="11" t="s">
        <v>327</v>
      </c>
      <c r="M1003" s="1"/>
      <c r="N1003" s="11"/>
      <c r="O1003" s="11" t="s">
        <v>4042</v>
      </c>
      <c r="P1003" s="1"/>
      <c r="Q1003" s="1"/>
      <c r="R1003" s="11"/>
      <c r="S1003" s="2">
        <f>CONSOLIDADO_2026[[#This Row],[Hora final]]-CONSOLIDADO_2026[[#This Row],[Hora inic]]</f>
        <v>0.41666666666666663</v>
      </c>
    </row>
    <row r="1004" spans="1:19" hidden="1" x14ac:dyDescent="0.25">
      <c r="A1004" t="s">
        <v>4185</v>
      </c>
      <c r="B1004">
        <v>1017267159</v>
      </c>
      <c r="C1004" t="s">
        <v>1908</v>
      </c>
      <c r="D1004" s="11" t="s">
        <v>44</v>
      </c>
      <c r="E1004" s="11" t="s">
        <v>4045</v>
      </c>
      <c r="F1004" s="11" t="s">
        <v>16</v>
      </c>
      <c r="G1004" s="1">
        <v>46248</v>
      </c>
      <c r="H1004" s="1">
        <v>46248</v>
      </c>
      <c r="I1004" s="2"/>
      <c r="J1004" s="2"/>
      <c r="K1004" s="11"/>
      <c r="L1004" s="11" t="s">
        <v>4041</v>
      </c>
      <c r="M1004" s="1"/>
      <c r="N1004" s="11"/>
      <c r="O1004" s="11" t="s">
        <v>4042</v>
      </c>
      <c r="P1004" s="1"/>
      <c r="Q1004" s="1"/>
      <c r="R1004" s="11"/>
      <c r="S1004" s="2">
        <f>CONSOLIDADO_2026[[#This Row],[Hora final]]-CONSOLIDADO_2026[[#This Row],[Hora inic]]</f>
        <v>0</v>
      </c>
    </row>
    <row r="1005" spans="1:19" hidden="1" x14ac:dyDescent="0.25">
      <c r="A1005" t="s">
        <v>4185</v>
      </c>
      <c r="B1005">
        <v>1000398069</v>
      </c>
      <c r="C1005" t="s">
        <v>3764</v>
      </c>
      <c r="D1005" s="11" t="s">
        <v>143</v>
      </c>
      <c r="E1005" s="11" t="s">
        <v>4045</v>
      </c>
      <c r="F1005" s="11" t="s">
        <v>16</v>
      </c>
      <c r="G1005" s="1">
        <v>46247</v>
      </c>
      <c r="H1005" s="1">
        <v>46248</v>
      </c>
      <c r="I1005" s="2"/>
      <c r="J1005" s="2"/>
      <c r="K1005" s="11"/>
      <c r="L1005" s="11" t="s">
        <v>4041</v>
      </c>
      <c r="M1005" s="1"/>
      <c r="N1005" s="11"/>
      <c r="O1005" s="11" t="s">
        <v>4042</v>
      </c>
      <c r="P1005" s="1"/>
      <c r="Q1005" s="1"/>
      <c r="R1005" s="11"/>
      <c r="S1005" s="2">
        <f>CONSOLIDADO_2026[[#This Row],[Hora final]]-CONSOLIDADO_2026[[#This Row],[Hora inic]]</f>
        <v>0</v>
      </c>
    </row>
    <row r="1006" spans="1:19" hidden="1" x14ac:dyDescent="0.25">
      <c r="A1006" t="s">
        <v>4185</v>
      </c>
      <c r="B1006">
        <v>1143411265</v>
      </c>
      <c r="C1006" t="s">
        <v>2355</v>
      </c>
      <c r="D1006" s="11" t="s">
        <v>55</v>
      </c>
      <c r="E1006" s="11" t="s">
        <v>4047</v>
      </c>
      <c r="F1006" s="11" t="s">
        <v>16</v>
      </c>
      <c r="G1006" s="1">
        <v>46247</v>
      </c>
      <c r="H1006" s="1">
        <v>46248</v>
      </c>
      <c r="I1006" s="2"/>
      <c r="J1006" s="2"/>
      <c r="K1006" s="11"/>
      <c r="L1006" s="11" t="s">
        <v>4041</v>
      </c>
      <c r="M1006" s="1"/>
      <c r="N1006" s="11"/>
      <c r="O1006" s="11" t="s">
        <v>4042</v>
      </c>
      <c r="P1006" s="1"/>
      <c r="Q1006" s="1"/>
      <c r="R1006" s="11"/>
      <c r="S1006" s="2">
        <f>CONSOLIDADO_2026[[#This Row],[Hora final]]-CONSOLIDADO_2026[[#This Row],[Hora inic]]</f>
        <v>0</v>
      </c>
    </row>
    <row r="1007" spans="1:19" hidden="1" x14ac:dyDescent="0.25">
      <c r="A1007" t="s">
        <v>4185</v>
      </c>
      <c r="B1007">
        <v>1002159701</v>
      </c>
      <c r="C1007" t="s">
        <v>4188</v>
      </c>
      <c r="D1007" s="11" t="s">
        <v>245</v>
      </c>
      <c r="E1007" s="11" t="s">
        <v>4040</v>
      </c>
      <c r="F1007" s="11" t="s">
        <v>16</v>
      </c>
      <c r="G1007" s="1">
        <v>46248</v>
      </c>
      <c r="H1007" s="1">
        <v>46248</v>
      </c>
      <c r="I1007" s="2"/>
      <c r="J1007" s="2"/>
      <c r="K1007" s="11"/>
      <c r="L1007" s="11" t="s">
        <v>4041</v>
      </c>
      <c r="M1007" s="1"/>
      <c r="N1007" s="11"/>
      <c r="O1007" s="11" t="s">
        <v>4042</v>
      </c>
      <c r="P1007" s="1"/>
      <c r="Q1007" s="1"/>
      <c r="R1007" s="11"/>
      <c r="S1007" s="2">
        <f>CONSOLIDADO_2026[[#This Row],[Hora final]]-CONSOLIDADO_2026[[#This Row],[Hora inic]]</f>
        <v>0</v>
      </c>
    </row>
    <row r="1008" spans="1:19" hidden="1" x14ac:dyDescent="0.25">
      <c r="A1008" t="s">
        <v>4185</v>
      </c>
      <c r="B1008">
        <v>1143403750</v>
      </c>
      <c r="C1008" t="s">
        <v>4167</v>
      </c>
      <c r="D1008" s="11" t="s">
        <v>492</v>
      </c>
      <c r="E1008" s="11" t="s">
        <v>4045</v>
      </c>
      <c r="F1008" s="11" t="s">
        <v>4050</v>
      </c>
      <c r="G1008" s="1">
        <v>46247</v>
      </c>
      <c r="H1008" s="1">
        <v>46251</v>
      </c>
      <c r="I1008" s="2"/>
      <c r="J1008" s="2"/>
      <c r="K1008" s="11"/>
      <c r="L1008" s="11" t="s">
        <v>341</v>
      </c>
      <c r="M1008" s="1"/>
      <c r="N1008" s="11"/>
      <c r="O1008" s="11" t="s">
        <v>4042</v>
      </c>
      <c r="P1008" s="1"/>
      <c r="Q1008" s="1"/>
      <c r="R1008" s="11"/>
      <c r="S1008" s="2">
        <f>CONSOLIDADO_2026[[#This Row],[Hora final]]-CONSOLIDADO_2026[[#This Row],[Hora inic]]</f>
        <v>0</v>
      </c>
    </row>
    <row r="1009" spans="1:19" hidden="1" x14ac:dyDescent="0.25">
      <c r="A1009" t="s">
        <v>4185</v>
      </c>
      <c r="B1009">
        <v>1102808787</v>
      </c>
      <c r="C1009" t="s">
        <v>135</v>
      </c>
      <c r="D1009" s="11" t="s">
        <v>39</v>
      </c>
      <c r="E1009" s="11" t="s">
        <v>4046</v>
      </c>
      <c r="F1009" s="11" t="s">
        <v>16</v>
      </c>
      <c r="G1009" s="1">
        <v>46237</v>
      </c>
      <c r="H1009" s="1">
        <v>46276</v>
      </c>
      <c r="I1009" s="2">
        <v>0.25</v>
      </c>
      <c r="J1009" s="2">
        <v>0.66666666666666663</v>
      </c>
      <c r="K1009" s="11"/>
      <c r="L1009" s="11" t="s">
        <v>327</v>
      </c>
      <c r="M1009" s="1"/>
      <c r="N1009" s="11"/>
      <c r="O1009" s="11" t="s">
        <v>4042</v>
      </c>
      <c r="P1009" s="1"/>
      <c r="Q1009" s="1"/>
      <c r="R1009" s="11"/>
      <c r="S1009" s="2">
        <f>CONSOLIDADO_2026[[#This Row],[Hora final]]-CONSOLIDADO_2026[[#This Row],[Hora inic]]</f>
        <v>0.41666666666666663</v>
      </c>
    </row>
    <row r="1010" spans="1:19" hidden="1" x14ac:dyDescent="0.25">
      <c r="A1010" t="s">
        <v>4185</v>
      </c>
      <c r="B1010">
        <v>1053860403</v>
      </c>
      <c r="C1010" t="s">
        <v>4189</v>
      </c>
      <c r="D1010" s="11" t="s">
        <v>272</v>
      </c>
      <c r="E1010" s="11" t="s">
        <v>4056</v>
      </c>
      <c r="F1010" s="11" t="s">
        <v>16</v>
      </c>
      <c r="G1010" s="1">
        <v>46247</v>
      </c>
      <c r="H1010" s="1">
        <v>46249</v>
      </c>
      <c r="I1010" s="2">
        <v>0.25</v>
      </c>
      <c r="J1010" s="2">
        <v>0.58333333333333337</v>
      </c>
      <c r="K1010" s="11"/>
      <c r="L1010" s="11" t="s">
        <v>327</v>
      </c>
      <c r="M1010" s="1"/>
      <c r="N1010" s="11"/>
      <c r="O1010" s="11" t="s">
        <v>4042</v>
      </c>
      <c r="P1010" s="1"/>
      <c r="Q1010" s="1"/>
      <c r="R1010" s="11"/>
      <c r="S1010" s="2">
        <f>CONSOLIDADO_2026[[#This Row],[Hora final]]-CONSOLIDADO_2026[[#This Row],[Hora inic]]</f>
        <v>0.33333333333333337</v>
      </c>
    </row>
    <row r="1011" spans="1:19" hidden="1" x14ac:dyDescent="0.25">
      <c r="A1011" t="s">
        <v>4185</v>
      </c>
      <c r="B1011">
        <v>72342968</v>
      </c>
      <c r="C1011" t="s">
        <v>4190</v>
      </c>
      <c r="D1011" s="11" t="s">
        <v>39</v>
      </c>
      <c r="E1011" s="11" t="s">
        <v>4046</v>
      </c>
      <c r="F1011" s="11" t="s">
        <v>16</v>
      </c>
      <c r="G1011" s="1">
        <v>46247</v>
      </c>
      <c r="H1011" s="1">
        <v>46248</v>
      </c>
      <c r="I1011" s="2"/>
      <c r="J1011" s="2"/>
      <c r="K1011" s="11"/>
      <c r="L1011" s="11" t="s">
        <v>4041</v>
      </c>
      <c r="M1011" s="1"/>
      <c r="N1011" s="11"/>
      <c r="O1011" s="11" t="s">
        <v>4042</v>
      </c>
      <c r="P1011" s="1"/>
      <c r="Q1011" s="1"/>
      <c r="R1011" s="11"/>
      <c r="S1011" s="2">
        <f>CONSOLIDADO_2026[[#This Row],[Hora final]]-CONSOLIDADO_2026[[#This Row],[Hora inic]]</f>
        <v>0</v>
      </c>
    </row>
    <row r="1012" spans="1:19" hidden="1" x14ac:dyDescent="0.25">
      <c r="A1012" t="s">
        <v>4185</v>
      </c>
      <c r="B1012">
        <v>1037573035</v>
      </c>
      <c r="C1012" t="s">
        <v>4024</v>
      </c>
      <c r="D1012" s="11" t="s">
        <v>256</v>
      </c>
      <c r="E1012" s="11" t="s">
        <v>4040</v>
      </c>
      <c r="F1012" s="11" t="s">
        <v>16</v>
      </c>
      <c r="G1012" s="1">
        <v>46247</v>
      </c>
      <c r="H1012" s="1">
        <v>46248</v>
      </c>
      <c r="I1012" s="2"/>
      <c r="J1012" s="2"/>
      <c r="K1012" s="11"/>
      <c r="L1012" s="11" t="s">
        <v>4041</v>
      </c>
      <c r="M1012" s="1"/>
      <c r="N1012" s="11"/>
      <c r="O1012" s="11" t="s">
        <v>4042</v>
      </c>
      <c r="P1012" s="1"/>
      <c r="Q1012" s="1"/>
      <c r="R1012" s="11"/>
      <c r="S1012" s="2">
        <f>CONSOLIDADO_2026[[#This Row],[Hora final]]-CONSOLIDADO_2026[[#This Row],[Hora inic]]</f>
        <v>0</v>
      </c>
    </row>
    <row r="1013" spans="1:19" hidden="1" x14ac:dyDescent="0.25">
      <c r="A1013" t="s">
        <v>4185</v>
      </c>
      <c r="B1013">
        <v>43453341</v>
      </c>
      <c r="C1013" t="s">
        <v>146</v>
      </c>
      <c r="D1013" s="11" t="s">
        <v>124</v>
      </c>
      <c r="E1013" s="11" t="s">
        <v>4045</v>
      </c>
      <c r="F1013" s="11" t="s">
        <v>16</v>
      </c>
      <c r="G1013" s="1">
        <v>46247</v>
      </c>
      <c r="H1013" s="1">
        <v>46248</v>
      </c>
      <c r="I1013" s="2"/>
      <c r="J1013" s="2"/>
      <c r="K1013" s="11"/>
      <c r="L1013" s="11" t="s">
        <v>4041</v>
      </c>
      <c r="M1013" s="1"/>
      <c r="N1013" s="11"/>
      <c r="O1013" s="11" t="s">
        <v>4042</v>
      </c>
      <c r="P1013" s="1"/>
      <c r="Q1013" s="1"/>
      <c r="R1013" s="11"/>
      <c r="S1013" s="2">
        <f>CONSOLIDADO_2026[[#This Row],[Hora final]]-CONSOLIDADO_2026[[#This Row],[Hora inic]]</f>
        <v>0</v>
      </c>
    </row>
    <row r="1014" spans="1:19" hidden="1" x14ac:dyDescent="0.25">
      <c r="A1014" t="s">
        <v>4185</v>
      </c>
      <c r="B1014">
        <v>1036132488</v>
      </c>
      <c r="C1014" t="s">
        <v>58</v>
      </c>
      <c r="D1014" s="11" t="s">
        <v>59</v>
      </c>
      <c r="E1014" s="11" t="s">
        <v>4047</v>
      </c>
      <c r="F1014" s="11" t="s">
        <v>16</v>
      </c>
      <c r="G1014" s="1">
        <v>46247</v>
      </c>
      <c r="H1014" s="1">
        <v>46248</v>
      </c>
      <c r="I1014" s="2"/>
      <c r="J1014" s="2"/>
      <c r="K1014" s="11"/>
      <c r="L1014" s="11" t="s">
        <v>4041</v>
      </c>
      <c r="M1014" s="1"/>
      <c r="N1014" s="11"/>
      <c r="O1014" s="11" t="s">
        <v>4042</v>
      </c>
      <c r="P1014" s="1"/>
      <c r="Q1014" s="1"/>
      <c r="R1014" s="11"/>
      <c r="S1014" s="2">
        <f>CONSOLIDADO_2026[[#This Row],[Hora final]]-CONSOLIDADO_2026[[#This Row],[Hora inic]]</f>
        <v>0</v>
      </c>
    </row>
    <row r="1015" spans="1:19" hidden="1" x14ac:dyDescent="0.25">
      <c r="A1015" t="s">
        <v>4185</v>
      </c>
      <c r="B1015">
        <v>1001013936</v>
      </c>
      <c r="C1015" t="s">
        <v>4191</v>
      </c>
      <c r="D1015" s="11" t="s">
        <v>28</v>
      </c>
      <c r="E1015" s="11" t="s">
        <v>4046</v>
      </c>
      <c r="F1015" s="11" t="s">
        <v>16</v>
      </c>
      <c r="G1015" s="1">
        <v>46247</v>
      </c>
      <c r="H1015" s="1">
        <v>46248</v>
      </c>
      <c r="I1015" s="2"/>
      <c r="J1015" s="2"/>
      <c r="K1015" s="11"/>
      <c r="L1015" s="11" t="s">
        <v>4041</v>
      </c>
      <c r="M1015" s="1"/>
      <c r="N1015" s="11"/>
      <c r="O1015" s="11" t="s">
        <v>4042</v>
      </c>
      <c r="P1015" s="1"/>
      <c r="Q1015" s="1"/>
      <c r="R1015" s="11"/>
      <c r="S1015" s="2">
        <f>CONSOLIDADO_2026[[#This Row],[Hora final]]-CONSOLIDADO_2026[[#This Row],[Hora inic]]</f>
        <v>0</v>
      </c>
    </row>
    <row r="1016" spans="1:19" hidden="1" x14ac:dyDescent="0.25">
      <c r="A1016" t="s">
        <v>4185</v>
      </c>
      <c r="B1016">
        <v>1234090551</v>
      </c>
      <c r="C1016" t="s">
        <v>2250</v>
      </c>
      <c r="D1016" s="11" t="s">
        <v>162</v>
      </c>
      <c r="E1016" s="11" t="s">
        <v>4056</v>
      </c>
      <c r="F1016" s="11" t="s">
        <v>16</v>
      </c>
      <c r="G1016" s="1">
        <v>46247</v>
      </c>
      <c r="H1016" s="1">
        <v>46248</v>
      </c>
      <c r="I1016" s="2"/>
      <c r="J1016" s="2"/>
      <c r="K1016" s="11"/>
      <c r="L1016" s="11" t="s">
        <v>4041</v>
      </c>
      <c r="M1016" s="1"/>
      <c r="N1016" s="11"/>
      <c r="O1016" s="11" t="s">
        <v>4042</v>
      </c>
      <c r="P1016" s="1"/>
      <c r="Q1016" s="1"/>
      <c r="R1016" s="11"/>
      <c r="S1016" s="2">
        <f>CONSOLIDADO_2026[[#This Row],[Hora final]]-CONSOLIDADO_2026[[#This Row],[Hora inic]]</f>
        <v>0</v>
      </c>
    </row>
    <row r="1017" spans="1:19" hidden="1" x14ac:dyDescent="0.25">
      <c r="A1017" t="s">
        <v>4185</v>
      </c>
      <c r="B1017">
        <v>1152436231</v>
      </c>
      <c r="C1017" t="s">
        <v>142</v>
      </c>
      <c r="D1017" s="11" t="s">
        <v>143</v>
      </c>
      <c r="E1017" s="11" t="s">
        <v>4045</v>
      </c>
      <c r="F1017" s="11" t="s">
        <v>16</v>
      </c>
      <c r="G1017" s="1">
        <v>46247</v>
      </c>
      <c r="H1017" s="1">
        <v>46248</v>
      </c>
      <c r="I1017" s="2"/>
      <c r="J1017" s="2"/>
      <c r="K1017" s="11"/>
      <c r="L1017" s="11" t="s">
        <v>4041</v>
      </c>
      <c r="M1017" s="1"/>
      <c r="N1017" s="11"/>
      <c r="O1017" s="11" t="s">
        <v>4042</v>
      </c>
      <c r="P1017" s="1"/>
      <c r="Q1017" s="1"/>
      <c r="R1017" s="11"/>
      <c r="S1017" s="2">
        <f>CONSOLIDADO_2026[[#This Row],[Hora final]]-CONSOLIDADO_2026[[#This Row],[Hora inic]]</f>
        <v>0</v>
      </c>
    </row>
    <row r="1018" spans="1:19" hidden="1" x14ac:dyDescent="0.25">
      <c r="A1018" t="s">
        <v>4185</v>
      </c>
      <c r="B1018">
        <v>1036665065</v>
      </c>
      <c r="C1018" t="s">
        <v>3689</v>
      </c>
      <c r="D1018" s="11" t="s">
        <v>39</v>
      </c>
      <c r="E1018" s="11" t="s">
        <v>4046</v>
      </c>
      <c r="F1018" s="11" t="s">
        <v>16</v>
      </c>
      <c r="G1018" s="1">
        <v>46247</v>
      </c>
      <c r="H1018" s="1">
        <v>46248</v>
      </c>
      <c r="I1018" s="2"/>
      <c r="J1018" s="2"/>
      <c r="K1018" s="11"/>
      <c r="L1018" s="11" t="s">
        <v>4041</v>
      </c>
      <c r="M1018" s="1"/>
      <c r="N1018" s="11"/>
      <c r="O1018" s="11" t="s">
        <v>4042</v>
      </c>
      <c r="P1018" s="1"/>
      <c r="Q1018" s="1"/>
      <c r="R1018" s="11"/>
      <c r="S1018" s="2">
        <f>CONSOLIDADO_2026[[#This Row],[Hora final]]-CONSOLIDADO_2026[[#This Row],[Hora inic]]</f>
        <v>0</v>
      </c>
    </row>
    <row r="1019" spans="1:19" hidden="1" x14ac:dyDescent="0.25">
      <c r="A1019" t="s">
        <v>4185</v>
      </c>
      <c r="B1019">
        <v>1052409952</v>
      </c>
      <c r="C1019" t="s">
        <v>4192</v>
      </c>
      <c r="D1019" s="11" t="s">
        <v>44</v>
      </c>
      <c r="E1019" s="11" t="s">
        <v>4045</v>
      </c>
      <c r="F1019" s="11" t="s">
        <v>4193</v>
      </c>
      <c r="G1019" s="1">
        <v>46247</v>
      </c>
      <c r="H1019" s="1">
        <v>46248</v>
      </c>
      <c r="I1019" s="2"/>
      <c r="J1019" s="2"/>
      <c r="K1019" s="11"/>
      <c r="L1019" s="11" t="s">
        <v>4041</v>
      </c>
      <c r="M1019" s="1"/>
      <c r="N1019" s="11"/>
      <c r="O1019" s="11" t="s">
        <v>4042</v>
      </c>
      <c r="P1019" s="1"/>
      <c r="Q1019" s="1"/>
      <c r="R1019" s="11"/>
      <c r="S1019" s="2">
        <f>CONSOLIDADO_2026[[#This Row],[Hora final]]-CONSOLIDADO_2026[[#This Row],[Hora inic]]</f>
        <v>0</v>
      </c>
    </row>
    <row r="1020" spans="1:19" hidden="1" x14ac:dyDescent="0.25">
      <c r="A1020" t="s">
        <v>4185</v>
      </c>
      <c r="B1020">
        <v>1152434926</v>
      </c>
      <c r="C1020" t="s">
        <v>217</v>
      </c>
      <c r="D1020" s="11" t="s">
        <v>59</v>
      </c>
      <c r="E1020" s="11" t="s">
        <v>4047</v>
      </c>
      <c r="F1020" s="11" t="s">
        <v>16</v>
      </c>
      <c r="G1020" s="1">
        <v>46247</v>
      </c>
      <c r="H1020" s="1">
        <v>46249</v>
      </c>
      <c r="I1020" s="2">
        <v>0.25</v>
      </c>
      <c r="J1020" s="2">
        <v>0.66666666666666663</v>
      </c>
      <c r="K1020" s="11" t="s">
        <v>150</v>
      </c>
      <c r="L1020" s="11" t="s">
        <v>151</v>
      </c>
      <c r="M1020" s="1"/>
      <c r="N1020" s="11"/>
      <c r="O1020" s="11" t="s">
        <v>21</v>
      </c>
      <c r="P1020" s="1"/>
      <c r="Q1020" s="1"/>
      <c r="R1020" s="11"/>
      <c r="S1020" s="2">
        <f>CONSOLIDADO_2026[[#This Row],[Hora final]]-CONSOLIDADO_2026[[#This Row],[Hora inic]]</f>
        <v>0.41666666666666663</v>
      </c>
    </row>
    <row r="1021" spans="1:19" hidden="1" x14ac:dyDescent="0.25">
      <c r="A1021" t="s">
        <v>4185</v>
      </c>
      <c r="B1021">
        <v>43986125</v>
      </c>
      <c r="C1021" t="s">
        <v>1299</v>
      </c>
      <c r="D1021" s="11" t="s">
        <v>55</v>
      </c>
      <c r="E1021" s="11" t="s">
        <v>4047</v>
      </c>
      <c r="F1021" s="11" t="s">
        <v>16</v>
      </c>
      <c r="G1021" s="1">
        <v>46246</v>
      </c>
      <c r="H1021" s="1">
        <v>46248</v>
      </c>
      <c r="I1021" s="2"/>
      <c r="J1021" s="2"/>
      <c r="K1021" s="11"/>
      <c r="L1021" s="11" t="s">
        <v>4041</v>
      </c>
      <c r="M1021" s="1"/>
      <c r="N1021" s="11"/>
      <c r="O1021" s="11" t="s">
        <v>4042</v>
      </c>
      <c r="P1021" s="1"/>
      <c r="Q1021" s="1"/>
      <c r="R1021" s="11"/>
      <c r="S1021" s="2">
        <f>CONSOLIDADO_2026[[#This Row],[Hora final]]-CONSOLIDADO_2026[[#This Row],[Hora inic]]</f>
        <v>0</v>
      </c>
    </row>
    <row r="1022" spans="1:19" hidden="1" x14ac:dyDescent="0.25">
      <c r="A1022" t="s">
        <v>4185</v>
      </c>
      <c r="B1022">
        <v>1000100875</v>
      </c>
      <c r="C1022" t="s">
        <v>3648</v>
      </c>
      <c r="D1022" s="11" t="s">
        <v>55</v>
      </c>
      <c r="E1022" s="11" t="s">
        <v>4047</v>
      </c>
      <c r="F1022" s="11" t="s">
        <v>16</v>
      </c>
      <c r="G1022" s="1">
        <v>46247</v>
      </c>
      <c r="H1022" s="1">
        <v>46248</v>
      </c>
      <c r="I1022" s="2"/>
      <c r="J1022" s="2"/>
      <c r="K1022" s="11"/>
      <c r="L1022" s="11" t="s">
        <v>4041</v>
      </c>
      <c r="M1022" s="1"/>
      <c r="N1022" s="11"/>
      <c r="O1022" s="11" t="s">
        <v>4042</v>
      </c>
      <c r="P1022" s="1"/>
      <c r="Q1022" s="1"/>
      <c r="R1022" s="11"/>
      <c r="S1022" s="2">
        <f>CONSOLIDADO_2026[[#This Row],[Hora final]]-CONSOLIDADO_2026[[#This Row],[Hora inic]]</f>
        <v>0</v>
      </c>
    </row>
    <row r="1023" spans="1:19" hidden="1" x14ac:dyDescent="0.25">
      <c r="A1023" t="s">
        <v>4185</v>
      </c>
      <c r="B1023">
        <v>1003459576</v>
      </c>
      <c r="C1023" t="s">
        <v>1032</v>
      </c>
      <c r="D1023" s="11" t="s">
        <v>59</v>
      </c>
      <c r="E1023" s="11" t="s">
        <v>4047</v>
      </c>
      <c r="F1023" s="11" t="s">
        <v>16</v>
      </c>
      <c r="G1023" s="1">
        <v>46246</v>
      </c>
      <c r="H1023" s="1">
        <v>46248</v>
      </c>
      <c r="I1023" s="2"/>
      <c r="J1023" s="2"/>
      <c r="K1023" s="11"/>
      <c r="L1023" s="11" t="s">
        <v>4041</v>
      </c>
      <c r="M1023" s="1"/>
      <c r="N1023" s="11"/>
      <c r="O1023" s="11" t="s">
        <v>4042</v>
      </c>
      <c r="P1023" s="1"/>
      <c r="Q1023" s="1"/>
      <c r="R1023" s="11"/>
      <c r="S1023" s="2">
        <f>CONSOLIDADO_2026[[#This Row],[Hora final]]-CONSOLIDADO_2026[[#This Row],[Hora inic]]</f>
        <v>0</v>
      </c>
    </row>
    <row r="1024" spans="1:19" hidden="1" x14ac:dyDescent="0.25">
      <c r="A1024" t="s">
        <v>4185</v>
      </c>
      <c r="B1024">
        <v>1152462501</v>
      </c>
      <c r="C1024" t="s">
        <v>3056</v>
      </c>
      <c r="D1024" s="11" t="s">
        <v>28</v>
      </c>
      <c r="E1024" s="11" t="s">
        <v>4046</v>
      </c>
      <c r="F1024" s="11" t="s">
        <v>16</v>
      </c>
      <c r="G1024" s="1">
        <v>46247</v>
      </c>
      <c r="H1024" s="1">
        <v>46248</v>
      </c>
      <c r="I1024" s="2"/>
      <c r="J1024" s="2"/>
      <c r="K1024" s="11"/>
      <c r="L1024" s="11" t="s">
        <v>4041</v>
      </c>
      <c r="M1024" s="1"/>
      <c r="N1024" s="11"/>
      <c r="O1024" s="11" t="s">
        <v>4042</v>
      </c>
      <c r="P1024" s="1"/>
      <c r="Q1024" s="1"/>
      <c r="R1024" s="11"/>
      <c r="S1024" s="2">
        <f>CONSOLIDADO_2026[[#This Row],[Hora final]]-CONSOLIDADO_2026[[#This Row],[Hora inic]]</f>
        <v>0</v>
      </c>
    </row>
    <row r="1025" spans="1:19" hidden="1" x14ac:dyDescent="0.25">
      <c r="A1025" t="s">
        <v>4185</v>
      </c>
      <c r="B1025">
        <v>1143267842</v>
      </c>
      <c r="C1025" t="s">
        <v>1501</v>
      </c>
      <c r="D1025" s="11" t="s">
        <v>128</v>
      </c>
      <c r="E1025" s="11" t="s">
        <v>4045</v>
      </c>
      <c r="F1025" s="11" t="s">
        <v>16</v>
      </c>
      <c r="G1025" s="1">
        <v>46246</v>
      </c>
      <c r="H1025" s="1">
        <v>46248</v>
      </c>
      <c r="I1025" s="2"/>
      <c r="J1025" s="2"/>
      <c r="K1025" s="11"/>
      <c r="L1025" s="11" t="s">
        <v>4041</v>
      </c>
      <c r="M1025" s="1"/>
      <c r="N1025" s="11"/>
      <c r="O1025" s="11" t="s">
        <v>4042</v>
      </c>
      <c r="P1025" s="1"/>
      <c r="Q1025" s="1"/>
      <c r="R1025" s="11"/>
      <c r="S1025" s="2">
        <f>CONSOLIDADO_2026[[#This Row],[Hora final]]-CONSOLIDADO_2026[[#This Row],[Hora inic]]</f>
        <v>0</v>
      </c>
    </row>
    <row r="1026" spans="1:19" hidden="1" x14ac:dyDescent="0.25">
      <c r="A1026" t="s">
        <v>4185</v>
      </c>
      <c r="B1026">
        <v>1082926383</v>
      </c>
      <c r="C1026" t="s">
        <v>663</v>
      </c>
      <c r="D1026" s="11" t="s">
        <v>132</v>
      </c>
      <c r="E1026" s="11" t="s">
        <v>4040</v>
      </c>
      <c r="F1026" s="11" t="s">
        <v>16</v>
      </c>
      <c r="G1026" s="1">
        <v>46246</v>
      </c>
      <c r="H1026" s="1">
        <v>46248</v>
      </c>
      <c r="I1026" s="2"/>
      <c r="J1026" s="2"/>
      <c r="K1026" s="11"/>
      <c r="L1026" s="11" t="s">
        <v>4041</v>
      </c>
      <c r="M1026" s="1"/>
      <c r="N1026" s="11"/>
      <c r="O1026" s="11" t="s">
        <v>4042</v>
      </c>
      <c r="P1026" s="1"/>
      <c r="Q1026" s="1"/>
      <c r="R1026" s="11"/>
      <c r="S1026" s="2">
        <f>CONSOLIDADO_2026[[#This Row],[Hora final]]-CONSOLIDADO_2026[[#This Row],[Hora inic]]</f>
        <v>0</v>
      </c>
    </row>
    <row r="1027" spans="1:19" hidden="1" x14ac:dyDescent="0.25">
      <c r="A1027" t="s">
        <v>4185</v>
      </c>
      <c r="B1027">
        <v>1098686151</v>
      </c>
      <c r="C1027" t="s">
        <v>4194</v>
      </c>
      <c r="D1027" s="11" t="s">
        <v>51</v>
      </c>
      <c r="E1027" s="11" t="s">
        <v>4047</v>
      </c>
      <c r="F1027" s="11" t="s">
        <v>16</v>
      </c>
      <c r="G1027" s="1">
        <v>46246</v>
      </c>
      <c r="H1027" s="1">
        <v>46248</v>
      </c>
      <c r="I1027" s="2"/>
      <c r="J1027" s="2"/>
      <c r="K1027" s="11"/>
      <c r="L1027" s="11" t="s">
        <v>4041</v>
      </c>
      <c r="M1027" s="1"/>
      <c r="N1027" s="11"/>
      <c r="O1027" s="11" t="s">
        <v>4042</v>
      </c>
      <c r="P1027" s="1"/>
      <c r="Q1027" s="1"/>
      <c r="R1027" s="11"/>
      <c r="S1027" s="2">
        <f>CONSOLIDADO_2026[[#This Row],[Hora final]]-CONSOLIDADO_2026[[#This Row],[Hora inic]]</f>
        <v>0</v>
      </c>
    </row>
    <row r="1028" spans="1:19" hidden="1" x14ac:dyDescent="0.25">
      <c r="A1028" t="s">
        <v>4185</v>
      </c>
      <c r="B1028">
        <v>1045718883</v>
      </c>
      <c r="C1028" t="s">
        <v>34</v>
      </c>
      <c r="D1028" s="11" t="s">
        <v>15</v>
      </c>
      <c r="E1028" s="11" t="s">
        <v>4046</v>
      </c>
      <c r="F1028" s="11" t="s">
        <v>36</v>
      </c>
      <c r="G1028" s="1">
        <v>46245</v>
      </c>
      <c r="H1028" s="1">
        <v>46340</v>
      </c>
      <c r="I1028" s="2"/>
      <c r="J1028" s="2"/>
      <c r="K1028" s="11"/>
      <c r="L1028" s="11" t="s">
        <v>341</v>
      </c>
      <c r="M1028" s="1"/>
      <c r="N1028" s="11"/>
      <c r="O1028" s="11" t="s">
        <v>4042</v>
      </c>
      <c r="P1028" s="1"/>
      <c r="Q1028" s="1"/>
      <c r="R1028" s="11"/>
      <c r="S1028" s="2">
        <f>CONSOLIDADO_2026[[#This Row],[Hora final]]-CONSOLIDADO_2026[[#This Row],[Hora inic]]</f>
        <v>0</v>
      </c>
    </row>
    <row r="1029" spans="1:19" hidden="1" x14ac:dyDescent="0.25">
      <c r="A1029" t="s">
        <v>4185</v>
      </c>
      <c r="B1029">
        <v>1035876080</v>
      </c>
      <c r="C1029" t="s">
        <v>123</v>
      </c>
      <c r="D1029" s="11" t="s">
        <v>124</v>
      </c>
      <c r="E1029" s="11" t="s">
        <v>4045</v>
      </c>
      <c r="F1029" s="11" t="s">
        <v>16</v>
      </c>
      <c r="G1029" s="1">
        <v>46246</v>
      </c>
      <c r="H1029" s="1">
        <v>46254</v>
      </c>
      <c r="I1029" s="2">
        <v>0.25</v>
      </c>
      <c r="J1029" s="2">
        <v>0.66666666666666663</v>
      </c>
      <c r="K1029" s="11" t="s">
        <v>213</v>
      </c>
      <c r="L1029" s="11" t="s">
        <v>214</v>
      </c>
      <c r="M1029" s="1"/>
      <c r="N1029" s="11"/>
      <c r="O1029" s="11" t="s">
        <v>21</v>
      </c>
      <c r="P1029" s="1"/>
      <c r="Q1029" s="1"/>
      <c r="R1029" s="11"/>
      <c r="S1029" s="2">
        <f>CONSOLIDADO_2026[[#This Row],[Hora final]]-CONSOLIDADO_2026[[#This Row],[Hora inic]]</f>
        <v>0.41666666666666663</v>
      </c>
    </row>
    <row r="1030" spans="1:19" hidden="1" x14ac:dyDescent="0.25">
      <c r="A1030" t="s">
        <v>4185</v>
      </c>
      <c r="B1030">
        <v>1085265026</v>
      </c>
      <c r="C1030" t="s">
        <v>91</v>
      </c>
      <c r="D1030" s="11" t="s">
        <v>55</v>
      </c>
      <c r="E1030" s="11" t="s">
        <v>4047</v>
      </c>
      <c r="F1030" s="11" t="s">
        <v>92</v>
      </c>
      <c r="G1030" s="1">
        <v>46245</v>
      </c>
      <c r="H1030" s="1">
        <v>46249</v>
      </c>
      <c r="I1030" s="2"/>
      <c r="J1030" s="2"/>
      <c r="K1030" s="11"/>
      <c r="L1030" s="11" t="s">
        <v>341</v>
      </c>
      <c r="M1030" s="1"/>
      <c r="N1030" s="11"/>
      <c r="O1030" s="11" t="s">
        <v>4042</v>
      </c>
      <c r="P1030" s="1"/>
      <c r="Q1030" s="1"/>
      <c r="R1030" s="11"/>
      <c r="S1030" s="2">
        <f>CONSOLIDADO_2026[[#This Row],[Hora final]]-CONSOLIDADO_2026[[#This Row],[Hora inic]]</f>
        <v>0</v>
      </c>
    </row>
    <row r="1031" spans="1:19" hidden="1" x14ac:dyDescent="0.25">
      <c r="A1031" t="s">
        <v>4185</v>
      </c>
      <c r="B1031">
        <v>1001897056</v>
      </c>
      <c r="C1031" t="s">
        <v>334</v>
      </c>
      <c r="D1031" s="11" t="s">
        <v>139</v>
      </c>
      <c r="E1031" s="11" t="s">
        <v>4040</v>
      </c>
      <c r="F1031" s="11" t="s">
        <v>16</v>
      </c>
      <c r="G1031" s="1">
        <v>46245</v>
      </c>
      <c r="H1031" s="1">
        <v>46249</v>
      </c>
      <c r="I1031" s="2"/>
      <c r="J1031" s="2"/>
      <c r="K1031" s="11"/>
      <c r="L1031" s="11" t="s">
        <v>4041</v>
      </c>
      <c r="M1031" s="1"/>
      <c r="N1031" s="11"/>
      <c r="O1031" s="11" t="s">
        <v>4042</v>
      </c>
      <c r="P1031" s="1"/>
      <c r="Q1031" s="1"/>
      <c r="R1031" s="11"/>
      <c r="S1031" s="2">
        <f>CONSOLIDADO_2026[[#This Row],[Hora final]]-CONSOLIDADO_2026[[#This Row],[Hora inic]]</f>
        <v>0</v>
      </c>
    </row>
    <row r="1032" spans="1:19" hidden="1" x14ac:dyDescent="0.25">
      <c r="A1032" t="s">
        <v>4185</v>
      </c>
      <c r="B1032">
        <v>1037638426</v>
      </c>
      <c r="C1032" t="s">
        <v>61</v>
      </c>
      <c r="D1032" s="11" t="s">
        <v>28</v>
      </c>
      <c r="E1032" s="11" t="s">
        <v>4046</v>
      </c>
      <c r="F1032" s="11" t="s">
        <v>24</v>
      </c>
      <c r="G1032" s="1">
        <v>46249</v>
      </c>
      <c r="H1032" s="1">
        <v>46264</v>
      </c>
      <c r="I1032" s="2">
        <v>0.25</v>
      </c>
      <c r="J1032" s="2">
        <v>0.66666666666666663</v>
      </c>
      <c r="K1032" s="11" t="s">
        <v>300</v>
      </c>
      <c r="L1032" s="11" t="s">
        <v>301</v>
      </c>
      <c r="M1032" s="1"/>
      <c r="N1032" s="11"/>
      <c r="O1032" s="11" t="s">
        <v>21</v>
      </c>
      <c r="P1032" s="1"/>
      <c r="Q1032" s="1"/>
      <c r="R1032" s="11"/>
      <c r="S1032" s="2">
        <f>CONSOLIDADO_2026[[#This Row],[Hora final]]-CONSOLIDADO_2026[[#This Row],[Hora inic]]</f>
        <v>0.41666666666666663</v>
      </c>
    </row>
    <row r="1033" spans="1:19" hidden="1" x14ac:dyDescent="0.25">
      <c r="A1033" t="s">
        <v>4185</v>
      </c>
      <c r="B1033">
        <v>1082896324</v>
      </c>
      <c r="C1033" t="s">
        <v>127</v>
      </c>
      <c r="D1033" s="11" t="s">
        <v>128</v>
      </c>
      <c r="E1033" s="11" t="s">
        <v>4045</v>
      </c>
      <c r="F1033" s="11" t="s">
        <v>16</v>
      </c>
      <c r="G1033" s="1">
        <v>46242</v>
      </c>
      <c r="H1033" s="1">
        <v>46272</v>
      </c>
      <c r="I1033" s="2"/>
      <c r="J1033" s="2"/>
      <c r="K1033" s="11"/>
      <c r="L1033" s="11" t="s">
        <v>341</v>
      </c>
      <c r="M1033" s="1"/>
      <c r="N1033" s="11"/>
      <c r="O1033" s="11" t="s">
        <v>4042</v>
      </c>
      <c r="P1033" s="1"/>
      <c r="Q1033" s="1"/>
      <c r="R1033" s="11"/>
      <c r="S1033" s="2">
        <f>CONSOLIDADO_2026[[#This Row],[Hora final]]-CONSOLIDADO_2026[[#This Row],[Hora inic]]</f>
        <v>0</v>
      </c>
    </row>
    <row r="1034" spans="1:19" hidden="1" x14ac:dyDescent="0.25">
      <c r="A1034" t="s">
        <v>4185</v>
      </c>
      <c r="B1034">
        <v>1143374438</v>
      </c>
      <c r="C1034" t="s">
        <v>154</v>
      </c>
      <c r="D1034" s="11" t="s">
        <v>28</v>
      </c>
      <c r="E1034" s="11" t="s">
        <v>4046</v>
      </c>
      <c r="F1034" s="11" t="s">
        <v>16</v>
      </c>
      <c r="G1034" s="1">
        <v>46239</v>
      </c>
      <c r="H1034" s="1">
        <v>46268</v>
      </c>
      <c r="I1034" s="2">
        <v>0.25</v>
      </c>
      <c r="J1034" s="2">
        <v>0.66666666666666663</v>
      </c>
      <c r="K1034" s="11"/>
      <c r="L1034" s="11" t="s">
        <v>4041</v>
      </c>
      <c r="M1034" s="1"/>
      <c r="N1034" s="11"/>
      <c r="O1034" s="11" t="s">
        <v>4042</v>
      </c>
      <c r="P1034" s="1"/>
      <c r="Q1034" s="1"/>
      <c r="R1034" s="11"/>
      <c r="S1034" s="2">
        <f>CONSOLIDADO_2026[[#This Row],[Hora final]]-CONSOLIDADO_2026[[#This Row],[Hora inic]]</f>
        <v>0.41666666666666663</v>
      </c>
    </row>
    <row r="1035" spans="1:19" hidden="1" x14ac:dyDescent="0.25">
      <c r="A1035" t="s">
        <v>4185</v>
      </c>
      <c r="B1035">
        <v>1015483595</v>
      </c>
      <c r="C1035" t="s">
        <v>221</v>
      </c>
      <c r="D1035" s="11" t="s">
        <v>15</v>
      </c>
      <c r="E1035" s="11" t="s">
        <v>4046</v>
      </c>
      <c r="F1035" s="11" t="s">
        <v>24</v>
      </c>
      <c r="G1035" s="1">
        <v>46244</v>
      </c>
      <c r="H1035" s="1">
        <v>46265</v>
      </c>
      <c r="I1035" s="2"/>
      <c r="J1035" s="2"/>
      <c r="K1035" s="11"/>
      <c r="L1035" s="11" t="s">
        <v>341</v>
      </c>
      <c r="M1035" s="1"/>
      <c r="N1035" s="11"/>
      <c r="O1035" s="11" t="s">
        <v>4042</v>
      </c>
      <c r="P1035" s="1"/>
      <c r="Q1035" s="1"/>
      <c r="R1035" s="11"/>
      <c r="S1035" s="2">
        <f>CONSOLIDADO_2026[[#This Row],[Hora final]]-CONSOLIDADO_2026[[#This Row],[Hora inic]]</f>
        <v>0</v>
      </c>
    </row>
    <row r="1036" spans="1:19" hidden="1" x14ac:dyDescent="0.25">
      <c r="A1036" t="s">
        <v>4185</v>
      </c>
      <c r="B1036">
        <v>1001851670</v>
      </c>
      <c r="C1036" t="s">
        <v>50</v>
      </c>
      <c r="D1036" s="11" t="s">
        <v>51</v>
      </c>
      <c r="E1036" s="11" t="s">
        <v>4047</v>
      </c>
      <c r="F1036" s="11" t="s">
        <v>36</v>
      </c>
      <c r="G1036" s="1">
        <v>46241</v>
      </c>
      <c r="H1036" s="1">
        <v>46366</v>
      </c>
      <c r="I1036" s="2"/>
      <c r="J1036" s="2"/>
      <c r="K1036" s="11"/>
      <c r="L1036" s="11" t="s">
        <v>341</v>
      </c>
      <c r="M1036" s="1"/>
      <c r="N1036" s="11"/>
      <c r="O1036" s="11" t="s">
        <v>4042</v>
      </c>
      <c r="P1036" s="1"/>
      <c r="Q1036" s="1"/>
      <c r="R1036" s="11"/>
      <c r="S1036" s="2">
        <f>CONSOLIDADO_2026[[#This Row],[Hora final]]-CONSOLIDADO_2026[[#This Row],[Hora inic]]</f>
        <v>0</v>
      </c>
    </row>
    <row r="1037" spans="1:19" hidden="1" x14ac:dyDescent="0.25">
      <c r="A1037" t="s">
        <v>4185</v>
      </c>
      <c r="B1037">
        <v>1067963513</v>
      </c>
      <c r="C1037" t="s">
        <v>84</v>
      </c>
      <c r="D1037" s="11" t="s">
        <v>68</v>
      </c>
      <c r="E1037" s="11" t="s">
        <v>4040</v>
      </c>
      <c r="F1037" s="11" t="s">
        <v>24</v>
      </c>
      <c r="G1037" s="1">
        <v>46240</v>
      </c>
      <c r="H1037" s="1">
        <v>46265</v>
      </c>
      <c r="I1037" s="2"/>
      <c r="J1037" s="2"/>
      <c r="K1037" s="11"/>
      <c r="L1037" s="11" t="s">
        <v>4041</v>
      </c>
      <c r="M1037" s="1"/>
      <c r="N1037" s="11"/>
      <c r="O1037" s="11" t="s">
        <v>4042</v>
      </c>
      <c r="P1037" s="1"/>
      <c r="Q1037" s="1"/>
      <c r="R1037" s="11"/>
      <c r="S1037" s="2">
        <f>CONSOLIDADO_2026[[#This Row],[Hora final]]-CONSOLIDADO_2026[[#This Row],[Hora inic]]</f>
        <v>0</v>
      </c>
    </row>
    <row r="1038" spans="1:19" hidden="1" x14ac:dyDescent="0.25">
      <c r="A1038" t="s">
        <v>4185</v>
      </c>
      <c r="B1038">
        <v>42141273</v>
      </c>
      <c r="C1038" t="s">
        <v>271</v>
      </c>
      <c r="D1038" s="11" t="s">
        <v>272</v>
      </c>
      <c r="E1038" s="11" t="s">
        <v>4056</v>
      </c>
      <c r="F1038" s="11" t="s">
        <v>4065</v>
      </c>
      <c r="G1038" s="1">
        <v>46238</v>
      </c>
      <c r="H1038" s="1">
        <v>46295</v>
      </c>
      <c r="I1038" s="2"/>
      <c r="J1038" s="2"/>
      <c r="K1038" s="11"/>
      <c r="L1038" s="11" t="s">
        <v>341</v>
      </c>
      <c r="M1038" s="1"/>
      <c r="N1038" s="11"/>
      <c r="O1038" s="11" t="s">
        <v>4042</v>
      </c>
      <c r="P1038" s="1"/>
      <c r="Q1038" s="1"/>
      <c r="R1038" s="11"/>
      <c r="S1038" s="2">
        <f>CONSOLIDADO_2026[[#This Row],[Hora final]]-CONSOLIDADO_2026[[#This Row],[Hora inic]]</f>
        <v>0</v>
      </c>
    </row>
    <row r="1039" spans="1:19" hidden="1" x14ac:dyDescent="0.25">
      <c r="A1039" t="s">
        <v>4185</v>
      </c>
      <c r="B1039">
        <v>1005424850</v>
      </c>
      <c r="C1039" t="s">
        <v>95</v>
      </c>
      <c r="D1039" s="11" t="s">
        <v>82</v>
      </c>
      <c r="E1039" s="11" t="s">
        <v>4045</v>
      </c>
      <c r="F1039" s="11" t="s">
        <v>4062</v>
      </c>
      <c r="G1039" s="1">
        <v>46238</v>
      </c>
      <c r="H1039" s="1">
        <v>46262</v>
      </c>
      <c r="I1039" s="2"/>
      <c r="J1039" s="2"/>
      <c r="K1039" s="11"/>
      <c r="L1039" s="11" t="s">
        <v>4195</v>
      </c>
      <c r="M1039" s="1"/>
      <c r="N1039" s="11"/>
      <c r="O1039" s="11" t="s">
        <v>4042</v>
      </c>
      <c r="P1039" s="1"/>
      <c r="Q1039" s="1"/>
      <c r="R1039" s="11"/>
      <c r="S1039" s="2">
        <f>CONSOLIDADO_2026[[#This Row],[Hora final]]-CONSOLIDADO_2026[[#This Row],[Hora inic]]</f>
        <v>0</v>
      </c>
    </row>
    <row r="1040" spans="1:19" hidden="1" x14ac:dyDescent="0.25">
      <c r="A1040" t="s">
        <v>4185</v>
      </c>
      <c r="B1040">
        <v>1152221372</v>
      </c>
      <c r="C1040" t="s">
        <v>4072</v>
      </c>
      <c r="D1040" s="11" t="s">
        <v>139</v>
      </c>
      <c r="E1040" s="11" t="s">
        <v>4040</v>
      </c>
      <c r="F1040" s="11" t="s">
        <v>158</v>
      </c>
      <c r="G1040" s="1">
        <v>46230</v>
      </c>
      <c r="H1040" s="1">
        <v>46230</v>
      </c>
      <c r="I1040" s="2">
        <v>0.25</v>
      </c>
      <c r="J1040" s="2">
        <v>0.66666666666666663</v>
      </c>
      <c r="K1040" s="11" t="s">
        <v>181</v>
      </c>
      <c r="L1040" s="11" t="s">
        <v>182</v>
      </c>
      <c r="M1040" s="1"/>
      <c r="N1040" s="11"/>
      <c r="O1040" s="11" t="s">
        <v>21</v>
      </c>
      <c r="P1040" s="1"/>
      <c r="Q1040" s="1"/>
      <c r="R1040" s="11"/>
      <c r="S1040" s="2">
        <f>CONSOLIDADO_2026[[#This Row],[Hora final]]-CONSOLIDADO_2026[[#This Row],[Hora inic]]</f>
        <v>0.41666666666666663</v>
      </c>
    </row>
    <row r="1041" spans="1:19" hidden="1" x14ac:dyDescent="0.25">
      <c r="A1041" t="s">
        <v>4185</v>
      </c>
      <c r="B1041">
        <v>1017264032</v>
      </c>
      <c r="C1041" t="s">
        <v>88</v>
      </c>
      <c r="D1041" s="11" t="s">
        <v>55</v>
      </c>
      <c r="E1041" s="11" t="s">
        <v>4047</v>
      </c>
      <c r="F1041" s="11" t="s">
        <v>16</v>
      </c>
      <c r="G1041" s="1">
        <v>46229</v>
      </c>
      <c r="H1041" s="1">
        <v>46258</v>
      </c>
      <c r="I1041" s="2">
        <v>0.25</v>
      </c>
      <c r="J1041" s="2">
        <v>0.66666666666666663</v>
      </c>
      <c r="K1041" s="11" t="s">
        <v>85</v>
      </c>
      <c r="L1041" s="11" t="s">
        <v>86</v>
      </c>
      <c r="M1041" s="1"/>
      <c r="N1041" s="11"/>
      <c r="O1041" s="11" t="s">
        <v>21</v>
      </c>
      <c r="P1041" s="1"/>
      <c r="Q1041" s="1"/>
      <c r="R1041" s="11"/>
      <c r="S1041" s="2">
        <f>CONSOLIDADO_2026[[#This Row],[Hora final]]-CONSOLIDADO_2026[[#This Row],[Hora inic]]</f>
        <v>0.41666666666666663</v>
      </c>
    </row>
    <row r="1042" spans="1:19" hidden="1" x14ac:dyDescent="0.25">
      <c r="A1042" t="s">
        <v>4185</v>
      </c>
      <c r="B1042">
        <v>1037631989</v>
      </c>
      <c r="C1042" t="s">
        <v>27</v>
      </c>
      <c r="D1042" s="11" t="s">
        <v>28</v>
      </c>
      <c r="E1042" s="11" t="s">
        <v>4046</v>
      </c>
      <c r="F1042" s="11" t="s">
        <v>16</v>
      </c>
      <c r="G1042" s="1">
        <v>46226</v>
      </c>
      <c r="H1042" s="1">
        <v>46255</v>
      </c>
      <c r="I1042" s="2">
        <v>0.25</v>
      </c>
      <c r="J1042" s="2">
        <v>0.66666666666666663</v>
      </c>
      <c r="K1042" s="11" t="s">
        <v>199</v>
      </c>
      <c r="L1042" s="11" t="s">
        <v>200</v>
      </c>
      <c r="M1042" s="1"/>
      <c r="N1042" s="11"/>
      <c r="O1042" s="11" t="s">
        <v>21</v>
      </c>
      <c r="P1042" s="1"/>
      <c r="Q1042" s="1"/>
      <c r="R1042" s="11"/>
      <c r="S1042" s="2">
        <f>CONSOLIDADO_2026[[#This Row],[Hora final]]-CONSOLIDADO_2026[[#This Row],[Hora inic]]</f>
        <v>0.41666666666666663</v>
      </c>
    </row>
    <row r="1043" spans="1:19" hidden="1" x14ac:dyDescent="0.25">
      <c r="A1043" t="s">
        <v>4185</v>
      </c>
      <c r="B1043">
        <v>1143414481</v>
      </c>
      <c r="C1043" t="s">
        <v>2447</v>
      </c>
      <c r="D1043" s="11" t="s">
        <v>28</v>
      </c>
      <c r="E1043" s="11" t="s">
        <v>4046</v>
      </c>
      <c r="F1043" s="11" t="s">
        <v>4123</v>
      </c>
      <c r="G1043" s="1">
        <v>46247</v>
      </c>
      <c r="H1043" s="1">
        <v>46252</v>
      </c>
      <c r="I1043" s="2"/>
      <c r="J1043" s="2"/>
      <c r="K1043" s="11"/>
      <c r="L1043" s="11" t="s">
        <v>341</v>
      </c>
      <c r="M1043" s="1"/>
      <c r="N1043" s="11"/>
      <c r="O1043" s="11" t="s">
        <v>4042</v>
      </c>
      <c r="P1043" s="1"/>
      <c r="Q1043" s="1"/>
      <c r="R1043" s="11"/>
      <c r="S1043" s="2">
        <f>CONSOLIDADO_2026[[#This Row],[Hora final]]-CONSOLIDADO_2026[[#This Row],[Hora inic]]</f>
        <v>0</v>
      </c>
    </row>
    <row r="1044" spans="1:19" hidden="1" x14ac:dyDescent="0.25">
      <c r="A1044" t="s">
        <v>4185</v>
      </c>
      <c r="B1044">
        <v>1043006106</v>
      </c>
      <c r="C1044" t="s">
        <v>63</v>
      </c>
      <c r="D1044" s="11" t="s">
        <v>64</v>
      </c>
      <c r="E1044" s="11" t="s">
        <v>4046</v>
      </c>
      <c r="F1044" s="11" t="s">
        <v>16</v>
      </c>
      <c r="G1044" s="1">
        <v>46219</v>
      </c>
      <c r="H1044" s="1">
        <v>46248</v>
      </c>
      <c r="I1044" s="2">
        <v>0.25</v>
      </c>
      <c r="J1044" s="2">
        <v>0.66666666666666663</v>
      </c>
      <c r="K1044" s="11" t="s">
        <v>236</v>
      </c>
      <c r="L1044" s="11" t="s">
        <v>237</v>
      </c>
      <c r="M1044" s="1"/>
      <c r="N1044" s="11"/>
      <c r="O1044" s="11" t="s">
        <v>21</v>
      </c>
      <c r="P1044" s="1"/>
      <c r="Q1044" s="1"/>
      <c r="R1044" s="11"/>
      <c r="S1044" s="2">
        <f>CONSOLIDADO_2026[[#This Row],[Hora final]]-CONSOLIDADO_2026[[#This Row],[Hora inic]]</f>
        <v>0.41666666666666663</v>
      </c>
    </row>
    <row r="1045" spans="1:19" hidden="1" x14ac:dyDescent="0.25">
      <c r="A1045" t="s">
        <v>4185</v>
      </c>
      <c r="B1045">
        <v>1121506548</v>
      </c>
      <c r="C1045" t="s">
        <v>38</v>
      </c>
      <c r="D1045" s="11" t="s">
        <v>39</v>
      </c>
      <c r="E1045" s="11" t="s">
        <v>4046</v>
      </c>
      <c r="F1045" s="11" t="s">
        <v>36</v>
      </c>
      <c r="G1045" s="1">
        <v>46217</v>
      </c>
      <c r="H1045" s="1">
        <v>46342</v>
      </c>
      <c r="I1045" s="2"/>
      <c r="J1045" s="2"/>
      <c r="K1045" s="11"/>
      <c r="L1045" s="11" t="s">
        <v>4041</v>
      </c>
      <c r="M1045" s="1"/>
      <c r="N1045" s="11"/>
      <c r="O1045" s="11" t="s">
        <v>4042</v>
      </c>
      <c r="P1045" s="1"/>
      <c r="Q1045" s="1"/>
      <c r="R1045" s="11"/>
      <c r="S1045" s="2">
        <f>CONSOLIDADO_2026[[#This Row],[Hora final]]-CONSOLIDADO_2026[[#This Row],[Hora inic]]</f>
        <v>0</v>
      </c>
    </row>
    <row r="1046" spans="1:19" hidden="1" x14ac:dyDescent="0.25">
      <c r="A1046" t="s">
        <v>4185</v>
      </c>
      <c r="B1046">
        <v>1037630071</v>
      </c>
      <c r="C1046" t="s">
        <v>4196</v>
      </c>
      <c r="D1046" s="11" t="s">
        <v>176</v>
      </c>
      <c r="E1046" s="11" t="s">
        <v>4040</v>
      </c>
      <c r="F1046" s="11" t="s">
        <v>4062</v>
      </c>
      <c r="G1046" s="1">
        <v>46247</v>
      </c>
      <c r="H1046" s="1">
        <v>46265</v>
      </c>
      <c r="I1046" s="2">
        <v>0.25</v>
      </c>
      <c r="J1046" s="2">
        <v>0.66666666666666663</v>
      </c>
      <c r="K1046" s="11" t="s">
        <v>303</v>
      </c>
      <c r="L1046" s="11" t="s">
        <v>304</v>
      </c>
      <c r="M1046" s="1"/>
      <c r="N1046" s="11"/>
      <c r="O1046" s="11" t="s">
        <v>21</v>
      </c>
      <c r="P1046" s="1"/>
      <c r="Q1046" s="1"/>
      <c r="R1046" s="11"/>
      <c r="S1046" s="2">
        <f>CONSOLIDADO_2026[[#This Row],[Hora final]]-CONSOLIDADO_2026[[#This Row],[Hora inic]]</f>
        <v>0.41666666666666663</v>
      </c>
    </row>
    <row r="1047" spans="1:19" hidden="1" x14ac:dyDescent="0.25">
      <c r="A1047" t="s">
        <v>4185</v>
      </c>
      <c r="B1047">
        <v>1143460426</v>
      </c>
      <c r="C1047" t="s">
        <v>4069</v>
      </c>
      <c r="D1047" s="11" t="s">
        <v>64</v>
      </c>
      <c r="E1047" s="11" t="s">
        <v>4046</v>
      </c>
      <c r="F1047" s="11" t="s">
        <v>4050</v>
      </c>
      <c r="G1047" s="1">
        <v>46195</v>
      </c>
      <c r="H1047" s="1">
        <v>46198</v>
      </c>
      <c r="I1047" s="2"/>
      <c r="J1047" s="2"/>
      <c r="K1047" s="11"/>
      <c r="L1047" s="11" t="s">
        <v>341</v>
      </c>
      <c r="M1047" s="1"/>
      <c r="N1047" s="11"/>
      <c r="O1047" s="11" t="s">
        <v>4042</v>
      </c>
      <c r="P1047" s="1"/>
      <c r="Q1047" s="1"/>
      <c r="R1047" s="11"/>
      <c r="S1047" s="2">
        <f>CONSOLIDADO_2026[[#This Row],[Hora final]]-CONSOLIDADO_2026[[#This Row],[Hora inic]]</f>
        <v>0</v>
      </c>
    </row>
    <row r="1048" spans="1:19" hidden="1" x14ac:dyDescent="0.25">
      <c r="A1048" t="s">
        <v>4185</v>
      </c>
      <c r="B1048">
        <v>1001996913</v>
      </c>
      <c r="C1048" t="s">
        <v>3174</v>
      </c>
      <c r="D1048" s="11" t="s">
        <v>28</v>
      </c>
      <c r="E1048" s="11" t="s">
        <v>4046</v>
      </c>
      <c r="F1048" s="11" t="s">
        <v>4074</v>
      </c>
      <c r="G1048" s="1">
        <v>46248</v>
      </c>
      <c r="H1048" s="1">
        <v>46249</v>
      </c>
      <c r="I1048" s="2"/>
      <c r="J1048" s="2"/>
      <c r="K1048" s="11"/>
      <c r="L1048" s="11" t="s">
        <v>4083</v>
      </c>
      <c r="M1048" s="1"/>
      <c r="N1048" s="11"/>
      <c r="O1048" s="11" t="s">
        <v>4042</v>
      </c>
      <c r="P1048" s="1"/>
      <c r="Q1048" s="1"/>
      <c r="R1048" s="11"/>
      <c r="S1048" s="2">
        <f>CONSOLIDADO_2026[[#This Row],[Hora final]]-CONSOLIDADO_2026[[#This Row],[Hora inic]]</f>
        <v>0</v>
      </c>
    </row>
    <row r="1049" spans="1:19" hidden="1" x14ac:dyDescent="0.25">
      <c r="A1049" t="s">
        <v>4185</v>
      </c>
      <c r="B1049">
        <v>1036633827</v>
      </c>
      <c r="C1049" t="s">
        <v>1356</v>
      </c>
      <c r="D1049" s="11" t="s">
        <v>15</v>
      </c>
      <c r="E1049" s="11" t="s">
        <v>4046</v>
      </c>
      <c r="F1049" s="11" t="s">
        <v>16</v>
      </c>
      <c r="G1049" s="1">
        <v>46249</v>
      </c>
      <c r="H1049" s="1">
        <v>46249</v>
      </c>
      <c r="I1049" s="2">
        <v>0.25</v>
      </c>
      <c r="J1049" s="2">
        <v>0.66666666666666663</v>
      </c>
      <c r="K1049" s="11"/>
      <c r="L1049" s="11" t="s">
        <v>4060</v>
      </c>
      <c r="M1049" s="1"/>
      <c r="N1049" s="11"/>
      <c r="O1049" s="11" t="s">
        <v>4042</v>
      </c>
      <c r="P1049" s="1"/>
      <c r="Q1049" s="1"/>
      <c r="R1049" s="11"/>
      <c r="S1049" s="2">
        <f>CONSOLIDADO_2026[[#This Row],[Hora final]]-CONSOLIDADO_2026[[#This Row],[Hora inic]]</f>
        <v>0.41666666666666663</v>
      </c>
    </row>
    <row r="1050" spans="1:19" hidden="1" x14ac:dyDescent="0.25">
      <c r="A1050" t="s">
        <v>4185</v>
      </c>
      <c r="B1050">
        <v>1010108820</v>
      </c>
      <c r="C1050" t="s">
        <v>1213</v>
      </c>
      <c r="D1050" s="11" t="s">
        <v>421</v>
      </c>
      <c r="E1050" s="11" t="s">
        <v>4047</v>
      </c>
      <c r="F1050" s="11" t="s">
        <v>4074</v>
      </c>
      <c r="G1050" s="1">
        <v>46248</v>
      </c>
      <c r="H1050" s="1">
        <v>46249</v>
      </c>
      <c r="I1050" s="2">
        <v>0.25</v>
      </c>
      <c r="J1050" s="2">
        <v>0.66666666666666663</v>
      </c>
      <c r="K1050" s="11"/>
      <c r="L1050" s="11" t="s">
        <v>4060</v>
      </c>
      <c r="M1050" s="1"/>
      <c r="N1050" s="11"/>
      <c r="O1050" s="11" t="s">
        <v>4042</v>
      </c>
      <c r="P1050" s="1"/>
      <c r="Q1050" s="1"/>
      <c r="R1050" s="11"/>
      <c r="S1050" s="2">
        <f>CONSOLIDADO_2026[[#This Row],[Hora final]]-CONSOLIDADO_2026[[#This Row],[Hora inic]]</f>
        <v>0.41666666666666663</v>
      </c>
    </row>
    <row r="1051" spans="1:19" hidden="1" x14ac:dyDescent="0.25">
      <c r="A1051" t="s">
        <v>4185</v>
      </c>
      <c r="B1051">
        <v>1000662062</v>
      </c>
      <c r="C1051" t="s">
        <v>330</v>
      </c>
      <c r="D1051" s="11" t="s">
        <v>55</v>
      </c>
      <c r="E1051" s="11" t="s">
        <v>4047</v>
      </c>
      <c r="F1051" s="11" t="s">
        <v>16</v>
      </c>
      <c r="G1051" s="1">
        <v>46245</v>
      </c>
      <c r="H1051" s="1">
        <v>46249</v>
      </c>
      <c r="I1051" s="2">
        <v>0.25</v>
      </c>
      <c r="J1051" s="2">
        <v>0.66666666666666663</v>
      </c>
      <c r="K1051" s="11"/>
      <c r="L1051" s="11" t="s">
        <v>327</v>
      </c>
      <c r="M1051" s="1"/>
      <c r="N1051" s="11"/>
      <c r="O1051" s="11" t="s">
        <v>4042</v>
      </c>
      <c r="P1051" s="1"/>
      <c r="Q1051" s="1"/>
      <c r="R1051" s="11"/>
      <c r="S1051" s="2">
        <f>CONSOLIDADO_2026[[#This Row],[Hora final]]-CONSOLIDADO_2026[[#This Row],[Hora inic]]</f>
        <v>0.41666666666666663</v>
      </c>
    </row>
    <row r="1052" spans="1:19" hidden="1" x14ac:dyDescent="0.25">
      <c r="A1052" t="s">
        <v>4185</v>
      </c>
      <c r="B1052">
        <v>1018484929</v>
      </c>
      <c r="C1052" t="s">
        <v>2450</v>
      </c>
      <c r="D1052" s="11" t="s">
        <v>68</v>
      </c>
      <c r="E1052" s="11" t="s">
        <v>4040</v>
      </c>
      <c r="F1052" s="11" t="s">
        <v>16</v>
      </c>
      <c r="G1052" s="1">
        <v>46248</v>
      </c>
      <c r="H1052" s="1">
        <v>46248</v>
      </c>
      <c r="I1052" s="2"/>
      <c r="J1052" s="2"/>
      <c r="K1052" s="11"/>
      <c r="L1052" s="11" t="s">
        <v>4041</v>
      </c>
      <c r="M1052" s="1"/>
      <c r="N1052" s="11"/>
      <c r="O1052" s="11" t="s">
        <v>4042</v>
      </c>
      <c r="P1052" s="1"/>
      <c r="Q1052" s="1"/>
      <c r="R1052" s="11"/>
      <c r="S1052" s="2">
        <f>CONSOLIDADO_2026[[#This Row],[Hora final]]-CONSOLIDADO_2026[[#This Row],[Hora inic]]</f>
        <v>0</v>
      </c>
    </row>
    <row r="1053" spans="1:19" hidden="1" x14ac:dyDescent="0.25">
      <c r="A1053" t="s">
        <v>4185</v>
      </c>
      <c r="B1053">
        <v>1152462704</v>
      </c>
      <c r="C1053" t="s">
        <v>746</v>
      </c>
      <c r="D1053" s="11" t="s">
        <v>132</v>
      </c>
      <c r="E1053" s="11" t="s">
        <v>4040</v>
      </c>
      <c r="F1053" s="11" t="s">
        <v>16</v>
      </c>
      <c r="G1053" s="1">
        <v>46246</v>
      </c>
      <c r="H1053" s="1">
        <v>46248</v>
      </c>
      <c r="I1053" s="2"/>
      <c r="J1053" s="2"/>
      <c r="K1053" s="11"/>
      <c r="L1053" s="11" t="s">
        <v>4041</v>
      </c>
      <c r="M1053" s="1"/>
      <c r="N1053" s="11"/>
      <c r="O1053" s="11" t="s">
        <v>4042</v>
      </c>
      <c r="P1053" s="1"/>
      <c r="Q1053" s="1"/>
      <c r="R1053" s="11"/>
      <c r="S1053" s="2">
        <f>CONSOLIDADO_2026[[#This Row],[Hora final]]-CONSOLIDADO_2026[[#This Row],[Hora inic]]</f>
        <v>0</v>
      </c>
    </row>
    <row r="1054" spans="1:19" hidden="1" x14ac:dyDescent="0.25">
      <c r="A1054" t="s">
        <v>4185</v>
      </c>
      <c r="B1054">
        <v>1143397459</v>
      </c>
      <c r="C1054" t="s">
        <v>698</v>
      </c>
      <c r="D1054" s="11" t="s">
        <v>634</v>
      </c>
      <c r="E1054" s="11" t="s">
        <v>4045</v>
      </c>
      <c r="F1054" s="11" t="s">
        <v>16</v>
      </c>
      <c r="G1054" s="1">
        <v>46248</v>
      </c>
      <c r="H1054" s="1">
        <v>46249</v>
      </c>
      <c r="I1054" s="2">
        <v>0.25</v>
      </c>
      <c r="J1054" s="2">
        <v>0.66666666666666663</v>
      </c>
      <c r="K1054" s="11"/>
      <c r="L1054" s="11" t="s">
        <v>327</v>
      </c>
      <c r="M1054" s="1"/>
      <c r="N1054" s="11"/>
      <c r="O1054" s="11" t="s">
        <v>4042</v>
      </c>
      <c r="P1054" s="1"/>
      <c r="Q1054" s="1"/>
      <c r="R1054" s="11"/>
      <c r="S1054" s="2">
        <f>CONSOLIDADO_2026[[#This Row],[Hora final]]-CONSOLIDADO_2026[[#This Row],[Hora inic]]</f>
        <v>0.41666666666666663</v>
      </c>
    </row>
    <row r="1055" spans="1:19" hidden="1" x14ac:dyDescent="0.25">
      <c r="A1055" t="s">
        <v>4185</v>
      </c>
      <c r="B1055">
        <v>73189515</v>
      </c>
      <c r="C1055" t="s">
        <v>773</v>
      </c>
      <c r="D1055" s="11" t="s">
        <v>272</v>
      </c>
      <c r="E1055" s="11" t="s">
        <v>4056</v>
      </c>
      <c r="F1055" s="11" t="s">
        <v>4087</v>
      </c>
      <c r="G1055" s="1">
        <v>46248</v>
      </c>
      <c r="H1055" s="1">
        <v>46252</v>
      </c>
      <c r="I1055" s="2">
        <v>0.25</v>
      </c>
      <c r="J1055" s="2">
        <v>0.58333333333333337</v>
      </c>
      <c r="K1055" s="11" t="s">
        <v>560</v>
      </c>
      <c r="L1055" s="11" t="s">
        <v>561</v>
      </c>
      <c r="M1055" s="1"/>
      <c r="N1055" s="11"/>
      <c r="O1055" s="11" t="s">
        <v>21</v>
      </c>
      <c r="P1055" s="1"/>
      <c r="Q1055" s="1"/>
      <c r="R1055" s="11"/>
      <c r="S1055" s="2">
        <f>CONSOLIDADO_2026[[#This Row],[Hora final]]-CONSOLIDADO_2026[[#This Row],[Hora inic]]</f>
        <v>0.33333333333333337</v>
      </c>
    </row>
    <row r="1056" spans="1:19" hidden="1" x14ac:dyDescent="0.25">
      <c r="A1056" t="s">
        <v>4185</v>
      </c>
      <c r="B1056">
        <v>1000348983</v>
      </c>
      <c r="C1056" t="s">
        <v>235</v>
      </c>
      <c r="D1056" s="11" t="s">
        <v>162</v>
      </c>
      <c r="E1056" s="11" t="s">
        <v>4056</v>
      </c>
      <c r="F1056" s="11" t="s">
        <v>16</v>
      </c>
      <c r="G1056" s="1">
        <v>46247</v>
      </c>
      <c r="H1056" s="1"/>
      <c r="I1056" s="2">
        <v>0.29166666666666669</v>
      </c>
      <c r="J1056" s="2">
        <v>0.54166666666666663</v>
      </c>
      <c r="K1056" s="11"/>
      <c r="L1056" s="11" t="s">
        <v>4084</v>
      </c>
      <c r="M1056" s="1"/>
      <c r="N1056" s="11"/>
      <c r="O1056" s="11" t="s">
        <v>4042</v>
      </c>
      <c r="P1056" s="1"/>
      <c r="Q1056" s="1"/>
      <c r="R1056" s="11"/>
      <c r="S1056" s="2">
        <f>CONSOLIDADO_2026[[#This Row],[Hora final]]-CONSOLIDADO_2026[[#This Row],[Hora inic]]</f>
        <v>0.24999999999999994</v>
      </c>
    </row>
    <row r="1057" spans="1:19" hidden="1" x14ac:dyDescent="0.25">
      <c r="A1057" t="s">
        <v>4185</v>
      </c>
      <c r="B1057">
        <v>1067959066</v>
      </c>
      <c r="C1057" t="s">
        <v>3479</v>
      </c>
      <c r="D1057" s="11" t="s">
        <v>344</v>
      </c>
      <c r="E1057" s="11" t="s">
        <v>4056</v>
      </c>
      <c r="F1057" s="11" t="s">
        <v>16</v>
      </c>
      <c r="G1057" s="1">
        <v>46247</v>
      </c>
      <c r="H1057" s="1">
        <v>46248</v>
      </c>
      <c r="I1057" s="2">
        <v>0.25</v>
      </c>
      <c r="J1057" s="2">
        <v>0.58333333333333337</v>
      </c>
      <c r="K1057" s="11"/>
      <c r="L1057" s="11" t="s">
        <v>4041</v>
      </c>
      <c r="M1057" s="1"/>
      <c r="N1057" s="11"/>
      <c r="O1057" s="11" t="s">
        <v>4042</v>
      </c>
      <c r="P1057" s="1"/>
      <c r="Q1057" s="1"/>
      <c r="R1057" s="11"/>
      <c r="S1057" s="2">
        <f>CONSOLIDADO_2026[[#This Row],[Hora final]]-CONSOLIDADO_2026[[#This Row],[Hora inic]]</f>
        <v>0.33333333333333337</v>
      </c>
    </row>
    <row r="1058" spans="1:19" hidden="1" x14ac:dyDescent="0.25">
      <c r="A1058" t="s">
        <v>4185</v>
      </c>
      <c r="B1058">
        <v>92541180</v>
      </c>
      <c r="C1058" t="s">
        <v>2605</v>
      </c>
      <c r="D1058" s="11" t="s">
        <v>128</v>
      </c>
      <c r="E1058" s="11" t="s">
        <v>4045</v>
      </c>
      <c r="F1058" s="11" t="s">
        <v>4074</v>
      </c>
      <c r="G1058" s="1">
        <v>46247</v>
      </c>
      <c r="H1058" s="1"/>
      <c r="I1058" s="2">
        <v>0.25</v>
      </c>
      <c r="J1058" s="2">
        <v>0.66666666666666663</v>
      </c>
      <c r="K1058" s="11"/>
      <c r="L1058" s="11" t="s">
        <v>4060</v>
      </c>
      <c r="M1058" s="1"/>
      <c r="N1058" s="11"/>
      <c r="O1058" s="11" t="s">
        <v>4042</v>
      </c>
      <c r="P1058" s="1"/>
      <c r="Q1058" s="1"/>
      <c r="R1058" s="11"/>
      <c r="S1058" s="2">
        <f>CONSOLIDADO_2026[[#This Row],[Hora final]]-CONSOLIDADO_2026[[#This Row],[Hora inic]]</f>
        <v>0.41666666666666663</v>
      </c>
    </row>
    <row r="1059" spans="1:19" hidden="1" x14ac:dyDescent="0.25">
      <c r="A1059" t="s">
        <v>4185</v>
      </c>
      <c r="B1059">
        <v>43978621</v>
      </c>
      <c r="C1059" t="s">
        <v>1600</v>
      </c>
      <c r="D1059" s="11" t="s">
        <v>272</v>
      </c>
      <c r="E1059" s="11" t="s">
        <v>4056</v>
      </c>
      <c r="F1059" s="11" t="s">
        <v>4074</v>
      </c>
      <c r="G1059" s="1">
        <v>46248</v>
      </c>
      <c r="H1059" s="1"/>
      <c r="I1059" s="2">
        <v>0.25</v>
      </c>
      <c r="J1059" s="2">
        <v>0.58333333333333337</v>
      </c>
      <c r="K1059" s="11"/>
      <c r="L1059" s="11" t="s">
        <v>4162</v>
      </c>
      <c r="M1059" s="1"/>
      <c r="N1059" s="11"/>
      <c r="O1059" s="11" t="s">
        <v>21</v>
      </c>
      <c r="P1059" s="1"/>
      <c r="Q1059" s="1"/>
      <c r="R1059" s="11"/>
      <c r="S1059" s="2">
        <f>CONSOLIDADO_2026[[#This Row],[Hora final]]-CONSOLIDADO_2026[[#This Row],[Hora inic]]</f>
        <v>0.33333333333333337</v>
      </c>
    </row>
    <row r="1060" spans="1:19" hidden="1" x14ac:dyDescent="0.25">
      <c r="A1060" t="s">
        <v>4185</v>
      </c>
      <c r="B1060">
        <v>1001032700</v>
      </c>
      <c r="C1060" t="s">
        <v>340</v>
      </c>
      <c r="D1060" s="11" t="s">
        <v>421</v>
      </c>
      <c r="E1060" s="11" t="s">
        <v>4047</v>
      </c>
      <c r="F1060" s="11" t="s">
        <v>4104</v>
      </c>
      <c r="G1060" s="1">
        <v>46249</v>
      </c>
      <c r="H1060" s="1">
        <v>46249</v>
      </c>
      <c r="I1060" s="2">
        <v>0.25</v>
      </c>
      <c r="J1060" s="2">
        <v>0.58333333333333337</v>
      </c>
      <c r="K1060" s="11"/>
      <c r="L1060" s="11" t="s">
        <v>339</v>
      </c>
      <c r="M1060" s="1"/>
      <c r="N1060" s="11"/>
      <c r="O1060" s="11" t="s">
        <v>4042</v>
      </c>
      <c r="P1060" s="1"/>
      <c r="Q1060" s="1"/>
      <c r="R1060" s="11"/>
      <c r="S1060" s="2">
        <f>CONSOLIDADO_2026[[#This Row],[Hora final]]-CONSOLIDADO_2026[[#This Row],[Hora inic]]</f>
        <v>0.33333333333333337</v>
      </c>
    </row>
    <row r="1061" spans="1:19" hidden="1" x14ac:dyDescent="0.25">
      <c r="A1061" t="s">
        <v>4185</v>
      </c>
      <c r="B1061">
        <v>1143880690</v>
      </c>
      <c r="C1061" t="s">
        <v>307</v>
      </c>
      <c r="D1061" s="11" t="s">
        <v>421</v>
      </c>
      <c r="E1061" s="11" t="s">
        <v>4047</v>
      </c>
      <c r="F1061" s="11" t="s">
        <v>4104</v>
      </c>
      <c r="G1061" s="1">
        <v>46249</v>
      </c>
      <c r="H1061" s="1">
        <v>46249</v>
      </c>
      <c r="I1061" s="2">
        <v>0.25</v>
      </c>
      <c r="J1061" s="2">
        <v>0.58333333333333337</v>
      </c>
      <c r="K1061" s="11"/>
      <c r="L1061" s="11" t="s">
        <v>339</v>
      </c>
      <c r="M1061" s="1"/>
      <c r="N1061" s="11"/>
      <c r="O1061" s="11" t="s">
        <v>4042</v>
      </c>
      <c r="P1061" s="1"/>
      <c r="Q1061" s="1"/>
      <c r="R1061" s="11"/>
      <c r="S1061" s="2">
        <f>CONSOLIDADO_2026[[#This Row],[Hora final]]-CONSOLIDADO_2026[[#This Row],[Hora inic]]</f>
        <v>0.33333333333333337</v>
      </c>
    </row>
    <row r="1062" spans="1:19" hidden="1" x14ac:dyDescent="0.25">
      <c r="A1062" t="s">
        <v>4185</v>
      </c>
      <c r="B1062">
        <v>1193454765</v>
      </c>
      <c r="C1062" t="s">
        <v>1428</v>
      </c>
      <c r="D1062" s="11" t="s">
        <v>634</v>
      </c>
      <c r="E1062" s="11" t="s">
        <v>4040</v>
      </c>
      <c r="F1062" s="11" t="s">
        <v>4104</v>
      </c>
      <c r="G1062" s="1">
        <v>46249</v>
      </c>
      <c r="H1062" s="1">
        <v>46249</v>
      </c>
      <c r="I1062" s="2">
        <v>0.25</v>
      </c>
      <c r="J1062" s="2">
        <v>0.54166666666666663</v>
      </c>
      <c r="K1062" s="11"/>
      <c r="L1062" s="11" t="s">
        <v>4197</v>
      </c>
      <c r="M1062" s="1"/>
      <c r="N1062" s="11"/>
      <c r="O1062" s="11" t="s">
        <v>4042</v>
      </c>
      <c r="P1062" s="1"/>
      <c r="Q1062" s="1"/>
      <c r="R1062" s="11"/>
      <c r="S1062" s="2">
        <f>CONSOLIDADO_2026[[#This Row],[Hora final]]-CONSOLIDADO_2026[[#This Row],[Hora inic]]</f>
        <v>0.29166666666666663</v>
      </c>
    </row>
    <row r="1063" spans="1:19" hidden="1" x14ac:dyDescent="0.25">
      <c r="A1063" t="s">
        <v>4185</v>
      </c>
      <c r="B1063">
        <v>1065013348</v>
      </c>
      <c r="C1063" t="s">
        <v>252</v>
      </c>
      <c r="D1063" s="11" t="s">
        <v>634</v>
      </c>
      <c r="E1063" s="11" t="s">
        <v>4047</v>
      </c>
      <c r="F1063" s="11" t="s">
        <v>4104</v>
      </c>
      <c r="G1063" s="1">
        <v>46249</v>
      </c>
      <c r="H1063" s="1">
        <v>46249</v>
      </c>
      <c r="I1063" s="2">
        <v>0.25</v>
      </c>
      <c r="J1063" s="2">
        <v>0.54166666666666663</v>
      </c>
      <c r="K1063" s="11"/>
      <c r="L1063" s="11" t="s">
        <v>4198</v>
      </c>
      <c r="M1063" s="1"/>
      <c r="N1063" s="11"/>
      <c r="O1063" s="11" t="s">
        <v>4042</v>
      </c>
      <c r="P1063" s="1"/>
      <c r="Q1063" s="1"/>
      <c r="R1063" s="11"/>
      <c r="S1063" s="2">
        <f>CONSOLIDADO_2026[[#This Row],[Hora final]]-CONSOLIDADO_2026[[#This Row],[Hora inic]]</f>
        <v>0.29166666666666663</v>
      </c>
    </row>
    <row r="1064" spans="1:19" hidden="1" x14ac:dyDescent="0.25">
      <c r="A1064" t="s">
        <v>4185</v>
      </c>
      <c r="B1064">
        <v>1047363064</v>
      </c>
      <c r="C1064" t="s">
        <v>241</v>
      </c>
      <c r="D1064" s="11" t="s">
        <v>143</v>
      </c>
      <c r="E1064" s="11" t="s">
        <v>4045</v>
      </c>
      <c r="F1064" s="11" t="s">
        <v>4104</v>
      </c>
      <c r="G1064" s="1">
        <v>46249</v>
      </c>
      <c r="H1064" s="1">
        <v>46249</v>
      </c>
      <c r="I1064" s="2">
        <v>0.25</v>
      </c>
      <c r="J1064" s="2">
        <v>0.54166666666666663</v>
      </c>
      <c r="K1064" s="11"/>
      <c r="L1064" s="11" t="s">
        <v>4199</v>
      </c>
      <c r="M1064" s="1"/>
      <c r="N1064" s="11"/>
      <c r="O1064" s="11" t="s">
        <v>4042</v>
      </c>
      <c r="P1064" s="1"/>
      <c r="Q1064" s="1"/>
      <c r="R1064" s="11"/>
      <c r="S1064" s="2">
        <f>CONSOLIDADO_2026[[#This Row],[Hora final]]-CONSOLIDADO_2026[[#This Row],[Hora inic]]</f>
        <v>0.29166666666666663</v>
      </c>
    </row>
    <row r="1065" spans="1:19" hidden="1" x14ac:dyDescent="0.25">
      <c r="A1065" t="s">
        <v>4185</v>
      </c>
      <c r="B1065">
        <v>1017261828</v>
      </c>
      <c r="C1065" t="s">
        <v>210</v>
      </c>
      <c r="D1065" s="11" t="s">
        <v>28</v>
      </c>
      <c r="E1065" s="11" t="s">
        <v>4046</v>
      </c>
      <c r="F1065" s="11" t="s">
        <v>16</v>
      </c>
      <c r="G1065" s="1">
        <v>46248</v>
      </c>
      <c r="H1065" s="1">
        <v>46249</v>
      </c>
      <c r="I1065" s="2"/>
      <c r="J1065" s="2"/>
      <c r="K1065" s="11"/>
      <c r="L1065" s="11" t="s">
        <v>341</v>
      </c>
      <c r="M1065" s="1"/>
      <c r="N1065" s="11"/>
      <c r="O1065" s="11" t="s">
        <v>4042</v>
      </c>
      <c r="P1065" s="1"/>
      <c r="Q1065" s="1"/>
      <c r="R1065" s="11"/>
      <c r="S1065" s="2">
        <f>CONSOLIDADO_2026[[#This Row],[Hora final]]-CONSOLIDADO_2026[[#This Row],[Hora inic]]</f>
        <v>0</v>
      </c>
    </row>
    <row r="1066" spans="1:19" hidden="1" x14ac:dyDescent="0.25">
      <c r="A1066" t="s">
        <v>4185</v>
      </c>
      <c r="B1066">
        <v>1036132488</v>
      </c>
      <c r="C1066" t="s">
        <v>58</v>
      </c>
      <c r="D1066" s="11" t="s">
        <v>59</v>
      </c>
      <c r="E1066" s="11" t="s">
        <v>4047</v>
      </c>
      <c r="F1066" s="11" t="s">
        <v>4074</v>
      </c>
      <c r="G1066" s="1">
        <v>46248</v>
      </c>
      <c r="H1066" s="1">
        <v>46249</v>
      </c>
      <c r="I1066" s="2"/>
      <c r="J1066" s="2"/>
      <c r="K1066" s="11"/>
      <c r="L1066" s="11" t="s">
        <v>4083</v>
      </c>
      <c r="M1066" s="1"/>
      <c r="N1066" s="11"/>
      <c r="O1066" s="11" t="s">
        <v>4042</v>
      </c>
      <c r="P1066" s="1"/>
      <c r="Q1066" s="1"/>
      <c r="R1066" s="11"/>
      <c r="S1066" s="2">
        <f>CONSOLIDADO_2026[[#This Row],[Hora final]]-CONSOLIDADO_2026[[#This Row],[Hora inic]]</f>
        <v>0</v>
      </c>
    </row>
    <row r="1067" spans="1:19" hidden="1" x14ac:dyDescent="0.25">
      <c r="A1067" t="s">
        <v>4185</v>
      </c>
      <c r="B1067">
        <v>1143405766</v>
      </c>
      <c r="C1067" t="s">
        <v>822</v>
      </c>
      <c r="D1067" s="11" t="s">
        <v>124</v>
      </c>
      <c r="E1067" s="11" t="s">
        <v>4045</v>
      </c>
      <c r="F1067" s="11" t="s">
        <v>16</v>
      </c>
      <c r="G1067" s="1">
        <v>46249</v>
      </c>
      <c r="H1067" s="1">
        <v>46249</v>
      </c>
      <c r="I1067" s="2">
        <v>0.25</v>
      </c>
      <c r="J1067" s="2">
        <v>0.66666666666666663</v>
      </c>
      <c r="K1067" s="11"/>
      <c r="L1067" s="11" t="s">
        <v>327</v>
      </c>
      <c r="M1067" s="1"/>
      <c r="N1067" s="11"/>
      <c r="O1067" s="11" t="s">
        <v>4042</v>
      </c>
      <c r="P1067" s="1"/>
      <c r="Q1067" s="1"/>
      <c r="R1067" s="11"/>
      <c r="S1067" s="2">
        <f>CONSOLIDADO_2026[[#This Row],[Hora final]]-CONSOLIDADO_2026[[#This Row],[Hora inic]]</f>
        <v>0.41666666666666663</v>
      </c>
    </row>
    <row r="1068" spans="1:19" hidden="1" x14ac:dyDescent="0.25">
      <c r="A1068" t="s">
        <v>4185</v>
      </c>
      <c r="B1068">
        <v>1002155665</v>
      </c>
      <c r="C1068" t="s">
        <v>3791</v>
      </c>
      <c r="D1068" s="11" t="s">
        <v>64</v>
      </c>
      <c r="E1068" s="11" t="s">
        <v>4046</v>
      </c>
      <c r="F1068" s="11" t="s">
        <v>16</v>
      </c>
      <c r="G1068" s="1">
        <v>46249</v>
      </c>
      <c r="H1068" s="1">
        <v>46249</v>
      </c>
      <c r="I1068" s="2">
        <v>0.25</v>
      </c>
      <c r="J1068" s="2">
        <v>0.66666666666666663</v>
      </c>
      <c r="K1068" s="11"/>
      <c r="L1068" s="11" t="s">
        <v>327</v>
      </c>
      <c r="M1068" s="1"/>
      <c r="N1068" s="11"/>
      <c r="O1068" s="11" t="s">
        <v>4042</v>
      </c>
      <c r="P1068" s="1"/>
      <c r="Q1068" s="1"/>
      <c r="R1068" s="11"/>
      <c r="S1068" s="2">
        <f>CONSOLIDADO_2026[[#This Row],[Hora final]]-CONSOLIDADO_2026[[#This Row],[Hora inic]]</f>
        <v>0.41666666666666663</v>
      </c>
    </row>
    <row r="1069" spans="1:19" hidden="1" x14ac:dyDescent="0.25">
      <c r="A1069" t="s">
        <v>4185</v>
      </c>
      <c r="B1069">
        <v>1140891109</v>
      </c>
      <c r="C1069" t="s">
        <v>1287</v>
      </c>
      <c r="D1069" s="11" t="s">
        <v>51</v>
      </c>
      <c r="E1069" s="11" t="s">
        <v>4047</v>
      </c>
      <c r="F1069" s="11" t="s">
        <v>4074</v>
      </c>
      <c r="G1069" s="1">
        <v>46249</v>
      </c>
      <c r="H1069" s="1">
        <v>46249</v>
      </c>
      <c r="I1069" s="2">
        <v>0.25</v>
      </c>
      <c r="J1069" s="2">
        <v>0.66666666666666663</v>
      </c>
      <c r="K1069" s="11"/>
      <c r="L1069" s="11" t="s">
        <v>4060</v>
      </c>
      <c r="M1069" s="1"/>
      <c r="N1069" s="11"/>
      <c r="O1069" s="11" t="s">
        <v>4042</v>
      </c>
      <c r="P1069" s="1"/>
      <c r="Q1069" s="1"/>
      <c r="R1069" s="11"/>
      <c r="S1069" s="2">
        <f>CONSOLIDADO_2026[[#This Row],[Hora final]]-CONSOLIDADO_2026[[#This Row],[Hora inic]]</f>
        <v>0.41666666666666663</v>
      </c>
    </row>
    <row r="1070" spans="1:19" hidden="1" x14ac:dyDescent="0.25">
      <c r="A1070" t="s">
        <v>4185</v>
      </c>
      <c r="B1070">
        <v>1152467699</v>
      </c>
      <c r="C1070" t="s">
        <v>2793</v>
      </c>
      <c r="D1070" s="11" t="s">
        <v>139</v>
      </c>
      <c r="E1070" s="11" t="s">
        <v>4040</v>
      </c>
      <c r="F1070" s="11" t="s">
        <v>4074</v>
      </c>
      <c r="G1070" s="1">
        <v>46249</v>
      </c>
      <c r="H1070" s="1">
        <v>46249</v>
      </c>
      <c r="I1070" s="2">
        <v>0.25</v>
      </c>
      <c r="J1070" s="2">
        <v>0.66666666666666663</v>
      </c>
      <c r="K1070" s="11"/>
      <c r="L1070" s="11" t="s">
        <v>4060</v>
      </c>
      <c r="M1070" s="1"/>
      <c r="N1070" s="11"/>
      <c r="O1070" s="11" t="s">
        <v>4042</v>
      </c>
      <c r="P1070" s="1"/>
      <c r="Q1070" s="1"/>
      <c r="R1070" s="11"/>
      <c r="S1070" s="2">
        <f>CONSOLIDADO_2026[[#This Row],[Hora final]]-CONSOLIDADO_2026[[#This Row],[Hora inic]]</f>
        <v>0.41666666666666663</v>
      </c>
    </row>
    <row r="1071" spans="1:19" hidden="1" x14ac:dyDescent="0.25">
      <c r="A1071" t="s">
        <v>4185</v>
      </c>
      <c r="B1071">
        <v>1037642818</v>
      </c>
      <c r="C1071" t="s">
        <v>3692</v>
      </c>
      <c r="D1071" s="11" t="s">
        <v>28</v>
      </c>
      <c r="E1071" s="11" t="s">
        <v>4046</v>
      </c>
      <c r="F1071" s="11" t="s">
        <v>16</v>
      </c>
      <c r="G1071" s="1">
        <v>46248</v>
      </c>
      <c r="H1071" s="1">
        <v>46249</v>
      </c>
      <c r="I1071" s="2">
        <v>0.25</v>
      </c>
      <c r="J1071" s="2">
        <v>0.66666666666666663</v>
      </c>
      <c r="K1071" s="11"/>
      <c r="L1071" s="11" t="s">
        <v>4060</v>
      </c>
      <c r="M1071" s="1"/>
      <c r="N1071" s="11"/>
      <c r="O1071" s="11" t="s">
        <v>4042</v>
      </c>
      <c r="P1071" s="1"/>
      <c r="Q1071" s="1"/>
      <c r="R1071" s="11"/>
      <c r="S1071" s="2">
        <f>CONSOLIDADO_2026[[#This Row],[Hora final]]-CONSOLIDADO_2026[[#This Row],[Hora inic]]</f>
        <v>0.41666666666666663</v>
      </c>
    </row>
    <row r="1072" spans="1:19" hidden="1" x14ac:dyDescent="0.25">
      <c r="A1072" t="s">
        <v>4185</v>
      </c>
      <c r="B1072">
        <v>1000204850</v>
      </c>
      <c r="C1072" t="s">
        <v>1468</v>
      </c>
      <c r="D1072" s="11" t="s">
        <v>245</v>
      </c>
      <c r="E1072" s="11" t="s">
        <v>4040</v>
      </c>
      <c r="F1072" s="11" t="s">
        <v>4074</v>
      </c>
      <c r="G1072" s="1">
        <v>46249</v>
      </c>
      <c r="H1072" s="1">
        <v>46249</v>
      </c>
      <c r="I1072" s="2">
        <v>0.25</v>
      </c>
      <c r="J1072" s="2">
        <v>0.66666666666666663</v>
      </c>
      <c r="K1072" s="11"/>
      <c r="L1072" s="11" t="s">
        <v>4060</v>
      </c>
      <c r="M1072" s="1"/>
      <c r="N1072" s="11"/>
      <c r="O1072" s="11" t="s">
        <v>4042</v>
      </c>
      <c r="P1072" s="1"/>
      <c r="Q1072" s="1"/>
      <c r="R1072" s="11"/>
      <c r="S1072" s="2">
        <f>CONSOLIDADO_2026[[#This Row],[Hora final]]-CONSOLIDADO_2026[[#This Row],[Hora inic]]</f>
        <v>0.41666666666666663</v>
      </c>
    </row>
    <row r="1073" spans="1:19" hidden="1" x14ac:dyDescent="0.25">
      <c r="A1073" t="s">
        <v>4185</v>
      </c>
      <c r="B1073">
        <v>1043006106</v>
      </c>
      <c r="C1073" t="s">
        <v>202</v>
      </c>
      <c r="D1073" s="11" t="s">
        <v>64</v>
      </c>
      <c r="E1073" s="11" t="s">
        <v>4046</v>
      </c>
      <c r="F1073" s="11" t="s">
        <v>16</v>
      </c>
      <c r="G1073" s="1">
        <v>46248</v>
      </c>
      <c r="H1073" s="1">
        <v>46277</v>
      </c>
      <c r="I1073" s="2">
        <v>0.25</v>
      </c>
      <c r="J1073" s="2">
        <v>0.66666666666666663</v>
      </c>
      <c r="K1073" s="11"/>
      <c r="L1073" s="11" t="s">
        <v>327</v>
      </c>
      <c r="M1073" s="1"/>
      <c r="N1073" s="11"/>
      <c r="O1073" s="11" t="s">
        <v>4042</v>
      </c>
      <c r="P1073" s="1"/>
      <c r="Q1073" s="1"/>
      <c r="R1073" s="11"/>
      <c r="S1073" s="2">
        <f>CONSOLIDADO_2026[[#This Row],[Hora final]]-CONSOLIDADO_2026[[#This Row],[Hora inic]]</f>
        <v>0.41666666666666663</v>
      </c>
    </row>
    <row r="1074" spans="1:19" hidden="1" x14ac:dyDescent="0.25">
      <c r="A1074" t="s">
        <v>4185</v>
      </c>
      <c r="B1074">
        <v>1233343291</v>
      </c>
      <c r="C1074" t="s">
        <v>3974</v>
      </c>
      <c r="D1074" s="11" t="s">
        <v>143</v>
      </c>
      <c r="E1074" s="11" t="s">
        <v>4045</v>
      </c>
      <c r="F1074" s="11" t="s">
        <v>16</v>
      </c>
      <c r="G1074" s="1">
        <v>46249</v>
      </c>
      <c r="H1074" s="1">
        <v>46249</v>
      </c>
      <c r="I1074" s="2">
        <v>0.25</v>
      </c>
      <c r="J1074" s="2">
        <v>0.66666666666666663</v>
      </c>
      <c r="K1074" s="11"/>
      <c r="L1074" s="11" t="s">
        <v>4060</v>
      </c>
      <c r="M1074" s="1"/>
      <c r="N1074" s="11"/>
      <c r="O1074" s="11" t="s">
        <v>4042</v>
      </c>
      <c r="P1074" s="1"/>
      <c r="Q1074" s="1"/>
      <c r="R1074" s="11"/>
      <c r="S1074" s="2">
        <f>CONSOLIDADO_2026[[#This Row],[Hora final]]-CONSOLIDADO_2026[[#This Row],[Hora inic]]</f>
        <v>0.41666666666666663</v>
      </c>
    </row>
    <row r="1075" spans="1:19" hidden="1" x14ac:dyDescent="0.25">
      <c r="A1075" t="s">
        <v>4185</v>
      </c>
      <c r="B1075">
        <v>1003190674</v>
      </c>
      <c r="C1075" t="s">
        <v>1950</v>
      </c>
      <c r="D1075" s="11" t="s">
        <v>55</v>
      </c>
      <c r="E1075" s="11" t="s">
        <v>4047</v>
      </c>
      <c r="F1075" s="11" t="s">
        <v>16</v>
      </c>
      <c r="G1075" s="1">
        <v>46249</v>
      </c>
      <c r="H1075" s="1">
        <v>46249</v>
      </c>
      <c r="I1075" s="2"/>
      <c r="J1075" s="2"/>
      <c r="K1075" s="11"/>
      <c r="L1075" s="11" t="s">
        <v>327</v>
      </c>
      <c r="M1075" s="1"/>
      <c r="N1075" s="11"/>
      <c r="O1075" s="11" t="s">
        <v>4042</v>
      </c>
      <c r="P1075" s="1"/>
      <c r="Q1075" s="1"/>
      <c r="R1075" s="11"/>
      <c r="S1075" s="2">
        <f>CONSOLIDADO_2026[[#This Row],[Hora final]]-CONSOLIDADO_2026[[#This Row],[Hora inic]]</f>
        <v>0</v>
      </c>
    </row>
    <row r="1076" spans="1:19" hidden="1" x14ac:dyDescent="0.25">
      <c r="A1076" t="s">
        <v>4185</v>
      </c>
      <c r="B1076">
        <v>1036675646</v>
      </c>
      <c r="C1076" t="s">
        <v>957</v>
      </c>
      <c r="D1076" s="11" t="s">
        <v>272</v>
      </c>
      <c r="E1076" s="11" t="s">
        <v>4056</v>
      </c>
      <c r="F1076" s="11" t="s">
        <v>4074</v>
      </c>
      <c r="G1076" s="1">
        <v>46249</v>
      </c>
      <c r="H1076" s="1">
        <v>46249</v>
      </c>
      <c r="I1076" s="2">
        <v>0.25</v>
      </c>
      <c r="J1076" s="2">
        <v>0.58333333333333337</v>
      </c>
      <c r="K1076" s="11"/>
      <c r="L1076" s="11" t="s">
        <v>4060</v>
      </c>
      <c r="M1076" s="1"/>
      <c r="N1076" s="11"/>
      <c r="O1076" s="11" t="s">
        <v>4042</v>
      </c>
      <c r="P1076" s="1"/>
      <c r="Q1076" s="1"/>
      <c r="R1076" s="11"/>
      <c r="S1076" s="2">
        <f>CONSOLIDADO_2026[[#This Row],[Hora final]]-CONSOLIDADO_2026[[#This Row],[Hora inic]]</f>
        <v>0.33333333333333337</v>
      </c>
    </row>
    <row r="1077" spans="1:19" hidden="1" x14ac:dyDescent="0.25">
      <c r="A1077" t="s">
        <v>4185</v>
      </c>
      <c r="B1077">
        <v>1007959114</v>
      </c>
      <c r="C1077" t="s">
        <v>337</v>
      </c>
      <c r="D1077" s="11" t="s">
        <v>39</v>
      </c>
      <c r="E1077" s="11" t="s">
        <v>4046</v>
      </c>
      <c r="F1077" s="11" t="s">
        <v>4074</v>
      </c>
      <c r="G1077" s="1">
        <v>46249</v>
      </c>
      <c r="H1077" s="1">
        <v>46253</v>
      </c>
      <c r="I1077" s="2">
        <v>0.25</v>
      </c>
      <c r="J1077" s="2">
        <v>0.66666666666666663</v>
      </c>
      <c r="K1077" s="11"/>
      <c r="L1077" s="11" t="s">
        <v>4060</v>
      </c>
      <c r="M1077" s="1"/>
      <c r="N1077" s="11"/>
      <c r="O1077" s="11" t="s">
        <v>4042</v>
      </c>
      <c r="P1077" s="1"/>
      <c r="Q1077" s="1"/>
      <c r="R1077" s="11"/>
      <c r="S1077" s="2">
        <f>CONSOLIDADO_2026[[#This Row],[Hora final]]-CONSOLIDADO_2026[[#This Row],[Hora inic]]</f>
        <v>0.41666666666666663</v>
      </c>
    </row>
    <row r="1078" spans="1:19" hidden="1" x14ac:dyDescent="0.25">
      <c r="A1078" t="s">
        <v>4185</v>
      </c>
      <c r="B1078">
        <v>1152187746</v>
      </c>
      <c r="C1078" t="s">
        <v>4007</v>
      </c>
      <c r="D1078" s="11" t="s">
        <v>619</v>
      </c>
      <c r="E1078" s="11" t="s">
        <v>4045</v>
      </c>
      <c r="F1078" s="11" t="s">
        <v>4074</v>
      </c>
      <c r="G1078" s="1">
        <v>46249</v>
      </c>
      <c r="H1078" s="1"/>
      <c r="I1078" s="2">
        <v>0.25</v>
      </c>
      <c r="J1078" s="2">
        <v>0.66666666666666663</v>
      </c>
      <c r="K1078" s="11"/>
      <c r="L1078" s="11" t="s">
        <v>4060</v>
      </c>
      <c r="M1078" s="1"/>
      <c r="N1078" s="11"/>
      <c r="O1078" s="11" t="s">
        <v>4042</v>
      </c>
      <c r="P1078" s="1"/>
      <c r="Q1078" s="1"/>
      <c r="R1078" s="11"/>
      <c r="S1078" s="2">
        <f>CONSOLIDADO_2026[[#This Row],[Hora final]]-CONSOLIDADO_2026[[#This Row],[Hora inic]]</f>
        <v>0.41666666666666663</v>
      </c>
    </row>
    <row r="1079" spans="1:19" hidden="1" x14ac:dyDescent="0.25">
      <c r="A1079" t="s">
        <v>4185</v>
      </c>
      <c r="B1079">
        <v>1152215751</v>
      </c>
      <c r="C1079" t="s">
        <v>2668</v>
      </c>
      <c r="D1079" s="11" t="s">
        <v>162</v>
      </c>
      <c r="E1079" s="11" t="s">
        <v>4056</v>
      </c>
      <c r="F1079" s="11" t="s">
        <v>4074</v>
      </c>
      <c r="G1079" s="1">
        <v>46249</v>
      </c>
      <c r="H1079" s="1">
        <v>46249</v>
      </c>
      <c r="I1079" s="2">
        <v>0.25</v>
      </c>
      <c r="J1079" s="2">
        <v>0.58333333333333337</v>
      </c>
      <c r="K1079" s="11"/>
      <c r="L1079" s="11" t="s">
        <v>4060</v>
      </c>
      <c r="M1079" s="1"/>
      <c r="N1079" s="11"/>
      <c r="O1079" s="11" t="s">
        <v>4042</v>
      </c>
      <c r="P1079" s="1"/>
      <c r="Q1079" s="1"/>
      <c r="R1079" s="11"/>
      <c r="S1079" s="2">
        <f>CONSOLIDADO_2026[[#This Row],[Hora final]]-CONSOLIDADO_2026[[#This Row],[Hora inic]]</f>
        <v>0.33333333333333337</v>
      </c>
    </row>
    <row r="1080" spans="1:19" hidden="1" x14ac:dyDescent="0.25">
      <c r="A1080" t="s">
        <v>4185</v>
      </c>
      <c r="B1080">
        <v>1000395784</v>
      </c>
      <c r="C1080" t="s">
        <v>963</v>
      </c>
      <c r="D1080" s="11" t="s">
        <v>272</v>
      </c>
      <c r="E1080" s="11" t="s">
        <v>4056</v>
      </c>
      <c r="F1080" s="11" t="s">
        <v>4074</v>
      </c>
      <c r="G1080" s="1">
        <v>46249</v>
      </c>
      <c r="H1080" s="1">
        <v>46249</v>
      </c>
      <c r="I1080" s="2">
        <v>0.25</v>
      </c>
      <c r="J1080" s="2">
        <v>0.58333333333333337</v>
      </c>
      <c r="K1080" s="11"/>
      <c r="L1080" s="11" t="s">
        <v>4060</v>
      </c>
      <c r="M1080" s="1"/>
      <c r="N1080" s="11"/>
      <c r="O1080" s="11" t="s">
        <v>4042</v>
      </c>
      <c r="P1080" s="1"/>
      <c r="Q1080" s="1"/>
      <c r="R1080" s="11"/>
      <c r="S1080" s="2">
        <f>CONSOLIDADO_2026[[#This Row],[Hora final]]-CONSOLIDADO_2026[[#This Row],[Hora inic]]</f>
        <v>0.33333333333333337</v>
      </c>
    </row>
    <row r="1081" spans="1:19" hidden="1" x14ac:dyDescent="0.25">
      <c r="A1081" t="s">
        <v>4185</v>
      </c>
      <c r="B1081">
        <v>1001014608</v>
      </c>
      <c r="C1081" t="s">
        <v>573</v>
      </c>
      <c r="D1081" s="11" t="s">
        <v>55</v>
      </c>
      <c r="E1081" s="11" t="s">
        <v>4040</v>
      </c>
      <c r="F1081" s="11" t="s">
        <v>4074</v>
      </c>
      <c r="G1081" s="1">
        <v>46249</v>
      </c>
      <c r="H1081" s="1">
        <v>46249</v>
      </c>
      <c r="I1081" s="2"/>
      <c r="J1081" s="2"/>
      <c r="K1081" s="11"/>
      <c r="L1081" s="11" t="s">
        <v>4083</v>
      </c>
      <c r="M1081" s="1"/>
      <c r="N1081" s="11"/>
      <c r="O1081" s="11" t="s">
        <v>4042</v>
      </c>
      <c r="P1081" s="1"/>
      <c r="Q1081" s="1"/>
      <c r="R1081" s="11"/>
      <c r="S1081" s="2">
        <f>CONSOLIDADO_2026[[#This Row],[Hora final]]-CONSOLIDADO_2026[[#This Row],[Hora inic]]</f>
        <v>0</v>
      </c>
    </row>
    <row r="1082" spans="1:19" hidden="1" x14ac:dyDescent="0.25">
      <c r="A1082" t="s">
        <v>4185</v>
      </c>
      <c r="B1082">
        <v>1041149354</v>
      </c>
      <c r="C1082" t="s">
        <v>2319</v>
      </c>
      <c r="D1082" s="11" t="s">
        <v>55</v>
      </c>
      <c r="E1082" s="11" t="s">
        <v>4040</v>
      </c>
      <c r="F1082" s="11" t="s">
        <v>16</v>
      </c>
      <c r="G1082" s="1">
        <v>46249</v>
      </c>
      <c r="H1082" s="1">
        <v>46249</v>
      </c>
      <c r="I1082" s="2">
        <v>0.25</v>
      </c>
      <c r="J1082" s="2">
        <v>0.66666666666666663</v>
      </c>
      <c r="K1082" s="11"/>
      <c r="L1082" s="11" t="s">
        <v>4060</v>
      </c>
      <c r="M1082" s="1"/>
      <c r="N1082" s="11"/>
      <c r="O1082" s="11" t="s">
        <v>4042</v>
      </c>
      <c r="P1082" s="1"/>
      <c r="Q1082" s="1"/>
      <c r="R1082" s="11"/>
      <c r="S1082" s="2">
        <f>CONSOLIDADO_2026[[#This Row],[Hora final]]-CONSOLIDADO_2026[[#This Row],[Hora inic]]</f>
        <v>0.41666666666666663</v>
      </c>
    </row>
    <row r="1083" spans="1:19" hidden="1" x14ac:dyDescent="0.25">
      <c r="A1083" t="s">
        <v>4185</v>
      </c>
      <c r="B1083">
        <v>1152709914</v>
      </c>
      <c r="C1083" t="s">
        <v>3437</v>
      </c>
      <c r="D1083" s="11" t="s">
        <v>139</v>
      </c>
      <c r="E1083" s="11" t="s">
        <v>4040</v>
      </c>
      <c r="F1083" s="11" t="s">
        <v>4074</v>
      </c>
      <c r="G1083" s="1">
        <v>46249</v>
      </c>
      <c r="H1083" s="1">
        <v>46249</v>
      </c>
      <c r="I1083" s="2">
        <v>0.25</v>
      </c>
      <c r="J1083" s="2">
        <v>0.625</v>
      </c>
      <c r="K1083" s="11"/>
      <c r="L1083" s="11" t="s">
        <v>4060</v>
      </c>
      <c r="M1083" s="1"/>
      <c r="N1083" s="11"/>
      <c r="O1083" s="11" t="s">
        <v>4042</v>
      </c>
      <c r="P1083" s="1"/>
      <c r="Q1083" s="1"/>
      <c r="R1083" s="11"/>
      <c r="S1083" s="2">
        <f>CONSOLIDADO_2026[[#This Row],[Hora final]]-CONSOLIDADO_2026[[#This Row],[Hora inic]]</f>
        <v>0.375</v>
      </c>
    </row>
    <row r="1084" spans="1:19" hidden="1" x14ac:dyDescent="0.25">
      <c r="A1084" t="s">
        <v>4185</v>
      </c>
      <c r="B1084">
        <v>1152467699</v>
      </c>
      <c r="C1084" t="s">
        <v>2793</v>
      </c>
      <c r="D1084" s="11" t="s">
        <v>139</v>
      </c>
      <c r="E1084" s="11" t="s">
        <v>4040</v>
      </c>
      <c r="F1084" s="11" t="s">
        <v>4074</v>
      </c>
      <c r="G1084" s="1">
        <v>46249</v>
      </c>
      <c r="H1084" s="1">
        <v>46249</v>
      </c>
      <c r="I1084" s="2">
        <v>0.25</v>
      </c>
      <c r="J1084" s="2">
        <v>0.66666666666666663</v>
      </c>
      <c r="K1084" s="11"/>
      <c r="L1084" s="11" t="s">
        <v>4060</v>
      </c>
      <c r="M1084" s="1"/>
      <c r="N1084" s="11"/>
      <c r="O1084" s="11" t="s">
        <v>4042</v>
      </c>
      <c r="P1084" s="1"/>
      <c r="Q1084" s="1"/>
      <c r="R1084" s="11"/>
      <c r="S1084" s="2">
        <f>CONSOLIDADO_2026[[#This Row],[Hora final]]-CONSOLIDADO_2026[[#This Row],[Hora inic]]</f>
        <v>0.41666666666666663</v>
      </c>
    </row>
    <row r="1085" spans="1:19" hidden="1" x14ac:dyDescent="0.25">
      <c r="A1085" t="s">
        <v>4185</v>
      </c>
      <c r="B1085">
        <v>1000049316</v>
      </c>
      <c r="C1085" t="s">
        <v>623</v>
      </c>
      <c r="D1085" s="11" t="s">
        <v>492</v>
      </c>
      <c r="E1085" s="11" t="s">
        <v>4045</v>
      </c>
      <c r="F1085" s="11" t="s">
        <v>4074</v>
      </c>
      <c r="G1085" s="1">
        <v>46249</v>
      </c>
      <c r="H1085" s="1">
        <v>46249</v>
      </c>
      <c r="I1085" s="2">
        <v>0.25</v>
      </c>
      <c r="J1085" s="2">
        <v>0.66666666666666663</v>
      </c>
      <c r="K1085" s="11"/>
      <c r="L1085" s="11" t="s">
        <v>4060</v>
      </c>
      <c r="M1085" s="1"/>
      <c r="N1085" s="11"/>
      <c r="O1085" s="11" t="s">
        <v>4042</v>
      </c>
      <c r="P1085" s="1"/>
      <c r="Q1085" s="1"/>
      <c r="R1085" s="11"/>
      <c r="S1085" s="2">
        <f>CONSOLIDADO_2026[[#This Row],[Hora final]]-CONSOLIDADO_2026[[#This Row],[Hora inic]]</f>
        <v>0.41666666666666663</v>
      </c>
    </row>
    <row r="1086" spans="1:19" hidden="1" x14ac:dyDescent="0.25">
      <c r="A1086" t="s">
        <v>4185</v>
      </c>
      <c r="B1086">
        <v>1000204850</v>
      </c>
      <c r="C1086" t="s">
        <v>1468</v>
      </c>
      <c r="D1086" s="11" t="s">
        <v>245</v>
      </c>
      <c r="E1086" s="11" t="s">
        <v>4040</v>
      </c>
      <c r="F1086" s="11" t="s">
        <v>16</v>
      </c>
      <c r="G1086" s="1">
        <v>46249</v>
      </c>
      <c r="H1086" s="1">
        <v>46249</v>
      </c>
      <c r="I1086" s="2"/>
      <c r="J1086" s="2"/>
      <c r="K1086" s="11"/>
      <c r="L1086" s="11" t="s">
        <v>4041</v>
      </c>
      <c r="M1086" s="1"/>
      <c r="N1086" s="11"/>
      <c r="O1086" s="11" t="s">
        <v>4042</v>
      </c>
      <c r="P1086" s="1"/>
      <c r="Q1086" s="1"/>
      <c r="R1086" s="11"/>
      <c r="S1086" s="2">
        <f>CONSOLIDADO_2026[[#This Row],[Hora final]]-CONSOLIDADO_2026[[#This Row],[Hora inic]]</f>
        <v>0</v>
      </c>
    </row>
    <row r="1087" spans="1:19" hidden="1" x14ac:dyDescent="0.25">
      <c r="A1087" t="s">
        <v>4185</v>
      </c>
      <c r="B1087">
        <v>43978621</v>
      </c>
      <c r="C1087" t="s">
        <v>1600</v>
      </c>
      <c r="D1087" s="11" t="s">
        <v>272</v>
      </c>
      <c r="E1087" s="11" t="s">
        <v>4056</v>
      </c>
      <c r="F1087" s="11" t="s">
        <v>16</v>
      </c>
      <c r="G1087" s="1">
        <v>46249</v>
      </c>
      <c r="H1087" s="1">
        <v>46249</v>
      </c>
      <c r="I1087" s="2"/>
      <c r="J1087" s="2"/>
      <c r="K1087" s="11"/>
      <c r="L1087" s="11" t="s">
        <v>4041</v>
      </c>
      <c r="M1087" s="1"/>
      <c r="N1087" s="11"/>
      <c r="O1087" s="11" t="s">
        <v>4042</v>
      </c>
      <c r="P1087" s="1"/>
      <c r="Q1087" s="1"/>
      <c r="R1087" s="11"/>
      <c r="S1087" s="2">
        <f>CONSOLIDADO_2026[[#This Row],[Hora final]]-CONSOLIDADO_2026[[#This Row],[Hora inic]]</f>
        <v>0</v>
      </c>
    </row>
    <row r="1088" spans="1:19" hidden="1" x14ac:dyDescent="0.25">
      <c r="A1088" t="s">
        <v>4185</v>
      </c>
      <c r="B1088">
        <v>1037659560</v>
      </c>
      <c r="C1088" t="s">
        <v>4200</v>
      </c>
      <c r="D1088" s="11" t="s">
        <v>28</v>
      </c>
      <c r="E1088" s="11" t="s">
        <v>4046</v>
      </c>
      <c r="F1088" s="11" t="s">
        <v>16</v>
      </c>
      <c r="G1088" s="1">
        <v>46249</v>
      </c>
      <c r="H1088" s="1">
        <v>46249</v>
      </c>
      <c r="I1088" s="2"/>
      <c r="J1088" s="2"/>
      <c r="K1088" s="11"/>
      <c r="L1088" s="11" t="s">
        <v>327</v>
      </c>
      <c r="M1088" s="1"/>
      <c r="N1088" s="11"/>
      <c r="O1088" s="11" t="s">
        <v>4042</v>
      </c>
      <c r="P1088" s="1"/>
      <c r="Q1088" s="1"/>
      <c r="R1088" s="11"/>
      <c r="S1088" s="2">
        <f>CONSOLIDADO_2026[[#This Row],[Hora final]]-CONSOLIDADO_2026[[#This Row],[Hora inic]]</f>
        <v>0</v>
      </c>
    </row>
    <row r="1089" spans="1:19" hidden="1" x14ac:dyDescent="0.25">
      <c r="A1089" t="s">
        <v>4201</v>
      </c>
      <c r="B1089">
        <v>1001944593</v>
      </c>
      <c r="C1089" t="s">
        <v>2629</v>
      </c>
      <c r="D1089" s="11" t="s">
        <v>128</v>
      </c>
      <c r="E1089" s="11" t="s">
        <v>4045</v>
      </c>
      <c r="F1089" s="11" t="s">
        <v>4074</v>
      </c>
      <c r="G1089" s="1">
        <v>46252</v>
      </c>
      <c r="H1089" s="1">
        <v>46252</v>
      </c>
      <c r="I1089" s="2">
        <v>0.25</v>
      </c>
      <c r="J1089" s="2">
        <v>0.54166666666666663</v>
      </c>
      <c r="K1089" s="11"/>
      <c r="L1089" s="11" t="s">
        <v>4060</v>
      </c>
      <c r="M1089" s="1"/>
      <c r="N1089" s="11"/>
      <c r="O1089" s="11" t="s">
        <v>4042</v>
      </c>
      <c r="P1089" s="1"/>
      <c r="Q1089" s="1"/>
      <c r="R1089" s="11"/>
      <c r="S1089" s="2">
        <f>CONSOLIDADO_2026[[#This Row],[Hora final]]-CONSOLIDADO_2026[[#This Row],[Hora inic]]</f>
        <v>0.29166666666666663</v>
      </c>
    </row>
    <row r="1090" spans="1:19" hidden="1" x14ac:dyDescent="0.25">
      <c r="A1090" t="s">
        <v>4201</v>
      </c>
      <c r="B1090">
        <v>1214714989</v>
      </c>
      <c r="C1090" t="s">
        <v>2191</v>
      </c>
      <c r="D1090" s="11" t="s">
        <v>256</v>
      </c>
      <c r="E1090" s="11" t="s">
        <v>4040</v>
      </c>
      <c r="F1090" s="11" t="s">
        <v>16</v>
      </c>
      <c r="G1090" s="1">
        <v>46252</v>
      </c>
      <c r="H1090" s="1">
        <v>46253</v>
      </c>
      <c r="I1090" s="2">
        <v>0.25</v>
      </c>
      <c r="J1090" s="2">
        <v>0.58333333333333337</v>
      </c>
      <c r="K1090" s="11"/>
      <c r="L1090" s="11" t="s">
        <v>327</v>
      </c>
      <c r="M1090" s="1"/>
      <c r="N1090" s="11"/>
      <c r="O1090" s="11" t="s">
        <v>4042</v>
      </c>
      <c r="P1090" s="1"/>
      <c r="Q1090" s="1"/>
      <c r="R1090" s="11"/>
      <c r="S1090" s="2">
        <f>CONSOLIDADO_2026[[#This Row],[Hora final]]-CONSOLIDADO_2026[[#This Row],[Hora inic]]</f>
        <v>0.33333333333333337</v>
      </c>
    </row>
    <row r="1091" spans="1:19" hidden="1" x14ac:dyDescent="0.25">
      <c r="A1091" t="s">
        <v>4201</v>
      </c>
      <c r="B1091">
        <v>1143267842</v>
      </c>
      <c r="C1091" t="s">
        <v>1501</v>
      </c>
      <c r="D1091" s="11" t="s">
        <v>128</v>
      </c>
      <c r="E1091" s="11" t="s">
        <v>4045</v>
      </c>
      <c r="F1091" s="11" t="s">
        <v>16</v>
      </c>
      <c r="G1091" s="1">
        <v>46252</v>
      </c>
      <c r="H1091" s="1">
        <v>46253</v>
      </c>
      <c r="I1091" s="2">
        <v>0.58333333333333337</v>
      </c>
      <c r="J1091" s="2">
        <v>0.875</v>
      </c>
      <c r="K1091" s="11" t="s">
        <v>103</v>
      </c>
      <c r="L1091" s="11" t="s">
        <v>104</v>
      </c>
      <c r="M1091" s="1"/>
      <c r="N1091" s="11"/>
      <c r="O1091" s="11" t="s">
        <v>21</v>
      </c>
      <c r="P1091" s="1"/>
      <c r="Q1091" s="1"/>
      <c r="R1091" s="11"/>
      <c r="S1091" s="2">
        <f>CONSOLIDADO_2026[[#This Row],[Hora final]]-CONSOLIDADO_2026[[#This Row],[Hora inic]]</f>
        <v>0.29166666666666663</v>
      </c>
    </row>
    <row r="1092" spans="1:19" hidden="1" x14ac:dyDescent="0.25">
      <c r="A1092" t="s">
        <v>4201</v>
      </c>
      <c r="B1092">
        <v>1152467583</v>
      </c>
      <c r="C1092" t="s">
        <v>3788</v>
      </c>
      <c r="D1092" s="11" t="s">
        <v>68</v>
      </c>
      <c r="E1092" s="11" t="s">
        <v>4040</v>
      </c>
      <c r="F1092" s="11" t="s">
        <v>16</v>
      </c>
      <c r="G1092" s="1">
        <v>46252</v>
      </c>
      <c r="H1092" s="1">
        <v>46253</v>
      </c>
      <c r="I1092" s="2">
        <v>0.25</v>
      </c>
      <c r="J1092" s="2">
        <v>0.58333333333333337</v>
      </c>
      <c r="K1092" s="11" t="s">
        <v>240</v>
      </c>
      <c r="L1092" s="11" t="s">
        <v>241</v>
      </c>
      <c r="M1092" s="1"/>
      <c r="N1092" s="11"/>
      <c r="O1092" s="11" t="s">
        <v>21</v>
      </c>
      <c r="P1092" s="1"/>
      <c r="Q1092" s="1"/>
      <c r="R1092" s="11"/>
      <c r="S1092" s="2">
        <f>CONSOLIDADO_2026[[#This Row],[Hora final]]-CONSOLIDADO_2026[[#This Row],[Hora inic]]</f>
        <v>0.33333333333333337</v>
      </c>
    </row>
    <row r="1093" spans="1:19" hidden="1" x14ac:dyDescent="0.25">
      <c r="A1093" t="s">
        <v>4201</v>
      </c>
      <c r="B1093">
        <v>88030132</v>
      </c>
      <c r="C1093" t="s">
        <v>1956</v>
      </c>
      <c r="D1093" s="11" t="s">
        <v>59</v>
      </c>
      <c r="E1093" s="11" t="s">
        <v>4047</v>
      </c>
      <c r="F1093" s="11" t="s">
        <v>16</v>
      </c>
      <c r="G1093" s="1">
        <v>46252</v>
      </c>
      <c r="H1093" s="1">
        <v>46253</v>
      </c>
      <c r="I1093" s="2">
        <v>0.25</v>
      </c>
      <c r="J1093" s="2">
        <v>0.54166666666666663</v>
      </c>
      <c r="K1093" s="11"/>
      <c r="L1093" s="11" t="s">
        <v>327</v>
      </c>
      <c r="M1093" s="1"/>
      <c r="N1093" s="11"/>
      <c r="O1093" s="11" t="s">
        <v>4042</v>
      </c>
      <c r="P1093" s="1"/>
      <c r="Q1093" s="1"/>
      <c r="R1093" s="11"/>
      <c r="S1093" s="2">
        <f>CONSOLIDADO_2026[[#This Row],[Hora final]]-CONSOLIDADO_2026[[#This Row],[Hora inic]]</f>
        <v>0.29166666666666663</v>
      </c>
    </row>
    <row r="1094" spans="1:19" hidden="1" x14ac:dyDescent="0.25">
      <c r="A1094" t="s">
        <v>4201</v>
      </c>
      <c r="B1094">
        <v>1001996913</v>
      </c>
      <c r="C1094" t="s">
        <v>3174</v>
      </c>
      <c r="D1094" s="11" t="s">
        <v>28</v>
      </c>
      <c r="E1094" s="11" t="s">
        <v>4046</v>
      </c>
      <c r="F1094" s="11" t="s">
        <v>16</v>
      </c>
      <c r="G1094" s="1">
        <v>46252</v>
      </c>
      <c r="H1094" s="1">
        <v>46254</v>
      </c>
      <c r="I1094" s="2">
        <v>0.25</v>
      </c>
      <c r="J1094" s="2">
        <v>0.54166666666666663</v>
      </c>
      <c r="K1094" s="11"/>
      <c r="L1094" s="11" t="s">
        <v>4060</v>
      </c>
      <c r="M1094" s="1"/>
      <c r="N1094" s="11"/>
      <c r="O1094" s="11" t="s">
        <v>4042</v>
      </c>
      <c r="P1094" s="1"/>
      <c r="Q1094" s="1"/>
      <c r="R1094" s="11"/>
      <c r="S1094" s="2">
        <f>CONSOLIDADO_2026[[#This Row],[Hora final]]-CONSOLIDADO_2026[[#This Row],[Hora inic]]</f>
        <v>0.29166666666666663</v>
      </c>
    </row>
    <row r="1095" spans="1:19" hidden="1" x14ac:dyDescent="0.25">
      <c r="A1095" t="s">
        <v>4201</v>
      </c>
      <c r="B1095">
        <v>1193037165</v>
      </c>
      <c r="C1095" t="s">
        <v>3800</v>
      </c>
      <c r="D1095" s="11" t="s">
        <v>78</v>
      </c>
      <c r="E1095" s="11" t="s">
        <v>4046</v>
      </c>
      <c r="F1095" s="11" t="s">
        <v>16</v>
      </c>
      <c r="G1095" s="1">
        <v>46252</v>
      </c>
      <c r="H1095" s="1">
        <v>46253</v>
      </c>
      <c r="I1095" s="2">
        <v>0.54166666666666663</v>
      </c>
      <c r="J1095" s="2">
        <v>0.875</v>
      </c>
      <c r="K1095" s="11"/>
      <c r="L1095" s="11" t="s">
        <v>327</v>
      </c>
      <c r="M1095" s="1"/>
      <c r="N1095" s="11"/>
      <c r="O1095" s="11" t="s">
        <v>4042</v>
      </c>
      <c r="P1095" s="1"/>
      <c r="Q1095" s="1"/>
      <c r="R1095" s="11"/>
      <c r="S1095" s="2">
        <f>CONSOLIDADO_2026[[#This Row],[Hora final]]-CONSOLIDADO_2026[[#This Row],[Hora inic]]</f>
        <v>0.33333333333333337</v>
      </c>
    </row>
    <row r="1096" spans="1:19" hidden="1" x14ac:dyDescent="0.25">
      <c r="A1096" t="s">
        <v>4201</v>
      </c>
      <c r="B1096">
        <v>1083048590</v>
      </c>
      <c r="C1096" t="s">
        <v>2487</v>
      </c>
      <c r="D1096" s="11" t="s">
        <v>28</v>
      </c>
      <c r="E1096" s="11" t="s">
        <v>4046</v>
      </c>
      <c r="F1096" s="11" t="s">
        <v>16</v>
      </c>
      <c r="G1096" s="1">
        <v>46252</v>
      </c>
      <c r="H1096" s="1">
        <v>46252</v>
      </c>
      <c r="I1096" s="2">
        <v>0.25</v>
      </c>
      <c r="J1096" s="2">
        <v>0.54166666666666663</v>
      </c>
      <c r="K1096" s="11"/>
      <c r="L1096" s="11" t="s">
        <v>4041</v>
      </c>
      <c r="M1096" s="1"/>
      <c r="N1096" s="11"/>
      <c r="O1096" s="11" t="s">
        <v>4042</v>
      </c>
      <c r="P1096" s="1"/>
      <c r="Q1096" s="1"/>
      <c r="R1096" s="11"/>
      <c r="S1096" s="2">
        <f>CONSOLIDADO_2026[[#This Row],[Hora final]]-CONSOLIDADO_2026[[#This Row],[Hora inic]]</f>
        <v>0.29166666666666663</v>
      </c>
    </row>
    <row r="1097" spans="1:19" hidden="1" x14ac:dyDescent="0.25">
      <c r="A1097" t="s">
        <v>4201</v>
      </c>
      <c r="B1097">
        <v>1152187746</v>
      </c>
      <c r="C1097" t="s">
        <v>4007</v>
      </c>
      <c r="D1097" s="11" t="s">
        <v>619</v>
      </c>
      <c r="E1097" s="11" t="s">
        <v>4045</v>
      </c>
      <c r="F1097" s="11" t="s">
        <v>16</v>
      </c>
      <c r="G1097" s="1">
        <v>46252</v>
      </c>
      <c r="H1097" s="1">
        <v>46252</v>
      </c>
      <c r="I1097" s="2"/>
      <c r="J1097" s="2"/>
      <c r="K1097" s="11"/>
      <c r="L1097" s="11" t="s">
        <v>4041</v>
      </c>
      <c r="M1097" s="1"/>
      <c r="N1097" s="11"/>
      <c r="O1097" s="11" t="s">
        <v>4042</v>
      </c>
      <c r="P1097" s="1"/>
      <c r="Q1097" s="1"/>
      <c r="R1097" s="11"/>
      <c r="S1097" s="2">
        <f>CONSOLIDADO_2026[[#This Row],[Hora final]]-CONSOLIDADO_2026[[#This Row],[Hora inic]]</f>
        <v>0</v>
      </c>
    </row>
    <row r="1098" spans="1:19" hidden="1" x14ac:dyDescent="0.25">
      <c r="A1098" t="s">
        <v>4201</v>
      </c>
      <c r="B1098">
        <v>43453341</v>
      </c>
      <c r="C1098" t="s">
        <v>146</v>
      </c>
      <c r="D1098" s="11" t="s">
        <v>124</v>
      </c>
      <c r="E1098" s="11" t="s">
        <v>4045</v>
      </c>
      <c r="F1098" s="11" t="s">
        <v>16</v>
      </c>
      <c r="G1098" s="1">
        <v>46252</v>
      </c>
      <c r="H1098" s="1">
        <v>46253</v>
      </c>
      <c r="I1098" s="2">
        <v>0.25</v>
      </c>
      <c r="J1098" s="2">
        <v>0.54166666666666663</v>
      </c>
      <c r="K1098" s="11" t="s">
        <v>150</v>
      </c>
      <c r="L1098" s="11" t="s">
        <v>151</v>
      </c>
      <c r="M1098" s="1"/>
      <c r="N1098" s="11"/>
      <c r="O1098" s="11" t="s">
        <v>21</v>
      </c>
      <c r="P1098" s="1"/>
      <c r="Q1098" s="1"/>
      <c r="R1098" s="11"/>
      <c r="S1098" s="2">
        <f>CONSOLIDADO_2026[[#This Row],[Hora final]]-CONSOLIDADO_2026[[#This Row],[Hora inic]]</f>
        <v>0.29166666666666663</v>
      </c>
    </row>
    <row r="1099" spans="1:19" hidden="1" x14ac:dyDescent="0.25">
      <c r="A1099" t="s">
        <v>4201</v>
      </c>
      <c r="B1099">
        <v>1045718883</v>
      </c>
      <c r="C1099" t="s">
        <v>34</v>
      </c>
      <c r="D1099" s="11" t="s">
        <v>15</v>
      </c>
      <c r="E1099" s="11" t="s">
        <v>4046</v>
      </c>
      <c r="F1099" s="11" t="s">
        <v>36</v>
      </c>
      <c r="G1099" s="1">
        <v>46244</v>
      </c>
      <c r="H1099" s="1">
        <v>46393</v>
      </c>
      <c r="I1099" s="2">
        <v>0.25</v>
      </c>
      <c r="J1099" s="2">
        <v>0.54166666666666663</v>
      </c>
      <c r="K1099" s="11" t="s">
        <v>294</v>
      </c>
      <c r="L1099" s="11" t="s">
        <v>295</v>
      </c>
      <c r="M1099" s="1"/>
      <c r="N1099" s="11"/>
      <c r="O1099" s="11" t="s">
        <v>21</v>
      </c>
      <c r="P1099" s="1"/>
      <c r="Q1099" s="1"/>
      <c r="R1099" s="11"/>
      <c r="S1099" s="2">
        <f>CONSOLIDADO_2026[[#This Row],[Hora final]]-CONSOLIDADO_2026[[#This Row],[Hora inic]]</f>
        <v>0.29166666666666663</v>
      </c>
    </row>
    <row r="1100" spans="1:19" hidden="1" x14ac:dyDescent="0.25">
      <c r="A1100" t="s">
        <v>4201</v>
      </c>
      <c r="B1100">
        <v>1007959114</v>
      </c>
      <c r="C1100" t="s">
        <v>337</v>
      </c>
      <c r="D1100" s="11" t="s">
        <v>39</v>
      </c>
      <c r="E1100" s="11" t="s">
        <v>4046</v>
      </c>
      <c r="F1100" s="11" t="s">
        <v>16</v>
      </c>
      <c r="G1100" s="1">
        <v>46249</v>
      </c>
      <c r="H1100" s="1">
        <v>46253</v>
      </c>
      <c r="I1100" s="2">
        <v>0.25</v>
      </c>
      <c r="J1100" s="2">
        <v>0.58333333333333337</v>
      </c>
      <c r="K1100" s="11"/>
      <c r="L1100" s="11" t="s">
        <v>327</v>
      </c>
      <c r="M1100" s="1"/>
      <c r="N1100" s="11"/>
      <c r="O1100" s="11" t="s">
        <v>4042</v>
      </c>
      <c r="P1100" s="1"/>
      <c r="Q1100" s="1"/>
      <c r="R1100" s="11"/>
      <c r="S1100" s="2">
        <f>CONSOLIDADO_2026[[#This Row],[Hora final]]-CONSOLIDADO_2026[[#This Row],[Hora inic]]</f>
        <v>0.33333333333333337</v>
      </c>
    </row>
    <row r="1101" spans="1:19" hidden="1" x14ac:dyDescent="0.25">
      <c r="A1101" t="s">
        <v>4201</v>
      </c>
      <c r="B1101">
        <v>1043006106</v>
      </c>
      <c r="C1101" t="s">
        <v>202</v>
      </c>
      <c r="D1101" s="11" t="s">
        <v>64</v>
      </c>
      <c r="E1101" s="11" t="s">
        <v>4046</v>
      </c>
      <c r="F1101" s="11" t="s">
        <v>16</v>
      </c>
      <c r="G1101" s="1">
        <v>46249</v>
      </c>
      <c r="H1101" s="1">
        <v>46278</v>
      </c>
      <c r="I1101" s="2">
        <v>0.25</v>
      </c>
      <c r="J1101" s="2">
        <v>0.58333333333333337</v>
      </c>
      <c r="K1101" s="11" t="s">
        <v>222</v>
      </c>
      <c r="L1101" s="11" t="s">
        <v>223</v>
      </c>
      <c r="M1101" s="1"/>
      <c r="N1101" s="11"/>
      <c r="O1101" s="11" t="s">
        <v>21</v>
      </c>
      <c r="P1101" s="1"/>
      <c r="Q1101" s="1"/>
      <c r="R1101" s="11"/>
      <c r="S1101" s="2">
        <f>CONSOLIDADO_2026[[#This Row],[Hora final]]-CONSOLIDADO_2026[[#This Row],[Hora inic]]</f>
        <v>0.33333333333333337</v>
      </c>
    </row>
    <row r="1102" spans="1:19" hidden="1" x14ac:dyDescent="0.25">
      <c r="A1102" t="s">
        <v>4201</v>
      </c>
      <c r="B1102">
        <v>1040755197</v>
      </c>
      <c r="C1102" t="s">
        <v>171</v>
      </c>
      <c r="D1102" s="11" t="s">
        <v>172</v>
      </c>
      <c r="E1102" s="11" t="s">
        <v>4046</v>
      </c>
      <c r="F1102" s="11" t="s">
        <v>16</v>
      </c>
      <c r="G1102" s="1">
        <v>46252</v>
      </c>
      <c r="H1102" s="1">
        <v>46262</v>
      </c>
      <c r="I1102" s="2">
        <v>0.54166666666666663</v>
      </c>
      <c r="J1102" s="2">
        <v>0.875</v>
      </c>
      <c r="K1102" s="11" t="s">
        <v>199</v>
      </c>
      <c r="L1102" s="11" t="s">
        <v>200</v>
      </c>
      <c r="M1102" s="1"/>
      <c r="N1102" s="11"/>
      <c r="O1102" s="11" t="s">
        <v>21</v>
      </c>
      <c r="P1102" s="1"/>
      <c r="Q1102" s="1"/>
      <c r="R1102" s="11"/>
      <c r="S1102" s="2">
        <f>CONSOLIDADO_2026[[#This Row],[Hora final]]-CONSOLIDADO_2026[[#This Row],[Hora inic]]</f>
        <v>0.33333333333333337</v>
      </c>
    </row>
    <row r="1103" spans="1:19" hidden="1" x14ac:dyDescent="0.25">
      <c r="A1103" t="s">
        <v>4201</v>
      </c>
      <c r="B1103">
        <v>1140891109</v>
      </c>
      <c r="C1103" t="s">
        <v>1287</v>
      </c>
      <c r="D1103" s="11" t="s">
        <v>51</v>
      </c>
      <c r="E1103" s="11" t="s">
        <v>4047</v>
      </c>
      <c r="F1103" s="11" t="s">
        <v>16</v>
      </c>
      <c r="G1103" s="1">
        <v>46249</v>
      </c>
      <c r="H1103" s="1">
        <v>46249</v>
      </c>
      <c r="I1103" s="2"/>
      <c r="J1103" s="2"/>
      <c r="K1103" s="11"/>
      <c r="L1103" s="11" t="s">
        <v>4041</v>
      </c>
      <c r="M1103" s="1"/>
      <c r="N1103" s="11"/>
      <c r="O1103" s="11" t="s">
        <v>4042</v>
      </c>
      <c r="P1103" s="1"/>
      <c r="Q1103" s="1"/>
      <c r="R1103" s="11"/>
      <c r="S1103" s="2">
        <f>CONSOLIDADO_2026[[#This Row],[Hora final]]-CONSOLIDADO_2026[[#This Row],[Hora inic]]</f>
        <v>0</v>
      </c>
    </row>
    <row r="1104" spans="1:19" hidden="1" x14ac:dyDescent="0.25">
      <c r="A1104" t="s">
        <v>4201</v>
      </c>
      <c r="B1104">
        <v>1102808787</v>
      </c>
      <c r="C1104" t="s">
        <v>135</v>
      </c>
      <c r="D1104" s="11" t="s">
        <v>39</v>
      </c>
      <c r="E1104" s="11" t="s">
        <v>4046</v>
      </c>
      <c r="F1104" s="11" t="s">
        <v>16</v>
      </c>
      <c r="G1104" s="1">
        <v>46237</v>
      </c>
      <c r="H1104" s="1">
        <v>46276</v>
      </c>
      <c r="I1104" s="2">
        <v>0.25</v>
      </c>
      <c r="J1104" s="2">
        <v>0.58333333333333337</v>
      </c>
      <c r="K1104" s="11"/>
      <c r="L1104" s="11" t="s">
        <v>327</v>
      </c>
      <c r="M1104" s="1"/>
      <c r="N1104" s="11"/>
      <c r="O1104" s="11" t="s">
        <v>4042</v>
      </c>
      <c r="P1104" s="1"/>
      <c r="Q1104" s="1"/>
      <c r="R1104" s="11"/>
      <c r="S1104" s="2">
        <f>CONSOLIDADO_2026[[#This Row],[Hora final]]-CONSOLIDADO_2026[[#This Row],[Hora inic]]</f>
        <v>0.33333333333333337</v>
      </c>
    </row>
    <row r="1105" spans="1:19" hidden="1" x14ac:dyDescent="0.25">
      <c r="A1105" t="s">
        <v>4201</v>
      </c>
      <c r="B1105">
        <v>1001479648</v>
      </c>
      <c r="C1105" t="s">
        <v>2970</v>
      </c>
      <c r="D1105" s="11" t="s">
        <v>414</v>
      </c>
      <c r="E1105" s="11" t="s">
        <v>4056</v>
      </c>
      <c r="F1105" s="11" t="s">
        <v>4140</v>
      </c>
      <c r="G1105" s="1">
        <v>46253</v>
      </c>
      <c r="H1105" s="1">
        <v>46253</v>
      </c>
      <c r="I1105" s="2">
        <v>0.45833333333333331</v>
      </c>
      <c r="J1105" s="2">
        <v>0.79166666666666663</v>
      </c>
      <c r="K1105" s="11" t="s">
        <v>184</v>
      </c>
      <c r="L1105" s="11" t="s">
        <v>185</v>
      </c>
      <c r="M1105" s="1"/>
      <c r="N1105" s="11"/>
      <c r="O1105" s="11" t="s">
        <v>4042</v>
      </c>
      <c r="P1105" s="1"/>
      <c r="Q1105" s="1"/>
      <c r="R1105" s="11"/>
      <c r="S1105" s="2">
        <f>CONSOLIDADO_2026[[#This Row],[Hora final]]-CONSOLIDADO_2026[[#This Row],[Hora inic]]</f>
        <v>0.33333333333333331</v>
      </c>
    </row>
    <row r="1106" spans="1:19" hidden="1" x14ac:dyDescent="0.25">
      <c r="A1106" t="s">
        <v>4201</v>
      </c>
      <c r="B1106">
        <v>1035876080</v>
      </c>
      <c r="C1106" t="s">
        <v>123</v>
      </c>
      <c r="D1106" s="11" t="s">
        <v>124</v>
      </c>
      <c r="E1106" s="11" t="s">
        <v>4045</v>
      </c>
      <c r="F1106" s="11" t="s">
        <v>16</v>
      </c>
      <c r="G1106" s="1">
        <v>46246</v>
      </c>
      <c r="H1106" s="1">
        <v>46254</v>
      </c>
      <c r="I1106" s="2">
        <v>0.25</v>
      </c>
      <c r="J1106" s="2">
        <v>0.54166666666666663</v>
      </c>
      <c r="K1106" s="11" t="s">
        <v>303</v>
      </c>
      <c r="L1106" s="11" t="s">
        <v>304</v>
      </c>
      <c r="M1106" s="1"/>
      <c r="N1106" s="11"/>
      <c r="O1106" s="11" t="s">
        <v>21</v>
      </c>
      <c r="P1106" s="1"/>
      <c r="Q1106" s="1"/>
      <c r="R1106" s="11"/>
      <c r="S1106" s="2">
        <f>CONSOLIDADO_2026[[#This Row],[Hora final]]-CONSOLIDADO_2026[[#This Row],[Hora inic]]</f>
        <v>0.29166666666666663</v>
      </c>
    </row>
    <row r="1107" spans="1:19" hidden="1" x14ac:dyDescent="0.25">
      <c r="A1107" t="s">
        <v>4201</v>
      </c>
      <c r="B1107">
        <v>1037638426</v>
      </c>
      <c r="C1107" t="s">
        <v>31</v>
      </c>
      <c r="D1107" s="11" t="s">
        <v>28</v>
      </c>
      <c r="E1107" s="11" t="s">
        <v>4046</v>
      </c>
      <c r="F1107" s="11" t="s">
        <v>24</v>
      </c>
      <c r="G1107" s="1">
        <v>46249</v>
      </c>
      <c r="H1107" s="1">
        <v>46264</v>
      </c>
      <c r="I1107" s="2">
        <v>0.54166666666666663</v>
      </c>
      <c r="J1107" s="2">
        <v>0.875</v>
      </c>
      <c r="K1107" s="11" t="s">
        <v>17</v>
      </c>
      <c r="L1107" s="11" t="s">
        <v>18</v>
      </c>
      <c r="M1107" s="1"/>
      <c r="N1107" s="11"/>
      <c r="O1107" s="11" t="s">
        <v>21</v>
      </c>
      <c r="P1107" s="1"/>
      <c r="Q1107" s="1"/>
      <c r="R1107" s="11"/>
      <c r="S1107" s="2">
        <f>CONSOLIDADO_2026[[#This Row],[Hora final]]-CONSOLIDADO_2026[[#This Row],[Hora inic]]</f>
        <v>0.33333333333333337</v>
      </c>
    </row>
    <row r="1108" spans="1:19" hidden="1" x14ac:dyDescent="0.25">
      <c r="A1108" t="s">
        <v>4201</v>
      </c>
      <c r="B1108">
        <v>1082896324</v>
      </c>
      <c r="C1108" t="s">
        <v>127</v>
      </c>
      <c r="D1108" s="11" t="s">
        <v>128</v>
      </c>
      <c r="E1108" s="11" t="s">
        <v>4045</v>
      </c>
      <c r="F1108" s="11" t="s">
        <v>16</v>
      </c>
      <c r="G1108" s="1">
        <v>46242</v>
      </c>
      <c r="H1108" s="1">
        <v>46272</v>
      </c>
      <c r="I1108" s="2">
        <v>0.25</v>
      </c>
      <c r="J1108" s="2">
        <v>0.58333333333333337</v>
      </c>
      <c r="K1108" s="11" t="s">
        <v>167</v>
      </c>
      <c r="L1108" s="11" t="s">
        <v>168</v>
      </c>
      <c r="M1108" s="1"/>
      <c r="N1108" s="11"/>
      <c r="O1108" s="11" t="s">
        <v>21</v>
      </c>
      <c r="P1108" s="1"/>
      <c r="Q1108" s="1"/>
      <c r="R1108" s="11"/>
      <c r="S1108" s="2">
        <f>CONSOLIDADO_2026[[#This Row],[Hora final]]-CONSOLIDADO_2026[[#This Row],[Hora inic]]</f>
        <v>0.33333333333333337</v>
      </c>
    </row>
    <row r="1109" spans="1:19" hidden="1" x14ac:dyDescent="0.25">
      <c r="A1109" t="s">
        <v>4201</v>
      </c>
      <c r="B1109">
        <v>1017270214</v>
      </c>
      <c r="C1109" t="s">
        <v>1016</v>
      </c>
      <c r="D1109" s="11" t="s">
        <v>139</v>
      </c>
      <c r="E1109" s="11" t="s">
        <v>4040</v>
      </c>
      <c r="F1109" s="11" t="s">
        <v>326</v>
      </c>
      <c r="G1109" s="1">
        <v>46253</v>
      </c>
      <c r="H1109" s="1">
        <v>46255</v>
      </c>
      <c r="I1109" s="2">
        <v>0.25</v>
      </c>
      <c r="J1109" s="2">
        <v>0.54166666666666663</v>
      </c>
      <c r="K1109" s="11" t="s">
        <v>85</v>
      </c>
      <c r="L1109" s="11" t="s">
        <v>86</v>
      </c>
      <c r="M1109" s="1"/>
      <c r="N1109" s="11"/>
      <c r="O1109" s="11" t="s">
        <v>21</v>
      </c>
      <c r="P1109" s="1"/>
      <c r="Q1109" s="1"/>
      <c r="R1109" s="11"/>
      <c r="S1109" s="2">
        <f>CONSOLIDADO_2026[[#This Row],[Hora final]]-CONSOLIDADO_2026[[#This Row],[Hora inic]]</f>
        <v>0.29166666666666663</v>
      </c>
    </row>
    <row r="1110" spans="1:19" hidden="1" x14ac:dyDescent="0.25">
      <c r="A1110" t="s">
        <v>4201</v>
      </c>
      <c r="B1110">
        <v>1015483595</v>
      </c>
      <c r="C1110" t="s">
        <v>23</v>
      </c>
      <c r="D1110" s="11" t="s">
        <v>15</v>
      </c>
      <c r="E1110" s="11" t="s">
        <v>4046</v>
      </c>
      <c r="F1110" s="11" t="s">
        <v>24</v>
      </c>
      <c r="G1110" s="1">
        <v>46244</v>
      </c>
      <c r="H1110" s="1">
        <v>46265</v>
      </c>
      <c r="I1110" s="2">
        <v>0.25</v>
      </c>
      <c r="J1110" s="2">
        <v>0.58333333333333337</v>
      </c>
      <c r="K1110" s="11" t="s">
        <v>300</v>
      </c>
      <c r="L1110" s="11" t="s">
        <v>301</v>
      </c>
      <c r="M1110" s="1"/>
      <c r="N1110" s="11"/>
      <c r="O1110" s="11" t="s">
        <v>21</v>
      </c>
      <c r="P1110" s="1"/>
      <c r="Q1110" s="1"/>
      <c r="R1110" s="11"/>
      <c r="S1110" s="2">
        <f>CONSOLIDADO_2026[[#This Row],[Hora final]]-CONSOLIDADO_2026[[#This Row],[Hora inic]]</f>
        <v>0.33333333333333337</v>
      </c>
    </row>
    <row r="1111" spans="1:19" hidden="1" x14ac:dyDescent="0.25">
      <c r="A1111" t="s">
        <v>4201</v>
      </c>
      <c r="B1111">
        <v>1235045754</v>
      </c>
      <c r="C1111" t="s">
        <v>2420</v>
      </c>
      <c r="D1111" s="11" t="s">
        <v>421</v>
      </c>
      <c r="E1111" s="11" t="s">
        <v>4047</v>
      </c>
      <c r="F1111" s="11" t="s">
        <v>4140</v>
      </c>
      <c r="G1111" s="1">
        <v>46253</v>
      </c>
      <c r="H1111" s="1">
        <v>46253</v>
      </c>
      <c r="I1111" s="2">
        <v>0.25</v>
      </c>
      <c r="J1111" s="2">
        <v>0.54166666666666663</v>
      </c>
      <c r="K1111" s="11" t="s">
        <v>196</v>
      </c>
      <c r="L1111" s="11" t="s">
        <v>197</v>
      </c>
      <c r="M1111" s="1"/>
      <c r="N1111" s="11"/>
      <c r="O1111" s="11" t="s">
        <v>4042</v>
      </c>
      <c r="P1111" s="1"/>
      <c r="Q1111" s="1"/>
      <c r="R1111" s="11"/>
      <c r="S1111" s="2">
        <f>CONSOLIDADO_2026[[#This Row],[Hora final]]-CONSOLIDADO_2026[[#This Row],[Hora inic]]</f>
        <v>0.29166666666666663</v>
      </c>
    </row>
    <row r="1112" spans="1:19" hidden="1" x14ac:dyDescent="0.25">
      <c r="A1112" t="s">
        <v>4201</v>
      </c>
      <c r="B1112">
        <v>1001851670</v>
      </c>
      <c r="C1112" t="s">
        <v>50</v>
      </c>
      <c r="D1112" s="11" t="s">
        <v>51</v>
      </c>
      <c r="E1112" s="11" t="s">
        <v>4047</v>
      </c>
      <c r="F1112" s="11" t="s">
        <v>36</v>
      </c>
      <c r="G1112" s="1">
        <v>46241</v>
      </c>
      <c r="H1112" s="1">
        <v>46366</v>
      </c>
      <c r="I1112" s="2">
        <v>0.25</v>
      </c>
      <c r="J1112" s="2">
        <v>0.54166666666666663</v>
      </c>
      <c r="K1112" s="11" t="s">
        <v>4202</v>
      </c>
      <c r="L1112" s="11" t="s">
        <v>340</v>
      </c>
      <c r="M1112" s="1"/>
      <c r="N1112" s="11"/>
      <c r="O1112" s="11" t="s">
        <v>21</v>
      </c>
      <c r="P1112" s="1"/>
      <c r="Q1112" s="1"/>
      <c r="R1112" s="11"/>
      <c r="S1112" s="2">
        <f>CONSOLIDADO_2026[[#This Row],[Hora final]]-CONSOLIDADO_2026[[#This Row],[Hora inic]]</f>
        <v>0.29166666666666663</v>
      </c>
    </row>
    <row r="1113" spans="1:19" hidden="1" x14ac:dyDescent="0.25">
      <c r="A1113" t="s">
        <v>4201</v>
      </c>
      <c r="B1113">
        <v>1152221372</v>
      </c>
      <c r="C1113" t="s">
        <v>2363</v>
      </c>
      <c r="D1113" s="11" t="s">
        <v>139</v>
      </c>
      <c r="E1113" s="11" t="s">
        <v>4040</v>
      </c>
      <c r="F1113" s="11" t="s">
        <v>158</v>
      </c>
      <c r="G1113" s="1">
        <v>46230</v>
      </c>
      <c r="H1113" s="1">
        <v>46230</v>
      </c>
      <c r="I1113" s="2">
        <v>0.25</v>
      </c>
      <c r="J1113" s="2">
        <v>0.54166666666666663</v>
      </c>
      <c r="K1113" s="11" t="s">
        <v>45</v>
      </c>
      <c r="L1113" s="11" t="s">
        <v>46</v>
      </c>
      <c r="M1113" s="1"/>
      <c r="N1113" s="11"/>
      <c r="O1113" s="11" t="s">
        <v>21</v>
      </c>
      <c r="P1113" s="1"/>
      <c r="Q1113" s="1"/>
      <c r="R1113" s="11"/>
      <c r="S1113" s="2">
        <f>CONSOLIDADO_2026[[#This Row],[Hora final]]-CONSOLIDADO_2026[[#This Row],[Hora inic]]</f>
        <v>0.29166666666666663</v>
      </c>
    </row>
    <row r="1114" spans="1:19" hidden="1" x14ac:dyDescent="0.25">
      <c r="A1114" t="s">
        <v>4201</v>
      </c>
      <c r="B1114">
        <v>1152439743</v>
      </c>
      <c r="C1114" t="s">
        <v>2079</v>
      </c>
      <c r="D1114" s="11" t="s">
        <v>245</v>
      </c>
      <c r="E1114" s="11" t="s">
        <v>4040</v>
      </c>
      <c r="F1114" s="11" t="s">
        <v>4140</v>
      </c>
      <c r="G1114" s="1">
        <v>46253</v>
      </c>
      <c r="H1114" s="1">
        <v>46253</v>
      </c>
      <c r="I1114" s="2">
        <v>0.54166666666666663</v>
      </c>
      <c r="J1114" s="2">
        <v>0.875</v>
      </c>
      <c r="K1114" s="11" t="s">
        <v>251</v>
      </c>
      <c r="L1114" s="11" t="s">
        <v>252</v>
      </c>
      <c r="M1114" s="1"/>
      <c r="N1114" s="11"/>
      <c r="O1114" s="11" t="s">
        <v>4042</v>
      </c>
      <c r="P1114" s="1"/>
      <c r="Q1114" s="1"/>
      <c r="R1114" s="11"/>
      <c r="S1114" s="2">
        <f>CONSOLIDADO_2026[[#This Row],[Hora final]]-CONSOLIDADO_2026[[#This Row],[Hora inic]]</f>
        <v>0.33333333333333337</v>
      </c>
    </row>
    <row r="1115" spans="1:19" hidden="1" x14ac:dyDescent="0.25">
      <c r="A1115" t="s">
        <v>4201</v>
      </c>
      <c r="B1115">
        <v>1017264032</v>
      </c>
      <c r="C1115" t="s">
        <v>54</v>
      </c>
      <c r="D1115" s="11" t="s">
        <v>55</v>
      </c>
      <c r="E1115" s="11" t="s">
        <v>4047</v>
      </c>
      <c r="F1115" s="11" t="s">
        <v>16</v>
      </c>
      <c r="G1115" s="1">
        <v>46229</v>
      </c>
      <c r="H1115" s="1">
        <v>46258</v>
      </c>
      <c r="I1115" s="2">
        <v>0.25</v>
      </c>
      <c r="J1115" s="2">
        <v>0.58333333333333337</v>
      </c>
      <c r="K1115" s="11" t="s">
        <v>261</v>
      </c>
      <c r="L1115" s="11" t="s">
        <v>262</v>
      </c>
      <c r="M1115" s="1"/>
      <c r="N1115" s="11"/>
      <c r="O1115" s="11" t="s">
        <v>21</v>
      </c>
      <c r="P1115" s="1"/>
      <c r="Q1115" s="1"/>
      <c r="R1115" s="11"/>
      <c r="S1115" s="2">
        <f>CONSOLIDADO_2026[[#This Row],[Hora final]]-CONSOLIDADO_2026[[#This Row],[Hora inic]]</f>
        <v>0.33333333333333337</v>
      </c>
    </row>
    <row r="1116" spans="1:19" hidden="1" x14ac:dyDescent="0.25">
      <c r="A1116" t="s">
        <v>4201</v>
      </c>
      <c r="B1116">
        <v>1037631989</v>
      </c>
      <c r="C1116" t="s">
        <v>27</v>
      </c>
      <c r="D1116" s="11" t="s">
        <v>28</v>
      </c>
      <c r="E1116" s="11" t="s">
        <v>4046</v>
      </c>
      <c r="F1116" s="11" t="s">
        <v>16</v>
      </c>
      <c r="G1116" s="1">
        <v>46226</v>
      </c>
      <c r="H1116" s="1">
        <v>46255</v>
      </c>
      <c r="I1116" s="2">
        <v>0.25</v>
      </c>
      <c r="J1116" s="2">
        <v>0.54166666666666663</v>
      </c>
      <c r="K1116" s="11"/>
      <c r="L1116" s="11" t="s">
        <v>327</v>
      </c>
      <c r="M1116" s="1"/>
      <c r="N1116" s="11"/>
      <c r="O1116" s="11" t="s">
        <v>4042</v>
      </c>
      <c r="P1116" s="1"/>
      <c r="Q1116" s="1"/>
      <c r="R1116" s="11"/>
      <c r="S1116" s="2">
        <f>CONSOLIDADO_2026[[#This Row],[Hora final]]-CONSOLIDADO_2026[[#This Row],[Hora inic]]</f>
        <v>0.29166666666666663</v>
      </c>
    </row>
    <row r="1117" spans="1:19" hidden="1" x14ac:dyDescent="0.25">
      <c r="A1117" t="s">
        <v>4201</v>
      </c>
      <c r="B1117">
        <v>1143414481</v>
      </c>
      <c r="C1117" t="s">
        <v>2447</v>
      </c>
      <c r="D1117" s="11" t="s">
        <v>28</v>
      </c>
      <c r="E1117" s="11" t="s">
        <v>4046</v>
      </c>
      <c r="F1117" s="11" t="s">
        <v>4123</v>
      </c>
      <c r="G1117" s="1">
        <v>46247</v>
      </c>
      <c r="H1117" s="1">
        <v>46252</v>
      </c>
      <c r="I1117" s="2"/>
      <c r="J1117" s="2"/>
      <c r="K1117" s="11"/>
      <c r="L1117" s="11" t="s">
        <v>4041</v>
      </c>
      <c r="M1117" s="1"/>
      <c r="N1117" s="11"/>
      <c r="O1117" s="11" t="s">
        <v>4042</v>
      </c>
      <c r="P1117" s="1"/>
      <c r="Q1117" s="1"/>
      <c r="R1117" s="11"/>
      <c r="S1117" s="2">
        <f>CONSOLIDADO_2026[[#This Row],[Hora final]]-CONSOLIDADO_2026[[#This Row],[Hora inic]]</f>
        <v>0</v>
      </c>
    </row>
    <row r="1118" spans="1:19" hidden="1" x14ac:dyDescent="0.25">
      <c r="A1118" t="s">
        <v>4201</v>
      </c>
      <c r="B1118">
        <v>1037630071</v>
      </c>
      <c r="C1118" t="s">
        <v>3579</v>
      </c>
      <c r="D1118" s="11" t="s">
        <v>176</v>
      </c>
      <c r="E1118" s="11" t="s">
        <v>4040</v>
      </c>
      <c r="F1118" s="11" t="s">
        <v>4062</v>
      </c>
      <c r="G1118" s="1">
        <v>46247</v>
      </c>
      <c r="H1118" s="1">
        <v>46265</v>
      </c>
      <c r="I1118" s="2">
        <v>0.25</v>
      </c>
      <c r="J1118" s="2">
        <v>0.54166666666666663</v>
      </c>
      <c r="K1118" s="11" t="s">
        <v>181</v>
      </c>
      <c r="L1118" s="11" t="s">
        <v>182</v>
      </c>
      <c r="M1118" s="1"/>
      <c r="N1118" s="11"/>
      <c r="O1118" s="11" t="s">
        <v>21</v>
      </c>
      <c r="P1118" s="1"/>
      <c r="Q1118" s="1"/>
      <c r="R1118" s="11"/>
      <c r="S1118" s="2">
        <f>CONSOLIDADO_2026[[#This Row],[Hora final]]-CONSOLIDADO_2026[[#This Row],[Hora inic]]</f>
        <v>0.29166666666666663</v>
      </c>
    </row>
    <row r="1119" spans="1:19" hidden="1" x14ac:dyDescent="0.25">
      <c r="A1119" t="s">
        <v>4201</v>
      </c>
      <c r="B1119">
        <v>1143460426</v>
      </c>
      <c r="C1119" t="s">
        <v>4069</v>
      </c>
      <c r="D1119" s="11" t="s">
        <v>64</v>
      </c>
      <c r="E1119" s="11" t="s">
        <v>4046</v>
      </c>
      <c r="F1119" s="11" t="s">
        <v>4050</v>
      </c>
      <c r="G1119" s="1">
        <v>46195</v>
      </c>
      <c r="H1119" s="1">
        <v>46198</v>
      </c>
      <c r="I1119" s="2">
        <v>0.25</v>
      </c>
      <c r="J1119" s="2">
        <v>0.54166666666666663</v>
      </c>
      <c r="K1119" s="11" t="s">
        <v>236</v>
      </c>
      <c r="L1119" s="11" t="s">
        <v>237</v>
      </c>
      <c r="M1119" s="1"/>
      <c r="N1119" s="11"/>
      <c r="O1119" s="11" t="s">
        <v>21</v>
      </c>
      <c r="P1119" s="1"/>
      <c r="Q1119" s="1"/>
      <c r="R1119" s="11"/>
      <c r="S1119" s="2">
        <f>CONSOLIDADO_2026[[#This Row],[Hora final]]-CONSOLIDADO_2026[[#This Row],[Hora inic]]</f>
        <v>0.29166666666666663</v>
      </c>
    </row>
    <row r="1120" spans="1:19" hidden="1" x14ac:dyDescent="0.25">
      <c r="A1120" t="s">
        <v>4201</v>
      </c>
      <c r="B1120">
        <v>1000099010</v>
      </c>
      <c r="C1120" t="s">
        <v>660</v>
      </c>
      <c r="D1120" s="11" t="s">
        <v>139</v>
      </c>
      <c r="E1120" s="11" t="s">
        <v>4040</v>
      </c>
      <c r="F1120" s="11" t="s">
        <v>4074</v>
      </c>
      <c r="G1120" s="1">
        <v>46252</v>
      </c>
      <c r="H1120" s="1">
        <v>46253</v>
      </c>
      <c r="I1120" s="2">
        <v>0.58333333333333337</v>
      </c>
      <c r="J1120" s="2">
        <v>0.875</v>
      </c>
      <c r="K1120" s="11"/>
      <c r="L1120" s="11" t="s">
        <v>4060</v>
      </c>
      <c r="M1120" s="1"/>
      <c r="N1120" s="11"/>
      <c r="O1120" s="11" t="s">
        <v>4042</v>
      </c>
      <c r="P1120" s="1"/>
      <c r="Q1120" s="1"/>
      <c r="R1120" s="11"/>
      <c r="S1120" s="2">
        <f>CONSOLIDADO_2026[[#This Row],[Hora final]]-CONSOLIDADO_2026[[#This Row],[Hora inic]]</f>
        <v>0.29166666666666663</v>
      </c>
    </row>
    <row r="1121" spans="1:19" hidden="1" x14ac:dyDescent="0.25">
      <c r="A1121" t="s">
        <v>4201</v>
      </c>
      <c r="B1121">
        <v>52932342</v>
      </c>
      <c r="C1121" t="s">
        <v>564</v>
      </c>
      <c r="D1121" s="11" t="s">
        <v>421</v>
      </c>
      <c r="E1121" s="11" t="s">
        <v>4047</v>
      </c>
      <c r="F1121" s="11" t="s">
        <v>16</v>
      </c>
      <c r="G1121" s="1">
        <v>46252</v>
      </c>
      <c r="H1121" s="1">
        <v>46254</v>
      </c>
      <c r="I1121" s="2">
        <v>0.25</v>
      </c>
      <c r="J1121" s="2">
        <v>0.58333333333333337</v>
      </c>
      <c r="K1121" s="11"/>
      <c r="L1121" s="11" t="s">
        <v>327</v>
      </c>
      <c r="M1121" s="1"/>
      <c r="N1121" s="11"/>
      <c r="O1121" s="11" t="s">
        <v>4042</v>
      </c>
      <c r="P1121" s="1"/>
      <c r="Q1121" s="1"/>
      <c r="R1121" s="11"/>
      <c r="S1121" s="2">
        <f>CONSOLIDADO_2026[[#This Row],[Hora final]]-CONSOLIDADO_2026[[#This Row],[Hora inic]]</f>
        <v>0.33333333333333337</v>
      </c>
    </row>
    <row r="1122" spans="1:19" hidden="1" x14ac:dyDescent="0.25">
      <c r="A1122" t="s">
        <v>4201</v>
      </c>
      <c r="B1122">
        <v>1152434926</v>
      </c>
      <c r="C1122" t="s">
        <v>217</v>
      </c>
      <c r="D1122" s="11" t="s">
        <v>59</v>
      </c>
      <c r="E1122" s="11" t="s">
        <v>4047</v>
      </c>
      <c r="F1122" s="11" t="s">
        <v>16</v>
      </c>
      <c r="G1122" s="1">
        <v>46252</v>
      </c>
      <c r="H1122" s="1">
        <v>46255</v>
      </c>
      <c r="I1122" s="2">
        <v>0.25</v>
      </c>
      <c r="J1122" s="2">
        <v>0.58333333333333337</v>
      </c>
      <c r="K1122" s="11" t="s">
        <v>213</v>
      </c>
      <c r="L1122" s="11" t="s">
        <v>214</v>
      </c>
      <c r="M1122" s="1"/>
      <c r="N1122" s="11"/>
      <c r="O1122" s="11" t="s">
        <v>21</v>
      </c>
      <c r="P1122" s="1"/>
      <c r="Q1122" s="1"/>
      <c r="R1122" s="11"/>
      <c r="S1122" s="2">
        <f>CONSOLIDADO_2026[[#This Row],[Hora final]]-CONSOLIDADO_2026[[#This Row],[Hora inic]]</f>
        <v>0.33333333333333337</v>
      </c>
    </row>
    <row r="1123" spans="1:19" hidden="1" x14ac:dyDescent="0.25">
      <c r="A1123" t="s">
        <v>4201</v>
      </c>
      <c r="B1123">
        <v>1143375080</v>
      </c>
      <c r="C1123" t="s">
        <v>203</v>
      </c>
      <c r="D1123" s="11" t="s">
        <v>44</v>
      </c>
      <c r="E1123" s="11" t="s">
        <v>4045</v>
      </c>
      <c r="F1123" s="11" t="s">
        <v>158</v>
      </c>
      <c r="G1123" s="1">
        <v>46252</v>
      </c>
      <c r="H1123" s="1"/>
      <c r="I1123" s="2">
        <v>0.25</v>
      </c>
      <c r="J1123" s="2">
        <v>0.58333333333333337</v>
      </c>
      <c r="K1123" s="11" t="s">
        <v>119</v>
      </c>
      <c r="L1123" s="11" t="s">
        <v>120</v>
      </c>
      <c r="M1123" s="1"/>
      <c r="N1123" s="11"/>
      <c r="O1123" s="11" t="s">
        <v>21</v>
      </c>
      <c r="P1123" s="1"/>
      <c r="Q1123" s="1"/>
      <c r="R1123" s="11"/>
      <c r="S1123" s="2">
        <f>CONSOLIDADO_2026[[#This Row],[Hora final]]-CONSOLIDADO_2026[[#This Row],[Hora inic]]</f>
        <v>0.33333333333333337</v>
      </c>
    </row>
    <row r="1124" spans="1:19" hidden="1" x14ac:dyDescent="0.25">
      <c r="A1124" t="s">
        <v>4201</v>
      </c>
      <c r="B1124">
        <v>1036633827</v>
      </c>
      <c r="C1124" t="s">
        <v>1356</v>
      </c>
      <c r="D1124" s="11" t="s">
        <v>15</v>
      </c>
      <c r="E1124" s="11" t="s">
        <v>4046</v>
      </c>
      <c r="F1124" s="11" t="s">
        <v>16</v>
      </c>
      <c r="G1124" s="1">
        <v>46249</v>
      </c>
      <c r="H1124" s="1">
        <v>46249</v>
      </c>
      <c r="I1124" s="2"/>
      <c r="J1124" s="2"/>
      <c r="K1124" s="11"/>
      <c r="L1124" s="11" t="s">
        <v>4041</v>
      </c>
      <c r="M1124" s="1"/>
      <c r="N1124" s="11"/>
      <c r="O1124" s="11" t="s">
        <v>4042</v>
      </c>
      <c r="P1124" s="1"/>
      <c r="Q1124" s="1"/>
      <c r="R1124" s="11"/>
      <c r="S1124" s="2">
        <f>CONSOLIDADO_2026[[#This Row],[Hora final]]-CONSOLIDADO_2026[[#This Row],[Hora inic]]</f>
        <v>0</v>
      </c>
    </row>
    <row r="1125" spans="1:19" hidden="1" x14ac:dyDescent="0.25">
      <c r="A1125" t="s">
        <v>4201</v>
      </c>
      <c r="B1125">
        <v>43628997</v>
      </c>
      <c r="C1125" t="s">
        <v>3256</v>
      </c>
      <c r="D1125" s="11" t="s">
        <v>64</v>
      </c>
      <c r="E1125" s="11" t="s">
        <v>4046</v>
      </c>
      <c r="F1125" s="11" t="s">
        <v>16</v>
      </c>
      <c r="G1125" s="1">
        <v>46252</v>
      </c>
      <c r="H1125" s="1">
        <v>46253</v>
      </c>
      <c r="I1125" s="2">
        <v>0.25</v>
      </c>
      <c r="J1125" s="2">
        <v>0.5</v>
      </c>
      <c r="K1125" s="11" t="s">
        <v>318</v>
      </c>
      <c r="L1125" s="11" t="s">
        <v>319</v>
      </c>
      <c r="M1125" s="1"/>
      <c r="N1125" s="11"/>
      <c r="O1125" s="11" t="s">
        <v>21</v>
      </c>
      <c r="P1125" s="1"/>
      <c r="Q1125" s="1"/>
      <c r="R1125" s="11"/>
      <c r="S1125" s="2">
        <f>CONSOLIDADO_2026[[#This Row],[Hora final]]-CONSOLIDADO_2026[[#This Row],[Hora inic]]</f>
        <v>0.25</v>
      </c>
    </row>
    <row r="1126" spans="1:19" hidden="1" x14ac:dyDescent="0.25">
      <c r="A1126" t="s">
        <v>4201</v>
      </c>
      <c r="B1126">
        <v>1036965348</v>
      </c>
      <c r="C1126" t="s">
        <v>229</v>
      </c>
      <c r="D1126" s="11" t="s">
        <v>4079</v>
      </c>
      <c r="E1126" s="11" t="s">
        <v>4046</v>
      </c>
      <c r="F1126" s="11" t="s">
        <v>4079</v>
      </c>
      <c r="G1126" s="1">
        <v>46253</v>
      </c>
      <c r="H1126" s="1">
        <v>46253</v>
      </c>
      <c r="I1126" s="2">
        <v>0.25</v>
      </c>
      <c r="J1126" s="2">
        <v>0.58333333333333337</v>
      </c>
      <c r="K1126" s="11"/>
      <c r="L1126" s="11" t="s">
        <v>339</v>
      </c>
      <c r="M1126" s="1"/>
      <c r="N1126" s="11"/>
      <c r="O1126" s="11" t="s">
        <v>4042</v>
      </c>
      <c r="P1126" s="1"/>
      <c r="Q1126" s="1"/>
      <c r="R1126" s="11"/>
      <c r="S1126" s="2">
        <f>CONSOLIDADO_2026[[#This Row],[Hora final]]-CONSOLIDADO_2026[[#This Row],[Hora inic]]</f>
        <v>0.33333333333333337</v>
      </c>
    </row>
    <row r="1127" spans="1:19" hidden="1" x14ac:dyDescent="0.25">
      <c r="A1127" t="s">
        <v>4201</v>
      </c>
      <c r="B1127">
        <v>42141273</v>
      </c>
      <c r="C1127" t="s">
        <v>271</v>
      </c>
      <c r="D1127" s="11" t="s">
        <v>272</v>
      </c>
      <c r="E1127" s="11" t="s">
        <v>4056</v>
      </c>
      <c r="F1127" s="11" t="s">
        <v>4065</v>
      </c>
      <c r="G1127" s="1">
        <v>46238</v>
      </c>
      <c r="H1127" s="1">
        <v>46295</v>
      </c>
      <c r="I1127" s="2">
        <v>0.25</v>
      </c>
      <c r="J1127" s="2">
        <v>0.5</v>
      </c>
      <c r="K1127" s="11" t="s">
        <v>285</v>
      </c>
      <c r="L1127" s="11" t="s">
        <v>286</v>
      </c>
      <c r="M1127" s="1"/>
      <c r="N1127" s="11"/>
      <c r="O1127" s="11" t="s">
        <v>4042</v>
      </c>
      <c r="P1127" s="1"/>
      <c r="Q1127" s="1"/>
      <c r="R1127" s="11"/>
      <c r="S1127" s="2">
        <f>CONSOLIDADO_2026[[#This Row],[Hora final]]-CONSOLIDADO_2026[[#This Row],[Hora inic]]</f>
        <v>0.25</v>
      </c>
    </row>
    <row r="1128" spans="1:19" hidden="1" x14ac:dyDescent="0.25">
      <c r="A1128" t="s">
        <v>4201</v>
      </c>
      <c r="B1128">
        <v>73189515</v>
      </c>
      <c r="C1128" t="s">
        <v>773</v>
      </c>
      <c r="D1128" s="11" t="s">
        <v>272</v>
      </c>
      <c r="E1128" s="11" t="s">
        <v>4056</v>
      </c>
      <c r="F1128" s="11" t="s">
        <v>4087</v>
      </c>
      <c r="G1128" s="1">
        <v>46248</v>
      </c>
      <c r="H1128" s="1">
        <v>46252</v>
      </c>
      <c r="I1128" s="2"/>
      <c r="J1128" s="2"/>
      <c r="K1128" s="11"/>
      <c r="L1128" s="11" t="s">
        <v>4041</v>
      </c>
      <c r="M1128" s="1"/>
      <c r="N1128" s="11"/>
      <c r="O1128" s="11" t="s">
        <v>4042</v>
      </c>
      <c r="P1128" s="1"/>
      <c r="Q1128" s="1"/>
      <c r="R1128" s="11"/>
      <c r="S1128" s="2">
        <f>CONSOLIDADO_2026[[#This Row],[Hora final]]-CONSOLIDADO_2026[[#This Row],[Hora inic]]</f>
        <v>0</v>
      </c>
    </row>
    <row r="1129" spans="1:19" hidden="1" x14ac:dyDescent="0.25">
      <c r="A1129" t="s">
        <v>4201</v>
      </c>
      <c r="B1129">
        <v>1000348983</v>
      </c>
      <c r="C1129" t="s">
        <v>235</v>
      </c>
      <c r="D1129" s="11" t="s">
        <v>162</v>
      </c>
      <c r="E1129" s="11" t="s">
        <v>4056</v>
      </c>
      <c r="F1129" s="11" t="s">
        <v>16</v>
      </c>
      <c r="G1129" s="1">
        <v>46251</v>
      </c>
      <c r="H1129" s="1">
        <v>46255</v>
      </c>
      <c r="I1129" s="2">
        <v>0.54166666666666663</v>
      </c>
      <c r="J1129" s="2">
        <v>0.875</v>
      </c>
      <c r="K1129" s="11" t="s">
        <v>267</v>
      </c>
      <c r="L1129" s="11" t="s">
        <v>268</v>
      </c>
      <c r="M1129" s="1"/>
      <c r="N1129" s="11"/>
      <c r="O1129" s="11" t="s">
        <v>21</v>
      </c>
      <c r="P1129" s="1"/>
      <c r="Q1129" s="1"/>
      <c r="R1129" s="11"/>
      <c r="S1129" s="2">
        <f>CONSOLIDADO_2026[[#This Row],[Hora final]]-CONSOLIDADO_2026[[#This Row],[Hora inic]]</f>
        <v>0.33333333333333337</v>
      </c>
    </row>
    <row r="1130" spans="1:19" hidden="1" x14ac:dyDescent="0.25">
      <c r="A1130" t="s">
        <v>4201</v>
      </c>
      <c r="B1130">
        <v>1037661959</v>
      </c>
      <c r="C1130" t="s">
        <v>4080</v>
      </c>
      <c r="D1130" s="11" t="s">
        <v>482</v>
      </c>
      <c r="E1130" s="11" t="s">
        <v>4040</v>
      </c>
      <c r="F1130" s="11" t="s">
        <v>4050</v>
      </c>
      <c r="G1130" s="1">
        <v>46253</v>
      </c>
      <c r="H1130" s="1">
        <v>46255</v>
      </c>
      <c r="I1130" s="2">
        <v>0.25</v>
      </c>
      <c r="J1130" s="2">
        <v>0.54166666666666663</v>
      </c>
      <c r="K1130" s="11" t="s">
        <v>231</v>
      </c>
      <c r="L1130" s="11" t="s">
        <v>232</v>
      </c>
      <c r="M1130" s="1"/>
      <c r="N1130" s="11"/>
      <c r="O1130" s="11" t="s">
        <v>21</v>
      </c>
      <c r="P1130" s="1"/>
      <c r="Q1130" s="1"/>
      <c r="R1130" s="11"/>
      <c r="S1130" s="2">
        <f>CONSOLIDADO_2026[[#This Row],[Hora final]]-CONSOLIDADO_2026[[#This Row],[Hora inic]]</f>
        <v>0.29166666666666663</v>
      </c>
    </row>
    <row r="1131" spans="1:19" hidden="1" x14ac:dyDescent="0.25">
      <c r="A1131" t="s">
        <v>4201</v>
      </c>
      <c r="B1131">
        <v>1002210045</v>
      </c>
      <c r="C1131" t="s">
        <v>1815</v>
      </c>
      <c r="D1131" s="11" t="s">
        <v>421</v>
      </c>
      <c r="E1131" s="11" t="s">
        <v>4047</v>
      </c>
      <c r="F1131" s="11" t="s">
        <v>16</v>
      </c>
      <c r="G1131" s="1">
        <v>46252</v>
      </c>
      <c r="H1131" s="1">
        <v>46253</v>
      </c>
      <c r="I1131" s="2">
        <v>0.25</v>
      </c>
      <c r="J1131" s="2">
        <v>0.45833333333333331</v>
      </c>
      <c r="K1131" s="11"/>
      <c r="L1131" s="11" t="s">
        <v>327</v>
      </c>
      <c r="M1131" s="1"/>
      <c r="N1131" s="11"/>
      <c r="O1131" s="11" t="s">
        <v>4042</v>
      </c>
      <c r="P1131" s="1"/>
      <c r="Q1131" s="1"/>
      <c r="R1131" s="11"/>
      <c r="S1131" s="2">
        <f>CONSOLIDADO_2026[[#This Row],[Hora final]]-CONSOLIDADO_2026[[#This Row],[Hora inic]]</f>
        <v>0.20833333333333331</v>
      </c>
    </row>
    <row r="1132" spans="1:19" hidden="1" x14ac:dyDescent="0.25">
      <c r="A1132" t="s">
        <v>4201</v>
      </c>
      <c r="B1132">
        <v>1193512212</v>
      </c>
      <c r="C1132" t="s">
        <v>2155</v>
      </c>
      <c r="D1132" s="11" t="s">
        <v>256</v>
      </c>
      <c r="E1132" s="11" t="s">
        <v>4040</v>
      </c>
      <c r="F1132" s="11" t="s">
        <v>16</v>
      </c>
      <c r="G1132" s="1">
        <v>46252</v>
      </c>
      <c r="H1132" s="1">
        <v>46253</v>
      </c>
      <c r="I1132" s="2">
        <v>0.58333333333333337</v>
      </c>
      <c r="J1132" s="2">
        <v>0.875</v>
      </c>
      <c r="K1132" s="11" t="s">
        <v>306</v>
      </c>
      <c r="L1132" s="11" t="s">
        <v>307</v>
      </c>
      <c r="M1132" s="1"/>
      <c r="N1132" s="11"/>
      <c r="O1132" s="11" t="s">
        <v>21</v>
      </c>
      <c r="P1132" s="1"/>
      <c r="Q1132" s="1"/>
      <c r="R1132" s="11"/>
      <c r="S1132" s="2">
        <f>CONSOLIDADO_2026[[#This Row],[Hora final]]-CONSOLIDADO_2026[[#This Row],[Hora inic]]</f>
        <v>0.29166666666666663</v>
      </c>
    </row>
    <row r="1133" spans="1:19" hidden="1" x14ac:dyDescent="0.25">
      <c r="A1133" t="s">
        <v>4201</v>
      </c>
      <c r="B1133">
        <v>1090420169</v>
      </c>
      <c r="C1133" t="s">
        <v>1658</v>
      </c>
      <c r="D1133" s="11" t="s">
        <v>51</v>
      </c>
      <c r="E1133" s="11" t="s">
        <v>4047</v>
      </c>
      <c r="F1133" s="11" t="s">
        <v>4147</v>
      </c>
      <c r="G1133" s="1">
        <v>46253</v>
      </c>
      <c r="H1133" s="1">
        <v>46253</v>
      </c>
      <c r="I1133" s="2">
        <v>0.25</v>
      </c>
      <c r="J1133" s="2">
        <v>0.58333333333333337</v>
      </c>
      <c r="K1133" s="11" t="s">
        <v>73</v>
      </c>
      <c r="L1133" s="11" t="s">
        <v>74</v>
      </c>
      <c r="M1133" s="1"/>
      <c r="N1133" s="11"/>
      <c r="O1133" s="11" t="s">
        <v>4042</v>
      </c>
      <c r="P1133" s="1"/>
      <c r="Q1133" s="1"/>
      <c r="R1133" s="11"/>
      <c r="S1133" s="2">
        <f>CONSOLIDADO_2026[[#This Row],[Hora final]]-CONSOLIDADO_2026[[#This Row],[Hora inic]]</f>
        <v>0.33333333333333337</v>
      </c>
    </row>
    <row r="1134" spans="1:19" hidden="1" x14ac:dyDescent="0.25">
      <c r="A1134" t="s">
        <v>4201</v>
      </c>
      <c r="B1134">
        <v>1128467297</v>
      </c>
      <c r="C1134" t="s">
        <v>3392</v>
      </c>
      <c r="D1134" s="11" t="s">
        <v>619</v>
      </c>
      <c r="E1134" s="11" t="s">
        <v>4045</v>
      </c>
      <c r="F1134" s="11" t="s">
        <v>16</v>
      </c>
      <c r="G1134" s="1">
        <v>46252</v>
      </c>
      <c r="H1134" s="1">
        <v>46253</v>
      </c>
      <c r="I1134" s="2">
        <v>0.25</v>
      </c>
      <c r="J1134" s="2">
        <v>0.58333333333333337</v>
      </c>
      <c r="K1134" s="11"/>
      <c r="L1134" s="11" t="s">
        <v>327</v>
      </c>
      <c r="M1134" s="1"/>
      <c r="N1134" s="11"/>
      <c r="O1134" s="11" t="s">
        <v>4042</v>
      </c>
      <c r="P1134" s="1"/>
      <c r="Q1134" s="1"/>
      <c r="R1134" s="11"/>
      <c r="S1134" s="2">
        <f>CONSOLIDADO_2026[[#This Row],[Hora final]]-CONSOLIDADO_2026[[#This Row],[Hora inic]]</f>
        <v>0.33333333333333337</v>
      </c>
    </row>
    <row r="1135" spans="1:19" hidden="1" x14ac:dyDescent="0.25">
      <c r="A1135" t="s">
        <v>4201</v>
      </c>
      <c r="B1135">
        <v>1038412205</v>
      </c>
      <c r="C1135" t="s">
        <v>2848</v>
      </c>
      <c r="D1135" s="11" t="s">
        <v>482</v>
      </c>
      <c r="E1135" s="11" t="s">
        <v>4040</v>
      </c>
      <c r="F1135" s="11" t="s">
        <v>16</v>
      </c>
      <c r="G1135" s="1">
        <v>46252</v>
      </c>
      <c r="H1135" s="1">
        <v>46253</v>
      </c>
      <c r="I1135" s="2">
        <v>0.58333333333333337</v>
      </c>
      <c r="J1135" s="2">
        <v>0.83333333333333337</v>
      </c>
      <c r="K1135" s="11" t="s">
        <v>3427</v>
      </c>
      <c r="L1135" s="11" t="s">
        <v>4203</v>
      </c>
      <c r="M1135" s="1"/>
      <c r="N1135" s="11"/>
      <c r="O1135" s="11" t="s">
        <v>21</v>
      </c>
      <c r="P1135" s="1"/>
      <c r="Q1135" s="1"/>
      <c r="R1135" s="11"/>
      <c r="S1135" s="2">
        <f>CONSOLIDADO_2026[[#This Row],[Hora final]]-CONSOLIDADO_2026[[#This Row],[Hora inic]]</f>
        <v>0.25</v>
      </c>
    </row>
    <row r="1136" spans="1:19" hidden="1" x14ac:dyDescent="0.25">
      <c r="A1136" t="s">
        <v>4201</v>
      </c>
      <c r="B1136">
        <v>1096223065</v>
      </c>
      <c r="C1136" t="s">
        <v>3428</v>
      </c>
      <c r="D1136" s="11" t="s">
        <v>59</v>
      </c>
      <c r="E1136" s="11" t="s">
        <v>4047</v>
      </c>
      <c r="F1136" s="11" t="s">
        <v>24</v>
      </c>
      <c r="G1136" s="1">
        <v>46253</v>
      </c>
      <c r="H1136" s="1">
        <v>46265</v>
      </c>
      <c r="I1136" s="2">
        <v>0.25</v>
      </c>
      <c r="J1136" s="2">
        <v>0.54166666666666663</v>
      </c>
      <c r="K1136" s="11"/>
      <c r="L1136" s="11" t="s">
        <v>327</v>
      </c>
      <c r="M1136" s="1"/>
      <c r="N1136" s="11"/>
      <c r="O1136" s="11" t="s">
        <v>4042</v>
      </c>
      <c r="P1136" s="1"/>
      <c r="Q1136" s="1"/>
      <c r="R1136" s="11"/>
      <c r="S1136" s="2">
        <f>CONSOLIDADO_2026[[#This Row],[Hora final]]-CONSOLIDADO_2026[[#This Row],[Hora inic]]</f>
        <v>0.29166666666666663</v>
      </c>
    </row>
    <row r="1137" spans="1:19" hidden="1" x14ac:dyDescent="0.25">
      <c r="A1137" t="s">
        <v>4201</v>
      </c>
      <c r="B1137">
        <v>1020414545</v>
      </c>
      <c r="C1137" t="s">
        <v>2893</v>
      </c>
      <c r="D1137" s="11" t="s">
        <v>256</v>
      </c>
      <c r="E1137" s="11" t="s">
        <v>4040</v>
      </c>
      <c r="F1137" s="11" t="s">
        <v>4074</v>
      </c>
      <c r="G1137" s="1">
        <v>46253</v>
      </c>
      <c r="H1137" s="1">
        <v>46254</v>
      </c>
      <c r="I1137" s="2">
        <v>0.58333333333333337</v>
      </c>
      <c r="J1137" s="2">
        <v>0.875</v>
      </c>
      <c r="K1137" s="11"/>
      <c r="L1137" s="11" t="s">
        <v>4060</v>
      </c>
      <c r="M1137" s="1"/>
      <c r="N1137" s="11"/>
      <c r="O1137" s="11" t="s">
        <v>4042</v>
      </c>
      <c r="P1137" s="1"/>
      <c r="Q1137" s="1"/>
      <c r="R1137" s="11"/>
      <c r="S1137" s="2">
        <f>CONSOLIDADO_2026[[#This Row],[Hora final]]-CONSOLIDADO_2026[[#This Row],[Hora inic]]</f>
        <v>0.29166666666666663</v>
      </c>
    </row>
    <row r="1138" spans="1:19" hidden="1" x14ac:dyDescent="0.25">
      <c r="A1138" t="s">
        <v>4201</v>
      </c>
      <c r="B1138">
        <v>32299090</v>
      </c>
      <c r="C1138" t="s">
        <v>3249</v>
      </c>
      <c r="D1138" s="11" t="s">
        <v>55</v>
      </c>
      <c r="E1138" s="11" t="s">
        <v>4047</v>
      </c>
      <c r="F1138" s="11" t="s">
        <v>16</v>
      </c>
      <c r="G1138" s="1">
        <v>46253</v>
      </c>
      <c r="H1138" s="1">
        <v>46255</v>
      </c>
      <c r="I1138" s="2">
        <v>0.58333333333333337</v>
      </c>
      <c r="J1138" s="2">
        <v>0.875</v>
      </c>
      <c r="K1138" s="11"/>
      <c r="L1138" s="11" t="s">
        <v>327</v>
      </c>
      <c r="M1138" s="1"/>
      <c r="N1138" s="11"/>
      <c r="O1138" s="11" t="s">
        <v>4042</v>
      </c>
      <c r="P1138" s="1"/>
      <c r="Q1138" s="1"/>
      <c r="R1138" s="11"/>
      <c r="S1138" s="2">
        <f>CONSOLIDADO_2026[[#This Row],[Hora final]]-CONSOLIDADO_2026[[#This Row],[Hora inic]]</f>
        <v>0.29166666666666663</v>
      </c>
    </row>
    <row r="1139" spans="1:19" hidden="1" x14ac:dyDescent="0.25">
      <c r="A1139" t="s">
        <v>4201</v>
      </c>
      <c r="B1139">
        <v>1098774597</v>
      </c>
      <c r="C1139" t="s">
        <v>1745</v>
      </c>
      <c r="D1139" s="11" t="s">
        <v>132</v>
      </c>
      <c r="E1139" s="11" t="s">
        <v>4040</v>
      </c>
      <c r="F1139" s="11" t="s">
        <v>4074</v>
      </c>
      <c r="G1139" s="1">
        <v>46253</v>
      </c>
      <c r="H1139" s="1">
        <v>46255</v>
      </c>
      <c r="I1139" s="2">
        <v>0.54166666666666663</v>
      </c>
      <c r="J1139" s="2">
        <v>0.875</v>
      </c>
      <c r="K1139" s="11"/>
      <c r="L1139" s="11" t="s">
        <v>4060</v>
      </c>
      <c r="M1139" s="1"/>
      <c r="N1139" s="11"/>
      <c r="O1139" s="11" t="s">
        <v>4042</v>
      </c>
      <c r="P1139" s="1"/>
      <c r="Q1139" s="1"/>
      <c r="R1139" s="11"/>
      <c r="S1139" s="2">
        <f>CONSOLIDADO_2026[[#This Row],[Hora final]]-CONSOLIDADO_2026[[#This Row],[Hora inic]]</f>
        <v>0.33333333333333337</v>
      </c>
    </row>
    <row r="1140" spans="1:19" hidden="1" x14ac:dyDescent="0.25">
      <c r="A1140" t="s">
        <v>4201</v>
      </c>
      <c r="B1140">
        <v>1000921684</v>
      </c>
      <c r="C1140" t="s">
        <v>558</v>
      </c>
      <c r="D1140" s="11" t="s">
        <v>15</v>
      </c>
      <c r="E1140" s="11" t="s">
        <v>4046</v>
      </c>
      <c r="F1140" s="11" t="s">
        <v>16</v>
      </c>
      <c r="G1140" s="1">
        <v>46253</v>
      </c>
      <c r="H1140" s="1">
        <v>46253</v>
      </c>
      <c r="I1140" s="2">
        <v>0.58333333333333337</v>
      </c>
      <c r="J1140" s="2">
        <v>0.875</v>
      </c>
      <c r="K1140" s="11"/>
      <c r="L1140" s="11" t="s">
        <v>327</v>
      </c>
      <c r="M1140" s="1"/>
      <c r="N1140" s="11"/>
      <c r="O1140" s="11" t="s">
        <v>4042</v>
      </c>
      <c r="P1140" s="1"/>
      <c r="Q1140" s="1"/>
      <c r="R1140" s="11"/>
      <c r="S1140" s="2">
        <f>CONSOLIDADO_2026[[#This Row],[Hora final]]-CONSOLIDADO_2026[[#This Row],[Hora inic]]</f>
        <v>0.29166666666666663</v>
      </c>
    </row>
    <row r="1141" spans="1:19" hidden="1" x14ac:dyDescent="0.25">
      <c r="A1141" t="s">
        <v>4201</v>
      </c>
      <c r="B1141">
        <v>1002029407</v>
      </c>
      <c r="C1141" t="s">
        <v>101</v>
      </c>
      <c r="D1141" s="11" t="s">
        <v>102</v>
      </c>
      <c r="E1141" s="11" t="s">
        <v>4046</v>
      </c>
      <c r="F1141" s="11" t="s">
        <v>16</v>
      </c>
      <c r="G1141" s="1">
        <v>46253</v>
      </c>
      <c r="H1141" s="1">
        <v>46256</v>
      </c>
      <c r="I1141" s="2">
        <v>0.25</v>
      </c>
      <c r="J1141" s="2">
        <v>0.58333333333333337</v>
      </c>
      <c r="K1141" s="11"/>
      <c r="L1141" s="11" t="s">
        <v>327</v>
      </c>
      <c r="M1141" s="1"/>
      <c r="N1141" s="11"/>
      <c r="O1141" s="11" t="s">
        <v>4042</v>
      </c>
      <c r="P1141" s="1"/>
      <c r="Q1141" s="1"/>
      <c r="R1141" s="11"/>
      <c r="S1141" s="2">
        <f>CONSOLIDADO_2026[[#This Row],[Hora final]]-CONSOLIDADO_2026[[#This Row],[Hora inic]]</f>
        <v>0.33333333333333337</v>
      </c>
    </row>
    <row r="1142" spans="1:19" hidden="1" x14ac:dyDescent="0.25">
      <c r="A1142" t="s">
        <v>4201</v>
      </c>
      <c r="B1142">
        <v>1037668455</v>
      </c>
      <c r="C1142" t="s">
        <v>3013</v>
      </c>
      <c r="D1142" s="11" t="s">
        <v>78</v>
      </c>
      <c r="E1142" s="11" t="s">
        <v>4046</v>
      </c>
      <c r="F1142" s="11" t="s">
        <v>4074</v>
      </c>
      <c r="G1142" s="1">
        <v>46253</v>
      </c>
      <c r="H1142" s="1">
        <v>46254</v>
      </c>
      <c r="I1142" s="2">
        <v>0.25</v>
      </c>
      <c r="J1142" s="2">
        <v>0.54166666666666663</v>
      </c>
      <c r="K1142" s="11"/>
      <c r="L1142" s="11" t="s">
        <v>4060</v>
      </c>
      <c r="M1142" s="1"/>
      <c r="N1142" s="11"/>
      <c r="O1142" s="11" t="s">
        <v>4042</v>
      </c>
      <c r="P1142" s="1"/>
      <c r="Q1142" s="1"/>
      <c r="R1142" s="11"/>
      <c r="S1142" s="2">
        <f>CONSOLIDADO_2026[[#This Row],[Hora final]]-CONSOLIDADO_2026[[#This Row],[Hora inic]]</f>
        <v>0.29166666666666663</v>
      </c>
    </row>
    <row r="1143" spans="1:19" hidden="1" x14ac:dyDescent="0.25">
      <c r="A1143" t="s">
        <v>4201</v>
      </c>
      <c r="B1143">
        <v>1007223463</v>
      </c>
      <c r="C1143" t="s">
        <v>561</v>
      </c>
      <c r="D1143" s="11" t="s">
        <v>344</v>
      </c>
      <c r="E1143" s="11" t="s">
        <v>4056</v>
      </c>
      <c r="F1143" s="11" t="s">
        <v>4073</v>
      </c>
      <c r="G1143" s="1">
        <v>46254</v>
      </c>
      <c r="H1143" s="1">
        <v>46254</v>
      </c>
      <c r="I1143" s="2">
        <v>0.25</v>
      </c>
      <c r="J1143" s="2">
        <v>0.58333333333333337</v>
      </c>
      <c r="K1143" s="11"/>
      <c r="L1143" s="11" t="s">
        <v>339</v>
      </c>
      <c r="M1143" s="1"/>
      <c r="N1143" s="11"/>
      <c r="O1143" s="11" t="s">
        <v>4042</v>
      </c>
      <c r="P1143" s="1"/>
      <c r="Q1143" s="1"/>
      <c r="R1143" s="11"/>
      <c r="S1143" s="2">
        <f>CONSOLIDADO_2026[[#This Row],[Hora final]]-CONSOLIDADO_2026[[#This Row],[Hora inic]]</f>
        <v>0.33333333333333337</v>
      </c>
    </row>
    <row r="1144" spans="1:19" hidden="1" x14ac:dyDescent="0.25">
      <c r="A1144" t="s">
        <v>4201</v>
      </c>
      <c r="B1144">
        <v>1001369228</v>
      </c>
      <c r="C1144" t="s">
        <v>164</v>
      </c>
      <c r="D1144" s="11" t="s">
        <v>344</v>
      </c>
      <c r="E1144" s="11" t="s">
        <v>4056</v>
      </c>
      <c r="F1144" s="11" t="s">
        <v>4073</v>
      </c>
      <c r="G1144" s="1">
        <v>46253</v>
      </c>
      <c r="H1144" s="1">
        <v>46253</v>
      </c>
      <c r="I1144" s="2">
        <v>0.29166666666666669</v>
      </c>
      <c r="J1144" s="2">
        <v>0.58333333333333337</v>
      </c>
      <c r="K1144" s="11"/>
      <c r="L1144" s="11" t="s">
        <v>339</v>
      </c>
      <c r="M1144" s="1"/>
      <c r="N1144" s="11"/>
      <c r="O1144" s="11" t="s">
        <v>4042</v>
      </c>
      <c r="P1144" s="1"/>
      <c r="Q1144" s="1"/>
      <c r="R1144" s="11"/>
      <c r="S1144" s="2">
        <f>CONSOLIDADO_2026[[#This Row],[Hora final]]-CONSOLIDADO_2026[[#This Row],[Hora inic]]</f>
        <v>0.29166666666666669</v>
      </c>
    </row>
    <row r="1145" spans="1:19" hidden="1" x14ac:dyDescent="0.25">
      <c r="A1145" t="s">
        <v>4201</v>
      </c>
      <c r="B1145">
        <v>1036683729</v>
      </c>
      <c r="C1145" t="s">
        <v>954</v>
      </c>
      <c r="D1145" s="11" t="s">
        <v>82</v>
      </c>
      <c r="E1145" s="11" t="s">
        <v>4045</v>
      </c>
      <c r="F1145" s="11" t="s">
        <v>4074</v>
      </c>
      <c r="G1145" s="1">
        <v>46253</v>
      </c>
      <c r="H1145" s="1">
        <v>46255</v>
      </c>
      <c r="I1145" s="2">
        <v>0.58333333333333337</v>
      </c>
      <c r="J1145" s="2">
        <v>0.83333333333333337</v>
      </c>
      <c r="K1145" s="11"/>
      <c r="L1145" s="11" t="s">
        <v>4060</v>
      </c>
      <c r="M1145" s="1"/>
      <c r="N1145" s="11"/>
      <c r="O1145" s="11" t="s">
        <v>4042</v>
      </c>
      <c r="P1145" s="1"/>
      <c r="Q1145" s="1"/>
      <c r="R1145" s="11"/>
      <c r="S1145" s="2">
        <f>CONSOLIDADO_2026[[#This Row],[Hora final]]-CONSOLIDADO_2026[[#This Row],[Hora inic]]</f>
        <v>0.25</v>
      </c>
    </row>
    <row r="1146" spans="1:19" hidden="1" x14ac:dyDescent="0.25">
      <c r="A1146" t="s">
        <v>4201</v>
      </c>
      <c r="B1146">
        <v>1035436500</v>
      </c>
      <c r="C1146" t="s">
        <v>2991</v>
      </c>
      <c r="D1146" s="11" t="s">
        <v>482</v>
      </c>
      <c r="E1146" s="11" t="s">
        <v>4040</v>
      </c>
      <c r="F1146" s="11" t="s">
        <v>16</v>
      </c>
      <c r="G1146" s="1">
        <v>46253</v>
      </c>
      <c r="H1146" s="1">
        <v>46253</v>
      </c>
      <c r="I1146" s="2">
        <v>0.58333333333333337</v>
      </c>
      <c r="J1146" s="2">
        <v>0.875</v>
      </c>
      <c r="K1146" s="11"/>
      <c r="L1146" s="11" t="s">
        <v>327</v>
      </c>
      <c r="M1146" s="1"/>
      <c r="N1146" s="11"/>
      <c r="O1146" s="11" t="s">
        <v>4042</v>
      </c>
      <c r="P1146" s="1"/>
      <c r="Q1146" s="1"/>
      <c r="R1146" s="11"/>
      <c r="S1146" s="2">
        <f>CONSOLIDADO_2026[[#This Row],[Hora final]]-CONSOLIDADO_2026[[#This Row],[Hora inic]]</f>
        <v>0.29166666666666663</v>
      </c>
    </row>
    <row r="1147" spans="1:19" hidden="1" x14ac:dyDescent="0.25">
      <c r="A1147" t="s">
        <v>4201</v>
      </c>
      <c r="B1147">
        <v>1042065946</v>
      </c>
      <c r="C1147" t="s">
        <v>732</v>
      </c>
      <c r="D1147" s="11" t="s">
        <v>128</v>
      </c>
      <c r="E1147" s="11" t="s">
        <v>4045</v>
      </c>
      <c r="F1147" s="11" t="s">
        <v>4087</v>
      </c>
      <c r="G1147" s="1">
        <v>46253</v>
      </c>
      <c r="H1147" s="1">
        <v>46253</v>
      </c>
      <c r="I1147" s="2"/>
      <c r="J1147" s="2"/>
      <c r="K1147" s="11"/>
      <c r="L1147" s="11" t="s">
        <v>327</v>
      </c>
      <c r="M1147" s="1"/>
      <c r="N1147" s="11"/>
      <c r="O1147" s="11" t="s">
        <v>4042</v>
      </c>
      <c r="P1147" s="1"/>
      <c r="Q1147" s="1"/>
      <c r="R1147" s="11"/>
      <c r="S1147" s="2">
        <f>CONSOLIDADO_2026[[#This Row],[Hora final]]-CONSOLIDADO_2026[[#This Row],[Hora inic]]</f>
        <v>0</v>
      </c>
    </row>
    <row r="1148" spans="1:19" hidden="1" x14ac:dyDescent="0.25">
      <c r="A1148" t="s">
        <v>4201</v>
      </c>
      <c r="B1148">
        <v>1001446162</v>
      </c>
      <c r="C1148" t="s">
        <v>3663</v>
      </c>
      <c r="D1148" s="11" t="s">
        <v>162</v>
      </c>
      <c r="E1148" s="11" t="s">
        <v>4056</v>
      </c>
      <c r="F1148" s="11" t="s">
        <v>4073</v>
      </c>
      <c r="G1148" s="1">
        <v>46253</v>
      </c>
      <c r="H1148" s="1">
        <v>46253</v>
      </c>
      <c r="I1148" s="2">
        <v>0.58333333333333337</v>
      </c>
      <c r="J1148" s="2">
        <v>0.875</v>
      </c>
      <c r="K1148" s="11"/>
      <c r="L1148" s="11" t="s">
        <v>339</v>
      </c>
      <c r="M1148" s="1"/>
      <c r="N1148" s="11"/>
      <c r="O1148" s="11" t="s">
        <v>4042</v>
      </c>
      <c r="P1148" s="1"/>
      <c r="Q1148" s="1"/>
      <c r="R1148" s="11"/>
      <c r="S1148" s="2">
        <f>CONSOLIDADO_2026[[#This Row],[Hora final]]-CONSOLIDADO_2026[[#This Row],[Hora inic]]</f>
        <v>0.29166666666666663</v>
      </c>
    </row>
    <row r="1149" spans="1:19" hidden="1" x14ac:dyDescent="0.25">
      <c r="A1149" t="s">
        <v>4201</v>
      </c>
      <c r="B1149">
        <v>1193454765</v>
      </c>
      <c r="C1149" t="s">
        <v>1428</v>
      </c>
      <c r="D1149" s="11" t="s">
        <v>256</v>
      </c>
      <c r="E1149" s="11" t="s">
        <v>4040</v>
      </c>
      <c r="F1149" s="11" t="s">
        <v>4104</v>
      </c>
      <c r="G1149" s="1">
        <v>46253</v>
      </c>
      <c r="H1149" s="1">
        <v>46253</v>
      </c>
      <c r="I1149" s="2">
        <v>0.5</v>
      </c>
      <c r="J1149" s="2">
        <v>0.79166666666666663</v>
      </c>
      <c r="K1149" s="11"/>
      <c r="L1149" s="11" t="s">
        <v>339</v>
      </c>
      <c r="M1149" s="1"/>
      <c r="N1149" s="11"/>
      <c r="O1149" s="11" t="s">
        <v>4042</v>
      </c>
      <c r="P1149" s="1"/>
      <c r="Q1149" s="1"/>
      <c r="R1149" s="11"/>
      <c r="S1149" s="2">
        <f>CONSOLIDADO_2026[[#This Row],[Hora final]]-CONSOLIDADO_2026[[#This Row],[Hora inic]]</f>
        <v>0.29166666666666663</v>
      </c>
    </row>
    <row r="1150" spans="1:19" hidden="1" x14ac:dyDescent="0.25">
      <c r="A1150" t="s">
        <v>4201</v>
      </c>
      <c r="B1150">
        <v>1143374524</v>
      </c>
      <c r="C1150" t="s">
        <v>2755</v>
      </c>
      <c r="D1150" s="11" t="s">
        <v>51</v>
      </c>
      <c r="E1150" s="11" t="s">
        <v>4047</v>
      </c>
      <c r="F1150" s="11" t="s">
        <v>16</v>
      </c>
      <c r="G1150" s="1">
        <v>46253</v>
      </c>
      <c r="H1150" s="1">
        <v>46255</v>
      </c>
      <c r="I1150" s="2">
        <v>0.54166666666666663</v>
      </c>
      <c r="J1150" s="2">
        <v>0.875</v>
      </c>
      <c r="K1150" s="11"/>
      <c r="L1150" s="11" t="s">
        <v>327</v>
      </c>
      <c r="M1150" s="1"/>
      <c r="N1150" s="11"/>
      <c r="O1150" s="11" t="s">
        <v>4042</v>
      </c>
      <c r="P1150" s="1"/>
      <c r="Q1150" s="1"/>
      <c r="R1150" s="11"/>
      <c r="S1150" s="2">
        <f>CONSOLIDADO_2026[[#This Row],[Hora final]]-CONSOLIDADO_2026[[#This Row],[Hora inic]]</f>
        <v>0.33333333333333337</v>
      </c>
    </row>
    <row r="1151" spans="1:19" hidden="1" x14ac:dyDescent="0.25">
      <c r="A1151" t="s">
        <v>4204</v>
      </c>
      <c r="B1151">
        <v>1152467583</v>
      </c>
      <c r="C1151" t="s">
        <v>3788</v>
      </c>
      <c r="D1151" s="11" t="s">
        <v>68</v>
      </c>
      <c r="E1151" s="11" t="s">
        <v>4040</v>
      </c>
      <c r="F1151" s="11" t="s">
        <v>16</v>
      </c>
      <c r="G1151" s="1">
        <v>46252</v>
      </c>
      <c r="H1151" s="1">
        <v>46253</v>
      </c>
      <c r="I1151" s="2"/>
      <c r="J1151" s="2"/>
      <c r="K1151" s="11"/>
      <c r="L1151" s="11" t="s">
        <v>4041</v>
      </c>
      <c r="M1151" s="1"/>
      <c r="N1151" s="11"/>
      <c r="O1151" s="11" t="s">
        <v>4042</v>
      </c>
      <c r="P1151" s="1"/>
      <c r="Q1151" s="1"/>
      <c r="R1151" s="11"/>
      <c r="S1151" s="2">
        <f>CONSOLIDADO_2026[[#This Row],[Hora final]]-CONSOLIDADO_2026[[#This Row],[Hora inic]]</f>
        <v>0</v>
      </c>
    </row>
    <row r="1152" spans="1:19" hidden="1" x14ac:dyDescent="0.25">
      <c r="A1152" t="s">
        <v>4204</v>
      </c>
      <c r="B1152">
        <v>1038412205</v>
      </c>
      <c r="C1152" t="s">
        <v>2848</v>
      </c>
      <c r="D1152" s="11" t="s">
        <v>482</v>
      </c>
      <c r="E1152" s="11" t="s">
        <v>4040</v>
      </c>
      <c r="F1152" s="11" t="s">
        <v>16</v>
      </c>
      <c r="G1152" s="1">
        <v>46252</v>
      </c>
      <c r="H1152" s="1">
        <v>46253</v>
      </c>
      <c r="I1152" s="2"/>
      <c r="J1152" s="2"/>
      <c r="K1152" s="11"/>
      <c r="L1152" s="11" t="s">
        <v>4041</v>
      </c>
      <c r="M1152" s="1"/>
      <c r="N1152" s="11"/>
      <c r="O1152" s="11" t="s">
        <v>4042</v>
      </c>
      <c r="P1152" s="1"/>
      <c r="Q1152" s="1"/>
      <c r="R1152" s="11"/>
      <c r="S1152" s="2">
        <f>CONSOLIDADO_2026[[#This Row],[Hora final]]-CONSOLIDADO_2026[[#This Row],[Hora inic]]</f>
        <v>0</v>
      </c>
    </row>
    <row r="1153" spans="1:19" hidden="1" x14ac:dyDescent="0.25">
      <c r="A1153" t="s">
        <v>4204</v>
      </c>
      <c r="B1153">
        <v>1000099010</v>
      </c>
      <c r="C1153" t="s">
        <v>660</v>
      </c>
      <c r="D1153" s="11" t="s">
        <v>139</v>
      </c>
      <c r="E1153" s="11" t="s">
        <v>4040</v>
      </c>
      <c r="F1153" s="11" t="s">
        <v>4074</v>
      </c>
      <c r="G1153" s="1">
        <v>46252</v>
      </c>
      <c r="H1153" s="1">
        <v>46253</v>
      </c>
      <c r="I1153" s="2">
        <v>0.54166666666666663</v>
      </c>
      <c r="J1153" s="2">
        <v>0.875</v>
      </c>
      <c r="K1153" s="11"/>
      <c r="L1153" s="11" t="s">
        <v>4060</v>
      </c>
      <c r="M1153" s="1"/>
      <c r="N1153" s="11"/>
      <c r="O1153" s="11" t="s">
        <v>4042</v>
      </c>
      <c r="P1153" s="1"/>
      <c r="Q1153" s="1"/>
      <c r="R1153" s="11"/>
      <c r="S1153" s="2">
        <f>CONSOLIDADO_2026[[#This Row],[Hora final]]-CONSOLIDADO_2026[[#This Row],[Hora inic]]</f>
        <v>0.33333333333333337</v>
      </c>
    </row>
    <row r="1154" spans="1:19" hidden="1" x14ac:dyDescent="0.25">
      <c r="A1154" t="s">
        <v>4204</v>
      </c>
      <c r="B1154">
        <v>1037661959</v>
      </c>
      <c r="C1154" t="s">
        <v>4080</v>
      </c>
      <c r="D1154" s="11" t="s">
        <v>482</v>
      </c>
      <c r="E1154" s="11" t="s">
        <v>4040</v>
      </c>
      <c r="F1154" s="11" t="s">
        <v>4050</v>
      </c>
      <c r="G1154" s="1">
        <v>46253</v>
      </c>
      <c r="H1154" s="1">
        <v>46255</v>
      </c>
      <c r="I1154" s="2">
        <v>0.54166666666666663</v>
      </c>
      <c r="J1154" s="2">
        <v>0.875</v>
      </c>
      <c r="K1154" s="11" t="s">
        <v>251</v>
      </c>
      <c r="L1154" s="11" t="s">
        <v>252</v>
      </c>
      <c r="M1154" s="1"/>
      <c r="N1154" s="11"/>
      <c r="O1154" s="11" t="s">
        <v>21</v>
      </c>
      <c r="P1154" s="1"/>
      <c r="Q1154" s="1"/>
      <c r="R1154" s="11"/>
      <c r="S1154" s="2">
        <f>CONSOLIDADO_2026[[#This Row],[Hora final]]-CONSOLIDADO_2026[[#This Row],[Hora inic]]</f>
        <v>0.33333333333333337</v>
      </c>
    </row>
    <row r="1155" spans="1:19" hidden="1" x14ac:dyDescent="0.25">
      <c r="A1155" t="s">
        <v>4204</v>
      </c>
      <c r="B1155">
        <v>1128467297</v>
      </c>
      <c r="C1155" t="s">
        <v>3392</v>
      </c>
      <c r="D1155" s="11" t="s">
        <v>619</v>
      </c>
      <c r="E1155" s="11" t="s">
        <v>4045</v>
      </c>
      <c r="F1155" s="11" t="s">
        <v>16</v>
      </c>
      <c r="G1155" s="1">
        <v>46252</v>
      </c>
      <c r="H1155" s="1">
        <v>46253</v>
      </c>
      <c r="I1155" s="2"/>
      <c r="J1155" s="2"/>
      <c r="K1155" s="11"/>
      <c r="L1155" s="11" t="s">
        <v>4041</v>
      </c>
      <c r="M1155" s="1"/>
      <c r="N1155" s="11"/>
      <c r="O1155" s="11" t="s">
        <v>4042</v>
      </c>
      <c r="P1155" s="1"/>
      <c r="Q1155" s="1"/>
      <c r="R1155" s="11"/>
      <c r="S1155" s="2">
        <f>CONSOLIDADO_2026[[#This Row],[Hora final]]-CONSOLIDADO_2026[[#This Row],[Hora inic]]</f>
        <v>0</v>
      </c>
    </row>
    <row r="1156" spans="1:19" hidden="1" x14ac:dyDescent="0.25">
      <c r="A1156" t="s">
        <v>4204</v>
      </c>
      <c r="B1156">
        <v>1090420169</v>
      </c>
      <c r="C1156" t="s">
        <v>1658</v>
      </c>
      <c r="D1156" s="11" t="s">
        <v>51</v>
      </c>
      <c r="E1156" s="11" t="s">
        <v>4047</v>
      </c>
      <c r="F1156" s="11" t="s">
        <v>4147</v>
      </c>
      <c r="G1156" s="1">
        <v>46253</v>
      </c>
      <c r="H1156" s="1">
        <v>46253</v>
      </c>
      <c r="I1156" s="2"/>
      <c r="J1156" s="2"/>
      <c r="K1156" s="11"/>
      <c r="L1156" s="11" t="s">
        <v>4041</v>
      </c>
      <c r="M1156" s="1"/>
      <c r="N1156" s="11"/>
      <c r="O1156" s="11" t="s">
        <v>4042</v>
      </c>
      <c r="P1156" s="1"/>
      <c r="Q1156" s="1"/>
      <c r="R1156" s="11"/>
      <c r="S1156" s="2">
        <f>CONSOLIDADO_2026[[#This Row],[Hora final]]-CONSOLIDADO_2026[[#This Row],[Hora inic]]</f>
        <v>0</v>
      </c>
    </row>
    <row r="1157" spans="1:19" hidden="1" x14ac:dyDescent="0.25">
      <c r="A1157" t="s">
        <v>4204</v>
      </c>
      <c r="B1157">
        <v>1152434926</v>
      </c>
      <c r="C1157" t="s">
        <v>217</v>
      </c>
      <c r="D1157" s="11" t="s">
        <v>59</v>
      </c>
      <c r="E1157" s="11" t="s">
        <v>4047</v>
      </c>
      <c r="F1157" s="11" t="s">
        <v>16</v>
      </c>
      <c r="G1157" s="1">
        <v>46252</v>
      </c>
      <c r="H1157" s="1">
        <v>46255</v>
      </c>
      <c r="I1157" s="2">
        <v>0.25</v>
      </c>
      <c r="J1157" s="2">
        <v>0.58333333333333337</v>
      </c>
      <c r="K1157" s="11"/>
      <c r="L1157" s="11" t="s">
        <v>327</v>
      </c>
      <c r="M1157" s="1"/>
      <c r="N1157" s="11"/>
      <c r="O1157" s="11" t="s">
        <v>4042</v>
      </c>
      <c r="P1157" s="1"/>
      <c r="Q1157" s="1"/>
      <c r="R1157" s="11"/>
      <c r="S1157" s="2">
        <f>CONSOLIDADO_2026[[#This Row],[Hora final]]-CONSOLIDADO_2026[[#This Row],[Hora inic]]</f>
        <v>0.33333333333333337</v>
      </c>
    </row>
    <row r="1158" spans="1:19" hidden="1" x14ac:dyDescent="0.25">
      <c r="A1158" t="s">
        <v>4204</v>
      </c>
      <c r="B1158">
        <v>1143375080</v>
      </c>
      <c r="C1158" t="s">
        <v>203</v>
      </c>
      <c r="D1158" s="11" t="s">
        <v>44</v>
      </c>
      <c r="E1158" s="11" t="s">
        <v>4045</v>
      </c>
      <c r="F1158" s="11" t="s">
        <v>158</v>
      </c>
      <c r="G1158" s="1">
        <v>46249</v>
      </c>
      <c r="H1158" s="1"/>
      <c r="I1158" s="2">
        <v>0.25</v>
      </c>
      <c r="J1158" s="2">
        <v>0.58333333333333337</v>
      </c>
      <c r="K1158" s="11" t="s">
        <v>306</v>
      </c>
      <c r="L1158" s="11" t="s">
        <v>307</v>
      </c>
      <c r="M1158" s="1"/>
      <c r="N1158" s="11"/>
      <c r="O1158" s="11" t="s">
        <v>21</v>
      </c>
      <c r="P1158" s="1"/>
      <c r="Q1158" s="1"/>
      <c r="R1158" s="11"/>
      <c r="S1158" s="2">
        <f>CONSOLIDADO_2026[[#This Row],[Hora final]]-CONSOLIDADO_2026[[#This Row],[Hora inic]]</f>
        <v>0.33333333333333337</v>
      </c>
    </row>
    <row r="1159" spans="1:19" hidden="1" x14ac:dyDescent="0.25">
      <c r="A1159" t="s">
        <v>4204</v>
      </c>
      <c r="B1159">
        <v>43628997</v>
      </c>
      <c r="C1159" t="s">
        <v>3256</v>
      </c>
      <c r="D1159" s="11" t="s">
        <v>64</v>
      </c>
      <c r="E1159" s="11" t="s">
        <v>4046</v>
      </c>
      <c r="F1159" s="11" t="s">
        <v>16</v>
      </c>
      <c r="G1159" s="1">
        <v>46252</v>
      </c>
      <c r="H1159" s="1">
        <v>46253</v>
      </c>
      <c r="I1159" s="2"/>
      <c r="J1159" s="2"/>
      <c r="K1159" s="11"/>
      <c r="L1159" s="11" t="s">
        <v>4041</v>
      </c>
      <c r="M1159" s="1"/>
      <c r="N1159" s="11"/>
      <c r="O1159" s="11" t="s">
        <v>4042</v>
      </c>
      <c r="P1159" s="1"/>
      <c r="Q1159" s="1"/>
      <c r="R1159" s="11"/>
      <c r="S1159" s="2">
        <f>CONSOLIDADO_2026[[#This Row],[Hora final]]-CONSOLIDADO_2026[[#This Row],[Hora inic]]</f>
        <v>0</v>
      </c>
    </row>
    <row r="1160" spans="1:19" hidden="1" x14ac:dyDescent="0.25">
      <c r="A1160" t="s">
        <v>4204</v>
      </c>
      <c r="B1160">
        <v>1002210045</v>
      </c>
      <c r="C1160" t="s">
        <v>1815</v>
      </c>
      <c r="D1160" s="11" t="s">
        <v>421</v>
      </c>
      <c r="E1160" s="11" t="s">
        <v>4047</v>
      </c>
      <c r="F1160" s="11" t="s">
        <v>16</v>
      </c>
      <c r="G1160" s="1">
        <v>46252</v>
      </c>
      <c r="H1160" s="1">
        <v>46253</v>
      </c>
      <c r="I1160" s="2"/>
      <c r="J1160" s="2"/>
      <c r="K1160" s="11"/>
      <c r="L1160" s="11" t="s">
        <v>4041</v>
      </c>
      <c r="M1160" s="1"/>
      <c r="N1160" s="11"/>
      <c r="O1160" s="11" t="s">
        <v>4042</v>
      </c>
      <c r="P1160" s="1"/>
      <c r="Q1160" s="1"/>
      <c r="R1160" s="11"/>
      <c r="S1160" s="2">
        <f>CONSOLIDADO_2026[[#This Row],[Hora final]]-CONSOLIDADO_2026[[#This Row],[Hora inic]]</f>
        <v>0</v>
      </c>
    </row>
    <row r="1161" spans="1:19" hidden="1" x14ac:dyDescent="0.25">
      <c r="A1161" t="s">
        <v>4204</v>
      </c>
      <c r="B1161">
        <v>1001944593</v>
      </c>
      <c r="C1161" t="s">
        <v>2629</v>
      </c>
      <c r="D1161" s="11" t="s">
        <v>128</v>
      </c>
      <c r="E1161" s="11" t="s">
        <v>4045</v>
      </c>
      <c r="F1161" s="11" t="s">
        <v>16</v>
      </c>
      <c r="G1161" s="1">
        <v>46252</v>
      </c>
      <c r="H1161" s="1">
        <v>46252</v>
      </c>
      <c r="I1161" s="2"/>
      <c r="J1161" s="2"/>
      <c r="K1161" s="11"/>
      <c r="L1161" s="11" t="s">
        <v>4041</v>
      </c>
      <c r="M1161" s="1"/>
      <c r="N1161" s="11"/>
      <c r="O1161" s="11" t="s">
        <v>4042</v>
      </c>
      <c r="P1161" s="1"/>
      <c r="Q1161" s="1"/>
      <c r="R1161" s="11"/>
      <c r="S1161" s="2">
        <f>CONSOLIDADO_2026[[#This Row],[Hora final]]-CONSOLIDADO_2026[[#This Row],[Hora inic]]</f>
        <v>0</v>
      </c>
    </row>
    <row r="1162" spans="1:19" hidden="1" x14ac:dyDescent="0.25">
      <c r="A1162" t="s">
        <v>4204</v>
      </c>
      <c r="B1162">
        <v>1214714989</v>
      </c>
      <c r="C1162" t="s">
        <v>2191</v>
      </c>
      <c r="D1162" s="11" t="s">
        <v>256</v>
      </c>
      <c r="E1162" s="11" t="s">
        <v>4040</v>
      </c>
      <c r="F1162" s="11" t="s">
        <v>16</v>
      </c>
      <c r="G1162" s="1">
        <v>46252</v>
      </c>
      <c r="H1162" s="1">
        <v>46253</v>
      </c>
      <c r="I1162" s="2"/>
      <c r="J1162" s="2"/>
      <c r="K1162" s="11"/>
      <c r="L1162" s="11" t="s">
        <v>4041</v>
      </c>
      <c r="M1162" s="1"/>
      <c r="N1162" s="11"/>
      <c r="O1162" s="11" t="s">
        <v>4042</v>
      </c>
      <c r="P1162" s="1"/>
      <c r="Q1162" s="1"/>
      <c r="R1162" s="11"/>
      <c r="S1162" s="2">
        <f>CONSOLIDADO_2026[[#This Row],[Hora final]]-CONSOLIDADO_2026[[#This Row],[Hora inic]]</f>
        <v>0</v>
      </c>
    </row>
    <row r="1163" spans="1:19" hidden="1" x14ac:dyDescent="0.25">
      <c r="A1163" t="s">
        <v>4204</v>
      </c>
      <c r="B1163">
        <v>1143267842</v>
      </c>
      <c r="C1163" t="s">
        <v>1501</v>
      </c>
      <c r="D1163" s="11" t="s">
        <v>128</v>
      </c>
      <c r="E1163" s="11" t="s">
        <v>4045</v>
      </c>
      <c r="F1163" s="11" t="s">
        <v>16</v>
      </c>
      <c r="G1163" s="1">
        <v>46252</v>
      </c>
      <c r="H1163" s="1">
        <v>46253</v>
      </c>
      <c r="I1163" s="2"/>
      <c r="J1163" s="2"/>
      <c r="K1163" s="11"/>
      <c r="L1163" s="11" t="s">
        <v>4041</v>
      </c>
      <c r="M1163" s="1"/>
      <c r="N1163" s="11"/>
      <c r="O1163" s="11" t="s">
        <v>4042</v>
      </c>
      <c r="P1163" s="1"/>
      <c r="Q1163" s="1"/>
      <c r="R1163" s="11"/>
      <c r="S1163" s="2">
        <f>CONSOLIDADO_2026[[#This Row],[Hora final]]-CONSOLIDADO_2026[[#This Row],[Hora inic]]</f>
        <v>0</v>
      </c>
    </row>
    <row r="1164" spans="1:19" hidden="1" x14ac:dyDescent="0.25">
      <c r="A1164" t="s">
        <v>4204</v>
      </c>
      <c r="B1164">
        <v>88030132</v>
      </c>
      <c r="C1164" t="s">
        <v>1956</v>
      </c>
      <c r="D1164" s="11" t="s">
        <v>59</v>
      </c>
      <c r="E1164" s="11" t="s">
        <v>4047</v>
      </c>
      <c r="F1164" s="11" t="s">
        <v>16</v>
      </c>
      <c r="G1164" s="1">
        <v>46252</v>
      </c>
      <c r="H1164" s="1">
        <v>46253</v>
      </c>
      <c r="I1164" s="2"/>
      <c r="J1164" s="2"/>
      <c r="K1164" s="11"/>
      <c r="L1164" s="11" t="s">
        <v>4041</v>
      </c>
      <c r="M1164" s="1"/>
      <c r="N1164" s="11"/>
      <c r="O1164" s="11" t="s">
        <v>4042</v>
      </c>
      <c r="P1164" s="1"/>
      <c r="Q1164" s="1"/>
      <c r="R1164" s="11"/>
      <c r="S1164" s="2">
        <f>CONSOLIDADO_2026[[#This Row],[Hora final]]-CONSOLIDADO_2026[[#This Row],[Hora inic]]</f>
        <v>0</v>
      </c>
    </row>
    <row r="1165" spans="1:19" hidden="1" x14ac:dyDescent="0.25">
      <c r="A1165" t="s">
        <v>4204</v>
      </c>
      <c r="B1165">
        <v>1001996913</v>
      </c>
      <c r="C1165" t="s">
        <v>3174</v>
      </c>
      <c r="D1165" s="11" t="s">
        <v>28</v>
      </c>
      <c r="E1165" s="11" t="s">
        <v>4046</v>
      </c>
      <c r="F1165" s="11" t="s">
        <v>16</v>
      </c>
      <c r="G1165" s="1">
        <v>46252</v>
      </c>
      <c r="H1165" s="1">
        <v>46254</v>
      </c>
      <c r="I1165" s="2">
        <v>0.54166666666666663</v>
      </c>
      <c r="J1165" s="2">
        <v>0.875</v>
      </c>
      <c r="K1165" s="11" t="s">
        <v>240</v>
      </c>
      <c r="L1165" s="11" t="s">
        <v>241</v>
      </c>
      <c r="M1165" s="1"/>
      <c r="N1165" s="11"/>
      <c r="O1165" s="11" t="s">
        <v>21</v>
      </c>
      <c r="P1165" s="1"/>
      <c r="Q1165" s="1"/>
      <c r="R1165" s="11"/>
      <c r="S1165" s="2">
        <f>CONSOLIDADO_2026[[#This Row],[Hora final]]-CONSOLIDADO_2026[[#This Row],[Hora inic]]</f>
        <v>0.33333333333333337</v>
      </c>
    </row>
    <row r="1166" spans="1:19" hidden="1" x14ac:dyDescent="0.25">
      <c r="A1166" t="s">
        <v>4204</v>
      </c>
      <c r="B1166">
        <v>1193037165</v>
      </c>
      <c r="C1166" t="s">
        <v>3800</v>
      </c>
      <c r="D1166" s="11" t="s">
        <v>78</v>
      </c>
      <c r="E1166" s="11" t="s">
        <v>4046</v>
      </c>
      <c r="F1166" s="11" t="s">
        <v>16</v>
      </c>
      <c r="G1166" s="1">
        <v>46252</v>
      </c>
      <c r="H1166" s="1">
        <v>46253</v>
      </c>
      <c r="I1166" s="2"/>
      <c r="J1166" s="2"/>
      <c r="K1166" s="11"/>
      <c r="L1166" s="11" t="s">
        <v>4041</v>
      </c>
      <c r="M1166" s="1"/>
      <c r="N1166" s="11"/>
      <c r="O1166" s="11" t="s">
        <v>4042</v>
      </c>
      <c r="P1166" s="1"/>
      <c r="Q1166" s="1"/>
      <c r="R1166" s="11"/>
      <c r="S1166" s="2">
        <f>CONSOLIDADO_2026[[#This Row],[Hora final]]-CONSOLIDADO_2026[[#This Row],[Hora inic]]</f>
        <v>0</v>
      </c>
    </row>
    <row r="1167" spans="1:19" hidden="1" x14ac:dyDescent="0.25">
      <c r="A1167" t="s">
        <v>4204</v>
      </c>
      <c r="B1167">
        <v>43453341</v>
      </c>
      <c r="C1167" t="s">
        <v>146</v>
      </c>
      <c r="D1167" s="11" t="s">
        <v>124</v>
      </c>
      <c r="E1167" s="11" t="s">
        <v>4045</v>
      </c>
      <c r="F1167" s="11" t="s">
        <v>16</v>
      </c>
      <c r="G1167" s="1">
        <v>46252</v>
      </c>
      <c r="H1167" s="1">
        <v>46253</v>
      </c>
      <c r="I1167" s="2"/>
      <c r="J1167" s="2"/>
      <c r="K1167" s="11"/>
      <c r="L1167" s="11" t="s">
        <v>4041</v>
      </c>
      <c r="M1167" s="1"/>
      <c r="N1167" s="11"/>
      <c r="O1167" s="11" t="s">
        <v>4042</v>
      </c>
      <c r="P1167" s="1"/>
      <c r="Q1167" s="1"/>
      <c r="R1167" s="11"/>
      <c r="S1167" s="2">
        <f>CONSOLIDADO_2026[[#This Row],[Hora final]]-CONSOLIDADO_2026[[#This Row],[Hora inic]]</f>
        <v>0</v>
      </c>
    </row>
    <row r="1168" spans="1:19" hidden="1" x14ac:dyDescent="0.25">
      <c r="A1168" t="s">
        <v>4204</v>
      </c>
      <c r="B1168">
        <v>1045718883</v>
      </c>
      <c r="C1168" t="s">
        <v>34</v>
      </c>
      <c r="D1168" s="11" t="s">
        <v>15</v>
      </c>
      <c r="E1168" s="11" t="s">
        <v>4046</v>
      </c>
      <c r="F1168" s="11" t="s">
        <v>36</v>
      </c>
      <c r="G1168" s="1">
        <v>46244</v>
      </c>
      <c r="H1168" s="1">
        <v>46393</v>
      </c>
      <c r="I1168" s="2">
        <v>0.25</v>
      </c>
      <c r="J1168" s="2">
        <v>0.54166666666666663</v>
      </c>
      <c r="K1168" s="11" t="s">
        <v>17</v>
      </c>
      <c r="L1168" s="11" t="s">
        <v>18</v>
      </c>
      <c r="M1168" s="1"/>
      <c r="N1168" s="11"/>
      <c r="O1168" s="11" t="s">
        <v>21</v>
      </c>
      <c r="P1168" s="1"/>
      <c r="Q1168" s="1"/>
      <c r="R1168" s="11"/>
      <c r="S1168" s="2">
        <f>CONSOLIDADO_2026[[#This Row],[Hora final]]-CONSOLIDADO_2026[[#This Row],[Hora inic]]</f>
        <v>0.29166666666666663</v>
      </c>
    </row>
    <row r="1169" spans="1:19" hidden="1" x14ac:dyDescent="0.25">
      <c r="A1169" t="s">
        <v>4204</v>
      </c>
      <c r="B1169">
        <v>1007959114</v>
      </c>
      <c r="C1169" t="s">
        <v>337</v>
      </c>
      <c r="D1169" s="11" t="s">
        <v>39</v>
      </c>
      <c r="E1169" s="11" t="s">
        <v>4046</v>
      </c>
      <c r="F1169" s="11" t="s">
        <v>16</v>
      </c>
      <c r="G1169" s="1">
        <v>46249</v>
      </c>
      <c r="H1169" s="1">
        <v>46253</v>
      </c>
      <c r="I1169" s="2"/>
      <c r="J1169" s="2"/>
      <c r="K1169" s="11"/>
      <c r="L1169" s="11" t="s">
        <v>4041</v>
      </c>
      <c r="M1169" s="1"/>
      <c r="N1169" s="11"/>
      <c r="O1169" s="11" t="s">
        <v>4042</v>
      </c>
      <c r="P1169" s="1"/>
      <c r="Q1169" s="1"/>
      <c r="R1169" s="11"/>
      <c r="S1169" s="2">
        <f>CONSOLIDADO_2026[[#This Row],[Hora final]]-CONSOLIDADO_2026[[#This Row],[Hora inic]]</f>
        <v>0</v>
      </c>
    </row>
    <row r="1170" spans="1:19" hidden="1" x14ac:dyDescent="0.25">
      <c r="A1170" t="s">
        <v>4204</v>
      </c>
      <c r="B1170">
        <v>1043006106</v>
      </c>
      <c r="C1170" t="s">
        <v>202</v>
      </c>
      <c r="D1170" s="11" t="s">
        <v>64</v>
      </c>
      <c r="E1170" s="11" t="s">
        <v>4046</v>
      </c>
      <c r="F1170" s="11" t="s">
        <v>16</v>
      </c>
      <c r="G1170" s="1">
        <v>46249</v>
      </c>
      <c r="H1170" s="1">
        <v>46278</v>
      </c>
      <c r="I1170" s="2">
        <v>0.58333333333333337</v>
      </c>
      <c r="J1170" s="2">
        <v>0.875</v>
      </c>
      <c r="K1170" s="11"/>
      <c r="L1170" s="11" t="s">
        <v>327</v>
      </c>
      <c r="M1170" s="1"/>
      <c r="N1170" s="11"/>
      <c r="O1170" s="11" t="s">
        <v>4042</v>
      </c>
      <c r="P1170" s="1"/>
      <c r="Q1170" s="1"/>
      <c r="R1170" s="11"/>
      <c r="S1170" s="2">
        <f>CONSOLIDADO_2026[[#This Row],[Hora final]]-CONSOLIDADO_2026[[#This Row],[Hora inic]]</f>
        <v>0.29166666666666663</v>
      </c>
    </row>
    <row r="1171" spans="1:19" hidden="1" x14ac:dyDescent="0.25">
      <c r="A1171" t="s">
        <v>4204</v>
      </c>
      <c r="B1171">
        <v>1040755197</v>
      </c>
      <c r="C1171" t="s">
        <v>171</v>
      </c>
      <c r="D1171" s="11" t="s">
        <v>172</v>
      </c>
      <c r="E1171" s="11" t="s">
        <v>4046</v>
      </c>
      <c r="F1171" s="11" t="s">
        <v>16</v>
      </c>
      <c r="G1171" s="1">
        <v>46252</v>
      </c>
      <c r="H1171" s="1">
        <v>46262</v>
      </c>
      <c r="I1171" s="2">
        <v>0.25</v>
      </c>
      <c r="J1171" s="2">
        <v>0.58333333333333337</v>
      </c>
      <c r="K1171" s="11" t="s">
        <v>199</v>
      </c>
      <c r="L1171" s="11" t="s">
        <v>200</v>
      </c>
      <c r="M1171" s="1"/>
      <c r="N1171" s="11"/>
      <c r="O1171" s="11" t="s">
        <v>21</v>
      </c>
      <c r="P1171" s="1"/>
      <c r="Q1171" s="1"/>
      <c r="R1171" s="11"/>
      <c r="S1171" s="2">
        <f>CONSOLIDADO_2026[[#This Row],[Hora final]]-CONSOLIDADO_2026[[#This Row],[Hora inic]]</f>
        <v>0.33333333333333337</v>
      </c>
    </row>
    <row r="1172" spans="1:19" hidden="1" x14ac:dyDescent="0.25">
      <c r="A1172" t="s">
        <v>4204</v>
      </c>
      <c r="B1172">
        <v>1102808787</v>
      </c>
      <c r="C1172" t="s">
        <v>135</v>
      </c>
      <c r="D1172" s="11" t="s">
        <v>39</v>
      </c>
      <c r="E1172" s="11" t="s">
        <v>4046</v>
      </c>
      <c r="F1172" s="11" t="s">
        <v>16</v>
      </c>
      <c r="G1172" s="1">
        <v>46237</v>
      </c>
      <c r="H1172" s="1">
        <v>46276</v>
      </c>
      <c r="I1172" s="2">
        <v>0.25</v>
      </c>
      <c r="J1172" s="2">
        <v>0.54166666666666663</v>
      </c>
      <c r="K1172" s="11" t="s">
        <v>222</v>
      </c>
      <c r="L1172" s="11" t="s">
        <v>223</v>
      </c>
      <c r="M1172" s="1"/>
      <c r="N1172" s="11"/>
      <c r="O1172" s="11" t="s">
        <v>21</v>
      </c>
      <c r="P1172" s="1"/>
      <c r="Q1172" s="1"/>
      <c r="R1172" s="11"/>
      <c r="S1172" s="2">
        <f>CONSOLIDADO_2026[[#This Row],[Hora final]]-CONSOLIDADO_2026[[#This Row],[Hora inic]]</f>
        <v>0.29166666666666663</v>
      </c>
    </row>
    <row r="1173" spans="1:19" hidden="1" x14ac:dyDescent="0.25">
      <c r="A1173" t="s">
        <v>4204</v>
      </c>
      <c r="B1173">
        <v>1001479648</v>
      </c>
      <c r="C1173" t="s">
        <v>2970</v>
      </c>
      <c r="D1173" s="11" t="s">
        <v>414</v>
      </c>
      <c r="E1173" s="11" t="s">
        <v>4056</v>
      </c>
      <c r="F1173" s="11" t="s">
        <v>4140</v>
      </c>
      <c r="G1173" s="1">
        <v>46253</v>
      </c>
      <c r="H1173" s="1">
        <v>46253</v>
      </c>
      <c r="I1173" s="2"/>
      <c r="J1173" s="2"/>
      <c r="K1173" s="11"/>
      <c r="L1173" s="11" t="s">
        <v>4041</v>
      </c>
      <c r="M1173" s="1"/>
      <c r="N1173" s="11"/>
      <c r="O1173" s="11" t="s">
        <v>4042</v>
      </c>
      <c r="P1173" s="1"/>
      <c r="Q1173" s="1"/>
      <c r="R1173" s="11"/>
      <c r="S1173" s="2">
        <f>CONSOLIDADO_2026[[#This Row],[Hora final]]-CONSOLIDADO_2026[[#This Row],[Hora inic]]</f>
        <v>0</v>
      </c>
    </row>
    <row r="1174" spans="1:19" hidden="1" x14ac:dyDescent="0.25">
      <c r="A1174" t="s">
        <v>4204</v>
      </c>
      <c r="B1174">
        <v>1035876080</v>
      </c>
      <c r="C1174" t="s">
        <v>123</v>
      </c>
      <c r="D1174" s="11" t="s">
        <v>124</v>
      </c>
      <c r="E1174" s="11" t="s">
        <v>4045</v>
      </c>
      <c r="F1174" s="11" t="s">
        <v>16</v>
      </c>
      <c r="G1174" s="1">
        <v>46246</v>
      </c>
      <c r="H1174" s="1">
        <v>46254</v>
      </c>
      <c r="I1174" s="2">
        <v>0.25</v>
      </c>
      <c r="J1174" s="2">
        <v>0.58333333333333337</v>
      </c>
      <c r="K1174" s="11" t="s">
        <v>167</v>
      </c>
      <c r="L1174" s="11" t="s">
        <v>168</v>
      </c>
      <c r="M1174" s="1"/>
      <c r="N1174" s="11"/>
      <c r="O1174" s="11" t="s">
        <v>21</v>
      </c>
      <c r="P1174" s="1"/>
      <c r="Q1174" s="1"/>
      <c r="R1174" s="11"/>
      <c r="S1174" s="2">
        <f>CONSOLIDADO_2026[[#This Row],[Hora final]]-CONSOLIDADO_2026[[#This Row],[Hora inic]]</f>
        <v>0.33333333333333337</v>
      </c>
    </row>
    <row r="1175" spans="1:19" hidden="1" x14ac:dyDescent="0.25">
      <c r="A1175" t="s">
        <v>4204</v>
      </c>
      <c r="B1175">
        <v>1037638426</v>
      </c>
      <c r="C1175" t="s">
        <v>31</v>
      </c>
      <c r="D1175" s="11" t="s">
        <v>28</v>
      </c>
      <c r="E1175" s="11" t="s">
        <v>4046</v>
      </c>
      <c r="F1175" s="11" t="s">
        <v>24</v>
      </c>
      <c r="G1175" s="1">
        <v>46249</v>
      </c>
      <c r="H1175" s="1">
        <v>46264</v>
      </c>
      <c r="I1175" s="2">
        <v>0.25</v>
      </c>
      <c r="J1175" s="2">
        <v>0.54166666666666663</v>
      </c>
      <c r="K1175" s="11" t="s">
        <v>236</v>
      </c>
      <c r="L1175" s="11" t="s">
        <v>237</v>
      </c>
      <c r="M1175" s="1"/>
      <c r="N1175" s="11"/>
      <c r="O1175" s="11" t="s">
        <v>21</v>
      </c>
      <c r="P1175" s="1"/>
      <c r="Q1175" s="1"/>
      <c r="R1175" s="11"/>
      <c r="S1175" s="2">
        <f>CONSOLIDADO_2026[[#This Row],[Hora final]]-CONSOLIDADO_2026[[#This Row],[Hora inic]]</f>
        <v>0.29166666666666663</v>
      </c>
    </row>
    <row r="1176" spans="1:19" hidden="1" x14ac:dyDescent="0.25">
      <c r="A1176" t="s">
        <v>4204</v>
      </c>
      <c r="B1176">
        <v>1082896324</v>
      </c>
      <c r="C1176" t="s">
        <v>127</v>
      </c>
      <c r="D1176" s="11" t="s">
        <v>128</v>
      </c>
      <c r="E1176" s="11" t="s">
        <v>4045</v>
      </c>
      <c r="F1176" s="11" t="s">
        <v>16</v>
      </c>
      <c r="G1176" s="1">
        <v>46242</v>
      </c>
      <c r="H1176" s="1">
        <v>46272</v>
      </c>
      <c r="I1176" s="2">
        <v>0.58333333333333337</v>
      </c>
      <c r="J1176" s="2">
        <v>0.875</v>
      </c>
      <c r="K1176" s="11" t="s">
        <v>119</v>
      </c>
      <c r="L1176" s="11" t="s">
        <v>120</v>
      </c>
      <c r="M1176" s="1"/>
      <c r="N1176" s="11"/>
      <c r="O1176" s="11" t="s">
        <v>21</v>
      </c>
      <c r="P1176" s="1"/>
      <c r="Q1176" s="1"/>
      <c r="R1176" s="11"/>
      <c r="S1176" s="2">
        <f>CONSOLIDADO_2026[[#This Row],[Hora final]]-CONSOLIDADO_2026[[#This Row],[Hora inic]]</f>
        <v>0.29166666666666663</v>
      </c>
    </row>
    <row r="1177" spans="1:19" hidden="1" x14ac:dyDescent="0.25">
      <c r="A1177" t="s">
        <v>4204</v>
      </c>
      <c r="B1177">
        <v>1017270214</v>
      </c>
      <c r="C1177" t="s">
        <v>1016</v>
      </c>
      <c r="D1177" s="11" t="s">
        <v>139</v>
      </c>
      <c r="E1177" s="11" t="s">
        <v>4040</v>
      </c>
      <c r="F1177" s="11" t="s">
        <v>326</v>
      </c>
      <c r="G1177" s="1">
        <v>46253</v>
      </c>
      <c r="H1177" s="1">
        <v>46255</v>
      </c>
      <c r="I1177" s="2">
        <v>0.25</v>
      </c>
      <c r="J1177" s="2">
        <v>0.54166666666666663</v>
      </c>
      <c r="K1177" s="11" t="s">
        <v>85</v>
      </c>
      <c r="L1177" s="11" t="s">
        <v>86</v>
      </c>
      <c r="M1177" s="1"/>
      <c r="N1177" s="11"/>
      <c r="O1177" s="11" t="s">
        <v>21</v>
      </c>
      <c r="P1177" s="1"/>
      <c r="Q1177" s="1"/>
      <c r="R1177" s="11"/>
      <c r="S1177" s="2">
        <f>CONSOLIDADO_2026[[#This Row],[Hora final]]-CONSOLIDADO_2026[[#This Row],[Hora inic]]</f>
        <v>0.29166666666666663</v>
      </c>
    </row>
    <row r="1178" spans="1:19" hidden="1" x14ac:dyDescent="0.25">
      <c r="A1178" t="s">
        <v>4204</v>
      </c>
      <c r="B1178">
        <v>1015483595</v>
      </c>
      <c r="C1178" t="s">
        <v>23</v>
      </c>
      <c r="D1178" s="11" t="s">
        <v>15</v>
      </c>
      <c r="E1178" s="11" t="s">
        <v>4046</v>
      </c>
      <c r="F1178" s="11" t="s">
        <v>24</v>
      </c>
      <c r="G1178" s="1">
        <v>46244</v>
      </c>
      <c r="H1178" s="1">
        <v>46265</v>
      </c>
      <c r="I1178" s="2">
        <v>0.54166666666666663</v>
      </c>
      <c r="J1178" s="2">
        <v>0.875</v>
      </c>
      <c r="K1178" s="11" t="s">
        <v>294</v>
      </c>
      <c r="L1178" s="11" t="s">
        <v>295</v>
      </c>
      <c r="M1178" s="1"/>
      <c r="N1178" s="11"/>
      <c r="O1178" s="11" t="s">
        <v>21</v>
      </c>
      <c r="P1178" s="1"/>
      <c r="Q1178" s="1"/>
      <c r="R1178" s="11"/>
      <c r="S1178" s="2">
        <f>CONSOLIDADO_2026[[#This Row],[Hora final]]-CONSOLIDADO_2026[[#This Row],[Hora inic]]</f>
        <v>0.33333333333333337</v>
      </c>
    </row>
    <row r="1179" spans="1:19" hidden="1" x14ac:dyDescent="0.25">
      <c r="A1179" t="s">
        <v>4204</v>
      </c>
      <c r="B1179">
        <v>1235045754</v>
      </c>
      <c r="C1179" t="s">
        <v>2420</v>
      </c>
      <c r="D1179" s="11" t="s">
        <v>421</v>
      </c>
      <c r="E1179" s="11" t="s">
        <v>4047</v>
      </c>
      <c r="F1179" s="11" t="s">
        <v>4140</v>
      </c>
      <c r="G1179" s="1">
        <v>46253</v>
      </c>
      <c r="H1179" s="1">
        <v>46253</v>
      </c>
      <c r="I1179" s="2"/>
      <c r="J1179" s="2"/>
      <c r="K1179" s="11"/>
      <c r="L1179" s="11" t="s">
        <v>4041</v>
      </c>
      <c r="M1179" s="1"/>
      <c r="N1179" s="11"/>
      <c r="O1179" s="11" t="s">
        <v>4042</v>
      </c>
      <c r="P1179" s="1"/>
      <c r="Q1179" s="1"/>
      <c r="R1179" s="11"/>
      <c r="S1179" s="2">
        <f>CONSOLIDADO_2026[[#This Row],[Hora final]]-CONSOLIDADO_2026[[#This Row],[Hora inic]]</f>
        <v>0</v>
      </c>
    </row>
    <row r="1180" spans="1:19" hidden="1" x14ac:dyDescent="0.25">
      <c r="A1180" t="s">
        <v>4204</v>
      </c>
      <c r="B1180">
        <v>1001851670</v>
      </c>
      <c r="C1180" t="s">
        <v>50</v>
      </c>
      <c r="D1180" s="11" t="s">
        <v>51</v>
      </c>
      <c r="E1180" s="11" t="s">
        <v>4047</v>
      </c>
      <c r="F1180" s="11" t="s">
        <v>36</v>
      </c>
      <c r="G1180" s="1">
        <v>46241</v>
      </c>
      <c r="H1180" s="1">
        <v>46366</v>
      </c>
      <c r="I1180" s="2">
        <v>0.54166666666666663</v>
      </c>
      <c r="J1180" s="2">
        <v>0.875</v>
      </c>
      <c r="K1180" s="11" t="s">
        <v>4202</v>
      </c>
      <c r="L1180" s="11" t="s">
        <v>340</v>
      </c>
      <c r="M1180" s="1"/>
      <c r="N1180" s="11"/>
      <c r="O1180" s="11" t="s">
        <v>21</v>
      </c>
      <c r="P1180" s="1"/>
      <c r="Q1180" s="1"/>
      <c r="R1180" s="11"/>
      <c r="S1180" s="2">
        <f>CONSOLIDADO_2026[[#This Row],[Hora final]]-CONSOLIDADO_2026[[#This Row],[Hora inic]]</f>
        <v>0.33333333333333337</v>
      </c>
    </row>
    <row r="1181" spans="1:19" hidden="1" x14ac:dyDescent="0.25">
      <c r="A1181" t="s">
        <v>4204</v>
      </c>
      <c r="B1181">
        <v>42141273</v>
      </c>
      <c r="C1181" t="s">
        <v>271</v>
      </c>
      <c r="D1181" s="11" t="s">
        <v>272</v>
      </c>
      <c r="E1181" s="11" t="s">
        <v>4056</v>
      </c>
      <c r="F1181" s="11" t="s">
        <v>4065</v>
      </c>
      <c r="G1181" s="1">
        <v>46238</v>
      </c>
      <c r="H1181" s="1">
        <v>46295</v>
      </c>
      <c r="I1181" s="2">
        <v>0.25</v>
      </c>
      <c r="J1181" s="2">
        <v>0.5</v>
      </c>
      <c r="K1181" s="11" t="s">
        <v>184</v>
      </c>
      <c r="L1181" s="11" t="s">
        <v>185</v>
      </c>
      <c r="M1181" s="1"/>
      <c r="N1181" s="11"/>
      <c r="O1181" s="11" t="s">
        <v>4042</v>
      </c>
      <c r="P1181" s="1"/>
      <c r="Q1181" s="1"/>
      <c r="R1181" s="11"/>
      <c r="S1181" s="2">
        <f>CONSOLIDADO_2026[[#This Row],[Hora final]]-CONSOLIDADO_2026[[#This Row],[Hora inic]]</f>
        <v>0.25</v>
      </c>
    </row>
    <row r="1182" spans="1:19" hidden="1" x14ac:dyDescent="0.25">
      <c r="A1182" t="s">
        <v>4204</v>
      </c>
      <c r="B1182">
        <v>1005424850</v>
      </c>
      <c r="C1182" t="s">
        <v>95</v>
      </c>
      <c r="D1182" s="11" t="s">
        <v>82</v>
      </c>
      <c r="E1182" s="11" t="s">
        <v>4045</v>
      </c>
      <c r="F1182" s="11" t="s">
        <v>4062</v>
      </c>
      <c r="G1182" s="1">
        <v>46254</v>
      </c>
      <c r="H1182" s="1">
        <v>46255</v>
      </c>
      <c r="I1182" s="2">
        <v>0.5</v>
      </c>
      <c r="J1182" s="2">
        <v>0.83333333333333337</v>
      </c>
      <c r="K1182" s="11" t="s">
        <v>303</v>
      </c>
      <c r="L1182" s="11" t="s">
        <v>304</v>
      </c>
      <c r="M1182" s="1"/>
      <c r="N1182" s="11"/>
      <c r="O1182" s="11" t="s">
        <v>21</v>
      </c>
      <c r="P1182" s="1"/>
      <c r="Q1182" s="1"/>
      <c r="R1182" s="11"/>
      <c r="S1182" s="2">
        <f>CONSOLIDADO_2026[[#This Row],[Hora final]]-CONSOLIDADO_2026[[#This Row],[Hora inic]]</f>
        <v>0.33333333333333337</v>
      </c>
    </row>
    <row r="1183" spans="1:19" hidden="1" x14ac:dyDescent="0.25">
      <c r="A1183" t="s">
        <v>4204</v>
      </c>
      <c r="B1183">
        <v>1152221372</v>
      </c>
      <c r="C1183" t="s">
        <v>2363</v>
      </c>
      <c r="D1183" s="11" t="s">
        <v>139</v>
      </c>
      <c r="E1183" s="11" t="s">
        <v>4040</v>
      </c>
      <c r="F1183" s="11" t="s">
        <v>158</v>
      </c>
      <c r="G1183" s="1">
        <v>46230</v>
      </c>
      <c r="H1183" s="1">
        <v>46230</v>
      </c>
      <c r="I1183" s="2">
        <v>0.54166666666666663</v>
      </c>
      <c r="J1183" s="2">
        <v>0.875</v>
      </c>
      <c r="K1183" s="11" t="s">
        <v>213</v>
      </c>
      <c r="L1183" s="11" t="s">
        <v>214</v>
      </c>
      <c r="M1183" s="1"/>
      <c r="N1183" s="11"/>
      <c r="O1183" s="11" t="s">
        <v>21</v>
      </c>
      <c r="P1183" s="1"/>
      <c r="Q1183" s="1"/>
      <c r="R1183" s="11"/>
      <c r="S1183" s="2">
        <f>CONSOLIDADO_2026[[#This Row],[Hora final]]-CONSOLIDADO_2026[[#This Row],[Hora inic]]</f>
        <v>0.33333333333333337</v>
      </c>
    </row>
    <row r="1184" spans="1:19" hidden="1" x14ac:dyDescent="0.25">
      <c r="A1184" t="s">
        <v>4204</v>
      </c>
      <c r="B1184">
        <v>1152439743</v>
      </c>
      <c r="C1184" t="s">
        <v>2079</v>
      </c>
      <c r="D1184" s="11" t="s">
        <v>245</v>
      </c>
      <c r="E1184" s="11" t="s">
        <v>4040</v>
      </c>
      <c r="F1184" s="11" t="s">
        <v>4140</v>
      </c>
      <c r="G1184" s="1">
        <v>46253</v>
      </c>
      <c r="H1184" s="1">
        <v>46253</v>
      </c>
      <c r="I1184" s="2"/>
      <c r="J1184" s="2"/>
      <c r="K1184" s="11"/>
      <c r="L1184" s="11" t="s">
        <v>4041</v>
      </c>
      <c r="M1184" s="1"/>
      <c r="N1184" s="11"/>
      <c r="O1184" s="11" t="s">
        <v>4042</v>
      </c>
      <c r="P1184" s="1"/>
      <c r="Q1184" s="1"/>
      <c r="R1184" s="11"/>
      <c r="S1184" s="2">
        <f>CONSOLIDADO_2026[[#This Row],[Hora final]]-CONSOLIDADO_2026[[#This Row],[Hora inic]]</f>
        <v>0</v>
      </c>
    </row>
    <row r="1185" spans="1:19" hidden="1" x14ac:dyDescent="0.25">
      <c r="A1185" t="s">
        <v>4204</v>
      </c>
      <c r="B1185">
        <v>1017264032</v>
      </c>
      <c r="C1185" t="s">
        <v>54</v>
      </c>
      <c r="D1185" s="11" t="s">
        <v>55</v>
      </c>
      <c r="E1185" s="11" t="s">
        <v>4047</v>
      </c>
      <c r="F1185" s="11" t="s">
        <v>16</v>
      </c>
      <c r="G1185" s="1">
        <v>46229</v>
      </c>
      <c r="H1185" s="1">
        <v>46258</v>
      </c>
      <c r="I1185" s="2">
        <v>0.58333333333333337</v>
      </c>
      <c r="J1185" s="2">
        <v>0.875</v>
      </c>
      <c r="K1185" s="11"/>
      <c r="L1185" s="11" t="s">
        <v>327</v>
      </c>
      <c r="M1185" s="1"/>
      <c r="N1185" s="11"/>
      <c r="O1185" s="11" t="s">
        <v>4042</v>
      </c>
      <c r="P1185" s="1"/>
      <c r="Q1185" s="1"/>
      <c r="R1185" s="11"/>
      <c r="S1185" s="2">
        <f>CONSOLIDADO_2026[[#This Row],[Hora final]]-CONSOLIDADO_2026[[#This Row],[Hora inic]]</f>
        <v>0.29166666666666663</v>
      </c>
    </row>
    <row r="1186" spans="1:19" hidden="1" x14ac:dyDescent="0.25">
      <c r="A1186" t="s">
        <v>4204</v>
      </c>
      <c r="B1186">
        <v>1037631989</v>
      </c>
      <c r="C1186" t="s">
        <v>27</v>
      </c>
      <c r="D1186" s="11" t="s">
        <v>28</v>
      </c>
      <c r="E1186" s="11" t="s">
        <v>4046</v>
      </c>
      <c r="F1186" s="11" t="s">
        <v>16</v>
      </c>
      <c r="G1186" s="1">
        <v>46226</v>
      </c>
      <c r="H1186" s="1">
        <v>46255</v>
      </c>
      <c r="I1186" s="2">
        <v>0.54166666666666663</v>
      </c>
      <c r="J1186" s="2">
        <v>0.875</v>
      </c>
      <c r="K1186" s="11"/>
      <c r="L1186" s="11" t="s">
        <v>327</v>
      </c>
      <c r="M1186" s="1"/>
      <c r="N1186" s="11"/>
      <c r="O1186" s="11" t="s">
        <v>4042</v>
      </c>
      <c r="P1186" s="1"/>
      <c r="Q1186" s="1"/>
      <c r="R1186" s="11"/>
      <c r="S1186" s="2">
        <f>CONSOLIDADO_2026[[#This Row],[Hora final]]-CONSOLIDADO_2026[[#This Row],[Hora inic]]</f>
        <v>0.33333333333333337</v>
      </c>
    </row>
    <row r="1187" spans="1:19" hidden="1" x14ac:dyDescent="0.25">
      <c r="A1187" t="s">
        <v>4204</v>
      </c>
      <c r="B1187">
        <v>1037630071</v>
      </c>
      <c r="C1187" t="s">
        <v>3579</v>
      </c>
      <c r="D1187" s="11" t="s">
        <v>176</v>
      </c>
      <c r="E1187" s="11" t="s">
        <v>4040</v>
      </c>
      <c r="F1187" s="11" t="s">
        <v>4062</v>
      </c>
      <c r="G1187" s="1">
        <v>46247</v>
      </c>
      <c r="H1187" s="1">
        <v>46265</v>
      </c>
      <c r="I1187" s="2">
        <v>0.25</v>
      </c>
      <c r="J1187" s="2">
        <v>0.58333333333333337</v>
      </c>
      <c r="K1187" s="11" t="s">
        <v>196</v>
      </c>
      <c r="L1187" s="11" t="s">
        <v>197</v>
      </c>
      <c r="M1187" s="1"/>
      <c r="N1187" s="11"/>
      <c r="O1187" s="11" t="s">
        <v>21</v>
      </c>
      <c r="P1187" s="1"/>
      <c r="Q1187" s="1"/>
      <c r="R1187" s="11"/>
      <c r="S1187" s="2">
        <f>CONSOLIDADO_2026[[#This Row],[Hora final]]-CONSOLIDADO_2026[[#This Row],[Hora inic]]</f>
        <v>0.33333333333333337</v>
      </c>
    </row>
    <row r="1188" spans="1:19" hidden="1" x14ac:dyDescent="0.25">
      <c r="A1188" t="s">
        <v>4204</v>
      </c>
      <c r="B1188">
        <v>1143460426</v>
      </c>
      <c r="C1188" t="s">
        <v>4069</v>
      </c>
      <c r="D1188" s="11" t="s">
        <v>64</v>
      </c>
      <c r="E1188" s="11" t="s">
        <v>4046</v>
      </c>
      <c r="F1188" s="11" t="s">
        <v>4050</v>
      </c>
      <c r="G1188" s="1">
        <v>46195</v>
      </c>
      <c r="H1188" s="1">
        <v>46198</v>
      </c>
      <c r="I1188" s="2">
        <v>0.58333333333333337</v>
      </c>
      <c r="J1188" s="2">
        <v>0.875</v>
      </c>
      <c r="K1188" s="11" t="s">
        <v>300</v>
      </c>
      <c r="L1188" s="11" t="s">
        <v>301</v>
      </c>
      <c r="M1188" s="1"/>
      <c r="N1188" s="11"/>
      <c r="O1188" s="11" t="s">
        <v>21</v>
      </c>
      <c r="P1188" s="1"/>
      <c r="Q1188" s="1"/>
      <c r="R1188" s="11"/>
      <c r="S1188" s="2">
        <f>CONSOLIDADO_2026[[#This Row],[Hora final]]-CONSOLIDADO_2026[[#This Row],[Hora inic]]</f>
        <v>0.29166666666666663</v>
      </c>
    </row>
    <row r="1189" spans="1:19" hidden="1" x14ac:dyDescent="0.25">
      <c r="A1189" t="s">
        <v>4204</v>
      </c>
      <c r="B1189">
        <v>1193512212</v>
      </c>
      <c r="C1189" t="s">
        <v>2155</v>
      </c>
      <c r="D1189" s="11" t="s">
        <v>256</v>
      </c>
      <c r="E1189" s="11" t="s">
        <v>4040</v>
      </c>
      <c r="F1189" s="11" t="s">
        <v>16</v>
      </c>
      <c r="G1189" s="1">
        <v>46252</v>
      </c>
      <c r="H1189" s="1">
        <v>46253</v>
      </c>
      <c r="I1189" s="2"/>
      <c r="J1189" s="2"/>
      <c r="K1189" s="11"/>
      <c r="L1189" s="11" t="s">
        <v>4041</v>
      </c>
      <c r="M1189" s="1"/>
      <c r="N1189" s="11"/>
      <c r="O1189" s="11" t="s">
        <v>4042</v>
      </c>
      <c r="P1189" s="1"/>
      <c r="Q1189" s="1"/>
      <c r="R1189" s="11"/>
      <c r="S1189" s="2">
        <f>CONSOLIDADO_2026[[#This Row],[Hora final]]-CONSOLIDADO_2026[[#This Row],[Hora inic]]</f>
        <v>0</v>
      </c>
    </row>
    <row r="1190" spans="1:19" hidden="1" x14ac:dyDescent="0.25">
      <c r="A1190" t="s">
        <v>4204</v>
      </c>
      <c r="B1190">
        <v>1020414545</v>
      </c>
      <c r="C1190" t="s">
        <v>2893</v>
      </c>
      <c r="D1190" s="11" t="s">
        <v>256</v>
      </c>
      <c r="E1190" s="11" t="s">
        <v>4040</v>
      </c>
      <c r="F1190" s="11" t="s">
        <v>16</v>
      </c>
      <c r="G1190" s="1">
        <v>46253</v>
      </c>
      <c r="H1190" s="1">
        <v>46254</v>
      </c>
      <c r="I1190" s="2">
        <v>0.25</v>
      </c>
      <c r="J1190" s="2">
        <v>0.58333333333333337</v>
      </c>
      <c r="K1190" s="11" t="s">
        <v>261</v>
      </c>
      <c r="L1190" s="11" t="s">
        <v>262</v>
      </c>
      <c r="M1190" s="1"/>
      <c r="N1190" s="11"/>
      <c r="O1190" s="11" t="s">
        <v>21</v>
      </c>
      <c r="P1190" s="1"/>
      <c r="Q1190" s="1"/>
      <c r="R1190" s="11"/>
      <c r="S1190" s="2">
        <f>CONSOLIDADO_2026[[#This Row],[Hora final]]-CONSOLIDADO_2026[[#This Row],[Hora inic]]</f>
        <v>0.33333333333333337</v>
      </c>
    </row>
    <row r="1191" spans="1:19" hidden="1" x14ac:dyDescent="0.25">
      <c r="A1191" t="s">
        <v>4204</v>
      </c>
      <c r="B1191">
        <v>1098774597</v>
      </c>
      <c r="C1191" t="s">
        <v>1745</v>
      </c>
      <c r="D1191" s="11" t="s">
        <v>132</v>
      </c>
      <c r="E1191" s="11" t="s">
        <v>4040</v>
      </c>
      <c r="F1191" s="11" t="s">
        <v>16</v>
      </c>
      <c r="G1191" s="1">
        <v>46253</v>
      </c>
      <c r="H1191" s="1">
        <v>46255</v>
      </c>
      <c r="I1191" s="2">
        <v>0.25</v>
      </c>
      <c r="J1191" s="2">
        <v>0.58333333333333337</v>
      </c>
      <c r="K1191" s="11" t="s">
        <v>150</v>
      </c>
      <c r="L1191" s="11" t="s">
        <v>151</v>
      </c>
      <c r="M1191" s="1"/>
      <c r="N1191" s="11"/>
      <c r="O1191" s="11" t="s">
        <v>21</v>
      </c>
      <c r="P1191" s="1"/>
      <c r="Q1191" s="1"/>
      <c r="R1191" s="11"/>
      <c r="S1191" s="2">
        <f>CONSOLIDADO_2026[[#This Row],[Hora final]]-CONSOLIDADO_2026[[#This Row],[Hora inic]]</f>
        <v>0.33333333333333337</v>
      </c>
    </row>
    <row r="1192" spans="1:19" hidden="1" x14ac:dyDescent="0.25">
      <c r="A1192" t="s">
        <v>4204</v>
      </c>
      <c r="B1192">
        <v>1140891109</v>
      </c>
      <c r="C1192" t="s">
        <v>1287</v>
      </c>
      <c r="D1192" s="11" t="s">
        <v>51</v>
      </c>
      <c r="E1192" s="11" t="s">
        <v>4047</v>
      </c>
      <c r="F1192" s="11" t="s">
        <v>4147</v>
      </c>
      <c r="G1192" s="1">
        <v>46254</v>
      </c>
      <c r="H1192" s="1">
        <v>46254</v>
      </c>
      <c r="I1192" s="2">
        <v>0.25</v>
      </c>
      <c r="J1192" s="2">
        <v>0.54166666666666663</v>
      </c>
      <c r="K1192" s="11" t="s">
        <v>73</v>
      </c>
      <c r="L1192" s="11" t="s">
        <v>74</v>
      </c>
      <c r="M1192" s="1"/>
      <c r="N1192" s="11"/>
      <c r="O1192" s="11" t="s">
        <v>4042</v>
      </c>
      <c r="P1192" s="1"/>
      <c r="Q1192" s="1"/>
      <c r="R1192" s="11"/>
      <c r="S1192" s="2">
        <f>CONSOLIDADO_2026[[#This Row],[Hora final]]-CONSOLIDADO_2026[[#This Row],[Hora inic]]</f>
        <v>0.29166666666666663</v>
      </c>
    </row>
    <row r="1193" spans="1:19" hidden="1" x14ac:dyDescent="0.25">
      <c r="A1193" t="s">
        <v>4204</v>
      </c>
      <c r="B1193">
        <v>52932342</v>
      </c>
      <c r="C1193" t="s">
        <v>564</v>
      </c>
      <c r="D1193" s="11" t="s">
        <v>421</v>
      </c>
      <c r="E1193" s="11" t="s">
        <v>4047</v>
      </c>
      <c r="F1193" s="11" t="s">
        <v>16</v>
      </c>
      <c r="G1193" s="1">
        <v>46252</v>
      </c>
      <c r="H1193" s="1">
        <v>46254</v>
      </c>
      <c r="I1193" s="2">
        <v>0.58333333333333337</v>
      </c>
      <c r="J1193" s="2">
        <v>0.875</v>
      </c>
      <c r="K1193" s="11" t="s">
        <v>231</v>
      </c>
      <c r="L1193" s="11" t="s">
        <v>232</v>
      </c>
      <c r="M1193" s="1"/>
      <c r="N1193" s="11"/>
      <c r="O1193" s="11" t="s">
        <v>21</v>
      </c>
      <c r="P1193" s="1"/>
      <c r="Q1193" s="1"/>
      <c r="R1193" s="11"/>
      <c r="S1193" s="2">
        <f>CONSOLIDADO_2026[[#This Row],[Hora final]]-CONSOLIDADO_2026[[#This Row],[Hora inic]]</f>
        <v>0.29166666666666663</v>
      </c>
    </row>
    <row r="1194" spans="1:19" hidden="1" x14ac:dyDescent="0.25">
      <c r="A1194" t="s">
        <v>4204</v>
      </c>
      <c r="B1194">
        <v>1096223065</v>
      </c>
      <c r="C1194" t="s">
        <v>3428</v>
      </c>
      <c r="D1194" s="11" t="s">
        <v>59</v>
      </c>
      <c r="E1194" s="11" t="s">
        <v>4047</v>
      </c>
      <c r="F1194" s="11" t="s">
        <v>24</v>
      </c>
      <c r="G1194" s="1">
        <v>46253</v>
      </c>
      <c r="H1194" s="1">
        <v>46265</v>
      </c>
      <c r="I1194" s="2">
        <v>0.54166666666666663</v>
      </c>
      <c r="J1194" s="2">
        <v>0.83333333333333337</v>
      </c>
      <c r="K1194" s="11" t="s">
        <v>181</v>
      </c>
      <c r="L1194" s="11" t="s">
        <v>182</v>
      </c>
      <c r="M1194" s="1"/>
      <c r="N1194" s="11"/>
      <c r="O1194" s="11" t="s">
        <v>21</v>
      </c>
      <c r="P1194" s="1"/>
      <c r="Q1194" s="1"/>
      <c r="R1194" s="11"/>
      <c r="S1194" s="2">
        <f>CONSOLIDADO_2026[[#This Row],[Hora final]]-CONSOLIDADO_2026[[#This Row],[Hora inic]]</f>
        <v>0.29166666666666674</v>
      </c>
    </row>
    <row r="1195" spans="1:19" hidden="1" x14ac:dyDescent="0.25">
      <c r="A1195" t="s">
        <v>4204</v>
      </c>
      <c r="B1195">
        <v>32299090</v>
      </c>
      <c r="C1195" t="s">
        <v>3249</v>
      </c>
      <c r="D1195" s="11" t="s">
        <v>55</v>
      </c>
      <c r="E1195" s="11" t="s">
        <v>4047</v>
      </c>
      <c r="F1195" s="11" t="s">
        <v>16</v>
      </c>
      <c r="G1195" s="1">
        <v>46253</v>
      </c>
      <c r="H1195" s="1">
        <v>46255</v>
      </c>
      <c r="I1195" s="2">
        <v>0.25</v>
      </c>
      <c r="J1195" s="2">
        <v>0.58333333333333337</v>
      </c>
      <c r="K1195" s="11" t="s">
        <v>45</v>
      </c>
      <c r="L1195" s="11" t="s">
        <v>46</v>
      </c>
      <c r="M1195" s="1"/>
      <c r="N1195" s="11"/>
      <c r="O1195" s="11" t="s">
        <v>21</v>
      </c>
      <c r="P1195" s="1"/>
      <c r="Q1195" s="1"/>
      <c r="R1195" s="11"/>
      <c r="S1195" s="2">
        <f>CONSOLIDADO_2026[[#This Row],[Hora final]]-CONSOLIDADO_2026[[#This Row],[Hora inic]]</f>
        <v>0.33333333333333337</v>
      </c>
    </row>
    <row r="1196" spans="1:19" hidden="1" x14ac:dyDescent="0.25">
      <c r="A1196" t="s">
        <v>4204</v>
      </c>
      <c r="B1196">
        <v>1000921684</v>
      </c>
      <c r="C1196" t="s">
        <v>558</v>
      </c>
      <c r="D1196" s="11" t="s">
        <v>15</v>
      </c>
      <c r="E1196" s="11" t="s">
        <v>4046</v>
      </c>
      <c r="F1196" s="11" t="s">
        <v>16</v>
      </c>
      <c r="G1196" s="1">
        <v>46253</v>
      </c>
      <c r="H1196" s="1">
        <v>46253</v>
      </c>
      <c r="I1196" s="2"/>
      <c r="J1196" s="2"/>
      <c r="K1196" s="11"/>
      <c r="L1196" s="11" t="s">
        <v>4041</v>
      </c>
      <c r="M1196" s="1"/>
      <c r="N1196" s="11"/>
      <c r="O1196" s="11" t="s">
        <v>4042</v>
      </c>
      <c r="P1196" s="1"/>
      <c r="Q1196" s="1"/>
      <c r="R1196" s="11"/>
      <c r="S1196" s="2">
        <f>CONSOLIDADO_2026[[#This Row],[Hora final]]-CONSOLIDADO_2026[[#This Row],[Hora inic]]</f>
        <v>0</v>
      </c>
    </row>
    <row r="1197" spans="1:19" hidden="1" x14ac:dyDescent="0.25">
      <c r="A1197" t="s">
        <v>4204</v>
      </c>
      <c r="B1197">
        <v>1037668455</v>
      </c>
      <c r="C1197" t="s">
        <v>3013</v>
      </c>
      <c r="D1197" s="11" t="s">
        <v>78</v>
      </c>
      <c r="E1197" s="11" t="s">
        <v>4046</v>
      </c>
      <c r="F1197" s="11" t="s">
        <v>16</v>
      </c>
      <c r="G1197" s="1">
        <v>46253</v>
      </c>
      <c r="H1197" s="1">
        <v>46254</v>
      </c>
      <c r="I1197" s="2">
        <v>0.58333333333333337</v>
      </c>
      <c r="J1197" s="2">
        <v>0.875</v>
      </c>
      <c r="K1197" s="11"/>
      <c r="L1197" s="11" t="s">
        <v>327</v>
      </c>
      <c r="M1197" s="1"/>
      <c r="N1197" s="11"/>
      <c r="O1197" s="11" t="s">
        <v>4042</v>
      </c>
      <c r="P1197" s="1"/>
      <c r="Q1197" s="1"/>
      <c r="R1197" s="11"/>
      <c r="S1197" s="2">
        <f>CONSOLIDADO_2026[[#This Row],[Hora final]]-CONSOLIDADO_2026[[#This Row],[Hora inic]]</f>
        <v>0.29166666666666663</v>
      </c>
    </row>
    <row r="1198" spans="1:19" hidden="1" x14ac:dyDescent="0.25">
      <c r="A1198" t="s">
        <v>4204</v>
      </c>
      <c r="B1198">
        <v>1002029407</v>
      </c>
      <c r="C1198" t="s">
        <v>101</v>
      </c>
      <c r="D1198" s="11" t="s">
        <v>102</v>
      </c>
      <c r="E1198" s="11" t="s">
        <v>4046</v>
      </c>
      <c r="F1198" s="11" t="s">
        <v>16</v>
      </c>
      <c r="G1198" s="1">
        <v>46253</v>
      </c>
      <c r="H1198" s="1">
        <v>46256</v>
      </c>
      <c r="I1198" s="2">
        <v>0.5</v>
      </c>
      <c r="J1198" s="2">
        <v>0.79166666666666663</v>
      </c>
      <c r="K1198" s="11" t="s">
        <v>103</v>
      </c>
      <c r="L1198" s="11" t="s">
        <v>104</v>
      </c>
      <c r="M1198" s="1"/>
      <c r="N1198" s="11"/>
      <c r="O1198" s="11" t="s">
        <v>21</v>
      </c>
      <c r="P1198" s="1"/>
      <c r="Q1198" s="1"/>
      <c r="R1198" s="11"/>
      <c r="S1198" s="2">
        <f>CONSOLIDADO_2026[[#This Row],[Hora final]]-CONSOLIDADO_2026[[#This Row],[Hora inic]]</f>
        <v>0.29166666666666663</v>
      </c>
    </row>
    <row r="1199" spans="1:19" hidden="1" x14ac:dyDescent="0.25">
      <c r="A1199" t="s">
        <v>4204</v>
      </c>
      <c r="B1199">
        <v>1036965348</v>
      </c>
      <c r="C1199" t="s">
        <v>229</v>
      </c>
      <c r="D1199" s="11" t="s">
        <v>4079</v>
      </c>
      <c r="E1199" s="11" t="s">
        <v>4046</v>
      </c>
      <c r="F1199" s="11" t="s">
        <v>4079</v>
      </c>
      <c r="G1199" s="1">
        <v>46254</v>
      </c>
      <c r="H1199" s="1">
        <v>46254</v>
      </c>
      <c r="I1199" s="2">
        <v>0.25</v>
      </c>
      <c r="J1199" s="2">
        <v>0.58333333333333337</v>
      </c>
      <c r="K1199" s="11"/>
      <c r="L1199" s="11" t="s">
        <v>339</v>
      </c>
      <c r="M1199" s="1"/>
      <c r="N1199" s="11"/>
      <c r="O1199" s="11" t="s">
        <v>4042</v>
      </c>
      <c r="P1199" s="1"/>
      <c r="Q1199" s="1"/>
      <c r="R1199" s="11"/>
      <c r="S1199" s="2">
        <f>CONSOLIDADO_2026[[#This Row],[Hora final]]-CONSOLIDADO_2026[[#This Row],[Hora inic]]</f>
        <v>0.33333333333333337</v>
      </c>
    </row>
    <row r="1200" spans="1:19" hidden="1" x14ac:dyDescent="0.25">
      <c r="A1200" t="s">
        <v>4204</v>
      </c>
      <c r="B1200">
        <v>1000348983</v>
      </c>
      <c r="C1200" t="s">
        <v>235</v>
      </c>
      <c r="D1200" s="11" t="s">
        <v>162</v>
      </c>
      <c r="E1200" s="11" t="s">
        <v>4056</v>
      </c>
      <c r="F1200" s="11" t="s">
        <v>16</v>
      </c>
      <c r="G1200" s="1">
        <v>46251</v>
      </c>
      <c r="H1200" s="1">
        <v>46255</v>
      </c>
      <c r="I1200" s="2">
        <v>0.625</v>
      </c>
      <c r="J1200" s="2">
        <v>0.875</v>
      </c>
      <c r="K1200" s="11" t="s">
        <v>285</v>
      </c>
      <c r="L1200" s="11" t="s">
        <v>286</v>
      </c>
      <c r="M1200" s="1"/>
      <c r="N1200" s="11"/>
      <c r="O1200" s="11" t="s">
        <v>21</v>
      </c>
      <c r="P1200" s="1"/>
      <c r="Q1200" s="1"/>
      <c r="R1200" s="11"/>
      <c r="S1200" s="2">
        <f>CONSOLIDADO_2026[[#This Row],[Hora final]]-CONSOLIDADO_2026[[#This Row],[Hora inic]]</f>
        <v>0.25</v>
      </c>
    </row>
    <row r="1201" spans="1:19" hidden="1" x14ac:dyDescent="0.25">
      <c r="A1201" t="s">
        <v>4204</v>
      </c>
      <c r="B1201">
        <v>1036683729</v>
      </c>
      <c r="C1201" t="s">
        <v>954</v>
      </c>
      <c r="D1201" s="11" t="s">
        <v>82</v>
      </c>
      <c r="E1201" s="11" t="s">
        <v>4045</v>
      </c>
      <c r="F1201" s="11" t="s">
        <v>16</v>
      </c>
      <c r="G1201" s="1">
        <v>46253</v>
      </c>
      <c r="H1201" s="1">
        <v>46255</v>
      </c>
      <c r="I1201" s="2">
        <v>0.5</v>
      </c>
      <c r="J1201" s="2">
        <v>0.83333333333333337</v>
      </c>
      <c r="K1201" s="11" t="s">
        <v>318</v>
      </c>
      <c r="L1201" s="11" t="s">
        <v>319</v>
      </c>
      <c r="M1201" s="1"/>
      <c r="N1201" s="11"/>
      <c r="O1201" s="11" t="s">
        <v>21</v>
      </c>
      <c r="P1201" s="1"/>
      <c r="Q1201" s="1"/>
      <c r="R1201" s="11"/>
      <c r="S1201" s="2">
        <f>CONSOLIDADO_2026[[#This Row],[Hora final]]-CONSOLIDADO_2026[[#This Row],[Hora inic]]</f>
        <v>0.33333333333333337</v>
      </c>
    </row>
    <row r="1202" spans="1:19" hidden="1" x14ac:dyDescent="0.25">
      <c r="A1202" t="s">
        <v>4204</v>
      </c>
      <c r="B1202">
        <v>1035436500</v>
      </c>
      <c r="C1202" t="s">
        <v>2991</v>
      </c>
      <c r="D1202" s="11" t="s">
        <v>482</v>
      </c>
      <c r="E1202" s="11" t="s">
        <v>4040</v>
      </c>
      <c r="F1202" s="11" t="s">
        <v>16</v>
      </c>
      <c r="G1202" s="1">
        <v>46253</v>
      </c>
      <c r="H1202" s="1">
        <v>46253</v>
      </c>
      <c r="I1202" s="2"/>
      <c r="J1202" s="2"/>
      <c r="K1202" s="11"/>
      <c r="L1202" s="11" t="s">
        <v>4041</v>
      </c>
      <c r="M1202" s="1"/>
      <c r="N1202" s="11"/>
      <c r="O1202" s="11" t="s">
        <v>4042</v>
      </c>
      <c r="P1202" s="1"/>
      <c r="Q1202" s="1"/>
      <c r="R1202" s="11"/>
      <c r="S1202" s="2">
        <f>CONSOLIDADO_2026[[#This Row],[Hora final]]-CONSOLIDADO_2026[[#This Row],[Hora inic]]</f>
        <v>0</v>
      </c>
    </row>
    <row r="1203" spans="1:19" hidden="1" x14ac:dyDescent="0.25">
      <c r="A1203" t="s">
        <v>4204</v>
      </c>
      <c r="B1203">
        <v>1042065946</v>
      </c>
      <c r="C1203" t="s">
        <v>732</v>
      </c>
      <c r="D1203" s="11" t="s">
        <v>128</v>
      </c>
      <c r="E1203" s="11" t="s">
        <v>4045</v>
      </c>
      <c r="F1203" s="11" t="s">
        <v>4087</v>
      </c>
      <c r="G1203" s="1">
        <v>46253</v>
      </c>
      <c r="H1203" s="1">
        <v>46253</v>
      </c>
      <c r="I1203" s="2"/>
      <c r="J1203" s="2"/>
      <c r="K1203" s="11"/>
      <c r="L1203" s="11" t="s">
        <v>4041</v>
      </c>
      <c r="M1203" s="1"/>
      <c r="N1203" s="11"/>
      <c r="O1203" s="11" t="s">
        <v>4042</v>
      </c>
      <c r="P1203" s="1"/>
      <c r="Q1203" s="1"/>
      <c r="R1203" s="11"/>
      <c r="S1203" s="2">
        <f>CONSOLIDADO_2026[[#This Row],[Hora final]]-CONSOLIDADO_2026[[#This Row],[Hora inic]]</f>
        <v>0</v>
      </c>
    </row>
    <row r="1204" spans="1:19" hidden="1" x14ac:dyDescent="0.25">
      <c r="A1204" t="s">
        <v>4204</v>
      </c>
      <c r="B1204">
        <v>1143374524</v>
      </c>
      <c r="C1204" t="s">
        <v>2755</v>
      </c>
      <c r="D1204" s="11" t="s">
        <v>51</v>
      </c>
      <c r="E1204" s="11" t="s">
        <v>4047</v>
      </c>
      <c r="F1204" s="11" t="s">
        <v>16</v>
      </c>
      <c r="G1204" s="1">
        <v>46253</v>
      </c>
      <c r="H1204" s="1">
        <v>46255</v>
      </c>
      <c r="I1204" s="2">
        <v>0.54166666666666663</v>
      </c>
      <c r="J1204" s="2">
        <v>0.875</v>
      </c>
      <c r="K1204" s="11"/>
      <c r="L1204" s="11" t="s">
        <v>327</v>
      </c>
      <c r="M1204" s="1"/>
      <c r="N1204" s="11"/>
      <c r="O1204" s="11" t="s">
        <v>4042</v>
      </c>
      <c r="P1204" s="1"/>
      <c r="Q1204" s="1"/>
      <c r="R1204" s="11"/>
      <c r="S1204" s="2">
        <f>CONSOLIDADO_2026[[#This Row],[Hora final]]-CONSOLIDADO_2026[[#This Row],[Hora inic]]</f>
        <v>0.33333333333333337</v>
      </c>
    </row>
    <row r="1205" spans="1:19" hidden="1" x14ac:dyDescent="0.25">
      <c r="A1205" t="s">
        <v>4204</v>
      </c>
      <c r="B1205">
        <v>1007959114</v>
      </c>
      <c r="C1205" t="s">
        <v>337</v>
      </c>
      <c r="D1205" s="11" t="s">
        <v>39</v>
      </c>
      <c r="E1205" s="11" t="s">
        <v>4046</v>
      </c>
      <c r="F1205" s="11" t="s">
        <v>16</v>
      </c>
      <c r="G1205" s="1">
        <v>46254</v>
      </c>
      <c r="H1205" s="1">
        <v>46255</v>
      </c>
      <c r="I1205" s="2">
        <v>0.25</v>
      </c>
      <c r="J1205" s="2">
        <v>0.54166666666666663</v>
      </c>
      <c r="K1205" s="11"/>
      <c r="L1205" s="11" t="s">
        <v>327</v>
      </c>
      <c r="M1205" s="1"/>
      <c r="N1205" s="11"/>
      <c r="O1205" s="11" t="s">
        <v>4042</v>
      </c>
      <c r="P1205" s="1"/>
      <c r="Q1205" s="1"/>
      <c r="R1205" s="11"/>
      <c r="S1205" s="2">
        <f>CONSOLIDADO_2026[[#This Row],[Hora final]]-CONSOLIDADO_2026[[#This Row],[Hora inic]]</f>
        <v>0.29166666666666663</v>
      </c>
    </row>
    <row r="1206" spans="1:19" hidden="1" x14ac:dyDescent="0.25">
      <c r="A1206" t="s">
        <v>4204</v>
      </c>
      <c r="B1206">
        <v>1152198083</v>
      </c>
      <c r="C1206" t="s">
        <v>2010</v>
      </c>
      <c r="D1206" s="11" t="s">
        <v>421</v>
      </c>
      <c r="E1206" s="11" t="s">
        <v>4047</v>
      </c>
      <c r="F1206" s="11" t="s">
        <v>16</v>
      </c>
      <c r="G1206" s="1">
        <v>46254</v>
      </c>
      <c r="H1206" s="1">
        <v>46255</v>
      </c>
      <c r="I1206" s="2">
        <v>0.25</v>
      </c>
      <c r="J1206" s="2">
        <v>0.58333333333333337</v>
      </c>
      <c r="K1206" s="11"/>
      <c r="L1206" s="11" t="s">
        <v>327</v>
      </c>
      <c r="M1206" s="1"/>
      <c r="N1206" s="11"/>
      <c r="O1206" s="11" t="s">
        <v>4042</v>
      </c>
      <c r="P1206" s="1"/>
      <c r="Q1206" s="1"/>
      <c r="R1206" s="11"/>
      <c r="S1206" s="2">
        <f>CONSOLIDADO_2026[[#This Row],[Hora final]]-CONSOLIDADO_2026[[#This Row],[Hora inic]]</f>
        <v>0.33333333333333337</v>
      </c>
    </row>
    <row r="1207" spans="1:19" hidden="1" x14ac:dyDescent="0.25">
      <c r="A1207" t="s">
        <v>4204</v>
      </c>
      <c r="B1207">
        <v>1001782820</v>
      </c>
      <c r="C1207" t="s">
        <v>2956</v>
      </c>
      <c r="D1207" s="11" t="s">
        <v>28</v>
      </c>
      <c r="E1207" s="11" t="s">
        <v>4046</v>
      </c>
      <c r="F1207" s="11" t="s">
        <v>16</v>
      </c>
      <c r="G1207" s="1">
        <v>46254</v>
      </c>
      <c r="H1207" s="1">
        <v>46255</v>
      </c>
      <c r="I1207" s="2">
        <v>0.25</v>
      </c>
      <c r="J1207" s="2">
        <v>0.54166666666666663</v>
      </c>
      <c r="K1207" s="11"/>
      <c r="L1207" s="11" t="s">
        <v>327</v>
      </c>
      <c r="M1207" s="1"/>
      <c r="N1207" s="11"/>
      <c r="O1207" s="11" t="s">
        <v>4042</v>
      </c>
      <c r="P1207" s="1"/>
      <c r="Q1207" s="1"/>
      <c r="R1207" s="11"/>
      <c r="S1207" s="2">
        <f>CONSOLIDADO_2026[[#This Row],[Hora final]]-CONSOLIDADO_2026[[#This Row],[Hora inic]]</f>
        <v>0.29166666666666663</v>
      </c>
    </row>
    <row r="1208" spans="1:19" hidden="1" x14ac:dyDescent="0.25">
      <c r="A1208" t="s">
        <v>4204</v>
      </c>
      <c r="B1208">
        <v>33204315</v>
      </c>
      <c r="C1208" t="s">
        <v>585</v>
      </c>
      <c r="D1208" s="11" t="s">
        <v>162</v>
      </c>
      <c r="E1208" s="11" t="s">
        <v>4056</v>
      </c>
      <c r="F1208" s="11" t="s">
        <v>16</v>
      </c>
      <c r="G1208" s="1">
        <v>46254</v>
      </c>
      <c r="H1208" s="1">
        <v>46255</v>
      </c>
      <c r="I1208" s="2">
        <v>0.25</v>
      </c>
      <c r="J1208" s="2">
        <v>0.58333333333333337</v>
      </c>
      <c r="K1208" s="11" t="s">
        <v>163</v>
      </c>
      <c r="L1208" s="11" t="s">
        <v>164</v>
      </c>
      <c r="M1208" s="1"/>
      <c r="N1208" s="11"/>
      <c r="O1208" s="11" t="s">
        <v>21</v>
      </c>
      <c r="P1208" s="1"/>
      <c r="Q1208" s="1"/>
      <c r="R1208" s="11"/>
      <c r="S1208" s="2">
        <f>CONSOLIDADO_2026[[#This Row],[Hora final]]-CONSOLIDADO_2026[[#This Row],[Hora inic]]</f>
        <v>0.33333333333333337</v>
      </c>
    </row>
    <row r="1209" spans="1:19" hidden="1" x14ac:dyDescent="0.25">
      <c r="A1209" t="s">
        <v>4204</v>
      </c>
      <c r="B1209">
        <v>1003033764</v>
      </c>
      <c r="C1209" t="s">
        <v>1275</v>
      </c>
      <c r="D1209" s="11" t="s">
        <v>124</v>
      </c>
      <c r="E1209" s="11" t="s">
        <v>4045</v>
      </c>
      <c r="F1209" s="11" t="s">
        <v>4074</v>
      </c>
      <c r="G1209" s="1">
        <v>46254</v>
      </c>
      <c r="H1209" s="1">
        <v>46255</v>
      </c>
      <c r="I1209" s="2">
        <v>0.54166666666666663</v>
      </c>
      <c r="J1209" s="2">
        <v>0.875</v>
      </c>
      <c r="K1209" s="11"/>
      <c r="L1209" s="11" t="s">
        <v>4060</v>
      </c>
      <c r="M1209" s="1"/>
      <c r="N1209" s="11"/>
      <c r="O1209" s="11" t="s">
        <v>4042</v>
      </c>
      <c r="P1209" s="1"/>
      <c r="Q1209" s="1"/>
      <c r="R1209" s="11"/>
      <c r="S1209" s="2">
        <f>CONSOLIDADO_2026[[#This Row],[Hora final]]-CONSOLIDADO_2026[[#This Row],[Hora inic]]</f>
        <v>0.33333333333333337</v>
      </c>
    </row>
    <row r="1210" spans="1:19" hidden="1" x14ac:dyDescent="0.25">
      <c r="A1210" t="s">
        <v>4204</v>
      </c>
      <c r="B1210">
        <v>1017235294</v>
      </c>
      <c r="C1210" t="s">
        <v>1069</v>
      </c>
      <c r="D1210" s="11" t="s">
        <v>55</v>
      </c>
      <c r="E1210" s="11" t="s">
        <v>4047</v>
      </c>
      <c r="F1210" s="11" t="s">
        <v>4074</v>
      </c>
      <c r="G1210" s="1">
        <v>46254</v>
      </c>
      <c r="H1210" s="1">
        <v>46255</v>
      </c>
      <c r="I1210" s="2">
        <v>0.58333333333333337</v>
      </c>
      <c r="J1210" s="2">
        <v>0.875</v>
      </c>
      <c r="K1210" s="11"/>
      <c r="L1210" s="11" t="s">
        <v>4060</v>
      </c>
      <c r="M1210" s="1"/>
      <c r="N1210" s="11"/>
      <c r="O1210" s="11" t="s">
        <v>4042</v>
      </c>
      <c r="P1210" s="1"/>
      <c r="Q1210" s="1"/>
      <c r="R1210" s="11"/>
      <c r="S1210" s="2">
        <f>CONSOLIDADO_2026[[#This Row],[Hora final]]-CONSOLIDADO_2026[[#This Row],[Hora inic]]</f>
        <v>0.29166666666666663</v>
      </c>
    </row>
    <row r="1211" spans="1:19" hidden="1" x14ac:dyDescent="0.25">
      <c r="A1211" t="s">
        <v>4204</v>
      </c>
      <c r="B1211">
        <v>43453341</v>
      </c>
      <c r="C1211" t="s">
        <v>146</v>
      </c>
      <c r="D1211" s="11" t="s">
        <v>124</v>
      </c>
      <c r="E1211" s="11" t="s">
        <v>4045</v>
      </c>
      <c r="F1211" s="11" t="s">
        <v>16</v>
      </c>
      <c r="G1211" s="1">
        <v>46254</v>
      </c>
      <c r="H1211" s="1">
        <v>46268</v>
      </c>
      <c r="I1211" s="2">
        <v>0.25</v>
      </c>
      <c r="J1211" s="2">
        <v>0.54166666666666663</v>
      </c>
      <c r="K1211" s="11"/>
      <c r="L1211" s="11" t="s">
        <v>327</v>
      </c>
      <c r="M1211" s="1"/>
      <c r="N1211" s="11"/>
      <c r="O1211" s="11" t="s">
        <v>4042</v>
      </c>
      <c r="P1211" s="1"/>
      <c r="Q1211" s="1"/>
      <c r="R1211" s="11"/>
      <c r="S1211" s="2">
        <f>CONSOLIDADO_2026[[#This Row],[Hora final]]-CONSOLIDADO_2026[[#This Row],[Hora inic]]</f>
        <v>0.29166666666666663</v>
      </c>
    </row>
    <row r="1212" spans="1:19" hidden="1" x14ac:dyDescent="0.25">
      <c r="A1212" t="s">
        <v>4204</v>
      </c>
      <c r="B1212">
        <v>1085308661</v>
      </c>
      <c r="C1212" t="s">
        <v>2194</v>
      </c>
      <c r="D1212" s="11" t="s">
        <v>39</v>
      </c>
      <c r="E1212" s="11" t="s">
        <v>4046</v>
      </c>
      <c r="F1212" s="11" t="s">
        <v>4074</v>
      </c>
      <c r="G1212" s="1">
        <v>46254</v>
      </c>
      <c r="H1212" s="1">
        <v>46255</v>
      </c>
      <c r="I1212" s="2">
        <v>0.25</v>
      </c>
      <c r="J1212" s="2">
        <v>0.125</v>
      </c>
      <c r="K1212" s="11"/>
      <c r="L1212" s="11" t="s">
        <v>4060</v>
      </c>
      <c r="M1212" s="1"/>
      <c r="N1212" s="11"/>
      <c r="O1212" s="11" t="s">
        <v>4042</v>
      </c>
      <c r="P1212" s="1"/>
      <c r="Q1212" s="1"/>
      <c r="R1212" s="11"/>
      <c r="S1212" s="2">
        <f>CONSOLIDADO_2026[[#This Row],[Hora final]]-CONSOLIDADO_2026[[#This Row],[Hora inic]]</f>
        <v>-0.125</v>
      </c>
    </row>
    <row r="1213" spans="1:19" hidden="1" x14ac:dyDescent="0.25">
      <c r="A1213" t="s">
        <v>4204</v>
      </c>
      <c r="B1213">
        <v>1035442374</v>
      </c>
      <c r="C1213" t="s">
        <v>2935</v>
      </c>
      <c r="D1213" s="11" t="s">
        <v>172</v>
      </c>
      <c r="E1213" s="11" t="s">
        <v>4046</v>
      </c>
      <c r="F1213" s="11" t="s">
        <v>4074</v>
      </c>
      <c r="G1213" s="1">
        <v>46254</v>
      </c>
      <c r="H1213" s="1">
        <v>46255</v>
      </c>
      <c r="I1213" s="2">
        <v>0.25</v>
      </c>
      <c r="J1213" s="2">
        <v>0.54166666666666663</v>
      </c>
      <c r="K1213" s="11"/>
      <c r="L1213" s="11" t="s">
        <v>4060</v>
      </c>
      <c r="M1213" s="1"/>
      <c r="N1213" s="11"/>
      <c r="O1213" s="11" t="s">
        <v>4042</v>
      </c>
      <c r="P1213" s="1"/>
      <c r="Q1213" s="1"/>
      <c r="R1213" s="11"/>
      <c r="S1213" s="2">
        <f>CONSOLIDADO_2026[[#This Row],[Hora final]]-CONSOLIDADO_2026[[#This Row],[Hora inic]]</f>
        <v>0.29166666666666663</v>
      </c>
    </row>
    <row r="1214" spans="1:19" hidden="1" x14ac:dyDescent="0.25">
      <c r="A1214" t="s">
        <v>4204</v>
      </c>
      <c r="B1214">
        <v>1005989838</v>
      </c>
      <c r="C1214" t="s">
        <v>3630</v>
      </c>
      <c r="D1214" s="11" t="s">
        <v>132</v>
      </c>
      <c r="E1214" s="11" t="s">
        <v>4040</v>
      </c>
      <c r="F1214" s="11" t="s">
        <v>4074</v>
      </c>
      <c r="G1214" s="1">
        <v>46254</v>
      </c>
      <c r="H1214" s="1"/>
      <c r="I1214" s="2">
        <v>0.25</v>
      </c>
      <c r="J1214" s="2">
        <v>0.58333333333333337</v>
      </c>
      <c r="K1214" s="11"/>
      <c r="L1214" s="11" t="s">
        <v>4060</v>
      </c>
      <c r="M1214" s="1"/>
      <c r="N1214" s="11"/>
      <c r="O1214" s="11" t="s">
        <v>4042</v>
      </c>
      <c r="P1214" s="1"/>
      <c r="Q1214" s="1"/>
      <c r="R1214" s="11"/>
      <c r="S1214" s="2">
        <f>CONSOLIDADO_2026[[#This Row],[Hora final]]-CONSOLIDADO_2026[[#This Row],[Hora inic]]</f>
        <v>0.33333333333333337</v>
      </c>
    </row>
    <row r="1215" spans="1:19" hidden="1" x14ac:dyDescent="0.25">
      <c r="A1215" t="s">
        <v>4204</v>
      </c>
      <c r="B1215">
        <v>1001446162</v>
      </c>
      <c r="C1215" t="s">
        <v>3663</v>
      </c>
      <c r="D1215" s="11" t="s">
        <v>4079</v>
      </c>
      <c r="E1215" s="11" t="s">
        <v>4056</v>
      </c>
      <c r="F1215" s="11" t="s">
        <v>4079</v>
      </c>
      <c r="G1215" s="1">
        <v>46254</v>
      </c>
      <c r="H1215" s="1">
        <v>46254</v>
      </c>
      <c r="I1215" s="2">
        <v>0.29166666666666669</v>
      </c>
      <c r="J1215" s="2">
        <v>0.58333333333333337</v>
      </c>
      <c r="K1215" s="11"/>
      <c r="L1215" s="11" t="s">
        <v>339</v>
      </c>
      <c r="M1215" s="1"/>
      <c r="N1215" s="11"/>
      <c r="O1215" s="11" t="s">
        <v>4042</v>
      </c>
      <c r="P1215" s="1"/>
      <c r="Q1215" s="1"/>
      <c r="R1215" s="11"/>
      <c r="S1215" s="2">
        <f>CONSOLIDADO_2026[[#This Row],[Hora final]]-CONSOLIDADO_2026[[#This Row],[Hora inic]]</f>
        <v>0.29166666666666669</v>
      </c>
    </row>
    <row r="1216" spans="1:19" hidden="1" x14ac:dyDescent="0.25">
      <c r="A1216" t="s">
        <v>4204</v>
      </c>
      <c r="B1216">
        <v>1037646403</v>
      </c>
      <c r="C1216" t="s">
        <v>4205</v>
      </c>
      <c r="D1216" s="11" t="s">
        <v>128</v>
      </c>
      <c r="E1216" s="11" t="s">
        <v>4045</v>
      </c>
      <c r="F1216" s="11" t="s">
        <v>4074</v>
      </c>
      <c r="G1216" s="1">
        <v>46254</v>
      </c>
      <c r="H1216" s="1"/>
      <c r="I1216" s="2">
        <v>0.54166666666666663</v>
      </c>
      <c r="J1216" s="2">
        <v>0.875</v>
      </c>
      <c r="K1216" s="11"/>
      <c r="L1216" s="11" t="s">
        <v>4060</v>
      </c>
      <c r="M1216" s="1"/>
      <c r="N1216" s="11"/>
      <c r="O1216" s="11" t="s">
        <v>4042</v>
      </c>
      <c r="P1216" s="1"/>
      <c r="Q1216" s="1"/>
      <c r="R1216" s="11"/>
      <c r="S1216" s="2">
        <f>CONSOLIDADO_2026[[#This Row],[Hora final]]-CONSOLIDADO_2026[[#This Row],[Hora inic]]</f>
        <v>0.33333333333333337</v>
      </c>
    </row>
    <row r="1217" spans="1:19" hidden="1" x14ac:dyDescent="0.25">
      <c r="A1217" t="s">
        <v>4204</v>
      </c>
      <c r="B1217">
        <v>1143338188</v>
      </c>
      <c r="C1217" t="s">
        <v>3315</v>
      </c>
      <c r="D1217" s="11" t="s">
        <v>482</v>
      </c>
      <c r="E1217" s="11" t="s">
        <v>4040</v>
      </c>
      <c r="F1217" s="11" t="s">
        <v>16</v>
      </c>
      <c r="G1217" s="1">
        <v>46253</v>
      </c>
      <c r="H1217" s="1">
        <v>46254</v>
      </c>
      <c r="I1217" s="2">
        <v>0.25</v>
      </c>
      <c r="J1217" s="2">
        <v>0.54166666666666663</v>
      </c>
      <c r="K1217" s="11"/>
      <c r="L1217" s="11" t="s">
        <v>327</v>
      </c>
      <c r="M1217" s="1"/>
      <c r="N1217" s="11"/>
      <c r="O1217" s="11" t="s">
        <v>4042</v>
      </c>
      <c r="P1217" s="1"/>
      <c r="Q1217" s="1"/>
      <c r="R1217" s="11"/>
      <c r="S1217" s="2">
        <f>CONSOLIDADO_2026[[#This Row],[Hora final]]-CONSOLIDADO_2026[[#This Row],[Hora inic]]</f>
        <v>0.29166666666666663</v>
      </c>
    </row>
    <row r="1218" spans="1:19" hidden="1" x14ac:dyDescent="0.25">
      <c r="A1218" t="s">
        <v>4204</v>
      </c>
      <c r="B1218">
        <v>1107046318</v>
      </c>
      <c r="C1218" t="s">
        <v>268</v>
      </c>
      <c r="D1218" s="11" t="s">
        <v>4079</v>
      </c>
      <c r="E1218" s="11" t="s">
        <v>4056</v>
      </c>
      <c r="F1218" s="11" t="s">
        <v>4079</v>
      </c>
      <c r="G1218" s="1">
        <v>46254</v>
      </c>
      <c r="H1218" s="1">
        <v>46254</v>
      </c>
      <c r="I1218" s="2">
        <v>0.45833333333333331</v>
      </c>
      <c r="J1218" s="2">
        <v>0.79166666666666663</v>
      </c>
      <c r="K1218" s="11"/>
      <c r="L1218" s="11" t="s">
        <v>339</v>
      </c>
      <c r="M1218" s="1"/>
      <c r="N1218" s="11"/>
      <c r="O1218" s="11" t="s">
        <v>4042</v>
      </c>
      <c r="P1218" s="1"/>
      <c r="Q1218" s="1"/>
      <c r="R1218" s="11"/>
      <c r="S1218" s="2">
        <f>CONSOLIDADO_2026[[#This Row],[Hora final]]-CONSOLIDADO_2026[[#This Row],[Hora inic]]</f>
        <v>0.33333333333333331</v>
      </c>
    </row>
    <row r="1219" spans="1:19" hidden="1" x14ac:dyDescent="0.25">
      <c r="A1219" t="s">
        <v>4204</v>
      </c>
      <c r="B1219">
        <v>1007223463</v>
      </c>
      <c r="C1219" t="s">
        <v>561</v>
      </c>
      <c r="D1219" s="11" t="s">
        <v>4079</v>
      </c>
      <c r="E1219" s="11" t="s">
        <v>4056</v>
      </c>
      <c r="F1219" s="11" t="s">
        <v>4079</v>
      </c>
      <c r="G1219" s="1">
        <v>46254</v>
      </c>
      <c r="H1219" s="1">
        <v>46254</v>
      </c>
      <c r="I1219" s="2">
        <v>0.45833333333333331</v>
      </c>
      <c r="J1219" s="2">
        <v>0.79166666666666663</v>
      </c>
      <c r="K1219" s="11"/>
      <c r="L1219" s="11" t="s">
        <v>339</v>
      </c>
      <c r="M1219" s="1"/>
      <c r="N1219" s="11"/>
      <c r="O1219" s="11" t="s">
        <v>4042</v>
      </c>
      <c r="P1219" s="1"/>
      <c r="Q1219" s="1"/>
      <c r="R1219" s="11"/>
      <c r="S1219" s="2">
        <f>CONSOLIDADO_2026[[#This Row],[Hora final]]-CONSOLIDADO_2026[[#This Row],[Hora inic]]</f>
        <v>0.33333333333333331</v>
      </c>
    </row>
    <row r="1220" spans="1:19" hidden="1" x14ac:dyDescent="0.25">
      <c r="A1220" t="s">
        <v>4204</v>
      </c>
      <c r="B1220">
        <v>1193454765</v>
      </c>
      <c r="C1220" t="s">
        <v>1428</v>
      </c>
      <c r="D1220" s="11" t="s">
        <v>132</v>
      </c>
      <c r="E1220" s="11" t="s">
        <v>4040</v>
      </c>
      <c r="F1220" s="11" t="s">
        <v>4104</v>
      </c>
      <c r="G1220" s="1">
        <v>46254</v>
      </c>
      <c r="H1220" s="1">
        <v>46254</v>
      </c>
      <c r="I1220" s="2">
        <v>0.5</v>
      </c>
      <c r="J1220" s="2">
        <v>0.79166666666666663</v>
      </c>
      <c r="K1220" s="11"/>
      <c r="L1220" s="11" t="s">
        <v>339</v>
      </c>
      <c r="M1220" s="1"/>
      <c r="N1220" s="11"/>
      <c r="O1220" s="11" t="s">
        <v>4042</v>
      </c>
      <c r="P1220" s="1"/>
      <c r="Q1220" s="1"/>
      <c r="R1220" s="11"/>
      <c r="S1220" s="2">
        <f>CONSOLIDADO_2026[[#This Row],[Hora final]]-CONSOLIDADO_2026[[#This Row],[Hora inic]]</f>
        <v>0.29166666666666663</v>
      </c>
    </row>
    <row r="1221" spans="1:19" hidden="1" x14ac:dyDescent="0.25">
      <c r="A1221" t="s">
        <v>4204</v>
      </c>
      <c r="B1221">
        <v>1152472382</v>
      </c>
      <c r="C1221" t="s">
        <v>869</v>
      </c>
      <c r="D1221" s="11" t="s">
        <v>492</v>
      </c>
      <c r="E1221" s="11" t="s">
        <v>4045</v>
      </c>
      <c r="F1221" s="11" t="s">
        <v>4074</v>
      </c>
      <c r="G1221" s="1">
        <v>46254</v>
      </c>
      <c r="H1221" s="1">
        <v>46255</v>
      </c>
      <c r="I1221" s="2">
        <v>0.54166666666666663</v>
      </c>
      <c r="J1221" s="2">
        <v>0.875</v>
      </c>
      <c r="K1221" s="11"/>
      <c r="L1221" s="11" t="s">
        <v>4060</v>
      </c>
      <c r="M1221" s="1"/>
      <c r="N1221" s="11"/>
      <c r="O1221" s="11" t="s">
        <v>4042</v>
      </c>
      <c r="P1221" s="1"/>
      <c r="Q1221" s="1"/>
      <c r="R1221" s="11"/>
      <c r="S1221" s="2">
        <f>CONSOLIDADO_2026[[#This Row],[Hora final]]-CONSOLIDADO_2026[[#This Row],[Hora inic]]</f>
        <v>0.33333333333333337</v>
      </c>
    </row>
    <row r="1222" spans="1:19" hidden="1" x14ac:dyDescent="0.25">
      <c r="A1222" t="s">
        <v>4206</v>
      </c>
      <c r="B1222">
        <v>1085308661</v>
      </c>
      <c r="C1222" t="s">
        <v>2194</v>
      </c>
      <c r="D1222" s="11" t="s">
        <v>39</v>
      </c>
      <c r="E1222" s="11" t="s">
        <v>4046</v>
      </c>
      <c r="F1222" s="11" t="s">
        <v>16</v>
      </c>
      <c r="G1222" s="1">
        <v>46254</v>
      </c>
      <c r="H1222" s="1">
        <v>46255</v>
      </c>
      <c r="I1222" s="2">
        <v>0.25</v>
      </c>
      <c r="J1222" s="2">
        <v>0.58333333333333337</v>
      </c>
      <c r="K1222" s="11"/>
      <c r="L1222" s="11" t="s">
        <v>327</v>
      </c>
      <c r="M1222" s="1"/>
      <c r="N1222" s="11"/>
      <c r="O1222" s="11" t="s">
        <v>4042</v>
      </c>
      <c r="P1222" s="1"/>
      <c r="Q1222" s="1"/>
      <c r="R1222" s="11"/>
      <c r="S1222" s="2">
        <f>CONSOLIDADO_2026[[#This Row],[Hora final]]-CONSOLIDADO_2026[[#This Row],[Hora inic]]</f>
        <v>0.33333333333333337</v>
      </c>
    </row>
    <row r="1223" spans="1:19" hidden="1" x14ac:dyDescent="0.25">
      <c r="A1223" t="s">
        <v>4206</v>
      </c>
      <c r="B1223">
        <v>1017235294</v>
      </c>
      <c r="C1223" t="s">
        <v>1069</v>
      </c>
      <c r="D1223" s="11" t="s">
        <v>55</v>
      </c>
      <c r="E1223" s="11" t="s">
        <v>4047</v>
      </c>
      <c r="F1223" s="11" t="s">
        <v>16</v>
      </c>
      <c r="G1223" s="1">
        <v>46254</v>
      </c>
      <c r="H1223" s="1">
        <v>46255</v>
      </c>
      <c r="I1223" s="2">
        <v>0.58333333333333337</v>
      </c>
      <c r="J1223" s="2">
        <v>0.875</v>
      </c>
      <c r="K1223" s="11"/>
      <c r="L1223" s="11" t="s">
        <v>4060</v>
      </c>
      <c r="M1223" s="1"/>
      <c r="N1223" s="11"/>
      <c r="O1223" s="11" t="s">
        <v>4042</v>
      </c>
      <c r="P1223" s="1"/>
      <c r="Q1223" s="1"/>
      <c r="R1223" s="11"/>
      <c r="S1223" s="2">
        <f>CONSOLIDADO_2026[[#This Row],[Hora final]]-CONSOLIDADO_2026[[#This Row],[Hora inic]]</f>
        <v>0.29166666666666663</v>
      </c>
    </row>
    <row r="1224" spans="1:19" hidden="1" x14ac:dyDescent="0.25">
      <c r="A1224" t="s">
        <v>4206</v>
      </c>
      <c r="B1224">
        <v>1003033764</v>
      </c>
      <c r="C1224" t="s">
        <v>1275</v>
      </c>
      <c r="D1224" s="11" t="s">
        <v>124</v>
      </c>
      <c r="E1224" s="11" t="s">
        <v>4045</v>
      </c>
      <c r="F1224" s="11" t="s">
        <v>16</v>
      </c>
      <c r="G1224" s="1">
        <v>46254</v>
      </c>
      <c r="H1224" s="1">
        <v>46255</v>
      </c>
      <c r="I1224" s="2">
        <v>0.54166666666666663</v>
      </c>
      <c r="J1224" s="2">
        <v>0.875</v>
      </c>
      <c r="K1224" s="11"/>
      <c r="L1224" s="11" t="s">
        <v>4060</v>
      </c>
      <c r="M1224" s="1"/>
      <c r="N1224" s="11"/>
      <c r="O1224" s="11" t="s">
        <v>4042</v>
      </c>
      <c r="P1224" s="1"/>
      <c r="Q1224" s="1"/>
      <c r="R1224" s="11"/>
      <c r="S1224" s="2">
        <f>CONSOLIDADO_2026[[#This Row],[Hora final]]-CONSOLIDADO_2026[[#This Row],[Hora inic]]</f>
        <v>0.33333333333333337</v>
      </c>
    </row>
    <row r="1225" spans="1:19" hidden="1" x14ac:dyDescent="0.25">
      <c r="A1225" t="s">
        <v>4206</v>
      </c>
      <c r="B1225">
        <v>33204315</v>
      </c>
      <c r="C1225" t="s">
        <v>585</v>
      </c>
      <c r="D1225" s="11" t="s">
        <v>162</v>
      </c>
      <c r="E1225" s="11" t="s">
        <v>4056</v>
      </c>
      <c r="F1225" s="11" t="s">
        <v>16</v>
      </c>
      <c r="G1225" s="1">
        <v>46254</v>
      </c>
      <c r="H1225" s="1">
        <v>46255</v>
      </c>
      <c r="I1225" s="2">
        <v>0.58333333333333337</v>
      </c>
      <c r="J1225" s="2">
        <v>0.875</v>
      </c>
      <c r="K1225" s="11" t="s">
        <v>184</v>
      </c>
      <c r="L1225" s="11" t="s">
        <v>185</v>
      </c>
      <c r="M1225" s="1"/>
      <c r="N1225" s="11"/>
      <c r="O1225" s="11" t="s">
        <v>21</v>
      </c>
      <c r="P1225" s="1"/>
      <c r="Q1225" s="1"/>
      <c r="R1225" s="11"/>
      <c r="S1225" s="2">
        <f>CONSOLIDADO_2026[[#This Row],[Hora final]]-CONSOLIDADO_2026[[#This Row],[Hora inic]]</f>
        <v>0.29166666666666663</v>
      </c>
    </row>
    <row r="1226" spans="1:19" hidden="1" x14ac:dyDescent="0.25">
      <c r="A1226" t="s">
        <v>4206</v>
      </c>
      <c r="B1226">
        <v>1152198083</v>
      </c>
      <c r="C1226" t="s">
        <v>2010</v>
      </c>
      <c r="D1226" s="11" t="s">
        <v>421</v>
      </c>
      <c r="E1226" s="11" t="s">
        <v>4047</v>
      </c>
      <c r="F1226" s="11" t="s">
        <v>16</v>
      </c>
      <c r="G1226" s="1">
        <v>46254</v>
      </c>
      <c r="H1226" s="1">
        <v>46255</v>
      </c>
      <c r="I1226" s="2">
        <v>0.25</v>
      </c>
      <c r="J1226" s="2">
        <v>0.5</v>
      </c>
      <c r="K1226" s="11" t="s">
        <v>318</v>
      </c>
      <c r="L1226" s="11" t="s">
        <v>319</v>
      </c>
      <c r="M1226" s="1"/>
      <c r="N1226" s="11"/>
      <c r="O1226" s="11" t="s">
        <v>21</v>
      </c>
      <c r="P1226" s="1"/>
      <c r="Q1226" s="1"/>
      <c r="R1226" s="11"/>
      <c r="S1226" s="2">
        <f>CONSOLIDADO_2026[[#This Row],[Hora final]]-CONSOLIDADO_2026[[#This Row],[Hora inic]]</f>
        <v>0.25</v>
      </c>
    </row>
    <row r="1227" spans="1:19" hidden="1" x14ac:dyDescent="0.25">
      <c r="A1227" t="s">
        <v>4206</v>
      </c>
      <c r="B1227">
        <v>1096223065</v>
      </c>
      <c r="C1227" t="s">
        <v>3428</v>
      </c>
      <c r="D1227" s="11" t="s">
        <v>59</v>
      </c>
      <c r="E1227" s="11" t="s">
        <v>4047</v>
      </c>
      <c r="F1227" s="11" t="s">
        <v>24</v>
      </c>
      <c r="G1227" s="1">
        <v>46253</v>
      </c>
      <c r="H1227" s="1">
        <v>46265</v>
      </c>
      <c r="I1227" s="2">
        <v>0.54166666666666663</v>
      </c>
      <c r="J1227" s="2">
        <v>0.83333333333333337</v>
      </c>
      <c r="K1227" s="11"/>
      <c r="L1227" s="11" t="s">
        <v>327</v>
      </c>
      <c r="M1227" s="1"/>
      <c r="N1227" s="11"/>
      <c r="O1227" s="11" t="s">
        <v>4042</v>
      </c>
      <c r="P1227" s="1"/>
      <c r="Q1227" s="1"/>
      <c r="R1227" s="11"/>
      <c r="S1227" s="2">
        <f>CONSOLIDADO_2026[[#This Row],[Hora final]]-CONSOLIDADO_2026[[#This Row],[Hora inic]]</f>
        <v>0.29166666666666674</v>
      </c>
    </row>
    <row r="1228" spans="1:19" hidden="1" x14ac:dyDescent="0.25">
      <c r="A1228" t="s">
        <v>4206</v>
      </c>
      <c r="B1228">
        <v>1007959114</v>
      </c>
      <c r="C1228" t="s">
        <v>337</v>
      </c>
      <c r="D1228" s="11" t="s">
        <v>39</v>
      </c>
      <c r="E1228" s="11" t="s">
        <v>4046</v>
      </c>
      <c r="F1228" s="11" t="s">
        <v>16</v>
      </c>
      <c r="G1228" s="1">
        <v>46254</v>
      </c>
      <c r="H1228" s="1">
        <v>46255</v>
      </c>
      <c r="I1228" s="2">
        <v>0.25</v>
      </c>
      <c r="J1228" s="2">
        <v>0.54166666666666663</v>
      </c>
      <c r="K1228" s="11" t="s">
        <v>196</v>
      </c>
      <c r="L1228" s="11" t="s">
        <v>197</v>
      </c>
      <c r="M1228" s="1"/>
      <c r="N1228" s="11"/>
      <c r="O1228" s="11" t="s">
        <v>21</v>
      </c>
      <c r="P1228" s="1"/>
      <c r="Q1228" s="1"/>
      <c r="R1228" s="11"/>
      <c r="S1228" s="2">
        <f>CONSOLIDADO_2026[[#This Row],[Hora final]]-CONSOLIDADO_2026[[#This Row],[Hora inic]]</f>
        <v>0.29166666666666663</v>
      </c>
    </row>
    <row r="1229" spans="1:19" hidden="1" x14ac:dyDescent="0.25">
      <c r="A1229" t="s">
        <v>4206</v>
      </c>
      <c r="B1229">
        <v>1036683729</v>
      </c>
      <c r="C1229" t="s">
        <v>954</v>
      </c>
      <c r="D1229" s="11" t="s">
        <v>82</v>
      </c>
      <c r="E1229" s="11" t="s">
        <v>4045</v>
      </c>
      <c r="F1229" s="11" t="s">
        <v>16</v>
      </c>
      <c r="G1229" s="1">
        <v>46253</v>
      </c>
      <c r="H1229" s="1">
        <v>46255</v>
      </c>
      <c r="I1229" s="2">
        <v>0.5</v>
      </c>
      <c r="J1229" s="2">
        <v>0.83333333333333337</v>
      </c>
      <c r="K1229" s="11"/>
      <c r="L1229" s="11" t="s">
        <v>327</v>
      </c>
      <c r="M1229" s="1"/>
      <c r="N1229" s="11"/>
      <c r="O1229" s="11" t="s">
        <v>4042</v>
      </c>
      <c r="P1229" s="1"/>
      <c r="Q1229" s="1"/>
      <c r="R1229" s="11"/>
      <c r="S1229" s="2">
        <f>CONSOLIDADO_2026[[#This Row],[Hora final]]-CONSOLIDADO_2026[[#This Row],[Hora inic]]</f>
        <v>0.33333333333333337</v>
      </c>
    </row>
    <row r="1230" spans="1:19" hidden="1" x14ac:dyDescent="0.25">
      <c r="A1230" t="s">
        <v>4206</v>
      </c>
      <c r="B1230">
        <v>1037668455</v>
      </c>
      <c r="C1230" t="s">
        <v>3013</v>
      </c>
      <c r="D1230" s="11" t="s">
        <v>78</v>
      </c>
      <c r="E1230" s="11" t="s">
        <v>4046</v>
      </c>
      <c r="F1230" s="11" t="s">
        <v>16</v>
      </c>
      <c r="G1230" s="1">
        <v>46253</v>
      </c>
      <c r="H1230" s="1">
        <v>46254</v>
      </c>
      <c r="I1230" s="2"/>
      <c r="J1230" s="2"/>
      <c r="K1230" s="11"/>
      <c r="L1230" s="11" t="s">
        <v>4041</v>
      </c>
      <c r="M1230" s="1"/>
      <c r="N1230" s="11"/>
      <c r="O1230" s="11" t="s">
        <v>4042</v>
      </c>
      <c r="P1230" s="1"/>
      <c r="Q1230" s="1"/>
      <c r="R1230" s="11"/>
      <c r="S1230" s="2">
        <f>CONSOLIDADO_2026[[#This Row],[Hora final]]-CONSOLIDADO_2026[[#This Row],[Hora inic]]</f>
        <v>0</v>
      </c>
    </row>
    <row r="1231" spans="1:19" hidden="1" x14ac:dyDescent="0.25">
      <c r="A1231" t="s">
        <v>4206</v>
      </c>
      <c r="B1231">
        <v>1002029407</v>
      </c>
      <c r="C1231" t="s">
        <v>101</v>
      </c>
      <c r="D1231" s="11" t="s">
        <v>102</v>
      </c>
      <c r="E1231" s="11" t="s">
        <v>4046</v>
      </c>
      <c r="F1231" s="11" t="s">
        <v>16</v>
      </c>
      <c r="G1231" s="1">
        <v>46253</v>
      </c>
      <c r="H1231" s="1">
        <v>46256</v>
      </c>
      <c r="I1231" s="2">
        <v>0.5</v>
      </c>
      <c r="J1231" s="2">
        <v>0.79166666666666663</v>
      </c>
      <c r="K1231" s="11"/>
      <c r="L1231" s="11" t="s">
        <v>327</v>
      </c>
      <c r="M1231" s="1"/>
      <c r="N1231" s="11"/>
      <c r="O1231" s="11" t="s">
        <v>4042</v>
      </c>
      <c r="P1231" s="1"/>
      <c r="Q1231" s="1"/>
      <c r="R1231" s="11"/>
      <c r="S1231" s="2">
        <f>CONSOLIDADO_2026[[#This Row],[Hora final]]-CONSOLIDADO_2026[[#This Row],[Hora inic]]</f>
        <v>0.29166666666666663</v>
      </c>
    </row>
    <row r="1232" spans="1:19" hidden="1" x14ac:dyDescent="0.25">
      <c r="A1232" t="s">
        <v>4206</v>
      </c>
      <c r="B1232">
        <v>1045718883</v>
      </c>
      <c r="C1232" t="s">
        <v>34</v>
      </c>
      <c r="D1232" s="11" t="s">
        <v>15</v>
      </c>
      <c r="E1232" s="11" t="s">
        <v>4046</v>
      </c>
      <c r="F1232" s="11" t="s">
        <v>36</v>
      </c>
      <c r="G1232" s="1">
        <v>46244</v>
      </c>
      <c r="H1232" s="1">
        <v>46393</v>
      </c>
      <c r="I1232" s="2">
        <v>0.25</v>
      </c>
      <c r="J1232" s="2">
        <v>0.54166666666666663</v>
      </c>
      <c r="K1232" s="11" t="s">
        <v>222</v>
      </c>
      <c r="L1232" s="11" t="s">
        <v>223</v>
      </c>
      <c r="M1232" s="1"/>
      <c r="N1232" s="11"/>
      <c r="O1232" s="11" t="s">
        <v>21</v>
      </c>
      <c r="P1232" s="1"/>
      <c r="Q1232" s="1"/>
      <c r="R1232" s="11"/>
      <c r="S1232" s="2">
        <f>CONSOLIDADO_2026[[#This Row],[Hora final]]-CONSOLIDADO_2026[[#This Row],[Hora inic]]</f>
        <v>0.29166666666666663</v>
      </c>
    </row>
    <row r="1233" spans="1:19" hidden="1" x14ac:dyDescent="0.25">
      <c r="A1233" t="s">
        <v>4206</v>
      </c>
      <c r="B1233">
        <v>1015483595</v>
      </c>
      <c r="C1233" t="s">
        <v>23</v>
      </c>
      <c r="D1233" s="11" t="s">
        <v>15</v>
      </c>
      <c r="E1233" s="11" t="s">
        <v>4046</v>
      </c>
      <c r="F1233" s="11" t="s">
        <v>24</v>
      </c>
      <c r="G1233" s="1">
        <v>46244</v>
      </c>
      <c r="H1233" s="1">
        <v>46265</v>
      </c>
      <c r="I1233" s="2">
        <v>0.58333333333333337</v>
      </c>
      <c r="J1233" s="2">
        <v>0.875</v>
      </c>
      <c r="K1233" s="11" t="s">
        <v>17</v>
      </c>
      <c r="L1233" s="11" t="s">
        <v>18</v>
      </c>
      <c r="M1233" s="1"/>
      <c r="N1233" s="11"/>
      <c r="O1233" s="11" t="s">
        <v>21</v>
      </c>
      <c r="P1233" s="1"/>
      <c r="Q1233" s="1"/>
      <c r="R1233" s="11"/>
      <c r="S1233" s="2">
        <f>CONSOLIDADO_2026[[#This Row],[Hora final]]-CONSOLIDADO_2026[[#This Row],[Hora inic]]</f>
        <v>0.29166666666666663</v>
      </c>
    </row>
    <row r="1234" spans="1:19" hidden="1" x14ac:dyDescent="0.25">
      <c r="A1234" t="s">
        <v>4206</v>
      </c>
      <c r="B1234">
        <v>1098774597</v>
      </c>
      <c r="C1234" t="s">
        <v>1745</v>
      </c>
      <c r="D1234" s="11" t="s">
        <v>132</v>
      </c>
      <c r="E1234" s="11" t="s">
        <v>4040</v>
      </c>
      <c r="F1234" s="11" t="s">
        <v>16</v>
      </c>
      <c r="G1234" s="1">
        <v>46253</v>
      </c>
      <c r="H1234" s="1">
        <v>46255</v>
      </c>
      <c r="I1234" s="2">
        <v>0.25</v>
      </c>
      <c r="J1234" s="2">
        <v>0.54166666666666663</v>
      </c>
      <c r="K1234" s="11" t="s">
        <v>213</v>
      </c>
      <c r="L1234" s="11" t="s">
        <v>214</v>
      </c>
      <c r="M1234" s="1"/>
      <c r="N1234" s="11"/>
      <c r="O1234" s="11" t="s">
        <v>21</v>
      </c>
      <c r="P1234" s="1"/>
      <c r="Q1234" s="1"/>
      <c r="R1234" s="11"/>
      <c r="S1234" s="2">
        <f>CONSOLIDADO_2026[[#This Row],[Hora final]]-CONSOLIDADO_2026[[#This Row],[Hora inic]]</f>
        <v>0.29166666666666663</v>
      </c>
    </row>
    <row r="1235" spans="1:19" hidden="1" x14ac:dyDescent="0.25">
      <c r="A1235" t="s">
        <v>4206</v>
      </c>
      <c r="B1235">
        <v>1037661959</v>
      </c>
      <c r="C1235" t="s">
        <v>4080</v>
      </c>
      <c r="D1235" s="11" t="s">
        <v>482</v>
      </c>
      <c r="E1235" s="11" t="s">
        <v>4040</v>
      </c>
      <c r="F1235" s="11" t="s">
        <v>4050</v>
      </c>
      <c r="G1235" s="1">
        <v>46253</v>
      </c>
      <c r="H1235" s="1">
        <v>46255</v>
      </c>
      <c r="I1235" s="2">
        <v>0.25</v>
      </c>
      <c r="J1235" s="2">
        <v>0.54166666666666663</v>
      </c>
      <c r="K1235" s="11" t="s">
        <v>261</v>
      </c>
      <c r="L1235" s="11" t="s">
        <v>262</v>
      </c>
      <c r="M1235" s="1"/>
      <c r="N1235" s="11"/>
      <c r="O1235" s="11" t="s">
        <v>21</v>
      </c>
      <c r="P1235" s="1"/>
      <c r="Q1235" s="1"/>
      <c r="R1235" s="11"/>
      <c r="S1235" s="2">
        <f>CONSOLIDADO_2026[[#This Row],[Hora final]]-CONSOLIDADO_2026[[#This Row],[Hora inic]]</f>
        <v>0.29166666666666663</v>
      </c>
    </row>
    <row r="1236" spans="1:19" hidden="1" x14ac:dyDescent="0.25">
      <c r="A1236" t="s">
        <v>4206</v>
      </c>
      <c r="B1236">
        <v>1152434926</v>
      </c>
      <c r="C1236" t="s">
        <v>217</v>
      </c>
      <c r="D1236" s="11" t="s">
        <v>59</v>
      </c>
      <c r="E1236" s="11" t="s">
        <v>4047</v>
      </c>
      <c r="F1236" s="11" t="s">
        <v>16</v>
      </c>
      <c r="G1236" s="1">
        <v>46252</v>
      </c>
      <c r="H1236" s="1">
        <v>46255</v>
      </c>
      <c r="I1236" s="2">
        <v>0.25</v>
      </c>
      <c r="J1236" s="2">
        <v>0.54166666666666663</v>
      </c>
      <c r="K1236" s="11"/>
      <c r="L1236" s="11" t="s">
        <v>327</v>
      </c>
      <c r="M1236" s="1"/>
      <c r="N1236" s="11"/>
      <c r="O1236" s="11" t="s">
        <v>4042</v>
      </c>
      <c r="P1236" s="1"/>
      <c r="Q1236" s="1"/>
      <c r="R1236" s="11"/>
      <c r="S1236" s="2">
        <f>CONSOLIDADO_2026[[#This Row],[Hora final]]-CONSOLIDADO_2026[[#This Row],[Hora inic]]</f>
        <v>0.29166666666666663</v>
      </c>
    </row>
    <row r="1237" spans="1:19" hidden="1" x14ac:dyDescent="0.25">
      <c r="A1237" t="s">
        <v>4206</v>
      </c>
      <c r="B1237">
        <v>1007334260</v>
      </c>
      <c r="C1237" t="s">
        <v>4207</v>
      </c>
      <c r="D1237" s="11" t="s">
        <v>344</v>
      </c>
      <c r="E1237" s="11" t="s">
        <v>4056</v>
      </c>
      <c r="F1237" s="11" t="s">
        <v>4050</v>
      </c>
      <c r="G1237" s="1">
        <v>46255</v>
      </c>
      <c r="H1237" s="1">
        <v>46259</v>
      </c>
      <c r="I1237" s="2">
        <v>0.25</v>
      </c>
      <c r="J1237" s="2">
        <v>0.58333333333333337</v>
      </c>
      <c r="K1237" s="11" t="s">
        <v>285</v>
      </c>
      <c r="L1237" s="11" t="s">
        <v>286</v>
      </c>
      <c r="M1237" s="1"/>
      <c r="N1237" s="11"/>
      <c r="O1237" s="11" t="s">
        <v>21</v>
      </c>
      <c r="P1237" s="1"/>
      <c r="Q1237" s="1"/>
      <c r="R1237" s="11"/>
      <c r="S1237" s="2">
        <f>CONSOLIDADO_2026[[#This Row],[Hora final]]-CONSOLIDADO_2026[[#This Row],[Hora inic]]</f>
        <v>0.33333333333333337</v>
      </c>
    </row>
    <row r="1238" spans="1:19" hidden="1" x14ac:dyDescent="0.25">
      <c r="A1238" t="s">
        <v>4206</v>
      </c>
      <c r="B1238">
        <v>1143375080</v>
      </c>
      <c r="C1238" t="s">
        <v>203</v>
      </c>
      <c r="D1238" s="11" t="s">
        <v>44</v>
      </c>
      <c r="E1238" s="11" t="s">
        <v>4045</v>
      </c>
      <c r="F1238" s="11" t="s">
        <v>158</v>
      </c>
      <c r="G1238" s="1">
        <v>46249</v>
      </c>
      <c r="H1238" s="1"/>
      <c r="I1238" s="2">
        <v>0.25</v>
      </c>
      <c r="J1238" s="2">
        <v>0.54166666666666663</v>
      </c>
      <c r="K1238" s="11" t="s">
        <v>199</v>
      </c>
      <c r="L1238" s="11" t="s">
        <v>200</v>
      </c>
      <c r="M1238" s="1"/>
      <c r="N1238" s="11"/>
      <c r="O1238" s="11" t="s">
        <v>21</v>
      </c>
      <c r="P1238" s="1"/>
      <c r="Q1238" s="1"/>
      <c r="R1238" s="11"/>
      <c r="S1238" s="2">
        <f>CONSOLIDADO_2026[[#This Row],[Hora final]]-CONSOLIDADO_2026[[#This Row],[Hora inic]]</f>
        <v>0.29166666666666663</v>
      </c>
    </row>
    <row r="1239" spans="1:19" hidden="1" x14ac:dyDescent="0.25">
      <c r="A1239" t="s">
        <v>4206</v>
      </c>
      <c r="B1239">
        <v>1043006106</v>
      </c>
      <c r="C1239" t="s">
        <v>202</v>
      </c>
      <c r="D1239" s="11" t="s">
        <v>64</v>
      </c>
      <c r="E1239" s="11" t="s">
        <v>4046</v>
      </c>
      <c r="F1239" s="11" t="s">
        <v>16</v>
      </c>
      <c r="G1239" s="1">
        <v>46249</v>
      </c>
      <c r="H1239" s="1">
        <v>46278</v>
      </c>
      <c r="I1239" s="2">
        <v>0.58333333333333337</v>
      </c>
      <c r="J1239" s="2">
        <v>0.875</v>
      </c>
      <c r="K1239" s="11"/>
      <c r="L1239" s="11" t="s">
        <v>327</v>
      </c>
      <c r="M1239" s="1"/>
      <c r="N1239" s="11"/>
      <c r="O1239" s="11" t="s">
        <v>4042</v>
      </c>
      <c r="P1239" s="1"/>
      <c r="Q1239" s="1"/>
      <c r="R1239" s="11"/>
      <c r="S1239" s="2">
        <f>CONSOLIDADO_2026[[#This Row],[Hora final]]-CONSOLIDADO_2026[[#This Row],[Hora inic]]</f>
        <v>0.29166666666666663</v>
      </c>
    </row>
    <row r="1240" spans="1:19" hidden="1" x14ac:dyDescent="0.25">
      <c r="A1240" t="s">
        <v>4206</v>
      </c>
      <c r="B1240">
        <v>1040755197</v>
      </c>
      <c r="C1240" t="s">
        <v>171</v>
      </c>
      <c r="D1240" s="11" t="s">
        <v>172</v>
      </c>
      <c r="E1240" s="11" t="s">
        <v>4046</v>
      </c>
      <c r="F1240" s="11" t="s">
        <v>16</v>
      </c>
      <c r="G1240" s="1">
        <v>46252</v>
      </c>
      <c r="H1240" s="1">
        <v>46262</v>
      </c>
      <c r="I1240" s="2">
        <v>0.54166666666666663</v>
      </c>
      <c r="J1240" s="2">
        <v>0.875</v>
      </c>
      <c r="K1240" s="11" t="s">
        <v>167</v>
      </c>
      <c r="L1240" s="11" t="s">
        <v>168</v>
      </c>
      <c r="M1240" s="1"/>
      <c r="N1240" s="11"/>
      <c r="O1240" s="11" t="s">
        <v>21</v>
      </c>
      <c r="P1240" s="1"/>
      <c r="Q1240" s="1"/>
      <c r="R1240" s="11"/>
      <c r="S1240" s="2">
        <f>CONSOLIDADO_2026[[#This Row],[Hora final]]-CONSOLIDADO_2026[[#This Row],[Hora inic]]</f>
        <v>0.33333333333333337</v>
      </c>
    </row>
    <row r="1241" spans="1:19" hidden="1" x14ac:dyDescent="0.25">
      <c r="A1241" t="s">
        <v>4206</v>
      </c>
      <c r="B1241">
        <v>1102808787</v>
      </c>
      <c r="C1241" t="s">
        <v>135</v>
      </c>
      <c r="D1241" s="11" t="s">
        <v>39</v>
      </c>
      <c r="E1241" s="11" t="s">
        <v>4046</v>
      </c>
      <c r="F1241" s="11" t="s">
        <v>16</v>
      </c>
      <c r="G1241" s="1">
        <v>46237</v>
      </c>
      <c r="H1241" s="1">
        <v>46276</v>
      </c>
      <c r="I1241" s="2">
        <v>0.25</v>
      </c>
      <c r="J1241" s="2">
        <v>0.54166666666666663</v>
      </c>
      <c r="K1241" s="11"/>
      <c r="L1241" s="11" t="s">
        <v>327</v>
      </c>
      <c r="M1241" s="1"/>
      <c r="N1241" s="11"/>
      <c r="O1241" s="11" t="s">
        <v>4042</v>
      </c>
      <c r="P1241" s="1"/>
      <c r="Q1241" s="1"/>
      <c r="R1241" s="11"/>
      <c r="S1241" s="2">
        <f>CONSOLIDADO_2026[[#This Row],[Hora final]]-CONSOLIDADO_2026[[#This Row],[Hora inic]]</f>
        <v>0.29166666666666663</v>
      </c>
    </row>
    <row r="1242" spans="1:19" hidden="1" x14ac:dyDescent="0.25">
      <c r="A1242" t="s">
        <v>4206</v>
      </c>
      <c r="B1242">
        <v>1035876080</v>
      </c>
      <c r="C1242" t="s">
        <v>123</v>
      </c>
      <c r="D1242" s="11" t="s">
        <v>124</v>
      </c>
      <c r="E1242" s="11" t="s">
        <v>4045</v>
      </c>
      <c r="F1242" s="11" t="s">
        <v>16</v>
      </c>
      <c r="G1242" s="1">
        <v>46246</v>
      </c>
      <c r="H1242" s="1">
        <v>46254</v>
      </c>
      <c r="I1242" s="2"/>
      <c r="J1242" s="2"/>
      <c r="K1242" s="11"/>
      <c r="L1242" s="11" t="s">
        <v>4041</v>
      </c>
      <c r="M1242" s="1"/>
      <c r="N1242" s="11"/>
      <c r="O1242" s="11" t="s">
        <v>4042</v>
      </c>
      <c r="P1242" s="1"/>
      <c r="Q1242" s="1"/>
      <c r="R1242" s="11"/>
      <c r="S1242" s="2">
        <f>CONSOLIDADO_2026[[#This Row],[Hora final]]-CONSOLIDADO_2026[[#This Row],[Hora inic]]</f>
        <v>0</v>
      </c>
    </row>
    <row r="1243" spans="1:19" hidden="1" x14ac:dyDescent="0.25">
      <c r="A1243" t="s">
        <v>4206</v>
      </c>
      <c r="B1243">
        <v>1082896324</v>
      </c>
      <c r="C1243" t="s">
        <v>127</v>
      </c>
      <c r="D1243" s="11" t="s">
        <v>128</v>
      </c>
      <c r="E1243" s="11" t="s">
        <v>4045</v>
      </c>
      <c r="F1243" s="11" t="s">
        <v>16</v>
      </c>
      <c r="G1243" s="1">
        <v>46242</v>
      </c>
      <c r="H1243" s="1">
        <v>46272</v>
      </c>
      <c r="I1243" s="2">
        <v>0.25</v>
      </c>
      <c r="J1243" s="2">
        <v>0.54166666666666663</v>
      </c>
      <c r="K1243" s="11" t="s">
        <v>240</v>
      </c>
      <c r="L1243" s="11" t="s">
        <v>241</v>
      </c>
      <c r="M1243" s="1"/>
      <c r="N1243" s="11"/>
      <c r="O1243" s="11" t="s">
        <v>21</v>
      </c>
      <c r="P1243" s="1"/>
      <c r="Q1243" s="1"/>
      <c r="R1243" s="11"/>
      <c r="S1243" s="2">
        <f>CONSOLIDADO_2026[[#This Row],[Hora final]]-CONSOLIDADO_2026[[#This Row],[Hora inic]]</f>
        <v>0.29166666666666663</v>
      </c>
    </row>
    <row r="1244" spans="1:19" hidden="1" x14ac:dyDescent="0.25">
      <c r="A1244" t="s">
        <v>4206</v>
      </c>
      <c r="B1244">
        <v>1001851670</v>
      </c>
      <c r="C1244" t="s">
        <v>50</v>
      </c>
      <c r="D1244" s="11" t="s">
        <v>51</v>
      </c>
      <c r="E1244" s="11" t="s">
        <v>4047</v>
      </c>
      <c r="F1244" s="11" t="s">
        <v>36</v>
      </c>
      <c r="G1244" s="1">
        <v>46241</v>
      </c>
      <c r="H1244" s="1">
        <v>46366</v>
      </c>
      <c r="I1244" s="2">
        <v>0.25</v>
      </c>
      <c r="J1244" s="2">
        <v>0.54166666666666663</v>
      </c>
      <c r="K1244" s="11" t="s">
        <v>85</v>
      </c>
      <c r="L1244" s="11" t="s">
        <v>86</v>
      </c>
      <c r="M1244" s="1"/>
      <c r="N1244" s="11"/>
      <c r="O1244" s="11" t="s">
        <v>21</v>
      </c>
      <c r="P1244" s="1"/>
      <c r="Q1244" s="1"/>
      <c r="R1244" s="11"/>
      <c r="S1244" s="2">
        <f>CONSOLIDADO_2026[[#This Row],[Hora final]]-CONSOLIDADO_2026[[#This Row],[Hora inic]]</f>
        <v>0.29166666666666663</v>
      </c>
    </row>
    <row r="1245" spans="1:19" hidden="1" x14ac:dyDescent="0.25">
      <c r="A1245" t="s">
        <v>4206</v>
      </c>
      <c r="B1245">
        <v>1140891109</v>
      </c>
      <c r="C1245" t="s">
        <v>1287</v>
      </c>
      <c r="D1245" s="11" t="s">
        <v>51</v>
      </c>
      <c r="E1245" s="11" t="s">
        <v>4047</v>
      </c>
      <c r="F1245" s="11" t="s">
        <v>4147</v>
      </c>
      <c r="G1245" s="1">
        <v>46254</v>
      </c>
      <c r="H1245" s="1">
        <v>46254</v>
      </c>
      <c r="I1245" s="2"/>
      <c r="J1245" s="2"/>
      <c r="K1245" s="11"/>
      <c r="L1245" s="11" t="s">
        <v>4041</v>
      </c>
      <c r="M1245" s="1"/>
      <c r="N1245" s="11"/>
      <c r="O1245" s="11" t="s">
        <v>4042</v>
      </c>
      <c r="P1245" s="1"/>
      <c r="Q1245" s="1"/>
      <c r="R1245" s="11"/>
      <c r="S1245" s="2">
        <f>CONSOLIDADO_2026[[#This Row],[Hora final]]-CONSOLIDADO_2026[[#This Row],[Hora inic]]</f>
        <v>0</v>
      </c>
    </row>
    <row r="1246" spans="1:19" hidden="1" x14ac:dyDescent="0.25">
      <c r="A1246" t="s">
        <v>4206</v>
      </c>
      <c r="B1246">
        <v>42141273</v>
      </c>
      <c r="C1246" t="s">
        <v>271</v>
      </c>
      <c r="D1246" s="11" t="s">
        <v>272</v>
      </c>
      <c r="E1246" s="11" t="s">
        <v>4056</v>
      </c>
      <c r="F1246" s="11" t="s">
        <v>4065</v>
      </c>
      <c r="G1246" s="1">
        <v>46238</v>
      </c>
      <c r="H1246" s="1">
        <v>46295</v>
      </c>
      <c r="I1246" s="2">
        <v>0.25</v>
      </c>
      <c r="J1246" s="2">
        <v>0.5</v>
      </c>
      <c r="K1246" s="11" t="s">
        <v>560</v>
      </c>
      <c r="L1246" s="11" t="s">
        <v>561</v>
      </c>
      <c r="M1246" s="1"/>
      <c r="N1246" s="11"/>
      <c r="O1246" s="11" t="s">
        <v>4042</v>
      </c>
      <c r="P1246" s="1"/>
      <c r="Q1246" s="1"/>
      <c r="R1246" s="11"/>
      <c r="S1246" s="2">
        <f>CONSOLIDADO_2026[[#This Row],[Hora final]]-CONSOLIDADO_2026[[#This Row],[Hora inic]]</f>
        <v>0.25</v>
      </c>
    </row>
    <row r="1247" spans="1:19" hidden="1" x14ac:dyDescent="0.25">
      <c r="A1247" t="s">
        <v>4206</v>
      </c>
      <c r="B1247">
        <v>1005424850</v>
      </c>
      <c r="C1247" t="s">
        <v>95</v>
      </c>
      <c r="D1247" s="11" t="s">
        <v>82</v>
      </c>
      <c r="E1247" s="11" t="s">
        <v>4045</v>
      </c>
      <c r="F1247" s="11" t="s">
        <v>4062</v>
      </c>
      <c r="G1247" s="1">
        <v>46254</v>
      </c>
      <c r="H1247" s="1">
        <v>46255</v>
      </c>
      <c r="I1247" s="2">
        <v>0.5</v>
      </c>
      <c r="J1247" s="2">
        <v>0.83333333333333337</v>
      </c>
      <c r="K1247" s="11"/>
      <c r="L1247" s="11" t="s">
        <v>4208</v>
      </c>
      <c r="M1247" s="1"/>
      <c r="N1247" s="11"/>
      <c r="O1247" s="11" t="s">
        <v>21</v>
      </c>
      <c r="P1247" s="1"/>
      <c r="Q1247" s="1"/>
      <c r="R1247" s="11"/>
      <c r="S1247" s="2">
        <f>CONSOLIDADO_2026[[#This Row],[Hora final]]-CONSOLIDADO_2026[[#This Row],[Hora inic]]</f>
        <v>0.33333333333333337</v>
      </c>
    </row>
    <row r="1248" spans="1:19" hidden="1" x14ac:dyDescent="0.25">
      <c r="A1248" t="s">
        <v>4206</v>
      </c>
      <c r="B1248">
        <v>1152221372</v>
      </c>
      <c r="C1248" t="s">
        <v>2363</v>
      </c>
      <c r="D1248" s="11" t="s">
        <v>139</v>
      </c>
      <c r="E1248" s="11" t="s">
        <v>4040</v>
      </c>
      <c r="F1248" s="11" t="s">
        <v>158</v>
      </c>
      <c r="G1248" s="1">
        <v>46230</v>
      </c>
      <c r="H1248" s="1">
        <v>46230</v>
      </c>
      <c r="I1248" s="2">
        <v>0.58333333333333337</v>
      </c>
      <c r="J1248" s="2">
        <v>0.875</v>
      </c>
      <c r="K1248" s="11"/>
      <c r="L1248" s="11" t="s">
        <v>327</v>
      </c>
      <c r="M1248" s="1"/>
      <c r="N1248" s="11"/>
      <c r="O1248" s="11" t="s">
        <v>4042</v>
      </c>
      <c r="P1248" s="1"/>
      <c r="Q1248" s="1"/>
      <c r="R1248" s="11"/>
      <c r="S1248" s="2">
        <f>CONSOLIDADO_2026[[#This Row],[Hora final]]-CONSOLIDADO_2026[[#This Row],[Hora inic]]</f>
        <v>0.29166666666666663</v>
      </c>
    </row>
    <row r="1249" spans="1:19" hidden="1" x14ac:dyDescent="0.25">
      <c r="A1249" t="s">
        <v>4206</v>
      </c>
      <c r="B1249">
        <v>1017264032</v>
      </c>
      <c r="C1249" t="s">
        <v>54</v>
      </c>
      <c r="D1249" s="11" t="s">
        <v>55</v>
      </c>
      <c r="E1249" s="11" t="s">
        <v>4047</v>
      </c>
      <c r="F1249" s="11" t="s">
        <v>16</v>
      </c>
      <c r="G1249" s="1">
        <v>46229</v>
      </c>
      <c r="H1249" s="1">
        <v>46258</v>
      </c>
      <c r="I1249" s="2">
        <v>0.58333333333333337</v>
      </c>
      <c r="J1249" s="2">
        <v>0.875</v>
      </c>
      <c r="K1249" s="11" t="s">
        <v>119</v>
      </c>
      <c r="L1249" s="11" t="s">
        <v>120</v>
      </c>
      <c r="M1249" s="1"/>
      <c r="N1249" s="11"/>
      <c r="O1249" s="11" t="s">
        <v>21</v>
      </c>
      <c r="P1249" s="1"/>
      <c r="Q1249" s="1"/>
      <c r="R1249" s="11"/>
      <c r="S1249" s="2">
        <f>CONSOLIDADO_2026[[#This Row],[Hora final]]-CONSOLIDADO_2026[[#This Row],[Hora inic]]</f>
        <v>0.29166666666666663</v>
      </c>
    </row>
    <row r="1250" spans="1:19" hidden="1" x14ac:dyDescent="0.25">
      <c r="A1250" t="s">
        <v>4206</v>
      </c>
      <c r="B1250">
        <v>1037630071</v>
      </c>
      <c r="C1250" t="s">
        <v>3579</v>
      </c>
      <c r="D1250" s="11" t="s">
        <v>176</v>
      </c>
      <c r="E1250" s="11" t="s">
        <v>4040</v>
      </c>
      <c r="F1250" s="11" t="s">
        <v>4062</v>
      </c>
      <c r="G1250" s="1">
        <v>46247</v>
      </c>
      <c r="H1250" s="1">
        <v>46265</v>
      </c>
      <c r="I1250" s="2">
        <v>0.25</v>
      </c>
      <c r="J1250" s="2">
        <v>0.58333333333333337</v>
      </c>
      <c r="K1250" s="11" t="s">
        <v>251</v>
      </c>
      <c r="L1250" s="11" t="s">
        <v>252</v>
      </c>
      <c r="M1250" s="1"/>
      <c r="N1250" s="11"/>
      <c r="O1250" s="11" t="s">
        <v>21</v>
      </c>
      <c r="P1250" s="1"/>
      <c r="Q1250" s="1"/>
      <c r="R1250" s="11"/>
      <c r="S1250" s="2">
        <f>CONSOLIDADO_2026[[#This Row],[Hora final]]-CONSOLIDADO_2026[[#This Row],[Hora inic]]</f>
        <v>0.33333333333333337</v>
      </c>
    </row>
    <row r="1251" spans="1:19" hidden="1" x14ac:dyDescent="0.25">
      <c r="A1251" t="s">
        <v>4206</v>
      </c>
      <c r="B1251">
        <v>1143460426</v>
      </c>
      <c r="C1251" t="s">
        <v>4069</v>
      </c>
      <c r="D1251" s="11" t="s">
        <v>64</v>
      </c>
      <c r="E1251" s="11" t="s">
        <v>4046</v>
      </c>
      <c r="F1251" s="11" t="s">
        <v>4050</v>
      </c>
      <c r="G1251" s="1">
        <v>46195</v>
      </c>
      <c r="H1251" s="1">
        <v>46198</v>
      </c>
      <c r="I1251" s="2">
        <v>0.58333333333333337</v>
      </c>
      <c r="J1251" s="2">
        <v>0.875</v>
      </c>
      <c r="K1251" s="11" t="s">
        <v>231</v>
      </c>
      <c r="L1251" s="11" t="s">
        <v>232</v>
      </c>
      <c r="M1251" s="1"/>
      <c r="N1251" s="11"/>
      <c r="O1251" s="11" t="s">
        <v>21</v>
      </c>
      <c r="P1251" s="1"/>
      <c r="Q1251" s="1"/>
      <c r="R1251" s="11"/>
      <c r="S1251" s="2">
        <f>CONSOLIDADO_2026[[#This Row],[Hora final]]-CONSOLIDADO_2026[[#This Row],[Hora inic]]</f>
        <v>0.29166666666666663</v>
      </c>
    </row>
    <row r="1252" spans="1:19" hidden="1" x14ac:dyDescent="0.25">
      <c r="A1252" t="s">
        <v>4206</v>
      </c>
      <c r="B1252">
        <v>32299090</v>
      </c>
      <c r="C1252" t="s">
        <v>3249</v>
      </c>
      <c r="D1252" s="11" t="s">
        <v>55</v>
      </c>
      <c r="E1252" s="11" t="s">
        <v>4047</v>
      </c>
      <c r="F1252" s="11" t="s">
        <v>16</v>
      </c>
      <c r="G1252" s="1">
        <v>46253</v>
      </c>
      <c r="H1252" s="1">
        <v>46255</v>
      </c>
      <c r="I1252" s="2">
        <v>0.25</v>
      </c>
      <c r="J1252" s="2">
        <v>0.54166666666666663</v>
      </c>
      <c r="K1252" s="11" t="s">
        <v>306</v>
      </c>
      <c r="L1252" s="11" t="s">
        <v>307</v>
      </c>
      <c r="M1252" s="1"/>
      <c r="N1252" s="11"/>
      <c r="O1252" s="11" t="s">
        <v>21</v>
      </c>
      <c r="P1252" s="1"/>
      <c r="Q1252" s="1"/>
      <c r="R1252" s="11"/>
      <c r="S1252" s="2">
        <f>CONSOLIDADO_2026[[#This Row],[Hora final]]-CONSOLIDADO_2026[[#This Row],[Hora inic]]</f>
        <v>0.29166666666666663</v>
      </c>
    </row>
    <row r="1253" spans="1:19" hidden="1" x14ac:dyDescent="0.25">
      <c r="A1253" t="s">
        <v>4206</v>
      </c>
      <c r="B1253">
        <v>1143374524</v>
      </c>
      <c r="C1253" t="s">
        <v>2755</v>
      </c>
      <c r="D1253" s="11" t="s">
        <v>51</v>
      </c>
      <c r="E1253" s="11" t="s">
        <v>4047</v>
      </c>
      <c r="F1253" s="11" t="s">
        <v>16</v>
      </c>
      <c r="G1253" s="1">
        <v>46253</v>
      </c>
      <c r="H1253" s="1">
        <v>46255</v>
      </c>
      <c r="I1253" s="2">
        <v>0.58333333333333337</v>
      </c>
      <c r="J1253" s="2">
        <v>0.875</v>
      </c>
      <c r="K1253" s="11"/>
      <c r="L1253" s="11" t="s">
        <v>327</v>
      </c>
      <c r="M1253" s="1"/>
      <c r="N1253" s="11"/>
      <c r="O1253" s="11" t="s">
        <v>4042</v>
      </c>
      <c r="P1253" s="1"/>
      <c r="Q1253" s="1"/>
      <c r="R1253" s="11"/>
      <c r="S1253" s="2">
        <f>CONSOLIDADO_2026[[#This Row],[Hora final]]-CONSOLIDADO_2026[[#This Row],[Hora inic]]</f>
        <v>0.29166666666666663</v>
      </c>
    </row>
    <row r="1254" spans="1:19" hidden="1" x14ac:dyDescent="0.25">
      <c r="A1254" t="s">
        <v>4206</v>
      </c>
      <c r="B1254">
        <v>1020414545</v>
      </c>
      <c r="C1254" t="s">
        <v>2893</v>
      </c>
      <c r="D1254" s="11" t="s">
        <v>256</v>
      </c>
      <c r="E1254" s="11" t="s">
        <v>4040</v>
      </c>
      <c r="F1254" s="11" t="s">
        <v>16</v>
      </c>
      <c r="G1254" s="1">
        <v>46253</v>
      </c>
      <c r="H1254" s="1">
        <v>46254</v>
      </c>
      <c r="I1254" s="2"/>
      <c r="J1254" s="2"/>
      <c r="K1254" s="11"/>
      <c r="L1254" s="11" t="s">
        <v>4041</v>
      </c>
      <c r="M1254" s="1"/>
      <c r="N1254" s="11"/>
      <c r="O1254" s="11" t="s">
        <v>4042</v>
      </c>
      <c r="P1254" s="1"/>
      <c r="Q1254" s="1"/>
      <c r="R1254" s="11"/>
      <c r="S1254" s="2">
        <f>CONSOLIDADO_2026[[#This Row],[Hora final]]-CONSOLIDADO_2026[[#This Row],[Hora inic]]</f>
        <v>0</v>
      </c>
    </row>
    <row r="1255" spans="1:19" hidden="1" x14ac:dyDescent="0.25">
      <c r="A1255" t="s">
        <v>4206</v>
      </c>
      <c r="B1255">
        <v>1005989838</v>
      </c>
      <c r="C1255" t="s">
        <v>3630</v>
      </c>
      <c r="D1255" s="11" t="s">
        <v>132</v>
      </c>
      <c r="E1255" s="11" t="s">
        <v>4040</v>
      </c>
      <c r="F1255" s="11" t="s">
        <v>4074</v>
      </c>
      <c r="G1255" s="1">
        <v>46254</v>
      </c>
      <c r="H1255" s="1"/>
      <c r="I1255" s="2">
        <v>0.25</v>
      </c>
      <c r="J1255" s="2">
        <v>0.54166666666666663</v>
      </c>
      <c r="K1255" s="11"/>
      <c r="L1255" s="11" t="s">
        <v>4084</v>
      </c>
      <c r="M1255" s="1"/>
      <c r="N1255" s="11"/>
      <c r="O1255" s="11" t="s">
        <v>4042</v>
      </c>
      <c r="P1255" s="1"/>
      <c r="Q1255" s="1"/>
      <c r="R1255" s="11"/>
      <c r="S1255" s="2">
        <f>CONSOLIDADO_2026[[#This Row],[Hora final]]-CONSOLIDADO_2026[[#This Row],[Hora inic]]</f>
        <v>0.29166666666666663</v>
      </c>
    </row>
    <row r="1256" spans="1:19" hidden="1" x14ac:dyDescent="0.25">
      <c r="A1256" t="s">
        <v>4206</v>
      </c>
      <c r="B1256">
        <v>1000099010</v>
      </c>
      <c r="C1256" t="s">
        <v>660</v>
      </c>
      <c r="D1256" s="11" t="s">
        <v>139</v>
      </c>
      <c r="E1256" s="11" t="s">
        <v>4040</v>
      </c>
      <c r="F1256" s="11" t="s">
        <v>16</v>
      </c>
      <c r="G1256" s="1">
        <v>46252</v>
      </c>
      <c r="H1256" s="1">
        <v>46253</v>
      </c>
      <c r="I1256" s="2"/>
      <c r="J1256" s="2"/>
      <c r="K1256" s="11"/>
      <c r="L1256" s="11" t="s">
        <v>4041</v>
      </c>
      <c r="M1256" s="1"/>
      <c r="N1256" s="11"/>
      <c r="O1256" s="11" t="s">
        <v>4042</v>
      </c>
      <c r="P1256" s="1"/>
      <c r="Q1256" s="1"/>
      <c r="R1256" s="11"/>
      <c r="S1256" s="2">
        <f>CONSOLIDADO_2026[[#This Row],[Hora final]]-CONSOLIDADO_2026[[#This Row],[Hora inic]]</f>
        <v>0</v>
      </c>
    </row>
    <row r="1257" spans="1:19" hidden="1" x14ac:dyDescent="0.25">
      <c r="A1257" t="s">
        <v>4206</v>
      </c>
      <c r="B1257">
        <v>1017270214</v>
      </c>
      <c r="C1257" t="s">
        <v>1016</v>
      </c>
      <c r="D1257" s="11" t="s">
        <v>139</v>
      </c>
      <c r="E1257" s="11" t="s">
        <v>4040</v>
      </c>
      <c r="F1257" s="11" t="s">
        <v>326</v>
      </c>
      <c r="G1257" s="1">
        <v>46253</v>
      </c>
      <c r="H1257" s="1">
        <v>46255</v>
      </c>
      <c r="I1257" s="2">
        <v>0.25</v>
      </c>
      <c r="J1257" s="2">
        <v>0.54166666666666663</v>
      </c>
      <c r="K1257" s="11" t="s">
        <v>294</v>
      </c>
      <c r="L1257" s="11" t="s">
        <v>295</v>
      </c>
      <c r="M1257" s="1"/>
      <c r="N1257" s="11"/>
      <c r="O1257" s="11" t="s">
        <v>21</v>
      </c>
      <c r="P1257" s="1"/>
      <c r="Q1257" s="1"/>
      <c r="R1257" s="11"/>
      <c r="S1257" s="2">
        <f>CONSOLIDADO_2026[[#This Row],[Hora final]]-CONSOLIDADO_2026[[#This Row],[Hora inic]]</f>
        <v>0.29166666666666663</v>
      </c>
    </row>
    <row r="1258" spans="1:19" hidden="1" x14ac:dyDescent="0.25">
      <c r="A1258" t="s">
        <v>4206</v>
      </c>
      <c r="B1258">
        <v>43453341</v>
      </c>
      <c r="C1258" t="s">
        <v>146</v>
      </c>
      <c r="D1258" s="11" t="s">
        <v>124</v>
      </c>
      <c r="E1258" s="11" t="s">
        <v>4045</v>
      </c>
      <c r="F1258" s="11" t="s">
        <v>16</v>
      </c>
      <c r="G1258" s="1">
        <v>46254</v>
      </c>
      <c r="H1258" s="1">
        <v>46268</v>
      </c>
      <c r="I1258" s="2">
        <v>0.25</v>
      </c>
      <c r="J1258" s="2">
        <v>0.54166666666666663</v>
      </c>
      <c r="K1258" s="11" t="s">
        <v>150</v>
      </c>
      <c r="L1258" s="11" t="s">
        <v>151</v>
      </c>
      <c r="M1258" s="1"/>
      <c r="N1258" s="11"/>
      <c r="O1258" s="11" t="s">
        <v>21</v>
      </c>
      <c r="P1258" s="1"/>
      <c r="Q1258" s="1"/>
      <c r="R1258" s="11"/>
      <c r="S1258" s="2">
        <f>CONSOLIDADO_2026[[#This Row],[Hora final]]-CONSOLIDADO_2026[[#This Row],[Hora inic]]</f>
        <v>0.29166666666666663</v>
      </c>
    </row>
    <row r="1259" spans="1:19" hidden="1" x14ac:dyDescent="0.25">
      <c r="A1259" t="s">
        <v>4206</v>
      </c>
      <c r="B1259">
        <v>1037646403</v>
      </c>
      <c r="C1259" t="s">
        <v>4205</v>
      </c>
      <c r="D1259" s="11" t="s">
        <v>128</v>
      </c>
      <c r="E1259" s="11" t="s">
        <v>4045</v>
      </c>
      <c r="F1259" s="11" t="s">
        <v>4074</v>
      </c>
      <c r="G1259" s="1">
        <v>46254</v>
      </c>
      <c r="H1259" s="1"/>
      <c r="I1259" s="2">
        <v>0.58333333333333337</v>
      </c>
      <c r="J1259" s="2">
        <v>0.875</v>
      </c>
      <c r="K1259" s="11"/>
      <c r="L1259" s="11" t="s">
        <v>4060</v>
      </c>
      <c r="M1259" s="1"/>
      <c r="N1259" s="11"/>
      <c r="O1259" s="11" t="s">
        <v>4042</v>
      </c>
      <c r="P1259" s="1"/>
      <c r="Q1259" s="1"/>
      <c r="R1259" s="11"/>
      <c r="S1259" s="2">
        <f>CONSOLIDADO_2026[[#This Row],[Hora final]]-CONSOLIDADO_2026[[#This Row],[Hora inic]]</f>
        <v>0.29166666666666663</v>
      </c>
    </row>
    <row r="1260" spans="1:19" hidden="1" x14ac:dyDescent="0.25">
      <c r="A1260" t="s">
        <v>4206</v>
      </c>
      <c r="B1260">
        <v>1000348983</v>
      </c>
      <c r="C1260" t="s">
        <v>235</v>
      </c>
      <c r="D1260" s="11" t="s">
        <v>162</v>
      </c>
      <c r="E1260" s="11" t="s">
        <v>4056</v>
      </c>
      <c r="F1260" s="11" t="s">
        <v>16</v>
      </c>
      <c r="G1260" s="1">
        <v>46251</v>
      </c>
      <c r="H1260" s="1">
        <v>46255</v>
      </c>
      <c r="I1260" s="2">
        <v>0.25</v>
      </c>
      <c r="J1260" s="2">
        <v>0.58333333333333337</v>
      </c>
      <c r="K1260" s="11" t="s">
        <v>236</v>
      </c>
      <c r="L1260" s="11" t="s">
        <v>237</v>
      </c>
      <c r="M1260" s="1"/>
      <c r="N1260" s="11"/>
      <c r="O1260" s="11" t="s">
        <v>21</v>
      </c>
      <c r="P1260" s="1"/>
      <c r="Q1260" s="1"/>
      <c r="R1260" s="11"/>
      <c r="S1260" s="2">
        <f>CONSOLIDADO_2026[[#This Row],[Hora final]]-CONSOLIDADO_2026[[#This Row],[Hora inic]]</f>
        <v>0.33333333333333337</v>
      </c>
    </row>
    <row r="1261" spans="1:19" hidden="1" x14ac:dyDescent="0.25">
      <c r="A1261" t="s">
        <v>4206</v>
      </c>
      <c r="B1261">
        <v>1001996913</v>
      </c>
      <c r="C1261" t="s">
        <v>3174</v>
      </c>
      <c r="D1261" s="11" t="s">
        <v>28</v>
      </c>
      <c r="E1261" s="11" t="s">
        <v>4046</v>
      </c>
      <c r="F1261" s="11" t="s">
        <v>16</v>
      </c>
      <c r="G1261" s="1">
        <v>46252</v>
      </c>
      <c r="H1261" s="1">
        <v>46254</v>
      </c>
      <c r="I1261" s="2"/>
      <c r="J1261" s="2"/>
      <c r="K1261" s="11"/>
      <c r="L1261" s="11" t="s">
        <v>4041</v>
      </c>
      <c r="M1261" s="1"/>
      <c r="N1261" s="11"/>
      <c r="O1261" s="11" t="s">
        <v>4042</v>
      </c>
      <c r="P1261" s="1"/>
      <c r="Q1261" s="1"/>
      <c r="R1261" s="11"/>
      <c r="S1261" s="2">
        <f>CONSOLIDADO_2026[[#This Row],[Hora final]]-CONSOLIDADO_2026[[#This Row],[Hora inic]]</f>
        <v>0</v>
      </c>
    </row>
    <row r="1262" spans="1:19" hidden="1" x14ac:dyDescent="0.25">
      <c r="A1262" t="s">
        <v>4206</v>
      </c>
      <c r="B1262">
        <v>1037638426</v>
      </c>
      <c r="C1262" t="s">
        <v>31</v>
      </c>
      <c r="D1262" s="11" t="s">
        <v>28</v>
      </c>
      <c r="E1262" s="11" t="s">
        <v>4046</v>
      </c>
      <c r="F1262" s="11" t="s">
        <v>24</v>
      </c>
      <c r="G1262" s="1">
        <v>46249</v>
      </c>
      <c r="H1262" s="1">
        <v>46264</v>
      </c>
      <c r="I1262" s="2">
        <v>0.25</v>
      </c>
      <c r="J1262" s="2">
        <v>0.58333333333333337</v>
      </c>
      <c r="K1262" s="11" t="s">
        <v>103</v>
      </c>
      <c r="L1262" s="11" t="s">
        <v>104</v>
      </c>
      <c r="M1262" s="1"/>
      <c r="N1262" s="11"/>
      <c r="O1262" s="11" t="s">
        <v>21</v>
      </c>
      <c r="P1262" s="1"/>
      <c r="Q1262" s="1"/>
      <c r="R1262" s="11"/>
      <c r="S1262" s="2">
        <f>CONSOLIDADO_2026[[#This Row],[Hora final]]-CONSOLIDADO_2026[[#This Row],[Hora inic]]</f>
        <v>0.33333333333333337</v>
      </c>
    </row>
    <row r="1263" spans="1:19" hidden="1" x14ac:dyDescent="0.25">
      <c r="A1263" t="s">
        <v>4206</v>
      </c>
      <c r="B1263">
        <v>1037631989</v>
      </c>
      <c r="C1263" t="s">
        <v>27</v>
      </c>
      <c r="D1263" s="11" t="s">
        <v>28</v>
      </c>
      <c r="E1263" s="11" t="s">
        <v>4046</v>
      </c>
      <c r="F1263" s="11" t="s">
        <v>16</v>
      </c>
      <c r="G1263" s="1">
        <v>46226</v>
      </c>
      <c r="H1263" s="1">
        <v>46255</v>
      </c>
      <c r="I1263" s="2">
        <v>0.54166666666666663</v>
      </c>
      <c r="J1263" s="2">
        <v>0.875</v>
      </c>
      <c r="K1263" s="11"/>
      <c r="L1263" s="11" t="s">
        <v>327</v>
      </c>
      <c r="M1263" s="1"/>
      <c r="N1263" s="11"/>
      <c r="O1263" s="11" t="s">
        <v>4042</v>
      </c>
      <c r="P1263" s="1"/>
      <c r="Q1263" s="1"/>
      <c r="R1263" s="11"/>
      <c r="S1263" s="2">
        <f>CONSOLIDADO_2026[[#This Row],[Hora final]]-CONSOLIDADO_2026[[#This Row],[Hora inic]]</f>
        <v>0.33333333333333337</v>
      </c>
    </row>
    <row r="1264" spans="1:19" hidden="1" x14ac:dyDescent="0.25">
      <c r="A1264" t="s">
        <v>4206</v>
      </c>
      <c r="B1264">
        <v>1001782820</v>
      </c>
      <c r="C1264" t="s">
        <v>2956</v>
      </c>
      <c r="D1264" s="11" t="s">
        <v>28</v>
      </c>
      <c r="E1264" s="11" t="s">
        <v>4046</v>
      </c>
      <c r="F1264" s="11" t="s">
        <v>16</v>
      </c>
      <c r="G1264" s="1">
        <v>46254</v>
      </c>
      <c r="H1264" s="1">
        <v>46255</v>
      </c>
      <c r="I1264" s="2">
        <v>0.25</v>
      </c>
      <c r="J1264" s="2">
        <v>0.54166666666666663</v>
      </c>
      <c r="K1264" s="11" t="s">
        <v>73</v>
      </c>
      <c r="L1264" s="11" t="s">
        <v>74</v>
      </c>
      <c r="M1264" s="1"/>
      <c r="N1264" s="11"/>
      <c r="O1264" s="11" t="s">
        <v>21</v>
      </c>
      <c r="P1264" s="1"/>
      <c r="Q1264" s="1"/>
      <c r="R1264" s="11"/>
      <c r="S1264" s="2">
        <f>CONSOLIDADO_2026[[#This Row],[Hora final]]-CONSOLIDADO_2026[[#This Row],[Hora inic]]</f>
        <v>0.29166666666666663</v>
      </c>
    </row>
    <row r="1265" spans="1:19" hidden="1" x14ac:dyDescent="0.25">
      <c r="A1265" t="s">
        <v>4206</v>
      </c>
      <c r="B1265">
        <v>1035442374</v>
      </c>
      <c r="C1265" t="s">
        <v>2935</v>
      </c>
      <c r="D1265" s="11" t="s">
        <v>172</v>
      </c>
      <c r="E1265" s="11" t="s">
        <v>4046</v>
      </c>
      <c r="F1265" s="11" t="s">
        <v>4074</v>
      </c>
      <c r="G1265" s="1">
        <v>46254</v>
      </c>
      <c r="H1265" s="1">
        <v>46255</v>
      </c>
      <c r="I1265" s="2">
        <v>0.25</v>
      </c>
      <c r="J1265" s="2">
        <v>0.54166666666666663</v>
      </c>
      <c r="K1265" s="11"/>
      <c r="L1265" s="11" t="s">
        <v>4060</v>
      </c>
      <c r="M1265" s="1"/>
      <c r="N1265" s="11"/>
      <c r="O1265" s="11" t="s">
        <v>4042</v>
      </c>
      <c r="P1265" s="1"/>
      <c r="Q1265" s="1"/>
      <c r="R1265" s="11"/>
      <c r="S1265" s="2">
        <f>CONSOLIDADO_2026[[#This Row],[Hora final]]-CONSOLIDADO_2026[[#This Row],[Hora inic]]</f>
        <v>0.29166666666666663</v>
      </c>
    </row>
    <row r="1266" spans="1:19" hidden="1" x14ac:dyDescent="0.25">
      <c r="A1266" t="s">
        <v>4206</v>
      </c>
      <c r="B1266">
        <v>1036965348</v>
      </c>
      <c r="C1266" t="s">
        <v>229</v>
      </c>
      <c r="D1266" s="11" t="s">
        <v>4079</v>
      </c>
      <c r="E1266" s="11" t="s">
        <v>4046</v>
      </c>
      <c r="F1266" s="11" t="s">
        <v>4079</v>
      </c>
      <c r="G1266" s="1">
        <v>46255</v>
      </c>
      <c r="H1266" s="1">
        <v>46255</v>
      </c>
      <c r="I1266" s="2">
        <v>0.25</v>
      </c>
      <c r="J1266" s="2">
        <v>0.58333333333333337</v>
      </c>
      <c r="K1266" s="11"/>
      <c r="L1266" s="11" t="s">
        <v>339</v>
      </c>
      <c r="M1266" s="1"/>
      <c r="N1266" s="11"/>
      <c r="O1266" s="11" t="s">
        <v>4042</v>
      </c>
      <c r="P1266" s="1"/>
      <c r="Q1266" s="1"/>
      <c r="R1266" s="11"/>
      <c r="S1266" s="2">
        <f>CONSOLIDADO_2026[[#This Row],[Hora final]]-CONSOLIDADO_2026[[#This Row],[Hora inic]]</f>
        <v>0.33333333333333337</v>
      </c>
    </row>
    <row r="1267" spans="1:19" hidden="1" x14ac:dyDescent="0.25">
      <c r="A1267" t="s">
        <v>4206</v>
      </c>
      <c r="B1267">
        <v>1001446162</v>
      </c>
      <c r="C1267" t="s">
        <v>3663</v>
      </c>
      <c r="D1267" s="11" t="s">
        <v>4125</v>
      </c>
      <c r="E1267" s="11" t="s">
        <v>4056</v>
      </c>
      <c r="F1267" s="11" t="s">
        <v>4125</v>
      </c>
      <c r="G1267" s="1">
        <v>46255</v>
      </c>
      <c r="H1267" s="1">
        <v>46255</v>
      </c>
      <c r="I1267" s="2">
        <v>0.29166666666666669</v>
      </c>
      <c r="J1267" s="2">
        <v>0.625</v>
      </c>
      <c r="K1267" s="11"/>
      <c r="L1267" s="11" t="s">
        <v>339</v>
      </c>
      <c r="M1267" s="1"/>
      <c r="N1267" s="11"/>
      <c r="O1267" s="11" t="s">
        <v>4042</v>
      </c>
      <c r="P1267" s="1"/>
      <c r="Q1267" s="1"/>
      <c r="R1267" s="11"/>
      <c r="S1267" s="2">
        <f>CONSOLIDADO_2026[[#This Row],[Hora final]]-CONSOLIDADO_2026[[#This Row],[Hora inic]]</f>
        <v>0.33333333333333331</v>
      </c>
    </row>
    <row r="1268" spans="1:19" hidden="1" x14ac:dyDescent="0.25">
      <c r="A1268" t="s">
        <v>4206</v>
      </c>
      <c r="B1268">
        <v>1152472382</v>
      </c>
      <c r="C1268" t="s">
        <v>869</v>
      </c>
      <c r="D1268" s="11" t="s">
        <v>492</v>
      </c>
      <c r="E1268" s="11" t="s">
        <v>4045</v>
      </c>
      <c r="F1268" s="11" t="s">
        <v>16</v>
      </c>
      <c r="G1268" s="1">
        <v>46254</v>
      </c>
      <c r="H1268" s="1">
        <v>46255</v>
      </c>
      <c r="I1268" s="2">
        <v>0.25</v>
      </c>
      <c r="J1268" s="2">
        <v>0.58333333333333337</v>
      </c>
      <c r="K1268" s="11"/>
      <c r="L1268" s="11" t="s">
        <v>4060</v>
      </c>
      <c r="M1268" s="1"/>
      <c r="N1268" s="11"/>
      <c r="O1268" s="11" t="s">
        <v>4042</v>
      </c>
      <c r="P1268" s="1"/>
      <c r="Q1268" s="1"/>
      <c r="R1268" s="11"/>
      <c r="S1268" s="2">
        <f>CONSOLIDADO_2026[[#This Row],[Hora final]]-CONSOLIDADO_2026[[#This Row],[Hora inic]]</f>
        <v>0.33333333333333337</v>
      </c>
    </row>
    <row r="1269" spans="1:19" hidden="1" x14ac:dyDescent="0.25">
      <c r="A1269" t="s">
        <v>4206</v>
      </c>
      <c r="B1269">
        <v>1001995700</v>
      </c>
      <c r="C1269" t="s">
        <v>2173</v>
      </c>
      <c r="D1269" s="11" t="s">
        <v>59</v>
      </c>
      <c r="E1269" s="11" t="s">
        <v>4047</v>
      </c>
      <c r="F1269" s="11" t="s">
        <v>16</v>
      </c>
      <c r="G1269" s="1">
        <v>46254</v>
      </c>
      <c r="H1269" s="1">
        <v>46254</v>
      </c>
      <c r="I1269" s="2">
        <v>0.25</v>
      </c>
      <c r="J1269" s="2">
        <v>0.54166666666666663</v>
      </c>
      <c r="K1269" s="11"/>
      <c r="L1269" s="11" t="s">
        <v>4041</v>
      </c>
      <c r="M1269" s="1"/>
      <c r="N1269" s="11"/>
      <c r="O1269" s="11" t="s">
        <v>4042</v>
      </c>
      <c r="P1269" s="1"/>
      <c r="Q1269" s="1"/>
      <c r="R1269" s="11"/>
      <c r="S1269" s="2">
        <f>CONSOLIDADO_2026[[#This Row],[Hora final]]-CONSOLIDADO_2026[[#This Row],[Hora inic]]</f>
        <v>0.29166666666666663</v>
      </c>
    </row>
    <row r="1270" spans="1:19" hidden="1" x14ac:dyDescent="0.25">
      <c r="A1270" t="s">
        <v>4206</v>
      </c>
      <c r="B1270">
        <v>1035876080</v>
      </c>
      <c r="C1270" t="s">
        <v>123</v>
      </c>
      <c r="D1270" s="11" t="s">
        <v>124</v>
      </c>
      <c r="E1270" s="11" t="s">
        <v>4045</v>
      </c>
      <c r="F1270" s="11" t="s">
        <v>158</v>
      </c>
      <c r="G1270" s="1">
        <v>46254</v>
      </c>
      <c r="H1270" s="1"/>
      <c r="I1270" s="2">
        <v>0.25</v>
      </c>
      <c r="J1270" s="2">
        <v>0.58333333333333337</v>
      </c>
      <c r="K1270" s="11" t="s">
        <v>300</v>
      </c>
      <c r="L1270" s="11" t="s">
        <v>301</v>
      </c>
      <c r="M1270" s="1"/>
      <c r="N1270" s="11"/>
      <c r="O1270" s="11" t="s">
        <v>21</v>
      </c>
      <c r="P1270" s="1"/>
      <c r="Q1270" s="1"/>
      <c r="R1270" s="11"/>
      <c r="S1270" s="2">
        <f>CONSOLIDADO_2026[[#This Row],[Hora final]]-CONSOLIDADO_2026[[#This Row],[Hora inic]]</f>
        <v>0.33333333333333337</v>
      </c>
    </row>
    <row r="1271" spans="1:19" hidden="1" x14ac:dyDescent="0.25">
      <c r="A1271" t="s">
        <v>4206</v>
      </c>
      <c r="B1271">
        <v>73189515</v>
      </c>
      <c r="C1271" t="s">
        <v>773</v>
      </c>
      <c r="D1271" s="11" t="s">
        <v>272</v>
      </c>
      <c r="E1271" s="11" t="s">
        <v>4056</v>
      </c>
      <c r="F1271" s="11" t="s">
        <v>4209</v>
      </c>
      <c r="G1271" s="1">
        <v>46255</v>
      </c>
      <c r="H1271" s="1">
        <v>46255</v>
      </c>
      <c r="I1271" s="2">
        <v>0.54166666666666663</v>
      </c>
      <c r="J1271" s="2">
        <v>0.875</v>
      </c>
      <c r="K1271" s="11" t="s">
        <v>267</v>
      </c>
      <c r="L1271" s="11" t="s">
        <v>268</v>
      </c>
      <c r="M1271" s="1"/>
      <c r="N1271" s="11"/>
      <c r="O1271" s="11" t="s">
        <v>21</v>
      </c>
      <c r="P1271" s="1"/>
      <c r="Q1271" s="1"/>
      <c r="R1271" s="11"/>
      <c r="S1271" s="2">
        <f>CONSOLIDADO_2026[[#This Row],[Hora final]]-CONSOLIDADO_2026[[#This Row],[Hora inic]]</f>
        <v>0.33333333333333337</v>
      </c>
    </row>
    <row r="1272" spans="1:19" hidden="1" x14ac:dyDescent="0.25">
      <c r="A1272" t="s">
        <v>4206</v>
      </c>
      <c r="B1272">
        <v>1004463773</v>
      </c>
      <c r="C1272" t="s">
        <v>3213</v>
      </c>
      <c r="D1272" s="11" t="s">
        <v>176</v>
      </c>
      <c r="E1272" s="11" t="s">
        <v>4040</v>
      </c>
      <c r="F1272" s="11" t="s">
        <v>4074</v>
      </c>
      <c r="G1272" s="1">
        <v>46255</v>
      </c>
      <c r="H1272" s="1">
        <v>46256</v>
      </c>
      <c r="I1272" s="2">
        <v>0.41666666666666669</v>
      </c>
      <c r="J1272" s="2">
        <v>0.79166666666666663</v>
      </c>
      <c r="K1272" s="11"/>
      <c r="L1272" s="11" t="s">
        <v>4210</v>
      </c>
      <c r="M1272" s="1"/>
      <c r="N1272" s="11"/>
      <c r="O1272" s="11" t="s">
        <v>21</v>
      </c>
      <c r="P1272" s="1"/>
      <c r="Q1272" s="1"/>
      <c r="R1272" s="11"/>
      <c r="S1272" s="2">
        <f>CONSOLIDADO_2026[[#This Row],[Hora final]]-CONSOLIDADO_2026[[#This Row],[Hora inic]]</f>
        <v>0.37499999999999994</v>
      </c>
    </row>
    <row r="1273" spans="1:19" hidden="1" x14ac:dyDescent="0.25">
      <c r="A1273" t="s">
        <v>4206</v>
      </c>
      <c r="B1273">
        <v>1037485093</v>
      </c>
      <c r="C1273" t="s">
        <v>4211</v>
      </c>
      <c r="D1273" s="11" t="s">
        <v>344</v>
      </c>
      <c r="E1273" s="11" t="s">
        <v>4056</v>
      </c>
      <c r="F1273" s="11" t="s">
        <v>4091</v>
      </c>
      <c r="G1273" s="1">
        <v>46255</v>
      </c>
      <c r="H1273" s="1">
        <v>46258</v>
      </c>
      <c r="I1273" s="2">
        <v>0.54166666666666663</v>
      </c>
      <c r="J1273" s="2">
        <v>0.79166666666666663</v>
      </c>
      <c r="K1273" s="11"/>
      <c r="L1273" s="11" t="s">
        <v>327</v>
      </c>
      <c r="M1273" s="1"/>
      <c r="N1273" s="11"/>
      <c r="O1273" s="11" t="s">
        <v>4042</v>
      </c>
      <c r="P1273" s="1"/>
      <c r="Q1273" s="1"/>
      <c r="R1273" s="11"/>
      <c r="S1273" s="2">
        <f>CONSOLIDADO_2026[[#This Row],[Hora final]]-CONSOLIDADO_2026[[#This Row],[Hora inic]]</f>
        <v>0.25</v>
      </c>
    </row>
    <row r="1274" spans="1:19" hidden="1" x14ac:dyDescent="0.25">
      <c r="A1274" t="s">
        <v>4206</v>
      </c>
      <c r="B1274">
        <v>1235257142</v>
      </c>
      <c r="C1274" t="s">
        <v>1774</v>
      </c>
      <c r="D1274" s="11" t="s">
        <v>44</v>
      </c>
      <c r="E1274" s="11" t="s">
        <v>4045</v>
      </c>
      <c r="F1274" s="11" t="s">
        <v>16</v>
      </c>
      <c r="G1274" s="1">
        <v>46255</v>
      </c>
      <c r="H1274" s="1">
        <v>46256</v>
      </c>
      <c r="I1274" s="2">
        <v>0.25</v>
      </c>
      <c r="J1274" s="2">
        <v>0.54166666666666663</v>
      </c>
      <c r="K1274" s="11"/>
      <c r="L1274" s="11" t="s">
        <v>327</v>
      </c>
      <c r="M1274" s="1"/>
      <c r="N1274" s="11"/>
      <c r="O1274" s="11" t="s">
        <v>4042</v>
      </c>
      <c r="P1274" s="1"/>
      <c r="Q1274" s="1"/>
      <c r="R1274" s="11"/>
      <c r="S1274" s="2">
        <f>CONSOLIDADO_2026[[#This Row],[Hora final]]-CONSOLIDADO_2026[[#This Row],[Hora inic]]</f>
        <v>0.29166666666666663</v>
      </c>
    </row>
    <row r="1275" spans="1:19" hidden="1" x14ac:dyDescent="0.25">
      <c r="A1275" t="s">
        <v>4206</v>
      </c>
      <c r="B1275">
        <v>1065647062</v>
      </c>
      <c r="C1275" t="s">
        <v>415</v>
      </c>
      <c r="D1275" s="11" t="s">
        <v>414</v>
      </c>
      <c r="E1275" s="11" t="s">
        <v>4056</v>
      </c>
      <c r="F1275" s="11" t="s">
        <v>16</v>
      </c>
      <c r="G1275" s="1">
        <v>46255</v>
      </c>
      <c r="H1275" s="1">
        <v>46255</v>
      </c>
      <c r="I1275" s="2">
        <v>0.5</v>
      </c>
      <c r="J1275" s="2">
        <v>0.79166666666666663</v>
      </c>
      <c r="K1275" s="11" t="s">
        <v>163</v>
      </c>
      <c r="L1275" s="11" t="s">
        <v>164</v>
      </c>
      <c r="M1275" s="1"/>
      <c r="N1275" s="11"/>
      <c r="O1275" s="11" t="s">
        <v>21</v>
      </c>
      <c r="P1275" s="1"/>
      <c r="Q1275" s="1"/>
      <c r="R1275" s="11"/>
      <c r="S1275" s="2">
        <f>CONSOLIDADO_2026[[#This Row],[Hora final]]-CONSOLIDADO_2026[[#This Row],[Hora inic]]</f>
        <v>0.29166666666666663</v>
      </c>
    </row>
    <row r="1276" spans="1:19" hidden="1" x14ac:dyDescent="0.25">
      <c r="A1276" t="s">
        <v>4206</v>
      </c>
      <c r="B1276">
        <v>1020414545</v>
      </c>
      <c r="C1276" t="s">
        <v>2893</v>
      </c>
      <c r="D1276" s="11" t="s">
        <v>256</v>
      </c>
      <c r="E1276" s="11" t="s">
        <v>4040</v>
      </c>
      <c r="F1276" s="11" t="s">
        <v>4074</v>
      </c>
      <c r="G1276" s="1">
        <v>46255</v>
      </c>
      <c r="H1276" s="1">
        <v>46256</v>
      </c>
      <c r="I1276" s="2">
        <v>0.25</v>
      </c>
      <c r="J1276" s="2">
        <v>0.54166666666666663</v>
      </c>
      <c r="K1276" s="11"/>
      <c r="L1276" s="11" t="s">
        <v>4060</v>
      </c>
      <c r="M1276" s="1"/>
      <c r="N1276" s="11"/>
      <c r="O1276" s="11" t="s">
        <v>4042</v>
      </c>
      <c r="P1276" s="1"/>
      <c r="Q1276" s="1"/>
      <c r="R1276" s="11"/>
      <c r="S1276" s="2">
        <f>CONSOLIDADO_2026[[#This Row],[Hora final]]-CONSOLIDADO_2026[[#This Row],[Hora inic]]</f>
        <v>0.29166666666666663</v>
      </c>
    </row>
    <row r="1277" spans="1:19" hidden="1" x14ac:dyDescent="0.25">
      <c r="A1277" t="s">
        <v>4206</v>
      </c>
      <c r="B1277">
        <v>1034296571</v>
      </c>
      <c r="C1277" t="s">
        <v>1706</v>
      </c>
      <c r="D1277" s="11" t="s">
        <v>128</v>
      </c>
      <c r="E1277" s="11" t="s">
        <v>4045</v>
      </c>
      <c r="F1277" s="11" t="s">
        <v>4074</v>
      </c>
      <c r="G1277" s="1">
        <v>46255</v>
      </c>
      <c r="H1277" s="1">
        <v>46256</v>
      </c>
      <c r="I1277" s="2">
        <v>0.25</v>
      </c>
      <c r="J1277" s="2">
        <v>0.5</v>
      </c>
      <c r="K1277" s="11"/>
      <c r="L1277" s="11" t="s">
        <v>4060</v>
      </c>
      <c r="M1277" s="1"/>
      <c r="N1277" s="11"/>
      <c r="O1277" s="11" t="s">
        <v>4042</v>
      </c>
      <c r="P1277" s="1"/>
      <c r="Q1277" s="1"/>
      <c r="R1277" s="11"/>
      <c r="S1277" s="2">
        <f>CONSOLIDADO_2026[[#This Row],[Hora final]]-CONSOLIDADO_2026[[#This Row],[Hora inic]]</f>
        <v>0.25</v>
      </c>
    </row>
    <row r="1278" spans="1:19" hidden="1" x14ac:dyDescent="0.25">
      <c r="A1278" t="s">
        <v>4206</v>
      </c>
      <c r="B1278">
        <v>1036932341</v>
      </c>
      <c r="C1278" t="s">
        <v>343</v>
      </c>
      <c r="D1278" s="11" t="s">
        <v>344</v>
      </c>
      <c r="E1278" s="11" t="s">
        <v>4056</v>
      </c>
      <c r="F1278" s="11" t="s">
        <v>16</v>
      </c>
      <c r="G1278" s="1">
        <v>46255</v>
      </c>
      <c r="H1278" s="1">
        <v>46268</v>
      </c>
      <c r="I1278" s="2"/>
      <c r="J1278" s="2"/>
      <c r="K1278" s="11"/>
      <c r="L1278" s="11" t="s">
        <v>341</v>
      </c>
      <c r="M1278" s="1"/>
      <c r="N1278" s="11"/>
      <c r="O1278" s="11" t="s">
        <v>4042</v>
      </c>
      <c r="P1278" s="1"/>
      <c r="Q1278" s="1"/>
      <c r="R1278" s="11"/>
      <c r="S1278" s="2">
        <f>CONSOLIDADO_2026[[#This Row],[Hora final]]-CONSOLIDADO_2026[[#This Row],[Hora inic]]</f>
        <v>0</v>
      </c>
    </row>
    <row r="1279" spans="1:19" hidden="1" x14ac:dyDescent="0.25">
      <c r="A1279" t="s">
        <v>4206</v>
      </c>
      <c r="B1279">
        <v>1001013936</v>
      </c>
      <c r="C1279" t="s">
        <v>3856</v>
      </c>
      <c r="D1279" s="11" t="s">
        <v>28</v>
      </c>
      <c r="E1279" s="11" t="s">
        <v>4046</v>
      </c>
      <c r="F1279" s="11" t="s">
        <v>16</v>
      </c>
      <c r="G1279" s="1">
        <v>46255</v>
      </c>
      <c r="H1279" s="1">
        <v>46255</v>
      </c>
      <c r="I1279" s="2">
        <v>0.25</v>
      </c>
      <c r="J1279" s="2">
        <v>0.58333333333333337</v>
      </c>
      <c r="K1279" s="11"/>
      <c r="L1279" s="11" t="s">
        <v>327</v>
      </c>
      <c r="M1279" s="1"/>
      <c r="N1279" s="11"/>
      <c r="O1279" s="11" t="s">
        <v>4042</v>
      </c>
      <c r="P1279" s="1"/>
      <c r="Q1279" s="1"/>
      <c r="R1279" s="11"/>
      <c r="S1279" s="2">
        <f>CONSOLIDADO_2026[[#This Row],[Hora final]]-CONSOLIDADO_2026[[#This Row],[Hora inic]]</f>
        <v>0.33333333333333337</v>
      </c>
    </row>
    <row r="1280" spans="1:19" hidden="1" x14ac:dyDescent="0.25">
      <c r="A1280" t="s">
        <v>4206</v>
      </c>
      <c r="B1280">
        <v>1017255237</v>
      </c>
      <c r="C1280" t="s">
        <v>548</v>
      </c>
      <c r="D1280" s="11" t="s">
        <v>78</v>
      </c>
      <c r="E1280" s="11" t="s">
        <v>4046</v>
      </c>
      <c r="F1280" s="11" t="s">
        <v>16</v>
      </c>
      <c r="G1280" s="1">
        <v>46255</v>
      </c>
      <c r="H1280" s="1">
        <v>46256</v>
      </c>
      <c r="I1280" s="2">
        <v>0.25</v>
      </c>
      <c r="J1280" s="2">
        <v>0.54166666666666663</v>
      </c>
      <c r="K1280" s="11"/>
      <c r="L1280" s="11" t="s">
        <v>327</v>
      </c>
      <c r="M1280" s="1"/>
      <c r="N1280" s="11"/>
      <c r="O1280" s="11" t="s">
        <v>4042</v>
      </c>
      <c r="P1280" s="1"/>
      <c r="Q1280" s="1"/>
      <c r="R1280" s="11"/>
      <c r="S1280" s="2">
        <f>CONSOLIDADO_2026[[#This Row],[Hora final]]-CONSOLIDADO_2026[[#This Row],[Hora inic]]</f>
        <v>0.29166666666666663</v>
      </c>
    </row>
    <row r="1281" spans="1:19" hidden="1" x14ac:dyDescent="0.25">
      <c r="A1281" t="s">
        <v>4206</v>
      </c>
      <c r="B1281">
        <v>1007624721</v>
      </c>
      <c r="C1281" t="s">
        <v>2274</v>
      </c>
      <c r="D1281" s="11" t="s">
        <v>39</v>
      </c>
      <c r="E1281" s="11" t="s">
        <v>4046</v>
      </c>
      <c r="F1281" s="11" t="s">
        <v>16</v>
      </c>
      <c r="G1281" s="1">
        <v>46255</v>
      </c>
      <c r="H1281" s="1">
        <v>46256</v>
      </c>
      <c r="I1281" s="2">
        <v>0.25</v>
      </c>
      <c r="J1281" s="2">
        <v>0.54166666666666663</v>
      </c>
      <c r="K1281" s="11"/>
      <c r="L1281" s="11" t="s">
        <v>327</v>
      </c>
      <c r="M1281" s="1"/>
      <c r="N1281" s="11"/>
      <c r="O1281" s="11" t="s">
        <v>4042</v>
      </c>
      <c r="P1281" s="1"/>
      <c r="Q1281" s="1"/>
      <c r="R1281" s="11"/>
      <c r="S1281" s="2">
        <f>CONSOLIDADO_2026[[#This Row],[Hora final]]-CONSOLIDADO_2026[[#This Row],[Hora inic]]</f>
        <v>0.29166666666666663</v>
      </c>
    </row>
    <row r="1282" spans="1:19" hidden="1" x14ac:dyDescent="0.25">
      <c r="A1282" t="s">
        <v>4206</v>
      </c>
      <c r="B1282">
        <v>1036618989</v>
      </c>
      <c r="C1282" t="s">
        <v>3854</v>
      </c>
      <c r="D1282" s="11" t="s">
        <v>82</v>
      </c>
      <c r="E1282" s="11" t="s">
        <v>4045</v>
      </c>
      <c r="F1282" s="11" t="s">
        <v>16</v>
      </c>
      <c r="G1282" s="1">
        <v>46255</v>
      </c>
      <c r="H1282" s="1">
        <v>46258</v>
      </c>
      <c r="I1282" s="2">
        <v>0.25</v>
      </c>
      <c r="J1282" s="2">
        <v>0.54166666666666663</v>
      </c>
      <c r="K1282" s="11"/>
      <c r="L1282" s="11" t="s">
        <v>4060</v>
      </c>
      <c r="M1282" s="1"/>
      <c r="N1282" s="11"/>
      <c r="O1282" s="11" t="s">
        <v>4042</v>
      </c>
      <c r="P1282" s="1"/>
      <c r="Q1282" s="1"/>
      <c r="R1282" s="11"/>
      <c r="S1282" s="2">
        <f>CONSOLIDADO_2026[[#This Row],[Hora final]]-CONSOLIDADO_2026[[#This Row],[Hora inic]]</f>
        <v>0.29166666666666663</v>
      </c>
    </row>
    <row r="1283" spans="1:19" hidden="1" x14ac:dyDescent="0.25">
      <c r="A1283" t="s">
        <v>4206</v>
      </c>
      <c r="B1283">
        <v>1007600707</v>
      </c>
      <c r="C1283" t="s">
        <v>2394</v>
      </c>
      <c r="D1283" s="11" t="s">
        <v>256</v>
      </c>
      <c r="E1283" s="11" t="s">
        <v>4040</v>
      </c>
      <c r="F1283" s="11" t="s">
        <v>16</v>
      </c>
      <c r="G1283" s="1">
        <v>46255</v>
      </c>
      <c r="H1283" s="1">
        <v>46256</v>
      </c>
      <c r="I1283" s="2">
        <v>0.25</v>
      </c>
      <c r="J1283" s="2">
        <v>0.58333333333333337</v>
      </c>
      <c r="K1283" s="11"/>
      <c r="L1283" s="11" t="s">
        <v>327</v>
      </c>
      <c r="M1283" s="1"/>
      <c r="N1283" s="11"/>
      <c r="O1283" s="11" t="s">
        <v>4042</v>
      </c>
      <c r="P1283" s="1"/>
      <c r="Q1283" s="1"/>
      <c r="R1283" s="11"/>
      <c r="S1283" s="2">
        <f>CONSOLIDADO_2026[[#This Row],[Hora final]]-CONSOLIDADO_2026[[#This Row],[Hora inic]]</f>
        <v>0.33333333333333337</v>
      </c>
    </row>
    <row r="1284" spans="1:19" hidden="1" x14ac:dyDescent="0.25">
      <c r="A1284" t="s">
        <v>4206</v>
      </c>
      <c r="B1284">
        <v>1007240267</v>
      </c>
      <c r="C1284" t="s">
        <v>2313</v>
      </c>
      <c r="D1284" s="11" t="s">
        <v>245</v>
      </c>
      <c r="E1284" s="11" t="s">
        <v>4040</v>
      </c>
      <c r="F1284" s="11" t="s">
        <v>4074</v>
      </c>
      <c r="G1284" s="1">
        <v>46255</v>
      </c>
      <c r="H1284" s="1">
        <v>46255</v>
      </c>
      <c r="I1284" s="2">
        <v>0.25</v>
      </c>
      <c r="J1284" s="2">
        <v>0.54166666666666663</v>
      </c>
      <c r="K1284" s="11"/>
      <c r="L1284" s="11" t="s">
        <v>4060</v>
      </c>
      <c r="M1284" s="1"/>
      <c r="N1284" s="11"/>
      <c r="O1284" s="11" t="s">
        <v>4042</v>
      </c>
      <c r="P1284" s="1"/>
      <c r="Q1284" s="1"/>
      <c r="R1284" s="11"/>
      <c r="S1284" s="2">
        <f>CONSOLIDADO_2026[[#This Row],[Hora final]]-CONSOLIDADO_2026[[#This Row],[Hora inic]]</f>
        <v>0.29166666666666663</v>
      </c>
    </row>
    <row r="1285" spans="1:19" hidden="1" x14ac:dyDescent="0.25">
      <c r="A1285" t="s">
        <v>4206</v>
      </c>
      <c r="B1285">
        <v>45547324</v>
      </c>
      <c r="C1285" t="s">
        <v>3312</v>
      </c>
      <c r="D1285" s="11" t="s">
        <v>162</v>
      </c>
      <c r="E1285" s="11" t="s">
        <v>4056</v>
      </c>
      <c r="F1285" s="11" t="s">
        <v>4074</v>
      </c>
      <c r="G1285" s="1">
        <v>46255</v>
      </c>
      <c r="H1285" s="1">
        <v>46256</v>
      </c>
      <c r="I1285" s="2">
        <v>0.25</v>
      </c>
      <c r="J1285" s="2">
        <v>0.58333333333333337</v>
      </c>
      <c r="K1285" s="11"/>
      <c r="L1285" s="11" t="s">
        <v>4060</v>
      </c>
      <c r="M1285" s="1"/>
      <c r="N1285" s="11"/>
      <c r="O1285" s="11" t="s">
        <v>4042</v>
      </c>
      <c r="P1285" s="1"/>
      <c r="Q1285" s="1"/>
      <c r="R1285" s="11"/>
      <c r="S1285" s="2">
        <f>CONSOLIDADO_2026[[#This Row],[Hora final]]-CONSOLIDADO_2026[[#This Row],[Hora inic]]</f>
        <v>0.33333333333333337</v>
      </c>
    </row>
    <row r="1286" spans="1:19" hidden="1" x14ac:dyDescent="0.25">
      <c r="A1286" t="s">
        <v>4206</v>
      </c>
      <c r="B1286">
        <v>1143166984</v>
      </c>
      <c r="C1286" t="s">
        <v>2638</v>
      </c>
      <c r="D1286" s="11" t="s">
        <v>272</v>
      </c>
      <c r="E1286" s="11" t="s">
        <v>4056</v>
      </c>
      <c r="F1286" s="11" t="s">
        <v>4074</v>
      </c>
      <c r="G1286" s="1">
        <v>46255</v>
      </c>
      <c r="H1286" s="1">
        <v>46256</v>
      </c>
      <c r="I1286" s="2">
        <v>0.58333333333333337</v>
      </c>
      <c r="J1286" s="2">
        <v>0.875</v>
      </c>
      <c r="K1286" s="11"/>
      <c r="L1286" s="11" t="s">
        <v>4060</v>
      </c>
      <c r="M1286" s="1"/>
      <c r="N1286" s="11"/>
      <c r="O1286" s="11" t="s">
        <v>4042</v>
      </c>
      <c r="P1286" s="1"/>
      <c r="Q1286" s="1"/>
      <c r="R1286" s="11"/>
      <c r="S1286" s="2">
        <f>CONSOLIDADO_2026[[#This Row],[Hora final]]-CONSOLIDADO_2026[[#This Row],[Hora inic]]</f>
        <v>0.29166666666666663</v>
      </c>
    </row>
    <row r="1287" spans="1:19" hidden="1" x14ac:dyDescent="0.25">
      <c r="A1287" t="s">
        <v>4206</v>
      </c>
      <c r="B1287">
        <v>1013660730</v>
      </c>
      <c r="C1287" t="s">
        <v>1199</v>
      </c>
      <c r="D1287" s="11" t="s">
        <v>143</v>
      </c>
      <c r="E1287" s="11" t="s">
        <v>4045</v>
      </c>
      <c r="F1287" s="11" t="s">
        <v>4074</v>
      </c>
      <c r="G1287" s="1">
        <v>46255</v>
      </c>
      <c r="H1287" s="1">
        <v>46256</v>
      </c>
      <c r="I1287" s="2">
        <v>0.25</v>
      </c>
      <c r="J1287" s="2">
        <v>0.58333333333333337</v>
      </c>
      <c r="K1287" s="11"/>
      <c r="L1287" s="11" t="s">
        <v>4060</v>
      </c>
      <c r="M1287" s="1"/>
      <c r="N1287" s="11"/>
      <c r="O1287" s="11" t="s">
        <v>4042</v>
      </c>
      <c r="P1287" s="1"/>
      <c r="Q1287" s="1"/>
      <c r="R1287" s="11"/>
      <c r="S1287" s="2">
        <f>CONSOLIDADO_2026[[#This Row],[Hora final]]-CONSOLIDADO_2026[[#This Row],[Hora inic]]</f>
        <v>0.33333333333333337</v>
      </c>
    </row>
    <row r="1288" spans="1:19" hidden="1" x14ac:dyDescent="0.25">
      <c r="A1288" t="s">
        <v>4206</v>
      </c>
      <c r="B1288">
        <v>1001852351</v>
      </c>
      <c r="C1288" t="s">
        <v>2238</v>
      </c>
      <c r="D1288" s="11" t="s">
        <v>39</v>
      </c>
      <c r="E1288" s="11" t="s">
        <v>4046</v>
      </c>
      <c r="F1288" s="11" t="s">
        <v>4074</v>
      </c>
      <c r="G1288" s="1">
        <v>46255</v>
      </c>
      <c r="H1288" s="1">
        <v>46256</v>
      </c>
      <c r="I1288" s="2">
        <v>0.58333333333333337</v>
      </c>
      <c r="J1288" s="2">
        <v>0.875</v>
      </c>
      <c r="K1288" s="11"/>
      <c r="L1288" s="11" t="s">
        <v>4060</v>
      </c>
      <c r="M1288" s="1"/>
      <c r="N1288" s="11"/>
      <c r="O1288" s="11" t="s">
        <v>4042</v>
      </c>
      <c r="P1288" s="1"/>
      <c r="Q1288" s="1"/>
      <c r="R1288" s="11"/>
      <c r="S1288" s="2">
        <f>CONSOLIDADO_2026[[#This Row],[Hora final]]-CONSOLIDADO_2026[[#This Row],[Hora inic]]</f>
        <v>0.29166666666666663</v>
      </c>
    </row>
    <row r="1289" spans="1:19" hidden="1" x14ac:dyDescent="0.25">
      <c r="A1289" t="s">
        <v>4206</v>
      </c>
      <c r="B1289">
        <v>1100955074</v>
      </c>
      <c r="C1289" t="s">
        <v>1582</v>
      </c>
      <c r="D1289" s="11" t="s">
        <v>102</v>
      </c>
      <c r="E1289" s="11" t="s">
        <v>4046</v>
      </c>
      <c r="F1289" s="11" t="s">
        <v>16</v>
      </c>
      <c r="G1289" s="1">
        <v>46255</v>
      </c>
      <c r="H1289" s="1">
        <v>46255</v>
      </c>
      <c r="I1289" s="2">
        <v>0.5</v>
      </c>
      <c r="J1289" s="2">
        <v>0.79166666666666663</v>
      </c>
      <c r="K1289" s="11"/>
      <c r="L1289" s="11" t="s">
        <v>327</v>
      </c>
      <c r="M1289" s="1"/>
      <c r="N1289" s="11"/>
      <c r="O1289" s="11" t="s">
        <v>4042</v>
      </c>
      <c r="P1289" s="1"/>
      <c r="Q1289" s="1"/>
      <c r="R1289" s="11"/>
      <c r="S1289" s="2">
        <f>CONSOLIDADO_2026[[#This Row],[Hora final]]-CONSOLIDADO_2026[[#This Row],[Hora inic]]</f>
        <v>0.29166666666666663</v>
      </c>
    </row>
    <row r="1290" spans="1:19" hidden="1" x14ac:dyDescent="0.25">
      <c r="A1290" t="s">
        <v>4206</v>
      </c>
      <c r="B1290">
        <v>1098765922</v>
      </c>
      <c r="C1290" t="s">
        <v>3654</v>
      </c>
      <c r="D1290" s="11" t="s">
        <v>51</v>
      </c>
      <c r="E1290" s="11" t="s">
        <v>4047</v>
      </c>
      <c r="F1290" s="11" t="s">
        <v>4074</v>
      </c>
      <c r="G1290" s="1">
        <v>46255</v>
      </c>
      <c r="H1290" s="1">
        <v>46256</v>
      </c>
      <c r="I1290" s="2">
        <v>0.58333333333333337</v>
      </c>
      <c r="J1290" s="2">
        <v>0.875</v>
      </c>
      <c r="K1290" s="11"/>
      <c r="L1290" s="11" t="s">
        <v>4060</v>
      </c>
      <c r="M1290" s="1"/>
      <c r="N1290" s="11"/>
      <c r="O1290" s="11" t="s">
        <v>4042</v>
      </c>
      <c r="P1290" s="1"/>
      <c r="Q1290" s="1"/>
      <c r="R1290" s="11"/>
      <c r="S1290" s="2">
        <f>CONSOLIDADO_2026[[#This Row],[Hora final]]-CONSOLIDADO_2026[[#This Row],[Hora inic]]</f>
        <v>0.29166666666666663</v>
      </c>
    </row>
    <row r="1291" spans="1:19" hidden="1" x14ac:dyDescent="0.25">
      <c r="A1291" t="s">
        <v>4206</v>
      </c>
      <c r="B1291">
        <v>1001445343</v>
      </c>
      <c r="C1291" t="s">
        <v>1432</v>
      </c>
      <c r="D1291" s="11" t="s">
        <v>344</v>
      </c>
      <c r="E1291" s="11" t="s">
        <v>4056</v>
      </c>
      <c r="F1291" s="11" t="s">
        <v>4074</v>
      </c>
      <c r="G1291" s="1">
        <v>46255</v>
      </c>
      <c r="H1291" s="1"/>
      <c r="I1291" s="2">
        <v>0.58333333333333337</v>
      </c>
      <c r="J1291" s="2">
        <v>0.875</v>
      </c>
      <c r="K1291" s="11"/>
      <c r="L1291" s="11" t="s">
        <v>4060</v>
      </c>
      <c r="M1291" s="1"/>
      <c r="N1291" s="11"/>
      <c r="O1291" s="11" t="s">
        <v>4042</v>
      </c>
      <c r="P1291" s="1"/>
      <c r="Q1291" s="1"/>
      <c r="R1291" s="11"/>
      <c r="S1291" s="2">
        <f>CONSOLIDADO_2026[[#This Row],[Hora final]]-CONSOLIDADO_2026[[#This Row],[Hora inic]]</f>
        <v>0.29166666666666663</v>
      </c>
    </row>
    <row r="1292" spans="1:19" hidden="1" x14ac:dyDescent="0.25">
      <c r="A1292" t="s">
        <v>4206</v>
      </c>
      <c r="B1292">
        <v>1041901478</v>
      </c>
      <c r="C1292" t="s">
        <v>405</v>
      </c>
      <c r="D1292" s="11" t="s">
        <v>256</v>
      </c>
      <c r="E1292" s="11" t="s">
        <v>4040</v>
      </c>
      <c r="F1292" s="11" t="s">
        <v>4074</v>
      </c>
      <c r="G1292" s="1">
        <v>46255</v>
      </c>
      <c r="H1292" s="1">
        <v>46256</v>
      </c>
      <c r="I1292" s="2">
        <v>0.58333333333333337</v>
      </c>
      <c r="J1292" s="2">
        <v>0.875</v>
      </c>
      <c r="K1292" s="11"/>
      <c r="L1292" s="11" t="s">
        <v>4060</v>
      </c>
      <c r="M1292" s="1"/>
      <c r="N1292" s="11"/>
      <c r="O1292" s="11" t="s">
        <v>4042</v>
      </c>
      <c r="P1292" s="1"/>
      <c r="Q1292" s="1"/>
      <c r="R1292" s="11"/>
      <c r="S1292" s="2">
        <f>CONSOLIDADO_2026[[#This Row],[Hora final]]-CONSOLIDADO_2026[[#This Row],[Hora inic]]</f>
        <v>0.29166666666666663</v>
      </c>
    </row>
    <row r="1293" spans="1:19" hidden="1" x14ac:dyDescent="0.25">
      <c r="A1293" t="s">
        <v>4206</v>
      </c>
      <c r="B1293">
        <v>1193454765</v>
      </c>
      <c r="C1293" t="s">
        <v>1428</v>
      </c>
      <c r="D1293" s="11" t="s">
        <v>132</v>
      </c>
      <c r="E1293" s="11" t="s">
        <v>4040</v>
      </c>
      <c r="F1293" s="11" t="s">
        <v>4104</v>
      </c>
      <c r="G1293" s="1">
        <v>46255</v>
      </c>
      <c r="H1293" s="1">
        <v>46255</v>
      </c>
      <c r="I1293" s="2">
        <v>0.5</v>
      </c>
      <c r="J1293" s="2">
        <v>0.79166666666666663</v>
      </c>
      <c r="K1293" s="11"/>
      <c r="L1293" s="11" t="s">
        <v>339</v>
      </c>
      <c r="M1293" s="1"/>
      <c r="N1293" s="11"/>
      <c r="O1293" s="11" t="s">
        <v>4042</v>
      </c>
      <c r="P1293" s="1"/>
      <c r="Q1293" s="1"/>
      <c r="R1293" s="11"/>
      <c r="S1293" s="2">
        <f>CONSOLIDADO_2026[[#This Row],[Hora final]]-CONSOLIDADO_2026[[#This Row],[Hora inic]]</f>
        <v>0.29166666666666663</v>
      </c>
    </row>
    <row r="1294" spans="1:19" hidden="1" x14ac:dyDescent="0.25">
      <c r="A1294" t="s">
        <v>4206</v>
      </c>
      <c r="B1294">
        <v>1003000892</v>
      </c>
      <c r="C1294" t="s">
        <v>182</v>
      </c>
      <c r="D1294" s="11" t="s">
        <v>59</v>
      </c>
      <c r="E1294" s="11" t="s">
        <v>4046</v>
      </c>
      <c r="F1294" s="11" t="s">
        <v>4104</v>
      </c>
      <c r="G1294" s="1">
        <v>46255</v>
      </c>
      <c r="H1294" s="1">
        <v>46255</v>
      </c>
      <c r="I1294" s="2">
        <v>0.54166666666666663</v>
      </c>
      <c r="J1294" s="2">
        <v>0.83333333333333337</v>
      </c>
      <c r="K1294" s="11"/>
      <c r="L1294" s="11" t="s">
        <v>339</v>
      </c>
      <c r="M1294" s="1"/>
      <c r="N1294" s="11"/>
      <c r="O1294" s="11" t="s">
        <v>4042</v>
      </c>
      <c r="P1294" s="1"/>
      <c r="Q1294" s="1"/>
      <c r="R1294" s="11"/>
      <c r="S1294" s="2">
        <f>CONSOLIDADO_2026[[#This Row],[Hora final]]-CONSOLIDADO_2026[[#This Row],[Hora inic]]</f>
        <v>0.29166666666666674</v>
      </c>
    </row>
    <row r="1295" spans="1:19" hidden="1" x14ac:dyDescent="0.25">
      <c r="A1295" t="s">
        <v>4206</v>
      </c>
      <c r="B1295">
        <v>1117545007</v>
      </c>
      <c r="C1295" t="s">
        <v>2375</v>
      </c>
      <c r="D1295" s="11" t="s">
        <v>139</v>
      </c>
      <c r="E1295" s="11" t="s">
        <v>4040</v>
      </c>
      <c r="F1295" s="11" t="s">
        <v>4074</v>
      </c>
      <c r="G1295" s="1">
        <v>46255</v>
      </c>
      <c r="H1295" s="1">
        <v>46255</v>
      </c>
      <c r="I1295" s="2">
        <v>0.58333333333333337</v>
      </c>
      <c r="J1295" s="2">
        <v>0.875</v>
      </c>
      <c r="K1295" s="11"/>
      <c r="L1295" s="11" t="s">
        <v>4060</v>
      </c>
      <c r="M1295" s="1"/>
      <c r="N1295" s="11"/>
      <c r="O1295" s="11" t="s">
        <v>4042</v>
      </c>
      <c r="P1295" s="1"/>
      <c r="Q1295" s="1"/>
      <c r="R1295" s="11"/>
      <c r="S1295" s="2">
        <f>CONSOLIDADO_2026[[#This Row],[Hora final]]-CONSOLIDADO_2026[[#This Row],[Hora inic]]</f>
        <v>0.29166666666666663</v>
      </c>
    </row>
    <row r="1296" spans="1:19" hidden="1" x14ac:dyDescent="0.25">
      <c r="A1296" t="s">
        <v>4206</v>
      </c>
      <c r="B1296">
        <v>1001140238</v>
      </c>
      <c r="C1296" t="s">
        <v>74</v>
      </c>
      <c r="D1296" s="11" t="s">
        <v>4078</v>
      </c>
      <c r="E1296" s="11" t="s">
        <v>4045</v>
      </c>
      <c r="F1296" s="11" t="s">
        <v>4099</v>
      </c>
      <c r="G1296" s="1">
        <v>46255</v>
      </c>
      <c r="H1296" s="1">
        <v>46255</v>
      </c>
      <c r="I1296" s="2">
        <v>0.54166666666666663</v>
      </c>
      <c r="J1296" s="2">
        <v>0.58333333333333337</v>
      </c>
      <c r="K1296" s="11"/>
      <c r="L1296" s="11" t="s">
        <v>339</v>
      </c>
      <c r="M1296" s="1"/>
      <c r="N1296" s="11"/>
      <c r="O1296" s="11" t="s">
        <v>4042</v>
      </c>
      <c r="P1296" s="1"/>
      <c r="Q1296" s="1"/>
      <c r="R1296" s="11"/>
      <c r="S1296" s="2">
        <f>CONSOLIDADO_2026[[#This Row],[Hora final]]-CONSOLIDADO_2026[[#This Row],[Hora inic]]</f>
        <v>4.1666666666666741E-2</v>
      </c>
    </row>
    <row r="1297" spans="1:19" hidden="1" x14ac:dyDescent="0.25">
      <c r="A1297" t="s">
        <v>4212</v>
      </c>
      <c r="B1297">
        <v>1007240267</v>
      </c>
      <c r="C1297" t="s">
        <v>2313</v>
      </c>
      <c r="D1297" s="11" t="s">
        <v>245</v>
      </c>
      <c r="E1297" s="11" t="s">
        <v>4040</v>
      </c>
      <c r="F1297" s="11" t="s">
        <v>16</v>
      </c>
      <c r="G1297" s="1">
        <v>46255</v>
      </c>
      <c r="H1297" s="1">
        <v>46255</v>
      </c>
      <c r="I1297" s="2"/>
      <c r="J1297" s="2"/>
      <c r="K1297" s="11"/>
      <c r="L1297" s="11" t="s">
        <v>4041</v>
      </c>
      <c r="M1297" s="1"/>
      <c r="N1297" s="11"/>
      <c r="O1297" s="11" t="s">
        <v>4042</v>
      </c>
      <c r="P1297" s="1"/>
      <c r="Q1297" s="1"/>
      <c r="R1297" s="11"/>
      <c r="S1297" s="2">
        <f>CONSOLIDADO_2026[[#This Row],[Hora final]]-CONSOLIDADO_2026[[#This Row],[Hora inic]]</f>
        <v>0</v>
      </c>
    </row>
    <row r="1298" spans="1:19" hidden="1" x14ac:dyDescent="0.25">
      <c r="A1298" t="s">
        <v>4212</v>
      </c>
      <c r="B1298">
        <v>1065647062</v>
      </c>
      <c r="C1298" t="s">
        <v>415</v>
      </c>
      <c r="D1298" s="11" t="s">
        <v>414</v>
      </c>
      <c r="E1298" s="11" t="s">
        <v>4056</v>
      </c>
      <c r="F1298" s="11" t="s">
        <v>16</v>
      </c>
      <c r="G1298" s="1">
        <v>46255</v>
      </c>
      <c r="H1298" s="1">
        <v>46255</v>
      </c>
      <c r="I1298" s="2"/>
      <c r="J1298" s="2"/>
      <c r="K1298" s="11"/>
      <c r="L1298" s="11" t="s">
        <v>4041</v>
      </c>
      <c r="M1298" s="1"/>
      <c r="N1298" s="11"/>
      <c r="O1298" s="11" t="s">
        <v>4042</v>
      </c>
      <c r="P1298" s="1"/>
      <c r="Q1298" s="1"/>
      <c r="R1298" s="11"/>
      <c r="S1298" s="2">
        <f>CONSOLIDADO_2026[[#This Row],[Hora final]]-CONSOLIDADO_2026[[#This Row],[Hora inic]]</f>
        <v>0</v>
      </c>
    </row>
    <row r="1299" spans="1:19" hidden="1" x14ac:dyDescent="0.25">
      <c r="A1299" t="s">
        <v>4212</v>
      </c>
      <c r="B1299">
        <v>1037485093</v>
      </c>
      <c r="C1299" t="s">
        <v>4211</v>
      </c>
      <c r="D1299" s="11" t="s">
        <v>344</v>
      </c>
      <c r="E1299" s="11" t="s">
        <v>4056</v>
      </c>
      <c r="F1299" s="11" t="s">
        <v>4091</v>
      </c>
      <c r="G1299" s="1">
        <v>46255</v>
      </c>
      <c r="H1299" s="1">
        <v>46258</v>
      </c>
      <c r="I1299" s="2"/>
      <c r="J1299" s="2"/>
      <c r="K1299" s="11"/>
      <c r="L1299" s="11" t="s">
        <v>341</v>
      </c>
      <c r="M1299" s="1"/>
      <c r="N1299" s="11"/>
      <c r="O1299" s="11" t="s">
        <v>4042</v>
      </c>
      <c r="P1299" s="1"/>
      <c r="Q1299" s="1"/>
      <c r="R1299" s="11"/>
      <c r="S1299" s="2">
        <f>CONSOLIDADO_2026[[#This Row],[Hora final]]-CONSOLIDADO_2026[[#This Row],[Hora inic]]</f>
        <v>0</v>
      </c>
    </row>
    <row r="1300" spans="1:19" hidden="1" x14ac:dyDescent="0.25">
      <c r="A1300" t="s">
        <v>4212</v>
      </c>
      <c r="B1300">
        <v>1235257142</v>
      </c>
      <c r="C1300" t="s">
        <v>1774</v>
      </c>
      <c r="D1300" s="11" t="s">
        <v>44</v>
      </c>
      <c r="E1300" s="11" t="s">
        <v>4045</v>
      </c>
      <c r="F1300" s="11" t="s">
        <v>16</v>
      </c>
      <c r="G1300" s="1">
        <v>46255</v>
      </c>
      <c r="H1300" s="1">
        <v>46256</v>
      </c>
      <c r="I1300" s="2"/>
      <c r="J1300" s="2"/>
      <c r="K1300" s="11"/>
      <c r="L1300" s="11" t="s">
        <v>327</v>
      </c>
      <c r="M1300" s="1"/>
      <c r="N1300" s="11"/>
      <c r="O1300" s="11" t="s">
        <v>4042</v>
      </c>
      <c r="P1300" s="1"/>
      <c r="Q1300" s="1"/>
      <c r="R1300" s="11"/>
      <c r="S1300" s="2">
        <f>CONSOLIDADO_2026[[#This Row],[Hora final]]-CONSOLIDADO_2026[[#This Row],[Hora inic]]</f>
        <v>0</v>
      </c>
    </row>
    <row r="1301" spans="1:19" hidden="1" x14ac:dyDescent="0.25">
      <c r="A1301" t="s">
        <v>4212</v>
      </c>
      <c r="B1301">
        <v>33204315</v>
      </c>
      <c r="C1301" t="s">
        <v>585</v>
      </c>
      <c r="D1301" s="11" t="s">
        <v>162</v>
      </c>
      <c r="E1301" s="11" t="s">
        <v>4056</v>
      </c>
      <c r="F1301" s="11" t="s">
        <v>16</v>
      </c>
      <c r="G1301" s="1">
        <v>46254</v>
      </c>
      <c r="H1301" s="1">
        <v>46255</v>
      </c>
      <c r="I1301" s="2"/>
      <c r="J1301" s="2"/>
      <c r="K1301" s="11"/>
      <c r="L1301" s="11" t="s">
        <v>4041</v>
      </c>
      <c r="M1301" s="1"/>
      <c r="N1301" s="11"/>
      <c r="O1301" s="11" t="s">
        <v>4042</v>
      </c>
      <c r="P1301" s="1"/>
      <c r="Q1301" s="1"/>
      <c r="R1301" s="11"/>
      <c r="S1301" s="2">
        <f>CONSOLIDADO_2026[[#This Row],[Hora final]]-CONSOLIDADO_2026[[#This Row],[Hora inic]]</f>
        <v>0</v>
      </c>
    </row>
    <row r="1302" spans="1:19" hidden="1" x14ac:dyDescent="0.25">
      <c r="A1302" t="s">
        <v>4212</v>
      </c>
      <c r="B1302">
        <v>1152198083</v>
      </c>
      <c r="C1302" t="s">
        <v>2010</v>
      </c>
      <c r="D1302" s="11" t="s">
        <v>421</v>
      </c>
      <c r="E1302" s="11" t="s">
        <v>4047</v>
      </c>
      <c r="F1302" s="11" t="s">
        <v>16</v>
      </c>
      <c r="G1302" s="1">
        <v>46254</v>
      </c>
      <c r="H1302" s="1">
        <v>46255</v>
      </c>
      <c r="I1302" s="2"/>
      <c r="J1302" s="2"/>
      <c r="K1302" s="11"/>
      <c r="L1302" s="11" t="s">
        <v>4041</v>
      </c>
      <c r="M1302" s="1"/>
      <c r="N1302" s="11"/>
      <c r="O1302" s="11" t="s">
        <v>4042</v>
      </c>
      <c r="P1302" s="1"/>
      <c r="Q1302" s="1"/>
      <c r="R1302" s="11"/>
      <c r="S1302" s="2">
        <f>CONSOLIDADO_2026[[#This Row],[Hora final]]-CONSOLIDADO_2026[[#This Row],[Hora inic]]</f>
        <v>0</v>
      </c>
    </row>
    <row r="1303" spans="1:19" hidden="1" x14ac:dyDescent="0.25">
      <c r="A1303" t="s">
        <v>4212</v>
      </c>
      <c r="B1303">
        <v>1096223065</v>
      </c>
      <c r="C1303" t="s">
        <v>3428</v>
      </c>
      <c r="D1303" s="11" t="s">
        <v>59</v>
      </c>
      <c r="E1303" s="11" t="s">
        <v>4047</v>
      </c>
      <c r="F1303" s="11" t="s">
        <v>24</v>
      </c>
      <c r="G1303" s="1">
        <v>46253</v>
      </c>
      <c r="H1303" s="1">
        <v>46265</v>
      </c>
      <c r="I1303" s="2">
        <v>0.25</v>
      </c>
      <c r="J1303" s="2">
        <v>0.66666666666666663</v>
      </c>
      <c r="K1303" s="11" t="s">
        <v>45</v>
      </c>
      <c r="L1303" s="11" t="s">
        <v>46</v>
      </c>
      <c r="M1303" s="1"/>
      <c r="N1303" s="11"/>
      <c r="O1303" s="11" t="s">
        <v>21</v>
      </c>
      <c r="P1303" s="1"/>
      <c r="Q1303" s="1"/>
      <c r="R1303" s="11"/>
      <c r="S1303" s="2">
        <f>CONSOLIDADO_2026[[#This Row],[Hora final]]-CONSOLIDADO_2026[[#This Row],[Hora inic]]</f>
        <v>0.41666666666666663</v>
      </c>
    </row>
    <row r="1304" spans="1:19" hidden="1" x14ac:dyDescent="0.25">
      <c r="A1304" t="s">
        <v>4212</v>
      </c>
      <c r="B1304">
        <v>1036683729</v>
      </c>
      <c r="C1304" t="s">
        <v>954</v>
      </c>
      <c r="D1304" s="11" t="s">
        <v>82</v>
      </c>
      <c r="E1304" s="11" t="s">
        <v>4045</v>
      </c>
      <c r="F1304" s="11" t="s">
        <v>16</v>
      </c>
      <c r="G1304" s="1">
        <v>46253</v>
      </c>
      <c r="H1304" s="1">
        <v>46255</v>
      </c>
      <c r="I1304" s="2"/>
      <c r="J1304" s="2"/>
      <c r="K1304" s="11"/>
      <c r="L1304" s="11" t="s">
        <v>4041</v>
      </c>
      <c r="M1304" s="1"/>
      <c r="N1304" s="11"/>
      <c r="O1304" s="11" t="s">
        <v>4042</v>
      </c>
      <c r="P1304" s="1"/>
      <c r="Q1304" s="1"/>
      <c r="R1304" s="11"/>
      <c r="S1304" s="2">
        <f>CONSOLIDADO_2026[[#This Row],[Hora final]]-CONSOLIDADO_2026[[#This Row],[Hora inic]]</f>
        <v>0</v>
      </c>
    </row>
    <row r="1305" spans="1:19" hidden="1" x14ac:dyDescent="0.25">
      <c r="A1305" t="s">
        <v>4212</v>
      </c>
      <c r="B1305">
        <v>1002029407</v>
      </c>
      <c r="C1305" t="s">
        <v>101</v>
      </c>
      <c r="D1305" s="11" t="s">
        <v>102</v>
      </c>
      <c r="E1305" s="11" t="s">
        <v>4046</v>
      </c>
      <c r="F1305" s="11" t="s">
        <v>16</v>
      </c>
      <c r="G1305" s="1">
        <v>46253</v>
      </c>
      <c r="H1305" s="1">
        <v>46256</v>
      </c>
      <c r="I1305" s="2">
        <v>0.29166666666666669</v>
      </c>
      <c r="J1305" s="2">
        <v>0.54166666666666663</v>
      </c>
      <c r="K1305" s="11" t="s">
        <v>231</v>
      </c>
      <c r="L1305" s="11" t="s">
        <v>232</v>
      </c>
      <c r="M1305" s="1"/>
      <c r="N1305" s="11"/>
      <c r="O1305" s="11" t="s">
        <v>21</v>
      </c>
      <c r="P1305" s="1"/>
      <c r="Q1305" s="1"/>
      <c r="R1305" s="11"/>
      <c r="S1305" s="2">
        <f>CONSOLIDADO_2026[[#This Row],[Hora final]]-CONSOLIDADO_2026[[#This Row],[Hora inic]]</f>
        <v>0.24999999999999994</v>
      </c>
    </row>
    <row r="1306" spans="1:19" hidden="1" x14ac:dyDescent="0.25">
      <c r="A1306" t="s">
        <v>4212</v>
      </c>
      <c r="B1306">
        <v>1000348983</v>
      </c>
      <c r="C1306" t="s">
        <v>235</v>
      </c>
      <c r="D1306" s="11" t="s">
        <v>162</v>
      </c>
      <c r="E1306" s="11" t="s">
        <v>4056</v>
      </c>
      <c r="F1306" s="11" t="s">
        <v>16</v>
      </c>
      <c r="G1306" s="1">
        <v>46251</v>
      </c>
      <c r="H1306" s="1">
        <v>46255</v>
      </c>
      <c r="I1306" s="2"/>
      <c r="J1306" s="2"/>
      <c r="K1306" s="11"/>
      <c r="L1306" s="11" t="s">
        <v>4041</v>
      </c>
      <c r="M1306" s="1"/>
      <c r="N1306" s="11"/>
      <c r="O1306" s="11" t="s">
        <v>4042</v>
      </c>
      <c r="P1306" s="1"/>
      <c r="Q1306" s="1"/>
      <c r="R1306" s="11"/>
      <c r="S1306" s="2">
        <f>CONSOLIDADO_2026[[#This Row],[Hora final]]-CONSOLIDADO_2026[[#This Row],[Hora inic]]</f>
        <v>0</v>
      </c>
    </row>
    <row r="1307" spans="1:19" hidden="1" x14ac:dyDescent="0.25">
      <c r="A1307" t="s">
        <v>4212</v>
      </c>
      <c r="B1307">
        <v>1098774597</v>
      </c>
      <c r="C1307" t="s">
        <v>1745</v>
      </c>
      <c r="D1307" s="11" t="s">
        <v>132</v>
      </c>
      <c r="E1307" s="11" t="s">
        <v>4040</v>
      </c>
      <c r="F1307" s="11" t="s">
        <v>16</v>
      </c>
      <c r="G1307" s="1">
        <v>46253</v>
      </c>
      <c r="H1307" s="1">
        <v>46255</v>
      </c>
      <c r="I1307" s="2"/>
      <c r="J1307" s="2"/>
      <c r="K1307" s="11"/>
      <c r="L1307" s="11" t="s">
        <v>4041</v>
      </c>
      <c r="M1307" s="1"/>
      <c r="N1307" s="11"/>
      <c r="O1307" s="11" t="s">
        <v>4042</v>
      </c>
      <c r="P1307" s="1"/>
      <c r="Q1307" s="1"/>
      <c r="R1307" s="11"/>
      <c r="S1307" s="2">
        <f>CONSOLIDADO_2026[[#This Row],[Hora final]]-CONSOLIDADO_2026[[#This Row],[Hora inic]]</f>
        <v>0</v>
      </c>
    </row>
    <row r="1308" spans="1:19" hidden="1" x14ac:dyDescent="0.25">
      <c r="A1308" t="s">
        <v>4212</v>
      </c>
      <c r="B1308">
        <v>32299090</v>
      </c>
      <c r="C1308" t="s">
        <v>3249</v>
      </c>
      <c r="D1308" s="11" t="s">
        <v>55</v>
      </c>
      <c r="E1308" s="11" t="s">
        <v>4047</v>
      </c>
      <c r="F1308" s="11" t="s">
        <v>16</v>
      </c>
      <c r="G1308" s="1">
        <v>46253</v>
      </c>
      <c r="H1308" s="1">
        <v>46255</v>
      </c>
      <c r="I1308" s="2"/>
      <c r="J1308" s="2"/>
      <c r="K1308" s="11"/>
      <c r="L1308" s="11" t="s">
        <v>4041</v>
      </c>
      <c r="M1308" s="1"/>
      <c r="N1308" s="11"/>
      <c r="O1308" s="11" t="s">
        <v>4042</v>
      </c>
      <c r="P1308" s="1"/>
      <c r="Q1308" s="1"/>
      <c r="R1308" s="11"/>
      <c r="S1308" s="2">
        <f>CONSOLIDADO_2026[[#This Row],[Hora final]]-CONSOLIDADO_2026[[#This Row],[Hora inic]]</f>
        <v>0</v>
      </c>
    </row>
    <row r="1309" spans="1:19" hidden="1" x14ac:dyDescent="0.25">
      <c r="A1309" t="s">
        <v>4212</v>
      </c>
      <c r="B1309">
        <v>1037661959</v>
      </c>
      <c r="C1309" t="s">
        <v>4080</v>
      </c>
      <c r="D1309" s="11" t="s">
        <v>482</v>
      </c>
      <c r="E1309" s="11" t="s">
        <v>4040</v>
      </c>
      <c r="F1309" s="11" t="s">
        <v>4050</v>
      </c>
      <c r="G1309" s="1">
        <v>46253</v>
      </c>
      <c r="H1309" s="1">
        <v>46255</v>
      </c>
      <c r="I1309" s="2"/>
      <c r="J1309" s="2"/>
      <c r="K1309" s="11"/>
      <c r="L1309" s="11" t="s">
        <v>4041</v>
      </c>
      <c r="M1309" s="1"/>
      <c r="N1309" s="11"/>
      <c r="O1309" s="11" t="s">
        <v>4042</v>
      </c>
      <c r="P1309" s="1"/>
      <c r="Q1309" s="1"/>
      <c r="R1309" s="11"/>
      <c r="S1309" s="2">
        <f>CONSOLIDADO_2026[[#This Row],[Hora final]]-CONSOLIDADO_2026[[#This Row],[Hora inic]]</f>
        <v>0</v>
      </c>
    </row>
    <row r="1310" spans="1:19" hidden="1" x14ac:dyDescent="0.25">
      <c r="A1310" t="s">
        <v>4212</v>
      </c>
      <c r="B1310">
        <v>1152434926</v>
      </c>
      <c r="C1310" t="s">
        <v>217</v>
      </c>
      <c r="D1310" s="11" t="s">
        <v>59</v>
      </c>
      <c r="E1310" s="11" t="s">
        <v>4047</v>
      </c>
      <c r="F1310" s="11" t="s">
        <v>16</v>
      </c>
      <c r="G1310" s="1">
        <v>46252</v>
      </c>
      <c r="H1310" s="1">
        <v>46255</v>
      </c>
      <c r="I1310" s="2"/>
      <c r="J1310" s="2"/>
      <c r="K1310" s="11"/>
      <c r="L1310" s="11" t="s">
        <v>4041</v>
      </c>
      <c r="M1310" s="1"/>
      <c r="N1310" s="11"/>
      <c r="O1310" s="11" t="s">
        <v>4042</v>
      </c>
      <c r="P1310" s="1"/>
      <c r="Q1310" s="1"/>
      <c r="R1310" s="11"/>
      <c r="S1310" s="2">
        <f>CONSOLIDADO_2026[[#This Row],[Hora final]]-CONSOLIDADO_2026[[#This Row],[Hora inic]]</f>
        <v>0</v>
      </c>
    </row>
    <row r="1311" spans="1:19" hidden="1" x14ac:dyDescent="0.25">
      <c r="A1311" t="s">
        <v>4212</v>
      </c>
      <c r="B1311">
        <v>1007334260</v>
      </c>
      <c r="C1311" t="s">
        <v>4207</v>
      </c>
      <c r="D1311" s="11" t="s">
        <v>344</v>
      </c>
      <c r="E1311" s="11" t="s">
        <v>4056</v>
      </c>
      <c r="F1311" s="11" t="s">
        <v>4050</v>
      </c>
      <c r="G1311" s="1">
        <v>46255</v>
      </c>
      <c r="H1311" s="1">
        <v>46259</v>
      </c>
      <c r="I1311" s="2"/>
      <c r="J1311" s="2"/>
      <c r="K1311" s="11"/>
      <c r="L1311" s="11" t="s">
        <v>341</v>
      </c>
      <c r="M1311" s="1"/>
      <c r="N1311" s="11"/>
      <c r="O1311" s="11" t="s">
        <v>4042</v>
      </c>
      <c r="P1311" s="1"/>
      <c r="Q1311" s="1"/>
      <c r="R1311" s="11"/>
      <c r="S1311" s="2">
        <f>CONSOLIDADO_2026[[#This Row],[Hora final]]-CONSOLIDADO_2026[[#This Row],[Hora inic]]</f>
        <v>0</v>
      </c>
    </row>
    <row r="1312" spans="1:19" hidden="1" x14ac:dyDescent="0.25">
      <c r="A1312" t="s">
        <v>4212</v>
      </c>
      <c r="B1312">
        <v>1143375080</v>
      </c>
      <c r="C1312" t="s">
        <v>203</v>
      </c>
      <c r="D1312" s="11" t="s">
        <v>44</v>
      </c>
      <c r="E1312" s="11" t="s">
        <v>4045</v>
      </c>
      <c r="F1312" s="11" t="s">
        <v>158</v>
      </c>
      <c r="G1312" s="1">
        <v>46249</v>
      </c>
      <c r="H1312" s="1"/>
      <c r="I1312" s="2"/>
      <c r="J1312" s="2"/>
      <c r="K1312" s="11"/>
      <c r="L1312" s="11" t="s">
        <v>341</v>
      </c>
      <c r="M1312" s="1"/>
      <c r="N1312" s="11"/>
      <c r="O1312" s="11" t="s">
        <v>4042</v>
      </c>
      <c r="P1312" s="1"/>
      <c r="Q1312" s="1"/>
      <c r="R1312" s="11"/>
      <c r="S1312" s="2">
        <f>CONSOLIDADO_2026[[#This Row],[Hora final]]-CONSOLIDADO_2026[[#This Row],[Hora inic]]</f>
        <v>0</v>
      </c>
    </row>
    <row r="1313" spans="1:19" hidden="1" x14ac:dyDescent="0.25">
      <c r="A1313" t="s">
        <v>4212</v>
      </c>
      <c r="B1313">
        <v>1045718883</v>
      </c>
      <c r="C1313" t="s">
        <v>34</v>
      </c>
      <c r="D1313" s="11" t="s">
        <v>15</v>
      </c>
      <c r="E1313" s="11" t="s">
        <v>4046</v>
      </c>
      <c r="F1313" s="11" t="s">
        <v>36</v>
      </c>
      <c r="G1313" s="1">
        <v>46244</v>
      </c>
      <c r="H1313" s="1">
        <v>46393</v>
      </c>
      <c r="I1313" s="2">
        <v>0.25</v>
      </c>
      <c r="J1313" s="2">
        <v>0.66666666666666663</v>
      </c>
      <c r="K1313" s="11" t="s">
        <v>318</v>
      </c>
      <c r="L1313" s="11" t="s">
        <v>319</v>
      </c>
      <c r="M1313" s="1"/>
      <c r="N1313" s="11"/>
      <c r="O1313" s="11" t="s">
        <v>21</v>
      </c>
      <c r="P1313" s="1"/>
      <c r="Q1313" s="1"/>
      <c r="R1313" s="11"/>
      <c r="S1313" s="2">
        <f>CONSOLIDADO_2026[[#This Row],[Hora final]]-CONSOLIDADO_2026[[#This Row],[Hora inic]]</f>
        <v>0.41666666666666663</v>
      </c>
    </row>
    <row r="1314" spans="1:19" hidden="1" x14ac:dyDescent="0.25">
      <c r="A1314" t="s">
        <v>4212</v>
      </c>
      <c r="B1314">
        <v>1040755197</v>
      </c>
      <c r="C1314" t="s">
        <v>171</v>
      </c>
      <c r="D1314" s="11" t="s">
        <v>172</v>
      </c>
      <c r="E1314" s="11" t="s">
        <v>4046</v>
      </c>
      <c r="F1314" s="11" t="s">
        <v>16</v>
      </c>
      <c r="G1314" s="1">
        <v>46252</v>
      </c>
      <c r="H1314" s="1">
        <v>46262</v>
      </c>
      <c r="I1314" s="2">
        <v>0.25</v>
      </c>
      <c r="J1314" s="2">
        <v>0.66666666666666663</v>
      </c>
      <c r="K1314" s="11" t="s">
        <v>222</v>
      </c>
      <c r="L1314" s="11" t="s">
        <v>223</v>
      </c>
      <c r="M1314" s="1"/>
      <c r="N1314" s="11"/>
      <c r="O1314" s="11" t="s">
        <v>21</v>
      </c>
      <c r="P1314" s="1"/>
      <c r="Q1314" s="1"/>
      <c r="R1314" s="11"/>
      <c r="S1314" s="2">
        <f>CONSOLIDADO_2026[[#This Row],[Hora final]]-CONSOLIDADO_2026[[#This Row],[Hora inic]]</f>
        <v>0.41666666666666663</v>
      </c>
    </row>
    <row r="1315" spans="1:19" hidden="1" x14ac:dyDescent="0.25">
      <c r="A1315" t="s">
        <v>4212</v>
      </c>
      <c r="B1315">
        <v>1082896324</v>
      </c>
      <c r="C1315" t="s">
        <v>127</v>
      </c>
      <c r="D1315" s="11" t="s">
        <v>128</v>
      </c>
      <c r="E1315" s="11" t="s">
        <v>4045</v>
      </c>
      <c r="F1315" s="11" t="s">
        <v>16</v>
      </c>
      <c r="G1315" s="1">
        <v>46242</v>
      </c>
      <c r="H1315" s="1">
        <v>46272</v>
      </c>
      <c r="I1315" s="2"/>
      <c r="J1315" s="2"/>
      <c r="K1315" s="11"/>
      <c r="L1315" s="11" t="s">
        <v>341</v>
      </c>
      <c r="M1315" s="1"/>
      <c r="N1315" s="11"/>
      <c r="O1315" s="11" t="s">
        <v>4042</v>
      </c>
      <c r="P1315" s="1"/>
      <c r="Q1315" s="1"/>
      <c r="R1315" s="11"/>
      <c r="S1315" s="2">
        <f>CONSOLIDADO_2026[[#This Row],[Hora final]]-CONSOLIDADO_2026[[#This Row],[Hora inic]]</f>
        <v>0</v>
      </c>
    </row>
    <row r="1316" spans="1:19" hidden="1" x14ac:dyDescent="0.25">
      <c r="A1316" t="s">
        <v>4212</v>
      </c>
      <c r="B1316">
        <v>1143374524</v>
      </c>
      <c r="C1316" t="s">
        <v>2755</v>
      </c>
      <c r="D1316" s="11" t="s">
        <v>51</v>
      </c>
      <c r="E1316" s="11" t="s">
        <v>4047</v>
      </c>
      <c r="F1316" s="11" t="s">
        <v>16</v>
      </c>
      <c r="G1316" s="1">
        <v>46253</v>
      </c>
      <c r="H1316" s="1">
        <v>46255</v>
      </c>
      <c r="I1316" s="2"/>
      <c r="J1316" s="2"/>
      <c r="K1316" s="11"/>
      <c r="L1316" s="11" t="s">
        <v>4041</v>
      </c>
      <c r="M1316" s="1"/>
      <c r="N1316" s="11"/>
      <c r="O1316" s="11" t="s">
        <v>4042</v>
      </c>
      <c r="P1316" s="1"/>
      <c r="Q1316" s="1"/>
      <c r="R1316" s="11"/>
      <c r="S1316" s="2">
        <f>CONSOLIDADO_2026[[#This Row],[Hora final]]-CONSOLIDADO_2026[[#This Row],[Hora inic]]</f>
        <v>0</v>
      </c>
    </row>
    <row r="1317" spans="1:19" hidden="1" x14ac:dyDescent="0.25">
      <c r="A1317" t="s">
        <v>4212</v>
      </c>
      <c r="B1317">
        <v>1015483595</v>
      </c>
      <c r="C1317" t="s">
        <v>23</v>
      </c>
      <c r="D1317" s="11" t="s">
        <v>15</v>
      </c>
      <c r="E1317" s="11" t="s">
        <v>4046</v>
      </c>
      <c r="F1317" s="11" t="s">
        <v>24</v>
      </c>
      <c r="G1317" s="1">
        <v>46244</v>
      </c>
      <c r="H1317" s="1">
        <v>46265</v>
      </c>
      <c r="I1317" s="2">
        <v>0.25</v>
      </c>
      <c r="J1317" s="2">
        <v>0.66666666666666663</v>
      </c>
      <c r="K1317" s="11" t="s">
        <v>17</v>
      </c>
      <c r="L1317" s="11" t="s">
        <v>18</v>
      </c>
      <c r="M1317" s="1"/>
      <c r="N1317" s="11"/>
      <c r="O1317" s="11" t="s">
        <v>21</v>
      </c>
      <c r="P1317" s="1"/>
      <c r="Q1317" s="1"/>
      <c r="R1317" s="11"/>
      <c r="S1317" s="2">
        <f>CONSOLIDADO_2026[[#This Row],[Hora final]]-CONSOLIDADO_2026[[#This Row],[Hora inic]]</f>
        <v>0.41666666666666663</v>
      </c>
    </row>
    <row r="1318" spans="1:19" hidden="1" x14ac:dyDescent="0.25">
      <c r="A1318" t="s">
        <v>4212</v>
      </c>
      <c r="B1318">
        <v>1001851670</v>
      </c>
      <c r="C1318" t="s">
        <v>50</v>
      </c>
      <c r="D1318" s="11" t="s">
        <v>51</v>
      </c>
      <c r="E1318" s="11" t="s">
        <v>4047</v>
      </c>
      <c r="F1318" s="11" t="s">
        <v>36</v>
      </c>
      <c r="G1318" s="1">
        <v>46241</v>
      </c>
      <c r="H1318" s="1">
        <v>46366</v>
      </c>
      <c r="I1318" s="2">
        <v>0.25</v>
      </c>
      <c r="J1318" s="2">
        <v>0.66666666666666663</v>
      </c>
      <c r="K1318" s="11" t="s">
        <v>73</v>
      </c>
      <c r="L1318" s="11" t="s">
        <v>74</v>
      </c>
      <c r="M1318" s="1"/>
      <c r="N1318" s="11"/>
      <c r="O1318" s="11" t="s">
        <v>21</v>
      </c>
      <c r="P1318" s="1"/>
      <c r="Q1318" s="1"/>
      <c r="R1318" s="11"/>
      <c r="S1318" s="2">
        <f>CONSOLIDADO_2026[[#This Row],[Hora final]]-CONSOLIDADO_2026[[#This Row],[Hora inic]]</f>
        <v>0.41666666666666663</v>
      </c>
    </row>
    <row r="1319" spans="1:19" hidden="1" x14ac:dyDescent="0.25">
      <c r="A1319" t="s">
        <v>4212</v>
      </c>
      <c r="B1319">
        <v>42141273</v>
      </c>
      <c r="C1319" t="s">
        <v>271</v>
      </c>
      <c r="D1319" s="11" t="s">
        <v>272</v>
      </c>
      <c r="E1319" s="11" t="s">
        <v>4056</v>
      </c>
      <c r="F1319" s="11" t="s">
        <v>4065</v>
      </c>
      <c r="G1319" s="1">
        <v>46238</v>
      </c>
      <c r="H1319" s="1">
        <v>46295</v>
      </c>
      <c r="I1319" s="2"/>
      <c r="J1319" s="2"/>
      <c r="K1319" s="11"/>
      <c r="L1319" s="11" t="s">
        <v>341</v>
      </c>
      <c r="M1319" s="1"/>
      <c r="N1319" s="11"/>
      <c r="O1319" s="11" t="s">
        <v>4042</v>
      </c>
      <c r="P1319" s="1"/>
      <c r="Q1319" s="1"/>
      <c r="R1319" s="11"/>
      <c r="S1319" s="2">
        <f>CONSOLIDADO_2026[[#This Row],[Hora final]]-CONSOLIDADO_2026[[#This Row],[Hora inic]]</f>
        <v>0</v>
      </c>
    </row>
    <row r="1320" spans="1:19" hidden="1" x14ac:dyDescent="0.25">
      <c r="A1320" t="s">
        <v>4212</v>
      </c>
      <c r="B1320">
        <v>1005424850</v>
      </c>
      <c r="C1320" t="s">
        <v>95</v>
      </c>
      <c r="D1320" s="11" t="s">
        <v>82</v>
      </c>
      <c r="E1320" s="11" t="s">
        <v>4045</v>
      </c>
      <c r="F1320" s="11" t="s">
        <v>4062</v>
      </c>
      <c r="G1320" s="1">
        <v>46254</v>
      </c>
      <c r="H1320" s="1">
        <v>46255</v>
      </c>
      <c r="I1320" s="2"/>
      <c r="J1320" s="2"/>
      <c r="K1320" s="11"/>
      <c r="L1320" s="11" t="s">
        <v>341</v>
      </c>
      <c r="M1320" s="1"/>
      <c r="N1320" s="11"/>
      <c r="O1320" s="11" t="s">
        <v>4042</v>
      </c>
      <c r="P1320" s="1"/>
      <c r="Q1320" s="1"/>
      <c r="R1320" s="11"/>
      <c r="S1320" s="2">
        <f>CONSOLIDADO_2026[[#This Row],[Hora final]]-CONSOLIDADO_2026[[#This Row],[Hora inic]]</f>
        <v>0</v>
      </c>
    </row>
    <row r="1321" spans="1:19" hidden="1" x14ac:dyDescent="0.25">
      <c r="A1321" t="s">
        <v>4212</v>
      </c>
      <c r="B1321">
        <v>1152221372</v>
      </c>
      <c r="C1321" t="s">
        <v>2363</v>
      </c>
      <c r="D1321" s="11" t="s">
        <v>139</v>
      </c>
      <c r="E1321" s="11" t="s">
        <v>4040</v>
      </c>
      <c r="F1321" s="11" t="s">
        <v>158</v>
      </c>
      <c r="G1321" s="1">
        <v>46230</v>
      </c>
      <c r="H1321" s="1">
        <v>46230</v>
      </c>
      <c r="I1321" s="2"/>
      <c r="J1321" s="2"/>
      <c r="K1321" s="11"/>
      <c r="L1321" s="11" t="s">
        <v>341</v>
      </c>
      <c r="M1321" s="1"/>
      <c r="N1321" s="11"/>
      <c r="O1321" s="11" t="s">
        <v>4042</v>
      </c>
      <c r="P1321" s="1"/>
      <c r="Q1321" s="1"/>
      <c r="R1321" s="11"/>
      <c r="S1321" s="2">
        <f>CONSOLIDADO_2026[[#This Row],[Hora final]]-CONSOLIDADO_2026[[#This Row],[Hora inic]]</f>
        <v>0</v>
      </c>
    </row>
    <row r="1322" spans="1:19" hidden="1" x14ac:dyDescent="0.25">
      <c r="A1322" t="s">
        <v>4212</v>
      </c>
      <c r="B1322">
        <v>1017264032</v>
      </c>
      <c r="C1322" t="s">
        <v>54</v>
      </c>
      <c r="D1322" s="11" t="s">
        <v>55</v>
      </c>
      <c r="E1322" s="11" t="s">
        <v>4047</v>
      </c>
      <c r="F1322" s="11" t="s">
        <v>16</v>
      </c>
      <c r="G1322" s="1">
        <v>46229</v>
      </c>
      <c r="H1322" s="1">
        <v>46258</v>
      </c>
      <c r="I1322" s="2"/>
      <c r="J1322" s="2"/>
      <c r="K1322" s="11"/>
      <c r="L1322" s="11" t="s">
        <v>341</v>
      </c>
      <c r="M1322" s="1"/>
      <c r="N1322" s="11"/>
      <c r="O1322" s="11" t="s">
        <v>4042</v>
      </c>
      <c r="P1322" s="1"/>
      <c r="Q1322" s="1"/>
      <c r="R1322" s="11"/>
      <c r="S1322" s="2">
        <f>CONSOLIDADO_2026[[#This Row],[Hora final]]-CONSOLIDADO_2026[[#This Row],[Hora inic]]</f>
        <v>0</v>
      </c>
    </row>
    <row r="1323" spans="1:19" hidden="1" x14ac:dyDescent="0.25">
      <c r="A1323" t="s">
        <v>4212</v>
      </c>
      <c r="B1323">
        <v>1037630071</v>
      </c>
      <c r="C1323" t="s">
        <v>3579</v>
      </c>
      <c r="D1323" s="11" t="s">
        <v>176</v>
      </c>
      <c r="E1323" s="11" t="s">
        <v>4040</v>
      </c>
      <c r="F1323" s="11" t="s">
        <v>4062</v>
      </c>
      <c r="G1323" s="1">
        <v>46247</v>
      </c>
      <c r="H1323" s="1">
        <v>46265</v>
      </c>
      <c r="I1323" s="2"/>
      <c r="J1323" s="2"/>
      <c r="K1323" s="11"/>
      <c r="L1323" s="11" t="s">
        <v>341</v>
      </c>
      <c r="M1323" s="1"/>
      <c r="N1323" s="11"/>
      <c r="O1323" s="11" t="s">
        <v>4042</v>
      </c>
      <c r="P1323" s="1"/>
      <c r="Q1323" s="1"/>
      <c r="R1323" s="11"/>
      <c r="S1323" s="2">
        <f>CONSOLIDADO_2026[[#This Row],[Hora final]]-CONSOLIDADO_2026[[#This Row],[Hora inic]]</f>
        <v>0</v>
      </c>
    </row>
    <row r="1324" spans="1:19" hidden="1" x14ac:dyDescent="0.25">
      <c r="A1324" t="s">
        <v>4212</v>
      </c>
      <c r="B1324">
        <v>1017235294</v>
      </c>
      <c r="C1324" t="s">
        <v>1069</v>
      </c>
      <c r="D1324" s="11" t="s">
        <v>55</v>
      </c>
      <c r="E1324" s="11" t="s">
        <v>4047</v>
      </c>
      <c r="F1324" s="11" t="s">
        <v>16</v>
      </c>
      <c r="G1324" s="1">
        <v>46254</v>
      </c>
      <c r="H1324" s="1">
        <v>46255</v>
      </c>
      <c r="I1324" s="2"/>
      <c r="J1324" s="2"/>
      <c r="K1324" s="11"/>
      <c r="L1324" s="11" t="s">
        <v>4041</v>
      </c>
      <c r="M1324" s="1"/>
      <c r="N1324" s="11"/>
      <c r="O1324" s="11" t="s">
        <v>4042</v>
      </c>
      <c r="P1324" s="1"/>
      <c r="Q1324" s="1"/>
      <c r="R1324" s="11"/>
      <c r="S1324" s="2">
        <f>CONSOLIDADO_2026[[#This Row],[Hora final]]-CONSOLIDADO_2026[[#This Row],[Hora inic]]</f>
        <v>0</v>
      </c>
    </row>
    <row r="1325" spans="1:19" hidden="1" x14ac:dyDescent="0.25">
      <c r="A1325" t="s">
        <v>4212</v>
      </c>
      <c r="B1325">
        <v>1020414545</v>
      </c>
      <c r="C1325" t="s">
        <v>2893</v>
      </c>
      <c r="D1325" s="11" t="s">
        <v>256</v>
      </c>
      <c r="E1325" s="11" t="s">
        <v>4040</v>
      </c>
      <c r="F1325" s="11" t="s">
        <v>16</v>
      </c>
      <c r="G1325" s="1">
        <v>46255</v>
      </c>
      <c r="H1325" s="1">
        <v>46256</v>
      </c>
      <c r="I1325" s="2">
        <v>0.25</v>
      </c>
      <c r="J1325" s="2">
        <v>0.66666666666666663</v>
      </c>
      <c r="K1325" s="11" t="s">
        <v>103</v>
      </c>
      <c r="L1325" s="11" t="s">
        <v>104</v>
      </c>
      <c r="M1325" s="1"/>
      <c r="N1325" s="11"/>
      <c r="O1325" s="11" t="s">
        <v>21</v>
      </c>
      <c r="P1325" s="1"/>
      <c r="Q1325" s="1"/>
      <c r="R1325" s="11"/>
      <c r="S1325" s="2">
        <f>CONSOLIDADO_2026[[#This Row],[Hora final]]-CONSOLIDADO_2026[[#This Row],[Hora inic]]</f>
        <v>0.41666666666666663</v>
      </c>
    </row>
    <row r="1326" spans="1:19" hidden="1" x14ac:dyDescent="0.25">
      <c r="A1326" t="s">
        <v>4212</v>
      </c>
      <c r="B1326">
        <v>1007600707</v>
      </c>
      <c r="C1326" t="s">
        <v>2394</v>
      </c>
      <c r="D1326" s="11" t="s">
        <v>256</v>
      </c>
      <c r="E1326" s="11" t="s">
        <v>4040</v>
      </c>
      <c r="F1326" s="11" t="s">
        <v>16</v>
      </c>
      <c r="G1326" s="1">
        <v>46255</v>
      </c>
      <c r="H1326" s="1">
        <v>46256</v>
      </c>
      <c r="I1326" s="2">
        <v>0.25</v>
      </c>
      <c r="J1326" s="2">
        <v>0.66666666666666663</v>
      </c>
      <c r="K1326" s="11"/>
      <c r="L1326" s="11" t="s">
        <v>327</v>
      </c>
      <c r="M1326" s="1"/>
      <c r="N1326" s="11"/>
      <c r="O1326" s="11" t="s">
        <v>4042</v>
      </c>
      <c r="P1326" s="1"/>
      <c r="Q1326" s="1"/>
      <c r="R1326" s="11"/>
      <c r="S1326" s="2">
        <f>CONSOLIDADO_2026[[#This Row],[Hora final]]-CONSOLIDADO_2026[[#This Row],[Hora inic]]</f>
        <v>0.41666666666666663</v>
      </c>
    </row>
    <row r="1327" spans="1:19" hidden="1" x14ac:dyDescent="0.25">
      <c r="A1327" t="s">
        <v>4212</v>
      </c>
      <c r="B1327">
        <v>1017270214</v>
      </c>
      <c r="C1327" t="s">
        <v>1016</v>
      </c>
      <c r="D1327" s="11" t="s">
        <v>139</v>
      </c>
      <c r="E1327" s="11" t="s">
        <v>4040</v>
      </c>
      <c r="F1327" s="11" t="s">
        <v>326</v>
      </c>
      <c r="G1327" s="1">
        <v>46253</v>
      </c>
      <c r="H1327" s="1">
        <v>46255</v>
      </c>
      <c r="I1327" s="2"/>
      <c r="J1327" s="2"/>
      <c r="K1327" s="11"/>
      <c r="L1327" s="11" t="s">
        <v>4041</v>
      </c>
      <c r="M1327" s="1"/>
      <c r="N1327" s="11"/>
      <c r="O1327" s="11" t="s">
        <v>4042</v>
      </c>
      <c r="P1327" s="1"/>
      <c r="Q1327" s="1"/>
      <c r="R1327" s="11"/>
      <c r="S1327" s="2">
        <f>CONSOLIDADO_2026[[#This Row],[Hora final]]-CONSOLIDADO_2026[[#This Row],[Hora inic]]</f>
        <v>0</v>
      </c>
    </row>
    <row r="1328" spans="1:19" hidden="1" x14ac:dyDescent="0.25">
      <c r="A1328" t="s">
        <v>4212</v>
      </c>
      <c r="B1328">
        <v>1004463773</v>
      </c>
      <c r="C1328" t="s">
        <v>3213</v>
      </c>
      <c r="D1328" s="11" t="s">
        <v>176</v>
      </c>
      <c r="E1328" s="11" t="s">
        <v>4040</v>
      </c>
      <c r="F1328" s="11" t="s">
        <v>16</v>
      </c>
      <c r="G1328" s="1">
        <v>46255</v>
      </c>
      <c r="H1328" s="1">
        <v>46256</v>
      </c>
      <c r="I1328" s="2">
        <v>0.25</v>
      </c>
      <c r="J1328" s="2">
        <v>0.66666666666666663</v>
      </c>
      <c r="K1328" s="11" t="s">
        <v>181</v>
      </c>
      <c r="L1328" s="11" t="s">
        <v>182</v>
      </c>
      <c r="M1328" s="1"/>
      <c r="N1328" s="11"/>
      <c r="O1328" s="11" t="s">
        <v>21</v>
      </c>
      <c r="P1328" s="1"/>
      <c r="Q1328" s="1"/>
      <c r="R1328" s="11"/>
      <c r="S1328" s="2">
        <f>CONSOLIDADO_2026[[#This Row],[Hora final]]-CONSOLIDADO_2026[[#This Row],[Hora inic]]</f>
        <v>0.41666666666666663</v>
      </c>
    </row>
    <row r="1329" spans="1:19" hidden="1" x14ac:dyDescent="0.25">
      <c r="A1329" t="s">
        <v>4212</v>
      </c>
      <c r="B1329">
        <v>1003033764</v>
      </c>
      <c r="C1329" t="s">
        <v>1275</v>
      </c>
      <c r="D1329" s="11" t="s">
        <v>124</v>
      </c>
      <c r="E1329" s="11" t="s">
        <v>4045</v>
      </c>
      <c r="F1329" s="11" t="s">
        <v>16</v>
      </c>
      <c r="G1329" s="1">
        <v>46254</v>
      </c>
      <c r="H1329" s="1">
        <v>46255</v>
      </c>
      <c r="I1329" s="2"/>
      <c r="J1329" s="2"/>
      <c r="K1329" s="11"/>
      <c r="L1329" s="11" t="s">
        <v>4041</v>
      </c>
      <c r="M1329" s="1"/>
      <c r="N1329" s="11"/>
      <c r="O1329" s="11" t="s">
        <v>4042</v>
      </c>
      <c r="P1329" s="1"/>
      <c r="Q1329" s="1"/>
      <c r="R1329" s="11"/>
      <c r="S1329" s="2">
        <f>CONSOLIDADO_2026[[#This Row],[Hora final]]-CONSOLIDADO_2026[[#This Row],[Hora inic]]</f>
        <v>0</v>
      </c>
    </row>
    <row r="1330" spans="1:19" hidden="1" x14ac:dyDescent="0.25">
      <c r="A1330" t="s">
        <v>4212</v>
      </c>
      <c r="B1330">
        <v>43453341</v>
      </c>
      <c r="C1330" t="s">
        <v>146</v>
      </c>
      <c r="D1330" s="11" t="s">
        <v>124</v>
      </c>
      <c r="E1330" s="11" t="s">
        <v>4045</v>
      </c>
      <c r="F1330" s="11" t="s">
        <v>16</v>
      </c>
      <c r="G1330" s="1">
        <v>46254</v>
      </c>
      <c r="H1330" s="1">
        <v>46268</v>
      </c>
      <c r="I1330" s="2">
        <v>0.25</v>
      </c>
      <c r="J1330" s="2">
        <v>0.66666666666666663</v>
      </c>
      <c r="K1330" s="11" t="s">
        <v>119</v>
      </c>
      <c r="L1330" s="11" t="s">
        <v>120</v>
      </c>
      <c r="M1330" s="1"/>
      <c r="N1330" s="11"/>
      <c r="O1330" s="11" t="s">
        <v>21</v>
      </c>
      <c r="P1330" s="1"/>
      <c r="Q1330" s="1"/>
      <c r="R1330" s="11"/>
      <c r="S1330" s="2">
        <f>CONSOLIDADO_2026[[#This Row],[Hora final]]-CONSOLIDADO_2026[[#This Row],[Hora inic]]</f>
        <v>0.41666666666666663</v>
      </c>
    </row>
    <row r="1331" spans="1:19" hidden="1" x14ac:dyDescent="0.25">
      <c r="A1331" t="s">
        <v>4212</v>
      </c>
      <c r="B1331">
        <v>1035876080</v>
      </c>
      <c r="C1331" t="s">
        <v>123</v>
      </c>
      <c r="D1331" s="11" t="s">
        <v>124</v>
      </c>
      <c r="E1331" s="11" t="s">
        <v>4045</v>
      </c>
      <c r="F1331" s="11" t="s">
        <v>158</v>
      </c>
      <c r="G1331" s="1">
        <v>46254</v>
      </c>
      <c r="H1331" s="1"/>
      <c r="I1331" s="2"/>
      <c r="J1331" s="2"/>
      <c r="K1331" s="11"/>
      <c r="L1331" s="11" t="s">
        <v>341</v>
      </c>
      <c r="M1331" s="1"/>
      <c r="N1331" s="11"/>
      <c r="O1331" s="11" t="s">
        <v>4042</v>
      </c>
      <c r="P1331" s="1"/>
      <c r="Q1331" s="1"/>
      <c r="R1331" s="11"/>
      <c r="S1331" s="2">
        <f>CONSOLIDADO_2026[[#This Row],[Hora final]]-CONSOLIDADO_2026[[#This Row],[Hora inic]]</f>
        <v>0</v>
      </c>
    </row>
    <row r="1332" spans="1:19" hidden="1" x14ac:dyDescent="0.25">
      <c r="A1332" t="s">
        <v>4212</v>
      </c>
      <c r="B1332">
        <v>1013660730</v>
      </c>
      <c r="C1332" t="s">
        <v>1199</v>
      </c>
      <c r="D1332" s="11" t="s">
        <v>143</v>
      </c>
      <c r="E1332" s="11" t="s">
        <v>4045</v>
      </c>
      <c r="F1332" s="11" t="s">
        <v>16</v>
      </c>
      <c r="G1332" s="1">
        <v>46255</v>
      </c>
      <c r="H1332" s="1">
        <v>46256</v>
      </c>
      <c r="I1332" s="2">
        <v>0.25</v>
      </c>
      <c r="J1332" s="2">
        <v>0.66666666666666663</v>
      </c>
      <c r="K1332" s="11"/>
      <c r="L1332" s="11" t="s">
        <v>327</v>
      </c>
      <c r="M1332" s="1"/>
      <c r="N1332" s="11"/>
      <c r="O1332" s="11" t="s">
        <v>4042</v>
      </c>
      <c r="P1332" s="1"/>
      <c r="Q1332" s="1"/>
      <c r="R1332" s="11"/>
      <c r="S1332" s="2">
        <f>CONSOLIDADO_2026[[#This Row],[Hora final]]-CONSOLIDADO_2026[[#This Row],[Hora inic]]</f>
        <v>0.41666666666666663</v>
      </c>
    </row>
    <row r="1333" spans="1:19" hidden="1" x14ac:dyDescent="0.25">
      <c r="A1333" t="s">
        <v>4212</v>
      </c>
      <c r="B1333">
        <v>1094243332</v>
      </c>
      <c r="C1333" t="s">
        <v>3386</v>
      </c>
      <c r="D1333" s="11" t="s">
        <v>15</v>
      </c>
      <c r="E1333" s="11" t="s">
        <v>4046</v>
      </c>
      <c r="F1333" s="11" t="s">
        <v>16</v>
      </c>
      <c r="G1333" s="1">
        <v>46256</v>
      </c>
      <c r="H1333" s="1">
        <v>46256</v>
      </c>
      <c r="I1333" s="2">
        <v>0.25</v>
      </c>
      <c r="J1333" s="2">
        <v>0.66666666666666663</v>
      </c>
      <c r="K1333" s="11"/>
      <c r="L1333" s="11" t="s">
        <v>327</v>
      </c>
      <c r="M1333" s="1"/>
      <c r="N1333" s="11"/>
      <c r="O1333" s="11" t="s">
        <v>4042</v>
      </c>
      <c r="P1333" s="1"/>
      <c r="Q1333" s="1"/>
      <c r="R1333" s="11"/>
      <c r="S1333" s="2">
        <f>CONSOLIDADO_2026[[#This Row],[Hora final]]-CONSOLIDADO_2026[[#This Row],[Hora inic]]</f>
        <v>0.41666666666666663</v>
      </c>
    </row>
    <row r="1334" spans="1:19" hidden="1" x14ac:dyDescent="0.25">
      <c r="A1334" t="s">
        <v>4212</v>
      </c>
      <c r="B1334">
        <v>1037646403</v>
      </c>
      <c r="C1334" t="s">
        <v>4205</v>
      </c>
      <c r="D1334" s="11" t="s">
        <v>128</v>
      </c>
      <c r="E1334" s="11" t="s">
        <v>4045</v>
      </c>
      <c r="F1334" s="11" t="s">
        <v>16</v>
      </c>
      <c r="G1334" s="1">
        <v>46255</v>
      </c>
      <c r="H1334" s="1">
        <v>46255</v>
      </c>
      <c r="I1334" s="2"/>
      <c r="J1334" s="2"/>
      <c r="K1334" s="11"/>
      <c r="L1334" s="11" t="s">
        <v>4041</v>
      </c>
      <c r="M1334" s="1"/>
      <c r="N1334" s="11"/>
      <c r="O1334" s="11" t="s">
        <v>4042</v>
      </c>
      <c r="P1334" s="1"/>
      <c r="Q1334" s="1"/>
      <c r="R1334" s="11"/>
      <c r="S1334" s="2">
        <f>CONSOLIDADO_2026[[#This Row],[Hora final]]-CONSOLIDADO_2026[[#This Row],[Hora inic]]</f>
        <v>0</v>
      </c>
    </row>
    <row r="1335" spans="1:19" hidden="1" x14ac:dyDescent="0.25">
      <c r="A1335" t="s">
        <v>4212</v>
      </c>
      <c r="B1335">
        <v>1034296571</v>
      </c>
      <c r="C1335" t="s">
        <v>1706</v>
      </c>
      <c r="D1335" s="11" t="s">
        <v>128</v>
      </c>
      <c r="E1335" s="11" t="s">
        <v>4045</v>
      </c>
      <c r="F1335" s="11" t="s">
        <v>16</v>
      </c>
      <c r="G1335" s="1">
        <v>46255</v>
      </c>
      <c r="H1335" s="1">
        <v>46256</v>
      </c>
      <c r="I1335" s="2">
        <v>0.25</v>
      </c>
      <c r="J1335" s="2">
        <v>0.66666666666666663</v>
      </c>
      <c r="K1335" s="11"/>
      <c r="L1335" s="11" t="s">
        <v>327</v>
      </c>
      <c r="M1335" s="1"/>
      <c r="N1335" s="11"/>
      <c r="O1335" s="11" t="s">
        <v>4042</v>
      </c>
      <c r="P1335" s="1"/>
      <c r="Q1335" s="1"/>
      <c r="R1335" s="11"/>
      <c r="S1335" s="2">
        <f>CONSOLIDADO_2026[[#This Row],[Hora final]]-CONSOLIDADO_2026[[#This Row],[Hora inic]]</f>
        <v>0.41666666666666663</v>
      </c>
    </row>
    <row r="1336" spans="1:19" hidden="1" x14ac:dyDescent="0.25">
      <c r="A1336" t="s">
        <v>4212</v>
      </c>
      <c r="B1336">
        <v>1152472382</v>
      </c>
      <c r="C1336" t="s">
        <v>869</v>
      </c>
      <c r="D1336" s="11" t="s">
        <v>492</v>
      </c>
      <c r="E1336" s="11" t="s">
        <v>4045</v>
      </c>
      <c r="F1336" s="11" t="s">
        <v>16</v>
      </c>
      <c r="G1336" s="1">
        <v>46254</v>
      </c>
      <c r="H1336" s="1">
        <v>46255</v>
      </c>
      <c r="I1336" s="2"/>
      <c r="J1336" s="2"/>
      <c r="K1336" s="11"/>
      <c r="L1336" s="11" t="s">
        <v>4041</v>
      </c>
      <c r="M1336" s="1"/>
      <c r="N1336" s="11"/>
      <c r="O1336" s="11" t="s">
        <v>4042</v>
      </c>
      <c r="P1336" s="1"/>
      <c r="Q1336" s="1"/>
      <c r="R1336" s="11"/>
      <c r="S1336" s="2">
        <f>CONSOLIDADO_2026[[#This Row],[Hora final]]-CONSOLIDADO_2026[[#This Row],[Hora inic]]</f>
        <v>0</v>
      </c>
    </row>
    <row r="1337" spans="1:19" hidden="1" x14ac:dyDescent="0.25">
      <c r="A1337" t="s">
        <v>4212</v>
      </c>
      <c r="B1337">
        <v>1036618989</v>
      </c>
      <c r="C1337" t="s">
        <v>3854</v>
      </c>
      <c r="D1337" s="11" t="s">
        <v>82</v>
      </c>
      <c r="E1337" s="11" t="s">
        <v>4045</v>
      </c>
      <c r="F1337" s="11" t="s">
        <v>16</v>
      </c>
      <c r="G1337" s="1">
        <v>46255</v>
      </c>
      <c r="H1337" s="1">
        <v>46258</v>
      </c>
      <c r="I1337" s="2">
        <v>0.25</v>
      </c>
      <c r="J1337" s="2">
        <v>0.66666666666666663</v>
      </c>
      <c r="K1337" s="11"/>
      <c r="L1337" s="11" t="s">
        <v>4060</v>
      </c>
      <c r="M1337" s="1"/>
      <c r="N1337" s="11"/>
      <c r="O1337" s="11" t="s">
        <v>4042</v>
      </c>
      <c r="P1337" s="1"/>
      <c r="Q1337" s="1"/>
      <c r="R1337" s="11"/>
      <c r="S1337" s="2">
        <f>CONSOLIDADO_2026[[#This Row],[Hora final]]-CONSOLIDADO_2026[[#This Row],[Hora inic]]</f>
        <v>0.41666666666666663</v>
      </c>
    </row>
    <row r="1338" spans="1:19" hidden="1" x14ac:dyDescent="0.25">
      <c r="A1338" t="s">
        <v>4212</v>
      </c>
      <c r="B1338">
        <v>73189515</v>
      </c>
      <c r="C1338" t="s">
        <v>773</v>
      </c>
      <c r="D1338" s="11" t="s">
        <v>272</v>
      </c>
      <c r="E1338" s="11" t="s">
        <v>4056</v>
      </c>
      <c r="F1338" s="11" t="s">
        <v>4209</v>
      </c>
      <c r="G1338" s="1">
        <v>46255</v>
      </c>
      <c r="H1338" s="1">
        <v>46255</v>
      </c>
      <c r="I1338" s="2"/>
      <c r="J1338" s="2"/>
      <c r="K1338" s="11"/>
      <c r="L1338" s="11" t="s">
        <v>4041</v>
      </c>
      <c r="M1338" s="1"/>
      <c r="N1338" s="11"/>
      <c r="O1338" s="11" t="s">
        <v>4042</v>
      </c>
      <c r="P1338" s="1"/>
      <c r="Q1338" s="1"/>
      <c r="R1338" s="11"/>
      <c r="S1338" s="2">
        <f>CONSOLIDADO_2026[[#This Row],[Hora final]]-CONSOLIDADO_2026[[#This Row],[Hora inic]]</f>
        <v>0</v>
      </c>
    </row>
    <row r="1339" spans="1:19" hidden="1" x14ac:dyDescent="0.25">
      <c r="A1339" t="s">
        <v>4212</v>
      </c>
      <c r="B1339">
        <v>1143166984</v>
      </c>
      <c r="C1339" t="s">
        <v>2638</v>
      </c>
      <c r="D1339" s="11" t="s">
        <v>272</v>
      </c>
      <c r="E1339" s="11" t="s">
        <v>4056</v>
      </c>
      <c r="F1339" s="11" t="s">
        <v>16</v>
      </c>
      <c r="G1339" s="1">
        <v>46255</v>
      </c>
      <c r="H1339" s="1">
        <v>46256</v>
      </c>
      <c r="I1339" s="2">
        <v>0.25</v>
      </c>
      <c r="J1339" s="2">
        <v>0.58333333333333337</v>
      </c>
      <c r="K1339" s="11" t="s">
        <v>267</v>
      </c>
      <c r="L1339" s="11" t="s">
        <v>268</v>
      </c>
      <c r="M1339" s="1"/>
      <c r="N1339" s="11"/>
      <c r="O1339" s="11" t="s">
        <v>21</v>
      </c>
      <c r="P1339" s="1"/>
      <c r="Q1339" s="1"/>
      <c r="R1339" s="11"/>
      <c r="S1339" s="2">
        <f>CONSOLIDADO_2026[[#This Row],[Hora final]]-CONSOLIDADO_2026[[#This Row],[Hora inic]]</f>
        <v>0.33333333333333337</v>
      </c>
    </row>
    <row r="1340" spans="1:19" hidden="1" x14ac:dyDescent="0.25">
      <c r="A1340" t="s">
        <v>4212</v>
      </c>
      <c r="B1340">
        <v>45547324</v>
      </c>
      <c r="C1340" t="s">
        <v>3312</v>
      </c>
      <c r="D1340" s="11" t="s">
        <v>162</v>
      </c>
      <c r="E1340" s="11" t="s">
        <v>4056</v>
      </c>
      <c r="F1340" s="11" t="s">
        <v>16</v>
      </c>
      <c r="G1340" s="1">
        <v>46255</v>
      </c>
      <c r="H1340" s="1">
        <v>46256</v>
      </c>
      <c r="I1340" s="2">
        <v>0.25</v>
      </c>
      <c r="J1340" s="2">
        <v>0.58333333333333337</v>
      </c>
      <c r="K1340" s="11" t="s">
        <v>3662</v>
      </c>
      <c r="L1340" s="11" t="s">
        <v>3663</v>
      </c>
      <c r="M1340" s="1"/>
      <c r="N1340" s="11"/>
      <c r="O1340" s="11" t="s">
        <v>21</v>
      </c>
      <c r="P1340" s="1"/>
      <c r="Q1340" s="1"/>
      <c r="R1340" s="11"/>
      <c r="S1340" s="2">
        <f>CONSOLIDADO_2026[[#This Row],[Hora final]]-CONSOLIDADO_2026[[#This Row],[Hora inic]]</f>
        <v>0.33333333333333337</v>
      </c>
    </row>
    <row r="1341" spans="1:19" hidden="1" x14ac:dyDescent="0.25">
      <c r="A1341" t="s">
        <v>4212</v>
      </c>
      <c r="B1341">
        <v>1036932341</v>
      </c>
      <c r="C1341" t="s">
        <v>343</v>
      </c>
      <c r="D1341" s="11" t="s">
        <v>344</v>
      </c>
      <c r="E1341" s="11" t="s">
        <v>4056</v>
      </c>
      <c r="F1341" s="11" t="s">
        <v>16</v>
      </c>
      <c r="G1341" s="1">
        <v>46255</v>
      </c>
      <c r="H1341" s="1">
        <v>46268</v>
      </c>
      <c r="I1341" s="2"/>
      <c r="J1341" s="2"/>
      <c r="K1341" s="11"/>
      <c r="L1341" s="11" t="s">
        <v>341</v>
      </c>
      <c r="M1341" s="1"/>
      <c r="N1341" s="11"/>
      <c r="O1341" s="11" t="s">
        <v>4042</v>
      </c>
      <c r="P1341" s="1"/>
      <c r="Q1341" s="1"/>
      <c r="R1341" s="11"/>
      <c r="S1341" s="2">
        <f>CONSOLIDADO_2026[[#This Row],[Hora final]]-CONSOLIDADO_2026[[#This Row],[Hora inic]]</f>
        <v>0</v>
      </c>
    </row>
    <row r="1342" spans="1:19" hidden="1" x14ac:dyDescent="0.25">
      <c r="A1342" t="s">
        <v>4212</v>
      </c>
      <c r="B1342">
        <v>1017255237</v>
      </c>
      <c r="C1342" t="s">
        <v>548</v>
      </c>
      <c r="D1342" s="11" t="s">
        <v>78</v>
      </c>
      <c r="E1342" s="11" t="s">
        <v>4046</v>
      </c>
      <c r="F1342" s="11" t="s">
        <v>16</v>
      </c>
      <c r="G1342" s="1">
        <v>46255</v>
      </c>
      <c r="H1342" s="1">
        <v>46256</v>
      </c>
      <c r="I1342" s="2">
        <v>0.25</v>
      </c>
      <c r="J1342" s="2">
        <v>0.66666666666666663</v>
      </c>
      <c r="K1342" s="11"/>
      <c r="L1342" s="11" t="s">
        <v>327</v>
      </c>
      <c r="M1342" s="1"/>
      <c r="N1342" s="11"/>
      <c r="O1342" s="11" t="s">
        <v>4042</v>
      </c>
      <c r="P1342" s="1"/>
      <c r="Q1342" s="1"/>
      <c r="R1342" s="11"/>
      <c r="S1342" s="2">
        <f>CONSOLIDADO_2026[[#This Row],[Hora final]]-CONSOLIDADO_2026[[#This Row],[Hora inic]]</f>
        <v>0.41666666666666663</v>
      </c>
    </row>
    <row r="1343" spans="1:19" hidden="1" x14ac:dyDescent="0.25">
      <c r="A1343" t="s">
        <v>4212</v>
      </c>
      <c r="B1343">
        <v>1037638426</v>
      </c>
      <c r="C1343" t="s">
        <v>31</v>
      </c>
      <c r="D1343" s="11" t="s">
        <v>28</v>
      </c>
      <c r="E1343" s="11" t="s">
        <v>4046</v>
      </c>
      <c r="F1343" s="11" t="s">
        <v>24</v>
      </c>
      <c r="G1343" s="1">
        <v>46249</v>
      </c>
      <c r="H1343" s="1">
        <v>46264</v>
      </c>
      <c r="I1343" s="2"/>
      <c r="J1343" s="2"/>
      <c r="K1343" s="11"/>
      <c r="L1343" s="11" t="s">
        <v>341</v>
      </c>
      <c r="M1343" s="1"/>
      <c r="N1343" s="11"/>
      <c r="O1343" s="11" t="s">
        <v>4042</v>
      </c>
      <c r="P1343" s="1"/>
      <c r="Q1343" s="1"/>
      <c r="R1343" s="11"/>
      <c r="S1343" s="2">
        <f>CONSOLIDADO_2026[[#This Row],[Hora final]]-CONSOLIDADO_2026[[#This Row],[Hora inic]]</f>
        <v>0</v>
      </c>
    </row>
    <row r="1344" spans="1:19" hidden="1" x14ac:dyDescent="0.25">
      <c r="A1344" t="s">
        <v>4212</v>
      </c>
      <c r="B1344">
        <v>1037631989</v>
      </c>
      <c r="C1344" t="s">
        <v>27</v>
      </c>
      <c r="D1344" s="11" t="s">
        <v>28</v>
      </c>
      <c r="E1344" s="11" t="s">
        <v>4046</v>
      </c>
      <c r="F1344" s="11" t="s">
        <v>16</v>
      </c>
      <c r="G1344" s="1">
        <v>46226</v>
      </c>
      <c r="H1344" s="1">
        <v>46255</v>
      </c>
      <c r="I1344" s="2"/>
      <c r="J1344" s="2"/>
      <c r="K1344" s="11"/>
      <c r="L1344" s="11" t="s">
        <v>4041</v>
      </c>
      <c r="M1344" s="1"/>
      <c r="N1344" s="11"/>
      <c r="O1344" s="11" t="s">
        <v>4042</v>
      </c>
      <c r="P1344" s="1"/>
      <c r="Q1344" s="1"/>
      <c r="R1344" s="11"/>
      <c r="S1344" s="2">
        <f>CONSOLIDADO_2026[[#This Row],[Hora final]]-CONSOLIDADO_2026[[#This Row],[Hora inic]]</f>
        <v>0</v>
      </c>
    </row>
    <row r="1345" spans="1:19" hidden="1" x14ac:dyDescent="0.25">
      <c r="A1345" t="s">
        <v>4212</v>
      </c>
      <c r="B1345">
        <v>1001782820</v>
      </c>
      <c r="C1345" t="s">
        <v>2956</v>
      </c>
      <c r="D1345" s="11" t="s">
        <v>28</v>
      </c>
      <c r="E1345" s="11" t="s">
        <v>4046</v>
      </c>
      <c r="F1345" s="11" t="s">
        <v>16</v>
      </c>
      <c r="G1345" s="1">
        <v>46254</v>
      </c>
      <c r="H1345" s="1">
        <v>46255</v>
      </c>
      <c r="I1345" s="2"/>
      <c r="J1345" s="2"/>
      <c r="K1345" s="11"/>
      <c r="L1345" s="11" t="s">
        <v>4041</v>
      </c>
      <c r="M1345" s="1"/>
      <c r="N1345" s="11"/>
      <c r="O1345" s="11" t="s">
        <v>4042</v>
      </c>
      <c r="P1345" s="1"/>
      <c r="Q1345" s="1"/>
      <c r="R1345" s="11"/>
      <c r="S1345" s="2">
        <f>CONSOLIDADO_2026[[#This Row],[Hora final]]-CONSOLIDADO_2026[[#This Row],[Hora inic]]</f>
        <v>0</v>
      </c>
    </row>
    <row r="1346" spans="1:19" hidden="1" x14ac:dyDescent="0.25">
      <c r="A1346" t="s">
        <v>4212</v>
      </c>
      <c r="B1346">
        <v>1001013936</v>
      </c>
      <c r="C1346" t="s">
        <v>3856</v>
      </c>
      <c r="D1346" s="11" t="s">
        <v>28</v>
      </c>
      <c r="E1346" s="11" t="s">
        <v>4046</v>
      </c>
      <c r="F1346" s="11" t="s">
        <v>16</v>
      </c>
      <c r="G1346" s="1">
        <v>46255</v>
      </c>
      <c r="H1346" s="1">
        <v>46255</v>
      </c>
      <c r="I1346" s="2"/>
      <c r="J1346" s="2"/>
      <c r="K1346" s="11"/>
      <c r="L1346" s="11" t="s">
        <v>4041</v>
      </c>
      <c r="M1346" s="1"/>
      <c r="N1346" s="11"/>
      <c r="O1346" s="11" t="s">
        <v>4042</v>
      </c>
      <c r="P1346" s="1"/>
      <c r="Q1346" s="1"/>
      <c r="R1346" s="11"/>
      <c r="S1346" s="2">
        <f>CONSOLIDADO_2026[[#This Row],[Hora final]]-CONSOLIDADO_2026[[#This Row],[Hora inic]]</f>
        <v>0</v>
      </c>
    </row>
    <row r="1347" spans="1:19" hidden="1" x14ac:dyDescent="0.25">
      <c r="A1347" t="s">
        <v>4212</v>
      </c>
      <c r="B1347">
        <v>1035442374</v>
      </c>
      <c r="C1347" t="s">
        <v>2935</v>
      </c>
      <c r="D1347" s="11" t="s">
        <v>172</v>
      </c>
      <c r="E1347" s="11" t="s">
        <v>4046</v>
      </c>
      <c r="F1347" s="11" t="s">
        <v>4074</v>
      </c>
      <c r="G1347" s="1">
        <v>46254</v>
      </c>
      <c r="H1347" s="1">
        <v>46255</v>
      </c>
      <c r="I1347" s="2">
        <v>0.25</v>
      </c>
      <c r="J1347" s="2">
        <v>0.66666666666666663</v>
      </c>
      <c r="K1347" s="11"/>
      <c r="L1347" s="11" t="s">
        <v>4060</v>
      </c>
      <c r="M1347" s="1"/>
      <c r="N1347" s="11"/>
      <c r="O1347" s="11" t="s">
        <v>4042</v>
      </c>
      <c r="P1347" s="1"/>
      <c r="Q1347" s="1"/>
      <c r="R1347" s="11"/>
      <c r="S1347" s="2">
        <f>CONSOLIDADO_2026[[#This Row],[Hora final]]-CONSOLIDADO_2026[[#This Row],[Hora inic]]</f>
        <v>0.41666666666666663</v>
      </c>
    </row>
    <row r="1348" spans="1:19" hidden="1" x14ac:dyDescent="0.25">
      <c r="A1348" t="s">
        <v>4212</v>
      </c>
      <c r="B1348">
        <v>1085308661</v>
      </c>
      <c r="C1348" t="s">
        <v>2194</v>
      </c>
      <c r="D1348" s="11" t="s">
        <v>39</v>
      </c>
      <c r="E1348" s="11" t="s">
        <v>4046</v>
      </c>
      <c r="F1348" s="11" t="s">
        <v>16</v>
      </c>
      <c r="G1348" s="1">
        <v>46254</v>
      </c>
      <c r="H1348" s="1">
        <v>46255</v>
      </c>
      <c r="I1348" s="2"/>
      <c r="J1348" s="2"/>
      <c r="K1348" s="11"/>
      <c r="L1348" s="11" t="s">
        <v>4041</v>
      </c>
      <c r="M1348" s="1"/>
      <c r="N1348" s="11"/>
      <c r="O1348" s="11" t="s">
        <v>4042</v>
      </c>
      <c r="P1348" s="1"/>
      <c r="Q1348" s="1"/>
      <c r="R1348" s="11"/>
      <c r="S1348" s="2">
        <f>CONSOLIDADO_2026[[#This Row],[Hora final]]-CONSOLIDADO_2026[[#This Row],[Hora inic]]</f>
        <v>0</v>
      </c>
    </row>
    <row r="1349" spans="1:19" hidden="1" x14ac:dyDescent="0.25">
      <c r="A1349" t="s">
        <v>4212</v>
      </c>
      <c r="B1349">
        <v>1007959114</v>
      </c>
      <c r="C1349" t="s">
        <v>337</v>
      </c>
      <c r="D1349" s="11" t="s">
        <v>39</v>
      </c>
      <c r="E1349" s="11" t="s">
        <v>4046</v>
      </c>
      <c r="F1349" s="11" t="s">
        <v>16</v>
      </c>
      <c r="G1349" s="1">
        <v>46254</v>
      </c>
      <c r="H1349" s="1">
        <v>46255</v>
      </c>
      <c r="I1349" s="2"/>
      <c r="J1349" s="2"/>
      <c r="K1349" s="11"/>
      <c r="L1349" s="11" t="s">
        <v>4041</v>
      </c>
      <c r="M1349" s="1"/>
      <c r="N1349" s="11"/>
      <c r="O1349" s="11" t="s">
        <v>4042</v>
      </c>
      <c r="P1349" s="1"/>
      <c r="Q1349" s="1"/>
      <c r="R1349" s="11"/>
      <c r="S1349" s="2">
        <f>CONSOLIDADO_2026[[#This Row],[Hora final]]-CONSOLIDADO_2026[[#This Row],[Hora inic]]</f>
        <v>0</v>
      </c>
    </row>
    <row r="1350" spans="1:19" hidden="1" x14ac:dyDescent="0.25">
      <c r="A1350" t="s">
        <v>4212</v>
      </c>
      <c r="B1350">
        <v>1043006106</v>
      </c>
      <c r="C1350" t="s">
        <v>202</v>
      </c>
      <c r="D1350" s="11" t="s">
        <v>64</v>
      </c>
      <c r="E1350" s="11" t="s">
        <v>4046</v>
      </c>
      <c r="F1350" s="11" t="s">
        <v>16</v>
      </c>
      <c r="G1350" s="1">
        <v>46249</v>
      </c>
      <c r="H1350" s="1">
        <v>46278</v>
      </c>
      <c r="I1350" s="2"/>
      <c r="J1350" s="2"/>
      <c r="K1350" s="11"/>
      <c r="L1350" s="11" t="s">
        <v>341</v>
      </c>
      <c r="M1350" s="1"/>
      <c r="N1350" s="11"/>
      <c r="O1350" s="11" t="s">
        <v>4042</v>
      </c>
      <c r="P1350" s="1"/>
      <c r="Q1350" s="1"/>
      <c r="R1350" s="11"/>
      <c r="S1350" s="2">
        <f>CONSOLIDADO_2026[[#This Row],[Hora final]]-CONSOLIDADO_2026[[#This Row],[Hora inic]]</f>
        <v>0</v>
      </c>
    </row>
    <row r="1351" spans="1:19" hidden="1" x14ac:dyDescent="0.25">
      <c r="A1351" t="s">
        <v>4212</v>
      </c>
      <c r="B1351">
        <v>1102808787</v>
      </c>
      <c r="C1351" t="s">
        <v>135</v>
      </c>
      <c r="D1351" s="11" t="s">
        <v>39</v>
      </c>
      <c r="E1351" s="11" t="s">
        <v>4046</v>
      </c>
      <c r="F1351" s="11" t="s">
        <v>16</v>
      </c>
      <c r="G1351" s="1">
        <v>46237</v>
      </c>
      <c r="H1351" s="1">
        <v>46276</v>
      </c>
      <c r="I1351" s="2"/>
      <c r="J1351" s="2"/>
      <c r="K1351" s="11"/>
      <c r="L1351" s="11" t="s">
        <v>341</v>
      </c>
      <c r="M1351" s="1"/>
      <c r="N1351" s="11"/>
      <c r="O1351" s="11" t="s">
        <v>4042</v>
      </c>
      <c r="P1351" s="1"/>
      <c r="Q1351" s="1"/>
      <c r="R1351" s="11"/>
      <c r="S1351" s="2">
        <f>CONSOLIDADO_2026[[#This Row],[Hora final]]-CONSOLIDADO_2026[[#This Row],[Hora inic]]</f>
        <v>0</v>
      </c>
    </row>
    <row r="1352" spans="1:19" hidden="1" x14ac:dyDescent="0.25">
      <c r="A1352" t="s">
        <v>4212</v>
      </c>
      <c r="B1352">
        <v>1143460426</v>
      </c>
      <c r="C1352" t="s">
        <v>4069</v>
      </c>
      <c r="D1352" s="11" t="s">
        <v>64</v>
      </c>
      <c r="E1352" s="11" t="s">
        <v>4046</v>
      </c>
      <c r="F1352" s="11" t="s">
        <v>4050</v>
      </c>
      <c r="G1352" s="1">
        <v>46195</v>
      </c>
      <c r="H1352" s="1">
        <v>46198</v>
      </c>
      <c r="I1352" s="2">
        <v>0.25</v>
      </c>
      <c r="J1352" s="2">
        <v>0.66666666666666663</v>
      </c>
      <c r="K1352" s="11" t="s">
        <v>196</v>
      </c>
      <c r="L1352" s="11" t="s">
        <v>197</v>
      </c>
      <c r="M1352" s="1"/>
      <c r="N1352" s="11"/>
      <c r="O1352" s="11" t="s">
        <v>21</v>
      </c>
      <c r="P1352" s="1"/>
      <c r="Q1352" s="1"/>
      <c r="R1352" s="11"/>
      <c r="S1352" s="2">
        <f>CONSOLIDADO_2026[[#This Row],[Hora final]]-CONSOLIDADO_2026[[#This Row],[Hora inic]]</f>
        <v>0.41666666666666663</v>
      </c>
    </row>
    <row r="1353" spans="1:19" hidden="1" x14ac:dyDescent="0.25">
      <c r="A1353" t="s">
        <v>4212</v>
      </c>
      <c r="B1353">
        <v>1007624721</v>
      </c>
      <c r="C1353" t="s">
        <v>2274</v>
      </c>
      <c r="D1353" s="11" t="s">
        <v>39</v>
      </c>
      <c r="E1353" s="11" t="s">
        <v>4046</v>
      </c>
      <c r="F1353" s="11" t="s">
        <v>16</v>
      </c>
      <c r="G1353" s="1">
        <v>46255</v>
      </c>
      <c r="H1353" s="1">
        <v>46256</v>
      </c>
      <c r="I1353" s="2">
        <v>0.25</v>
      </c>
      <c r="J1353" s="2">
        <v>0.66666666666666663</v>
      </c>
      <c r="K1353" s="11" t="s">
        <v>294</v>
      </c>
      <c r="L1353" s="11" t="s">
        <v>295</v>
      </c>
      <c r="M1353" s="1"/>
      <c r="N1353" s="11"/>
      <c r="O1353" s="11" t="s">
        <v>21</v>
      </c>
      <c r="P1353" s="1"/>
      <c r="Q1353" s="1"/>
      <c r="R1353" s="11"/>
      <c r="S1353" s="2">
        <f>CONSOLIDADO_2026[[#This Row],[Hora final]]-CONSOLIDADO_2026[[#This Row],[Hora inic]]</f>
        <v>0.41666666666666663</v>
      </c>
    </row>
    <row r="1354" spans="1:19" hidden="1" x14ac:dyDescent="0.25">
      <c r="A1354" t="s">
        <v>4212</v>
      </c>
      <c r="B1354">
        <v>1036671586</v>
      </c>
      <c r="C1354" t="s">
        <v>3573</v>
      </c>
      <c r="D1354" s="11" t="s">
        <v>139</v>
      </c>
      <c r="E1354" s="11" t="s">
        <v>4040</v>
      </c>
      <c r="F1354" s="11" t="s">
        <v>16</v>
      </c>
      <c r="G1354" s="1">
        <v>46256</v>
      </c>
      <c r="H1354" s="1">
        <v>46256</v>
      </c>
      <c r="I1354" s="2">
        <v>0.25</v>
      </c>
      <c r="J1354" s="2">
        <v>0.66666666666666663</v>
      </c>
      <c r="K1354" s="11"/>
      <c r="L1354" s="11" t="s">
        <v>327</v>
      </c>
      <c r="M1354" s="1"/>
      <c r="N1354" s="11"/>
      <c r="O1354" s="11" t="s">
        <v>4042</v>
      </c>
      <c r="P1354" s="1"/>
      <c r="Q1354" s="1"/>
      <c r="R1354" s="11"/>
      <c r="S1354" s="2">
        <f>CONSOLIDADO_2026[[#This Row],[Hora final]]-CONSOLIDADO_2026[[#This Row],[Hora inic]]</f>
        <v>0.41666666666666663</v>
      </c>
    </row>
    <row r="1355" spans="1:19" hidden="1" x14ac:dyDescent="0.25">
      <c r="A1355" t="s">
        <v>4212</v>
      </c>
      <c r="B1355">
        <v>1001445343</v>
      </c>
      <c r="C1355" t="s">
        <v>1432</v>
      </c>
      <c r="D1355" s="11" t="s">
        <v>344</v>
      </c>
      <c r="E1355" s="11" t="s">
        <v>4056</v>
      </c>
      <c r="F1355" s="11" t="s">
        <v>16</v>
      </c>
      <c r="G1355" s="1">
        <v>46256</v>
      </c>
      <c r="H1355" s="1">
        <v>46256</v>
      </c>
      <c r="I1355" s="2">
        <v>0.25</v>
      </c>
      <c r="J1355" s="2">
        <v>0.58333333333333337</v>
      </c>
      <c r="K1355" s="11"/>
      <c r="L1355" s="11" t="s">
        <v>4041</v>
      </c>
      <c r="M1355" s="1"/>
      <c r="N1355" s="11"/>
      <c r="O1355" s="11" t="s">
        <v>4042</v>
      </c>
      <c r="P1355" s="1"/>
      <c r="Q1355" s="1"/>
      <c r="R1355" s="11"/>
      <c r="S1355" s="2">
        <f>CONSOLIDADO_2026[[#This Row],[Hora final]]-CONSOLIDADO_2026[[#This Row],[Hora inic]]</f>
        <v>0.33333333333333337</v>
      </c>
    </row>
    <row r="1356" spans="1:19" hidden="1" x14ac:dyDescent="0.25">
      <c r="A1356" t="s">
        <v>4212</v>
      </c>
      <c r="B1356">
        <v>1001852351</v>
      </c>
      <c r="C1356" t="s">
        <v>2238</v>
      </c>
      <c r="D1356" s="11" t="s">
        <v>39</v>
      </c>
      <c r="E1356" s="11" t="s">
        <v>4046</v>
      </c>
      <c r="F1356" s="11" t="s">
        <v>16</v>
      </c>
      <c r="G1356" s="1">
        <v>46255</v>
      </c>
      <c r="H1356" s="1">
        <v>46256</v>
      </c>
      <c r="I1356" s="2">
        <v>0.25</v>
      </c>
      <c r="J1356" s="2">
        <v>0.66666666666666663</v>
      </c>
      <c r="K1356" s="11"/>
      <c r="L1356" s="11" t="s">
        <v>327</v>
      </c>
      <c r="M1356" s="1"/>
      <c r="N1356" s="11"/>
      <c r="O1356" s="11" t="s">
        <v>4042</v>
      </c>
      <c r="P1356" s="1"/>
      <c r="Q1356" s="1"/>
      <c r="R1356" s="11"/>
      <c r="S1356" s="2">
        <f>CONSOLIDADO_2026[[#This Row],[Hora final]]-CONSOLIDADO_2026[[#This Row],[Hora inic]]</f>
        <v>0.41666666666666663</v>
      </c>
    </row>
    <row r="1357" spans="1:19" hidden="1" x14ac:dyDescent="0.25">
      <c r="A1357" t="s">
        <v>4212</v>
      </c>
      <c r="B1357">
        <v>1100955074</v>
      </c>
      <c r="C1357" t="s">
        <v>1582</v>
      </c>
      <c r="D1357" s="11" t="s">
        <v>102</v>
      </c>
      <c r="E1357" s="11" t="s">
        <v>4046</v>
      </c>
      <c r="F1357" s="11" t="s">
        <v>16</v>
      </c>
      <c r="G1357" s="1">
        <v>46255</v>
      </c>
      <c r="H1357" s="1">
        <v>46255</v>
      </c>
      <c r="I1357" s="2"/>
      <c r="J1357" s="2"/>
      <c r="K1357" s="11"/>
      <c r="L1357" s="11" t="s">
        <v>4041</v>
      </c>
      <c r="M1357" s="1"/>
      <c r="N1357" s="11"/>
      <c r="O1357" s="11" t="s">
        <v>4042</v>
      </c>
      <c r="P1357" s="1"/>
      <c r="Q1357" s="1"/>
      <c r="R1357" s="11"/>
      <c r="S1357" s="2">
        <f>CONSOLIDADO_2026[[#This Row],[Hora final]]-CONSOLIDADO_2026[[#This Row],[Hora inic]]</f>
        <v>0</v>
      </c>
    </row>
    <row r="1358" spans="1:19" hidden="1" x14ac:dyDescent="0.25">
      <c r="A1358" t="s">
        <v>4212</v>
      </c>
      <c r="B1358">
        <v>1098765922</v>
      </c>
      <c r="C1358" t="s">
        <v>3654</v>
      </c>
      <c r="D1358" s="11" t="s">
        <v>51</v>
      </c>
      <c r="E1358" s="11" t="s">
        <v>4047</v>
      </c>
      <c r="F1358" s="11" t="s">
        <v>16</v>
      </c>
      <c r="G1358" s="1">
        <v>46255</v>
      </c>
      <c r="H1358" s="1">
        <v>46256</v>
      </c>
      <c r="I1358" s="2">
        <v>0.25</v>
      </c>
      <c r="J1358" s="2">
        <v>0.66666666666666663</v>
      </c>
      <c r="K1358" s="11"/>
      <c r="L1358" s="11" t="s">
        <v>327</v>
      </c>
      <c r="M1358" s="1"/>
      <c r="N1358" s="11"/>
      <c r="O1358" s="11" t="s">
        <v>4042</v>
      </c>
      <c r="P1358" s="1"/>
      <c r="Q1358" s="1"/>
      <c r="R1358" s="11"/>
      <c r="S1358" s="2">
        <f>CONSOLIDADO_2026[[#This Row],[Hora final]]-CONSOLIDADO_2026[[#This Row],[Hora inic]]</f>
        <v>0.41666666666666663</v>
      </c>
    </row>
    <row r="1359" spans="1:19" hidden="1" x14ac:dyDescent="0.25">
      <c r="A1359" t="s">
        <v>4212</v>
      </c>
      <c r="B1359">
        <v>1017259589</v>
      </c>
      <c r="C1359" t="s">
        <v>4213</v>
      </c>
      <c r="D1359" s="11" t="s">
        <v>82</v>
      </c>
      <c r="E1359" s="11" t="s">
        <v>4045</v>
      </c>
      <c r="F1359" s="11" t="s">
        <v>4074</v>
      </c>
      <c r="G1359" s="1">
        <v>46255</v>
      </c>
      <c r="H1359" s="1"/>
      <c r="I1359" s="2">
        <v>0.25</v>
      </c>
      <c r="J1359" s="2">
        <v>0.66666666666666663</v>
      </c>
      <c r="K1359" s="11"/>
      <c r="L1359" s="11" t="s">
        <v>4084</v>
      </c>
      <c r="M1359" s="1"/>
      <c r="N1359" s="11"/>
      <c r="O1359" s="11" t="s">
        <v>4042</v>
      </c>
      <c r="P1359" s="1"/>
      <c r="Q1359" s="1"/>
      <c r="R1359" s="11"/>
      <c r="S1359" s="2">
        <f>CONSOLIDADO_2026[[#This Row],[Hora final]]-CONSOLIDADO_2026[[#This Row],[Hora inic]]</f>
        <v>0.41666666666666663</v>
      </c>
    </row>
    <row r="1360" spans="1:19" hidden="1" x14ac:dyDescent="0.25">
      <c r="A1360" t="s">
        <v>4212</v>
      </c>
      <c r="B1360">
        <v>1041901478</v>
      </c>
      <c r="C1360" t="s">
        <v>405</v>
      </c>
      <c r="D1360" s="11" t="s">
        <v>256</v>
      </c>
      <c r="E1360" s="11" t="s">
        <v>4040</v>
      </c>
      <c r="F1360" s="11" t="s">
        <v>16</v>
      </c>
      <c r="G1360" s="1">
        <v>46255</v>
      </c>
      <c r="H1360" s="1">
        <v>46256</v>
      </c>
      <c r="I1360" s="2">
        <v>0.25</v>
      </c>
      <c r="J1360" s="2">
        <v>0.66666666666666663</v>
      </c>
      <c r="K1360" s="11" t="s">
        <v>167</v>
      </c>
      <c r="L1360" s="11" t="s">
        <v>168</v>
      </c>
      <c r="M1360" s="1"/>
      <c r="N1360" s="11"/>
      <c r="O1360" s="11" t="s">
        <v>21</v>
      </c>
      <c r="P1360" s="1"/>
      <c r="Q1360" s="1"/>
      <c r="R1360" s="11"/>
      <c r="S1360" s="2">
        <f>CONSOLIDADO_2026[[#This Row],[Hora final]]-CONSOLIDADO_2026[[#This Row],[Hora inic]]</f>
        <v>0.41666666666666663</v>
      </c>
    </row>
    <row r="1361" spans="1:19" hidden="1" x14ac:dyDescent="0.25">
      <c r="A1361" t="s">
        <v>4212</v>
      </c>
      <c r="B1361">
        <v>1080901556</v>
      </c>
      <c r="C1361" t="s">
        <v>3928</v>
      </c>
      <c r="D1361" s="11" t="s">
        <v>256</v>
      </c>
      <c r="E1361" s="11" t="s">
        <v>4040</v>
      </c>
      <c r="F1361" s="11" t="s">
        <v>16</v>
      </c>
      <c r="G1361" s="1">
        <v>46255</v>
      </c>
      <c r="H1361" s="1">
        <v>46256</v>
      </c>
      <c r="I1361" s="2">
        <v>0.25</v>
      </c>
      <c r="J1361" s="2">
        <v>0.66666666666666663</v>
      </c>
      <c r="K1361" s="11"/>
      <c r="L1361" s="11" t="s">
        <v>4060</v>
      </c>
      <c r="M1361" s="1"/>
      <c r="N1361" s="11"/>
      <c r="O1361" s="11" t="s">
        <v>4042</v>
      </c>
      <c r="P1361" s="1"/>
      <c r="Q1361" s="1"/>
      <c r="R1361" s="11"/>
      <c r="S1361" s="2">
        <f>CONSOLIDADO_2026[[#This Row],[Hora final]]-CONSOLIDADO_2026[[#This Row],[Hora inic]]</f>
        <v>0.41666666666666663</v>
      </c>
    </row>
    <row r="1362" spans="1:19" hidden="1" x14ac:dyDescent="0.25">
      <c r="A1362" t="s">
        <v>4212</v>
      </c>
      <c r="B1362">
        <v>1117545007</v>
      </c>
      <c r="C1362" t="s">
        <v>2375</v>
      </c>
      <c r="D1362" s="11" t="s">
        <v>139</v>
      </c>
      <c r="E1362" s="11" t="s">
        <v>4040</v>
      </c>
      <c r="F1362" s="11" t="s">
        <v>16</v>
      </c>
      <c r="G1362" s="1">
        <v>46255</v>
      </c>
      <c r="H1362" s="1">
        <v>46255</v>
      </c>
      <c r="I1362" s="2"/>
      <c r="J1362" s="2"/>
      <c r="K1362" s="11"/>
      <c r="L1362" s="11" t="s">
        <v>4041</v>
      </c>
      <c r="M1362" s="1"/>
      <c r="N1362" s="11"/>
      <c r="O1362" s="11" t="s">
        <v>4042</v>
      </c>
      <c r="P1362" s="1"/>
      <c r="Q1362" s="1"/>
      <c r="R1362" s="11"/>
      <c r="S1362" s="2">
        <f>CONSOLIDADO_2026[[#This Row],[Hora final]]-CONSOLIDADO_2026[[#This Row],[Hora inic]]</f>
        <v>0</v>
      </c>
    </row>
    <row r="1363" spans="1:19" hidden="1" x14ac:dyDescent="0.25">
      <c r="A1363" t="s">
        <v>4212</v>
      </c>
      <c r="B1363">
        <v>1152470285</v>
      </c>
      <c r="C1363" t="s">
        <v>3594</v>
      </c>
      <c r="D1363" s="11" t="s">
        <v>82</v>
      </c>
      <c r="E1363" s="11" t="s">
        <v>4045</v>
      </c>
      <c r="F1363" s="11" t="s">
        <v>326</v>
      </c>
      <c r="G1363" s="1">
        <v>46256</v>
      </c>
      <c r="H1363" s="1">
        <v>46256</v>
      </c>
      <c r="I1363" s="2">
        <v>0.25</v>
      </c>
      <c r="J1363" s="2">
        <v>0.66666666666666663</v>
      </c>
      <c r="K1363" s="11"/>
      <c r="L1363" s="11" t="s">
        <v>327</v>
      </c>
      <c r="M1363" s="1"/>
      <c r="N1363" s="11"/>
      <c r="O1363" s="11" t="s">
        <v>4042</v>
      </c>
      <c r="P1363" s="1"/>
      <c r="Q1363" s="1"/>
      <c r="R1363" s="11"/>
      <c r="S1363" s="2">
        <f>CONSOLIDADO_2026[[#This Row],[Hora final]]-CONSOLIDADO_2026[[#This Row],[Hora inic]]</f>
        <v>0.41666666666666663</v>
      </c>
    </row>
    <row r="1364" spans="1:19" hidden="1" x14ac:dyDescent="0.25">
      <c r="A1364" t="s">
        <v>4212</v>
      </c>
      <c r="B1364">
        <v>1038408808</v>
      </c>
      <c r="C1364" t="s">
        <v>483</v>
      </c>
      <c r="D1364" s="11" t="s">
        <v>482</v>
      </c>
      <c r="E1364" s="11" t="s">
        <v>4040</v>
      </c>
      <c r="F1364" s="11" t="s">
        <v>4074</v>
      </c>
      <c r="G1364" s="1">
        <v>46255</v>
      </c>
      <c r="H1364" s="1">
        <v>46256</v>
      </c>
      <c r="I1364" s="2">
        <v>0.25</v>
      </c>
      <c r="J1364" s="2">
        <v>0.66666666666666663</v>
      </c>
      <c r="K1364" s="11"/>
      <c r="L1364" s="11" t="s">
        <v>4060</v>
      </c>
      <c r="M1364" s="1"/>
      <c r="N1364" s="11"/>
      <c r="O1364" s="11" t="s">
        <v>4042</v>
      </c>
      <c r="P1364" s="1"/>
      <c r="Q1364" s="1"/>
      <c r="R1364" s="11"/>
      <c r="S1364" s="2">
        <f>CONSOLIDADO_2026[[#This Row],[Hora final]]-CONSOLIDADO_2026[[#This Row],[Hora inic]]</f>
        <v>0.41666666666666663</v>
      </c>
    </row>
    <row r="1365" spans="1:19" hidden="1" x14ac:dyDescent="0.25">
      <c r="A1365" t="s">
        <v>4212</v>
      </c>
      <c r="B1365">
        <v>1001995700</v>
      </c>
      <c r="C1365" t="s">
        <v>2173</v>
      </c>
      <c r="D1365" s="11" t="s">
        <v>59</v>
      </c>
      <c r="E1365" s="11" t="s">
        <v>4047</v>
      </c>
      <c r="F1365" s="11" t="s">
        <v>16</v>
      </c>
      <c r="G1365" s="1">
        <v>46255</v>
      </c>
      <c r="H1365" s="1">
        <v>46255</v>
      </c>
      <c r="I1365" s="2"/>
      <c r="J1365" s="2"/>
      <c r="K1365" s="11"/>
      <c r="L1365" s="11" t="s">
        <v>4041</v>
      </c>
      <c r="M1365" s="1"/>
      <c r="N1365" s="11"/>
      <c r="O1365" s="11" t="s">
        <v>4042</v>
      </c>
      <c r="P1365" s="1"/>
      <c r="Q1365" s="1"/>
      <c r="R1365" s="11"/>
      <c r="S1365" s="2">
        <f>CONSOLIDADO_2026[[#This Row],[Hora final]]-CONSOLIDADO_2026[[#This Row],[Hora inic]]</f>
        <v>0</v>
      </c>
    </row>
    <row r="1366" spans="1:19" hidden="1" x14ac:dyDescent="0.25">
      <c r="A1366" t="s">
        <v>4212</v>
      </c>
      <c r="B1366">
        <v>1037570349</v>
      </c>
      <c r="C1366" t="s">
        <v>2818</v>
      </c>
      <c r="D1366" s="11" t="s">
        <v>128</v>
      </c>
      <c r="E1366" s="11" t="s">
        <v>4045</v>
      </c>
      <c r="F1366" s="11" t="s">
        <v>16</v>
      </c>
      <c r="G1366" s="1">
        <v>46256</v>
      </c>
      <c r="H1366" s="1">
        <v>46256</v>
      </c>
      <c r="I1366" s="2">
        <v>0.25</v>
      </c>
      <c r="J1366" s="2">
        <v>0.66666666666666663</v>
      </c>
      <c r="K1366" s="11"/>
      <c r="L1366" s="11" t="s">
        <v>327</v>
      </c>
      <c r="M1366" s="1"/>
      <c r="N1366" s="11"/>
      <c r="O1366" s="11" t="s">
        <v>4042</v>
      </c>
      <c r="P1366" s="1"/>
      <c r="Q1366" s="1"/>
      <c r="R1366" s="11"/>
      <c r="S1366" s="2">
        <f>CONSOLIDADO_2026[[#This Row],[Hora final]]-CONSOLIDADO_2026[[#This Row],[Hora inic]]</f>
        <v>0.41666666666666663</v>
      </c>
    </row>
    <row r="1367" spans="1:19" hidden="1" x14ac:dyDescent="0.25">
      <c r="A1367" t="s">
        <v>4212</v>
      </c>
      <c r="B1367">
        <v>1050965861</v>
      </c>
      <c r="C1367" t="s">
        <v>3321</v>
      </c>
      <c r="D1367" s="11" t="s">
        <v>132</v>
      </c>
      <c r="E1367" s="11" t="s">
        <v>4040</v>
      </c>
      <c r="F1367" s="11" t="s">
        <v>4074</v>
      </c>
      <c r="G1367" s="1">
        <v>46256</v>
      </c>
      <c r="H1367" s="1">
        <v>46256</v>
      </c>
      <c r="I1367" s="2">
        <v>0.25</v>
      </c>
      <c r="J1367" s="2">
        <v>0.66666666666666663</v>
      </c>
      <c r="K1367" s="11"/>
      <c r="L1367" s="11" t="s">
        <v>4060</v>
      </c>
      <c r="M1367" s="1"/>
      <c r="N1367" s="11"/>
      <c r="O1367" s="11" t="s">
        <v>4042</v>
      </c>
      <c r="P1367" s="1"/>
      <c r="Q1367" s="1"/>
      <c r="R1367" s="11"/>
      <c r="S1367" s="2">
        <f>CONSOLIDADO_2026[[#This Row],[Hora final]]-CONSOLIDADO_2026[[#This Row],[Hora inic]]</f>
        <v>0.41666666666666663</v>
      </c>
    </row>
    <row r="1368" spans="1:19" hidden="1" x14ac:dyDescent="0.25">
      <c r="A1368" t="s">
        <v>4212</v>
      </c>
      <c r="B1368">
        <v>1216726482</v>
      </c>
      <c r="C1368" t="s">
        <v>2985</v>
      </c>
      <c r="D1368" s="11" t="s">
        <v>634</v>
      </c>
      <c r="E1368" s="11" t="s">
        <v>4045</v>
      </c>
      <c r="F1368" s="11" t="s">
        <v>16</v>
      </c>
      <c r="G1368" s="1">
        <v>46256</v>
      </c>
      <c r="H1368" s="1">
        <v>46256</v>
      </c>
      <c r="I1368" s="2">
        <v>0.25</v>
      </c>
      <c r="J1368" s="2">
        <v>0.58333333333333337</v>
      </c>
      <c r="K1368" s="11"/>
      <c r="L1368" s="11" t="s">
        <v>327</v>
      </c>
      <c r="M1368" s="1"/>
      <c r="N1368" s="11"/>
      <c r="O1368" s="11" t="s">
        <v>4042</v>
      </c>
      <c r="P1368" s="1"/>
      <c r="Q1368" s="1"/>
      <c r="R1368" s="11"/>
      <c r="S1368" s="2">
        <f>CONSOLIDADO_2026[[#This Row],[Hora final]]-CONSOLIDADO_2026[[#This Row],[Hora inic]]</f>
        <v>0.33333333333333337</v>
      </c>
    </row>
    <row r="1369" spans="1:19" hidden="1" x14ac:dyDescent="0.25">
      <c r="A1369" t="s">
        <v>4212</v>
      </c>
      <c r="B1369">
        <v>1037644923</v>
      </c>
      <c r="C1369" t="s">
        <v>2677</v>
      </c>
      <c r="D1369" s="11" t="s">
        <v>492</v>
      </c>
      <c r="E1369" s="11" t="s">
        <v>4045</v>
      </c>
      <c r="F1369" s="11" t="s">
        <v>4074</v>
      </c>
      <c r="G1369" s="1">
        <v>46258</v>
      </c>
      <c r="H1369" s="1">
        <v>46260</v>
      </c>
      <c r="I1369" s="2"/>
      <c r="J1369" s="2"/>
      <c r="K1369" s="11"/>
      <c r="L1369" s="11" t="s">
        <v>4060</v>
      </c>
      <c r="M1369" s="1"/>
      <c r="N1369" s="11"/>
      <c r="O1369" s="11" t="s">
        <v>4042</v>
      </c>
      <c r="P1369" s="1"/>
      <c r="Q1369" s="1"/>
      <c r="R1369" s="11"/>
      <c r="S1369" s="2">
        <f>CONSOLIDADO_2026[[#This Row],[Hora final]]-CONSOLIDADO_2026[[#This Row],[Hora inic]]</f>
        <v>0</v>
      </c>
    </row>
    <row r="1370" spans="1:19" hidden="1" x14ac:dyDescent="0.25">
      <c r="A1370" t="s">
        <v>4212</v>
      </c>
      <c r="B1370">
        <v>1096250605</v>
      </c>
      <c r="C1370" t="s">
        <v>2417</v>
      </c>
      <c r="D1370" s="11" t="s">
        <v>39</v>
      </c>
      <c r="E1370" s="11" t="s">
        <v>4046</v>
      </c>
      <c r="F1370" s="11" t="s">
        <v>16</v>
      </c>
      <c r="G1370" s="1">
        <v>46256</v>
      </c>
      <c r="H1370" s="1">
        <v>46256</v>
      </c>
      <c r="I1370" s="2">
        <v>0.25</v>
      </c>
      <c r="J1370" s="2">
        <v>0.66666666666666663</v>
      </c>
      <c r="K1370" s="11"/>
      <c r="L1370" s="11" t="s">
        <v>327</v>
      </c>
      <c r="M1370" s="1"/>
      <c r="N1370" s="11"/>
      <c r="O1370" s="11" t="s">
        <v>4042</v>
      </c>
      <c r="P1370" s="1"/>
      <c r="Q1370" s="1"/>
      <c r="R1370" s="11"/>
      <c r="S1370" s="2">
        <f>CONSOLIDADO_2026[[#This Row],[Hora final]]-CONSOLIDADO_2026[[#This Row],[Hora inic]]</f>
        <v>0.41666666666666663</v>
      </c>
    </row>
    <row r="1371" spans="1:19" hidden="1" x14ac:dyDescent="0.25">
      <c r="A1371" t="s">
        <v>4212</v>
      </c>
      <c r="B1371">
        <v>1045695688</v>
      </c>
      <c r="C1371" t="s">
        <v>1876</v>
      </c>
      <c r="D1371" s="11" t="s">
        <v>55</v>
      </c>
      <c r="E1371" s="11" t="s">
        <v>4047</v>
      </c>
      <c r="F1371" s="11" t="s">
        <v>16</v>
      </c>
      <c r="G1371" s="1">
        <v>46256</v>
      </c>
      <c r="H1371" s="1">
        <v>46256</v>
      </c>
      <c r="I1371" s="2">
        <v>0.25</v>
      </c>
      <c r="J1371" s="2">
        <v>0.66666666666666663</v>
      </c>
      <c r="K1371" s="11"/>
      <c r="L1371" s="11" t="s">
        <v>4041</v>
      </c>
      <c r="M1371" s="1"/>
      <c r="N1371" s="11"/>
      <c r="O1371" s="11" t="s">
        <v>4042</v>
      </c>
      <c r="P1371" s="1"/>
      <c r="Q1371" s="1"/>
      <c r="R1371" s="11"/>
      <c r="S1371" s="2">
        <f>CONSOLIDADO_2026[[#This Row],[Hora final]]-CONSOLIDADO_2026[[#This Row],[Hora inic]]</f>
        <v>0.41666666666666663</v>
      </c>
    </row>
    <row r="1372" spans="1:19" hidden="1" x14ac:dyDescent="0.25">
      <c r="A1372" t="s">
        <v>4212</v>
      </c>
      <c r="B1372">
        <v>1000549306</v>
      </c>
      <c r="C1372" t="s">
        <v>1001</v>
      </c>
      <c r="D1372" s="11" t="s">
        <v>64</v>
      </c>
      <c r="E1372" s="11" t="s">
        <v>4046</v>
      </c>
      <c r="F1372" s="11" t="s">
        <v>16</v>
      </c>
      <c r="G1372" s="1">
        <v>46256</v>
      </c>
      <c r="H1372" s="1">
        <v>46256</v>
      </c>
      <c r="I1372" s="2"/>
      <c r="J1372" s="2"/>
      <c r="K1372" s="11"/>
      <c r="L1372" s="11" t="s">
        <v>4060</v>
      </c>
      <c r="M1372" s="1"/>
      <c r="N1372" s="11"/>
      <c r="O1372" s="11" t="s">
        <v>4042</v>
      </c>
      <c r="P1372" s="1"/>
      <c r="Q1372" s="1"/>
      <c r="R1372" s="11"/>
      <c r="S1372" s="2">
        <f>CONSOLIDADO_2026[[#This Row],[Hora final]]-CONSOLIDADO_2026[[#This Row],[Hora inic]]</f>
        <v>0</v>
      </c>
    </row>
    <row r="1373" spans="1:19" hidden="1" x14ac:dyDescent="0.25">
      <c r="A1373" t="s">
        <v>4212</v>
      </c>
      <c r="B1373">
        <v>1214714989</v>
      </c>
      <c r="C1373" t="s">
        <v>2191</v>
      </c>
      <c r="D1373" s="11" t="s">
        <v>256</v>
      </c>
      <c r="E1373" s="11" t="s">
        <v>4040</v>
      </c>
      <c r="F1373" s="11" t="s">
        <v>4074</v>
      </c>
      <c r="G1373" s="1">
        <v>46256</v>
      </c>
      <c r="H1373" s="1">
        <v>46256</v>
      </c>
      <c r="I1373" s="2"/>
      <c r="J1373" s="2"/>
      <c r="K1373" s="11"/>
      <c r="L1373" s="11" t="s">
        <v>4060</v>
      </c>
      <c r="M1373" s="1"/>
      <c r="N1373" s="11"/>
      <c r="O1373" s="11" t="s">
        <v>4042</v>
      </c>
      <c r="P1373" s="1"/>
      <c r="Q1373" s="1"/>
      <c r="R1373" s="11"/>
      <c r="S1373" s="2">
        <f>CONSOLIDADO_2026[[#This Row],[Hora final]]-CONSOLIDADO_2026[[#This Row],[Hora inic]]</f>
        <v>0</v>
      </c>
    </row>
    <row r="1374" spans="1:19" hidden="1" x14ac:dyDescent="0.25">
      <c r="A1374" t="s">
        <v>4212</v>
      </c>
      <c r="B1374">
        <v>1001445343</v>
      </c>
      <c r="C1374" t="s">
        <v>1432</v>
      </c>
      <c r="D1374" s="11" t="s">
        <v>344</v>
      </c>
      <c r="E1374" s="11" t="s">
        <v>4056</v>
      </c>
      <c r="F1374" s="11" t="s">
        <v>4074</v>
      </c>
      <c r="G1374" s="1">
        <v>46256</v>
      </c>
      <c r="H1374" s="1">
        <v>46256</v>
      </c>
      <c r="I1374" s="2">
        <v>0.25</v>
      </c>
      <c r="J1374" s="2">
        <v>0.58333333333333337</v>
      </c>
      <c r="K1374" s="11"/>
      <c r="L1374" s="11" t="s">
        <v>4214</v>
      </c>
      <c r="M1374" s="1"/>
      <c r="N1374" s="11"/>
      <c r="O1374" s="11" t="s">
        <v>21</v>
      </c>
      <c r="P1374" s="1"/>
      <c r="Q1374" s="1"/>
      <c r="R1374" s="11"/>
      <c r="S1374" s="2">
        <f>CONSOLIDADO_2026[[#This Row],[Hora final]]-CONSOLIDADO_2026[[#This Row],[Hora inic]]</f>
        <v>0.33333333333333337</v>
      </c>
    </row>
    <row r="1375" spans="1:19" hidden="1" x14ac:dyDescent="0.25">
      <c r="A1375" t="s">
        <v>4212</v>
      </c>
      <c r="B1375">
        <v>1083037694</v>
      </c>
      <c r="C1375" t="s">
        <v>1591</v>
      </c>
      <c r="D1375" s="11" t="s">
        <v>15</v>
      </c>
      <c r="E1375" s="11" t="s">
        <v>4046</v>
      </c>
      <c r="F1375" s="11" t="s">
        <v>4074</v>
      </c>
      <c r="G1375" s="1">
        <v>46256</v>
      </c>
      <c r="H1375" s="1">
        <v>46256</v>
      </c>
      <c r="I1375" s="2"/>
      <c r="J1375" s="2"/>
      <c r="K1375" s="11"/>
      <c r="L1375" s="11" t="s">
        <v>4060</v>
      </c>
      <c r="M1375" s="1"/>
      <c r="N1375" s="11"/>
      <c r="O1375" s="11" t="s">
        <v>4042</v>
      </c>
      <c r="P1375" s="1"/>
      <c r="Q1375" s="1"/>
      <c r="R1375" s="11"/>
      <c r="S1375" s="2">
        <f>CONSOLIDADO_2026[[#This Row],[Hora final]]-CONSOLIDADO_2026[[#This Row],[Hora inic]]</f>
        <v>0</v>
      </c>
    </row>
    <row r="1376" spans="1:19" hidden="1" x14ac:dyDescent="0.25">
      <c r="A1376" t="s">
        <v>4212</v>
      </c>
      <c r="B1376">
        <v>1036965348</v>
      </c>
      <c r="C1376" t="s">
        <v>229</v>
      </c>
      <c r="D1376" s="11" t="s">
        <v>4078</v>
      </c>
      <c r="E1376" s="11" t="s">
        <v>4046</v>
      </c>
      <c r="F1376" s="11" t="s">
        <v>4079</v>
      </c>
      <c r="G1376" s="1">
        <v>46256</v>
      </c>
      <c r="H1376" s="1">
        <v>46256</v>
      </c>
      <c r="I1376" s="2">
        <v>0.25</v>
      </c>
      <c r="J1376" s="2">
        <v>0.58333333333333337</v>
      </c>
      <c r="K1376" s="11"/>
      <c r="L1376" s="11" t="s">
        <v>339</v>
      </c>
      <c r="M1376" s="1"/>
      <c r="N1376" s="11"/>
      <c r="O1376" s="11" t="s">
        <v>4042</v>
      </c>
      <c r="P1376" s="1"/>
      <c r="Q1376" s="1"/>
      <c r="R1376" s="11"/>
      <c r="S1376" s="2">
        <f>CONSOLIDADO_2026[[#This Row],[Hora final]]-CONSOLIDADO_2026[[#This Row],[Hora inic]]</f>
        <v>0.33333333333333337</v>
      </c>
    </row>
    <row r="1377" spans="1:19" hidden="1" x14ac:dyDescent="0.25">
      <c r="A1377" t="s">
        <v>4212</v>
      </c>
      <c r="B1377">
        <v>1001369228</v>
      </c>
      <c r="C1377" t="s">
        <v>164</v>
      </c>
      <c r="D1377" s="11" t="s">
        <v>4078</v>
      </c>
      <c r="E1377" s="11" t="s">
        <v>4056</v>
      </c>
      <c r="F1377" s="11" t="s">
        <v>4079</v>
      </c>
      <c r="G1377" s="1">
        <v>46256</v>
      </c>
      <c r="H1377" s="1">
        <v>46256</v>
      </c>
      <c r="I1377" s="2">
        <v>0.29166666666666669</v>
      </c>
      <c r="J1377" s="2">
        <v>0.66666666666666663</v>
      </c>
      <c r="K1377" s="11"/>
      <c r="L1377" s="11" t="s">
        <v>339</v>
      </c>
      <c r="M1377" s="1"/>
      <c r="N1377" s="11"/>
      <c r="O1377" s="11" t="s">
        <v>4042</v>
      </c>
      <c r="P1377" s="1"/>
      <c r="Q1377" s="1"/>
      <c r="R1377" s="11"/>
      <c r="S1377" s="2">
        <f>CONSOLIDADO_2026[[#This Row],[Hora final]]-CONSOLIDADO_2026[[#This Row],[Hora inic]]</f>
        <v>0.37499999999999994</v>
      </c>
    </row>
    <row r="1378" spans="1:19" hidden="1" x14ac:dyDescent="0.25">
      <c r="A1378" t="s">
        <v>4215</v>
      </c>
      <c r="B1378">
        <v>1214714989</v>
      </c>
      <c r="C1378" t="s">
        <v>4216</v>
      </c>
      <c r="D1378" s="11" t="s">
        <v>256</v>
      </c>
      <c r="E1378" s="11" t="s">
        <v>4040</v>
      </c>
      <c r="F1378" s="11" t="s">
        <v>16</v>
      </c>
      <c r="G1378" s="1">
        <v>46256</v>
      </c>
      <c r="H1378" s="1">
        <v>46256</v>
      </c>
      <c r="I1378" s="2"/>
      <c r="J1378" s="2"/>
      <c r="K1378" s="11"/>
      <c r="L1378" s="11" t="s">
        <v>4041</v>
      </c>
      <c r="M1378" s="1"/>
      <c r="N1378" s="11"/>
      <c r="O1378" s="11" t="s">
        <v>4042</v>
      </c>
      <c r="P1378" s="1"/>
      <c r="Q1378" s="1"/>
      <c r="R1378" s="11"/>
      <c r="S1378" s="2">
        <f>CONSOLIDADO_2026[[#This Row],[Hora final]]-CONSOLIDADO_2026[[#This Row],[Hora inic]]</f>
        <v>0</v>
      </c>
    </row>
    <row r="1379" spans="1:19" hidden="1" x14ac:dyDescent="0.25">
      <c r="A1379" t="s">
        <v>4215</v>
      </c>
      <c r="B1379">
        <v>1004463773</v>
      </c>
      <c r="C1379" t="s">
        <v>3213</v>
      </c>
      <c r="D1379" s="11" t="s">
        <v>176</v>
      </c>
      <c r="E1379" s="11" t="s">
        <v>4040</v>
      </c>
      <c r="F1379" s="11" t="s">
        <v>16</v>
      </c>
      <c r="G1379" s="1">
        <v>46255</v>
      </c>
      <c r="H1379" s="1">
        <v>46256</v>
      </c>
      <c r="I1379" s="2"/>
      <c r="J1379" s="2"/>
      <c r="K1379" s="11"/>
      <c r="L1379" s="11" t="s">
        <v>4041</v>
      </c>
      <c r="M1379" s="1"/>
      <c r="N1379" s="11"/>
      <c r="O1379" s="11" t="s">
        <v>4042</v>
      </c>
      <c r="P1379" s="1"/>
      <c r="Q1379" s="1"/>
      <c r="R1379" s="11"/>
      <c r="S1379" s="2">
        <f>CONSOLIDADO_2026[[#This Row],[Hora final]]-CONSOLIDADO_2026[[#This Row],[Hora inic]]</f>
        <v>0</v>
      </c>
    </row>
    <row r="1380" spans="1:19" hidden="1" x14ac:dyDescent="0.25">
      <c r="A1380" t="s">
        <v>4215</v>
      </c>
      <c r="B1380">
        <v>1045695688</v>
      </c>
      <c r="C1380" t="s">
        <v>1876</v>
      </c>
      <c r="D1380" s="11" t="s">
        <v>55</v>
      </c>
      <c r="E1380" s="11" t="s">
        <v>4047</v>
      </c>
      <c r="F1380" s="11" t="s">
        <v>16</v>
      </c>
      <c r="G1380" s="1">
        <v>46256</v>
      </c>
      <c r="H1380" s="1">
        <v>46256</v>
      </c>
      <c r="I1380" s="2"/>
      <c r="J1380" s="2"/>
      <c r="K1380" s="11"/>
      <c r="L1380" s="11" t="s">
        <v>4041</v>
      </c>
      <c r="M1380" s="1"/>
      <c r="N1380" s="11"/>
      <c r="O1380" s="11" t="s">
        <v>4042</v>
      </c>
      <c r="P1380" s="1"/>
      <c r="Q1380" s="1"/>
      <c r="R1380" s="11"/>
      <c r="S1380" s="2">
        <f>CONSOLIDADO_2026[[#This Row],[Hora final]]-CONSOLIDADO_2026[[#This Row],[Hora inic]]</f>
        <v>0</v>
      </c>
    </row>
    <row r="1381" spans="1:19" hidden="1" x14ac:dyDescent="0.25">
      <c r="A1381" t="s">
        <v>4215</v>
      </c>
      <c r="B1381">
        <v>1096250605</v>
      </c>
      <c r="C1381" t="s">
        <v>2417</v>
      </c>
      <c r="D1381" s="11" t="s">
        <v>39</v>
      </c>
      <c r="E1381" s="11" t="s">
        <v>4046</v>
      </c>
      <c r="F1381" s="11" t="s">
        <v>16</v>
      </c>
      <c r="G1381" s="1">
        <v>46256</v>
      </c>
      <c r="H1381" s="1">
        <v>46256</v>
      </c>
      <c r="I1381" s="2"/>
      <c r="J1381" s="2"/>
      <c r="K1381" s="11"/>
      <c r="L1381" s="11" t="s">
        <v>4041</v>
      </c>
      <c r="M1381" s="1"/>
      <c r="N1381" s="11"/>
      <c r="O1381" s="11" t="s">
        <v>4042</v>
      </c>
      <c r="P1381" s="1"/>
      <c r="Q1381" s="1"/>
      <c r="R1381" s="11"/>
      <c r="S1381" s="2">
        <f>CONSOLIDADO_2026[[#This Row],[Hora final]]-CONSOLIDADO_2026[[#This Row],[Hora inic]]</f>
        <v>0</v>
      </c>
    </row>
    <row r="1382" spans="1:19" hidden="1" x14ac:dyDescent="0.25">
      <c r="A1382" t="s">
        <v>4215</v>
      </c>
      <c r="B1382">
        <v>1216726482</v>
      </c>
      <c r="C1382" t="s">
        <v>4217</v>
      </c>
      <c r="D1382" s="11" t="s">
        <v>634</v>
      </c>
      <c r="E1382" s="11" t="s">
        <v>4045</v>
      </c>
      <c r="F1382" s="11" t="s">
        <v>16</v>
      </c>
      <c r="G1382" s="1">
        <v>46256</v>
      </c>
      <c r="H1382" s="1">
        <v>46256</v>
      </c>
      <c r="I1382" s="2"/>
      <c r="J1382" s="2"/>
      <c r="K1382" s="11"/>
      <c r="L1382" s="11" t="s">
        <v>4041</v>
      </c>
      <c r="M1382" s="1"/>
      <c r="N1382" s="11"/>
      <c r="O1382" s="11" t="s">
        <v>4042</v>
      </c>
      <c r="P1382" s="1"/>
      <c r="Q1382" s="1"/>
      <c r="R1382" s="11"/>
      <c r="S1382" s="2">
        <f>CONSOLIDADO_2026[[#This Row],[Hora final]]-CONSOLIDADO_2026[[#This Row],[Hora inic]]</f>
        <v>0</v>
      </c>
    </row>
    <row r="1383" spans="1:19" hidden="1" x14ac:dyDescent="0.25">
      <c r="A1383" t="s">
        <v>4215</v>
      </c>
      <c r="B1383">
        <v>1037644923</v>
      </c>
      <c r="C1383" t="s">
        <v>4218</v>
      </c>
      <c r="D1383" s="11" t="s">
        <v>492</v>
      </c>
      <c r="E1383" s="11" t="s">
        <v>4045</v>
      </c>
      <c r="F1383" s="11" t="s">
        <v>4074</v>
      </c>
      <c r="G1383" s="1">
        <v>46258</v>
      </c>
      <c r="H1383" s="1">
        <v>46260</v>
      </c>
      <c r="I1383" s="2">
        <v>0.25</v>
      </c>
      <c r="J1383" s="2">
        <v>0.54166666666666663</v>
      </c>
      <c r="K1383" s="11"/>
      <c r="L1383" s="11" t="s">
        <v>4219</v>
      </c>
      <c r="M1383" s="1"/>
      <c r="N1383" s="11"/>
      <c r="O1383" s="11" t="s">
        <v>21</v>
      </c>
      <c r="P1383" s="1"/>
      <c r="Q1383" s="1"/>
      <c r="R1383" s="11"/>
      <c r="S1383" s="2">
        <f>CONSOLIDADO_2026[[#This Row],[Hora final]]-CONSOLIDADO_2026[[#This Row],[Hora inic]]</f>
        <v>0.29166666666666663</v>
      </c>
    </row>
    <row r="1384" spans="1:19" hidden="1" x14ac:dyDescent="0.25">
      <c r="A1384" t="s">
        <v>4215</v>
      </c>
      <c r="B1384">
        <v>45547324</v>
      </c>
      <c r="C1384" t="s">
        <v>4220</v>
      </c>
      <c r="D1384" s="11" t="s">
        <v>162</v>
      </c>
      <c r="E1384" s="11" t="s">
        <v>4056</v>
      </c>
      <c r="F1384" s="11" t="s">
        <v>16</v>
      </c>
      <c r="G1384" s="1">
        <v>46255</v>
      </c>
      <c r="H1384" s="1">
        <v>46256</v>
      </c>
      <c r="I1384" s="2"/>
      <c r="J1384" s="2"/>
      <c r="K1384" s="11"/>
      <c r="L1384" s="11" t="s">
        <v>4041</v>
      </c>
      <c r="M1384" s="1"/>
      <c r="N1384" s="11"/>
      <c r="O1384" s="11" t="s">
        <v>4042</v>
      </c>
      <c r="P1384" s="1"/>
      <c r="Q1384" s="1"/>
      <c r="R1384" s="11"/>
      <c r="S1384" s="2">
        <f>CONSOLIDADO_2026[[#This Row],[Hora final]]-CONSOLIDADO_2026[[#This Row],[Hora inic]]</f>
        <v>0</v>
      </c>
    </row>
    <row r="1385" spans="1:19" hidden="1" x14ac:dyDescent="0.25">
      <c r="A1385" t="s">
        <v>4215</v>
      </c>
      <c r="B1385">
        <v>1050965861</v>
      </c>
      <c r="C1385" t="s">
        <v>4221</v>
      </c>
      <c r="D1385" s="11" t="s">
        <v>132</v>
      </c>
      <c r="E1385" s="11" t="s">
        <v>4040</v>
      </c>
      <c r="F1385" s="11" t="s">
        <v>16</v>
      </c>
      <c r="G1385" s="1">
        <v>46256</v>
      </c>
      <c r="H1385" s="1">
        <v>46256</v>
      </c>
      <c r="I1385" s="2"/>
      <c r="J1385" s="2"/>
      <c r="K1385" s="11"/>
      <c r="L1385" s="11" t="s">
        <v>4041</v>
      </c>
      <c r="M1385" s="1"/>
      <c r="N1385" s="11"/>
      <c r="O1385" s="11" t="s">
        <v>4042</v>
      </c>
      <c r="P1385" s="1"/>
      <c r="Q1385" s="1"/>
      <c r="R1385" s="11"/>
      <c r="S1385" s="2">
        <f>CONSOLIDADO_2026[[#This Row],[Hora final]]-CONSOLIDADO_2026[[#This Row],[Hora inic]]</f>
        <v>0</v>
      </c>
    </row>
    <row r="1386" spans="1:19" hidden="1" x14ac:dyDescent="0.25">
      <c r="A1386" t="s">
        <v>4215</v>
      </c>
      <c r="B1386">
        <v>1037570349</v>
      </c>
      <c r="C1386" t="s">
        <v>4222</v>
      </c>
      <c r="D1386" s="11" t="s">
        <v>128</v>
      </c>
      <c r="E1386" s="11" t="s">
        <v>4045</v>
      </c>
      <c r="F1386" s="11" t="s">
        <v>16</v>
      </c>
      <c r="G1386" s="1">
        <v>46256</v>
      </c>
      <c r="H1386" s="1">
        <v>46256</v>
      </c>
      <c r="I1386" s="2"/>
      <c r="J1386" s="2"/>
      <c r="K1386" s="11"/>
      <c r="L1386" s="11" t="s">
        <v>4041</v>
      </c>
      <c r="M1386" s="1"/>
      <c r="N1386" s="11"/>
      <c r="O1386" s="11" t="s">
        <v>4042</v>
      </c>
      <c r="P1386" s="1"/>
      <c r="Q1386" s="1"/>
      <c r="R1386" s="11"/>
      <c r="S1386" s="2">
        <f>CONSOLIDADO_2026[[#This Row],[Hora final]]-CONSOLIDADO_2026[[#This Row],[Hora inic]]</f>
        <v>0</v>
      </c>
    </row>
    <row r="1387" spans="1:19" hidden="1" x14ac:dyDescent="0.25">
      <c r="A1387" t="s">
        <v>4215</v>
      </c>
      <c r="B1387">
        <v>1098765922</v>
      </c>
      <c r="C1387" t="s">
        <v>3654</v>
      </c>
      <c r="D1387" s="11" t="s">
        <v>51</v>
      </c>
      <c r="E1387" s="11" t="s">
        <v>4047</v>
      </c>
      <c r="F1387" s="11" t="s">
        <v>16</v>
      </c>
      <c r="G1387" s="1">
        <v>46255</v>
      </c>
      <c r="H1387" s="1">
        <v>46256</v>
      </c>
      <c r="I1387" s="2"/>
      <c r="J1387" s="2"/>
      <c r="K1387" s="11"/>
      <c r="L1387" s="11" t="s">
        <v>4041</v>
      </c>
      <c r="M1387" s="1"/>
      <c r="N1387" s="11"/>
      <c r="O1387" s="11" t="s">
        <v>4042</v>
      </c>
      <c r="P1387" s="1"/>
      <c r="Q1387" s="1"/>
      <c r="R1387" s="11"/>
      <c r="S1387" s="2">
        <f>CONSOLIDADO_2026[[#This Row],[Hora final]]-CONSOLIDADO_2026[[#This Row],[Hora inic]]</f>
        <v>0</v>
      </c>
    </row>
    <row r="1388" spans="1:19" hidden="1" x14ac:dyDescent="0.25">
      <c r="A1388" t="s">
        <v>4215</v>
      </c>
      <c r="B1388">
        <v>1152470285</v>
      </c>
      <c r="C1388" t="s">
        <v>4126</v>
      </c>
      <c r="D1388" s="11" t="s">
        <v>82</v>
      </c>
      <c r="E1388" s="11" t="s">
        <v>4045</v>
      </c>
      <c r="F1388" s="11" t="s">
        <v>4087</v>
      </c>
      <c r="G1388" s="1">
        <v>46256</v>
      </c>
      <c r="H1388" s="1">
        <v>46256</v>
      </c>
      <c r="I1388" s="2"/>
      <c r="J1388" s="2"/>
      <c r="K1388" s="11"/>
      <c r="L1388" s="11" t="s">
        <v>4041</v>
      </c>
      <c r="M1388" s="1"/>
      <c r="N1388" s="11"/>
      <c r="O1388" s="11" t="s">
        <v>4042</v>
      </c>
      <c r="P1388" s="1"/>
      <c r="Q1388" s="1"/>
      <c r="R1388" s="11"/>
      <c r="S1388" s="2">
        <f>CONSOLIDADO_2026[[#This Row],[Hora final]]-CONSOLIDADO_2026[[#This Row],[Hora inic]]</f>
        <v>0</v>
      </c>
    </row>
    <row r="1389" spans="1:19" hidden="1" x14ac:dyDescent="0.25">
      <c r="A1389" t="s">
        <v>4215</v>
      </c>
      <c r="B1389">
        <v>1001852351</v>
      </c>
      <c r="C1389" t="s">
        <v>2238</v>
      </c>
      <c r="D1389" s="11" t="s">
        <v>39</v>
      </c>
      <c r="E1389" s="11" t="s">
        <v>4046</v>
      </c>
      <c r="F1389" s="11" t="s">
        <v>16</v>
      </c>
      <c r="G1389" s="1">
        <v>46255</v>
      </c>
      <c r="H1389" s="1">
        <v>46256</v>
      </c>
      <c r="I1389" s="2"/>
      <c r="J1389" s="2"/>
      <c r="K1389" s="11"/>
      <c r="L1389" s="11" t="s">
        <v>4041</v>
      </c>
      <c r="M1389" s="1"/>
      <c r="N1389" s="11"/>
      <c r="O1389" s="11" t="s">
        <v>4042</v>
      </c>
      <c r="P1389" s="1"/>
      <c r="Q1389" s="1"/>
      <c r="R1389" s="11"/>
      <c r="S1389" s="2">
        <f>CONSOLIDADO_2026[[#This Row],[Hora final]]-CONSOLIDADO_2026[[#This Row],[Hora inic]]</f>
        <v>0</v>
      </c>
    </row>
    <row r="1390" spans="1:19" hidden="1" x14ac:dyDescent="0.25">
      <c r="A1390" t="s">
        <v>4215</v>
      </c>
      <c r="B1390">
        <v>1041901478</v>
      </c>
      <c r="C1390" t="s">
        <v>405</v>
      </c>
      <c r="D1390" s="11" t="s">
        <v>256</v>
      </c>
      <c r="E1390" s="11" t="s">
        <v>4040</v>
      </c>
      <c r="F1390" s="11" t="s">
        <v>16</v>
      </c>
      <c r="G1390" s="1">
        <v>46255</v>
      </c>
      <c r="H1390" s="1">
        <v>46256</v>
      </c>
      <c r="I1390" s="2"/>
      <c r="J1390" s="2"/>
      <c r="K1390" s="11"/>
      <c r="L1390" s="11" t="s">
        <v>4041</v>
      </c>
      <c r="M1390" s="1"/>
      <c r="N1390" s="11"/>
      <c r="O1390" s="11" t="s">
        <v>4042</v>
      </c>
      <c r="P1390" s="1"/>
      <c r="Q1390" s="1"/>
      <c r="R1390" s="11"/>
      <c r="S1390" s="2">
        <f>CONSOLIDADO_2026[[#This Row],[Hora final]]-CONSOLIDADO_2026[[#This Row],[Hora inic]]</f>
        <v>0</v>
      </c>
    </row>
    <row r="1391" spans="1:19" hidden="1" x14ac:dyDescent="0.25">
      <c r="A1391" t="s">
        <v>4215</v>
      </c>
      <c r="B1391">
        <v>1080901556</v>
      </c>
      <c r="C1391" t="s">
        <v>4223</v>
      </c>
      <c r="D1391" s="11" t="s">
        <v>256</v>
      </c>
      <c r="E1391" s="11" t="s">
        <v>4040</v>
      </c>
      <c r="F1391" s="11" t="s">
        <v>16</v>
      </c>
      <c r="G1391" s="1">
        <v>46255</v>
      </c>
      <c r="H1391" s="1">
        <v>46256</v>
      </c>
      <c r="I1391" s="2"/>
      <c r="J1391" s="2"/>
      <c r="K1391" s="11"/>
      <c r="L1391" s="11" t="s">
        <v>4041</v>
      </c>
      <c r="M1391" s="1"/>
      <c r="N1391" s="11"/>
      <c r="O1391" s="11" t="s">
        <v>4042</v>
      </c>
      <c r="P1391" s="1"/>
      <c r="Q1391" s="1"/>
      <c r="R1391" s="11"/>
      <c r="S1391" s="2">
        <f>CONSOLIDADO_2026[[#This Row],[Hora final]]-CONSOLIDADO_2026[[#This Row],[Hora inic]]</f>
        <v>0</v>
      </c>
    </row>
    <row r="1392" spans="1:19" hidden="1" x14ac:dyDescent="0.25">
      <c r="A1392" t="s">
        <v>4215</v>
      </c>
      <c r="B1392">
        <v>1143166984</v>
      </c>
      <c r="C1392" t="s">
        <v>4224</v>
      </c>
      <c r="D1392" s="11" t="s">
        <v>272</v>
      </c>
      <c r="E1392" s="11" t="s">
        <v>4056</v>
      </c>
      <c r="F1392" s="11" t="s">
        <v>16</v>
      </c>
      <c r="G1392" s="1">
        <v>46255</v>
      </c>
      <c r="H1392" s="1">
        <v>46256</v>
      </c>
      <c r="I1392" s="2"/>
      <c r="J1392" s="2"/>
      <c r="K1392" s="11"/>
      <c r="L1392" s="11" t="s">
        <v>4041</v>
      </c>
      <c r="M1392" s="1"/>
      <c r="N1392" s="11"/>
      <c r="O1392" s="11" t="s">
        <v>4042</v>
      </c>
      <c r="P1392" s="1"/>
      <c r="Q1392" s="1"/>
      <c r="R1392" s="11"/>
      <c r="S1392" s="2">
        <f>CONSOLIDADO_2026[[#This Row],[Hora final]]-CONSOLIDADO_2026[[#This Row],[Hora inic]]</f>
        <v>0</v>
      </c>
    </row>
    <row r="1393" spans="1:19" hidden="1" x14ac:dyDescent="0.25">
      <c r="A1393" t="s">
        <v>4215</v>
      </c>
      <c r="B1393">
        <v>1036671586</v>
      </c>
      <c r="C1393" t="s">
        <v>4225</v>
      </c>
      <c r="D1393" s="11" t="s">
        <v>139</v>
      </c>
      <c r="E1393" s="11" t="s">
        <v>4040</v>
      </c>
      <c r="F1393" s="11" t="s">
        <v>16</v>
      </c>
      <c r="G1393" s="1">
        <v>46256</v>
      </c>
      <c r="H1393" s="1">
        <v>46256</v>
      </c>
      <c r="I1393" s="2"/>
      <c r="J1393" s="2"/>
      <c r="K1393" s="11"/>
      <c r="L1393" s="11" t="s">
        <v>4041</v>
      </c>
      <c r="M1393" s="1"/>
      <c r="N1393" s="11"/>
      <c r="O1393" s="11" t="s">
        <v>4042</v>
      </c>
      <c r="P1393" s="1"/>
      <c r="Q1393" s="1"/>
      <c r="R1393" s="11"/>
      <c r="S1393" s="2">
        <f>CONSOLIDADO_2026[[#This Row],[Hora final]]-CONSOLIDADO_2026[[#This Row],[Hora inic]]</f>
        <v>0</v>
      </c>
    </row>
    <row r="1394" spans="1:19" hidden="1" x14ac:dyDescent="0.25">
      <c r="A1394" t="s">
        <v>4215</v>
      </c>
      <c r="B1394">
        <v>1094243332</v>
      </c>
      <c r="C1394" t="s">
        <v>3386</v>
      </c>
      <c r="D1394" s="11" t="s">
        <v>15</v>
      </c>
      <c r="E1394" s="11" t="s">
        <v>4046</v>
      </c>
      <c r="F1394" s="11" t="s">
        <v>16</v>
      </c>
      <c r="G1394" s="1">
        <v>46256</v>
      </c>
      <c r="H1394" s="1">
        <v>46256</v>
      </c>
      <c r="I1394" s="2"/>
      <c r="J1394" s="2"/>
      <c r="K1394" s="11"/>
      <c r="L1394" s="11" t="s">
        <v>4041</v>
      </c>
      <c r="M1394" s="1"/>
      <c r="N1394" s="11"/>
      <c r="O1394" s="11" t="s">
        <v>4042</v>
      </c>
      <c r="P1394" s="1"/>
      <c r="Q1394" s="1"/>
      <c r="R1394" s="11"/>
      <c r="S1394" s="2">
        <f>CONSOLIDADO_2026[[#This Row],[Hora final]]-CONSOLIDADO_2026[[#This Row],[Hora inic]]</f>
        <v>0</v>
      </c>
    </row>
    <row r="1395" spans="1:19" hidden="1" x14ac:dyDescent="0.25">
      <c r="A1395" t="s">
        <v>4215</v>
      </c>
      <c r="B1395">
        <v>1007240267</v>
      </c>
      <c r="C1395" t="s">
        <v>2313</v>
      </c>
      <c r="D1395" s="11" t="s">
        <v>245</v>
      </c>
      <c r="E1395" s="11" t="s">
        <v>4040</v>
      </c>
      <c r="F1395" s="11" t="s">
        <v>16</v>
      </c>
      <c r="G1395" s="1">
        <v>46255</v>
      </c>
      <c r="H1395" s="1">
        <v>46255</v>
      </c>
      <c r="I1395" s="2"/>
      <c r="J1395" s="2"/>
      <c r="K1395" s="11"/>
      <c r="L1395" s="11" t="s">
        <v>4041</v>
      </c>
      <c r="M1395" s="1"/>
      <c r="N1395" s="11"/>
      <c r="O1395" s="11" t="s">
        <v>4042</v>
      </c>
      <c r="P1395" s="1"/>
      <c r="Q1395" s="1"/>
      <c r="R1395" s="11"/>
      <c r="S1395" s="2">
        <f>CONSOLIDADO_2026[[#This Row],[Hora final]]-CONSOLIDADO_2026[[#This Row],[Hora inic]]</f>
        <v>0</v>
      </c>
    </row>
    <row r="1396" spans="1:19" hidden="1" x14ac:dyDescent="0.25">
      <c r="A1396" t="s">
        <v>4215</v>
      </c>
      <c r="B1396">
        <v>1007600707</v>
      </c>
      <c r="C1396" t="s">
        <v>4226</v>
      </c>
      <c r="D1396" s="11" t="s">
        <v>256</v>
      </c>
      <c r="E1396" s="11" t="s">
        <v>4040</v>
      </c>
      <c r="F1396" s="11" t="s">
        <v>16</v>
      </c>
      <c r="G1396" s="1">
        <v>46255</v>
      </c>
      <c r="H1396" s="1">
        <v>46256</v>
      </c>
      <c r="I1396" s="2"/>
      <c r="J1396" s="2"/>
      <c r="K1396" s="11"/>
      <c r="L1396" s="11" t="s">
        <v>4041</v>
      </c>
      <c r="M1396" s="1"/>
      <c r="N1396" s="11"/>
      <c r="O1396" s="11" t="s">
        <v>4042</v>
      </c>
      <c r="P1396" s="1"/>
      <c r="Q1396" s="1"/>
      <c r="R1396" s="11"/>
      <c r="S1396" s="2">
        <f>CONSOLIDADO_2026[[#This Row],[Hora final]]-CONSOLIDADO_2026[[#This Row],[Hora inic]]</f>
        <v>0</v>
      </c>
    </row>
    <row r="1397" spans="1:19" hidden="1" x14ac:dyDescent="0.25">
      <c r="A1397" t="s">
        <v>4215</v>
      </c>
      <c r="B1397">
        <v>1013660730</v>
      </c>
      <c r="C1397" t="s">
        <v>1199</v>
      </c>
      <c r="D1397" s="11" t="s">
        <v>143</v>
      </c>
      <c r="E1397" s="11" t="s">
        <v>4045</v>
      </c>
      <c r="F1397" s="11" t="s">
        <v>16</v>
      </c>
      <c r="G1397" s="1">
        <v>46255</v>
      </c>
      <c r="H1397" s="1">
        <v>46256</v>
      </c>
      <c r="I1397" s="2"/>
      <c r="J1397" s="2"/>
      <c r="K1397" s="11"/>
      <c r="L1397" s="11" t="s">
        <v>4041</v>
      </c>
      <c r="M1397" s="1"/>
      <c r="N1397" s="11"/>
      <c r="O1397" s="11" t="s">
        <v>4042</v>
      </c>
      <c r="P1397" s="1"/>
      <c r="Q1397" s="1"/>
      <c r="R1397" s="11"/>
      <c r="S1397" s="2">
        <f>CONSOLIDADO_2026[[#This Row],[Hora final]]-CONSOLIDADO_2026[[#This Row],[Hora inic]]</f>
        <v>0</v>
      </c>
    </row>
    <row r="1398" spans="1:19" hidden="1" x14ac:dyDescent="0.25">
      <c r="A1398" t="s">
        <v>4215</v>
      </c>
      <c r="B1398">
        <v>1036618989</v>
      </c>
      <c r="C1398" t="s">
        <v>81</v>
      </c>
      <c r="D1398" s="11" t="s">
        <v>82</v>
      </c>
      <c r="E1398" s="11" t="s">
        <v>4045</v>
      </c>
      <c r="F1398" s="11" t="s">
        <v>16</v>
      </c>
      <c r="G1398" s="1">
        <v>46255</v>
      </c>
      <c r="H1398" s="1">
        <v>46258</v>
      </c>
      <c r="I1398" s="2">
        <v>0.5</v>
      </c>
      <c r="J1398" s="2">
        <v>0.83333333333333337</v>
      </c>
      <c r="K1398" s="11"/>
      <c r="L1398" s="11" t="s">
        <v>4041</v>
      </c>
      <c r="M1398" s="1"/>
      <c r="N1398" s="11"/>
      <c r="O1398" s="11" t="s">
        <v>4042</v>
      </c>
      <c r="P1398" s="1"/>
      <c r="Q1398" s="1"/>
      <c r="R1398" s="11"/>
      <c r="S1398" s="2">
        <f>CONSOLIDADO_2026[[#This Row],[Hora final]]-CONSOLIDADO_2026[[#This Row],[Hora inic]]</f>
        <v>0.33333333333333337</v>
      </c>
    </row>
    <row r="1399" spans="1:19" hidden="1" x14ac:dyDescent="0.25">
      <c r="A1399" t="s">
        <v>4215</v>
      </c>
      <c r="B1399">
        <v>1017255237</v>
      </c>
      <c r="C1399" t="s">
        <v>4227</v>
      </c>
      <c r="D1399" s="11" t="s">
        <v>78</v>
      </c>
      <c r="E1399" s="11" t="s">
        <v>4046</v>
      </c>
      <c r="F1399" s="11" t="s">
        <v>16</v>
      </c>
      <c r="G1399" s="1">
        <v>46255</v>
      </c>
      <c r="H1399" s="1">
        <v>46256</v>
      </c>
      <c r="I1399" s="2"/>
      <c r="J1399" s="2"/>
      <c r="K1399" s="11"/>
      <c r="L1399" s="11" t="s">
        <v>4041</v>
      </c>
      <c r="M1399" s="1"/>
      <c r="N1399" s="11"/>
      <c r="O1399" s="11" t="s">
        <v>4042</v>
      </c>
      <c r="P1399" s="1"/>
      <c r="Q1399" s="1"/>
      <c r="R1399" s="11"/>
      <c r="S1399" s="2">
        <f>CONSOLIDADO_2026[[#This Row],[Hora final]]-CONSOLIDADO_2026[[#This Row],[Hora inic]]</f>
        <v>0</v>
      </c>
    </row>
    <row r="1400" spans="1:19" hidden="1" x14ac:dyDescent="0.25">
      <c r="A1400" t="s">
        <v>4215</v>
      </c>
      <c r="B1400">
        <v>1036932341</v>
      </c>
      <c r="C1400" t="s">
        <v>343</v>
      </c>
      <c r="D1400" s="11" t="s">
        <v>344</v>
      </c>
      <c r="E1400" s="11" t="s">
        <v>4056</v>
      </c>
      <c r="F1400" s="11" t="s">
        <v>16</v>
      </c>
      <c r="G1400" s="1">
        <v>46254</v>
      </c>
      <c r="H1400" s="1">
        <v>46268</v>
      </c>
      <c r="I1400" s="2">
        <v>0.54166666666666663</v>
      </c>
      <c r="J1400" s="2">
        <v>0.83333333333333337</v>
      </c>
      <c r="K1400" s="11"/>
      <c r="L1400" s="11" t="s">
        <v>341</v>
      </c>
      <c r="M1400" s="1"/>
      <c r="N1400" s="11"/>
      <c r="O1400" s="11" t="s">
        <v>4042</v>
      </c>
      <c r="P1400" s="1"/>
      <c r="Q1400" s="1"/>
      <c r="R1400" s="11"/>
      <c r="S1400" s="2">
        <f>CONSOLIDADO_2026[[#This Row],[Hora final]]-CONSOLIDADO_2026[[#This Row],[Hora inic]]</f>
        <v>0.29166666666666674</v>
      </c>
    </row>
    <row r="1401" spans="1:19" hidden="1" x14ac:dyDescent="0.25">
      <c r="A1401" t="s">
        <v>4215</v>
      </c>
      <c r="B1401">
        <v>1020414545</v>
      </c>
      <c r="C1401" t="s">
        <v>4228</v>
      </c>
      <c r="D1401" s="11" t="s">
        <v>256</v>
      </c>
      <c r="E1401" s="11" t="s">
        <v>4040</v>
      </c>
      <c r="F1401" s="11" t="s">
        <v>16</v>
      </c>
      <c r="G1401" s="1">
        <v>46255</v>
      </c>
      <c r="H1401" s="1">
        <v>46256</v>
      </c>
      <c r="I1401" s="2"/>
      <c r="J1401" s="2"/>
      <c r="K1401" s="11"/>
      <c r="L1401" s="11" t="s">
        <v>4041</v>
      </c>
      <c r="M1401" s="1"/>
      <c r="N1401" s="11"/>
      <c r="O1401" s="11" t="s">
        <v>4042</v>
      </c>
      <c r="P1401" s="1"/>
      <c r="Q1401" s="1"/>
      <c r="R1401" s="11"/>
      <c r="S1401" s="2">
        <f>CONSOLIDADO_2026[[#This Row],[Hora final]]-CONSOLIDADO_2026[[#This Row],[Hora inic]]</f>
        <v>0</v>
      </c>
    </row>
    <row r="1402" spans="1:19" hidden="1" x14ac:dyDescent="0.25">
      <c r="A1402" t="s">
        <v>4215</v>
      </c>
      <c r="B1402">
        <v>1034296571</v>
      </c>
      <c r="C1402" t="s">
        <v>4229</v>
      </c>
      <c r="D1402" s="11" t="s">
        <v>128</v>
      </c>
      <c r="E1402" s="11" t="s">
        <v>4045</v>
      </c>
      <c r="F1402" s="11" t="s">
        <v>16</v>
      </c>
      <c r="G1402" s="1">
        <v>46255</v>
      </c>
      <c r="H1402" s="1">
        <v>46256</v>
      </c>
      <c r="I1402" s="2"/>
      <c r="J1402" s="2"/>
      <c r="K1402" s="11"/>
      <c r="L1402" s="11" t="s">
        <v>4041</v>
      </c>
      <c r="M1402" s="1"/>
      <c r="N1402" s="11"/>
      <c r="O1402" s="11" t="s">
        <v>4042</v>
      </c>
      <c r="P1402" s="1"/>
      <c r="Q1402" s="1"/>
      <c r="R1402" s="11"/>
      <c r="S1402" s="2">
        <f>CONSOLIDADO_2026[[#This Row],[Hora final]]-CONSOLIDADO_2026[[#This Row],[Hora inic]]</f>
        <v>0</v>
      </c>
    </row>
    <row r="1403" spans="1:19" hidden="1" x14ac:dyDescent="0.25">
      <c r="A1403" t="s">
        <v>4215</v>
      </c>
      <c r="B1403">
        <v>1037485093</v>
      </c>
      <c r="C1403" t="s">
        <v>4211</v>
      </c>
      <c r="D1403" s="11" t="s">
        <v>344</v>
      </c>
      <c r="E1403" s="11" t="s">
        <v>4056</v>
      </c>
      <c r="F1403" s="11" t="s">
        <v>4091</v>
      </c>
      <c r="G1403" s="1">
        <v>46255</v>
      </c>
      <c r="H1403" s="1">
        <v>46258</v>
      </c>
      <c r="I1403" s="2"/>
      <c r="J1403" s="2"/>
      <c r="K1403" s="11"/>
      <c r="L1403" s="11" t="s">
        <v>4041</v>
      </c>
      <c r="M1403" s="1"/>
      <c r="N1403" s="11"/>
      <c r="O1403" s="11" t="s">
        <v>4042</v>
      </c>
      <c r="P1403" s="1"/>
      <c r="Q1403" s="1"/>
      <c r="R1403" s="11"/>
      <c r="S1403" s="2">
        <f>CONSOLIDADO_2026[[#This Row],[Hora final]]-CONSOLIDADO_2026[[#This Row],[Hora inic]]</f>
        <v>0</v>
      </c>
    </row>
    <row r="1404" spans="1:19" hidden="1" x14ac:dyDescent="0.25">
      <c r="A1404" t="s">
        <v>4215</v>
      </c>
      <c r="B1404">
        <v>1235257142</v>
      </c>
      <c r="C1404" t="s">
        <v>1774</v>
      </c>
      <c r="D1404" s="11" t="s">
        <v>44</v>
      </c>
      <c r="E1404" s="11" t="s">
        <v>4045</v>
      </c>
      <c r="F1404" s="11" t="s">
        <v>16</v>
      </c>
      <c r="G1404" s="1">
        <v>46255</v>
      </c>
      <c r="H1404" s="1">
        <v>46256</v>
      </c>
      <c r="I1404" s="2"/>
      <c r="J1404" s="2"/>
      <c r="K1404" s="11"/>
      <c r="L1404" s="11" t="s">
        <v>4041</v>
      </c>
      <c r="M1404" s="1"/>
      <c r="N1404" s="11"/>
      <c r="O1404" s="11" t="s">
        <v>4042</v>
      </c>
      <c r="P1404" s="1"/>
      <c r="Q1404" s="1"/>
      <c r="R1404" s="11"/>
      <c r="S1404" s="2">
        <f>CONSOLIDADO_2026[[#This Row],[Hora final]]-CONSOLIDADO_2026[[#This Row],[Hora inic]]</f>
        <v>0</v>
      </c>
    </row>
    <row r="1405" spans="1:19" hidden="1" x14ac:dyDescent="0.25">
      <c r="A1405" t="s">
        <v>4215</v>
      </c>
      <c r="B1405">
        <v>1043006106</v>
      </c>
      <c r="C1405" t="s">
        <v>63</v>
      </c>
      <c r="D1405" s="11" t="s">
        <v>64</v>
      </c>
      <c r="E1405" s="11" t="s">
        <v>4046</v>
      </c>
      <c r="F1405" s="11" t="s">
        <v>16</v>
      </c>
      <c r="G1405" s="1">
        <v>46249</v>
      </c>
      <c r="H1405" s="1">
        <v>46278</v>
      </c>
      <c r="I1405" s="2">
        <v>0.25</v>
      </c>
      <c r="J1405" s="2">
        <v>0.54166666666666663</v>
      </c>
      <c r="K1405" s="11" t="s">
        <v>196</v>
      </c>
      <c r="L1405" s="11" t="s">
        <v>197</v>
      </c>
      <c r="M1405" s="1"/>
      <c r="N1405" s="11"/>
      <c r="O1405" s="11" t="s">
        <v>21</v>
      </c>
      <c r="P1405" s="1"/>
      <c r="Q1405" s="1"/>
      <c r="R1405" s="11"/>
      <c r="S1405" s="2">
        <f>CONSOLIDADO_2026[[#This Row],[Hora final]]-CONSOLIDADO_2026[[#This Row],[Hora inic]]</f>
        <v>0.29166666666666663</v>
      </c>
    </row>
    <row r="1406" spans="1:19" hidden="1" x14ac:dyDescent="0.25">
      <c r="A1406" t="s">
        <v>4215</v>
      </c>
      <c r="B1406">
        <v>1096223065</v>
      </c>
      <c r="C1406" t="s">
        <v>3428</v>
      </c>
      <c r="D1406" s="11" t="s">
        <v>59</v>
      </c>
      <c r="E1406" s="11" t="s">
        <v>4047</v>
      </c>
      <c r="F1406" s="11" t="s">
        <v>24</v>
      </c>
      <c r="G1406" s="1">
        <v>46253</v>
      </c>
      <c r="H1406" s="1">
        <v>46265</v>
      </c>
      <c r="I1406" s="2">
        <v>0.25</v>
      </c>
      <c r="J1406" s="2">
        <v>0.54166666666666663</v>
      </c>
      <c r="K1406" s="11" t="s">
        <v>85</v>
      </c>
      <c r="L1406" s="11" t="s">
        <v>86</v>
      </c>
      <c r="M1406" s="1"/>
      <c r="N1406" s="11"/>
      <c r="O1406" s="11" t="s">
        <v>21</v>
      </c>
      <c r="P1406" s="1"/>
      <c r="Q1406" s="1"/>
      <c r="R1406" s="11"/>
      <c r="S1406" s="2">
        <f>CONSOLIDADO_2026[[#This Row],[Hora final]]-CONSOLIDADO_2026[[#This Row],[Hora inic]]</f>
        <v>0.29166666666666663</v>
      </c>
    </row>
    <row r="1407" spans="1:19" hidden="1" x14ac:dyDescent="0.25">
      <c r="A1407" t="s">
        <v>4215</v>
      </c>
      <c r="B1407">
        <v>1002029407</v>
      </c>
      <c r="C1407" t="s">
        <v>4230</v>
      </c>
      <c r="D1407" s="11" t="s">
        <v>102</v>
      </c>
      <c r="E1407" s="11" t="s">
        <v>4046</v>
      </c>
      <c r="F1407" s="11" t="s">
        <v>16</v>
      </c>
      <c r="G1407" s="1">
        <v>46253</v>
      </c>
      <c r="H1407" s="1">
        <v>46256</v>
      </c>
      <c r="I1407" s="2"/>
      <c r="J1407" s="2"/>
      <c r="K1407" s="11"/>
      <c r="L1407" s="11" t="s">
        <v>4041</v>
      </c>
      <c r="M1407" s="1"/>
      <c r="N1407" s="11"/>
      <c r="O1407" s="11" t="s">
        <v>4042</v>
      </c>
      <c r="P1407" s="1"/>
      <c r="Q1407" s="1"/>
      <c r="R1407" s="11"/>
      <c r="S1407" s="2">
        <f>CONSOLIDADO_2026[[#This Row],[Hora final]]-CONSOLIDADO_2026[[#This Row],[Hora inic]]</f>
        <v>0</v>
      </c>
    </row>
    <row r="1408" spans="1:19" hidden="1" x14ac:dyDescent="0.25">
      <c r="A1408" t="s">
        <v>4215</v>
      </c>
      <c r="B1408">
        <v>1007334260</v>
      </c>
      <c r="C1408" t="s">
        <v>4207</v>
      </c>
      <c r="D1408" s="11" t="s">
        <v>344</v>
      </c>
      <c r="E1408" s="11" t="s">
        <v>4056</v>
      </c>
      <c r="F1408" s="11" t="s">
        <v>4050</v>
      </c>
      <c r="G1408" s="1">
        <v>46255</v>
      </c>
      <c r="H1408" s="1">
        <v>46259</v>
      </c>
      <c r="I1408" s="2">
        <v>0.25</v>
      </c>
      <c r="J1408" s="2">
        <v>0.58333333333333337</v>
      </c>
      <c r="K1408" s="11" t="s">
        <v>560</v>
      </c>
      <c r="L1408" s="11" t="s">
        <v>561</v>
      </c>
      <c r="M1408" s="1"/>
      <c r="N1408" s="11"/>
      <c r="O1408" s="11" t="s">
        <v>21</v>
      </c>
      <c r="P1408" s="1"/>
      <c r="Q1408" s="1"/>
      <c r="R1408" s="11"/>
      <c r="S1408" s="2">
        <f>CONSOLIDADO_2026[[#This Row],[Hora final]]-CONSOLIDADO_2026[[#This Row],[Hora inic]]</f>
        <v>0.33333333333333337</v>
      </c>
    </row>
    <row r="1409" spans="1:19" hidden="1" x14ac:dyDescent="0.25">
      <c r="A1409" t="s">
        <v>4215</v>
      </c>
      <c r="B1409">
        <v>1143375080</v>
      </c>
      <c r="C1409" t="s">
        <v>157</v>
      </c>
      <c r="D1409" s="11" t="s">
        <v>44</v>
      </c>
      <c r="E1409" s="11" t="s">
        <v>4045</v>
      </c>
      <c r="F1409" s="11" t="s">
        <v>158</v>
      </c>
      <c r="G1409" s="1">
        <v>46249</v>
      </c>
      <c r="H1409" s="1"/>
      <c r="I1409" s="2">
        <v>0.625</v>
      </c>
      <c r="J1409" s="2">
        <v>0.875</v>
      </c>
      <c r="K1409" s="11" t="s">
        <v>150</v>
      </c>
      <c r="L1409" s="11" t="s">
        <v>151</v>
      </c>
      <c r="M1409" s="1"/>
      <c r="N1409" s="11"/>
      <c r="O1409" s="11" t="s">
        <v>21</v>
      </c>
      <c r="P1409" s="1"/>
      <c r="Q1409" s="1"/>
      <c r="R1409" s="11"/>
      <c r="S1409" s="2">
        <f>CONSOLIDADO_2026[[#This Row],[Hora final]]-CONSOLIDADO_2026[[#This Row],[Hora inic]]</f>
        <v>0.25</v>
      </c>
    </row>
    <row r="1410" spans="1:19" hidden="1" x14ac:dyDescent="0.25">
      <c r="A1410" t="s">
        <v>4215</v>
      </c>
      <c r="B1410">
        <v>1045718883</v>
      </c>
      <c r="C1410" t="s">
        <v>34</v>
      </c>
      <c r="D1410" s="11" t="s">
        <v>15</v>
      </c>
      <c r="E1410" s="11" t="s">
        <v>4046</v>
      </c>
      <c r="F1410" s="11" t="s">
        <v>36</v>
      </c>
      <c r="G1410" s="1">
        <v>46244</v>
      </c>
      <c r="H1410" s="1">
        <v>46393</v>
      </c>
      <c r="I1410" s="2">
        <v>0.54166666666666663</v>
      </c>
      <c r="J1410" s="2">
        <v>0.875</v>
      </c>
      <c r="K1410" s="11" t="s">
        <v>103</v>
      </c>
      <c r="L1410" s="11" t="s">
        <v>104</v>
      </c>
      <c r="M1410" s="1"/>
      <c r="N1410" s="11"/>
      <c r="O1410" s="11" t="s">
        <v>21</v>
      </c>
      <c r="P1410" s="1"/>
      <c r="Q1410" s="1"/>
      <c r="R1410" s="11"/>
      <c r="S1410" s="2">
        <f>CONSOLIDADO_2026[[#This Row],[Hora final]]-CONSOLIDADO_2026[[#This Row],[Hora inic]]</f>
        <v>0.33333333333333337</v>
      </c>
    </row>
    <row r="1411" spans="1:19" hidden="1" x14ac:dyDescent="0.25">
      <c r="A1411" t="s">
        <v>4215</v>
      </c>
      <c r="B1411">
        <v>1040755197</v>
      </c>
      <c r="C1411" t="s">
        <v>171</v>
      </c>
      <c r="D1411" s="11" t="s">
        <v>172</v>
      </c>
      <c r="E1411" s="11" t="s">
        <v>4046</v>
      </c>
      <c r="F1411" s="11" t="s">
        <v>16</v>
      </c>
      <c r="G1411" s="1">
        <v>46252</v>
      </c>
      <c r="H1411" s="1">
        <v>46262</v>
      </c>
      <c r="I1411" s="2">
        <v>0.54166666666666663</v>
      </c>
      <c r="J1411" s="2">
        <v>0.875</v>
      </c>
      <c r="K1411" s="11" t="s">
        <v>303</v>
      </c>
      <c r="L1411" s="11" t="s">
        <v>304</v>
      </c>
      <c r="M1411" s="1"/>
      <c r="N1411" s="11"/>
      <c r="O1411" s="11" t="s">
        <v>21</v>
      </c>
      <c r="P1411" s="1"/>
      <c r="Q1411" s="1"/>
      <c r="R1411" s="11"/>
      <c r="S1411" s="2">
        <f>CONSOLIDADO_2026[[#This Row],[Hora final]]-CONSOLIDADO_2026[[#This Row],[Hora inic]]</f>
        <v>0.33333333333333337</v>
      </c>
    </row>
    <row r="1412" spans="1:19" hidden="1" x14ac:dyDescent="0.25">
      <c r="A1412" t="s">
        <v>4215</v>
      </c>
      <c r="B1412">
        <v>1102808787</v>
      </c>
      <c r="C1412" t="s">
        <v>135</v>
      </c>
      <c r="D1412" s="11" t="s">
        <v>39</v>
      </c>
      <c r="E1412" s="11" t="s">
        <v>4046</v>
      </c>
      <c r="F1412" s="11" t="s">
        <v>16</v>
      </c>
      <c r="G1412" s="1">
        <v>46237</v>
      </c>
      <c r="H1412" s="1">
        <v>46276</v>
      </c>
      <c r="I1412" s="2">
        <v>0.25</v>
      </c>
      <c r="J1412" s="2">
        <v>0.54166666666666663</v>
      </c>
      <c r="K1412" s="11" t="s">
        <v>119</v>
      </c>
      <c r="L1412" s="11" t="s">
        <v>120</v>
      </c>
      <c r="M1412" s="1"/>
      <c r="N1412" s="11"/>
      <c r="O1412" s="11" t="s">
        <v>21</v>
      </c>
      <c r="P1412" s="1"/>
      <c r="Q1412" s="1"/>
      <c r="R1412" s="11"/>
      <c r="S1412" s="2">
        <f>CONSOLIDADO_2026[[#This Row],[Hora final]]-CONSOLIDADO_2026[[#This Row],[Hora inic]]</f>
        <v>0.29166666666666663</v>
      </c>
    </row>
    <row r="1413" spans="1:19" hidden="1" x14ac:dyDescent="0.25">
      <c r="A1413" t="s">
        <v>4215</v>
      </c>
      <c r="B1413">
        <v>1082896324</v>
      </c>
      <c r="C1413" t="s">
        <v>127</v>
      </c>
      <c r="D1413" s="11" t="s">
        <v>128</v>
      </c>
      <c r="E1413" s="11" t="s">
        <v>4045</v>
      </c>
      <c r="F1413" s="11" t="s">
        <v>16</v>
      </c>
      <c r="G1413" s="1">
        <v>46242</v>
      </c>
      <c r="H1413" s="1">
        <v>46272</v>
      </c>
      <c r="I1413" s="2">
        <v>0.25</v>
      </c>
      <c r="J1413" s="2">
        <v>0.54166666666666663</v>
      </c>
      <c r="K1413" s="11" t="s">
        <v>181</v>
      </c>
      <c r="L1413" s="11" t="s">
        <v>182</v>
      </c>
      <c r="M1413" s="1"/>
      <c r="N1413" s="11"/>
      <c r="O1413" s="11" t="s">
        <v>21</v>
      </c>
      <c r="P1413" s="1"/>
      <c r="Q1413" s="1"/>
      <c r="R1413" s="11"/>
      <c r="S1413" s="2">
        <f>CONSOLIDADO_2026[[#This Row],[Hora final]]-CONSOLIDADO_2026[[#This Row],[Hora inic]]</f>
        <v>0.29166666666666663</v>
      </c>
    </row>
    <row r="1414" spans="1:19" hidden="1" x14ac:dyDescent="0.25">
      <c r="A1414" t="s">
        <v>4215</v>
      </c>
      <c r="B1414">
        <v>1015483595</v>
      </c>
      <c r="C1414" t="s">
        <v>23</v>
      </c>
      <c r="D1414" s="11" t="s">
        <v>15</v>
      </c>
      <c r="E1414" s="11" t="s">
        <v>4046</v>
      </c>
      <c r="F1414" s="11" t="s">
        <v>24</v>
      </c>
      <c r="G1414" s="1">
        <v>46244</v>
      </c>
      <c r="H1414" s="1">
        <v>46265</v>
      </c>
      <c r="I1414" s="2">
        <v>0.25</v>
      </c>
      <c r="J1414" s="2">
        <v>0.54166666666666663</v>
      </c>
      <c r="K1414" s="11" t="s">
        <v>294</v>
      </c>
      <c r="L1414" s="11" t="s">
        <v>295</v>
      </c>
      <c r="M1414" s="1"/>
      <c r="N1414" s="11"/>
      <c r="O1414" s="11" t="s">
        <v>21</v>
      </c>
      <c r="P1414" s="1"/>
      <c r="Q1414" s="1"/>
      <c r="R1414" s="11"/>
      <c r="S1414" s="2">
        <f>CONSOLIDADO_2026[[#This Row],[Hora final]]-CONSOLIDADO_2026[[#This Row],[Hora inic]]</f>
        <v>0.29166666666666663</v>
      </c>
    </row>
    <row r="1415" spans="1:19" hidden="1" x14ac:dyDescent="0.25">
      <c r="A1415" t="s">
        <v>4215</v>
      </c>
      <c r="B1415">
        <v>1001851670</v>
      </c>
      <c r="C1415" t="s">
        <v>50</v>
      </c>
      <c r="D1415" s="11" t="s">
        <v>51</v>
      </c>
      <c r="E1415" s="11" t="s">
        <v>4047</v>
      </c>
      <c r="F1415" s="11" t="s">
        <v>36</v>
      </c>
      <c r="G1415" s="1">
        <v>46241</v>
      </c>
      <c r="H1415" s="1">
        <v>46366</v>
      </c>
      <c r="I1415" s="2">
        <v>0.25</v>
      </c>
      <c r="J1415" s="2">
        <v>0.54166666666666663</v>
      </c>
      <c r="K1415" s="11" t="s">
        <v>261</v>
      </c>
      <c r="L1415" s="11" t="s">
        <v>262</v>
      </c>
      <c r="M1415" s="1"/>
      <c r="N1415" s="11"/>
      <c r="O1415" s="11" t="s">
        <v>21</v>
      </c>
      <c r="P1415" s="1"/>
      <c r="Q1415" s="1"/>
      <c r="R1415" s="11"/>
      <c r="S1415" s="2">
        <f>CONSOLIDADO_2026[[#This Row],[Hora final]]-CONSOLIDADO_2026[[#This Row],[Hora inic]]</f>
        <v>0.29166666666666663</v>
      </c>
    </row>
    <row r="1416" spans="1:19" hidden="1" x14ac:dyDescent="0.25">
      <c r="A1416" t="s">
        <v>4215</v>
      </c>
      <c r="B1416">
        <v>1000415206</v>
      </c>
      <c r="C1416" t="s">
        <v>325</v>
      </c>
      <c r="D1416" s="11" t="s">
        <v>128</v>
      </c>
      <c r="E1416" s="11" t="s">
        <v>4045</v>
      </c>
      <c r="F1416" s="11" t="s">
        <v>326</v>
      </c>
      <c r="G1416" s="1">
        <v>46258</v>
      </c>
      <c r="H1416" s="1">
        <v>46262</v>
      </c>
      <c r="I1416" s="2">
        <v>0.25</v>
      </c>
      <c r="J1416" s="2">
        <v>0.58333333333333337</v>
      </c>
      <c r="K1416" s="11"/>
      <c r="L1416" s="11" t="s">
        <v>327</v>
      </c>
      <c r="M1416" s="1"/>
      <c r="N1416" s="11"/>
      <c r="O1416" s="11" t="s">
        <v>4042</v>
      </c>
      <c r="P1416" s="1"/>
      <c r="Q1416" s="1"/>
      <c r="R1416" s="11"/>
      <c r="S1416" s="2">
        <f>CONSOLIDADO_2026[[#This Row],[Hora final]]-CONSOLIDADO_2026[[#This Row],[Hora inic]]</f>
        <v>0.33333333333333337</v>
      </c>
    </row>
    <row r="1417" spans="1:19" hidden="1" x14ac:dyDescent="0.25">
      <c r="A1417" t="s">
        <v>4215</v>
      </c>
      <c r="B1417">
        <v>42141273</v>
      </c>
      <c r="C1417" t="s">
        <v>271</v>
      </c>
      <c r="D1417" s="11" t="s">
        <v>272</v>
      </c>
      <c r="E1417" s="11" t="s">
        <v>4056</v>
      </c>
      <c r="F1417" s="11" t="s">
        <v>4065</v>
      </c>
      <c r="G1417" s="1">
        <v>46238</v>
      </c>
      <c r="H1417" s="1">
        <v>46295</v>
      </c>
      <c r="I1417" s="2">
        <v>0.25</v>
      </c>
      <c r="J1417" s="2">
        <v>0.5</v>
      </c>
      <c r="K1417" s="11" t="s">
        <v>236</v>
      </c>
      <c r="L1417" s="11" t="s">
        <v>237</v>
      </c>
      <c r="M1417" s="1"/>
      <c r="N1417" s="11"/>
      <c r="O1417" s="11" t="s">
        <v>4042</v>
      </c>
      <c r="P1417" s="1"/>
      <c r="Q1417" s="1"/>
      <c r="R1417" s="11"/>
      <c r="S1417" s="2">
        <f>CONSOLIDADO_2026[[#This Row],[Hora final]]-CONSOLIDADO_2026[[#This Row],[Hora inic]]</f>
        <v>0.25</v>
      </c>
    </row>
    <row r="1418" spans="1:19" hidden="1" x14ac:dyDescent="0.25">
      <c r="A1418" t="s">
        <v>4215</v>
      </c>
      <c r="B1418">
        <v>1152221372</v>
      </c>
      <c r="C1418" t="s">
        <v>4072</v>
      </c>
      <c r="D1418" s="11" t="s">
        <v>139</v>
      </c>
      <c r="E1418" s="11" t="s">
        <v>4040</v>
      </c>
      <c r="F1418" s="11" t="s">
        <v>158</v>
      </c>
      <c r="G1418" s="1">
        <v>46230</v>
      </c>
      <c r="H1418" s="1">
        <v>46230</v>
      </c>
      <c r="I1418" s="2">
        <v>0.25</v>
      </c>
      <c r="J1418" s="2">
        <v>0.58333333333333337</v>
      </c>
      <c r="K1418" s="11" t="s">
        <v>45</v>
      </c>
      <c r="L1418" s="11" t="s">
        <v>46</v>
      </c>
      <c r="M1418" s="1"/>
      <c r="N1418" s="11"/>
      <c r="O1418" s="11" t="s">
        <v>21</v>
      </c>
      <c r="P1418" s="1"/>
      <c r="Q1418" s="1"/>
      <c r="R1418" s="11"/>
      <c r="S1418" s="2">
        <f>CONSOLIDADO_2026[[#This Row],[Hora final]]-CONSOLIDADO_2026[[#This Row],[Hora inic]]</f>
        <v>0.33333333333333337</v>
      </c>
    </row>
    <row r="1419" spans="1:19" hidden="1" x14ac:dyDescent="0.25">
      <c r="A1419" t="s">
        <v>4215</v>
      </c>
      <c r="B1419">
        <v>1017264032</v>
      </c>
      <c r="C1419" t="s">
        <v>88</v>
      </c>
      <c r="D1419" s="11" t="s">
        <v>55</v>
      </c>
      <c r="E1419" s="11" t="s">
        <v>4047</v>
      </c>
      <c r="F1419" s="11" t="s">
        <v>16</v>
      </c>
      <c r="G1419" s="1">
        <v>46229</v>
      </c>
      <c r="H1419" s="1">
        <v>46258</v>
      </c>
      <c r="I1419" s="2">
        <v>0.58333333333333337</v>
      </c>
      <c r="J1419" s="2">
        <v>0.875</v>
      </c>
      <c r="K1419" s="11" t="s">
        <v>213</v>
      </c>
      <c r="L1419" s="11" t="s">
        <v>214</v>
      </c>
      <c r="M1419" s="1"/>
      <c r="N1419" s="11"/>
      <c r="O1419" s="11" t="s">
        <v>21</v>
      </c>
      <c r="P1419" s="1"/>
      <c r="Q1419" s="1"/>
      <c r="R1419" s="11"/>
      <c r="S1419" s="2">
        <f>CONSOLIDADO_2026[[#This Row],[Hora final]]-CONSOLIDADO_2026[[#This Row],[Hora inic]]</f>
        <v>0.29166666666666663</v>
      </c>
    </row>
    <row r="1420" spans="1:19" hidden="1" x14ac:dyDescent="0.25">
      <c r="A1420" t="s">
        <v>4215</v>
      </c>
      <c r="B1420">
        <v>1037630071</v>
      </c>
      <c r="C1420" t="s">
        <v>3579</v>
      </c>
      <c r="D1420" s="11" t="s">
        <v>176</v>
      </c>
      <c r="E1420" s="11" t="s">
        <v>4040</v>
      </c>
      <c r="F1420" s="11" t="s">
        <v>4062</v>
      </c>
      <c r="G1420" s="1">
        <v>46247</v>
      </c>
      <c r="H1420" s="1">
        <v>46265</v>
      </c>
      <c r="I1420" s="2">
        <v>0.54166666666666663</v>
      </c>
      <c r="J1420" s="2">
        <v>0.79166666666666663</v>
      </c>
      <c r="K1420" s="11" t="s">
        <v>282</v>
      </c>
      <c r="L1420" s="11" t="s">
        <v>283</v>
      </c>
      <c r="M1420" s="1"/>
      <c r="N1420" s="11"/>
      <c r="O1420" s="11" t="s">
        <v>21</v>
      </c>
      <c r="P1420" s="1"/>
      <c r="Q1420" s="1"/>
      <c r="R1420" s="11"/>
      <c r="S1420" s="2">
        <f>CONSOLIDADO_2026[[#This Row],[Hora final]]-CONSOLIDADO_2026[[#This Row],[Hora inic]]</f>
        <v>0.25</v>
      </c>
    </row>
    <row r="1421" spans="1:19" hidden="1" x14ac:dyDescent="0.25">
      <c r="A1421" t="s">
        <v>4215</v>
      </c>
      <c r="B1421">
        <v>1143460426</v>
      </c>
      <c r="C1421" t="s">
        <v>4069</v>
      </c>
      <c r="D1421" s="11" t="s">
        <v>64</v>
      </c>
      <c r="E1421" s="11" t="s">
        <v>4046</v>
      </c>
      <c r="F1421" s="11" t="s">
        <v>4050</v>
      </c>
      <c r="G1421" s="1">
        <v>46195</v>
      </c>
      <c r="H1421" s="1">
        <v>46198</v>
      </c>
      <c r="I1421" s="2">
        <v>0.25</v>
      </c>
      <c r="J1421" s="2">
        <v>0.58333333333333337</v>
      </c>
      <c r="K1421" s="11" t="s">
        <v>222</v>
      </c>
      <c r="L1421" s="11" t="s">
        <v>223</v>
      </c>
      <c r="M1421" s="1"/>
      <c r="N1421" s="11"/>
      <c r="O1421" s="11" t="s">
        <v>21</v>
      </c>
      <c r="P1421" s="1"/>
      <c r="Q1421" s="1"/>
      <c r="R1421" s="11"/>
      <c r="S1421" s="2">
        <f>CONSOLIDADO_2026[[#This Row],[Hora final]]-CONSOLIDADO_2026[[#This Row],[Hora inic]]</f>
        <v>0.33333333333333337</v>
      </c>
    </row>
    <row r="1422" spans="1:19" hidden="1" x14ac:dyDescent="0.25">
      <c r="A1422" t="s">
        <v>4215</v>
      </c>
      <c r="B1422">
        <v>1038408808</v>
      </c>
      <c r="C1422" t="s">
        <v>483</v>
      </c>
      <c r="D1422" s="11" t="s">
        <v>482</v>
      </c>
      <c r="E1422" s="11" t="s">
        <v>4040</v>
      </c>
      <c r="F1422" s="11" t="s">
        <v>16</v>
      </c>
      <c r="G1422" s="1">
        <v>46255</v>
      </c>
      <c r="H1422" s="1">
        <v>46256</v>
      </c>
      <c r="I1422" s="2"/>
      <c r="J1422" s="2"/>
      <c r="K1422" s="11"/>
      <c r="L1422" s="11" t="s">
        <v>4041</v>
      </c>
      <c r="M1422" s="1"/>
      <c r="N1422" s="11"/>
      <c r="O1422" s="11" t="s">
        <v>4042</v>
      </c>
      <c r="P1422" s="1"/>
      <c r="Q1422" s="1"/>
      <c r="R1422" s="11"/>
      <c r="S1422" s="2">
        <f>CONSOLIDADO_2026[[#This Row],[Hora final]]-CONSOLIDADO_2026[[#This Row],[Hora inic]]</f>
        <v>0</v>
      </c>
    </row>
    <row r="1423" spans="1:19" hidden="1" x14ac:dyDescent="0.25">
      <c r="A1423" t="s">
        <v>4215</v>
      </c>
      <c r="B1423">
        <v>1117545007</v>
      </c>
      <c r="C1423" t="s">
        <v>2375</v>
      </c>
      <c r="D1423" s="11" t="s">
        <v>139</v>
      </c>
      <c r="E1423" s="11" t="s">
        <v>4040</v>
      </c>
      <c r="F1423" s="11" t="s">
        <v>16</v>
      </c>
      <c r="G1423" s="1">
        <v>46255</v>
      </c>
      <c r="H1423" s="1">
        <v>46255</v>
      </c>
      <c r="I1423" s="2"/>
      <c r="J1423" s="2"/>
      <c r="K1423" s="11"/>
      <c r="L1423" s="11" t="s">
        <v>4041</v>
      </c>
      <c r="M1423" s="1"/>
      <c r="N1423" s="11"/>
      <c r="O1423" s="11" t="s">
        <v>4042</v>
      </c>
      <c r="P1423" s="1"/>
      <c r="Q1423" s="1"/>
      <c r="R1423" s="11"/>
      <c r="S1423" s="2">
        <f>CONSOLIDADO_2026[[#This Row],[Hora final]]-CONSOLIDADO_2026[[#This Row],[Hora inic]]</f>
        <v>0</v>
      </c>
    </row>
    <row r="1424" spans="1:19" hidden="1" x14ac:dyDescent="0.25">
      <c r="A1424" t="s">
        <v>4215</v>
      </c>
      <c r="B1424">
        <v>43453341</v>
      </c>
      <c r="C1424" t="s">
        <v>146</v>
      </c>
      <c r="D1424" s="11" t="s">
        <v>124</v>
      </c>
      <c r="E1424" s="11" t="s">
        <v>4045</v>
      </c>
      <c r="F1424" s="11" t="s">
        <v>16</v>
      </c>
      <c r="G1424" s="1">
        <v>46254</v>
      </c>
      <c r="H1424" s="1">
        <v>46268</v>
      </c>
      <c r="I1424" s="2">
        <v>0.54166666666666663</v>
      </c>
      <c r="J1424" s="2">
        <v>0.875</v>
      </c>
      <c r="K1424" s="11" t="s">
        <v>231</v>
      </c>
      <c r="L1424" s="11" t="s">
        <v>232</v>
      </c>
      <c r="M1424" s="1"/>
      <c r="N1424" s="11"/>
      <c r="O1424" s="11" t="s">
        <v>21</v>
      </c>
      <c r="P1424" s="1"/>
      <c r="Q1424" s="1"/>
      <c r="R1424" s="11"/>
      <c r="S1424" s="2">
        <f>CONSOLIDADO_2026[[#This Row],[Hora final]]-CONSOLIDADO_2026[[#This Row],[Hora inic]]</f>
        <v>0.33333333333333337</v>
      </c>
    </row>
    <row r="1425" spans="1:19" hidden="1" x14ac:dyDescent="0.25">
      <c r="A1425" t="s">
        <v>4215</v>
      </c>
      <c r="B1425">
        <v>1035876080</v>
      </c>
      <c r="C1425" t="s">
        <v>123</v>
      </c>
      <c r="D1425" s="11" t="s">
        <v>124</v>
      </c>
      <c r="E1425" s="11" t="s">
        <v>4045</v>
      </c>
      <c r="F1425" s="11" t="s">
        <v>158</v>
      </c>
      <c r="G1425" s="1">
        <v>46254</v>
      </c>
      <c r="H1425" s="1"/>
      <c r="I1425" s="2">
        <v>0.25</v>
      </c>
      <c r="J1425" s="2">
        <v>0.58333333333333337</v>
      </c>
      <c r="K1425" s="11" t="s">
        <v>240</v>
      </c>
      <c r="L1425" s="11" t="s">
        <v>241</v>
      </c>
      <c r="M1425" s="1"/>
      <c r="N1425" s="11"/>
      <c r="O1425" s="11" t="s">
        <v>21</v>
      </c>
      <c r="P1425" s="1"/>
      <c r="Q1425" s="1"/>
      <c r="R1425" s="11"/>
      <c r="S1425" s="2">
        <f>CONSOLIDADO_2026[[#This Row],[Hora final]]-CONSOLIDADO_2026[[#This Row],[Hora inic]]</f>
        <v>0.33333333333333337</v>
      </c>
    </row>
    <row r="1426" spans="1:19" hidden="1" x14ac:dyDescent="0.25">
      <c r="A1426" t="s">
        <v>4215</v>
      </c>
      <c r="B1426">
        <v>1001445343</v>
      </c>
      <c r="C1426" t="s">
        <v>1432</v>
      </c>
      <c r="D1426" s="11" t="s">
        <v>344</v>
      </c>
      <c r="E1426" s="11" t="s">
        <v>4056</v>
      </c>
      <c r="F1426" s="11" t="s">
        <v>16</v>
      </c>
      <c r="G1426" s="1">
        <v>46256</v>
      </c>
      <c r="H1426" s="1">
        <v>46256</v>
      </c>
      <c r="I1426" s="2">
        <v>0.54166666666666663</v>
      </c>
      <c r="J1426" s="2">
        <v>0.875</v>
      </c>
      <c r="K1426" s="11"/>
      <c r="L1426" s="11" t="s">
        <v>4041</v>
      </c>
      <c r="M1426" s="1"/>
      <c r="N1426" s="11"/>
      <c r="O1426" s="11" t="s">
        <v>4042</v>
      </c>
      <c r="P1426" s="1"/>
      <c r="Q1426" s="1"/>
      <c r="R1426" s="11"/>
      <c r="S1426" s="2">
        <f>CONSOLIDADO_2026[[#This Row],[Hora final]]-CONSOLIDADO_2026[[#This Row],[Hora inic]]</f>
        <v>0.33333333333333337</v>
      </c>
    </row>
    <row r="1427" spans="1:19" hidden="1" x14ac:dyDescent="0.25">
      <c r="A1427" t="s">
        <v>4215</v>
      </c>
      <c r="B1427">
        <v>1083037694</v>
      </c>
      <c r="C1427" t="s">
        <v>1591</v>
      </c>
      <c r="D1427" s="11" t="s">
        <v>15</v>
      </c>
      <c r="E1427" s="11" t="s">
        <v>4046</v>
      </c>
      <c r="F1427" s="11" t="s">
        <v>16</v>
      </c>
      <c r="G1427" s="1">
        <v>46256</v>
      </c>
      <c r="H1427" s="1">
        <v>46256</v>
      </c>
      <c r="I1427" s="2"/>
      <c r="J1427" s="2"/>
      <c r="K1427" s="11"/>
      <c r="L1427" s="11" t="s">
        <v>4041</v>
      </c>
      <c r="M1427" s="1"/>
      <c r="N1427" s="11"/>
      <c r="O1427" s="11" t="s">
        <v>4042</v>
      </c>
      <c r="P1427" s="1"/>
      <c r="Q1427" s="1"/>
      <c r="R1427" s="11"/>
      <c r="S1427" s="2">
        <f>CONSOLIDADO_2026[[#This Row],[Hora final]]-CONSOLIDADO_2026[[#This Row],[Hora inic]]</f>
        <v>0</v>
      </c>
    </row>
    <row r="1428" spans="1:19" hidden="1" x14ac:dyDescent="0.25">
      <c r="A1428" t="s">
        <v>4215</v>
      </c>
      <c r="B1428">
        <v>1000098388</v>
      </c>
      <c r="C1428" t="s">
        <v>4231</v>
      </c>
      <c r="D1428" s="11" t="s">
        <v>28</v>
      </c>
      <c r="E1428" s="11" t="s">
        <v>4046</v>
      </c>
      <c r="F1428" s="11" t="s">
        <v>4050</v>
      </c>
      <c r="G1428" s="1">
        <v>46258</v>
      </c>
      <c r="H1428" s="1">
        <v>46260</v>
      </c>
      <c r="I1428" s="2">
        <v>0.54166666666666663</v>
      </c>
      <c r="J1428" s="2">
        <v>0.875</v>
      </c>
      <c r="K1428" s="11" t="s">
        <v>300</v>
      </c>
      <c r="L1428" s="11" t="s">
        <v>301</v>
      </c>
      <c r="M1428" s="1"/>
      <c r="N1428" s="11"/>
      <c r="O1428" s="11" t="s">
        <v>21</v>
      </c>
      <c r="P1428" s="1"/>
      <c r="Q1428" s="1"/>
      <c r="R1428" s="11"/>
      <c r="S1428" s="2">
        <f>CONSOLIDADO_2026[[#This Row],[Hora final]]-CONSOLIDADO_2026[[#This Row],[Hora inic]]</f>
        <v>0.33333333333333337</v>
      </c>
    </row>
    <row r="1429" spans="1:19" hidden="1" x14ac:dyDescent="0.25">
      <c r="A1429" t="s">
        <v>4215</v>
      </c>
      <c r="B1429">
        <v>1037638426</v>
      </c>
      <c r="C1429" t="s">
        <v>31</v>
      </c>
      <c r="D1429" s="11" t="s">
        <v>28</v>
      </c>
      <c r="E1429" s="11" t="s">
        <v>4046</v>
      </c>
      <c r="F1429" s="11" t="s">
        <v>24</v>
      </c>
      <c r="G1429" s="1">
        <v>46249</v>
      </c>
      <c r="H1429" s="1">
        <v>46264</v>
      </c>
      <c r="I1429" s="2">
        <v>0.58333333333333337</v>
      </c>
      <c r="J1429" s="2">
        <v>0.875</v>
      </c>
      <c r="K1429" s="11" t="s">
        <v>251</v>
      </c>
      <c r="L1429" s="11" t="s">
        <v>252</v>
      </c>
      <c r="M1429" s="1"/>
      <c r="N1429" s="11"/>
      <c r="O1429" s="11" t="s">
        <v>21</v>
      </c>
      <c r="P1429" s="1"/>
      <c r="Q1429" s="1"/>
      <c r="R1429" s="11"/>
      <c r="S1429" s="2">
        <f>CONSOLIDADO_2026[[#This Row],[Hora final]]-CONSOLIDADO_2026[[#This Row],[Hora inic]]</f>
        <v>0.29166666666666663</v>
      </c>
    </row>
    <row r="1430" spans="1:19" hidden="1" x14ac:dyDescent="0.25">
      <c r="A1430" t="s">
        <v>4215</v>
      </c>
      <c r="B1430">
        <v>1035442374</v>
      </c>
      <c r="C1430" t="s">
        <v>2935</v>
      </c>
      <c r="D1430" s="11" t="s">
        <v>172</v>
      </c>
      <c r="E1430" s="11" t="s">
        <v>4046</v>
      </c>
      <c r="F1430" s="11" t="s">
        <v>4074</v>
      </c>
      <c r="G1430" s="1">
        <v>46254</v>
      </c>
      <c r="H1430" s="1">
        <v>46255</v>
      </c>
      <c r="I1430" s="2"/>
      <c r="J1430" s="2"/>
      <c r="K1430" s="11"/>
      <c r="L1430" s="11" t="s">
        <v>4041</v>
      </c>
      <c r="M1430" s="1"/>
      <c r="N1430" s="11"/>
      <c r="O1430" s="11" t="s">
        <v>4042</v>
      </c>
      <c r="P1430" s="1"/>
      <c r="Q1430" s="1"/>
      <c r="R1430" s="11"/>
      <c r="S1430" s="2">
        <f>CONSOLIDADO_2026[[#This Row],[Hora final]]-CONSOLIDADO_2026[[#This Row],[Hora inic]]</f>
        <v>0</v>
      </c>
    </row>
    <row r="1431" spans="1:19" hidden="1" x14ac:dyDescent="0.25">
      <c r="A1431" t="s">
        <v>4215</v>
      </c>
      <c r="B1431">
        <v>1007624721</v>
      </c>
      <c r="C1431" t="s">
        <v>2274</v>
      </c>
      <c r="D1431" s="11" t="s">
        <v>39</v>
      </c>
      <c r="E1431" s="11" t="s">
        <v>4046</v>
      </c>
      <c r="F1431" s="11" t="s">
        <v>16</v>
      </c>
      <c r="G1431" s="1">
        <v>46255</v>
      </c>
      <c r="H1431" s="1">
        <v>46256</v>
      </c>
      <c r="I1431" s="2"/>
      <c r="J1431" s="2"/>
      <c r="K1431" s="11"/>
      <c r="L1431" s="11" t="s">
        <v>4041</v>
      </c>
      <c r="M1431" s="1"/>
      <c r="N1431" s="11"/>
      <c r="O1431" s="11" t="s">
        <v>4042</v>
      </c>
      <c r="P1431" s="1"/>
      <c r="Q1431" s="1"/>
      <c r="R1431" s="11"/>
      <c r="S1431" s="2">
        <f>CONSOLIDADO_2026[[#This Row],[Hora final]]-CONSOLIDADO_2026[[#This Row],[Hora inic]]</f>
        <v>0</v>
      </c>
    </row>
    <row r="1432" spans="1:19" hidden="1" x14ac:dyDescent="0.25">
      <c r="A1432" t="s">
        <v>4215</v>
      </c>
      <c r="B1432">
        <v>1000549306</v>
      </c>
      <c r="C1432" t="s">
        <v>1001</v>
      </c>
      <c r="D1432" s="11" t="s">
        <v>64</v>
      </c>
      <c r="E1432" s="11" t="s">
        <v>4046</v>
      </c>
      <c r="F1432" s="11" t="s">
        <v>16</v>
      </c>
      <c r="G1432" s="1">
        <v>46256</v>
      </c>
      <c r="H1432" s="1">
        <v>46256</v>
      </c>
      <c r="I1432" s="2"/>
      <c r="J1432" s="2"/>
      <c r="K1432" s="11"/>
      <c r="L1432" s="11" t="s">
        <v>4041</v>
      </c>
      <c r="M1432" s="1"/>
      <c r="N1432" s="11"/>
      <c r="O1432" s="11" t="s">
        <v>4042</v>
      </c>
      <c r="P1432" s="1"/>
      <c r="Q1432" s="1"/>
      <c r="R1432" s="11"/>
      <c r="S1432" s="2">
        <f>CONSOLIDADO_2026[[#This Row],[Hora final]]-CONSOLIDADO_2026[[#This Row],[Hora inic]]</f>
        <v>0</v>
      </c>
    </row>
    <row r="1433" spans="1:19" hidden="1" x14ac:dyDescent="0.25">
      <c r="A1433" t="s">
        <v>4215</v>
      </c>
      <c r="B1433">
        <v>1036965348</v>
      </c>
      <c r="C1433" t="s">
        <v>229</v>
      </c>
      <c r="D1433" s="11" t="s">
        <v>4078</v>
      </c>
      <c r="E1433" s="11" t="s">
        <v>4046</v>
      </c>
      <c r="F1433" s="11" t="s">
        <v>4079</v>
      </c>
      <c r="G1433" s="1">
        <v>46258</v>
      </c>
      <c r="H1433" s="1">
        <v>46258</v>
      </c>
      <c r="I1433" s="2">
        <v>0.25</v>
      </c>
      <c r="J1433" s="2">
        <v>0.58333333333333337</v>
      </c>
      <c r="K1433" s="11"/>
      <c r="L1433" s="11" t="s">
        <v>339</v>
      </c>
      <c r="M1433" s="1"/>
      <c r="N1433" s="11"/>
      <c r="O1433" s="11" t="s">
        <v>4042</v>
      </c>
      <c r="P1433" s="1"/>
      <c r="Q1433" s="1"/>
      <c r="R1433" s="11"/>
      <c r="S1433" s="2">
        <f>CONSOLIDADO_2026[[#This Row],[Hora final]]-CONSOLIDADO_2026[[#This Row],[Hora inic]]</f>
        <v>0.33333333333333337</v>
      </c>
    </row>
    <row r="1434" spans="1:19" hidden="1" x14ac:dyDescent="0.25">
      <c r="A1434" t="s">
        <v>4215</v>
      </c>
      <c r="B1434">
        <v>1116283658</v>
      </c>
      <c r="C1434" t="s">
        <v>283</v>
      </c>
      <c r="D1434" s="11" t="s">
        <v>256</v>
      </c>
      <c r="E1434" s="11" t="s">
        <v>4040</v>
      </c>
      <c r="F1434" s="11" t="s">
        <v>24</v>
      </c>
      <c r="G1434" s="1">
        <v>46258</v>
      </c>
      <c r="H1434" s="1">
        <v>46265</v>
      </c>
      <c r="I1434" s="2">
        <v>0.54166666666666663</v>
      </c>
      <c r="J1434" s="2">
        <v>0.875</v>
      </c>
      <c r="K1434" s="11" t="s">
        <v>1427</v>
      </c>
      <c r="L1434" s="11" t="s">
        <v>1428</v>
      </c>
      <c r="M1434" s="1"/>
      <c r="N1434" s="11"/>
      <c r="O1434" s="11" t="s">
        <v>21</v>
      </c>
      <c r="P1434" s="1"/>
      <c r="Q1434" s="1"/>
      <c r="R1434" s="11"/>
      <c r="S1434" s="2">
        <f>CONSOLIDADO_2026[[#This Row],[Hora final]]-CONSOLIDADO_2026[[#This Row],[Hora inic]]</f>
        <v>0.33333333333333337</v>
      </c>
    </row>
    <row r="1435" spans="1:19" hidden="1" x14ac:dyDescent="0.25">
      <c r="A1435" t="s">
        <v>4215</v>
      </c>
      <c r="B1435">
        <v>1001446162</v>
      </c>
      <c r="C1435" t="s">
        <v>3663</v>
      </c>
      <c r="D1435" s="11" t="s">
        <v>4125</v>
      </c>
      <c r="E1435" s="11" t="s">
        <v>4056</v>
      </c>
      <c r="F1435" s="11" t="s">
        <v>4125</v>
      </c>
      <c r="G1435" s="1">
        <v>46258</v>
      </c>
      <c r="H1435" s="1">
        <v>46258</v>
      </c>
      <c r="I1435" s="2">
        <v>0.29166666666666669</v>
      </c>
      <c r="J1435" s="2">
        <v>0.625</v>
      </c>
      <c r="K1435" s="11"/>
      <c r="L1435" s="11" t="s">
        <v>339</v>
      </c>
      <c r="M1435" s="1"/>
      <c r="N1435" s="11"/>
      <c r="O1435" s="11" t="s">
        <v>4042</v>
      </c>
      <c r="P1435" s="1"/>
      <c r="Q1435" s="1"/>
      <c r="R1435" s="11"/>
      <c r="S1435" s="2">
        <f>CONSOLIDADO_2026[[#This Row],[Hora final]]-CONSOLIDADO_2026[[#This Row],[Hora inic]]</f>
        <v>0.33333333333333331</v>
      </c>
    </row>
    <row r="1436" spans="1:19" hidden="1" x14ac:dyDescent="0.25">
      <c r="A1436" t="s">
        <v>4215</v>
      </c>
      <c r="B1436">
        <v>1005605946</v>
      </c>
      <c r="C1436" t="s">
        <v>185</v>
      </c>
      <c r="D1436" s="11" t="s">
        <v>344</v>
      </c>
      <c r="E1436" s="11" t="s">
        <v>4056</v>
      </c>
      <c r="F1436" s="11" t="s">
        <v>4079</v>
      </c>
      <c r="G1436" s="1">
        <v>46258</v>
      </c>
      <c r="H1436" s="1">
        <v>46258</v>
      </c>
      <c r="I1436" s="2">
        <v>0.25</v>
      </c>
      <c r="J1436" s="2">
        <v>0.58333333333333337</v>
      </c>
      <c r="K1436" s="11"/>
      <c r="L1436" s="11" t="s">
        <v>339</v>
      </c>
      <c r="M1436" s="1"/>
      <c r="N1436" s="11"/>
      <c r="O1436" s="11" t="s">
        <v>4042</v>
      </c>
      <c r="P1436" s="1"/>
      <c r="Q1436" s="1"/>
      <c r="R1436" s="11"/>
      <c r="S1436" s="2">
        <f>CONSOLIDADO_2026[[#This Row],[Hora final]]-CONSOLIDADO_2026[[#This Row],[Hora inic]]</f>
        <v>0.33333333333333337</v>
      </c>
    </row>
    <row r="1437" spans="1:19" hidden="1" x14ac:dyDescent="0.25">
      <c r="A1437" t="s">
        <v>4215</v>
      </c>
      <c r="B1437">
        <v>1152446353</v>
      </c>
      <c r="C1437" t="s">
        <v>205</v>
      </c>
      <c r="D1437" s="11" t="s">
        <v>51</v>
      </c>
      <c r="E1437" s="11" t="s">
        <v>4047</v>
      </c>
      <c r="F1437" s="11" t="s">
        <v>92</v>
      </c>
      <c r="G1437" s="1">
        <v>46258</v>
      </c>
      <c r="H1437" s="1">
        <v>46262</v>
      </c>
      <c r="I1437" s="2">
        <v>0.25</v>
      </c>
      <c r="J1437" s="2">
        <v>0.54166666666666663</v>
      </c>
      <c r="K1437" s="11" t="s">
        <v>199</v>
      </c>
      <c r="L1437" s="11" t="s">
        <v>200</v>
      </c>
      <c r="M1437" s="1"/>
      <c r="N1437" s="11"/>
      <c r="O1437" s="11" t="s">
        <v>21</v>
      </c>
      <c r="P1437" s="1"/>
      <c r="Q1437" s="1"/>
      <c r="R1437" s="11"/>
      <c r="S1437" s="2">
        <f>CONSOLIDADO_2026[[#This Row],[Hora final]]-CONSOLIDADO_2026[[#This Row],[Hora inic]]</f>
        <v>0.29166666666666663</v>
      </c>
    </row>
    <row r="1438" spans="1:19" hidden="1" x14ac:dyDescent="0.25">
      <c r="A1438" t="s">
        <v>4215</v>
      </c>
      <c r="B1438">
        <v>1037631989</v>
      </c>
      <c r="C1438" t="s">
        <v>27</v>
      </c>
      <c r="D1438" s="11" t="s">
        <v>28</v>
      </c>
      <c r="E1438" s="11" t="s">
        <v>4046</v>
      </c>
      <c r="F1438" s="11" t="s">
        <v>4074</v>
      </c>
      <c r="G1438" s="1">
        <v>46258</v>
      </c>
      <c r="H1438" s="1">
        <v>46285</v>
      </c>
      <c r="I1438" s="2">
        <v>0.25</v>
      </c>
      <c r="J1438" s="2">
        <v>0.54166666666666663</v>
      </c>
      <c r="K1438" s="11"/>
      <c r="L1438" s="11" t="s">
        <v>4060</v>
      </c>
      <c r="M1438" s="1"/>
      <c r="N1438" s="11"/>
      <c r="O1438" s="11" t="s">
        <v>4042</v>
      </c>
      <c r="P1438" s="1"/>
      <c r="Q1438" s="1"/>
      <c r="R1438" s="11"/>
      <c r="S1438" s="2">
        <f>CONSOLIDADO_2026[[#This Row],[Hora final]]-CONSOLIDADO_2026[[#This Row],[Hora inic]]</f>
        <v>0.29166666666666663</v>
      </c>
    </row>
    <row r="1439" spans="1:19" hidden="1" x14ac:dyDescent="0.25">
      <c r="A1439" t="s">
        <v>4215</v>
      </c>
      <c r="B1439">
        <v>1080901556</v>
      </c>
      <c r="C1439" t="s">
        <v>4223</v>
      </c>
      <c r="D1439" s="11" t="s">
        <v>256</v>
      </c>
      <c r="E1439" s="11" t="s">
        <v>4040</v>
      </c>
      <c r="F1439" s="11" t="s">
        <v>16</v>
      </c>
      <c r="G1439" s="1">
        <v>46258</v>
      </c>
      <c r="H1439" s="1">
        <v>46259</v>
      </c>
      <c r="I1439" s="2">
        <v>0.25</v>
      </c>
      <c r="J1439" s="2">
        <v>0.54166666666666663</v>
      </c>
      <c r="K1439" s="11" t="s">
        <v>167</v>
      </c>
      <c r="L1439" s="11" t="s">
        <v>168</v>
      </c>
      <c r="M1439" s="1"/>
      <c r="N1439" s="11"/>
      <c r="O1439" s="11" t="s">
        <v>21</v>
      </c>
      <c r="P1439" s="1"/>
      <c r="Q1439" s="1"/>
      <c r="R1439" s="11"/>
      <c r="S1439" s="2">
        <f>CONSOLIDADO_2026[[#This Row],[Hora final]]-CONSOLIDADO_2026[[#This Row],[Hora inic]]</f>
        <v>0.29166666666666663</v>
      </c>
    </row>
    <row r="1440" spans="1:19" hidden="1" x14ac:dyDescent="0.25">
      <c r="A1440" t="s">
        <v>4215</v>
      </c>
      <c r="B1440">
        <v>1003045926</v>
      </c>
      <c r="C1440" t="s">
        <v>2063</v>
      </c>
      <c r="D1440" s="11" t="s">
        <v>124</v>
      </c>
      <c r="E1440" s="11" t="s">
        <v>4045</v>
      </c>
      <c r="F1440" s="11" t="s">
        <v>4074</v>
      </c>
      <c r="G1440" s="1">
        <v>46258</v>
      </c>
      <c r="H1440" s="1">
        <v>46262</v>
      </c>
      <c r="I1440" s="2">
        <v>0.625</v>
      </c>
      <c r="J1440" s="2">
        <v>0.875</v>
      </c>
      <c r="K1440" s="11"/>
      <c r="L1440" s="11" t="s">
        <v>4060</v>
      </c>
      <c r="M1440" s="1"/>
      <c r="N1440" s="11"/>
      <c r="O1440" s="11" t="s">
        <v>4042</v>
      </c>
      <c r="P1440" s="1"/>
      <c r="Q1440" s="1"/>
      <c r="R1440" s="11"/>
      <c r="S1440" s="2">
        <f>CONSOLIDADO_2026[[#This Row],[Hora final]]-CONSOLIDADO_2026[[#This Row],[Hora inic]]</f>
        <v>0.25</v>
      </c>
    </row>
    <row r="1441" spans="1:19" hidden="1" x14ac:dyDescent="0.25">
      <c r="A1441" t="s">
        <v>4215</v>
      </c>
      <c r="B1441">
        <v>1152471758</v>
      </c>
      <c r="C1441" t="s">
        <v>3840</v>
      </c>
      <c r="D1441" s="11" t="s">
        <v>245</v>
      </c>
      <c r="E1441" s="11" t="s">
        <v>4040</v>
      </c>
      <c r="F1441" s="11" t="s">
        <v>4074</v>
      </c>
      <c r="G1441" s="1">
        <v>46258</v>
      </c>
      <c r="H1441" s="1">
        <v>46259</v>
      </c>
      <c r="I1441" s="2">
        <v>0.25</v>
      </c>
      <c r="J1441" s="2">
        <v>0.5</v>
      </c>
      <c r="K1441" s="11"/>
      <c r="L1441" s="11" t="s">
        <v>4060</v>
      </c>
      <c r="M1441" s="1"/>
      <c r="N1441" s="11"/>
      <c r="O1441" s="11" t="s">
        <v>4042</v>
      </c>
      <c r="P1441" s="1"/>
      <c r="Q1441" s="1"/>
      <c r="R1441" s="11"/>
      <c r="S1441" s="2">
        <f>CONSOLIDADO_2026[[#This Row],[Hora final]]-CONSOLIDADO_2026[[#This Row],[Hora inic]]</f>
        <v>0.25</v>
      </c>
    </row>
    <row r="1442" spans="1:19" hidden="1" x14ac:dyDescent="0.25">
      <c r="A1442" t="s">
        <v>4215</v>
      </c>
      <c r="B1442">
        <v>1067859397</v>
      </c>
      <c r="C1442" t="s">
        <v>1628</v>
      </c>
      <c r="D1442" s="11" t="s">
        <v>421</v>
      </c>
      <c r="E1442" s="11" t="s">
        <v>4047</v>
      </c>
      <c r="F1442" s="11" t="s">
        <v>4074</v>
      </c>
      <c r="G1442" s="1">
        <v>46258</v>
      </c>
      <c r="H1442" s="1">
        <v>46258</v>
      </c>
      <c r="I1442" s="2">
        <v>0.58333333333333337</v>
      </c>
      <c r="J1442" s="2">
        <v>0.875</v>
      </c>
      <c r="K1442" s="11"/>
      <c r="L1442" s="11" t="s">
        <v>4060</v>
      </c>
      <c r="M1442" s="1"/>
      <c r="N1442" s="11"/>
      <c r="O1442" s="11" t="s">
        <v>4042</v>
      </c>
      <c r="P1442" s="1"/>
      <c r="Q1442" s="1"/>
      <c r="R1442" s="11"/>
      <c r="S1442" s="2">
        <f>CONSOLIDADO_2026[[#This Row],[Hora final]]-CONSOLIDADO_2026[[#This Row],[Hora inic]]</f>
        <v>0.29166666666666663</v>
      </c>
    </row>
    <row r="1443" spans="1:19" hidden="1" x14ac:dyDescent="0.25">
      <c r="A1443" t="s">
        <v>4215</v>
      </c>
      <c r="B1443">
        <v>1001013936</v>
      </c>
      <c r="C1443" t="s">
        <v>3856</v>
      </c>
      <c r="D1443" s="11" t="s">
        <v>28</v>
      </c>
      <c r="E1443" s="11" t="s">
        <v>4046</v>
      </c>
      <c r="F1443" s="11" t="s">
        <v>16</v>
      </c>
      <c r="G1443" s="1">
        <v>46258</v>
      </c>
      <c r="H1443" s="1">
        <v>46258</v>
      </c>
      <c r="I1443" s="2">
        <v>0.58333333333333337</v>
      </c>
      <c r="J1443" s="2">
        <v>0.875</v>
      </c>
      <c r="K1443" s="11"/>
      <c r="L1443" s="11" t="s">
        <v>327</v>
      </c>
      <c r="M1443" s="1"/>
      <c r="N1443" s="11"/>
      <c r="O1443" s="11" t="s">
        <v>4042</v>
      </c>
      <c r="P1443" s="1"/>
      <c r="Q1443" s="1"/>
      <c r="R1443" s="11"/>
      <c r="S1443" s="2">
        <f>CONSOLIDADO_2026[[#This Row],[Hora final]]-CONSOLIDADO_2026[[#This Row],[Hora inic]]</f>
        <v>0.29166666666666663</v>
      </c>
    </row>
    <row r="1444" spans="1:19" hidden="1" x14ac:dyDescent="0.25">
      <c r="A1444" t="s">
        <v>4215</v>
      </c>
      <c r="B1444">
        <v>1037653415</v>
      </c>
      <c r="C1444" t="s">
        <v>2337</v>
      </c>
      <c r="D1444" s="11" t="s">
        <v>102</v>
      </c>
      <c r="E1444" s="11" t="s">
        <v>4046</v>
      </c>
      <c r="F1444" s="11" t="s">
        <v>16</v>
      </c>
      <c r="G1444" s="1">
        <v>46258</v>
      </c>
      <c r="H1444" s="1">
        <v>46259</v>
      </c>
      <c r="I1444" s="2">
        <v>0.25</v>
      </c>
      <c r="J1444" s="2">
        <v>0.54166666666666663</v>
      </c>
      <c r="K1444" s="11"/>
      <c r="L1444" s="11" t="s">
        <v>327</v>
      </c>
      <c r="M1444" s="1"/>
      <c r="N1444" s="11"/>
      <c r="O1444" s="11" t="s">
        <v>4042</v>
      </c>
      <c r="P1444" s="1"/>
      <c r="Q1444" s="1"/>
      <c r="R1444" s="11"/>
      <c r="S1444" s="2">
        <f>CONSOLIDADO_2026[[#This Row],[Hora final]]-CONSOLIDADO_2026[[#This Row],[Hora inic]]</f>
        <v>0.29166666666666663</v>
      </c>
    </row>
    <row r="1445" spans="1:19" hidden="1" x14ac:dyDescent="0.25">
      <c r="A1445" t="s">
        <v>4215</v>
      </c>
      <c r="B1445">
        <v>1000944725</v>
      </c>
      <c r="C1445" t="s">
        <v>3007</v>
      </c>
      <c r="D1445" s="11" t="s">
        <v>78</v>
      </c>
      <c r="E1445" s="11" t="s">
        <v>4046</v>
      </c>
      <c r="F1445" s="11" t="s">
        <v>4074</v>
      </c>
      <c r="G1445" s="1">
        <v>46258</v>
      </c>
      <c r="H1445" s="1">
        <v>46267</v>
      </c>
      <c r="I1445" s="2">
        <v>0.25</v>
      </c>
      <c r="J1445" s="2">
        <v>0.54166666666666663</v>
      </c>
      <c r="K1445" s="11"/>
      <c r="L1445" s="11" t="s">
        <v>4060</v>
      </c>
      <c r="M1445" s="1"/>
      <c r="N1445" s="11"/>
      <c r="O1445" s="11" t="s">
        <v>4042</v>
      </c>
      <c r="P1445" s="1"/>
      <c r="Q1445" s="1"/>
      <c r="R1445" s="11"/>
      <c r="S1445" s="2">
        <f>CONSOLIDADO_2026[[#This Row],[Hora final]]-CONSOLIDADO_2026[[#This Row],[Hora inic]]</f>
        <v>0.29166666666666663</v>
      </c>
    </row>
    <row r="1446" spans="1:19" hidden="1" x14ac:dyDescent="0.25">
      <c r="A1446" t="s">
        <v>4215</v>
      </c>
      <c r="B1446">
        <v>1007959114</v>
      </c>
      <c r="C1446" t="s">
        <v>337</v>
      </c>
      <c r="D1446" s="11" t="s">
        <v>39</v>
      </c>
      <c r="E1446" s="11" t="s">
        <v>4046</v>
      </c>
      <c r="F1446" s="11" t="s">
        <v>4074</v>
      </c>
      <c r="G1446" s="1">
        <v>46258</v>
      </c>
      <c r="H1446" s="1">
        <v>46260</v>
      </c>
      <c r="I1446" s="2">
        <v>0.54166666666666663</v>
      </c>
      <c r="J1446" s="2">
        <v>0.875</v>
      </c>
      <c r="K1446" s="11"/>
      <c r="L1446" s="11" t="s">
        <v>4232</v>
      </c>
      <c r="M1446" s="1"/>
      <c r="N1446" s="11"/>
      <c r="O1446" s="11" t="s">
        <v>21</v>
      </c>
      <c r="P1446" s="1"/>
      <c r="Q1446" s="1"/>
      <c r="R1446" s="11"/>
      <c r="S1446" s="2">
        <f>CONSOLIDADO_2026[[#This Row],[Hora final]]-CONSOLIDADO_2026[[#This Row],[Hora inic]]</f>
        <v>0.33333333333333337</v>
      </c>
    </row>
    <row r="1447" spans="1:19" hidden="1" x14ac:dyDescent="0.25">
      <c r="A1447" t="s">
        <v>4215</v>
      </c>
      <c r="B1447">
        <v>1001003778</v>
      </c>
      <c r="C1447" t="s">
        <v>1959</v>
      </c>
      <c r="D1447" s="11" t="s">
        <v>492</v>
      </c>
      <c r="E1447" s="11" t="s">
        <v>4045</v>
      </c>
      <c r="F1447" s="11" t="s">
        <v>16</v>
      </c>
      <c r="G1447" s="1">
        <v>46258</v>
      </c>
      <c r="H1447" s="1">
        <v>46259</v>
      </c>
      <c r="I1447" s="2">
        <v>0.25</v>
      </c>
      <c r="J1447" s="2">
        <v>0.54166666666666663</v>
      </c>
      <c r="K1447" s="11"/>
      <c r="L1447" s="11" t="s">
        <v>327</v>
      </c>
      <c r="M1447" s="1"/>
      <c r="N1447" s="11"/>
      <c r="O1447" s="11" t="s">
        <v>4042</v>
      </c>
      <c r="P1447" s="1"/>
      <c r="Q1447" s="1"/>
      <c r="R1447" s="11"/>
      <c r="S1447" s="2">
        <f>CONSOLIDADO_2026[[#This Row],[Hora final]]-CONSOLIDADO_2026[[#This Row],[Hora inic]]</f>
        <v>0.29166666666666663</v>
      </c>
    </row>
    <row r="1448" spans="1:19" hidden="1" x14ac:dyDescent="0.25">
      <c r="A1448" t="s">
        <v>4215</v>
      </c>
      <c r="B1448">
        <v>1067959066</v>
      </c>
      <c r="C1448" t="s">
        <v>3479</v>
      </c>
      <c r="D1448" s="11" t="s">
        <v>344</v>
      </c>
      <c r="E1448" s="11" t="s">
        <v>4056</v>
      </c>
      <c r="F1448" s="11" t="s">
        <v>4074</v>
      </c>
      <c r="G1448" s="1">
        <v>46258</v>
      </c>
      <c r="H1448" s="1">
        <v>46259</v>
      </c>
      <c r="I1448" s="2">
        <v>0.25</v>
      </c>
      <c r="J1448" s="2">
        <v>0.54166666666666663</v>
      </c>
      <c r="K1448" s="11"/>
      <c r="L1448" s="11" t="s">
        <v>4060</v>
      </c>
      <c r="M1448" s="1"/>
      <c r="N1448" s="11"/>
      <c r="O1448" s="11" t="s">
        <v>4042</v>
      </c>
      <c r="P1448" s="1"/>
      <c r="Q1448" s="1"/>
      <c r="R1448" s="11"/>
      <c r="S1448" s="2">
        <f>CONSOLIDADO_2026[[#This Row],[Hora final]]-CONSOLIDADO_2026[[#This Row],[Hora inic]]</f>
        <v>0.29166666666666663</v>
      </c>
    </row>
    <row r="1449" spans="1:19" hidden="1" x14ac:dyDescent="0.25">
      <c r="A1449" t="s">
        <v>4215</v>
      </c>
      <c r="B1449">
        <v>1143880690</v>
      </c>
      <c r="C1449" t="s">
        <v>307</v>
      </c>
      <c r="D1449" s="11" t="s">
        <v>4078</v>
      </c>
      <c r="E1449" s="11"/>
      <c r="F1449" s="11" t="s">
        <v>4074</v>
      </c>
      <c r="G1449" s="1">
        <v>46258</v>
      </c>
      <c r="H1449" s="1"/>
      <c r="I1449" s="2">
        <v>0.25</v>
      </c>
      <c r="J1449" s="2">
        <v>0.54166666666666663</v>
      </c>
      <c r="K1449" s="11"/>
      <c r="L1449" s="11" t="s">
        <v>4247</v>
      </c>
      <c r="M1449" s="1"/>
      <c r="N1449" s="11"/>
      <c r="O1449" s="11" t="s">
        <v>21</v>
      </c>
      <c r="P1449" s="1"/>
      <c r="Q1449" s="1"/>
      <c r="R1449" s="11"/>
      <c r="S1449" s="2">
        <f>CONSOLIDADO_2026[[#This Row],[Hora final]]-CONSOLIDADO_2026[[#This Row],[Hora inic]]</f>
        <v>0.29166666666666663</v>
      </c>
    </row>
    <row r="1450" spans="1:19" hidden="1" x14ac:dyDescent="0.25">
      <c r="A1450" t="s">
        <v>4215</v>
      </c>
      <c r="B1450">
        <v>1001369228</v>
      </c>
      <c r="C1450" t="s">
        <v>164</v>
      </c>
      <c r="D1450" s="11" t="s">
        <v>344</v>
      </c>
      <c r="E1450" s="11" t="s">
        <v>4056</v>
      </c>
      <c r="F1450" s="11" t="s">
        <v>4073</v>
      </c>
      <c r="G1450" s="1">
        <v>46258</v>
      </c>
      <c r="H1450" s="1">
        <v>46259</v>
      </c>
      <c r="I1450" s="2">
        <v>0.58333333333333337</v>
      </c>
      <c r="J1450" s="2">
        <v>0.875</v>
      </c>
      <c r="K1450" s="11"/>
      <c r="L1450" s="11" t="s">
        <v>4233</v>
      </c>
      <c r="M1450" s="1"/>
      <c r="N1450" s="11"/>
      <c r="O1450" s="11" t="s">
        <v>4042</v>
      </c>
      <c r="P1450" s="1"/>
      <c r="Q1450" s="1"/>
      <c r="R1450" s="11"/>
      <c r="S1450" s="2">
        <f>CONSOLIDADO_2026[[#This Row],[Hora final]]-CONSOLIDADO_2026[[#This Row],[Hora inic]]</f>
        <v>0.29166666666666663</v>
      </c>
    </row>
    <row r="1451" spans="1:19" hidden="1" x14ac:dyDescent="0.25">
      <c r="A1451" t="s">
        <v>4215</v>
      </c>
      <c r="B1451">
        <v>1002059980</v>
      </c>
      <c r="C1451" t="s">
        <v>1392</v>
      </c>
      <c r="D1451" s="11" t="s">
        <v>132</v>
      </c>
      <c r="E1451" s="11" t="s">
        <v>4040</v>
      </c>
      <c r="F1451" s="11" t="s">
        <v>4074</v>
      </c>
      <c r="G1451" s="1">
        <v>46258</v>
      </c>
      <c r="H1451" s="1">
        <v>46259</v>
      </c>
      <c r="I1451" s="2">
        <v>0.25</v>
      </c>
      <c r="J1451" s="2">
        <v>0.58333333333333337</v>
      </c>
      <c r="K1451" s="11"/>
      <c r="L1451" s="11" t="s">
        <v>4060</v>
      </c>
      <c r="M1451" s="1"/>
      <c r="N1451" s="11"/>
      <c r="O1451" s="11" t="s">
        <v>4042</v>
      </c>
      <c r="P1451" s="1"/>
      <c r="Q1451" s="1"/>
      <c r="R1451" s="11"/>
      <c r="S1451" s="2">
        <f>CONSOLIDADO_2026[[#This Row],[Hora final]]-CONSOLIDADO_2026[[#This Row],[Hora inic]]</f>
        <v>0.33333333333333337</v>
      </c>
    </row>
    <row r="1452" spans="1:19" hidden="1" x14ac:dyDescent="0.25">
      <c r="A1452" t="s">
        <v>4215</v>
      </c>
      <c r="B1452">
        <v>1235539927</v>
      </c>
      <c r="C1452" t="s">
        <v>2591</v>
      </c>
      <c r="D1452" s="11" t="s">
        <v>132</v>
      </c>
      <c r="E1452" s="11" t="s">
        <v>4040</v>
      </c>
      <c r="F1452" s="11" t="s">
        <v>4074</v>
      </c>
      <c r="G1452" s="1">
        <v>46258</v>
      </c>
      <c r="H1452" s="1">
        <v>46260</v>
      </c>
      <c r="I1452" s="2">
        <v>0.25</v>
      </c>
      <c r="J1452" s="2">
        <v>0.54166666666666663</v>
      </c>
      <c r="K1452" s="11"/>
      <c r="L1452" s="11" t="s">
        <v>4060</v>
      </c>
      <c r="M1452" s="1"/>
      <c r="N1452" s="11"/>
      <c r="O1452" s="11" t="s">
        <v>4042</v>
      </c>
      <c r="P1452" s="1"/>
      <c r="Q1452" s="1"/>
      <c r="R1452" s="11"/>
      <c r="S1452" s="2">
        <f>CONSOLIDADO_2026[[#This Row],[Hora final]]-CONSOLIDADO_2026[[#This Row],[Hora inic]]</f>
        <v>0.29166666666666663</v>
      </c>
    </row>
    <row r="1453" spans="1:19" hidden="1" x14ac:dyDescent="0.25">
      <c r="A1453" t="s">
        <v>4215</v>
      </c>
      <c r="B1453">
        <v>1096223065</v>
      </c>
      <c r="C1453" t="s">
        <v>3428</v>
      </c>
      <c r="D1453" s="11" t="s">
        <v>55</v>
      </c>
      <c r="E1453" s="11" t="s">
        <v>4047</v>
      </c>
      <c r="F1453" s="11" t="s">
        <v>4074</v>
      </c>
      <c r="G1453" s="1">
        <v>46258</v>
      </c>
      <c r="H1453" s="1"/>
      <c r="I1453" s="2">
        <v>0.58333333333333337</v>
      </c>
      <c r="J1453" s="2">
        <v>0.875</v>
      </c>
      <c r="K1453" s="11"/>
      <c r="L1453" s="11" t="s">
        <v>4060</v>
      </c>
      <c r="M1453" s="1"/>
      <c r="N1453" s="11"/>
      <c r="O1453" s="11" t="s">
        <v>4042</v>
      </c>
      <c r="P1453" s="1"/>
      <c r="Q1453" s="1"/>
      <c r="R1453" s="11"/>
      <c r="S1453" s="2">
        <f>CONSOLIDADO_2026[[#This Row],[Hora final]]-CONSOLIDADO_2026[[#This Row],[Hora inic]]</f>
        <v>0.29166666666666663</v>
      </c>
    </row>
    <row r="1454" spans="1:19" hidden="1" x14ac:dyDescent="0.25">
      <c r="A1454" t="s">
        <v>4215</v>
      </c>
      <c r="B1454">
        <v>1034296571</v>
      </c>
      <c r="C1454" t="s">
        <v>4234</v>
      </c>
      <c r="D1454" s="11" t="s">
        <v>128</v>
      </c>
      <c r="E1454" s="11" t="s">
        <v>4045</v>
      </c>
      <c r="F1454" s="11" t="s">
        <v>4074</v>
      </c>
      <c r="G1454" s="1">
        <v>46258</v>
      </c>
      <c r="H1454" s="1">
        <v>46260</v>
      </c>
      <c r="I1454" s="2">
        <v>0.625</v>
      </c>
      <c r="J1454" s="2">
        <v>0.875</v>
      </c>
      <c r="K1454" s="11"/>
      <c r="L1454" s="11" t="s">
        <v>4060</v>
      </c>
      <c r="M1454" s="1"/>
      <c r="N1454" s="11"/>
      <c r="O1454" s="11" t="s">
        <v>4042</v>
      </c>
      <c r="P1454" s="1"/>
      <c r="Q1454" s="1"/>
      <c r="R1454" s="11"/>
      <c r="S1454" s="2">
        <f>CONSOLIDADO_2026[[#This Row],[Hora final]]-CONSOLIDADO_2026[[#This Row],[Hora inic]]</f>
        <v>0.25</v>
      </c>
    </row>
    <row r="1455" spans="1:19" hidden="1" x14ac:dyDescent="0.25">
      <c r="A1455" t="s">
        <v>4215</v>
      </c>
      <c r="B1455">
        <v>1152709914</v>
      </c>
      <c r="C1455" t="s">
        <v>3437</v>
      </c>
      <c r="D1455" s="11" t="s">
        <v>139</v>
      </c>
      <c r="E1455" s="11" t="s">
        <v>4040</v>
      </c>
      <c r="F1455" s="11" t="s">
        <v>16</v>
      </c>
      <c r="G1455" s="1">
        <v>46258</v>
      </c>
      <c r="H1455" s="1">
        <v>46259</v>
      </c>
      <c r="I1455" s="2">
        <v>0.625</v>
      </c>
      <c r="J1455" s="2">
        <v>0.875</v>
      </c>
      <c r="K1455" s="11"/>
      <c r="L1455" s="11" t="s">
        <v>4235</v>
      </c>
      <c r="M1455" s="1"/>
      <c r="N1455" s="11"/>
      <c r="O1455" s="11" t="s">
        <v>21</v>
      </c>
      <c r="P1455" s="1"/>
      <c r="Q1455" s="1"/>
      <c r="R1455" s="11"/>
      <c r="S1455" s="2">
        <f>CONSOLIDADO_2026[[#This Row],[Hora final]]-CONSOLIDADO_2026[[#This Row],[Hora inic]]</f>
        <v>0.25</v>
      </c>
    </row>
    <row r="1456" spans="1:19" hidden="1" x14ac:dyDescent="0.25">
      <c r="A1456" t="s">
        <v>4215</v>
      </c>
      <c r="B1456">
        <v>1099551759</v>
      </c>
      <c r="C1456" t="s">
        <v>3053</v>
      </c>
      <c r="D1456" s="11" t="s">
        <v>64</v>
      </c>
      <c r="E1456" s="11" t="s">
        <v>4046</v>
      </c>
      <c r="F1456" s="11" t="s">
        <v>4074</v>
      </c>
      <c r="G1456" s="1">
        <v>46258</v>
      </c>
      <c r="H1456" s="1">
        <v>46258</v>
      </c>
      <c r="I1456" s="2">
        <v>0.54166666666666663</v>
      </c>
      <c r="J1456" s="2">
        <v>0.875</v>
      </c>
      <c r="K1456" s="11"/>
      <c r="L1456" s="11" t="s">
        <v>4060</v>
      </c>
      <c r="M1456" s="1"/>
      <c r="N1456" s="11"/>
      <c r="O1456" s="11" t="s">
        <v>4042</v>
      </c>
      <c r="P1456" s="1"/>
      <c r="Q1456" s="1"/>
      <c r="R1456" s="11"/>
      <c r="S1456" s="2">
        <f>CONSOLIDADO_2026[[#This Row],[Hora final]]-CONSOLIDADO_2026[[#This Row],[Hora inic]]</f>
        <v>0.33333333333333337</v>
      </c>
    </row>
    <row r="1457" spans="1:19" hidden="1" x14ac:dyDescent="0.25">
      <c r="A1457" t="s">
        <v>4215</v>
      </c>
      <c r="B1457">
        <v>1152434926</v>
      </c>
      <c r="C1457" t="s">
        <v>217</v>
      </c>
      <c r="D1457" s="11" t="s">
        <v>59</v>
      </c>
      <c r="E1457" s="11" t="s">
        <v>4047</v>
      </c>
      <c r="F1457" s="11" t="s">
        <v>16</v>
      </c>
      <c r="G1457" s="1">
        <v>46258</v>
      </c>
      <c r="H1457" s="1">
        <v>46263</v>
      </c>
      <c r="I1457" s="2">
        <v>0.25</v>
      </c>
      <c r="J1457" s="2">
        <v>0.45833333333333331</v>
      </c>
      <c r="K1457" s="11"/>
      <c r="L1457" s="11" t="s">
        <v>4060</v>
      </c>
      <c r="M1457" s="1"/>
      <c r="N1457" s="11"/>
      <c r="O1457" s="11" t="s">
        <v>4042</v>
      </c>
      <c r="P1457" s="1"/>
      <c r="Q1457" s="1"/>
      <c r="R1457" s="11"/>
      <c r="S1457" s="2">
        <f>CONSOLIDADO_2026[[#This Row],[Hora final]]-CONSOLIDADO_2026[[#This Row],[Hora inic]]</f>
        <v>0.20833333333333331</v>
      </c>
    </row>
    <row r="1458" spans="1:19" hidden="1" x14ac:dyDescent="0.25">
      <c r="A1458" t="s">
        <v>4215</v>
      </c>
      <c r="B1458">
        <v>1152226738</v>
      </c>
      <c r="C1458" t="s">
        <v>138</v>
      </c>
      <c r="D1458" s="11" t="s">
        <v>139</v>
      </c>
      <c r="E1458" s="11" t="s">
        <v>4040</v>
      </c>
      <c r="F1458" s="11" t="s">
        <v>16</v>
      </c>
      <c r="G1458" s="1">
        <v>46258</v>
      </c>
      <c r="H1458" s="1">
        <v>46258</v>
      </c>
      <c r="I1458" s="2">
        <v>0.25</v>
      </c>
      <c r="J1458" s="2">
        <v>0.54166666666666663</v>
      </c>
      <c r="K1458" s="11"/>
      <c r="L1458" s="11" t="s">
        <v>4060</v>
      </c>
      <c r="M1458" s="1"/>
      <c r="N1458" s="11"/>
      <c r="O1458" s="11" t="s">
        <v>4042</v>
      </c>
      <c r="P1458" s="1"/>
      <c r="Q1458" s="1"/>
      <c r="R1458" s="11"/>
      <c r="S1458" s="2">
        <f>CONSOLIDADO_2026[[#This Row],[Hora final]]-CONSOLIDADO_2026[[#This Row],[Hora inic]]</f>
        <v>0.29166666666666663</v>
      </c>
    </row>
    <row r="1459" spans="1:19" hidden="1" x14ac:dyDescent="0.25">
      <c r="A1459" t="s">
        <v>4215</v>
      </c>
      <c r="B1459">
        <v>1003305205</v>
      </c>
      <c r="C1459" t="s">
        <v>1398</v>
      </c>
      <c r="D1459" s="11" t="s">
        <v>162</v>
      </c>
      <c r="E1459" s="11" t="s">
        <v>4056</v>
      </c>
      <c r="F1459" s="11" t="s">
        <v>4074</v>
      </c>
      <c r="G1459" s="1">
        <v>46258</v>
      </c>
      <c r="H1459" s="1">
        <v>46260</v>
      </c>
      <c r="I1459" s="2">
        <v>0.54166666666666663</v>
      </c>
      <c r="J1459" s="2">
        <v>0.875</v>
      </c>
      <c r="K1459" s="11"/>
      <c r="L1459" s="11" t="s">
        <v>4236</v>
      </c>
      <c r="M1459" s="1"/>
      <c r="N1459" s="11"/>
      <c r="O1459" s="11" t="s">
        <v>21</v>
      </c>
      <c r="P1459" s="1"/>
      <c r="Q1459" s="1"/>
      <c r="R1459" s="11"/>
      <c r="S1459" s="2">
        <f>CONSOLIDADO_2026[[#This Row],[Hora final]]-CONSOLIDADO_2026[[#This Row],[Hora inic]]</f>
        <v>0.33333333333333337</v>
      </c>
    </row>
    <row r="1460" spans="1:19" hidden="1" x14ac:dyDescent="0.25">
      <c r="A1460" t="s">
        <v>4215</v>
      </c>
      <c r="B1460">
        <v>1067864151</v>
      </c>
      <c r="C1460" t="s">
        <v>1809</v>
      </c>
      <c r="D1460" s="11" t="s">
        <v>256</v>
      </c>
      <c r="E1460" s="11" t="s">
        <v>4040</v>
      </c>
      <c r="F1460" s="11" t="s">
        <v>4074</v>
      </c>
      <c r="G1460" s="1">
        <v>46258</v>
      </c>
      <c r="H1460" s="1">
        <v>46260</v>
      </c>
      <c r="I1460" s="2">
        <v>0.54166666666666663</v>
      </c>
      <c r="J1460" s="2">
        <v>0.875</v>
      </c>
      <c r="K1460" s="11"/>
      <c r="L1460" s="11" t="s">
        <v>4060</v>
      </c>
      <c r="M1460" s="1"/>
      <c r="N1460" s="11"/>
      <c r="O1460" s="11" t="s">
        <v>4042</v>
      </c>
      <c r="P1460" s="1"/>
      <c r="Q1460" s="1"/>
      <c r="R1460" s="11"/>
      <c r="S1460" s="2">
        <f>CONSOLIDADO_2026[[#This Row],[Hora final]]-CONSOLIDADO_2026[[#This Row],[Hora inic]]</f>
        <v>0.33333333333333337</v>
      </c>
    </row>
    <row r="1461" spans="1:19" hidden="1" x14ac:dyDescent="0.25">
      <c r="A1461" t="s">
        <v>4237</v>
      </c>
      <c r="B1461">
        <v>1002059980</v>
      </c>
      <c r="C1461" t="s">
        <v>1392</v>
      </c>
      <c r="D1461" s="11" t="s">
        <v>132</v>
      </c>
      <c r="E1461" s="11" t="s">
        <v>4040</v>
      </c>
      <c r="F1461" s="11" t="s">
        <v>16</v>
      </c>
      <c r="G1461" s="1">
        <v>46258</v>
      </c>
      <c r="H1461" s="1">
        <v>46259</v>
      </c>
      <c r="I1461" s="2">
        <v>0.58333333333333337</v>
      </c>
      <c r="J1461" s="2">
        <v>0.875</v>
      </c>
      <c r="K1461" s="11"/>
      <c r="L1461" s="11" t="s">
        <v>327</v>
      </c>
      <c r="M1461" s="1"/>
      <c r="N1461" s="11"/>
      <c r="O1461" s="11" t="s">
        <v>4042</v>
      </c>
      <c r="P1461" s="1"/>
      <c r="Q1461" s="1"/>
      <c r="R1461" s="11"/>
      <c r="S1461" s="2">
        <f>CONSOLIDADO_2026[[#This Row],[Hora final]]-CONSOLIDADO_2026[[#This Row],[Hora inic]]</f>
        <v>0.29166666666666663</v>
      </c>
    </row>
    <row r="1462" spans="1:19" hidden="1" x14ac:dyDescent="0.25">
      <c r="A1462" t="s">
        <v>4237</v>
      </c>
      <c r="B1462">
        <v>1007959114</v>
      </c>
      <c r="C1462" t="s">
        <v>4154</v>
      </c>
      <c r="D1462" s="11" t="s">
        <v>39</v>
      </c>
      <c r="E1462" s="11" t="s">
        <v>4046</v>
      </c>
      <c r="F1462" s="11" t="s">
        <v>16</v>
      </c>
      <c r="G1462" s="1">
        <v>46258</v>
      </c>
      <c r="H1462" s="1">
        <v>46260</v>
      </c>
      <c r="I1462" s="2">
        <v>0.58333333333333337</v>
      </c>
      <c r="J1462" s="2">
        <v>0.875</v>
      </c>
      <c r="K1462" s="11"/>
      <c r="L1462" s="11" t="s">
        <v>327</v>
      </c>
      <c r="M1462" s="1"/>
      <c r="N1462" s="11"/>
      <c r="O1462" s="11" t="s">
        <v>4042</v>
      </c>
      <c r="P1462" s="1"/>
      <c r="Q1462" s="1"/>
      <c r="R1462" s="11"/>
      <c r="S1462" s="2">
        <f>CONSOLIDADO_2026[[#This Row],[Hora final]]-CONSOLIDADO_2026[[#This Row],[Hora inic]]</f>
        <v>0.29166666666666663</v>
      </c>
    </row>
    <row r="1463" spans="1:19" hidden="1" x14ac:dyDescent="0.25">
      <c r="A1463" t="s">
        <v>4237</v>
      </c>
      <c r="B1463">
        <v>1152471758</v>
      </c>
      <c r="C1463" t="s">
        <v>3840</v>
      </c>
      <c r="D1463" s="11" t="s">
        <v>245</v>
      </c>
      <c r="E1463" s="11" t="s">
        <v>4040</v>
      </c>
      <c r="F1463" s="11" t="s">
        <v>16</v>
      </c>
      <c r="G1463" s="1">
        <v>46258</v>
      </c>
      <c r="H1463" s="1">
        <v>46259</v>
      </c>
      <c r="I1463" s="2">
        <v>0.54166666666666663</v>
      </c>
      <c r="J1463" s="2">
        <v>0.875</v>
      </c>
      <c r="K1463" s="11"/>
      <c r="L1463" s="11" t="s">
        <v>327</v>
      </c>
      <c r="M1463" s="1"/>
      <c r="N1463" s="11"/>
      <c r="O1463" s="11" t="s">
        <v>4042</v>
      </c>
      <c r="P1463" s="1"/>
      <c r="Q1463" s="1"/>
      <c r="R1463" s="11"/>
      <c r="S1463" s="2">
        <f>CONSOLIDADO_2026[[#This Row],[Hora final]]-CONSOLIDADO_2026[[#This Row],[Hora inic]]</f>
        <v>0.33333333333333337</v>
      </c>
    </row>
    <row r="1464" spans="1:19" hidden="1" x14ac:dyDescent="0.25">
      <c r="A1464" t="s">
        <v>4237</v>
      </c>
      <c r="B1464">
        <v>1001013936</v>
      </c>
      <c r="C1464" t="s">
        <v>4191</v>
      </c>
      <c r="D1464" s="11" t="s">
        <v>28</v>
      </c>
      <c r="E1464" s="11" t="s">
        <v>4046</v>
      </c>
      <c r="F1464" s="11" t="s">
        <v>16</v>
      </c>
      <c r="G1464" s="1">
        <v>46258</v>
      </c>
      <c r="H1464" s="1">
        <v>46258</v>
      </c>
      <c r="I1464" s="2"/>
      <c r="J1464" s="2"/>
      <c r="K1464" s="11"/>
      <c r="L1464" s="11" t="s">
        <v>4041</v>
      </c>
      <c r="M1464" s="1"/>
      <c r="N1464" s="11"/>
      <c r="O1464" s="11" t="s">
        <v>4042</v>
      </c>
      <c r="P1464" s="1"/>
      <c r="Q1464" s="1"/>
      <c r="R1464" s="11"/>
      <c r="S1464" s="2">
        <f>CONSOLIDADO_2026[[#This Row],[Hora final]]-CONSOLIDADO_2026[[#This Row],[Hora inic]]</f>
        <v>0</v>
      </c>
    </row>
    <row r="1465" spans="1:19" hidden="1" x14ac:dyDescent="0.25">
      <c r="A1465" t="s">
        <v>4237</v>
      </c>
      <c r="B1465">
        <v>1067859397</v>
      </c>
      <c r="C1465" t="s">
        <v>1628</v>
      </c>
      <c r="D1465" s="11" t="s">
        <v>421</v>
      </c>
      <c r="E1465" s="11" t="s">
        <v>4047</v>
      </c>
      <c r="F1465" s="11" t="s">
        <v>16</v>
      </c>
      <c r="G1465" s="1">
        <v>46258</v>
      </c>
      <c r="H1465" s="1">
        <v>46258</v>
      </c>
      <c r="I1465" s="2">
        <v>0.58333333333333337</v>
      </c>
      <c r="J1465" s="2">
        <v>0.875</v>
      </c>
      <c r="K1465" s="11"/>
      <c r="L1465" s="11" t="s">
        <v>327</v>
      </c>
      <c r="M1465" s="1"/>
      <c r="N1465" s="11"/>
      <c r="O1465" s="11" t="s">
        <v>4042</v>
      </c>
      <c r="P1465" s="1"/>
      <c r="Q1465" s="1"/>
      <c r="R1465" s="11"/>
      <c r="S1465" s="2">
        <f>CONSOLIDADO_2026[[#This Row],[Hora final]]-CONSOLIDADO_2026[[#This Row],[Hora inic]]</f>
        <v>0.29166666666666663</v>
      </c>
    </row>
    <row r="1466" spans="1:19" hidden="1" x14ac:dyDescent="0.25">
      <c r="A1466" t="s">
        <v>4237</v>
      </c>
      <c r="B1466">
        <v>1116283658</v>
      </c>
      <c r="C1466" t="s">
        <v>283</v>
      </c>
      <c r="D1466" s="11" t="s">
        <v>256</v>
      </c>
      <c r="E1466" s="11" t="s">
        <v>4040</v>
      </c>
      <c r="F1466" s="11" t="s">
        <v>24</v>
      </c>
      <c r="G1466" s="1">
        <v>46258</v>
      </c>
      <c r="H1466" s="1">
        <v>46265</v>
      </c>
      <c r="I1466" s="2">
        <v>0.25</v>
      </c>
      <c r="J1466" s="2">
        <v>0.58333333333333337</v>
      </c>
      <c r="K1466" s="11" t="s">
        <v>181</v>
      </c>
      <c r="L1466" s="11" t="s">
        <v>182</v>
      </c>
      <c r="M1466" s="1"/>
      <c r="N1466" s="11"/>
      <c r="O1466" s="11" t="s">
        <v>21</v>
      </c>
      <c r="P1466" s="1"/>
      <c r="Q1466" s="1"/>
      <c r="R1466" s="11"/>
      <c r="S1466" s="2">
        <f>CONSOLIDADO_2026[[#This Row],[Hora final]]-CONSOLIDADO_2026[[#This Row],[Hora inic]]</f>
        <v>0.33333333333333337</v>
      </c>
    </row>
    <row r="1467" spans="1:19" hidden="1" x14ac:dyDescent="0.25">
      <c r="A1467" t="s">
        <v>4237</v>
      </c>
      <c r="B1467">
        <v>1000098388</v>
      </c>
      <c r="C1467" t="s">
        <v>4231</v>
      </c>
      <c r="D1467" s="11" t="s">
        <v>28</v>
      </c>
      <c r="E1467" s="11" t="s">
        <v>4046</v>
      </c>
      <c r="F1467" s="11" t="s">
        <v>4050</v>
      </c>
      <c r="G1467" s="1">
        <v>46258</v>
      </c>
      <c r="H1467" s="1">
        <v>46260</v>
      </c>
      <c r="I1467" s="2">
        <v>0.58333333333333337</v>
      </c>
      <c r="J1467" s="2">
        <v>0.875</v>
      </c>
      <c r="K1467" s="11" t="s">
        <v>236</v>
      </c>
      <c r="L1467" s="11" t="s">
        <v>237</v>
      </c>
      <c r="M1467" s="1"/>
      <c r="N1467" s="11"/>
      <c r="O1467" s="11" t="s">
        <v>21</v>
      </c>
      <c r="P1467" s="1"/>
      <c r="Q1467" s="1"/>
      <c r="R1467" s="11"/>
      <c r="S1467" s="2">
        <f>CONSOLIDADO_2026[[#This Row],[Hora final]]-CONSOLIDADO_2026[[#This Row],[Hora inic]]</f>
        <v>0.29166666666666663</v>
      </c>
    </row>
    <row r="1468" spans="1:19" hidden="1" x14ac:dyDescent="0.25">
      <c r="A1468" t="s">
        <v>4237</v>
      </c>
      <c r="B1468">
        <v>1037644923</v>
      </c>
      <c r="C1468" t="s">
        <v>4218</v>
      </c>
      <c r="D1468" s="11" t="s">
        <v>492</v>
      </c>
      <c r="E1468" s="11" t="s">
        <v>4045</v>
      </c>
      <c r="F1468" s="11" t="s">
        <v>4074</v>
      </c>
      <c r="G1468" s="1">
        <v>46258</v>
      </c>
      <c r="H1468" s="1">
        <v>46260</v>
      </c>
      <c r="I1468" s="2">
        <v>0.25</v>
      </c>
      <c r="J1468" s="2">
        <v>0.54166666666666663</v>
      </c>
      <c r="K1468" s="11"/>
      <c r="L1468" s="11" t="s">
        <v>4060</v>
      </c>
      <c r="M1468" s="1"/>
      <c r="N1468" s="11"/>
      <c r="O1468" s="11" t="s">
        <v>4042</v>
      </c>
      <c r="P1468" s="1"/>
      <c r="Q1468" s="1"/>
      <c r="R1468" s="11"/>
      <c r="S1468" s="2">
        <f>CONSOLIDADO_2026[[#This Row],[Hora final]]-CONSOLIDADO_2026[[#This Row],[Hora inic]]</f>
        <v>0.29166666666666663</v>
      </c>
    </row>
    <row r="1469" spans="1:19" hidden="1" x14ac:dyDescent="0.25">
      <c r="A1469" t="s">
        <v>4237</v>
      </c>
      <c r="B1469">
        <v>1036618989</v>
      </c>
      <c r="C1469" t="s">
        <v>81</v>
      </c>
      <c r="D1469" s="11" t="s">
        <v>82</v>
      </c>
      <c r="E1469" s="11" t="s">
        <v>4045</v>
      </c>
      <c r="F1469" s="11" t="s">
        <v>16</v>
      </c>
      <c r="G1469" s="1">
        <v>46255</v>
      </c>
      <c r="H1469" s="1">
        <v>46258</v>
      </c>
      <c r="I1469" s="2"/>
      <c r="J1469" s="2"/>
      <c r="K1469" s="11"/>
      <c r="L1469" s="11" t="s">
        <v>4041</v>
      </c>
      <c r="M1469" s="1"/>
      <c r="N1469" s="11"/>
      <c r="O1469" s="11" t="s">
        <v>4042</v>
      </c>
      <c r="P1469" s="1"/>
      <c r="Q1469" s="1"/>
      <c r="R1469" s="11"/>
      <c r="S1469" s="2">
        <f>CONSOLIDADO_2026[[#This Row],[Hora final]]-CONSOLIDADO_2026[[#This Row],[Hora inic]]</f>
        <v>0</v>
      </c>
    </row>
    <row r="1470" spans="1:19" hidden="1" x14ac:dyDescent="0.25">
      <c r="A1470" t="s">
        <v>4237</v>
      </c>
      <c r="B1470">
        <v>1043006106</v>
      </c>
      <c r="C1470" t="s">
        <v>63</v>
      </c>
      <c r="D1470" s="11" t="s">
        <v>64</v>
      </c>
      <c r="E1470" s="11" t="s">
        <v>4046</v>
      </c>
      <c r="F1470" s="11" t="s">
        <v>16</v>
      </c>
      <c r="G1470" s="1">
        <v>46249</v>
      </c>
      <c r="H1470" s="1">
        <v>46278</v>
      </c>
      <c r="I1470" s="2">
        <v>0.25</v>
      </c>
      <c r="J1470" s="2">
        <v>0.58333333333333337</v>
      </c>
      <c r="K1470" s="11" t="s">
        <v>318</v>
      </c>
      <c r="L1470" s="11" t="s">
        <v>319</v>
      </c>
      <c r="M1470" s="1"/>
      <c r="N1470" s="11"/>
      <c r="O1470" s="11" t="s">
        <v>21</v>
      </c>
      <c r="P1470" s="1"/>
      <c r="Q1470" s="1"/>
      <c r="R1470" s="11"/>
      <c r="S1470" s="2">
        <f>CONSOLIDADO_2026[[#This Row],[Hora final]]-CONSOLIDADO_2026[[#This Row],[Hora inic]]</f>
        <v>0.33333333333333337</v>
      </c>
    </row>
    <row r="1471" spans="1:19" hidden="1" x14ac:dyDescent="0.25">
      <c r="A1471" t="s">
        <v>4237</v>
      </c>
      <c r="B1471">
        <v>1096223065</v>
      </c>
      <c r="C1471" t="s">
        <v>3428</v>
      </c>
      <c r="D1471" s="11" t="s">
        <v>59</v>
      </c>
      <c r="E1471" s="11" t="s">
        <v>4047</v>
      </c>
      <c r="F1471" s="11" t="s">
        <v>24</v>
      </c>
      <c r="G1471" s="1">
        <v>46253</v>
      </c>
      <c r="H1471" s="1">
        <v>46265</v>
      </c>
      <c r="I1471" s="2">
        <v>0.25</v>
      </c>
      <c r="J1471" s="2">
        <v>0.54166666666666663</v>
      </c>
      <c r="K1471" s="11" t="s">
        <v>85</v>
      </c>
      <c r="L1471" s="11" t="s">
        <v>86</v>
      </c>
      <c r="M1471" s="1"/>
      <c r="N1471" s="11"/>
      <c r="O1471" s="11" t="s">
        <v>21</v>
      </c>
      <c r="P1471" s="1"/>
      <c r="Q1471" s="1"/>
      <c r="R1471" s="11"/>
      <c r="S1471" s="2">
        <f>CONSOLIDADO_2026[[#This Row],[Hora final]]-CONSOLIDADO_2026[[#This Row],[Hora inic]]</f>
        <v>0.29166666666666663</v>
      </c>
    </row>
    <row r="1472" spans="1:19" hidden="1" x14ac:dyDescent="0.25">
      <c r="A1472" t="s">
        <v>4237</v>
      </c>
      <c r="B1472">
        <v>1036670630</v>
      </c>
      <c r="C1472" t="s">
        <v>4146</v>
      </c>
      <c r="D1472" s="11" t="s">
        <v>51</v>
      </c>
      <c r="E1472" s="11" t="s">
        <v>4040</v>
      </c>
      <c r="F1472" s="11" t="s">
        <v>4147</v>
      </c>
      <c r="G1472" s="1">
        <v>46259</v>
      </c>
      <c r="H1472" s="1">
        <v>46259</v>
      </c>
      <c r="I1472" s="2">
        <v>0.54166666666666663</v>
      </c>
      <c r="J1472" s="2">
        <v>0.875</v>
      </c>
      <c r="K1472" s="11"/>
      <c r="L1472" s="11" t="s">
        <v>327</v>
      </c>
      <c r="M1472" s="1"/>
      <c r="N1472" s="11"/>
      <c r="O1472" s="11" t="s">
        <v>4042</v>
      </c>
      <c r="P1472" s="1"/>
      <c r="Q1472" s="1"/>
      <c r="R1472" s="11"/>
      <c r="S1472" s="2">
        <f>CONSOLIDADO_2026[[#This Row],[Hora final]]-CONSOLIDADO_2026[[#This Row],[Hora inic]]</f>
        <v>0.33333333333333337</v>
      </c>
    </row>
    <row r="1473" spans="1:19" hidden="1" x14ac:dyDescent="0.25">
      <c r="A1473" t="s">
        <v>4237</v>
      </c>
      <c r="B1473">
        <v>1007334260</v>
      </c>
      <c r="C1473" t="s">
        <v>4207</v>
      </c>
      <c r="D1473" s="11" t="s">
        <v>344</v>
      </c>
      <c r="E1473" s="11" t="s">
        <v>4056</v>
      </c>
      <c r="F1473" s="11" t="s">
        <v>4050</v>
      </c>
      <c r="G1473" s="1">
        <v>46255</v>
      </c>
      <c r="H1473" s="1">
        <v>46259</v>
      </c>
      <c r="I1473" s="2">
        <v>0.625</v>
      </c>
      <c r="J1473" s="2">
        <v>0.875</v>
      </c>
      <c r="K1473" s="11" t="s">
        <v>560</v>
      </c>
      <c r="L1473" s="11" t="s">
        <v>561</v>
      </c>
      <c r="M1473" s="1"/>
      <c r="N1473" s="11"/>
      <c r="O1473" s="11" t="s">
        <v>21</v>
      </c>
      <c r="P1473" s="1"/>
      <c r="Q1473" s="1"/>
      <c r="R1473" s="11"/>
      <c r="S1473" s="2">
        <f>CONSOLIDADO_2026[[#This Row],[Hora final]]-CONSOLIDADO_2026[[#This Row],[Hora inic]]</f>
        <v>0.25</v>
      </c>
    </row>
    <row r="1474" spans="1:19" hidden="1" x14ac:dyDescent="0.25">
      <c r="A1474" t="s">
        <v>4237</v>
      </c>
      <c r="B1474">
        <v>1143375080</v>
      </c>
      <c r="C1474" t="s">
        <v>157</v>
      </c>
      <c r="D1474" s="11" t="s">
        <v>44</v>
      </c>
      <c r="E1474" s="11" t="s">
        <v>4045</v>
      </c>
      <c r="F1474" s="11" t="s">
        <v>16</v>
      </c>
      <c r="G1474" s="1">
        <v>46250</v>
      </c>
      <c r="H1474" s="1">
        <v>46257</v>
      </c>
      <c r="I1474" s="2">
        <v>0.54166666666666663</v>
      </c>
      <c r="J1474" s="2">
        <v>0.875</v>
      </c>
      <c r="K1474" s="11"/>
      <c r="L1474" s="11" t="s">
        <v>4041</v>
      </c>
      <c r="M1474" s="1"/>
      <c r="N1474" s="11"/>
      <c r="O1474" s="11" t="s">
        <v>4042</v>
      </c>
      <c r="P1474" s="1"/>
      <c r="Q1474" s="1"/>
      <c r="R1474" s="11"/>
      <c r="S1474" s="2">
        <f>CONSOLIDADO_2026[[#This Row],[Hora final]]-CONSOLIDADO_2026[[#This Row],[Hora inic]]</f>
        <v>0.33333333333333337</v>
      </c>
    </row>
    <row r="1475" spans="1:19" hidden="1" x14ac:dyDescent="0.25">
      <c r="A1475" t="s">
        <v>4237</v>
      </c>
      <c r="B1475">
        <v>1040755197</v>
      </c>
      <c r="C1475" t="s">
        <v>171</v>
      </c>
      <c r="D1475" s="11" t="s">
        <v>172</v>
      </c>
      <c r="E1475" s="11" t="s">
        <v>4046</v>
      </c>
      <c r="F1475" s="11" t="s">
        <v>16</v>
      </c>
      <c r="G1475" s="1">
        <v>46252</v>
      </c>
      <c r="H1475" s="1">
        <v>46262</v>
      </c>
      <c r="I1475" s="2">
        <v>0.25</v>
      </c>
      <c r="J1475" s="2">
        <v>0.54166666666666663</v>
      </c>
      <c r="K1475" s="11" t="s">
        <v>294</v>
      </c>
      <c r="L1475" s="11" t="s">
        <v>295</v>
      </c>
      <c r="M1475" s="1"/>
      <c r="N1475" s="11"/>
      <c r="O1475" s="11" t="s">
        <v>21</v>
      </c>
      <c r="P1475" s="1"/>
      <c r="Q1475" s="1"/>
      <c r="R1475" s="11"/>
      <c r="S1475" s="2">
        <f>CONSOLIDADO_2026[[#This Row],[Hora final]]-CONSOLIDADO_2026[[#This Row],[Hora inic]]</f>
        <v>0.29166666666666663</v>
      </c>
    </row>
    <row r="1476" spans="1:19" hidden="1" x14ac:dyDescent="0.25">
      <c r="A1476" t="s">
        <v>4237</v>
      </c>
      <c r="B1476">
        <v>1102808787</v>
      </c>
      <c r="C1476" t="s">
        <v>135</v>
      </c>
      <c r="D1476" s="11" t="s">
        <v>39</v>
      </c>
      <c r="E1476" s="11" t="s">
        <v>4046</v>
      </c>
      <c r="F1476" s="11" t="s">
        <v>16</v>
      </c>
      <c r="G1476" s="1">
        <v>46245</v>
      </c>
      <c r="H1476" s="1">
        <v>46276</v>
      </c>
      <c r="I1476" s="2">
        <v>0.58333333333333337</v>
      </c>
      <c r="J1476" s="2">
        <v>0.875</v>
      </c>
      <c r="K1476" s="11"/>
      <c r="L1476" s="11" t="s">
        <v>327</v>
      </c>
      <c r="M1476" s="1"/>
      <c r="N1476" s="11"/>
      <c r="O1476" s="11" t="s">
        <v>4042</v>
      </c>
      <c r="P1476" s="1"/>
      <c r="Q1476" s="1"/>
      <c r="R1476" s="11"/>
      <c r="S1476" s="2">
        <f>CONSOLIDADO_2026[[#This Row],[Hora final]]-CONSOLIDADO_2026[[#This Row],[Hora inic]]</f>
        <v>0.29166666666666663</v>
      </c>
    </row>
    <row r="1477" spans="1:19" hidden="1" x14ac:dyDescent="0.25">
      <c r="A1477" t="s">
        <v>4237</v>
      </c>
      <c r="B1477">
        <v>1082896324</v>
      </c>
      <c r="C1477" t="s">
        <v>127</v>
      </c>
      <c r="D1477" s="11" t="s">
        <v>128</v>
      </c>
      <c r="E1477" s="11" t="s">
        <v>4045</v>
      </c>
      <c r="F1477" s="11" t="s">
        <v>16</v>
      </c>
      <c r="G1477" s="1">
        <v>46242</v>
      </c>
      <c r="H1477" s="1">
        <v>46272</v>
      </c>
      <c r="I1477" s="2">
        <v>0.25</v>
      </c>
      <c r="J1477" s="2">
        <v>0.54166666666666663</v>
      </c>
      <c r="K1477" s="11"/>
      <c r="L1477" s="11" t="s">
        <v>327</v>
      </c>
      <c r="M1477" s="1"/>
      <c r="N1477" s="11"/>
      <c r="O1477" s="11" t="s">
        <v>4042</v>
      </c>
      <c r="P1477" s="1"/>
      <c r="Q1477" s="1"/>
      <c r="R1477" s="11"/>
      <c r="S1477" s="2">
        <f>CONSOLIDADO_2026[[#This Row],[Hora final]]-CONSOLIDADO_2026[[#This Row],[Hora inic]]</f>
        <v>0.29166666666666663</v>
      </c>
    </row>
    <row r="1478" spans="1:19" hidden="1" x14ac:dyDescent="0.25">
      <c r="A1478" t="s">
        <v>4237</v>
      </c>
      <c r="B1478">
        <v>1152446353</v>
      </c>
      <c r="C1478" t="s">
        <v>205</v>
      </c>
      <c r="D1478" s="11" t="s">
        <v>51</v>
      </c>
      <c r="E1478" s="11" t="s">
        <v>4047</v>
      </c>
      <c r="F1478" s="11" t="s">
        <v>92</v>
      </c>
      <c r="G1478" s="1">
        <v>46258</v>
      </c>
      <c r="H1478" s="1">
        <v>46262</v>
      </c>
      <c r="I1478" s="2">
        <v>0.54166666666666663</v>
      </c>
      <c r="J1478" s="2">
        <v>0.875</v>
      </c>
      <c r="K1478" s="11" t="s">
        <v>261</v>
      </c>
      <c r="L1478" s="11" t="s">
        <v>262</v>
      </c>
      <c r="M1478" s="1"/>
      <c r="N1478" s="11"/>
      <c r="O1478" s="11" t="s">
        <v>21</v>
      </c>
      <c r="P1478" s="1"/>
      <c r="Q1478" s="1"/>
      <c r="R1478" s="11"/>
      <c r="S1478" s="2">
        <f>CONSOLIDADO_2026[[#This Row],[Hora final]]-CONSOLIDADO_2026[[#This Row],[Hora inic]]</f>
        <v>0.33333333333333337</v>
      </c>
    </row>
    <row r="1479" spans="1:19" hidden="1" x14ac:dyDescent="0.25">
      <c r="A1479" t="s">
        <v>4237</v>
      </c>
      <c r="B1479">
        <v>1015483595</v>
      </c>
      <c r="C1479" t="s">
        <v>221</v>
      </c>
      <c r="D1479" s="11" t="s">
        <v>15</v>
      </c>
      <c r="E1479" s="11" t="s">
        <v>4046</v>
      </c>
      <c r="F1479" s="11" t="s">
        <v>24</v>
      </c>
      <c r="G1479" s="1">
        <v>46244</v>
      </c>
      <c r="H1479" s="1">
        <v>46265</v>
      </c>
      <c r="I1479" s="2">
        <v>0.58333333333333337</v>
      </c>
      <c r="J1479" s="2">
        <v>0.875</v>
      </c>
      <c r="K1479" s="11" t="s">
        <v>251</v>
      </c>
      <c r="L1479" s="11" t="s">
        <v>252</v>
      </c>
      <c r="M1479" s="1"/>
      <c r="N1479" s="11"/>
      <c r="O1479" s="11" t="s">
        <v>21</v>
      </c>
      <c r="P1479" s="1"/>
      <c r="Q1479" s="1"/>
      <c r="R1479" s="11"/>
      <c r="S1479" s="2">
        <f>CONSOLIDADO_2026[[#This Row],[Hora final]]-CONSOLIDADO_2026[[#This Row],[Hora inic]]</f>
        <v>0.29166666666666663</v>
      </c>
    </row>
    <row r="1480" spans="1:19" hidden="1" x14ac:dyDescent="0.25">
      <c r="A1480" t="s">
        <v>4237</v>
      </c>
      <c r="B1480">
        <v>1001851670</v>
      </c>
      <c r="C1480" t="s">
        <v>50</v>
      </c>
      <c r="D1480" s="11" t="s">
        <v>51</v>
      </c>
      <c r="E1480" s="11" t="s">
        <v>4047</v>
      </c>
      <c r="F1480" s="11" t="s">
        <v>36</v>
      </c>
      <c r="G1480" s="1">
        <v>46241</v>
      </c>
      <c r="H1480" s="1">
        <v>46366</v>
      </c>
      <c r="I1480" s="2">
        <v>0.54166666666666663</v>
      </c>
      <c r="J1480" s="2">
        <v>0.875</v>
      </c>
      <c r="K1480" s="11"/>
      <c r="L1480" s="11" t="s">
        <v>327</v>
      </c>
      <c r="M1480" s="1"/>
      <c r="N1480" s="11"/>
      <c r="O1480" s="11" t="s">
        <v>4042</v>
      </c>
      <c r="P1480" s="1"/>
      <c r="Q1480" s="1"/>
      <c r="R1480" s="11"/>
      <c r="S1480" s="2">
        <f>CONSOLIDADO_2026[[#This Row],[Hora final]]-CONSOLIDADO_2026[[#This Row],[Hora inic]]</f>
        <v>0.33333333333333337</v>
      </c>
    </row>
    <row r="1481" spans="1:19" hidden="1" x14ac:dyDescent="0.25">
      <c r="A1481" t="s">
        <v>4237</v>
      </c>
      <c r="B1481">
        <v>1000415206</v>
      </c>
      <c r="C1481" t="s">
        <v>325</v>
      </c>
      <c r="D1481" s="11" t="s">
        <v>128</v>
      </c>
      <c r="E1481" s="11" t="s">
        <v>4045</v>
      </c>
      <c r="F1481" s="11" t="s">
        <v>326</v>
      </c>
      <c r="G1481" s="1">
        <v>46258</v>
      </c>
      <c r="H1481" s="1">
        <v>46262</v>
      </c>
      <c r="I1481" s="2">
        <v>0.25</v>
      </c>
      <c r="J1481" s="2">
        <v>0.5</v>
      </c>
      <c r="K1481" s="11" t="s">
        <v>45</v>
      </c>
      <c r="L1481" s="11" t="s">
        <v>46</v>
      </c>
      <c r="M1481" s="1"/>
      <c r="N1481" s="11"/>
      <c r="O1481" s="11" t="s">
        <v>21</v>
      </c>
      <c r="P1481" s="1"/>
      <c r="Q1481" s="1"/>
      <c r="R1481" s="11"/>
      <c r="S1481" s="2">
        <f>CONSOLIDADO_2026[[#This Row],[Hora final]]-CONSOLIDADO_2026[[#This Row],[Hora inic]]</f>
        <v>0.25</v>
      </c>
    </row>
    <row r="1482" spans="1:19" hidden="1" x14ac:dyDescent="0.25">
      <c r="A1482" t="s">
        <v>4237</v>
      </c>
      <c r="B1482">
        <v>42141273</v>
      </c>
      <c r="C1482" t="s">
        <v>271</v>
      </c>
      <c r="D1482" s="11" t="s">
        <v>272</v>
      </c>
      <c r="E1482" s="11" t="s">
        <v>4056</v>
      </c>
      <c r="F1482" s="11" t="s">
        <v>4065</v>
      </c>
      <c r="G1482" s="1">
        <v>46238</v>
      </c>
      <c r="H1482" s="1">
        <v>46295</v>
      </c>
      <c r="I1482" s="2">
        <v>0.25</v>
      </c>
      <c r="J1482" s="2">
        <v>0.5</v>
      </c>
      <c r="K1482" s="11" t="s">
        <v>184</v>
      </c>
      <c r="L1482" s="11" t="s">
        <v>185</v>
      </c>
      <c r="M1482" s="1"/>
      <c r="N1482" s="11"/>
      <c r="O1482" s="11" t="s">
        <v>4042</v>
      </c>
      <c r="P1482" s="1"/>
      <c r="Q1482" s="1"/>
      <c r="R1482" s="11"/>
      <c r="S1482" s="2">
        <f>CONSOLIDADO_2026[[#This Row],[Hora final]]-CONSOLIDADO_2026[[#This Row],[Hora inic]]</f>
        <v>0.25</v>
      </c>
    </row>
    <row r="1483" spans="1:19" hidden="1" x14ac:dyDescent="0.25">
      <c r="A1483" t="s">
        <v>4237</v>
      </c>
      <c r="B1483">
        <v>1152221372</v>
      </c>
      <c r="C1483" t="s">
        <v>4072</v>
      </c>
      <c r="D1483" s="11" t="s">
        <v>139</v>
      </c>
      <c r="E1483" s="11" t="s">
        <v>4040</v>
      </c>
      <c r="F1483" s="11" t="s">
        <v>158</v>
      </c>
      <c r="G1483" s="1">
        <v>46230</v>
      </c>
      <c r="H1483" s="1">
        <v>46230</v>
      </c>
      <c r="I1483" s="2">
        <v>0.25</v>
      </c>
      <c r="J1483" s="2">
        <v>0.54166666666666663</v>
      </c>
      <c r="K1483" s="11"/>
      <c r="L1483" s="11" t="s">
        <v>327</v>
      </c>
      <c r="M1483" s="1"/>
      <c r="N1483" s="11"/>
      <c r="O1483" s="11" t="s">
        <v>4042</v>
      </c>
      <c r="P1483" s="1"/>
      <c r="Q1483" s="1"/>
      <c r="R1483" s="11"/>
      <c r="S1483" s="2">
        <f>CONSOLIDADO_2026[[#This Row],[Hora final]]-CONSOLIDADO_2026[[#This Row],[Hora inic]]</f>
        <v>0.29166666666666663</v>
      </c>
    </row>
    <row r="1484" spans="1:19" hidden="1" x14ac:dyDescent="0.25">
      <c r="A1484" t="s">
        <v>4237</v>
      </c>
      <c r="B1484">
        <v>1017264032</v>
      </c>
      <c r="C1484" t="s">
        <v>88</v>
      </c>
      <c r="D1484" s="11" t="s">
        <v>55</v>
      </c>
      <c r="E1484" s="11" t="s">
        <v>4047</v>
      </c>
      <c r="F1484" s="11" t="s">
        <v>16</v>
      </c>
      <c r="G1484" s="1">
        <v>46229</v>
      </c>
      <c r="H1484" s="1">
        <v>46258</v>
      </c>
      <c r="I1484" s="2">
        <v>0.25</v>
      </c>
      <c r="J1484" s="2">
        <v>0.58333333333333337</v>
      </c>
      <c r="K1484" s="11" t="s">
        <v>150</v>
      </c>
      <c r="L1484" s="11" t="s">
        <v>151</v>
      </c>
      <c r="M1484" s="1"/>
      <c r="N1484" s="11"/>
      <c r="O1484" s="11" t="s">
        <v>21</v>
      </c>
      <c r="P1484" s="1"/>
      <c r="Q1484" s="1"/>
      <c r="R1484" s="11"/>
      <c r="S1484" s="2">
        <f>CONSOLIDADO_2026[[#This Row],[Hora final]]-CONSOLIDADO_2026[[#This Row],[Hora inic]]</f>
        <v>0.33333333333333337</v>
      </c>
    </row>
    <row r="1485" spans="1:19" hidden="1" x14ac:dyDescent="0.25">
      <c r="A1485" t="s">
        <v>4237</v>
      </c>
      <c r="B1485">
        <v>1037630071</v>
      </c>
      <c r="C1485" t="s">
        <v>4196</v>
      </c>
      <c r="D1485" s="11" t="s">
        <v>176</v>
      </c>
      <c r="E1485" s="11" t="s">
        <v>4040</v>
      </c>
      <c r="F1485" s="11" t="s">
        <v>4062</v>
      </c>
      <c r="G1485" s="1">
        <v>46247</v>
      </c>
      <c r="H1485" s="1">
        <v>46265</v>
      </c>
      <c r="I1485" s="2">
        <v>0.25</v>
      </c>
      <c r="J1485" s="2">
        <v>0.58333333333333337</v>
      </c>
      <c r="K1485" s="11" t="s">
        <v>199</v>
      </c>
      <c r="L1485" s="11" t="s">
        <v>200</v>
      </c>
      <c r="M1485" s="1"/>
      <c r="N1485" s="11"/>
      <c r="O1485" s="11" t="s">
        <v>21</v>
      </c>
      <c r="P1485" s="1"/>
      <c r="Q1485" s="1"/>
      <c r="R1485" s="11"/>
      <c r="S1485" s="2">
        <f>CONSOLIDADO_2026[[#This Row],[Hora final]]-CONSOLIDADO_2026[[#This Row],[Hora inic]]</f>
        <v>0.33333333333333337</v>
      </c>
    </row>
    <row r="1486" spans="1:19" hidden="1" x14ac:dyDescent="0.25">
      <c r="A1486" t="s">
        <v>4237</v>
      </c>
      <c r="B1486">
        <v>1143460426</v>
      </c>
      <c r="C1486" t="s">
        <v>4069</v>
      </c>
      <c r="D1486" s="11" t="s">
        <v>64</v>
      </c>
      <c r="E1486" s="11" t="s">
        <v>4046</v>
      </c>
      <c r="F1486" s="11" t="s">
        <v>4050</v>
      </c>
      <c r="G1486" s="1">
        <v>46195</v>
      </c>
      <c r="H1486" s="1">
        <v>46198</v>
      </c>
      <c r="I1486" s="2">
        <v>0.25</v>
      </c>
      <c r="J1486" s="2">
        <v>0.58333333333333337</v>
      </c>
      <c r="K1486" s="11" t="s">
        <v>103</v>
      </c>
      <c r="L1486" s="11" t="s">
        <v>104</v>
      </c>
      <c r="M1486" s="1"/>
      <c r="N1486" s="11"/>
      <c r="O1486" s="11" t="s">
        <v>21</v>
      </c>
      <c r="P1486" s="1"/>
      <c r="Q1486" s="1"/>
      <c r="R1486" s="11"/>
      <c r="S1486" s="2">
        <f>CONSOLIDADO_2026[[#This Row],[Hora final]]-CONSOLIDADO_2026[[#This Row],[Hora inic]]</f>
        <v>0.33333333333333337</v>
      </c>
    </row>
    <row r="1487" spans="1:19" hidden="1" x14ac:dyDescent="0.25">
      <c r="A1487" t="s">
        <v>4237</v>
      </c>
      <c r="B1487">
        <v>1080901556</v>
      </c>
      <c r="C1487" t="s">
        <v>4223</v>
      </c>
      <c r="D1487" s="11" t="s">
        <v>256</v>
      </c>
      <c r="E1487" s="11" t="s">
        <v>4040</v>
      </c>
      <c r="F1487" s="11" t="s">
        <v>16</v>
      </c>
      <c r="G1487" s="1">
        <v>46258</v>
      </c>
      <c r="H1487" s="1">
        <v>46259</v>
      </c>
      <c r="I1487" s="2">
        <v>0.54166666666666663</v>
      </c>
      <c r="J1487" s="2">
        <v>0.875</v>
      </c>
      <c r="K1487" s="11"/>
      <c r="L1487" s="11" t="s">
        <v>4041</v>
      </c>
      <c r="M1487" s="1"/>
      <c r="N1487" s="11"/>
      <c r="O1487" s="11" t="s">
        <v>4042</v>
      </c>
      <c r="P1487" s="1"/>
      <c r="Q1487" s="1"/>
      <c r="R1487" s="11"/>
      <c r="S1487" s="2">
        <f>CONSOLIDADO_2026[[#This Row],[Hora final]]-CONSOLIDADO_2026[[#This Row],[Hora inic]]</f>
        <v>0.33333333333333337</v>
      </c>
    </row>
    <row r="1488" spans="1:19" hidden="1" x14ac:dyDescent="0.25">
      <c r="A1488" t="s">
        <v>4237</v>
      </c>
      <c r="B1488">
        <v>1235539927</v>
      </c>
      <c r="C1488" t="s">
        <v>2591</v>
      </c>
      <c r="D1488" s="11" t="s">
        <v>132</v>
      </c>
      <c r="E1488" s="11" t="s">
        <v>4040</v>
      </c>
      <c r="F1488" s="11" t="s">
        <v>16</v>
      </c>
      <c r="G1488" s="1">
        <v>46258</v>
      </c>
      <c r="H1488" s="1">
        <v>46260</v>
      </c>
      <c r="I1488" s="2">
        <v>0.25</v>
      </c>
      <c r="J1488" s="2">
        <v>0.58333333333333337</v>
      </c>
      <c r="K1488" s="11" t="s">
        <v>167</v>
      </c>
      <c r="L1488" s="11" t="s">
        <v>168</v>
      </c>
      <c r="M1488" s="1"/>
      <c r="N1488" s="11"/>
      <c r="O1488" s="11" t="s">
        <v>21</v>
      </c>
      <c r="P1488" s="1"/>
      <c r="Q1488" s="1"/>
      <c r="R1488" s="11"/>
      <c r="S1488" s="2">
        <f>CONSOLIDADO_2026[[#This Row],[Hora final]]-CONSOLIDADO_2026[[#This Row],[Hora inic]]</f>
        <v>0.33333333333333337</v>
      </c>
    </row>
    <row r="1489" spans="1:19" hidden="1" x14ac:dyDescent="0.25">
      <c r="A1489" t="s">
        <v>4237</v>
      </c>
      <c r="B1489">
        <v>43453341</v>
      </c>
      <c r="C1489" t="s">
        <v>146</v>
      </c>
      <c r="D1489" s="11" t="s">
        <v>124</v>
      </c>
      <c r="E1489" s="11" t="s">
        <v>4045</v>
      </c>
      <c r="F1489" s="11" t="s">
        <v>16</v>
      </c>
      <c r="G1489" s="1">
        <v>46254</v>
      </c>
      <c r="H1489" s="1">
        <v>46268</v>
      </c>
      <c r="I1489" s="2">
        <v>0.25</v>
      </c>
      <c r="J1489" s="2">
        <v>0.5</v>
      </c>
      <c r="K1489" s="11" t="s">
        <v>240</v>
      </c>
      <c r="L1489" s="11" t="s">
        <v>241</v>
      </c>
      <c r="M1489" s="1"/>
      <c r="N1489" s="11"/>
      <c r="O1489" s="11" t="s">
        <v>21</v>
      </c>
      <c r="P1489" s="1"/>
      <c r="Q1489" s="1"/>
      <c r="R1489" s="11"/>
      <c r="S1489" s="2">
        <f>CONSOLIDADO_2026[[#This Row],[Hora final]]-CONSOLIDADO_2026[[#This Row],[Hora inic]]</f>
        <v>0.25</v>
      </c>
    </row>
    <row r="1490" spans="1:19" hidden="1" x14ac:dyDescent="0.25">
      <c r="A1490" t="s">
        <v>4237</v>
      </c>
      <c r="B1490">
        <v>1035876080</v>
      </c>
      <c r="C1490" t="s">
        <v>123</v>
      </c>
      <c r="D1490" s="11" t="s">
        <v>124</v>
      </c>
      <c r="E1490" s="11" t="s">
        <v>4045</v>
      </c>
      <c r="F1490" s="11" t="s">
        <v>158</v>
      </c>
      <c r="G1490" s="1">
        <v>46254</v>
      </c>
      <c r="H1490" s="1"/>
      <c r="I1490" s="2">
        <v>0.25</v>
      </c>
      <c r="J1490" s="2">
        <v>0.54166666666666663</v>
      </c>
      <c r="K1490" s="11" t="s">
        <v>1427</v>
      </c>
      <c r="L1490" s="11" t="s">
        <v>1428</v>
      </c>
      <c r="M1490" s="1"/>
      <c r="N1490" s="11"/>
      <c r="O1490" s="11" t="s">
        <v>21</v>
      </c>
      <c r="P1490" s="1"/>
      <c r="Q1490" s="1"/>
      <c r="R1490" s="11"/>
      <c r="S1490" s="2">
        <f>CONSOLIDADO_2026[[#This Row],[Hora final]]-CONSOLIDADO_2026[[#This Row],[Hora inic]]</f>
        <v>0.29166666666666663</v>
      </c>
    </row>
    <row r="1491" spans="1:19" hidden="1" x14ac:dyDescent="0.25">
      <c r="A1491" t="s">
        <v>4237</v>
      </c>
      <c r="B1491">
        <v>1001003778</v>
      </c>
      <c r="C1491" t="s">
        <v>1959</v>
      </c>
      <c r="D1491" s="11" t="s">
        <v>492</v>
      </c>
      <c r="E1491" s="11" t="s">
        <v>4045</v>
      </c>
      <c r="F1491" s="11" t="s">
        <v>16</v>
      </c>
      <c r="G1491" s="1">
        <v>46258</v>
      </c>
      <c r="H1491" s="1">
        <v>46259</v>
      </c>
      <c r="I1491" s="2">
        <v>0.25</v>
      </c>
      <c r="J1491" s="2">
        <v>0.54166666666666663</v>
      </c>
      <c r="K1491" s="11" t="s">
        <v>213</v>
      </c>
      <c r="L1491" s="11" t="s">
        <v>214</v>
      </c>
      <c r="M1491" s="1"/>
      <c r="N1491" s="11"/>
      <c r="O1491" s="11" t="s">
        <v>21</v>
      </c>
      <c r="P1491" s="1"/>
      <c r="Q1491" s="1"/>
      <c r="R1491" s="11"/>
      <c r="S1491" s="2">
        <f>CONSOLIDADO_2026[[#This Row],[Hora final]]-CONSOLIDADO_2026[[#This Row],[Hora inic]]</f>
        <v>0.29166666666666663</v>
      </c>
    </row>
    <row r="1492" spans="1:19" hidden="1" x14ac:dyDescent="0.25">
      <c r="A1492" t="s">
        <v>4237</v>
      </c>
      <c r="B1492">
        <v>1001445343</v>
      </c>
      <c r="C1492" t="s">
        <v>1432</v>
      </c>
      <c r="D1492" s="11" t="s">
        <v>344</v>
      </c>
      <c r="E1492" s="11" t="s">
        <v>4056</v>
      </c>
      <c r="F1492" s="11" t="s">
        <v>16</v>
      </c>
      <c r="G1492" s="1">
        <v>46256</v>
      </c>
      <c r="H1492" s="1">
        <v>46256</v>
      </c>
      <c r="I1492" s="2"/>
      <c r="J1492" s="2"/>
      <c r="K1492" s="11"/>
      <c r="L1492" s="11" t="s">
        <v>4041</v>
      </c>
      <c r="M1492" s="1"/>
      <c r="N1492" s="11"/>
      <c r="O1492" s="11" t="s">
        <v>4042</v>
      </c>
      <c r="P1492" s="1"/>
      <c r="Q1492" s="1"/>
      <c r="R1492" s="11"/>
      <c r="S1492" s="2">
        <f>CONSOLIDADO_2026[[#This Row],[Hora final]]-CONSOLIDADO_2026[[#This Row],[Hora inic]]</f>
        <v>0</v>
      </c>
    </row>
    <row r="1493" spans="1:19" hidden="1" x14ac:dyDescent="0.25">
      <c r="A1493" t="s">
        <v>4237</v>
      </c>
      <c r="B1493">
        <v>1067959066</v>
      </c>
      <c r="C1493" t="s">
        <v>3479</v>
      </c>
      <c r="D1493" s="11" t="s">
        <v>344</v>
      </c>
      <c r="E1493" s="11" t="s">
        <v>4056</v>
      </c>
      <c r="F1493" s="11" t="s">
        <v>16</v>
      </c>
      <c r="G1493" s="1">
        <v>46258</v>
      </c>
      <c r="H1493" s="1">
        <v>46259</v>
      </c>
      <c r="I1493" s="2">
        <v>0.25</v>
      </c>
      <c r="J1493" s="2">
        <v>0.58333333333333337</v>
      </c>
      <c r="K1493" s="11" t="s">
        <v>3662</v>
      </c>
      <c r="L1493" s="11" t="s">
        <v>3663</v>
      </c>
      <c r="M1493" s="1"/>
      <c r="N1493" s="11"/>
      <c r="O1493" s="11" t="s">
        <v>21</v>
      </c>
      <c r="P1493" s="1"/>
      <c r="Q1493" s="1"/>
      <c r="R1493" s="11"/>
      <c r="S1493" s="2">
        <f>CONSOLIDADO_2026[[#This Row],[Hora final]]-CONSOLIDADO_2026[[#This Row],[Hora inic]]</f>
        <v>0.33333333333333337</v>
      </c>
    </row>
    <row r="1494" spans="1:19" hidden="1" x14ac:dyDescent="0.25">
      <c r="A1494" t="s">
        <v>4237</v>
      </c>
      <c r="B1494">
        <v>1045718883</v>
      </c>
      <c r="C1494" t="s">
        <v>34</v>
      </c>
      <c r="D1494" s="11" t="s">
        <v>15</v>
      </c>
      <c r="E1494" s="11" t="s">
        <v>4046</v>
      </c>
      <c r="F1494" s="11" t="s">
        <v>36</v>
      </c>
      <c r="G1494" s="1">
        <v>46244</v>
      </c>
      <c r="H1494" s="1">
        <v>46393</v>
      </c>
      <c r="I1494" s="2">
        <v>0.54166666666666663</v>
      </c>
      <c r="J1494" s="2">
        <v>0.875</v>
      </c>
      <c r="K1494" s="11" t="s">
        <v>17</v>
      </c>
      <c r="L1494" s="11" t="s">
        <v>18</v>
      </c>
      <c r="M1494" s="1"/>
      <c r="N1494" s="11"/>
      <c r="O1494" s="11" t="s">
        <v>21</v>
      </c>
      <c r="P1494" s="1"/>
      <c r="Q1494" s="1"/>
      <c r="R1494" s="11"/>
      <c r="S1494" s="2">
        <f>CONSOLIDADO_2026[[#This Row],[Hora final]]-CONSOLIDADO_2026[[#This Row],[Hora inic]]</f>
        <v>0.33333333333333337</v>
      </c>
    </row>
    <row r="1495" spans="1:19" hidden="1" x14ac:dyDescent="0.25">
      <c r="A1495" t="s">
        <v>4237</v>
      </c>
      <c r="B1495">
        <v>1000944725</v>
      </c>
      <c r="C1495" t="s">
        <v>3007</v>
      </c>
      <c r="D1495" s="11" t="s">
        <v>78</v>
      </c>
      <c r="E1495" s="11" t="s">
        <v>4046</v>
      </c>
      <c r="F1495" s="11" t="s">
        <v>16</v>
      </c>
      <c r="G1495" s="1">
        <v>46258</v>
      </c>
      <c r="H1495" s="1">
        <v>46267</v>
      </c>
      <c r="I1495" s="2">
        <v>0.58333333333333337</v>
      </c>
      <c r="J1495" s="2">
        <v>0.875</v>
      </c>
      <c r="K1495" s="11"/>
      <c r="L1495" s="11" t="s">
        <v>327</v>
      </c>
      <c r="M1495" s="1"/>
      <c r="N1495" s="11"/>
      <c r="O1495" s="11" t="s">
        <v>4042</v>
      </c>
      <c r="P1495" s="1"/>
      <c r="Q1495" s="1"/>
      <c r="R1495" s="11"/>
      <c r="S1495" s="2">
        <f>CONSOLIDADO_2026[[#This Row],[Hora final]]-CONSOLIDADO_2026[[#This Row],[Hora inic]]</f>
        <v>0.29166666666666663</v>
      </c>
    </row>
    <row r="1496" spans="1:19" hidden="1" x14ac:dyDescent="0.25">
      <c r="A1496" t="s">
        <v>4237</v>
      </c>
      <c r="B1496">
        <v>1037638426</v>
      </c>
      <c r="C1496" t="s">
        <v>31</v>
      </c>
      <c r="D1496" s="11" t="s">
        <v>28</v>
      </c>
      <c r="E1496" s="11" t="s">
        <v>4046</v>
      </c>
      <c r="F1496" s="11" t="s">
        <v>24</v>
      </c>
      <c r="G1496" s="1">
        <v>46249</v>
      </c>
      <c r="H1496" s="1">
        <v>46264</v>
      </c>
      <c r="I1496" s="2">
        <v>0.54166666666666663</v>
      </c>
      <c r="J1496" s="2">
        <v>0.875</v>
      </c>
      <c r="K1496" s="11" t="s">
        <v>300</v>
      </c>
      <c r="L1496" s="11" t="s">
        <v>301</v>
      </c>
      <c r="M1496" s="1"/>
      <c r="N1496" s="11"/>
      <c r="O1496" s="11" t="s">
        <v>21</v>
      </c>
      <c r="P1496" s="1"/>
      <c r="Q1496" s="1"/>
      <c r="R1496" s="11"/>
      <c r="S1496" s="2">
        <f>CONSOLIDADO_2026[[#This Row],[Hora final]]-CONSOLIDADO_2026[[#This Row],[Hora inic]]</f>
        <v>0.33333333333333337</v>
      </c>
    </row>
    <row r="1497" spans="1:19" hidden="1" x14ac:dyDescent="0.25">
      <c r="A1497" t="s">
        <v>4237</v>
      </c>
      <c r="B1497">
        <v>1037631989</v>
      </c>
      <c r="C1497" t="s">
        <v>27</v>
      </c>
      <c r="D1497" s="11" t="s">
        <v>28</v>
      </c>
      <c r="E1497" s="11" t="s">
        <v>4046</v>
      </c>
      <c r="F1497" s="11" t="s">
        <v>16</v>
      </c>
      <c r="G1497" s="1">
        <v>46258</v>
      </c>
      <c r="H1497" s="1">
        <v>46285</v>
      </c>
      <c r="I1497" s="2">
        <v>0.25</v>
      </c>
      <c r="J1497" s="2">
        <v>0.54166666666666663</v>
      </c>
      <c r="K1497" s="11"/>
      <c r="L1497" s="11" t="s">
        <v>4060</v>
      </c>
      <c r="M1497" s="1"/>
      <c r="N1497" s="11"/>
      <c r="O1497" s="11" t="s">
        <v>4042</v>
      </c>
      <c r="P1497" s="1"/>
      <c r="Q1497" s="1"/>
      <c r="R1497" s="11"/>
      <c r="S1497" s="2">
        <f>CONSOLIDADO_2026[[#This Row],[Hora final]]-CONSOLIDADO_2026[[#This Row],[Hora inic]]</f>
        <v>0.29166666666666663</v>
      </c>
    </row>
    <row r="1498" spans="1:19" hidden="1" x14ac:dyDescent="0.25">
      <c r="A1498" t="s">
        <v>4237</v>
      </c>
      <c r="B1498">
        <v>1037653415</v>
      </c>
      <c r="C1498" t="s">
        <v>2337</v>
      </c>
      <c r="D1498" s="11" t="s">
        <v>102</v>
      </c>
      <c r="E1498" s="11" t="s">
        <v>4046</v>
      </c>
      <c r="F1498" s="11" t="s">
        <v>16</v>
      </c>
      <c r="G1498" s="1">
        <v>46258</v>
      </c>
      <c r="H1498" s="1">
        <v>46259</v>
      </c>
      <c r="I1498" s="2">
        <v>0.25</v>
      </c>
      <c r="J1498" s="2">
        <v>0.625</v>
      </c>
      <c r="K1498" s="11"/>
      <c r="L1498" s="11" t="s">
        <v>327</v>
      </c>
      <c r="M1498" s="1"/>
      <c r="N1498" s="11"/>
      <c r="O1498" s="11" t="s">
        <v>4042</v>
      </c>
      <c r="P1498" s="1"/>
      <c r="Q1498" s="1"/>
      <c r="R1498" s="11"/>
      <c r="S1498" s="2">
        <f>CONSOLIDADO_2026[[#This Row],[Hora final]]-CONSOLIDADO_2026[[#This Row],[Hora inic]]</f>
        <v>0.375</v>
      </c>
    </row>
    <row r="1499" spans="1:19" hidden="1" x14ac:dyDescent="0.25">
      <c r="A1499" t="s">
        <v>4237</v>
      </c>
      <c r="B1499">
        <v>1034296571</v>
      </c>
      <c r="C1499" t="s">
        <v>4234</v>
      </c>
      <c r="D1499" s="11" t="s">
        <v>128</v>
      </c>
      <c r="E1499" s="11" t="s">
        <v>4045</v>
      </c>
      <c r="F1499" s="11" t="s">
        <v>16</v>
      </c>
      <c r="G1499" s="1">
        <v>46258</v>
      </c>
      <c r="H1499" s="1">
        <v>46260</v>
      </c>
      <c r="I1499" s="2">
        <v>0.625</v>
      </c>
      <c r="J1499" s="2">
        <v>0.875</v>
      </c>
      <c r="K1499" s="11"/>
      <c r="L1499" s="11" t="s">
        <v>327</v>
      </c>
      <c r="M1499" s="1"/>
      <c r="N1499" s="11"/>
      <c r="O1499" s="11" t="s">
        <v>4042</v>
      </c>
      <c r="P1499" s="1"/>
      <c r="Q1499" s="1"/>
      <c r="R1499" s="11"/>
      <c r="S1499" s="2">
        <f>CONSOLIDADO_2026[[#This Row],[Hora final]]-CONSOLIDADO_2026[[#This Row],[Hora inic]]</f>
        <v>0.25</v>
      </c>
    </row>
    <row r="1500" spans="1:19" hidden="1" x14ac:dyDescent="0.25">
      <c r="A1500" t="s">
        <v>4237</v>
      </c>
      <c r="B1500">
        <v>1096223065</v>
      </c>
      <c r="C1500" t="s">
        <v>3428</v>
      </c>
      <c r="D1500" s="11" t="s">
        <v>55</v>
      </c>
      <c r="E1500" s="11" t="s">
        <v>4047</v>
      </c>
      <c r="F1500" s="11" t="s">
        <v>16</v>
      </c>
      <c r="G1500" s="1">
        <v>46256</v>
      </c>
      <c r="H1500" s="1">
        <v>46263</v>
      </c>
      <c r="I1500" s="2">
        <v>0.58333333333333337</v>
      </c>
      <c r="J1500" s="2">
        <v>0.875</v>
      </c>
      <c r="K1500" s="11"/>
      <c r="L1500" s="11" t="s">
        <v>4060</v>
      </c>
      <c r="M1500" s="1"/>
      <c r="N1500" s="11"/>
      <c r="O1500" s="11" t="s">
        <v>4042</v>
      </c>
      <c r="P1500" s="1"/>
      <c r="Q1500" s="1"/>
      <c r="R1500" s="11"/>
      <c r="S1500" s="2">
        <f>CONSOLIDADO_2026[[#This Row],[Hora final]]-CONSOLIDADO_2026[[#This Row],[Hora inic]]</f>
        <v>0.29166666666666663</v>
      </c>
    </row>
    <row r="1501" spans="1:19" hidden="1" x14ac:dyDescent="0.25">
      <c r="A1501" t="s">
        <v>4237</v>
      </c>
      <c r="B1501">
        <v>1152709914</v>
      </c>
      <c r="C1501" t="s">
        <v>3437</v>
      </c>
      <c r="D1501" s="11" t="s">
        <v>139</v>
      </c>
      <c r="E1501" s="11" t="s">
        <v>4040</v>
      </c>
      <c r="F1501" s="11" t="s">
        <v>16</v>
      </c>
      <c r="G1501" s="1">
        <v>46258</v>
      </c>
      <c r="H1501" s="1">
        <v>46259</v>
      </c>
      <c r="I1501" s="2">
        <v>0.58333333333333337</v>
      </c>
      <c r="J1501" s="2">
        <v>0.875</v>
      </c>
      <c r="K1501" s="11" t="s">
        <v>119</v>
      </c>
      <c r="L1501" s="11" t="s">
        <v>120</v>
      </c>
      <c r="M1501" s="1"/>
      <c r="N1501" s="11"/>
      <c r="O1501" s="11" t="s">
        <v>21</v>
      </c>
      <c r="P1501" s="1"/>
      <c r="Q1501" s="1"/>
      <c r="R1501" s="11"/>
      <c r="S1501" s="2">
        <f>CONSOLIDADO_2026[[#This Row],[Hora final]]-CONSOLIDADO_2026[[#This Row],[Hora inic]]</f>
        <v>0.29166666666666663</v>
      </c>
    </row>
    <row r="1502" spans="1:19" hidden="1" x14ac:dyDescent="0.25">
      <c r="A1502" t="s">
        <v>4237</v>
      </c>
      <c r="B1502">
        <v>1099551759</v>
      </c>
      <c r="C1502" t="s">
        <v>3053</v>
      </c>
      <c r="D1502" s="11" t="s">
        <v>64</v>
      </c>
      <c r="E1502" s="11" t="s">
        <v>4046</v>
      </c>
      <c r="F1502" s="11" t="s">
        <v>16</v>
      </c>
      <c r="G1502" s="1">
        <v>46258</v>
      </c>
      <c r="H1502" s="1">
        <v>46258</v>
      </c>
      <c r="I1502" s="2">
        <v>0.58333333333333337</v>
      </c>
      <c r="J1502" s="2">
        <v>0.875</v>
      </c>
      <c r="K1502" s="11"/>
      <c r="L1502" s="11" t="s">
        <v>4041</v>
      </c>
      <c r="M1502" s="1"/>
      <c r="N1502" s="11"/>
      <c r="O1502" s="11" t="s">
        <v>4042</v>
      </c>
      <c r="P1502" s="1"/>
      <c r="Q1502" s="1"/>
      <c r="R1502" s="11"/>
      <c r="S1502" s="2">
        <f>CONSOLIDADO_2026[[#This Row],[Hora final]]-CONSOLIDADO_2026[[#This Row],[Hora inic]]</f>
        <v>0.29166666666666663</v>
      </c>
    </row>
    <row r="1503" spans="1:19" hidden="1" x14ac:dyDescent="0.25">
      <c r="A1503" t="s">
        <v>4237</v>
      </c>
      <c r="B1503">
        <v>1152434926</v>
      </c>
      <c r="C1503" t="s">
        <v>217</v>
      </c>
      <c r="D1503" s="11" t="s">
        <v>59</v>
      </c>
      <c r="E1503" s="11" t="s">
        <v>4047</v>
      </c>
      <c r="F1503" s="11" t="s">
        <v>16</v>
      </c>
      <c r="G1503" s="1">
        <v>46258</v>
      </c>
      <c r="H1503" s="1">
        <v>46263</v>
      </c>
      <c r="I1503" s="2">
        <v>0.25</v>
      </c>
      <c r="J1503" s="2">
        <v>0.58333333333333337</v>
      </c>
      <c r="K1503" s="11"/>
      <c r="L1503" s="11" t="s">
        <v>327</v>
      </c>
      <c r="M1503" s="1"/>
      <c r="N1503" s="11"/>
      <c r="O1503" s="11" t="s">
        <v>4042</v>
      </c>
      <c r="P1503" s="1"/>
      <c r="Q1503" s="1"/>
      <c r="R1503" s="11"/>
      <c r="S1503" s="2">
        <f>CONSOLIDADO_2026[[#This Row],[Hora final]]-CONSOLIDADO_2026[[#This Row],[Hora inic]]</f>
        <v>0.33333333333333337</v>
      </c>
    </row>
    <row r="1504" spans="1:19" hidden="1" x14ac:dyDescent="0.25">
      <c r="A1504" t="s">
        <v>4237</v>
      </c>
      <c r="B1504">
        <v>1037645530</v>
      </c>
      <c r="C1504" t="s">
        <v>1736</v>
      </c>
      <c r="D1504" s="11" t="s">
        <v>82</v>
      </c>
      <c r="E1504" s="11" t="s">
        <v>4045</v>
      </c>
      <c r="F1504" s="11" t="s">
        <v>24</v>
      </c>
      <c r="G1504" s="1">
        <v>46259</v>
      </c>
      <c r="H1504" s="1">
        <v>46259</v>
      </c>
      <c r="I1504" s="2">
        <v>0.25</v>
      </c>
      <c r="J1504" s="2">
        <v>0.58333333333333337</v>
      </c>
      <c r="K1504" s="11" t="s">
        <v>73</v>
      </c>
      <c r="L1504" s="11" t="s">
        <v>74</v>
      </c>
      <c r="M1504" s="1"/>
      <c r="N1504" s="11"/>
      <c r="O1504" s="11" t="s">
        <v>21</v>
      </c>
      <c r="P1504" s="1"/>
      <c r="Q1504" s="1"/>
      <c r="R1504" s="11"/>
      <c r="S1504" s="2">
        <f>CONSOLIDADO_2026[[#This Row],[Hora final]]-CONSOLIDADO_2026[[#This Row],[Hora inic]]</f>
        <v>0.33333333333333337</v>
      </c>
    </row>
    <row r="1505" spans="1:19" hidden="1" x14ac:dyDescent="0.25">
      <c r="A1505" t="s">
        <v>4237</v>
      </c>
      <c r="B1505">
        <v>1037661959</v>
      </c>
      <c r="C1505" t="s">
        <v>4080</v>
      </c>
      <c r="D1505" s="11" t="s">
        <v>482</v>
      </c>
      <c r="E1505" s="11" t="s">
        <v>4040</v>
      </c>
      <c r="F1505" s="11" t="s">
        <v>4073</v>
      </c>
      <c r="G1505" s="1">
        <v>46259</v>
      </c>
      <c r="H1505" s="1">
        <v>46261</v>
      </c>
      <c r="I1505" s="2">
        <v>0.54166666666666663</v>
      </c>
      <c r="J1505" s="2">
        <v>0.875</v>
      </c>
      <c r="K1505" s="11" t="s">
        <v>231</v>
      </c>
      <c r="L1505" s="11" t="s">
        <v>232</v>
      </c>
      <c r="M1505" s="1"/>
      <c r="N1505" s="11"/>
      <c r="O1505" s="11" t="s">
        <v>4042</v>
      </c>
      <c r="P1505" s="1"/>
      <c r="Q1505" s="1"/>
      <c r="R1505" s="11"/>
      <c r="S1505" s="2">
        <f>CONSOLIDADO_2026[[#This Row],[Hora final]]-CONSOLIDADO_2026[[#This Row],[Hora inic]]</f>
        <v>0.33333333333333337</v>
      </c>
    </row>
    <row r="1506" spans="1:19" hidden="1" x14ac:dyDescent="0.25">
      <c r="A1506" t="s">
        <v>4237</v>
      </c>
      <c r="B1506">
        <v>1036965348</v>
      </c>
      <c r="C1506" t="s">
        <v>229</v>
      </c>
      <c r="D1506" s="11" t="s">
        <v>4078</v>
      </c>
      <c r="E1506" s="11" t="s">
        <v>4046</v>
      </c>
      <c r="F1506" s="11" t="s">
        <v>4079</v>
      </c>
      <c r="G1506" s="1">
        <v>46259</v>
      </c>
      <c r="H1506" s="1">
        <v>46259</v>
      </c>
      <c r="I1506" s="2">
        <v>0.25</v>
      </c>
      <c r="J1506" s="2">
        <v>0.54166666666666663</v>
      </c>
      <c r="K1506" s="11" t="s">
        <v>228</v>
      </c>
      <c r="L1506" s="11" t="s">
        <v>229</v>
      </c>
      <c r="M1506" s="1"/>
      <c r="N1506" s="11"/>
      <c r="O1506" s="11" t="s">
        <v>4042</v>
      </c>
      <c r="P1506" s="1"/>
      <c r="Q1506" s="1"/>
      <c r="R1506" s="11"/>
      <c r="S1506" s="2">
        <f>CONSOLIDADO_2026[[#This Row],[Hora final]]-CONSOLIDADO_2026[[#This Row],[Hora inic]]</f>
        <v>0.29166666666666663</v>
      </c>
    </row>
    <row r="1507" spans="1:19" hidden="1" x14ac:dyDescent="0.25">
      <c r="A1507" t="s">
        <v>4237</v>
      </c>
      <c r="B1507">
        <v>1152226738</v>
      </c>
      <c r="C1507" t="s">
        <v>138</v>
      </c>
      <c r="D1507" s="11" t="s">
        <v>139</v>
      </c>
      <c r="E1507" s="11" t="s">
        <v>4040</v>
      </c>
      <c r="F1507" s="11" t="s">
        <v>16</v>
      </c>
      <c r="G1507" s="1">
        <v>46258</v>
      </c>
      <c r="H1507" s="1">
        <v>46258</v>
      </c>
      <c r="I1507" s="2"/>
      <c r="J1507" s="2"/>
      <c r="K1507" s="11"/>
      <c r="L1507" s="11" t="s">
        <v>4041</v>
      </c>
      <c r="M1507" s="1"/>
      <c r="N1507" s="11"/>
      <c r="O1507" s="11" t="s">
        <v>4042</v>
      </c>
      <c r="P1507" s="1"/>
      <c r="Q1507" s="1"/>
      <c r="R1507" s="11"/>
      <c r="S1507" s="2">
        <f>CONSOLIDADO_2026[[#This Row],[Hora final]]-CONSOLIDADO_2026[[#This Row],[Hora inic]]</f>
        <v>0</v>
      </c>
    </row>
    <row r="1508" spans="1:19" hidden="1" x14ac:dyDescent="0.25">
      <c r="A1508" t="s">
        <v>4237</v>
      </c>
      <c r="B1508">
        <v>1003305205</v>
      </c>
      <c r="C1508" t="s">
        <v>1398</v>
      </c>
      <c r="D1508" s="11" t="s">
        <v>162</v>
      </c>
      <c r="E1508" s="11" t="s">
        <v>4056</v>
      </c>
      <c r="F1508" s="11" t="s">
        <v>16</v>
      </c>
      <c r="G1508" s="1">
        <v>46258</v>
      </c>
      <c r="H1508" s="1">
        <v>46260</v>
      </c>
      <c r="I1508" s="2">
        <v>0.25</v>
      </c>
      <c r="J1508" s="2">
        <v>0.54166666666666663</v>
      </c>
      <c r="K1508" s="11"/>
      <c r="L1508" s="11" t="s">
        <v>4162</v>
      </c>
      <c r="M1508" s="1"/>
      <c r="N1508" s="11"/>
      <c r="O1508" s="11" t="s">
        <v>21</v>
      </c>
      <c r="P1508" s="1"/>
      <c r="Q1508" s="1"/>
      <c r="R1508" s="11"/>
      <c r="S1508" s="2">
        <f>CONSOLIDADO_2026[[#This Row],[Hora final]]-CONSOLIDADO_2026[[#This Row],[Hora inic]]</f>
        <v>0.29166666666666663</v>
      </c>
    </row>
    <row r="1509" spans="1:19" hidden="1" x14ac:dyDescent="0.25">
      <c r="A1509" t="s">
        <v>4237</v>
      </c>
      <c r="B1509">
        <v>1067864151</v>
      </c>
      <c r="C1509" t="s">
        <v>1809</v>
      </c>
      <c r="D1509" s="11" t="s">
        <v>256</v>
      </c>
      <c r="E1509" s="11" t="s">
        <v>4040</v>
      </c>
      <c r="F1509" s="11" t="s">
        <v>16</v>
      </c>
      <c r="G1509" s="1">
        <v>46258</v>
      </c>
      <c r="H1509" s="1">
        <v>46260</v>
      </c>
      <c r="I1509" s="2">
        <v>0.25</v>
      </c>
      <c r="J1509" s="2">
        <v>0.58333333333333337</v>
      </c>
      <c r="K1509" s="11"/>
      <c r="L1509" s="11" t="s">
        <v>327</v>
      </c>
      <c r="M1509" s="1"/>
      <c r="N1509" s="11"/>
      <c r="O1509" s="11" t="s">
        <v>4042</v>
      </c>
      <c r="P1509" s="1"/>
      <c r="Q1509" s="1"/>
      <c r="R1509" s="11"/>
      <c r="S1509" s="2">
        <f>CONSOLIDADO_2026[[#This Row],[Hora final]]-CONSOLIDADO_2026[[#This Row],[Hora inic]]</f>
        <v>0.33333333333333337</v>
      </c>
    </row>
    <row r="1510" spans="1:19" hidden="1" x14ac:dyDescent="0.25">
      <c r="A1510" t="s">
        <v>4237</v>
      </c>
      <c r="B1510">
        <v>1143388920</v>
      </c>
      <c r="C1510" t="s">
        <v>304</v>
      </c>
      <c r="D1510" s="11" t="s">
        <v>82</v>
      </c>
      <c r="E1510" s="11" t="s">
        <v>4045</v>
      </c>
      <c r="F1510" s="11" t="s">
        <v>4168</v>
      </c>
      <c r="G1510" s="1">
        <v>46259</v>
      </c>
      <c r="H1510" s="1">
        <v>46259</v>
      </c>
      <c r="I1510" s="2">
        <v>0.33333333333333331</v>
      </c>
      <c r="J1510" s="2">
        <v>0.66666666666666663</v>
      </c>
      <c r="K1510" s="11" t="s">
        <v>303</v>
      </c>
      <c r="L1510" s="11" t="s">
        <v>304</v>
      </c>
      <c r="M1510" s="1"/>
      <c r="N1510" s="11"/>
      <c r="O1510" s="11" t="s">
        <v>4042</v>
      </c>
      <c r="P1510" s="1"/>
      <c r="Q1510" s="1"/>
      <c r="R1510" s="11"/>
      <c r="S1510" s="2">
        <f>CONSOLIDADO_2026[[#This Row],[Hora final]]-CONSOLIDADO_2026[[#This Row],[Hora inic]]</f>
        <v>0.33333333333333331</v>
      </c>
    </row>
    <row r="1511" spans="1:19" hidden="1" x14ac:dyDescent="0.25">
      <c r="A1511" t="s">
        <v>4237</v>
      </c>
      <c r="B1511">
        <v>1032488873</v>
      </c>
      <c r="C1511" t="s">
        <v>3639</v>
      </c>
      <c r="D1511" s="11" t="s">
        <v>55</v>
      </c>
      <c r="E1511" s="11" t="s">
        <v>4047</v>
      </c>
      <c r="F1511" s="11" t="s">
        <v>4074</v>
      </c>
      <c r="G1511" s="1">
        <v>46258</v>
      </c>
      <c r="H1511" s="1"/>
      <c r="I1511" s="2">
        <v>0.25</v>
      </c>
      <c r="J1511" s="2">
        <v>0.58333333333333337</v>
      </c>
      <c r="K1511" s="11"/>
      <c r="L1511" s="11" t="s">
        <v>4060</v>
      </c>
      <c r="M1511" s="1"/>
      <c r="N1511" s="11"/>
      <c r="O1511" s="11" t="s">
        <v>4042</v>
      </c>
      <c r="P1511" s="1"/>
      <c r="Q1511" s="1"/>
      <c r="R1511" s="11"/>
      <c r="S1511" s="2">
        <f>CONSOLIDADO_2026[[#This Row],[Hora final]]-CONSOLIDADO_2026[[#This Row],[Hora inic]]</f>
        <v>0.33333333333333337</v>
      </c>
    </row>
    <row r="1512" spans="1:19" hidden="1" x14ac:dyDescent="0.25">
      <c r="A1512" t="s">
        <v>4237</v>
      </c>
      <c r="B1512">
        <v>1003045926</v>
      </c>
      <c r="C1512" t="s">
        <v>2063</v>
      </c>
      <c r="D1512" s="11" t="s">
        <v>124</v>
      </c>
      <c r="E1512" s="11" t="s">
        <v>4045</v>
      </c>
      <c r="F1512" s="11" t="s">
        <v>16</v>
      </c>
      <c r="G1512" s="1">
        <v>46258</v>
      </c>
      <c r="H1512" s="1">
        <v>46262</v>
      </c>
      <c r="I1512" s="2">
        <v>0.625</v>
      </c>
      <c r="J1512" s="2">
        <v>0.875</v>
      </c>
      <c r="K1512" s="11"/>
      <c r="L1512" s="11" t="s">
        <v>327</v>
      </c>
      <c r="M1512" s="1"/>
      <c r="N1512" s="11"/>
      <c r="O1512" s="11" t="s">
        <v>4042</v>
      </c>
      <c r="P1512" s="1"/>
      <c r="Q1512" s="1"/>
      <c r="R1512" s="11"/>
      <c r="S1512" s="2">
        <f>CONSOLIDADO_2026[[#This Row],[Hora final]]-CONSOLIDADO_2026[[#This Row],[Hora inic]]</f>
        <v>0.25</v>
      </c>
    </row>
    <row r="1513" spans="1:19" hidden="1" x14ac:dyDescent="0.25">
      <c r="A1513" t="s">
        <v>4237</v>
      </c>
      <c r="B1513">
        <v>1017255988</v>
      </c>
      <c r="C1513" t="s">
        <v>2923</v>
      </c>
      <c r="D1513" s="11" t="s">
        <v>124</v>
      </c>
      <c r="E1513" s="11" t="s">
        <v>4045</v>
      </c>
      <c r="F1513" s="11" t="s">
        <v>16</v>
      </c>
      <c r="G1513" s="1">
        <v>46258</v>
      </c>
      <c r="H1513" s="1">
        <v>46258</v>
      </c>
      <c r="I1513" s="2"/>
      <c r="J1513" s="2"/>
      <c r="K1513" s="11"/>
      <c r="L1513" s="11" t="s">
        <v>4041</v>
      </c>
      <c r="M1513" s="1"/>
      <c r="N1513" s="11"/>
      <c r="O1513" s="11" t="s">
        <v>4042</v>
      </c>
      <c r="P1513" s="1"/>
      <c r="Q1513" s="1"/>
      <c r="R1513" s="11"/>
      <c r="S1513" s="2">
        <f>CONSOLIDADO_2026[[#This Row],[Hora final]]-CONSOLIDADO_2026[[#This Row],[Hora inic]]</f>
        <v>0</v>
      </c>
    </row>
    <row r="1514" spans="1:19" hidden="1" x14ac:dyDescent="0.25">
      <c r="A1514" t="s">
        <v>4237</v>
      </c>
      <c r="B1514">
        <v>1143375080</v>
      </c>
      <c r="C1514" t="s">
        <v>157</v>
      </c>
      <c r="D1514" s="11" t="s">
        <v>44</v>
      </c>
      <c r="E1514" s="11" t="s">
        <v>4045</v>
      </c>
      <c r="F1514" s="11" t="s">
        <v>16</v>
      </c>
      <c r="G1514" s="1">
        <v>46258</v>
      </c>
      <c r="H1514" s="1">
        <v>46287</v>
      </c>
      <c r="I1514" s="2">
        <v>0.54166666666666663</v>
      </c>
      <c r="J1514" s="2">
        <v>0.875</v>
      </c>
      <c r="K1514" s="11" t="s">
        <v>196</v>
      </c>
      <c r="L1514" s="11" t="s">
        <v>197</v>
      </c>
      <c r="M1514" s="1"/>
      <c r="N1514" s="11"/>
      <c r="O1514" s="11" t="s">
        <v>21</v>
      </c>
      <c r="P1514" s="1"/>
      <c r="Q1514" s="1"/>
      <c r="R1514" s="11"/>
      <c r="S1514" s="2">
        <f>CONSOLIDADO_2026[[#This Row],[Hora final]]-CONSOLIDADO_2026[[#This Row],[Hora inic]]</f>
        <v>0.33333333333333337</v>
      </c>
    </row>
    <row r="1515" spans="1:19" hidden="1" x14ac:dyDescent="0.25">
      <c r="A1515" t="s">
        <v>4237</v>
      </c>
      <c r="B1515">
        <v>1116283658</v>
      </c>
      <c r="C1515" t="s">
        <v>283</v>
      </c>
      <c r="D1515" s="11" t="s">
        <v>4078</v>
      </c>
      <c r="E1515" s="11" t="s">
        <v>4040</v>
      </c>
      <c r="F1515" s="11" t="s">
        <v>4079</v>
      </c>
      <c r="G1515" s="1">
        <v>46259</v>
      </c>
      <c r="H1515" s="1">
        <v>46259</v>
      </c>
      <c r="I1515" s="2">
        <v>0.25</v>
      </c>
      <c r="J1515" s="2">
        <v>0.58333333333333337</v>
      </c>
      <c r="K1515" s="11" t="s">
        <v>282</v>
      </c>
      <c r="L1515" s="11" t="s">
        <v>283</v>
      </c>
      <c r="M1515" s="1"/>
      <c r="N1515" s="11"/>
      <c r="O1515" s="11" t="s">
        <v>4042</v>
      </c>
      <c r="P1515" s="1"/>
      <c r="Q1515" s="1"/>
      <c r="R1515" s="11"/>
      <c r="S1515" s="2">
        <f>CONSOLIDADO_2026[[#This Row],[Hora final]]-CONSOLIDADO_2026[[#This Row],[Hora inic]]</f>
        <v>0.33333333333333337</v>
      </c>
    </row>
    <row r="1516" spans="1:19" hidden="1" x14ac:dyDescent="0.25">
      <c r="A1516" t="s">
        <v>4237</v>
      </c>
      <c r="B1516">
        <v>1143373273</v>
      </c>
      <c r="C1516" t="s">
        <v>2037</v>
      </c>
      <c r="D1516" s="11" t="s">
        <v>272</v>
      </c>
      <c r="E1516" s="11" t="s">
        <v>4056</v>
      </c>
      <c r="F1516" s="11" t="s">
        <v>4074</v>
      </c>
      <c r="G1516" s="1">
        <v>46259</v>
      </c>
      <c r="H1516" s="1">
        <v>46266</v>
      </c>
      <c r="I1516" s="2">
        <v>0.58333333333333337</v>
      </c>
      <c r="J1516" s="2">
        <v>0.875</v>
      </c>
      <c r="K1516" s="11"/>
      <c r="L1516" s="11" t="s">
        <v>4176</v>
      </c>
      <c r="M1516" s="1"/>
      <c r="N1516" s="11"/>
      <c r="O1516" s="11" t="s">
        <v>21</v>
      </c>
      <c r="P1516" s="1"/>
      <c r="Q1516" s="1"/>
      <c r="R1516" s="11"/>
      <c r="S1516" s="2">
        <f>CONSOLIDADO_2026[[#This Row],[Hora final]]-CONSOLIDADO_2026[[#This Row],[Hora inic]]</f>
        <v>0.29166666666666663</v>
      </c>
    </row>
    <row r="1517" spans="1:19" hidden="1" x14ac:dyDescent="0.25">
      <c r="A1517" t="s">
        <v>4237</v>
      </c>
      <c r="B1517">
        <v>1143880690</v>
      </c>
      <c r="C1517" t="s">
        <v>4238</v>
      </c>
      <c r="D1517" s="11" t="s">
        <v>4078</v>
      </c>
      <c r="E1517" s="11" t="s">
        <v>4045</v>
      </c>
      <c r="F1517" s="11" t="s">
        <v>4074</v>
      </c>
      <c r="G1517" s="1">
        <v>46257</v>
      </c>
      <c r="H1517" s="1"/>
      <c r="I1517" s="2">
        <v>0.25</v>
      </c>
      <c r="J1517" s="2">
        <v>0.54166666666666663</v>
      </c>
      <c r="K1517" s="11" t="s">
        <v>306</v>
      </c>
      <c r="L1517" s="11" t="s">
        <v>307</v>
      </c>
      <c r="M1517" s="1"/>
      <c r="N1517" s="11"/>
      <c r="O1517" s="11" t="s">
        <v>21</v>
      </c>
      <c r="P1517" s="1"/>
      <c r="Q1517" s="1"/>
      <c r="R1517" s="11"/>
      <c r="S1517" s="2">
        <f>CONSOLIDADO_2026[[#This Row],[Hora final]]-CONSOLIDADO_2026[[#This Row],[Hora inic]]</f>
        <v>0.29166666666666663</v>
      </c>
    </row>
    <row r="1518" spans="1:19" hidden="1" x14ac:dyDescent="0.25">
      <c r="A1518" t="s">
        <v>4237</v>
      </c>
      <c r="B1518">
        <v>50927877</v>
      </c>
      <c r="C1518" t="s">
        <v>1709</v>
      </c>
      <c r="D1518" s="11" t="s">
        <v>176</v>
      </c>
      <c r="E1518" s="11" t="s">
        <v>4040</v>
      </c>
      <c r="F1518" s="11" t="s">
        <v>4087</v>
      </c>
      <c r="G1518" s="1">
        <v>46259</v>
      </c>
      <c r="H1518" s="1">
        <v>46259</v>
      </c>
      <c r="I1518" s="2">
        <v>0.375</v>
      </c>
      <c r="J1518" s="2">
        <v>0.75</v>
      </c>
      <c r="K1518" s="11"/>
      <c r="L1518" s="11" t="s">
        <v>327</v>
      </c>
      <c r="M1518" s="1"/>
      <c r="N1518" s="11"/>
      <c r="O1518" s="11" t="s">
        <v>4042</v>
      </c>
      <c r="P1518" s="1"/>
      <c r="Q1518" s="1"/>
      <c r="R1518" s="11"/>
      <c r="S1518" s="2">
        <f>CONSOLIDADO_2026[[#This Row],[Hora final]]-CONSOLIDADO_2026[[#This Row],[Hora inic]]</f>
        <v>0.375</v>
      </c>
    </row>
    <row r="1519" spans="1:19" hidden="1" x14ac:dyDescent="0.25">
      <c r="A1519" t="s">
        <v>4237</v>
      </c>
      <c r="B1519">
        <v>1095832090</v>
      </c>
      <c r="C1519" t="s">
        <v>1441</v>
      </c>
      <c r="D1519" s="11" t="s">
        <v>55</v>
      </c>
      <c r="E1519" s="11" t="s">
        <v>4047</v>
      </c>
      <c r="F1519" s="11" t="s">
        <v>16</v>
      </c>
      <c r="G1519" s="1">
        <v>46257</v>
      </c>
      <c r="H1519" s="1">
        <v>46259</v>
      </c>
      <c r="I1519" s="2"/>
      <c r="J1519" s="2"/>
      <c r="K1519" s="11"/>
      <c r="L1519" s="11" t="s">
        <v>341</v>
      </c>
      <c r="M1519" s="1"/>
      <c r="N1519" s="11"/>
      <c r="O1519" s="11" t="s">
        <v>4042</v>
      </c>
      <c r="P1519" s="1"/>
      <c r="Q1519" s="1"/>
      <c r="R1519" s="11"/>
      <c r="S1519" s="2">
        <f>CONSOLIDADO_2026[[#This Row],[Hora final]]-CONSOLIDADO_2026[[#This Row],[Hora inic]]</f>
        <v>0</v>
      </c>
    </row>
    <row r="1520" spans="1:19" hidden="1" x14ac:dyDescent="0.25">
      <c r="A1520" t="s">
        <v>4237</v>
      </c>
      <c r="B1520">
        <v>1140902203</v>
      </c>
      <c r="C1520" t="s">
        <v>648</v>
      </c>
      <c r="D1520" s="11" t="s">
        <v>272</v>
      </c>
      <c r="E1520" s="11" t="s">
        <v>4056</v>
      </c>
      <c r="F1520" s="11" t="s">
        <v>4074</v>
      </c>
      <c r="G1520" s="1"/>
      <c r="H1520" s="1"/>
      <c r="I1520" s="2">
        <v>0.58333333333333337</v>
      </c>
      <c r="J1520" s="2">
        <v>0.875</v>
      </c>
      <c r="K1520" s="11"/>
      <c r="L1520" s="11" t="s">
        <v>4310</v>
      </c>
      <c r="M1520" s="1"/>
      <c r="N1520" s="11"/>
      <c r="O1520" s="11" t="s">
        <v>4042</v>
      </c>
      <c r="P1520" s="1"/>
      <c r="Q1520" s="1"/>
      <c r="R1520" s="11"/>
      <c r="S1520" s="2">
        <f>CONSOLIDADO_2026[[#This Row],[Hora final]]-CONSOLIDADO_2026[[#This Row],[Hora inic]]</f>
        <v>0.29166666666666663</v>
      </c>
    </row>
    <row r="1521" spans="1:19" hidden="1" x14ac:dyDescent="0.25">
      <c r="A1521" t="s">
        <v>4237</v>
      </c>
      <c r="B1521">
        <v>1081916952</v>
      </c>
      <c r="C1521" t="s">
        <v>2540</v>
      </c>
      <c r="D1521" s="11" t="s">
        <v>124</v>
      </c>
      <c r="E1521" s="11" t="s">
        <v>4045</v>
      </c>
      <c r="F1521" s="11" t="s">
        <v>4074</v>
      </c>
      <c r="G1521" s="1">
        <v>46259</v>
      </c>
      <c r="H1521" s="1">
        <v>46259</v>
      </c>
      <c r="I1521" s="2">
        <v>0.25</v>
      </c>
      <c r="J1521" s="2">
        <v>0.54166666666666663</v>
      </c>
      <c r="K1521" s="11"/>
      <c r="L1521" s="11" t="s">
        <v>4060</v>
      </c>
      <c r="M1521" s="1"/>
      <c r="N1521" s="11"/>
      <c r="O1521" s="11" t="s">
        <v>4042</v>
      </c>
      <c r="P1521" s="1"/>
      <c r="Q1521" s="1"/>
      <c r="R1521" s="11"/>
      <c r="S1521" s="2">
        <f>CONSOLIDADO_2026[[#This Row],[Hora final]]-CONSOLIDADO_2026[[#This Row],[Hora inic]]</f>
        <v>0.29166666666666663</v>
      </c>
    </row>
    <row r="1522" spans="1:19" hidden="1" x14ac:dyDescent="0.25">
      <c r="A1522" t="s">
        <v>4237</v>
      </c>
      <c r="B1522">
        <v>1152210115</v>
      </c>
      <c r="C1522" t="s">
        <v>2821</v>
      </c>
      <c r="D1522" s="11" t="s">
        <v>619</v>
      </c>
      <c r="E1522" s="11" t="s">
        <v>4045</v>
      </c>
      <c r="F1522" s="11" t="s">
        <v>16</v>
      </c>
      <c r="G1522" s="1">
        <v>46259</v>
      </c>
      <c r="H1522" s="1">
        <v>46259</v>
      </c>
      <c r="I1522" s="2">
        <v>0.25</v>
      </c>
      <c r="J1522" s="2">
        <v>0.58333333333333337</v>
      </c>
      <c r="K1522" s="11"/>
      <c r="L1522" s="11" t="s">
        <v>327</v>
      </c>
      <c r="M1522" s="1"/>
      <c r="N1522" s="11"/>
      <c r="O1522" s="11" t="s">
        <v>4042</v>
      </c>
      <c r="P1522" s="1"/>
      <c r="Q1522" s="1"/>
      <c r="R1522" s="11"/>
      <c r="S1522" s="2">
        <f>CONSOLIDADO_2026[[#This Row],[Hora final]]-CONSOLIDADO_2026[[#This Row],[Hora inic]]</f>
        <v>0.33333333333333337</v>
      </c>
    </row>
    <row r="1523" spans="1:19" hidden="1" x14ac:dyDescent="0.25">
      <c r="A1523" t="s">
        <v>4237</v>
      </c>
      <c r="B1523">
        <v>1036624789</v>
      </c>
      <c r="C1523" t="s">
        <v>223</v>
      </c>
      <c r="D1523" s="11" t="s">
        <v>4078</v>
      </c>
      <c r="E1523" s="11" t="s">
        <v>4046</v>
      </c>
      <c r="F1523" s="11" t="s">
        <v>4074</v>
      </c>
      <c r="G1523" s="1">
        <v>46259</v>
      </c>
      <c r="H1523" s="1"/>
      <c r="I1523" s="2">
        <v>0.25</v>
      </c>
      <c r="J1523" s="2">
        <v>0.54166666666666663</v>
      </c>
      <c r="K1523" s="11" t="s">
        <v>222</v>
      </c>
      <c r="L1523" s="11" t="s">
        <v>223</v>
      </c>
      <c r="M1523" s="1"/>
      <c r="N1523" s="11"/>
      <c r="O1523" s="11" t="s">
        <v>21</v>
      </c>
      <c r="P1523" s="1"/>
      <c r="Q1523" s="1"/>
      <c r="R1523" s="11"/>
      <c r="S1523" s="2">
        <f>CONSOLIDADO_2026[[#This Row],[Hora final]]-CONSOLIDADO_2026[[#This Row],[Hora inic]]</f>
        <v>0.29166666666666663</v>
      </c>
    </row>
    <row r="1524" spans="1:19" hidden="1" x14ac:dyDescent="0.25">
      <c r="A1524" t="s">
        <v>4237</v>
      </c>
      <c r="B1524">
        <v>1143406315</v>
      </c>
      <c r="C1524" t="s">
        <v>735</v>
      </c>
      <c r="D1524" s="11" t="s">
        <v>272</v>
      </c>
      <c r="E1524" s="11" t="s">
        <v>4056</v>
      </c>
      <c r="F1524" s="11" t="s">
        <v>4074</v>
      </c>
      <c r="G1524" s="1">
        <v>46259</v>
      </c>
      <c r="H1524" s="1">
        <v>46260</v>
      </c>
      <c r="I1524" s="2"/>
      <c r="J1524" s="2"/>
      <c r="K1524" s="11"/>
      <c r="L1524" s="11" t="s">
        <v>4060</v>
      </c>
      <c r="M1524" s="1"/>
      <c r="N1524" s="11"/>
      <c r="O1524" s="11" t="s">
        <v>4042</v>
      </c>
      <c r="P1524" s="1"/>
      <c r="Q1524" s="1"/>
      <c r="R1524" s="11"/>
      <c r="S1524" s="2">
        <f>CONSOLIDADO_2026[[#This Row],[Hora final]]-CONSOLIDADO_2026[[#This Row],[Hora inic]]</f>
        <v>0</v>
      </c>
    </row>
    <row r="1525" spans="1:19" hidden="1" x14ac:dyDescent="0.25">
      <c r="A1525" t="s">
        <v>4237</v>
      </c>
      <c r="B1525">
        <v>1001996913</v>
      </c>
      <c r="C1525" t="s">
        <v>3174</v>
      </c>
      <c r="D1525" s="11" t="s">
        <v>28</v>
      </c>
      <c r="E1525" s="11" t="s">
        <v>4046</v>
      </c>
      <c r="F1525" s="11" t="s">
        <v>4074</v>
      </c>
      <c r="G1525" s="1">
        <v>46259</v>
      </c>
      <c r="H1525" s="1">
        <v>46259</v>
      </c>
      <c r="I1525" s="2"/>
      <c r="J1525" s="2"/>
      <c r="K1525" s="11"/>
      <c r="L1525" s="11" t="s">
        <v>4060</v>
      </c>
      <c r="M1525" s="1"/>
      <c r="N1525" s="11"/>
      <c r="O1525" s="11" t="s">
        <v>4042</v>
      </c>
      <c r="P1525" s="1"/>
      <c r="Q1525" s="1"/>
      <c r="R1525" s="11"/>
      <c r="S1525" s="2">
        <f>CONSOLIDADO_2026[[#This Row],[Hora final]]-CONSOLIDADO_2026[[#This Row],[Hora inic]]</f>
        <v>0</v>
      </c>
    </row>
    <row r="1526" spans="1:19" hidden="1" x14ac:dyDescent="0.25">
      <c r="A1526" t="s">
        <v>4237</v>
      </c>
      <c r="B1526">
        <v>1010135017</v>
      </c>
      <c r="C1526" t="s">
        <v>1311</v>
      </c>
      <c r="D1526" s="11" t="s">
        <v>256</v>
      </c>
      <c r="E1526" s="11" t="s">
        <v>4040</v>
      </c>
      <c r="F1526" s="11" t="s">
        <v>4074</v>
      </c>
      <c r="G1526" s="1">
        <v>46259</v>
      </c>
      <c r="H1526" s="1">
        <v>46261</v>
      </c>
      <c r="I1526" s="2"/>
      <c r="J1526" s="2"/>
      <c r="K1526" s="11"/>
      <c r="L1526" s="11" t="s">
        <v>4060</v>
      </c>
      <c r="M1526" s="1"/>
      <c r="N1526" s="11"/>
      <c r="O1526" s="11" t="s">
        <v>4042</v>
      </c>
      <c r="P1526" s="1"/>
      <c r="Q1526" s="1"/>
      <c r="R1526" s="11"/>
      <c r="S1526" s="2">
        <f>CONSOLIDADO_2026[[#This Row],[Hora final]]-CONSOLIDADO_2026[[#This Row],[Hora inic]]</f>
        <v>0</v>
      </c>
    </row>
    <row r="1527" spans="1:19" hidden="1" x14ac:dyDescent="0.25">
      <c r="A1527" t="s">
        <v>4237</v>
      </c>
      <c r="B1527">
        <v>1017254059</v>
      </c>
      <c r="C1527" t="s">
        <v>2878</v>
      </c>
      <c r="D1527" s="11" t="s">
        <v>132</v>
      </c>
      <c r="E1527" s="11" t="s">
        <v>4040</v>
      </c>
      <c r="F1527" s="11" t="s">
        <v>4074</v>
      </c>
      <c r="G1527" s="1">
        <v>46259</v>
      </c>
      <c r="H1527" s="1">
        <v>46260</v>
      </c>
      <c r="I1527" s="2"/>
      <c r="J1527" s="2"/>
      <c r="K1527" s="11"/>
      <c r="L1527" s="11" t="s">
        <v>4060</v>
      </c>
      <c r="M1527" s="1"/>
      <c r="N1527" s="11"/>
      <c r="O1527" s="11" t="s">
        <v>4042</v>
      </c>
      <c r="P1527" s="1"/>
      <c r="Q1527" s="1"/>
      <c r="R1527" s="11"/>
      <c r="S1527" s="2">
        <f>CONSOLIDADO_2026[[#This Row],[Hora final]]-CONSOLIDADO_2026[[#This Row],[Hora inic]]</f>
        <v>0</v>
      </c>
    </row>
    <row r="1528" spans="1:19" hidden="1" x14ac:dyDescent="0.25">
      <c r="A1528" t="s">
        <v>4237</v>
      </c>
      <c r="B1528">
        <v>1000439437</v>
      </c>
      <c r="C1528" t="s">
        <v>451</v>
      </c>
      <c r="D1528" s="11" t="s">
        <v>139</v>
      </c>
      <c r="E1528" s="11" t="s">
        <v>4040</v>
      </c>
      <c r="F1528" s="11" t="s">
        <v>4074</v>
      </c>
      <c r="G1528" s="1">
        <v>46259</v>
      </c>
      <c r="H1528" s="1">
        <v>46260</v>
      </c>
      <c r="I1528" s="2">
        <v>0.25</v>
      </c>
      <c r="J1528" s="2">
        <v>0.54166666666666663</v>
      </c>
      <c r="K1528" s="11"/>
      <c r="L1528" s="11" t="s">
        <v>4060</v>
      </c>
      <c r="M1528" s="1"/>
      <c r="N1528" s="11"/>
      <c r="O1528" s="11" t="s">
        <v>4042</v>
      </c>
      <c r="P1528" s="1"/>
      <c r="Q1528" s="1"/>
      <c r="R1528" s="11"/>
      <c r="S1528" s="2">
        <f>CONSOLIDADO_2026[[#This Row],[Hora final]]-CONSOLIDADO_2026[[#This Row],[Hora inic]]</f>
        <v>0.29166666666666663</v>
      </c>
    </row>
    <row r="1529" spans="1:19" hidden="1" x14ac:dyDescent="0.25">
      <c r="A1529" t="s">
        <v>4237</v>
      </c>
      <c r="B1529">
        <v>1038408808</v>
      </c>
      <c r="C1529" t="s">
        <v>483</v>
      </c>
      <c r="D1529" s="11" t="s">
        <v>482</v>
      </c>
      <c r="E1529" s="11" t="s">
        <v>4040</v>
      </c>
      <c r="F1529" s="11" t="s">
        <v>16</v>
      </c>
      <c r="G1529" s="1">
        <v>46259</v>
      </c>
      <c r="H1529" s="1">
        <v>46262</v>
      </c>
      <c r="I1529" s="2">
        <v>0.25</v>
      </c>
      <c r="J1529" s="2">
        <v>0.58333333333333337</v>
      </c>
      <c r="K1529" s="11"/>
      <c r="L1529" s="11" t="s">
        <v>327</v>
      </c>
      <c r="M1529" s="1"/>
      <c r="N1529" s="11"/>
      <c r="O1529" s="11" t="s">
        <v>4042</v>
      </c>
      <c r="P1529" s="1"/>
      <c r="Q1529" s="1"/>
      <c r="R1529" s="11"/>
      <c r="S1529" s="2">
        <f>CONSOLIDADO_2026[[#This Row],[Hora final]]-CONSOLIDADO_2026[[#This Row],[Hora inic]]</f>
        <v>0.33333333333333337</v>
      </c>
    </row>
    <row r="1530" spans="1:19" hidden="1" x14ac:dyDescent="0.25">
      <c r="A1530" t="s">
        <v>4237</v>
      </c>
      <c r="B1530">
        <v>1083048590</v>
      </c>
      <c r="C1530" t="s">
        <v>2487</v>
      </c>
      <c r="D1530" s="11" t="s">
        <v>28</v>
      </c>
      <c r="E1530" s="11" t="s">
        <v>4046</v>
      </c>
      <c r="F1530" s="11" t="s">
        <v>16</v>
      </c>
      <c r="G1530" s="1">
        <v>46259</v>
      </c>
      <c r="H1530" s="1">
        <v>46260</v>
      </c>
      <c r="I1530" s="2">
        <v>0.25</v>
      </c>
      <c r="J1530" s="2">
        <v>0.58333333333333337</v>
      </c>
      <c r="K1530" s="11"/>
      <c r="L1530" s="11" t="s">
        <v>327</v>
      </c>
      <c r="M1530" s="1"/>
      <c r="N1530" s="11"/>
      <c r="O1530" s="11" t="s">
        <v>4042</v>
      </c>
      <c r="P1530" s="1"/>
      <c r="Q1530" s="1"/>
      <c r="R1530" s="11"/>
      <c r="S1530" s="2">
        <f>CONSOLIDADO_2026[[#This Row],[Hora final]]-CONSOLIDADO_2026[[#This Row],[Hora inic]]</f>
        <v>0.33333333333333337</v>
      </c>
    </row>
    <row r="1531" spans="1:19" hidden="1" x14ac:dyDescent="0.25">
      <c r="A1531" t="s">
        <v>4237</v>
      </c>
      <c r="B1531">
        <v>1020476544</v>
      </c>
      <c r="C1531" t="s">
        <v>473</v>
      </c>
      <c r="D1531" s="11" t="s">
        <v>256</v>
      </c>
      <c r="E1531" s="11" t="s">
        <v>4040</v>
      </c>
      <c r="F1531" s="11" t="s">
        <v>4074</v>
      </c>
      <c r="G1531" s="1">
        <v>46259</v>
      </c>
      <c r="H1531" s="1">
        <v>46259</v>
      </c>
      <c r="I1531" s="2">
        <v>0.54166666666666663</v>
      </c>
      <c r="J1531" s="2">
        <v>0.875</v>
      </c>
      <c r="K1531" s="11"/>
      <c r="L1531" s="11" t="s">
        <v>4060</v>
      </c>
      <c r="M1531" s="1"/>
      <c r="N1531" s="11"/>
      <c r="O1531" s="11" t="s">
        <v>4042</v>
      </c>
      <c r="P1531" s="1"/>
      <c r="Q1531" s="1"/>
      <c r="R1531" s="11"/>
      <c r="S1531" s="2">
        <f>CONSOLIDADO_2026[[#This Row],[Hora final]]-CONSOLIDADO_2026[[#This Row],[Hora inic]]</f>
        <v>0.33333333333333337</v>
      </c>
    </row>
    <row r="1532" spans="1:19" hidden="1" x14ac:dyDescent="0.25">
      <c r="A1532" t="s">
        <v>4237</v>
      </c>
      <c r="B1532">
        <v>1017238267</v>
      </c>
      <c r="C1532" t="s">
        <v>2537</v>
      </c>
      <c r="D1532" s="11" t="s">
        <v>55</v>
      </c>
      <c r="E1532" s="11" t="s">
        <v>4047</v>
      </c>
      <c r="F1532" s="11" t="s">
        <v>4074</v>
      </c>
      <c r="G1532" s="1">
        <v>46259</v>
      </c>
      <c r="H1532" s="1">
        <v>46261</v>
      </c>
      <c r="I1532" s="2">
        <v>0.58333333333333337</v>
      </c>
      <c r="J1532" s="2">
        <v>0.875</v>
      </c>
      <c r="K1532" s="11"/>
      <c r="L1532" s="11" t="s">
        <v>4060</v>
      </c>
      <c r="M1532" s="1"/>
      <c r="N1532" s="11"/>
      <c r="O1532" s="11" t="s">
        <v>4042</v>
      </c>
      <c r="P1532" s="1"/>
      <c r="Q1532" s="1"/>
      <c r="R1532" s="11"/>
      <c r="S1532" s="2">
        <f>CONSOLIDADO_2026[[#This Row],[Hora final]]-CONSOLIDADO_2026[[#This Row],[Hora inic]]</f>
        <v>0.29166666666666663</v>
      </c>
    </row>
    <row r="1533" spans="1:19" hidden="1" x14ac:dyDescent="0.25">
      <c r="A1533" t="s">
        <v>4237</v>
      </c>
      <c r="B1533">
        <v>1017277147</v>
      </c>
      <c r="C1533" t="s">
        <v>214</v>
      </c>
      <c r="D1533" s="11" t="s">
        <v>4078</v>
      </c>
      <c r="E1533" s="11" t="s">
        <v>4045</v>
      </c>
      <c r="F1533" s="11" t="s">
        <v>4099</v>
      </c>
      <c r="G1533" s="1">
        <v>46259</v>
      </c>
      <c r="H1533" s="1">
        <v>46259</v>
      </c>
      <c r="I1533" s="2">
        <v>0.54166666666666663</v>
      </c>
      <c r="J1533" s="2">
        <v>0.58333333333333337</v>
      </c>
      <c r="K1533" s="11"/>
      <c r="L1533" s="11" t="s">
        <v>339</v>
      </c>
      <c r="M1533" s="1"/>
      <c r="N1533" s="11"/>
      <c r="O1533" s="11" t="s">
        <v>4042</v>
      </c>
      <c r="P1533" s="1"/>
      <c r="Q1533" s="1"/>
      <c r="R1533" s="11"/>
      <c r="S1533" s="2">
        <f>CONSOLIDADO_2026[[#This Row],[Hora final]]-CONSOLIDADO_2026[[#This Row],[Hora inic]]</f>
        <v>4.1666666666666741E-2</v>
      </c>
    </row>
    <row r="1534" spans="1:19" hidden="1" x14ac:dyDescent="0.25">
      <c r="A1534" t="s">
        <v>4237</v>
      </c>
      <c r="B1534">
        <v>1001140238</v>
      </c>
      <c r="C1534" t="s">
        <v>74</v>
      </c>
      <c r="D1534" s="11" t="s">
        <v>4078</v>
      </c>
      <c r="E1534" s="11" t="s">
        <v>4045</v>
      </c>
      <c r="F1534" s="11" t="s">
        <v>4099</v>
      </c>
      <c r="G1534" s="1">
        <v>46259</v>
      </c>
      <c r="H1534" s="1">
        <v>46259</v>
      </c>
      <c r="I1534" s="2">
        <v>0.58333333333333337</v>
      </c>
      <c r="J1534" s="2">
        <v>0.625</v>
      </c>
      <c r="K1534" s="11"/>
      <c r="L1534" s="11" t="s">
        <v>339</v>
      </c>
      <c r="M1534" s="1"/>
      <c r="N1534" s="11"/>
      <c r="O1534" s="11" t="s">
        <v>4042</v>
      </c>
      <c r="P1534" s="1"/>
      <c r="Q1534" s="1"/>
      <c r="R1534" s="11"/>
      <c r="S1534" s="2">
        <f>CONSOLIDADO_2026[[#This Row],[Hora final]]-CONSOLIDADO_2026[[#This Row],[Hora inic]]</f>
        <v>4.166666666666663E-2</v>
      </c>
    </row>
    <row r="1535" spans="1:19" hidden="1" x14ac:dyDescent="0.25">
      <c r="A1535" t="s">
        <v>4239</v>
      </c>
      <c r="B1535">
        <v>1067959066</v>
      </c>
      <c r="C1535" t="s">
        <v>3479</v>
      </c>
      <c r="D1535" s="11" t="s">
        <v>344</v>
      </c>
      <c r="E1535" s="11" t="s">
        <v>4056</v>
      </c>
      <c r="F1535" s="11" t="s">
        <v>16</v>
      </c>
      <c r="G1535" s="1">
        <v>46258</v>
      </c>
      <c r="H1535" s="1">
        <v>46259</v>
      </c>
      <c r="I1535" s="2"/>
      <c r="J1535" s="2"/>
      <c r="K1535" s="11"/>
      <c r="L1535" s="11" t="s">
        <v>4041</v>
      </c>
      <c r="M1535" s="1"/>
      <c r="N1535" s="11"/>
      <c r="O1535" s="11" t="s">
        <v>4042</v>
      </c>
      <c r="P1535" s="1"/>
      <c r="Q1535" s="1"/>
      <c r="R1535" s="11"/>
      <c r="S1535" s="2">
        <f>CONSOLIDADO_2026[[#This Row],[Hora final]]-CONSOLIDADO_2026[[#This Row],[Hora inic]]</f>
        <v>0</v>
      </c>
    </row>
    <row r="1536" spans="1:19" hidden="1" x14ac:dyDescent="0.25">
      <c r="A1536" t="s">
        <v>4239</v>
      </c>
      <c r="B1536">
        <v>1001996913</v>
      </c>
      <c r="C1536" t="s">
        <v>3174</v>
      </c>
      <c r="D1536" s="11" t="s">
        <v>28</v>
      </c>
      <c r="E1536" s="11" t="s">
        <v>4046</v>
      </c>
      <c r="F1536" s="11" t="s">
        <v>16</v>
      </c>
      <c r="G1536" s="1">
        <v>46259</v>
      </c>
      <c r="H1536" s="1">
        <v>46259</v>
      </c>
      <c r="I1536" s="2">
        <v>0.25</v>
      </c>
      <c r="J1536" s="2">
        <v>0.54166666666666663</v>
      </c>
      <c r="K1536" s="11"/>
      <c r="L1536" s="11" t="s">
        <v>4060</v>
      </c>
      <c r="M1536" s="1"/>
      <c r="N1536" s="11"/>
      <c r="O1536" s="11" t="s">
        <v>4042</v>
      </c>
      <c r="P1536" s="1"/>
      <c r="Q1536" s="1"/>
      <c r="R1536" s="11"/>
      <c r="S1536" s="2">
        <f>CONSOLIDADO_2026[[#This Row],[Hora final]]-CONSOLIDADO_2026[[#This Row],[Hora inic]]</f>
        <v>0.29166666666666663</v>
      </c>
    </row>
    <row r="1537" spans="1:19" hidden="1" x14ac:dyDescent="0.25">
      <c r="A1537" t="s">
        <v>4239</v>
      </c>
      <c r="B1537">
        <v>43271257</v>
      </c>
      <c r="C1537" t="s">
        <v>4113</v>
      </c>
      <c r="D1537" s="11" t="s">
        <v>15</v>
      </c>
      <c r="E1537" s="11" t="s">
        <v>4046</v>
      </c>
      <c r="F1537" s="11" t="s">
        <v>4087</v>
      </c>
      <c r="G1537" s="1">
        <v>46259</v>
      </c>
      <c r="H1537" s="1">
        <v>46259</v>
      </c>
      <c r="I1537" s="2"/>
      <c r="J1537" s="2"/>
      <c r="K1537" s="11"/>
      <c r="L1537" s="11" t="s">
        <v>4041</v>
      </c>
      <c r="M1537" s="1"/>
      <c r="N1537" s="11"/>
      <c r="O1537" s="11" t="s">
        <v>4042</v>
      </c>
      <c r="P1537" s="1"/>
      <c r="Q1537" s="1"/>
      <c r="R1537" s="11"/>
      <c r="S1537" s="2">
        <f>CONSOLIDADO_2026[[#This Row],[Hora final]]-CONSOLIDADO_2026[[#This Row],[Hora inic]]</f>
        <v>0</v>
      </c>
    </row>
    <row r="1538" spans="1:19" hidden="1" x14ac:dyDescent="0.25">
      <c r="A1538" t="s">
        <v>4239</v>
      </c>
      <c r="B1538">
        <v>1081916952</v>
      </c>
      <c r="C1538" t="s">
        <v>2540</v>
      </c>
      <c r="D1538" s="11" t="s">
        <v>124</v>
      </c>
      <c r="E1538" s="11" t="s">
        <v>4045</v>
      </c>
      <c r="F1538" s="11" t="s">
        <v>16</v>
      </c>
      <c r="G1538" s="1">
        <v>46259</v>
      </c>
      <c r="H1538" s="1">
        <v>46259</v>
      </c>
      <c r="I1538" s="2"/>
      <c r="J1538" s="2"/>
      <c r="K1538" s="11"/>
      <c r="L1538" s="11" t="s">
        <v>4041</v>
      </c>
      <c r="M1538" s="1"/>
      <c r="N1538" s="11"/>
      <c r="O1538" s="11" t="s">
        <v>4042</v>
      </c>
      <c r="P1538" s="1"/>
      <c r="Q1538" s="1"/>
      <c r="R1538" s="11"/>
      <c r="S1538" s="2">
        <f>CONSOLIDADO_2026[[#This Row],[Hora final]]-CONSOLIDADO_2026[[#This Row],[Hora inic]]</f>
        <v>0</v>
      </c>
    </row>
    <row r="1539" spans="1:19" hidden="1" x14ac:dyDescent="0.25">
      <c r="A1539" t="s">
        <v>4239</v>
      </c>
      <c r="B1539">
        <v>1032488873</v>
      </c>
      <c r="C1539" t="s">
        <v>4240</v>
      </c>
      <c r="D1539" s="11" t="s">
        <v>55</v>
      </c>
      <c r="E1539" s="11" t="s">
        <v>4047</v>
      </c>
      <c r="F1539" s="11" t="s">
        <v>16</v>
      </c>
      <c r="G1539" s="1">
        <v>46259</v>
      </c>
      <c r="H1539" s="1">
        <v>46263</v>
      </c>
      <c r="I1539" s="2">
        <v>0.25</v>
      </c>
      <c r="J1539" s="2">
        <v>0.54166666666666663</v>
      </c>
      <c r="K1539" s="11" t="s">
        <v>73</v>
      </c>
      <c r="L1539" s="11" t="s">
        <v>74</v>
      </c>
      <c r="M1539" s="1"/>
      <c r="N1539" s="11"/>
      <c r="O1539" s="11" t="s">
        <v>21</v>
      </c>
      <c r="P1539" s="1"/>
      <c r="Q1539" s="1"/>
      <c r="R1539" s="11"/>
      <c r="S1539" s="2">
        <f>CONSOLIDADO_2026[[#This Row],[Hora final]]-CONSOLIDADO_2026[[#This Row],[Hora inic]]</f>
        <v>0.29166666666666663</v>
      </c>
    </row>
    <row r="1540" spans="1:19" hidden="1" x14ac:dyDescent="0.25">
      <c r="A1540" t="s">
        <v>4239</v>
      </c>
      <c r="B1540">
        <v>1152210115</v>
      </c>
      <c r="C1540" t="s">
        <v>2821</v>
      </c>
      <c r="D1540" s="11" t="s">
        <v>619</v>
      </c>
      <c r="E1540" s="11" t="s">
        <v>4045</v>
      </c>
      <c r="F1540" s="11" t="s">
        <v>16</v>
      </c>
      <c r="G1540" s="1">
        <v>46259</v>
      </c>
      <c r="H1540" s="1">
        <v>46259</v>
      </c>
      <c r="I1540" s="2"/>
      <c r="J1540" s="2"/>
      <c r="K1540" s="11"/>
      <c r="L1540" s="11" t="s">
        <v>4041</v>
      </c>
      <c r="M1540" s="1"/>
      <c r="N1540" s="11"/>
      <c r="O1540" s="11" t="s">
        <v>4042</v>
      </c>
      <c r="P1540" s="1"/>
      <c r="Q1540" s="1"/>
      <c r="R1540" s="11"/>
      <c r="S1540" s="2">
        <f>CONSOLIDADO_2026[[#This Row],[Hora final]]-CONSOLIDADO_2026[[#This Row],[Hora inic]]</f>
        <v>0</v>
      </c>
    </row>
    <row r="1541" spans="1:19" hidden="1" x14ac:dyDescent="0.25">
      <c r="A1541" t="s">
        <v>4239</v>
      </c>
      <c r="B1541">
        <v>1140902203</v>
      </c>
      <c r="C1541" t="s">
        <v>648</v>
      </c>
      <c r="D1541" s="11" t="s">
        <v>4241</v>
      </c>
      <c r="E1541" s="11" t="s">
        <v>4056</v>
      </c>
      <c r="F1541" s="11" t="s">
        <v>16</v>
      </c>
      <c r="G1541" s="1">
        <v>46259</v>
      </c>
      <c r="H1541" s="1">
        <v>46259</v>
      </c>
      <c r="I1541" s="2"/>
      <c r="J1541" s="2"/>
      <c r="K1541" s="11"/>
      <c r="L1541" s="11" t="s">
        <v>4041</v>
      </c>
      <c r="M1541" s="1"/>
      <c r="N1541" s="11"/>
      <c r="O1541" s="11" t="s">
        <v>4042</v>
      </c>
      <c r="P1541" s="1"/>
      <c r="Q1541" s="1"/>
      <c r="R1541" s="11"/>
      <c r="S1541" s="2">
        <f>CONSOLIDADO_2026[[#This Row],[Hora final]]-CONSOLIDADO_2026[[#This Row],[Hora inic]]</f>
        <v>0</v>
      </c>
    </row>
    <row r="1542" spans="1:19" hidden="1" x14ac:dyDescent="0.25">
      <c r="A1542" t="s">
        <v>4239</v>
      </c>
      <c r="B1542">
        <v>50927877</v>
      </c>
      <c r="C1542" t="s">
        <v>4242</v>
      </c>
      <c r="D1542" s="11" t="s">
        <v>176</v>
      </c>
      <c r="E1542" s="11" t="s">
        <v>4040</v>
      </c>
      <c r="F1542" s="11" t="s">
        <v>4087</v>
      </c>
      <c r="G1542" s="1">
        <v>46259</v>
      </c>
      <c r="H1542" s="1">
        <v>46259</v>
      </c>
      <c r="I1542" s="2"/>
      <c r="J1542" s="2"/>
      <c r="K1542" s="11"/>
      <c r="L1542" s="11" t="s">
        <v>4041</v>
      </c>
      <c r="M1542" s="1"/>
      <c r="N1542" s="11"/>
      <c r="O1542" s="11" t="s">
        <v>4042</v>
      </c>
      <c r="P1542" s="1"/>
      <c r="Q1542" s="1"/>
      <c r="R1542" s="11"/>
      <c r="S1542" s="2">
        <f>CONSOLIDADO_2026[[#This Row],[Hora final]]-CONSOLIDADO_2026[[#This Row],[Hora inic]]</f>
        <v>0</v>
      </c>
    </row>
    <row r="1543" spans="1:19" hidden="1" x14ac:dyDescent="0.25">
      <c r="A1543" t="s">
        <v>4239</v>
      </c>
      <c r="B1543">
        <v>1095832090</v>
      </c>
      <c r="C1543" t="s">
        <v>4243</v>
      </c>
      <c r="D1543" s="11" t="s">
        <v>55</v>
      </c>
      <c r="E1543" s="11" t="s">
        <v>4047</v>
      </c>
      <c r="F1543" s="11" t="s">
        <v>16</v>
      </c>
      <c r="G1543" s="1"/>
      <c r="H1543" s="1">
        <v>46259</v>
      </c>
      <c r="I1543" s="2"/>
      <c r="J1543" s="2"/>
      <c r="K1543" s="11"/>
      <c r="L1543" s="11" t="s">
        <v>4041</v>
      </c>
      <c r="M1543" s="1"/>
      <c r="N1543" s="11"/>
      <c r="O1543" s="11" t="s">
        <v>4042</v>
      </c>
      <c r="P1543" s="1"/>
      <c r="Q1543" s="1"/>
      <c r="R1543" s="11"/>
      <c r="S1543" s="2">
        <f>CONSOLIDADO_2026[[#This Row],[Hora final]]-CONSOLIDADO_2026[[#This Row],[Hora inic]]</f>
        <v>0</v>
      </c>
    </row>
    <row r="1544" spans="1:19" hidden="1" x14ac:dyDescent="0.25">
      <c r="A1544" t="s">
        <v>4239</v>
      </c>
      <c r="B1544">
        <v>1067864151</v>
      </c>
      <c r="C1544" t="s">
        <v>1809</v>
      </c>
      <c r="D1544" s="11" t="s">
        <v>256</v>
      </c>
      <c r="E1544" s="11" t="s">
        <v>4040</v>
      </c>
      <c r="F1544" s="11" t="s">
        <v>16</v>
      </c>
      <c r="G1544" s="1">
        <v>46258</v>
      </c>
      <c r="H1544" s="1">
        <v>46260</v>
      </c>
      <c r="I1544" s="2">
        <v>0.25</v>
      </c>
      <c r="J1544" s="2">
        <v>0.54166666666666663</v>
      </c>
      <c r="K1544" s="11"/>
      <c r="L1544" s="11" t="s">
        <v>327</v>
      </c>
      <c r="M1544" s="1"/>
      <c r="N1544" s="11"/>
      <c r="O1544" s="11" t="s">
        <v>4042</v>
      </c>
      <c r="P1544" s="1"/>
      <c r="Q1544" s="1"/>
      <c r="R1544" s="11"/>
      <c r="S1544" s="2">
        <f>CONSOLIDADO_2026[[#This Row],[Hora final]]-CONSOLIDADO_2026[[#This Row],[Hora inic]]</f>
        <v>0.29166666666666663</v>
      </c>
    </row>
    <row r="1545" spans="1:19" hidden="1" x14ac:dyDescent="0.25">
      <c r="A1545" t="s">
        <v>4239</v>
      </c>
      <c r="B1545">
        <v>1037645530</v>
      </c>
      <c r="C1545" t="s">
        <v>1736</v>
      </c>
      <c r="D1545" s="11" t="s">
        <v>78</v>
      </c>
      <c r="E1545" s="11" t="s">
        <v>4046</v>
      </c>
      <c r="F1545" s="11" t="s">
        <v>24</v>
      </c>
      <c r="G1545" s="1">
        <v>46259</v>
      </c>
      <c r="H1545" s="1">
        <v>46259</v>
      </c>
      <c r="I1545" s="2"/>
      <c r="J1545" s="2"/>
      <c r="K1545" s="11"/>
      <c r="L1545" s="11" t="s">
        <v>4041</v>
      </c>
      <c r="M1545" s="1"/>
      <c r="N1545" s="11"/>
      <c r="O1545" s="11" t="s">
        <v>4042</v>
      </c>
      <c r="P1545" s="1"/>
      <c r="Q1545" s="1"/>
      <c r="R1545" s="11"/>
      <c r="S1545" s="2">
        <f>CONSOLIDADO_2026[[#This Row],[Hora final]]-CONSOLIDADO_2026[[#This Row],[Hora inic]]</f>
        <v>0</v>
      </c>
    </row>
    <row r="1546" spans="1:19" hidden="1" x14ac:dyDescent="0.25">
      <c r="A1546" t="s">
        <v>4239</v>
      </c>
      <c r="B1546">
        <v>1235539927</v>
      </c>
      <c r="C1546" t="s">
        <v>2591</v>
      </c>
      <c r="D1546" s="11" t="s">
        <v>132</v>
      </c>
      <c r="E1546" s="11" t="s">
        <v>4040</v>
      </c>
      <c r="F1546" s="11" t="s">
        <v>16</v>
      </c>
      <c r="G1546" s="1">
        <v>46258</v>
      </c>
      <c r="H1546" s="1">
        <v>46260</v>
      </c>
      <c r="I1546" s="2">
        <v>0.25</v>
      </c>
      <c r="J1546" s="2">
        <v>0.54166666666666663</v>
      </c>
      <c r="K1546" s="11"/>
      <c r="L1546" s="11" t="s">
        <v>327</v>
      </c>
      <c r="M1546" s="1"/>
      <c r="N1546" s="11"/>
      <c r="O1546" s="11" t="s">
        <v>4042</v>
      </c>
      <c r="P1546" s="1"/>
      <c r="Q1546" s="1"/>
      <c r="R1546" s="11"/>
      <c r="S1546" s="2">
        <f>CONSOLIDADO_2026[[#This Row],[Hora final]]-CONSOLIDADO_2026[[#This Row],[Hora inic]]</f>
        <v>0.29166666666666663</v>
      </c>
    </row>
    <row r="1547" spans="1:19" hidden="1" x14ac:dyDescent="0.25">
      <c r="A1547" t="s">
        <v>4239</v>
      </c>
      <c r="B1547">
        <v>1143267842</v>
      </c>
      <c r="C1547" t="s">
        <v>1501</v>
      </c>
      <c r="D1547" s="11" t="s">
        <v>128</v>
      </c>
      <c r="E1547" s="11" t="s">
        <v>4045</v>
      </c>
      <c r="F1547" s="11" t="s">
        <v>4050</v>
      </c>
      <c r="G1547" s="1">
        <v>46260</v>
      </c>
      <c r="H1547" s="1">
        <v>46262</v>
      </c>
      <c r="I1547" s="2">
        <v>0.58333333333333337</v>
      </c>
      <c r="J1547" s="2">
        <v>0.875</v>
      </c>
      <c r="K1547" s="11"/>
      <c r="L1547" s="11" t="s">
        <v>327</v>
      </c>
      <c r="M1547" s="1"/>
      <c r="N1547" s="11"/>
      <c r="O1547" s="11" t="s">
        <v>4042</v>
      </c>
      <c r="P1547" s="1"/>
      <c r="Q1547" s="1"/>
      <c r="R1547" s="11"/>
      <c r="S1547" s="2">
        <f>CONSOLIDADO_2026[[#This Row],[Hora final]]-CONSOLIDADO_2026[[#This Row],[Hora inic]]</f>
        <v>0.29166666666666663</v>
      </c>
    </row>
    <row r="1548" spans="1:19" hidden="1" x14ac:dyDescent="0.25">
      <c r="A1548" t="s">
        <v>4239</v>
      </c>
      <c r="B1548">
        <v>1037653415</v>
      </c>
      <c r="C1548" t="s">
        <v>2337</v>
      </c>
      <c r="D1548" s="11" t="s">
        <v>102</v>
      </c>
      <c r="E1548" s="11" t="s">
        <v>4046</v>
      </c>
      <c r="F1548" s="11" t="s">
        <v>16</v>
      </c>
      <c r="G1548" s="1">
        <v>46258</v>
      </c>
      <c r="H1548" s="1">
        <v>46259</v>
      </c>
      <c r="I1548" s="2"/>
      <c r="J1548" s="2"/>
      <c r="K1548" s="11"/>
      <c r="L1548" s="11" t="s">
        <v>4041</v>
      </c>
      <c r="M1548" s="1"/>
      <c r="N1548" s="11"/>
      <c r="O1548" s="11" t="s">
        <v>4042</v>
      </c>
      <c r="P1548" s="1"/>
      <c r="Q1548" s="1"/>
      <c r="R1548" s="11"/>
      <c r="S1548" s="2">
        <f>CONSOLIDADO_2026[[#This Row],[Hora final]]-CONSOLIDADO_2026[[#This Row],[Hora inic]]</f>
        <v>0</v>
      </c>
    </row>
    <row r="1549" spans="1:19" hidden="1" x14ac:dyDescent="0.25">
      <c r="A1549" t="s">
        <v>4239</v>
      </c>
      <c r="B1549">
        <v>1003305205</v>
      </c>
      <c r="C1549" t="s">
        <v>1398</v>
      </c>
      <c r="D1549" s="11" t="s">
        <v>162</v>
      </c>
      <c r="E1549" s="11" t="s">
        <v>4056</v>
      </c>
      <c r="F1549" s="11" t="s">
        <v>16</v>
      </c>
      <c r="G1549" s="1">
        <v>46258</v>
      </c>
      <c r="H1549" s="1">
        <v>46260</v>
      </c>
      <c r="I1549" s="2"/>
      <c r="J1549" s="2"/>
      <c r="K1549" s="11"/>
      <c r="L1549" s="11" t="s">
        <v>4041</v>
      </c>
      <c r="M1549" s="1"/>
      <c r="N1549" s="11"/>
      <c r="O1549" s="11" t="s">
        <v>4042</v>
      </c>
      <c r="P1549" s="1"/>
      <c r="Q1549" s="1"/>
      <c r="R1549" s="11"/>
      <c r="S1549" s="2">
        <f>CONSOLIDADO_2026[[#This Row],[Hora final]]-CONSOLIDADO_2026[[#This Row],[Hora inic]]</f>
        <v>0</v>
      </c>
    </row>
    <row r="1550" spans="1:19" hidden="1" x14ac:dyDescent="0.25">
      <c r="A1550" t="s">
        <v>4239</v>
      </c>
      <c r="B1550">
        <v>1001003778</v>
      </c>
      <c r="C1550" t="s">
        <v>1959</v>
      </c>
      <c r="D1550" s="11" t="s">
        <v>492</v>
      </c>
      <c r="E1550" s="11" t="s">
        <v>4045</v>
      </c>
      <c r="F1550" s="11" t="s">
        <v>16</v>
      </c>
      <c r="G1550" s="1">
        <v>46258</v>
      </c>
      <c r="H1550" s="1">
        <v>46259</v>
      </c>
      <c r="I1550" s="2">
        <v>0.54166666666666663</v>
      </c>
      <c r="J1550" s="2">
        <v>0.875</v>
      </c>
      <c r="K1550" s="11"/>
      <c r="L1550" s="11" t="s">
        <v>4041</v>
      </c>
      <c r="M1550" s="1"/>
      <c r="N1550" s="11"/>
      <c r="O1550" s="11" t="s">
        <v>4042</v>
      </c>
      <c r="P1550" s="1"/>
      <c r="Q1550" s="1"/>
      <c r="R1550" s="11"/>
      <c r="S1550" s="2">
        <f>CONSOLIDADO_2026[[#This Row],[Hora final]]-CONSOLIDADO_2026[[#This Row],[Hora inic]]</f>
        <v>0.33333333333333337</v>
      </c>
    </row>
    <row r="1551" spans="1:19" hidden="1" x14ac:dyDescent="0.25">
      <c r="A1551" t="s">
        <v>4239</v>
      </c>
      <c r="B1551">
        <v>1152709914</v>
      </c>
      <c r="C1551" t="s">
        <v>3437</v>
      </c>
      <c r="D1551" s="11" t="s">
        <v>139</v>
      </c>
      <c r="E1551" s="11" t="s">
        <v>4040</v>
      </c>
      <c r="F1551" s="11" t="s">
        <v>16</v>
      </c>
      <c r="G1551" s="1">
        <v>46258</v>
      </c>
      <c r="H1551" s="1">
        <v>46259</v>
      </c>
      <c r="I1551" s="2"/>
      <c r="J1551" s="2"/>
      <c r="K1551" s="11"/>
      <c r="L1551" s="11" t="s">
        <v>4041</v>
      </c>
      <c r="M1551" s="1"/>
      <c r="N1551" s="11"/>
      <c r="O1551" s="11" t="s">
        <v>4042</v>
      </c>
      <c r="P1551" s="1"/>
      <c r="Q1551" s="1"/>
      <c r="R1551" s="11"/>
      <c r="S1551" s="2">
        <f>CONSOLIDADO_2026[[#This Row],[Hora final]]-CONSOLIDADO_2026[[#This Row],[Hora inic]]</f>
        <v>0</v>
      </c>
    </row>
    <row r="1552" spans="1:19" hidden="1" x14ac:dyDescent="0.25">
      <c r="A1552" t="s">
        <v>4239</v>
      </c>
      <c r="B1552">
        <v>1152434926</v>
      </c>
      <c r="C1552" t="s">
        <v>217</v>
      </c>
      <c r="D1552" s="11" t="s">
        <v>59</v>
      </c>
      <c r="E1552" s="11" t="s">
        <v>4047</v>
      </c>
      <c r="F1552" s="11" t="s">
        <v>16</v>
      </c>
      <c r="G1552" s="1">
        <v>46258</v>
      </c>
      <c r="H1552" s="1">
        <v>46263</v>
      </c>
      <c r="I1552" s="2">
        <v>0.25</v>
      </c>
      <c r="J1552" s="2">
        <v>0.58333333333333337</v>
      </c>
      <c r="K1552" s="11"/>
      <c r="L1552" s="11" t="s">
        <v>327</v>
      </c>
      <c r="M1552" s="1"/>
      <c r="N1552" s="11"/>
      <c r="O1552" s="11" t="s">
        <v>4042</v>
      </c>
      <c r="P1552" s="1"/>
      <c r="Q1552" s="1"/>
      <c r="R1552" s="11"/>
      <c r="S1552" s="2">
        <f>CONSOLIDADO_2026[[#This Row],[Hora final]]-CONSOLIDADO_2026[[#This Row],[Hora inic]]</f>
        <v>0.33333333333333337</v>
      </c>
    </row>
    <row r="1553" spans="1:19" hidden="1" x14ac:dyDescent="0.25">
      <c r="A1553" t="s">
        <v>4239</v>
      </c>
      <c r="B1553">
        <v>1099551759</v>
      </c>
      <c r="C1553" t="s">
        <v>4244</v>
      </c>
      <c r="D1553" s="11" t="s">
        <v>64</v>
      </c>
      <c r="E1553" s="11" t="s">
        <v>4046</v>
      </c>
      <c r="F1553" s="11" t="s">
        <v>16</v>
      </c>
      <c r="G1553" s="1">
        <v>46258</v>
      </c>
      <c r="H1553" s="1">
        <v>46258</v>
      </c>
      <c r="I1553" s="2"/>
      <c r="J1553" s="2"/>
      <c r="K1553" s="11"/>
      <c r="L1553" s="11" t="s">
        <v>4041</v>
      </c>
      <c r="M1553" s="1"/>
      <c r="N1553" s="11"/>
      <c r="O1553" s="11" t="s">
        <v>4042</v>
      </c>
      <c r="P1553" s="1"/>
      <c r="Q1553" s="1"/>
      <c r="R1553" s="11"/>
      <c r="S1553" s="2">
        <f>CONSOLIDADO_2026[[#This Row],[Hora final]]-CONSOLIDADO_2026[[#This Row],[Hora inic]]</f>
        <v>0</v>
      </c>
    </row>
    <row r="1554" spans="1:19" hidden="1" x14ac:dyDescent="0.25">
      <c r="A1554" t="s">
        <v>4239</v>
      </c>
      <c r="B1554">
        <v>1034296571</v>
      </c>
      <c r="C1554" t="s">
        <v>4229</v>
      </c>
      <c r="D1554" s="11" t="s">
        <v>128</v>
      </c>
      <c r="E1554" s="11" t="s">
        <v>4045</v>
      </c>
      <c r="F1554" s="11" t="s">
        <v>16</v>
      </c>
      <c r="G1554" s="1">
        <v>46258</v>
      </c>
      <c r="H1554" s="1">
        <v>46260</v>
      </c>
      <c r="I1554" s="2">
        <v>0.54166666666666663</v>
      </c>
      <c r="J1554" s="2">
        <v>0.83333333333333337</v>
      </c>
      <c r="K1554" s="11"/>
      <c r="L1554" s="11" t="s">
        <v>327</v>
      </c>
      <c r="M1554" s="1"/>
      <c r="N1554" s="11"/>
      <c r="O1554" s="11" t="s">
        <v>4042</v>
      </c>
      <c r="P1554" s="1"/>
      <c r="Q1554" s="1"/>
      <c r="R1554" s="11"/>
      <c r="S1554" s="2">
        <f>CONSOLIDADO_2026[[#This Row],[Hora final]]-CONSOLIDADO_2026[[#This Row],[Hora inic]]</f>
        <v>0.29166666666666674</v>
      </c>
    </row>
    <row r="1555" spans="1:19" hidden="1" x14ac:dyDescent="0.25">
      <c r="A1555" t="s">
        <v>4239</v>
      </c>
      <c r="B1555">
        <v>1143880690</v>
      </c>
      <c r="C1555" t="s">
        <v>4238</v>
      </c>
      <c r="D1555" s="11" t="s">
        <v>4078</v>
      </c>
      <c r="E1555" s="11" t="s">
        <v>4045</v>
      </c>
      <c r="F1555" s="11" t="s">
        <v>158</v>
      </c>
      <c r="G1555" s="1">
        <v>46258</v>
      </c>
      <c r="H1555" s="1"/>
      <c r="I1555" s="2">
        <v>0.25</v>
      </c>
      <c r="J1555" s="2">
        <v>0.54166666666666663</v>
      </c>
      <c r="K1555" s="11" t="s">
        <v>306</v>
      </c>
      <c r="L1555" s="11" t="s">
        <v>307</v>
      </c>
      <c r="M1555" s="1"/>
      <c r="N1555" s="11"/>
      <c r="O1555" s="11" t="s">
        <v>21</v>
      </c>
      <c r="P1555" s="1"/>
      <c r="Q1555" s="1"/>
      <c r="R1555" s="11"/>
      <c r="S1555" s="2">
        <f>CONSOLIDADO_2026[[#This Row],[Hora final]]-CONSOLIDADO_2026[[#This Row],[Hora inic]]</f>
        <v>0.29166666666666663</v>
      </c>
    </row>
    <row r="1556" spans="1:19" hidden="1" x14ac:dyDescent="0.25">
      <c r="A1556" t="s">
        <v>4239</v>
      </c>
      <c r="B1556">
        <v>1007959114</v>
      </c>
      <c r="C1556" t="s">
        <v>4154</v>
      </c>
      <c r="D1556" s="11" t="s">
        <v>39</v>
      </c>
      <c r="E1556" s="11" t="s">
        <v>4046</v>
      </c>
      <c r="F1556" s="11" t="s">
        <v>16</v>
      </c>
      <c r="G1556" s="1">
        <v>46258</v>
      </c>
      <c r="H1556" s="1">
        <v>46260</v>
      </c>
      <c r="I1556" s="2">
        <v>0.25</v>
      </c>
      <c r="J1556" s="2">
        <v>0.58333333333333337</v>
      </c>
      <c r="K1556" s="11"/>
      <c r="L1556" s="11" t="s">
        <v>327</v>
      </c>
      <c r="M1556" s="1"/>
      <c r="N1556" s="11"/>
      <c r="O1556" s="11" t="s">
        <v>4042</v>
      </c>
      <c r="P1556" s="1"/>
      <c r="Q1556" s="1"/>
      <c r="R1556" s="11"/>
      <c r="S1556" s="2">
        <f>CONSOLIDADO_2026[[#This Row],[Hora final]]-CONSOLIDADO_2026[[#This Row],[Hora inic]]</f>
        <v>0.33333333333333337</v>
      </c>
    </row>
    <row r="1557" spans="1:19" hidden="1" x14ac:dyDescent="0.25">
      <c r="A1557" t="s">
        <v>4239</v>
      </c>
      <c r="B1557">
        <v>1152471758</v>
      </c>
      <c r="C1557" t="s">
        <v>3840</v>
      </c>
      <c r="D1557" s="11" t="s">
        <v>245</v>
      </c>
      <c r="E1557" s="11" t="s">
        <v>4040</v>
      </c>
      <c r="F1557" s="11" t="s">
        <v>16</v>
      </c>
      <c r="G1557" s="1">
        <v>46258</v>
      </c>
      <c r="H1557" s="1">
        <v>46259</v>
      </c>
      <c r="I1557" s="2"/>
      <c r="J1557" s="2"/>
      <c r="K1557" s="11"/>
      <c r="L1557" s="11" t="s">
        <v>4041</v>
      </c>
      <c r="M1557" s="1"/>
      <c r="N1557" s="11"/>
      <c r="O1557" s="11" t="s">
        <v>4042</v>
      </c>
      <c r="P1557" s="1"/>
      <c r="Q1557" s="1"/>
      <c r="R1557" s="11"/>
      <c r="S1557" s="2">
        <f>CONSOLIDADO_2026[[#This Row],[Hora final]]-CONSOLIDADO_2026[[#This Row],[Hora inic]]</f>
        <v>0</v>
      </c>
    </row>
    <row r="1558" spans="1:19" hidden="1" x14ac:dyDescent="0.25">
      <c r="A1558" t="s">
        <v>4239</v>
      </c>
      <c r="B1558">
        <v>1067859397</v>
      </c>
      <c r="C1558" t="s">
        <v>1628</v>
      </c>
      <c r="D1558" s="11" t="s">
        <v>421</v>
      </c>
      <c r="E1558" s="11" t="s">
        <v>4047</v>
      </c>
      <c r="F1558" s="11" t="s">
        <v>16</v>
      </c>
      <c r="G1558" s="1">
        <v>46258</v>
      </c>
      <c r="H1558" s="1">
        <v>46258</v>
      </c>
      <c r="I1558" s="2"/>
      <c r="J1558" s="2"/>
      <c r="K1558" s="11"/>
      <c r="L1558" s="11" t="s">
        <v>4041</v>
      </c>
      <c r="M1558" s="1"/>
      <c r="N1558" s="11"/>
      <c r="O1558" s="11" t="s">
        <v>4042</v>
      </c>
      <c r="P1558" s="1"/>
      <c r="Q1558" s="1"/>
      <c r="R1558" s="11"/>
      <c r="S1558" s="2">
        <f>CONSOLIDADO_2026[[#This Row],[Hora final]]-CONSOLIDADO_2026[[#This Row],[Hora inic]]</f>
        <v>0</v>
      </c>
    </row>
    <row r="1559" spans="1:19" hidden="1" x14ac:dyDescent="0.25">
      <c r="A1559" t="s">
        <v>4239</v>
      </c>
      <c r="B1559">
        <v>1000098388</v>
      </c>
      <c r="C1559" t="s">
        <v>4231</v>
      </c>
      <c r="D1559" s="11" t="s">
        <v>28</v>
      </c>
      <c r="E1559" s="11" t="s">
        <v>4046</v>
      </c>
      <c r="F1559" s="11" t="s">
        <v>4050</v>
      </c>
      <c r="G1559" s="1">
        <v>46258</v>
      </c>
      <c r="H1559" s="1">
        <v>46260</v>
      </c>
      <c r="I1559" s="2">
        <v>0.25</v>
      </c>
      <c r="J1559" s="2">
        <v>0.54166666666666663</v>
      </c>
      <c r="K1559" s="11"/>
      <c r="L1559" s="11" t="s">
        <v>327</v>
      </c>
      <c r="M1559" s="1"/>
      <c r="N1559" s="11"/>
      <c r="O1559" s="11" t="s">
        <v>4042</v>
      </c>
      <c r="P1559" s="1"/>
      <c r="Q1559" s="1"/>
      <c r="R1559" s="11"/>
      <c r="S1559" s="2">
        <f>CONSOLIDADO_2026[[#This Row],[Hora final]]-CONSOLIDADO_2026[[#This Row],[Hora inic]]</f>
        <v>0.29166666666666663</v>
      </c>
    </row>
    <row r="1560" spans="1:19" hidden="1" x14ac:dyDescent="0.25">
      <c r="A1560" t="s">
        <v>4239</v>
      </c>
      <c r="B1560">
        <v>1037644923</v>
      </c>
      <c r="C1560" t="s">
        <v>4218</v>
      </c>
      <c r="D1560" s="11" t="s">
        <v>492</v>
      </c>
      <c r="E1560" s="11" t="s">
        <v>4045</v>
      </c>
      <c r="F1560" s="11" t="s">
        <v>16</v>
      </c>
      <c r="G1560" s="1">
        <v>46258</v>
      </c>
      <c r="H1560" s="1">
        <v>46260</v>
      </c>
      <c r="I1560" s="2">
        <v>0.54166666666666663</v>
      </c>
      <c r="J1560" s="2">
        <v>0.875</v>
      </c>
      <c r="K1560" s="11"/>
      <c r="L1560" s="11" t="s">
        <v>327</v>
      </c>
      <c r="M1560" s="1"/>
      <c r="N1560" s="11"/>
      <c r="O1560" s="11" t="s">
        <v>4042</v>
      </c>
      <c r="P1560" s="1"/>
      <c r="Q1560" s="1"/>
      <c r="R1560" s="11"/>
      <c r="S1560" s="2">
        <f>CONSOLIDADO_2026[[#This Row],[Hora final]]-CONSOLIDADO_2026[[#This Row],[Hora inic]]</f>
        <v>0.33333333333333337</v>
      </c>
    </row>
    <row r="1561" spans="1:19" hidden="1" x14ac:dyDescent="0.25">
      <c r="A1561" t="s">
        <v>4239</v>
      </c>
      <c r="B1561">
        <v>1096223065</v>
      </c>
      <c r="C1561" t="s">
        <v>3428</v>
      </c>
      <c r="D1561" s="11" t="s">
        <v>59</v>
      </c>
      <c r="E1561" s="11" t="s">
        <v>4047</v>
      </c>
      <c r="F1561" s="11" t="s">
        <v>24</v>
      </c>
      <c r="G1561" s="1">
        <v>46253</v>
      </c>
      <c r="H1561" s="1">
        <v>46265</v>
      </c>
      <c r="I1561" s="2">
        <v>0.25</v>
      </c>
      <c r="J1561" s="2">
        <v>0.54166666666666663</v>
      </c>
      <c r="K1561" s="11" t="s">
        <v>85</v>
      </c>
      <c r="L1561" s="11" t="s">
        <v>86</v>
      </c>
      <c r="M1561" s="1"/>
      <c r="N1561" s="11"/>
      <c r="O1561" s="11" t="s">
        <v>21</v>
      </c>
      <c r="P1561" s="1"/>
      <c r="Q1561" s="1"/>
      <c r="R1561" s="11"/>
      <c r="S1561" s="2">
        <f>CONSOLIDADO_2026[[#This Row],[Hora final]]-CONSOLIDADO_2026[[#This Row],[Hora inic]]</f>
        <v>0.29166666666666663</v>
      </c>
    </row>
    <row r="1562" spans="1:19" hidden="1" x14ac:dyDescent="0.25">
      <c r="A1562" t="s">
        <v>4239</v>
      </c>
      <c r="B1562">
        <v>1017236556</v>
      </c>
      <c r="C1562" t="s">
        <v>4245</v>
      </c>
      <c r="D1562" s="11" t="s">
        <v>51</v>
      </c>
      <c r="E1562" s="11" t="s">
        <v>4047</v>
      </c>
      <c r="F1562" s="11" t="s">
        <v>4147</v>
      </c>
      <c r="G1562" s="1">
        <v>46260</v>
      </c>
      <c r="H1562" s="1">
        <v>46260</v>
      </c>
      <c r="I1562" s="2">
        <v>0.25</v>
      </c>
      <c r="J1562" s="2">
        <v>0.58333333333333337</v>
      </c>
      <c r="K1562" s="11" t="s">
        <v>1427</v>
      </c>
      <c r="L1562" s="11" t="s">
        <v>1428</v>
      </c>
      <c r="M1562" s="1"/>
      <c r="N1562" s="11"/>
      <c r="O1562" s="11" t="s">
        <v>4042</v>
      </c>
      <c r="P1562" s="1"/>
      <c r="Q1562" s="1"/>
      <c r="R1562" s="11"/>
      <c r="S1562" s="2">
        <f>CONSOLIDADO_2026[[#This Row],[Hora final]]-CONSOLIDADO_2026[[#This Row],[Hora inic]]</f>
        <v>0.33333333333333337</v>
      </c>
    </row>
    <row r="1563" spans="1:19" hidden="1" x14ac:dyDescent="0.25">
      <c r="A1563" t="s">
        <v>4239</v>
      </c>
      <c r="B1563">
        <v>1036670630</v>
      </c>
      <c r="C1563" t="s">
        <v>4146</v>
      </c>
      <c r="D1563" s="11" t="s">
        <v>51</v>
      </c>
      <c r="E1563" s="11" t="s">
        <v>4047</v>
      </c>
      <c r="F1563" s="11" t="s">
        <v>4147</v>
      </c>
      <c r="G1563" s="1">
        <v>46259</v>
      </c>
      <c r="H1563" s="1">
        <v>46259</v>
      </c>
      <c r="I1563" s="2"/>
      <c r="J1563" s="2"/>
      <c r="K1563" s="11"/>
      <c r="L1563" s="11" t="s">
        <v>4041</v>
      </c>
      <c r="M1563" s="1"/>
      <c r="N1563" s="11"/>
      <c r="O1563" s="11" t="s">
        <v>4042</v>
      </c>
      <c r="P1563" s="1"/>
      <c r="Q1563" s="1"/>
      <c r="R1563" s="11"/>
      <c r="S1563" s="2">
        <f>CONSOLIDADO_2026[[#This Row],[Hora final]]-CONSOLIDADO_2026[[#This Row],[Hora inic]]</f>
        <v>0</v>
      </c>
    </row>
    <row r="1564" spans="1:19" hidden="1" x14ac:dyDescent="0.25">
      <c r="A1564" t="s">
        <v>4239</v>
      </c>
      <c r="B1564">
        <v>1007334260</v>
      </c>
      <c r="C1564" t="s">
        <v>4207</v>
      </c>
      <c r="D1564" s="11" t="s">
        <v>344</v>
      </c>
      <c r="E1564" s="11" t="s">
        <v>4056</v>
      </c>
      <c r="F1564" s="11" t="s">
        <v>4050</v>
      </c>
      <c r="G1564" s="1">
        <v>46255</v>
      </c>
      <c r="H1564" s="1">
        <v>46259</v>
      </c>
      <c r="I1564" s="2"/>
      <c r="J1564" s="2"/>
      <c r="K1564" s="11"/>
      <c r="L1564" s="11" t="s">
        <v>4041</v>
      </c>
      <c r="M1564" s="1"/>
      <c r="N1564" s="11"/>
      <c r="O1564" s="11" t="s">
        <v>4042</v>
      </c>
      <c r="P1564" s="1"/>
      <c r="Q1564" s="1"/>
      <c r="R1564" s="11"/>
      <c r="S1564" s="2">
        <f>CONSOLIDADO_2026[[#This Row],[Hora final]]-CONSOLIDADO_2026[[#This Row],[Hora inic]]</f>
        <v>0</v>
      </c>
    </row>
    <row r="1565" spans="1:19" hidden="1" x14ac:dyDescent="0.25">
      <c r="A1565" t="s">
        <v>4239</v>
      </c>
      <c r="B1565">
        <v>1043006106</v>
      </c>
      <c r="C1565" t="s">
        <v>63</v>
      </c>
      <c r="D1565" s="11" t="s">
        <v>64</v>
      </c>
      <c r="E1565" s="11" t="s">
        <v>4046</v>
      </c>
      <c r="F1565" s="11" t="s">
        <v>16</v>
      </c>
      <c r="G1565" s="1">
        <v>46249</v>
      </c>
      <c r="H1565" s="1">
        <v>46278</v>
      </c>
      <c r="I1565" s="2">
        <v>0.25</v>
      </c>
      <c r="J1565" s="2">
        <v>0.58333333333333337</v>
      </c>
      <c r="K1565" s="11" t="s">
        <v>199</v>
      </c>
      <c r="L1565" s="11" t="s">
        <v>200</v>
      </c>
      <c r="M1565" s="1"/>
      <c r="N1565" s="11"/>
      <c r="O1565" s="11" t="s">
        <v>21</v>
      </c>
      <c r="P1565" s="1"/>
      <c r="Q1565" s="1"/>
      <c r="R1565" s="11"/>
      <c r="S1565" s="2">
        <f>CONSOLIDADO_2026[[#This Row],[Hora final]]-CONSOLIDADO_2026[[#This Row],[Hora inic]]</f>
        <v>0.33333333333333337</v>
      </c>
    </row>
    <row r="1566" spans="1:19" hidden="1" x14ac:dyDescent="0.25">
      <c r="A1566" t="s">
        <v>4239</v>
      </c>
      <c r="B1566">
        <v>1040755197</v>
      </c>
      <c r="C1566" t="s">
        <v>171</v>
      </c>
      <c r="D1566" s="11" t="s">
        <v>172</v>
      </c>
      <c r="E1566" s="11" t="s">
        <v>4046</v>
      </c>
      <c r="F1566" s="11" t="s">
        <v>16</v>
      </c>
      <c r="G1566" s="1">
        <v>46252</v>
      </c>
      <c r="H1566" s="1">
        <v>46262</v>
      </c>
      <c r="I1566" s="2">
        <v>0.54166666666666663</v>
      </c>
      <c r="J1566" s="2">
        <v>0.875</v>
      </c>
      <c r="K1566" s="11" t="s">
        <v>236</v>
      </c>
      <c r="L1566" s="11" t="s">
        <v>237</v>
      </c>
      <c r="M1566" s="1"/>
      <c r="N1566" s="11"/>
      <c r="O1566" s="11" t="s">
        <v>21</v>
      </c>
      <c r="P1566" s="1"/>
      <c r="Q1566" s="1"/>
      <c r="R1566" s="11"/>
      <c r="S1566" s="2">
        <f>CONSOLIDADO_2026[[#This Row],[Hora final]]-CONSOLIDADO_2026[[#This Row],[Hora inic]]</f>
        <v>0.33333333333333337</v>
      </c>
    </row>
    <row r="1567" spans="1:19" hidden="1" x14ac:dyDescent="0.25">
      <c r="A1567" t="s">
        <v>4239</v>
      </c>
      <c r="B1567">
        <v>1102808787</v>
      </c>
      <c r="C1567" t="s">
        <v>135</v>
      </c>
      <c r="D1567" s="11" t="s">
        <v>39</v>
      </c>
      <c r="E1567" s="11" t="s">
        <v>4046</v>
      </c>
      <c r="F1567" s="11" t="s">
        <v>16</v>
      </c>
      <c r="G1567" s="1">
        <v>46245</v>
      </c>
      <c r="H1567" s="1">
        <v>46276</v>
      </c>
      <c r="I1567" s="2">
        <v>0.25</v>
      </c>
      <c r="J1567" s="2">
        <v>0.58333333333333337</v>
      </c>
      <c r="K1567" s="11"/>
      <c r="L1567" s="11" t="s">
        <v>327</v>
      </c>
      <c r="M1567" s="1"/>
      <c r="N1567" s="11"/>
      <c r="O1567" s="11" t="s">
        <v>4042</v>
      </c>
      <c r="P1567" s="1"/>
      <c r="Q1567" s="1"/>
      <c r="R1567" s="11"/>
      <c r="S1567" s="2">
        <f>CONSOLIDADO_2026[[#This Row],[Hora final]]-CONSOLIDADO_2026[[#This Row],[Hora inic]]</f>
        <v>0.33333333333333337</v>
      </c>
    </row>
    <row r="1568" spans="1:19" hidden="1" x14ac:dyDescent="0.25">
      <c r="A1568" t="s">
        <v>4239</v>
      </c>
      <c r="B1568">
        <v>1082896324</v>
      </c>
      <c r="C1568" t="s">
        <v>127</v>
      </c>
      <c r="D1568" s="11" t="s">
        <v>128</v>
      </c>
      <c r="E1568" s="11" t="s">
        <v>4045</v>
      </c>
      <c r="F1568" s="11" t="s">
        <v>16</v>
      </c>
      <c r="G1568" s="1">
        <v>46242</v>
      </c>
      <c r="H1568" s="1">
        <v>46272</v>
      </c>
      <c r="I1568" s="2">
        <v>0.25</v>
      </c>
      <c r="J1568" s="2">
        <v>0.58333333333333337</v>
      </c>
      <c r="K1568" s="11"/>
      <c r="L1568" s="11" t="s">
        <v>327</v>
      </c>
      <c r="M1568" s="1"/>
      <c r="N1568" s="11"/>
      <c r="O1568" s="11" t="s">
        <v>4042</v>
      </c>
      <c r="P1568" s="1"/>
      <c r="Q1568" s="1"/>
      <c r="R1568" s="11"/>
      <c r="S1568" s="2">
        <f>CONSOLIDADO_2026[[#This Row],[Hora final]]-CONSOLIDADO_2026[[#This Row],[Hora inic]]</f>
        <v>0.33333333333333337</v>
      </c>
    </row>
    <row r="1569" spans="1:19" hidden="1" x14ac:dyDescent="0.25">
      <c r="A1569" t="s">
        <v>4239</v>
      </c>
      <c r="B1569">
        <v>1152446353</v>
      </c>
      <c r="C1569" t="s">
        <v>205</v>
      </c>
      <c r="D1569" s="11" t="s">
        <v>51</v>
      </c>
      <c r="E1569" s="11" t="s">
        <v>4047</v>
      </c>
      <c r="F1569" s="11" t="s">
        <v>92</v>
      </c>
      <c r="G1569" s="1">
        <v>46236</v>
      </c>
      <c r="H1569" s="1">
        <v>46262</v>
      </c>
      <c r="I1569" s="2">
        <v>0.25</v>
      </c>
      <c r="J1569" s="2">
        <v>0.54166666666666663</v>
      </c>
      <c r="K1569" s="11" t="s">
        <v>251</v>
      </c>
      <c r="L1569" s="11" t="s">
        <v>252</v>
      </c>
      <c r="M1569" s="1"/>
      <c r="N1569" s="11"/>
      <c r="O1569" s="11" t="s">
        <v>21</v>
      </c>
      <c r="P1569" s="1"/>
      <c r="Q1569" s="1"/>
      <c r="R1569" s="11"/>
      <c r="S1569" s="2">
        <f>CONSOLIDADO_2026[[#This Row],[Hora final]]-CONSOLIDADO_2026[[#This Row],[Hora inic]]</f>
        <v>0.29166666666666663</v>
      </c>
    </row>
    <row r="1570" spans="1:19" hidden="1" x14ac:dyDescent="0.25">
      <c r="A1570" t="s">
        <v>4239</v>
      </c>
      <c r="B1570">
        <v>1015483595</v>
      </c>
      <c r="C1570" t="s">
        <v>221</v>
      </c>
      <c r="D1570" s="11" t="s">
        <v>15</v>
      </c>
      <c r="E1570" s="11" t="s">
        <v>4046</v>
      </c>
      <c r="F1570" s="11" t="s">
        <v>24</v>
      </c>
      <c r="G1570" s="1">
        <v>46244</v>
      </c>
      <c r="H1570" s="1">
        <v>46265</v>
      </c>
      <c r="I1570" s="2">
        <v>0.25</v>
      </c>
      <c r="J1570" s="2">
        <v>0.54166666666666663</v>
      </c>
      <c r="K1570" s="11" t="s">
        <v>103</v>
      </c>
      <c r="L1570" s="11" t="s">
        <v>104</v>
      </c>
      <c r="M1570" s="1"/>
      <c r="N1570" s="11"/>
      <c r="O1570" s="11" t="s">
        <v>21</v>
      </c>
      <c r="P1570" s="1"/>
      <c r="Q1570" s="1"/>
      <c r="R1570" s="11"/>
      <c r="S1570" s="2">
        <f>CONSOLIDADO_2026[[#This Row],[Hora final]]-CONSOLIDADO_2026[[#This Row],[Hora inic]]</f>
        <v>0.29166666666666663</v>
      </c>
    </row>
    <row r="1571" spans="1:19" hidden="1" x14ac:dyDescent="0.25">
      <c r="A1571" t="s">
        <v>4239</v>
      </c>
      <c r="B1571">
        <v>1001851670</v>
      </c>
      <c r="C1571" t="s">
        <v>50</v>
      </c>
      <c r="D1571" s="11" t="s">
        <v>51</v>
      </c>
      <c r="E1571" s="11" t="s">
        <v>4047</v>
      </c>
      <c r="F1571" s="11" t="s">
        <v>36</v>
      </c>
      <c r="G1571" s="1">
        <v>46241</v>
      </c>
      <c r="H1571" s="1">
        <v>46366</v>
      </c>
      <c r="I1571" s="2">
        <v>0.25</v>
      </c>
      <c r="J1571" s="2">
        <v>0.54166666666666663</v>
      </c>
      <c r="K1571" s="11" t="s">
        <v>261</v>
      </c>
      <c r="L1571" s="11" t="s">
        <v>262</v>
      </c>
      <c r="M1571" s="1"/>
      <c r="N1571" s="11"/>
      <c r="O1571" s="11" t="s">
        <v>21</v>
      </c>
      <c r="P1571" s="1"/>
      <c r="Q1571" s="1"/>
      <c r="R1571" s="11"/>
      <c r="S1571" s="2">
        <f>CONSOLIDADO_2026[[#This Row],[Hora final]]-CONSOLIDADO_2026[[#This Row],[Hora inic]]</f>
        <v>0.29166666666666663</v>
      </c>
    </row>
    <row r="1572" spans="1:19" hidden="1" x14ac:dyDescent="0.25">
      <c r="A1572" t="s">
        <v>4239</v>
      </c>
      <c r="B1572">
        <v>1000415206</v>
      </c>
      <c r="C1572" t="s">
        <v>325</v>
      </c>
      <c r="D1572" s="11" t="s">
        <v>82</v>
      </c>
      <c r="E1572" s="11" t="s">
        <v>4045</v>
      </c>
      <c r="F1572" s="11" t="s">
        <v>326</v>
      </c>
      <c r="G1572" s="1">
        <v>46258</v>
      </c>
      <c r="H1572" s="1">
        <v>46262</v>
      </c>
      <c r="I1572" s="2">
        <v>0.54166666666666663</v>
      </c>
      <c r="J1572" s="2">
        <v>0.83333333333333337</v>
      </c>
      <c r="K1572" s="11" t="s">
        <v>303</v>
      </c>
      <c r="L1572" s="11" t="s">
        <v>304</v>
      </c>
      <c r="M1572" s="1"/>
      <c r="N1572" s="11"/>
      <c r="O1572" s="11" t="s">
        <v>21</v>
      </c>
      <c r="P1572" s="1"/>
      <c r="Q1572" s="1"/>
      <c r="R1572" s="11"/>
      <c r="S1572" s="2">
        <f>CONSOLIDADO_2026[[#This Row],[Hora final]]-CONSOLIDADO_2026[[#This Row],[Hora inic]]</f>
        <v>0.29166666666666674</v>
      </c>
    </row>
    <row r="1573" spans="1:19" hidden="1" x14ac:dyDescent="0.25">
      <c r="A1573" t="s">
        <v>4239</v>
      </c>
      <c r="B1573">
        <v>42141273</v>
      </c>
      <c r="C1573" t="s">
        <v>271</v>
      </c>
      <c r="D1573" s="11" t="s">
        <v>272</v>
      </c>
      <c r="E1573" s="11" t="s">
        <v>4056</v>
      </c>
      <c r="F1573" s="11" t="s">
        <v>4065</v>
      </c>
      <c r="G1573" s="1">
        <v>46238</v>
      </c>
      <c r="H1573" s="1">
        <v>46295</v>
      </c>
      <c r="I1573" s="2">
        <v>0.25</v>
      </c>
      <c r="J1573" s="2">
        <v>0.5</v>
      </c>
      <c r="K1573" s="11" t="s">
        <v>184</v>
      </c>
      <c r="L1573" s="11" t="s">
        <v>185</v>
      </c>
      <c r="M1573" s="1"/>
      <c r="N1573" s="11"/>
      <c r="O1573" s="11" t="s">
        <v>4042</v>
      </c>
      <c r="P1573" s="1"/>
      <c r="Q1573" s="1"/>
      <c r="R1573" s="11"/>
      <c r="S1573" s="2">
        <f>CONSOLIDADO_2026[[#This Row],[Hora final]]-CONSOLIDADO_2026[[#This Row],[Hora inic]]</f>
        <v>0.25</v>
      </c>
    </row>
    <row r="1574" spans="1:19" hidden="1" x14ac:dyDescent="0.25">
      <c r="A1574" t="s">
        <v>4239</v>
      </c>
      <c r="B1574">
        <v>1152221372</v>
      </c>
      <c r="C1574" t="s">
        <v>4072</v>
      </c>
      <c r="D1574" s="11" t="s">
        <v>139</v>
      </c>
      <c r="E1574" s="11" t="s">
        <v>4040</v>
      </c>
      <c r="F1574" s="11" t="s">
        <v>158</v>
      </c>
      <c r="G1574" s="1">
        <v>46230</v>
      </c>
      <c r="H1574" s="1">
        <v>46230</v>
      </c>
      <c r="I1574" s="2">
        <v>0.25</v>
      </c>
      <c r="J1574" s="2">
        <v>0.54166666666666663</v>
      </c>
      <c r="K1574" s="11"/>
      <c r="L1574" s="11" t="s">
        <v>327</v>
      </c>
      <c r="M1574" s="1"/>
      <c r="N1574" s="11"/>
      <c r="O1574" s="11" t="s">
        <v>4042</v>
      </c>
      <c r="P1574" s="1"/>
      <c r="Q1574" s="1"/>
      <c r="R1574" s="11"/>
      <c r="S1574" s="2">
        <f>CONSOLIDADO_2026[[#This Row],[Hora final]]-CONSOLIDADO_2026[[#This Row],[Hora inic]]</f>
        <v>0.29166666666666663</v>
      </c>
    </row>
    <row r="1575" spans="1:19" hidden="1" x14ac:dyDescent="0.25">
      <c r="A1575" t="s">
        <v>4239</v>
      </c>
      <c r="B1575">
        <v>1017264032</v>
      </c>
      <c r="C1575" t="s">
        <v>88</v>
      </c>
      <c r="D1575" s="11" t="s">
        <v>55</v>
      </c>
      <c r="E1575" s="11" t="s">
        <v>4047</v>
      </c>
      <c r="F1575" s="11" t="s">
        <v>16</v>
      </c>
      <c r="G1575" s="1">
        <v>46229</v>
      </c>
      <c r="H1575" s="1">
        <v>46258</v>
      </c>
      <c r="I1575" s="2"/>
      <c r="J1575" s="2"/>
      <c r="K1575" s="11"/>
      <c r="L1575" s="11" t="s">
        <v>4041</v>
      </c>
      <c r="M1575" s="1"/>
      <c r="N1575" s="11"/>
      <c r="O1575" s="11" t="s">
        <v>4042</v>
      </c>
      <c r="P1575" s="1"/>
      <c r="Q1575" s="1"/>
      <c r="R1575" s="11"/>
      <c r="S1575" s="2">
        <f>CONSOLIDADO_2026[[#This Row],[Hora final]]-CONSOLIDADO_2026[[#This Row],[Hora inic]]</f>
        <v>0</v>
      </c>
    </row>
    <row r="1576" spans="1:19" hidden="1" x14ac:dyDescent="0.25">
      <c r="A1576" t="s">
        <v>4239</v>
      </c>
      <c r="B1576">
        <v>1000294973</v>
      </c>
      <c r="C1576" t="s">
        <v>1266</v>
      </c>
      <c r="D1576" s="11" t="s">
        <v>15</v>
      </c>
      <c r="E1576" s="11" t="s">
        <v>4046</v>
      </c>
      <c r="F1576" s="11" t="s">
        <v>4123</v>
      </c>
      <c r="G1576" s="1">
        <v>46260</v>
      </c>
      <c r="H1576" s="1">
        <v>46262</v>
      </c>
      <c r="I1576" s="2">
        <v>0.25</v>
      </c>
      <c r="J1576" s="2">
        <v>0.54166666666666663</v>
      </c>
      <c r="K1576" s="11" t="s">
        <v>17</v>
      </c>
      <c r="L1576" s="11" t="s">
        <v>18</v>
      </c>
      <c r="M1576" s="1"/>
      <c r="N1576" s="11"/>
      <c r="O1576" s="11" t="s">
        <v>21</v>
      </c>
      <c r="P1576" s="1"/>
      <c r="Q1576" s="1"/>
      <c r="R1576" s="11"/>
      <c r="S1576" s="2">
        <f>CONSOLIDADO_2026[[#This Row],[Hora final]]-CONSOLIDADO_2026[[#This Row],[Hora inic]]</f>
        <v>0.29166666666666663</v>
      </c>
    </row>
    <row r="1577" spans="1:19" hidden="1" x14ac:dyDescent="0.25">
      <c r="A1577" t="s">
        <v>4239</v>
      </c>
      <c r="B1577">
        <v>1143460426</v>
      </c>
      <c r="C1577" t="s">
        <v>4069</v>
      </c>
      <c r="D1577" s="11" t="s">
        <v>64</v>
      </c>
      <c r="E1577" s="11" t="s">
        <v>4046</v>
      </c>
      <c r="F1577" s="11" t="s">
        <v>4050</v>
      </c>
      <c r="G1577" s="1">
        <v>46195</v>
      </c>
      <c r="H1577" s="1">
        <v>46198</v>
      </c>
      <c r="I1577" s="2">
        <v>0.25</v>
      </c>
      <c r="J1577" s="2">
        <v>0.54166666666666663</v>
      </c>
      <c r="K1577" s="11"/>
      <c r="L1577" s="11" t="s">
        <v>327</v>
      </c>
      <c r="M1577" s="1"/>
      <c r="N1577" s="11"/>
      <c r="O1577" s="11" t="s">
        <v>4042</v>
      </c>
      <c r="P1577" s="1"/>
      <c r="Q1577" s="1"/>
      <c r="R1577" s="11"/>
      <c r="S1577" s="2">
        <f>CONSOLIDADO_2026[[#This Row],[Hora final]]-CONSOLIDADO_2026[[#This Row],[Hora inic]]</f>
        <v>0.29166666666666663</v>
      </c>
    </row>
    <row r="1578" spans="1:19" hidden="1" x14ac:dyDescent="0.25">
      <c r="A1578" t="s">
        <v>4239</v>
      </c>
      <c r="B1578">
        <v>1096223065</v>
      </c>
      <c r="C1578" t="s">
        <v>3428</v>
      </c>
      <c r="D1578" s="11" t="s">
        <v>55</v>
      </c>
      <c r="E1578" s="11" t="s">
        <v>4047</v>
      </c>
      <c r="F1578" s="11" t="s">
        <v>16</v>
      </c>
      <c r="G1578" s="1">
        <v>46256</v>
      </c>
      <c r="H1578" s="1">
        <v>46263</v>
      </c>
      <c r="I1578" s="2">
        <v>0.25</v>
      </c>
      <c r="J1578" s="2">
        <v>0.58333333333333337</v>
      </c>
      <c r="K1578" s="11"/>
      <c r="L1578" s="11" t="s">
        <v>327</v>
      </c>
      <c r="M1578" s="1"/>
      <c r="N1578" s="11"/>
      <c r="O1578" s="11" t="s">
        <v>4042</v>
      </c>
      <c r="P1578" s="1"/>
      <c r="Q1578" s="1"/>
      <c r="R1578" s="11"/>
      <c r="S1578" s="2">
        <f>CONSOLIDADO_2026[[#This Row],[Hora final]]-CONSOLIDADO_2026[[#This Row],[Hora inic]]</f>
        <v>0.33333333333333337</v>
      </c>
    </row>
    <row r="1579" spans="1:19" hidden="1" x14ac:dyDescent="0.25">
      <c r="A1579" t="s">
        <v>4239</v>
      </c>
      <c r="B1579">
        <v>1045718883</v>
      </c>
      <c r="C1579" t="s">
        <v>34</v>
      </c>
      <c r="D1579" s="11" t="s">
        <v>15</v>
      </c>
      <c r="E1579" s="11" t="s">
        <v>4046</v>
      </c>
      <c r="F1579" s="11" t="s">
        <v>36</v>
      </c>
      <c r="G1579" s="1">
        <v>46244</v>
      </c>
      <c r="H1579" s="1">
        <v>46393</v>
      </c>
      <c r="I1579" s="2">
        <v>0.25</v>
      </c>
      <c r="J1579" s="2">
        <v>0.54166666666666663</v>
      </c>
      <c r="K1579" s="11" t="s">
        <v>318</v>
      </c>
      <c r="L1579" s="11" t="s">
        <v>319</v>
      </c>
      <c r="M1579" s="1"/>
      <c r="N1579" s="11"/>
      <c r="O1579" s="11" t="s">
        <v>21</v>
      </c>
      <c r="P1579" s="1"/>
      <c r="Q1579" s="1"/>
      <c r="R1579" s="11"/>
      <c r="S1579" s="2">
        <f>CONSOLIDADO_2026[[#This Row],[Hora final]]-CONSOLIDADO_2026[[#This Row],[Hora inic]]</f>
        <v>0.29166666666666663</v>
      </c>
    </row>
    <row r="1580" spans="1:19" hidden="1" x14ac:dyDescent="0.25">
      <c r="A1580" t="s">
        <v>4239</v>
      </c>
      <c r="B1580">
        <v>1000944725</v>
      </c>
      <c r="C1580" t="s">
        <v>3007</v>
      </c>
      <c r="D1580" s="11" t="s">
        <v>78</v>
      </c>
      <c r="E1580" s="11" t="s">
        <v>4046</v>
      </c>
      <c r="F1580" s="11" t="s">
        <v>16</v>
      </c>
      <c r="G1580" s="1">
        <v>46258</v>
      </c>
      <c r="H1580" s="1">
        <v>46267</v>
      </c>
      <c r="I1580" s="2">
        <v>0.25</v>
      </c>
      <c r="J1580" s="2">
        <v>0.58333333333333337</v>
      </c>
      <c r="K1580" s="11" t="s">
        <v>240</v>
      </c>
      <c r="L1580" s="11" t="s">
        <v>241</v>
      </c>
      <c r="M1580" s="1"/>
      <c r="N1580" s="11"/>
      <c r="O1580" s="11" t="s">
        <v>21</v>
      </c>
      <c r="P1580" s="1"/>
      <c r="Q1580" s="1"/>
      <c r="R1580" s="11"/>
      <c r="S1580" s="2">
        <f>CONSOLIDADO_2026[[#This Row],[Hora final]]-CONSOLIDADO_2026[[#This Row],[Hora inic]]</f>
        <v>0.33333333333333337</v>
      </c>
    </row>
    <row r="1581" spans="1:19" hidden="1" x14ac:dyDescent="0.25">
      <c r="A1581" t="s">
        <v>4239</v>
      </c>
      <c r="B1581">
        <v>1037638426</v>
      </c>
      <c r="C1581" t="s">
        <v>31</v>
      </c>
      <c r="D1581" s="11" t="s">
        <v>28</v>
      </c>
      <c r="E1581" s="11" t="s">
        <v>4046</v>
      </c>
      <c r="F1581" s="11" t="s">
        <v>24</v>
      </c>
      <c r="G1581" s="1">
        <v>46249</v>
      </c>
      <c r="H1581" s="1">
        <v>46264</v>
      </c>
      <c r="I1581" s="2">
        <v>0.54166666666666663</v>
      </c>
      <c r="J1581" s="2">
        <v>0.875</v>
      </c>
      <c r="K1581" s="11" t="s">
        <v>300</v>
      </c>
      <c r="L1581" s="11" t="s">
        <v>301</v>
      </c>
      <c r="M1581" s="1"/>
      <c r="N1581" s="11"/>
      <c r="O1581" s="11" t="s">
        <v>21</v>
      </c>
      <c r="P1581" s="1"/>
      <c r="Q1581" s="1"/>
      <c r="R1581" s="11"/>
      <c r="S1581" s="2">
        <f>CONSOLIDADO_2026[[#This Row],[Hora final]]-CONSOLIDADO_2026[[#This Row],[Hora inic]]</f>
        <v>0.33333333333333337</v>
      </c>
    </row>
    <row r="1582" spans="1:19" hidden="1" x14ac:dyDescent="0.25">
      <c r="A1582" t="s">
        <v>4239</v>
      </c>
      <c r="B1582">
        <v>1037631989</v>
      </c>
      <c r="C1582" t="s">
        <v>27</v>
      </c>
      <c r="D1582" s="11" t="s">
        <v>28</v>
      </c>
      <c r="E1582" s="11" t="s">
        <v>4046</v>
      </c>
      <c r="F1582" s="11" t="s">
        <v>16</v>
      </c>
      <c r="G1582" s="1">
        <v>46256</v>
      </c>
      <c r="H1582" s="1">
        <v>46285</v>
      </c>
      <c r="I1582" s="2">
        <v>0.25</v>
      </c>
      <c r="J1582" s="2">
        <v>0.54166666666666663</v>
      </c>
      <c r="K1582" s="11"/>
      <c r="L1582" s="11" t="s">
        <v>327</v>
      </c>
      <c r="M1582" s="1"/>
      <c r="N1582" s="11"/>
      <c r="O1582" s="11" t="s">
        <v>4042</v>
      </c>
      <c r="P1582" s="1"/>
      <c r="Q1582" s="1"/>
      <c r="R1582" s="11"/>
      <c r="S1582" s="2">
        <f>CONSOLIDADO_2026[[#This Row],[Hora final]]-CONSOLIDADO_2026[[#This Row],[Hora inic]]</f>
        <v>0.29166666666666663</v>
      </c>
    </row>
    <row r="1583" spans="1:19" hidden="1" x14ac:dyDescent="0.25">
      <c r="A1583" t="s">
        <v>4239</v>
      </c>
      <c r="B1583">
        <v>1017254059</v>
      </c>
      <c r="C1583" t="s">
        <v>2878</v>
      </c>
      <c r="D1583" s="11" t="s">
        <v>132</v>
      </c>
      <c r="E1583" s="11" t="s">
        <v>4040</v>
      </c>
      <c r="F1583" s="11" t="s">
        <v>16</v>
      </c>
      <c r="G1583" s="1">
        <v>46259</v>
      </c>
      <c r="H1583" s="1">
        <v>46260</v>
      </c>
      <c r="I1583" s="2">
        <v>0.58333333333333337</v>
      </c>
      <c r="J1583" s="2">
        <v>0.875</v>
      </c>
      <c r="K1583" s="11" t="s">
        <v>119</v>
      </c>
      <c r="L1583" s="11" t="s">
        <v>120</v>
      </c>
      <c r="M1583" s="1"/>
      <c r="N1583" s="11"/>
      <c r="O1583" s="11" t="s">
        <v>21</v>
      </c>
      <c r="P1583" s="1"/>
      <c r="Q1583" s="1"/>
      <c r="R1583" s="11"/>
      <c r="S1583" s="2">
        <f>CONSOLIDADO_2026[[#This Row],[Hora final]]-CONSOLIDADO_2026[[#This Row],[Hora inic]]</f>
        <v>0.29166666666666663</v>
      </c>
    </row>
    <row r="1584" spans="1:19" hidden="1" x14ac:dyDescent="0.25">
      <c r="A1584" t="s">
        <v>4239</v>
      </c>
      <c r="B1584">
        <v>1116283658</v>
      </c>
      <c r="C1584" t="s">
        <v>283</v>
      </c>
      <c r="D1584" s="11" t="s">
        <v>256</v>
      </c>
      <c r="E1584" s="11" t="s">
        <v>4040</v>
      </c>
      <c r="F1584" s="11" t="s">
        <v>24</v>
      </c>
      <c r="G1584" s="1">
        <v>46258</v>
      </c>
      <c r="H1584" s="1">
        <v>46265</v>
      </c>
      <c r="I1584" s="2">
        <v>0.25</v>
      </c>
      <c r="J1584" s="2">
        <v>0.54166666666666663</v>
      </c>
      <c r="K1584" s="11" t="s">
        <v>181</v>
      </c>
      <c r="L1584" s="11" t="s">
        <v>182</v>
      </c>
      <c r="M1584" s="1"/>
      <c r="N1584" s="11"/>
      <c r="O1584" s="11" t="s">
        <v>21</v>
      </c>
      <c r="P1584" s="1"/>
      <c r="Q1584" s="1"/>
      <c r="R1584" s="11"/>
      <c r="S1584" s="2">
        <f>CONSOLIDADO_2026[[#This Row],[Hora final]]-CONSOLIDADO_2026[[#This Row],[Hora inic]]</f>
        <v>0.29166666666666663</v>
      </c>
    </row>
    <row r="1585" spans="1:19" hidden="1" x14ac:dyDescent="0.25">
      <c r="A1585" t="s">
        <v>4239</v>
      </c>
      <c r="B1585">
        <v>1010135017</v>
      </c>
      <c r="C1585" t="s">
        <v>1311</v>
      </c>
      <c r="D1585" s="11" t="s">
        <v>256</v>
      </c>
      <c r="E1585" s="11" t="s">
        <v>4040</v>
      </c>
      <c r="F1585" s="11" t="s">
        <v>16</v>
      </c>
      <c r="G1585" s="1">
        <v>46259</v>
      </c>
      <c r="H1585" s="1">
        <v>46261</v>
      </c>
      <c r="I1585" s="2">
        <v>0.58333333333333337</v>
      </c>
      <c r="J1585" s="2">
        <v>0.875</v>
      </c>
      <c r="K1585" s="11"/>
      <c r="L1585" s="11" t="s">
        <v>327</v>
      </c>
      <c r="M1585" s="1"/>
      <c r="N1585" s="11"/>
      <c r="O1585" s="11" t="s">
        <v>4042</v>
      </c>
      <c r="P1585" s="1"/>
      <c r="Q1585" s="1"/>
      <c r="R1585" s="11"/>
      <c r="S1585" s="2">
        <f>CONSOLIDADO_2026[[#This Row],[Hora final]]-CONSOLIDADO_2026[[#This Row],[Hora inic]]</f>
        <v>0.29166666666666663</v>
      </c>
    </row>
    <row r="1586" spans="1:19" hidden="1" x14ac:dyDescent="0.25">
      <c r="A1586" t="s">
        <v>4239</v>
      </c>
      <c r="B1586">
        <v>1002059980</v>
      </c>
      <c r="C1586" t="s">
        <v>1392</v>
      </c>
      <c r="D1586" s="11" t="s">
        <v>132</v>
      </c>
      <c r="E1586" s="11" t="s">
        <v>4040</v>
      </c>
      <c r="F1586" s="11" t="s">
        <v>16</v>
      </c>
      <c r="G1586" s="1">
        <v>46258</v>
      </c>
      <c r="H1586" s="1">
        <v>46259</v>
      </c>
      <c r="I1586" s="2"/>
      <c r="J1586" s="2"/>
      <c r="K1586" s="11"/>
      <c r="L1586" s="11" t="s">
        <v>4041</v>
      </c>
      <c r="M1586" s="1"/>
      <c r="N1586" s="11"/>
      <c r="O1586" s="11" t="s">
        <v>4042</v>
      </c>
      <c r="P1586" s="1"/>
      <c r="Q1586" s="1"/>
      <c r="R1586" s="11"/>
      <c r="S1586" s="2">
        <f>CONSOLIDADO_2026[[#This Row],[Hora final]]-CONSOLIDADO_2026[[#This Row],[Hora inic]]</f>
        <v>0</v>
      </c>
    </row>
    <row r="1587" spans="1:19" hidden="1" x14ac:dyDescent="0.25">
      <c r="A1587" t="s">
        <v>4239</v>
      </c>
      <c r="B1587">
        <v>43453341</v>
      </c>
      <c r="C1587" t="s">
        <v>146</v>
      </c>
      <c r="D1587" s="11" t="s">
        <v>124</v>
      </c>
      <c r="E1587" s="11" t="s">
        <v>4045</v>
      </c>
      <c r="F1587" s="11" t="s">
        <v>16</v>
      </c>
      <c r="G1587" s="1">
        <v>46254</v>
      </c>
      <c r="H1587" s="1">
        <v>46268</v>
      </c>
      <c r="I1587" s="2">
        <v>0.25</v>
      </c>
      <c r="J1587" s="2">
        <v>0.54166666666666663</v>
      </c>
      <c r="K1587" s="11"/>
      <c r="L1587" s="11" t="s">
        <v>327</v>
      </c>
      <c r="M1587" s="1"/>
      <c r="N1587" s="11"/>
      <c r="O1587" s="11" t="s">
        <v>4042</v>
      </c>
      <c r="P1587" s="1"/>
      <c r="Q1587" s="1"/>
      <c r="R1587" s="11"/>
      <c r="S1587" s="2">
        <f>CONSOLIDADO_2026[[#This Row],[Hora final]]-CONSOLIDADO_2026[[#This Row],[Hora inic]]</f>
        <v>0.29166666666666663</v>
      </c>
    </row>
    <row r="1588" spans="1:19" hidden="1" x14ac:dyDescent="0.25">
      <c r="A1588" t="s">
        <v>4239</v>
      </c>
      <c r="B1588">
        <v>1035876080</v>
      </c>
      <c r="C1588" t="s">
        <v>123</v>
      </c>
      <c r="D1588" s="11" t="s">
        <v>124</v>
      </c>
      <c r="E1588" s="11" t="s">
        <v>4045</v>
      </c>
      <c r="F1588" s="11" t="s">
        <v>158</v>
      </c>
      <c r="G1588" s="1">
        <v>46254</v>
      </c>
      <c r="H1588" s="1"/>
      <c r="I1588" s="2">
        <v>0.25</v>
      </c>
      <c r="J1588" s="2">
        <v>0.54166666666666663</v>
      </c>
      <c r="K1588" s="11" t="s">
        <v>196</v>
      </c>
      <c r="L1588" s="11" t="s">
        <v>197</v>
      </c>
      <c r="M1588" s="1"/>
      <c r="N1588" s="11"/>
      <c r="O1588" s="11" t="s">
        <v>21</v>
      </c>
      <c r="P1588" s="1"/>
      <c r="Q1588" s="1"/>
      <c r="R1588" s="11"/>
      <c r="S1588" s="2">
        <f>CONSOLIDADO_2026[[#This Row],[Hora final]]-CONSOLIDADO_2026[[#This Row],[Hora inic]]</f>
        <v>0.29166666666666663</v>
      </c>
    </row>
    <row r="1589" spans="1:19" hidden="1" x14ac:dyDescent="0.25">
      <c r="A1589" t="s">
        <v>4239</v>
      </c>
      <c r="B1589">
        <v>1003045926</v>
      </c>
      <c r="C1589" t="s">
        <v>2063</v>
      </c>
      <c r="D1589" s="11" t="s">
        <v>124</v>
      </c>
      <c r="E1589" s="11" t="s">
        <v>4045</v>
      </c>
      <c r="F1589" s="11" t="s">
        <v>16</v>
      </c>
      <c r="G1589" s="1">
        <v>46258</v>
      </c>
      <c r="H1589" s="1">
        <v>46262</v>
      </c>
      <c r="I1589" s="2">
        <v>0.625</v>
      </c>
      <c r="J1589" s="2">
        <v>0.875</v>
      </c>
      <c r="K1589" s="11"/>
      <c r="L1589" s="11" t="s">
        <v>327</v>
      </c>
      <c r="M1589" s="1"/>
      <c r="N1589" s="11"/>
      <c r="O1589" s="11" t="s">
        <v>4042</v>
      </c>
      <c r="P1589" s="1"/>
      <c r="Q1589" s="1"/>
      <c r="R1589" s="11"/>
      <c r="S1589" s="2">
        <f>CONSOLIDADO_2026[[#This Row],[Hora final]]-CONSOLIDADO_2026[[#This Row],[Hora inic]]</f>
        <v>0.25</v>
      </c>
    </row>
    <row r="1590" spans="1:19" hidden="1" x14ac:dyDescent="0.25">
      <c r="A1590" t="s">
        <v>4239</v>
      </c>
      <c r="B1590">
        <v>1017255988</v>
      </c>
      <c r="C1590" t="s">
        <v>2923</v>
      </c>
      <c r="D1590" s="11" t="s">
        <v>124</v>
      </c>
      <c r="E1590" s="11" t="s">
        <v>4045</v>
      </c>
      <c r="F1590" s="11" t="s">
        <v>16</v>
      </c>
      <c r="G1590" s="1">
        <v>46258</v>
      </c>
      <c r="H1590" s="1">
        <v>46258</v>
      </c>
      <c r="I1590" s="2"/>
      <c r="J1590" s="2"/>
      <c r="K1590" s="11"/>
      <c r="L1590" s="11" t="s">
        <v>4041</v>
      </c>
      <c r="M1590" s="1"/>
      <c r="N1590" s="11"/>
      <c r="O1590" s="11" t="s">
        <v>4042</v>
      </c>
      <c r="P1590" s="1"/>
      <c r="Q1590" s="1"/>
      <c r="R1590" s="11"/>
      <c r="S1590" s="2">
        <f>CONSOLIDADO_2026[[#This Row],[Hora final]]-CONSOLIDADO_2026[[#This Row],[Hora inic]]</f>
        <v>0</v>
      </c>
    </row>
    <row r="1591" spans="1:19" hidden="1" x14ac:dyDescent="0.25">
      <c r="A1591" t="s">
        <v>4239</v>
      </c>
      <c r="B1591">
        <v>1143375080</v>
      </c>
      <c r="C1591" t="s">
        <v>157</v>
      </c>
      <c r="D1591" s="11" t="s">
        <v>44</v>
      </c>
      <c r="E1591" s="11" t="s">
        <v>4045</v>
      </c>
      <c r="F1591" s="11" t="s">
        <v>16</v>
      </c>
      <c r="G1591" s="1">
        <v>46258</v>
      </c>
      <c r="H1591" s="1">
        <v>46287</v>
      </c>
      <c r="I1591" s="2">
        <v>0.25</v>
      </c>
      <c r="J1591" s="2">
        <v>0.58333333333333337</v>
      </c>
      <c r="K1591" s="11" t="s">
        <v>167</v>
      </c>
      <c r="L1591" s="11" t="s">
        <v>168</v>
      </c>
      <c r="M1591" s="1"/>
      <c r="N1591" s="11"/>
      <c r="O1591" s="11" t="s">
        <v>21</v>
      </c>
      <c r="P1591" s="1"/>
      <c r="Q1591" s="1"/>
      <c r="R1591" s="11"/>
      <c r="S1591" s="2">
        <f>CONSOLIDADO_2026[[#This Row],[Hora final]]-CONSOLIDADO_2026[[#This Row],[Hora inic]]</f>
        <v>0.33333333333333337</v>
      </c>
    </row>
    <row r="1592" spans="1:19" hidden="1" x14ac:dyDescent="0.25">
      <c r="A1592" t="s">
        <v>4239</v>
      </c>
      <c r="B1592">
        <v>1143373273</v>
      </c>
      <c r="C1592" t="s">
        <v>2037</v>
      </c>
      <c r="D1592" s="11" t="s">
        <v>272</v>
      </c>
      <c r="E1592" s="11" t="s">
        <v>4056</v>
      </c>
      <c r="F1592" s="11" t="s">
        <v>16</v>
      </c>
      <c r="G1592" s="1">
        <v>46259</v>
      </c>
      <c r="H1592" s="1">
        <v>46266</v>
      </c>
      <c r="I1592" s="2">
        <v>0.54166666666666663</v>
      </c>
      <c r="J1592" s="2">
        <v>0.875</v>
      </c>
      <c r="K1592" s="11" t="s">
        <v>285</v>
      </c>
      <c r="L1592" s="11" t="s">
        <v>286</v>
      </c>
      <c r="M1592" s="1"/>
      <c r="N1592" s="11"/>
      <c r="O1592" s="11" t="s">
        <v>21</v>
      </c>
      <c r="P1592" s="1"/>
      <c r="Q1592" s="1"/>
      <c r="R1592" s="11"/>
      <c r="S1592" s="2">
        <f>CONSOLIDADO_2026[[#This Row],[Hora final]]-CONSOLIDADO_2026[[#This Row],[Hora inic]]</f>
        <v>0.33333333333333337</v>
      </c>
    </row>
    <row r="1593" spans="1:19" hidden="1" x14ac:dyDescent="0.25">
      <c r="A1593" t="s">
        <v>4239</v>
      </c>
      <c r="B1593">
        <v>1143406315</v>
      </c>
      <c r="C1593" t="s">
        <v>735</v>
      </c>
      <c r="D1593" s="11" t="s">
        <v>272</v>
      </c>
      <c r="E1593" s="11" t="s">
        <v>4056</v>
      </c>
      <c r="F1593" s="11" t="s">
        <v>16</v>
      </c>
      <c r="G1593" s="1">
        <v>46259</v>
      </c>
      <c r="H1593" s="1">
        <v>46260</v>
      </c>
      <c r="I1593" s="2">
        <v>8.3333333333333329E-2</v>
      </c>
      <c r="J1593" s="2">
        <v>0.875</v>
      </c>
      <c r="K1593" s="11" t="s">
        <v>560</v>
      </c>
      <c r="L1593" s="11" t="s">
        <v>561</v>
      </c>
      <c r="M1593" s="1"/>
      <c r="N1593" s="11"/>
      <c r="O1593" s="11" t="s">
        <v>21</v>
      </c>
      <c r="P1593" s="1"/>
      <c r="Q1593" s="1"/>
      <c r="R1593" s="11"/>
      <c r="S1593" s="2">
        <f>CONSOLIDADO_2026[[#This Row],[Hora final]]-CONSOLIDADO_2026[[#This Row],[Hora inic]]</f>
        <v>0.79166666666666663</v>
      </c>
    </row>
    <row r="1594" spans="1:19" hidden="1" x14ac:dyDescent="0.25">
      <c r="A1594" t="s">
        <v>4239</v>
      </c>
      <c r="B1594">
        <v>1000439437</v>
      </c>
      <c r="C1594" t="s">
        <v>451</v>
      </c>
      <c r="D1594" s="11" t="s">
        <v>139</v>
      </c>
      <c r="E1594" s="11" t="s">
        <v>4040</v>
      </c>
      <c r="F1594" s="11" t="s">
        <v>16</v>
      </c>
      <c r="G1594" s="1">
        <v>46259</v>
      </c>
      <c r="H1594" s="1">
        <v>46260</v>
      </c>
      <c r="I1594" s="2">
        <v>0.25</v>
      </c>
      <c r="J1594" s="2">
        <v>0.54166666666666663</v>
      </c>
      <c r="K1594" s="11" t="s">
        <v>294</v>
      </c>
      <c r="L1594" s="11" t="s">
        <v>295</v>
      </c>
      <c r="M1594" s="1"/>
      <c r="N1594" s="11"/>
      <c r="O1594" s="11" t="s">
        <v>21</v>
      </c>
      <c r="P1594" s="1"/>
      <c r="Q1594" s="1"/>
      <c r="R1594" s="11"/>
      <c r="S1594" s="2">
        <f>CONSOLIDADO_2026[[#This Row],[Hora final]]-CONSOLIDADO_2026[[#This Row],[Hora inic]]</f>
        <v>0.29166666666666663</v>
      </c>
    </row>
    <row r="1595" spans="1:19" hidden="1" x14ac:dyDescent="0.25">
      <c r="A1595" t="s">
        <v>4239</v>
      </c>
      <c r="B1595">
        <v>1038408808</v>
      </c>
      <c r="C1595" t="s">
        <v>483</v>
      </c>
      <c r="D1595" s="11" t="s">
        <v>482</v>
      </c>
      <c r="E1595" s="11" t="s">
        <v>4040</v>
      </c>
      <c r="F1595" s="11" t="s">
        <v>16</v>
      </c>
      <c r="G1595" s="1">
        <v>46259</v>
      </c>
      <c r="H1595" s="1">
        <v>46262</v>
      </c>
      <c r="I1595" s="2">
        <v>0.25</v>
      </c>
      <c r="J1595" s="2">
        <v>0.54166666666666663</v>
      </c>
      <c r="K1595" s="11"/>
      <c r="L1595" s="11" t="s">
        <v>327</v>
      </c>
      <c r="M1595" s="1"/>
      <c r="N1595" s="11"/>
      <c r="O1595" s="11" t="s">
        <v>4042</v>
      </c>
      <c r="P1595" s="1"/>
      <c r="Q1595" s="1"/>
      <c r="R1595" s="11"/>
      <c r="S1595" s="2">
        <f>CONSOLIDADO_2026[[#This Row],[Hora final]]-CONSOLIDADO_2026[[#This Row],[Hora inic]]</f>
        <v>0.29166666666666663</v>
      </c>
    </row>
    <row r="1596" spans="1:19" hidden="1" x14ac:dyDescent="0.25">
      <c r="A1596" t="s">
        <v>4239</v>
      </c>
      <c r="B1596">
        <v>1083048590</v>
      </c>
      <c r="C1596" t="s">
        <v>2487</v>
      </c>
      <c r="D1596" s="11" t="s">
        <v>28</v>
      </c>
      <c r="E1596" s="11" t="s">
        <v>4046</v>
      </c>
      <c r="F1596" s="11" t="s">
        <v>16</v>
      </c>
      <c r="G1596" s="1">
        <v>46259</v>
      </c>
      <c r="H1596" s="1">
        <v>46260</v>
      </c>
      <c r="I1596" s="2">
        <v>0.25</v>
      </c>
      <c r="J1596" s="2">
        <v>0.5</v>
      </c>
      <c r="K1596" s="11" t="s">
        <v>150</v>
      </c>
      <c r="L1596" s="11" t="s">
        <v>151</v>
      </c>
      <c r="M1596" s="1"/>
      <c r="N1596" s="11"/>
      <c r="O1596" s="11" t="s">
        <v>21</v>
      </c>
      <c r="P1596" s="1"/>
      <c r="Q1596" s="1"/>
      <c r="R1596" s="11"/>
      <c r="S1596" s="2">
        <f>CONSOLIDADO_2026[[#This Row],[Hora final]]-CONSOLIDADO_2026[[#This Row],[Hora inic]]</f>
        <v>0.25</v>
      </c>
    </row>
    <row r="1597" spans="1:19" hidden="1" x14ac:dyDescent="0.25">
      <c r="A1597" t="s">
        <v>4239</v>
      </c>
      <c r="B1597">
        <v>1000416383</v>
      </c>
      <c r="C1597" t="s">
        <v>1245</v>
      </c>
      <c r="D1597" s="11" t="s">
        <v>172</v>
      </c>
      <c r="E1597" s="11" t="s">
        <v>4046</v>
      </c>
      <c r="F1597" s="11" t="s">
        <v>24</v>
      </c>
      <c r="G1597" s="1">
        <v>46260</v>
      </c>
      <c r="H1597" s="1">
        <v>46260</v>
      </c>
      <c r="I1597" s="2">
        <v>0.25</v>
      </c>
      <c r="J1597" s="2">
        <v>0.58333333333333337</v>
      </c>
      <c r="K1597" s="11" t="s">
        <v>231</v>
      </c>
      <c r="L1597" s="11" t="s">
        <v>232</v>
      </c>
      <c r="M1597" s="1"/>
      <c r="N1597" s="11"/>
      <c r="O1597" s="11" t="s">
        <v>21</v>
      </c>
      <c r="P1597" s="1"/>
      <c r="Q1597" s="1"/>
      <c r="R1597" s="11"/>
      <c r="S1597" s="2">
        <f>CONSOLIDADO_2026[[#This Row],[Hora final]]-CONSOLIDADO_2026[[#This Row],[Hora inic]]</f>
        <v>0.33333333333333337</v>
      </c>
    </row>
    <row r="1598" spans="1:19" hidden="1" x14ac:dyDescent="0.25">
      <c r="A1598" t="s">
        <v>4239</v>
      </c>
      <c r="B1598">
        <v>1020476544</v>
      </c>
      <c r="C1598" t="s">
        <v>473</v>
      </c>
      <c r="D1598" s="11" t="s">
        <v>256</v>
      </c>
      <c r="E1598" s="11" t="s">
        <v>4040</v>
      </c>
      <c r="F1598" s="11" t="s">
        <v>4074</v>
      </c>
      <c r="G1598" s="1">
        <v>46259</v>
      </c>
      <c r="H1598" s="1">
        <v>46259</v>
      </c>
      <c r="I1598" s="2">
        <v>0.58333333333333337</v>
      </c>
      <c r="J1598" s="2">
        <v>0.875</v>
      </c>
      <c r="K1598" s="11"/>
      <c r="L1598" s="11" t="s">
        <v>4060</v>
      </c>
      <c r="M1598" s="1"/>
      <c r="N1598" s="11"/>
      <c r="O1598" s="11" t="s">
        <v>4042</v>
      </c>
      <c r="P1598" s="1"/>
      <c r="Q1598" s="1"/>
      <c r="R1598" s="11"/>
      <c r="S1598" s="2">
        <f>CONSOLIDADO_2026[[#This Row],[Hora final]]-CONSOLIDADO_2026[[#This Row],[Hora inic]]</f>
        <v>0.29166666666666663</v>
      </c>
    </row>
    <row r="1599" spans="1:19" hidden="1" x14ac:dyDescent="0.25">
      <c r="A1599" t="s">
        <v>4239</v>
      </c>
      <c r="B1599">
        <v>1001999023</v>
      </c>
      <c r="C1599" t="s">
        <v>149</v>
      </c>
      <c r="D1599" s="11" t="s">
        <v>492</v>
      </c>
      <c r="E1599" s="11" t="s">
        <v>4045</v>
      </c>
      <c r="F1599" s="11" t="s">
        <v>4050</v>
      </c>
      <c r="G1599" s="1">
        <v>46260</v>
      </c>
      <c r="H1599" s="1">
        <v>46262</v>
      </c>
      <c r="I1599" s="2"/>
      <c r="J1599" s="2"/>
      <c r="K1599" s="11"/>
      <c r="L1599" s="11" t="s">
        <v>341</v>
      </c>
      <c r="M1599" s="1"/>
      <c r="N1599" s="11"/>
      <c r="O1599" s="11" t="s">
        <v>4042</v>
      </c>
      <c r="P1599" s="1"/>
      <c r="Q1599" s="1"/>
      <c r="R1599" s="11"/>
      <c r="S1599" s="2">
        <f>CONSOLIDADO_2026[[#This Row],[Hora final]]-CONSOLIDADO_2026[[#This Row],[Hora inic]]</f>
        <v>0</v>
      </c>
    </row>
    <row r="1600" spans="1:19" hidden="1" x14ac:dyDescent="0.25">
      <c r="A1600" t="s">
        <v>4239</v>
      </c>
      <c r="B1600">
        <v>1017238267</v>
      </c>
      <c r="C1600" t="s">
        <v>2537</v>
      </c>
      <c r="D1600" s="11" t="s">
        <v>55</v>
      </c>
      <c r="E1600" s="11" t="s">
        <v>4047</v>
      </c>
      <c r="F1600" s="11" t="s">
        <v>16</v>
      </c>
      <c r="G1600" s="1">
        <v>46259</v>
      </c>
      <c r="H1600" s="1">
        <v>46261</v>
      </c>
      <c r="I1600" s="2">
        <v>0.58333333333333337</v>
      </c>
      <c r="J1600" s="2">
        <v>0.875</v>
      </c>
      <c r="K1600" s="11"/>
      <c r="L1600" s="11" t="s">
        <v>327</v>
      </c>
      <c r="M1600" s="1"/>
      <c r="N1600" s="11"/>
      <c r="O1600" s="11" t="s">
        <v>4042</v>
      </c>
      <c r="P1600" s="1"/>
      <c r="Q1600" s="1"/>
      <c r="R1600" s="11"/>
      <c r="S1600" s="2">
        <f>CONSOLIDADO_2026[[#This Row],[Hora final]]-CONSOLIDADO_2026[[#This Row],[Hora inic]]</f>
        <v>0.29166666666666663</v>
      </c>
    </row>
    <row r="1601" spans="1:19" hidden="1" x14ac:dyDescent="0.25">
      <c r="A1601" t="s">
        <v>4239</v>
      </c>
      <c r="B1601">
        <v>1017264032</v>
      </c>
      <c r="C1601" t="s">
        <v>88</v>
      </c>
      <c r="D1601" s="11" t="s">
        <v>55</v>
      </c>
      <c r="E1601" s="11" t="s">
        <v>4047</v>
      </c>
      <c r="F1601" s="11" t="s">
        <v>16</v>
      </c>
      <c r="G1601" s="1">
        <v>46259</v>
      </c>
      <c r="H1601" s="1">
        <v>46265</v>
      </c>
      <c r="I1601" s="2">
        <v>0.25</v>
      </c>
      <c r="J1601" s="2">
        <v>0.58333333333333337</v>
      </c>
      <c r="K1601" s="11"/>
      <c r="L1601" s="11" t="s">
        <v>327</v>
      </c>
      <c r="M1601" s="1"/>
      <c r="N1601" s="11"/>
      <c r="O1601" s="11" t="s">
        <v>4042</v>
      </c>
      <c r="P1601" s="1"/>
      <c r="Q1601" s="1"/>
      <c r="R1601" s="11"/>
      <c r="S1601" s="2">
        <f>CONSOLIDADO_2026[[#This Row],[Hora final]]-CONSOLIDADO_2026[[#This Row],[Hora inic]]</f>
        <v>0.33333333333333337</v>
      </c>
    </row>
    <row r="1602" spans="1:19" hidden="1" x14ac:dyDescent="0.25">
      <c r="A1602" t="s">
        <v>4239</v>
      </c>
      <c r="B1602">
        <v>1116283658</v>
      </c>
      <c r="C1602" t="s">
        <v>283</v>
      </c>
      <c r="D1602" s="11" t="s">
        <v>4078</v>
      </c>
      <c r="E1602" s="11" t="s">
        <v>4040</v>
      </c>
      <c r="F1602" s="11" t="s">
        <v>4079</v>
      </c>
      <c r="G1602" s="1">
        <v>46260</v>
      </c>
      <c r="H1602" s="1">
        <v>46260</v>
      </c>
      <c r="I1602" s="2">
        <v>0.25</v>
      </c>
      <c r="J1602" s="2">
        <v>0.58333333333333337</v>
      </c>
      <c r="K1602" s="11" t="s">
        <v>282</v>
      </c>
      <c r="L1602" s="11" t="s">
        <v>283</v>
      </c>
      <c r="M1602" s="1"/>
      <c r="N1602" s="11"/>
      <c r="O1602" s="11" t="s">
        <v>4042</v>
      </c>
      <c r="P1602" s="1"/>
      <c r="Q1602" s="1"/>
      <c r="R1602" s="11"/>
      <c r="S1602" s="2">
        <f>CONSOLIDADO_2026[[#This Row],[Hora final]]-CONSOLIDADO_2026[[#This Row],[Hora inic]]</f>
        <v>0.33333333333333337</v>
      </c>
    </row>
    <row r="1603" spans="1:19" hidden="1" x14ac:dyDescent="0.25">
      <c r="A1603" t="s">
        <v>4239</v>
      </c>
      <c r="B1603">
        <v>1037662189</v>
      </c>
      <c r="C1603" t="s">
        <v>3657</v>
      </c>
      <c r="D1603" s="11" t="s">
        <v>68</v>
      </c>
      <c r="E1603" s="11" t="s">
        <v>4040</v>
      </c>
      <c r="F1603" s="11" t="s">
        <v>4091</v>
      </c>
      <c r="G1603" s="1">
        <v>46260</v>
      </c>
      <c r="H1603" s="1">
        <v>46260</v>
      </c>
      <c r="I1603" s="2">
        <v>0.25</v>
      </c>
      <c r="J1603" s="2">
        <v>0.54166666666666663</v>
      </c>
      <c r="K1603" s="11" t="s">
        <v>213</v>
      </c>
      <c r="L1603" s="11" t="s">
        <v>214</v>
      </c>
      <c r="M1603" s="1"/>
      <c r="N1603" s="11"/>
      <c r="O1603" s="11" t="s">
        <v>21</v>
      </c>
      <c r="P1603" s="1"/>
      <c r="Q1603" s="1"/>
      <c r="R1603" s="11"/>
      <c r="S1603" s="2">
        <f>CONSOLIDADO_2026[[#This Row],[Hora final]]-CONSOLIDADO_2026[[#This Row],[Hora inic]]</f>
        <v>0.29166666666666663</v>
      </c>
    </row>
    <row r="1604" spans="1:19" hidden="1" x14ac:dyDescent="0.25">
      <c r="A1604" t="s">
        <v>4239</v>
      </c>
      <c r="B1604">
        <v>1015483595</v>
      </c>
      <c r="C1604" t="s">
        <v>23</v>
      </c>
      <c r="D1604" s="11" t="s">
        <v>421</v>
      </c>
      <c r="E1604" s="11" t="s">
        <v>4047</v>
      </c>
      <c r="F1604" s="11" t="s">
        <v>4087</v>
      </c>
      <c r="G1604" s="1">
        <v>46260</v>
      </c>
      <c r="H1604" s="1">
        <v>46260</v>
      </c>
      <c r="I1604" s="2">
        <v>0.58333333333333337</v>
      </c>
      <c r="J1604" s="2">
        <v>0.875</v>
      </c>
      <c r="K1604" s="11"/>
      <c r="L1604" s="11" t="s">
        <v>327</v>
      </c>
      <c r="M1604" s="1"/>
      <c r="N1604" s="11"/>
      <c r="O1604" s="11" t="s">
        <v>4042</v>
      </c>
      <c r="P1604" s="1"/>
      <c r="Q1604" s="1"/>
      <c r="R1604" s="11"/>
      <c r="S1604" s="2">
        <f>CONSOLIDADO_2026[[#This Row],[Hora final]]-CONSOLIDADO_2026[[#This Row],[Hora inic]]</f>
        <v>0.29166666666666663</v>
      </c>
    </row>
    <row r="1605" spans="1:19" hidden="1" x14ac:dyDescent="0.25">
      <c r="A1605" t="s">
        <v>4239</v>
      </c>
      <c r="B1605">
        <v>1037630071</v>
      </c>
      <c r="C1605" t="s">
        <v>4196</v>
      </c>
      <c r="D1605" s="11" t="s">
        <v>176</v>
      </c>
      <c r="E1605" s="11" t="s">
        <v>4040</v>
      </c>
      <c r="F1605" s="11" t="s">
        <v>4062</v>
      </c>
      <c r="G1605" s="1">
        <v>46247</v>
      </c>
      <c r="H1605" s="1">
        <v>46265</v>
      </c>
      <c r="I1605" s="2">
        <v>0.25</v>
      </c>
      <c r="J1605" s="2">
        <v>0.54166666666666663</v>
      </c>
      <c r="K1605" s="11" t="s">
        <v>45</v>
      </c>
      <c r="L1605" s="11" t="s">
        <v>46</v>
      </c>
      <c r="M1605" s="1"/>
      <c r="N1605" s="11"/>
      <c r="O1605" s="11" t="s">
        <v>21</v>
      </c>
      <c r="P1605" s="1"/>
      <c r="Q1605" s="1"/>
      <c r="R1605" s="11"/>
      <c r="S1605" s="2">
        <f>CONSOLIDADO_2026[[#This Row],[Hora final]]-CONSOLIDADO_2026[[#This Row],[Hora inic]]</f>
        <v>0.29166666666666663</v>
      </c>
    </row>
    <row r="1606" spans="1:19" hidden="1" x14ac:dyDescent="0.25">
      <c r="A1606" t="s">
        <v>4239</v>
      </c>
      <c r="B1606">
        <v>1047475415</v>
      </c>
      <c r="C1606" t="s">
        <v>582</v>
      </c>
      <c r="D1606" s="11" t="s">
        <v>15</v>
      </c>
      <c r="E1606" s="11" t="s">
        <v>4046</v>
      </c>
      <c r="F1606" s="11" t="s">
        <v>16</v>
      </c>
      <c r="G1606" s="1">
        <v>46260</v>
      </c>
      <c r="H1606" s="1">
        <v>46260</v>
      </c>
      <c r="I1606" s="2">
        <v>0.54166666666666663</v>
      </c>
      <c r="J1606" s="2">
        <v>0.875</v>
      </c>
      <c r="K1606" s="11"/>
      <c r="L1606" s="11" t="s">
        <v>327</v>
      </c>
      <c r="M1606" s="1"/>
      <c r="N1606" s="11"/>
      <c r="O1606" s="11" t="s">
        <v>4042</v>
      </c>
      <c r="P1606" s="1"/>
      <c r="Q1606" s="1"/>
      <c r="R1606" s="11"/>
      <c r="S1606" s="2">
        <f>CONSOLIDADO_2026[[#This Row],[Hora final]]-CONSOLIDADO_2026[[#This Row],[Hora inic]]</f>
        <v>0.33333333333333337</v>
      </c>
    </row>
    <row r="1607" spans="1:19" hidden="1" x14ac:dyDescent="0.25">
      <c r="A1607" t="s">
        <v>4239</v>
      </c>
      <c r="B1607">
        <v>1095832090</v>
      </c>
      <c r="C1607" t="s">
        <v>4243</v>
      </c>
      <c r="D1607" s="11" t="s">
        <v>55</v>
      </c>
      <c r="E1607" s="11" t="s">
        <v>4047</v>
      </c>
      <c r="F1607" s="11" t="s">
        <v>4074</v>
      </c>
      <c r="G1607" s="1">
        <v>46260</v>
      </c>
      <c r="H1607" s="1">
        <v>46274</v>
      </c>
      <c r="I1607" s="2"/>
      <c r="J1607" s="2"/>
      <c r="K1607" s="11"/>
      <c r="L1607" s="11" t="s">
        <v>4083</v>
      </c>
      <c r="M1607" s="1"/>
      <c r="N1607" s="11"/>
      <c r="O1607" s="11" t="s">
        <v>4042</v>
      </c>
      <c r="P1607" s="1"/>
      <c r="Q1607" s="1"/>
      <c r="R1607" s="11"/>
      <c r="S1607" s="2">
        <f>CONSOLIDADO_2026[[#This Row],[Hora final]]-CONSOLIDADO_2026[[#This Row],[Hora inic]]</f>
        <v>0</v>
      </c>
    </row>
    <row r="1608" spans="1:19" hidden="1" x14ac:dyDescent="0.25">
      <c r="A1608" t="s">
        <v>4239</v>
      </c>
      <c r="B1608">
        <v>1037660327</v>
      </c>
      <c r="C1608" t="s">
        <v>486</v>
      </c>
      <c r="D1608" s="11" t="s">
        <v>68</v>
      </c>
      <c r="E1608" s="11" t="s">
        <v>4040</v>
      </c>
      <c r="F1608" s="11" t="s">
        <v>4074</v>
      </c>
      <c r="G1608" s="1">
        <v>46260</v>
      </c>
      <c r="H1608" s="1">
        <v>46260</v>
      </c>
      <c r="I1608" s="2">
        <v>0.25</v>
      </c>
      <c r="J1608" s="2">
        <v>0.54166666666666663</v>
      </c>
      <c r="K1608" s="11"/>
      <c r="L1608" s="11" t="s">
        <v>4060</v>
      </c>
      <c r="M1608" s="1"/>
      <c r="N1608" s="11"/>
      <c r="O1608" s="11" t="s">
        <v>4042</v>
      </c>
      <c r="P1608" s="1"/>
      <c r="Q1608" s="1"/>
      <c r="R1608" s="11"/>
      <c r="S1608" s="2">
        <f>CONSOLIDADO_2026[[#This Row],[Hora final]]-CONSOLIDADO_2026[[#This Row],[Hora inic]]</f>
        <v>0.29166666666666663</v>
      </c>
    </row>
    <row r="1609" spans="1:19" hidden="1" x14ac:dyDescent="0.25">
      <c r="A1609" t="s">
        <v>4239</v>
      </c>
      <c r="B1609">
        <v>1010149319</v>
      </c>
      <c r="C1609" t="s">
        <v>3177</v>
      </c>
      <c r="D1609" s="11" t="s">
        <v>59</v>
      </c>
      <c r="E1609" s="11" t="s">
        <v>4047</v>
      </c>
      <c r="F1609" s="11" t="s">
        <v>4074</v>
      </c>
      <c r="G1609" s="1">
        <v>46260</v>
      </c>
      <c r="H1609" s="1">
        <v>46260</v>
      </c>
      <c r="I1609" s="2">
        <v>0.25</v>
      </c>
      <c r="J1609" s="2">
        <v>0.58333333333333337</v>
      </c>
      <c r="K1609" s="11"/>
      <c r="L1609" s="11" t="s">
        <v>4309</v>
      </c>
      <c r="M1609" s="1"/>
      <c r="N1609" s="11"/>
      <c r="O1609" s="11" t="s">
        <v>21</v>
      </c>
      <c r="P1609" s="1"/>
      <c r="Q1609" s="1"/>
      <c r="R1609" s="11"/>
      <c r="S1609" s="2">
        <f>CONSOLIDADO_2026[[#This Row],[Hora final]]-CONSOLIDADO_2026[[#This Row],[Hora inic]]</f>
        <v>0.33333333333333337</v>
      </c>
    </row>
    <row r="1610" spans="1:19" hidden="1" x14ac:dyDescent="0.25">
      <c r="A1610" t="s">
        <v>4239</v>
      </c>
      <c r="B1610">
        <v>1001446162</v>
      </c>
      <c r="C1610" t="s">
        <v>3663</v>
      </c>
      <c r="D1610" s="11" t="s">
        <v>344</v>
      </c>
      <c r="E1610" s="11" t="s">
        <v>4056</v>
      </c>
      <c r="F1610" s="11" t="s">
        <v>4073</v>
      </c>
      <c r="G1610" s="1">
        <v>46260</v>
      </c>
      <c r="H1610" s="1">
        <v>46260</v>
      </c>
      <c r="I1610" s="2">
        <v>0.58333333333333337</v>
      </c>
      <c r="J1610" s="2">
        <v>0.875</v>
      </c>
      <c r="K1610" s="11"/>
      <c r="L1610" s="11" t="s">
        <v>4308</v>
      </c>
      <c r="M1610" s="1"/>
      <c r="N1610" s="11"/>
      <c r="O1610" s="11" t="s">
        <v>4042</v>
      </c>
      <c r="P1610" s="1"/>
      <c r="Q1610" s="1"/>
      <c r="R1610" s="11"/>
      <c r="S1610" s="2">
        <f>CONSOLIDADO_2026[[#This Row],[Hora final]]-CONSOLIDADO_2026[[#This Row],[Hora inic]]</f>
        <v>0.29166666666666663</v>
      </c>
    </row>
    <row r="1611" spans="1:19" hidden="1" x14ac:dyDescent="0.25">
      <c r="A1611" t="s">
        <v>4239</v>
      </c>
      <c r="B1611">
        <v>1001369228</v>
      </c>
      <c r="C1611" t="s">
        <v>164</v>
      </c>
      <c r="D1611" s="11" t="s">
        <v>4079</v>
      </c>
      <c r="E1611" s="11" t="s">
        <v>4056</v>
      </c>
      <c r="F1611" s="11" t="s">
        <v>4079</v>
      </c>
      <c r="G1611" s="1">
        <v>46260</v>
      </c>
      <c r="H1611" s="1">
        <v>46260</v>
      </c>
      <c r="I1611" s="2">
        <v>0.5</v>
      </c>
      <c r="J1611" s="2">
        <v>0.79166666666666663</v>
      </c>
      <c r="K1611" s="11"/>
      <c r="L1611" s="11" t="s">
        <v>339</v>
      </c>
      <c r="M1611" s="1"/>
      <c r="N1611" s="11"/>
      <c r="O1611" s="11" t="s">
        <v>4042</v>
      </c>
      <c r="P1611" s="1"/>
      <c r="Q1611" s="1"/>
      <c r="R1611" s="11"/>
      <c r="S1611" s="2">
        <f>CONSOLIDADO_2026[[#This Row],[Hora final]]-CONSOLIDADO_2026[[#This Row],[Hora inic]]</f>
        <v>0.29166666666666663</v>
      </c>
    </row>
    <row r="1612" spans="1:19" hidden="1" x14ac:dyDescent="0.25">
      <c r="A1612" t="s">
        <v>4239</v>
      </c>
      <c r="B1612">
        <v>1103099277</v>
      </c>
      <c r="C1612" t="s">
        <v>2594</v>
      </c>
      <c r="D1612" s="11" t="s">
        <v>78</v>
      </c>
      <c r="E1612" s="11" t="s">
        <v>4046</v>
      </c>
      <c r="F1612" s="11" t="s">
        <v>4050</v>
      </c>
      <c r="G1612" s="1">
        <v>46260</v>
      </c>
      <c r="H1612" s="1">
        <v>46262</v>
      </c>
      <c r="I1612" s="2">
        <v>0.58333333333333337</v>
      </c>
      <c r="J1612" s="2">
        <v>0.875</v>
      </c>
      <c r="K1612" s="11"/>
      <c r="L1612" s="11" t="s">
        <v>327</v>
      </c>
      <c r="M1612" s="1"/>
      <c r="N1612" s="11"/>
      <c r="O1612" s="11" t="s">
        <v>4042</v>
      </c>
      <c r="P1612" s="1"/>
      <c r="Q1612" s="1"/>
      <c r="R1612" s="11"/>
      <c r="S1612" s="2">
        <f>CONSOLIDADO_2026[[#This Row],[Hora final]]-CONSOLIDADO_2026[[#This Row],[Hora inic]]</f>
        <v>0.29166666666666663</v>
      </c>
    </row>
    <row r="1613" spans="1:19" hidden="1" x14ac:dyDescent="0.25">
      <c r="A1613" t="s">
        <v>4239</v>
      </c>
      <c r="B1613">
        <v>1107046318</v>
      </c>
      <c r="C1613" t="s">
        <v>268</v>
      </c>
      <c r="D1613" s="11" t="s">
        <v>4078</v>
      </c>
      <c r="E1613" s="11" t="s">
        <v>4056</v>
      </c>
      <c r="F1613" s="11" t="s">
        <v>4087</v>
      </c>
      <c r="G1613" s="1">
        <v>46260</v>
      </c>
      <c r="H1613" s="1">
        <v>46260</v>
      </c>
      <c r="I1613" s="2">
        <v>0.58333333333333337</v>
      </c>
      <c r="J1613" s="2">
        <v>0.875</v>
      </c>
      <c r="K1613" s="11"/>
      <c r="L1613" s="11" t="s">
        <v>339</v>
      </c>
      <c r="M1613" s="1"/>
      <c r="N1613" s="11"/>
      <c r="O1613" s="11" t="s">
        <v>4042</v>
      </c>
      <c r="P1613" s="1"/>
      <c r="Q1613" s="1"/>
      <c r="R1613" s="11"/>
      <c r="S1613" s="2">
        <f>CONSOLIDADO_2026[[#This Row],[Hora final]]-CONSOLIDADO_2026[[#This Row],[Hora inic]]</f>
        <v>0.29166666666666663</v>
      </c>
    </row>
    <row r="1614" spans="1:19" hidden="1" x14ac:dyDescent="0.25">
      <c r="A1614" t="s">
        <v>4239</v>
      </c>
      <c r="B1614">
        <v>1036965348</v>
      </c>
      <c r="C1614" t="s">
        <v>229</v>
      </c>
      <c r="D1614" s="11" t="s">
        <v>4079</v>
      </c>
      <c r="E1614" s="11" t="s">
        <v>4046</v>
      </c>
      <c r="F1614" s="11" t="s">
        <v>4079</v>
      </c>
      <c r="G1614" s="1">
        <v>46260</v>
      </c>
      <c r="H1614" s="1">
        <v>46260</v>
      </c>
      <c r="I1614" s="2">
        <v>0.25</v>
      </c>
      <c r="J1614" s="2">
        <v>0.58333333333333337</v>
      </c>
      <c r="K1614" s="11" t="s">
        <v>228</v>
      </c>
      <c r="L1614" s="11" t="s">
        <v>229</v>
      </c>
      <c r="M1614" s="1"/>
      <c r="N1614" s="11"/>
      <c r="O1614" s="11" t="s">
        <v>4042</v>
      </c>
      <c r="P1614" s="1"/>
      <c r="Q1614" s="1"/>
      <c r="R1614" s="11"/>
      <c r="S1614" s="2">
        <f>CONSOLIDADO_2026[[#This Row],[Hora final]]-CONSOLIDADO_2026[[#This Row],[Hora inic]]</f>
        <v>0.33333333333333337</v>
      </c>
    </row>
    <row r="1615" spans="1:19" x14ac:dyDescent="0.25">
      <c r="A1615" t="s">
        <v>4301</v>
      </c>
      <c r="B1615">
        <v>1010149319</v>
      </c>
      <c r="C1615" t="s">
        <v>3177</v>
      </c>
      <c r="D1615" s="11" t="s">
        <v>59</v>
      </c>
      <c r="E1615" s="11" t="s">
        <v>4047</v>
      </c>
      <c r="F1615" s="11" t="s">
        <v>16</v>
      </c>
      <c r="G1615" s="1">
        <v>46259</v>
      </c>
      <c r="H1615" s="1">
        <v>46259</v>
      </c>
      <c r="I1615" s="2"/>
      <c r="J1615" s="2"/>
      <c r="K1615" s="11"/>
      <c r="L1615" s="11" t="s">
        <v>4041</v>
      </c>
      <c r="M1615" s="1"/>
      <c r="N1615" s="11"/>
      <c r="O1615" s="11" t="s">
        <v>4042</v>
      </c>
      <c r="P1615" s="1"/>
      <c r="Q1615" s="1"/>
      <c r="R1615" s="11"/>
      <c r="S1615" s="2">
        <f>CONSOLIDADO_2026[[#This Row],[Hora final]]-CONSOLIDADO_2026[[#This Row],[Hora inic]]</f>
        <v>0</v>
      </c>
    </row>
    <row r="1616" spans="1:19" x14ac:dyDescent="0.25">
      <c r="A1616" t="s">
        <v>4301</v>
      </c>
      <c r="B1616">
        <v>1037660327</v>
      </c>
      <c r="C1616" t="s">
        <v>4302</v>
      </c>
      <c r="D1616" s="11" t="s">
        <v>68</v>
      </c>
      <c r="E1616" s="11" t="s">
        <v>4040</v>
      </c>
      <c r="F1616" s="11" t="s">
        <v>16</v>
      </c>
      <c r="G1616" s="1">
        <v>46260</v>
      </c>
      <c r="H1616" s="1">
        <v>46260</v>
      </c>
      <c r="I1616" s="2">
        <v>0.58333333333333337</v>
      </c>
      <c r="J1616" s="2">
        <v>0.83333333333333337</v>
      </c>
      <c r="K1616" s="11"/>
      <c r="L1616" s="11" t="s">
        <v>327</v>
      </c>
      <c r="M1616" s="1"/>
      <c r="N1616" s="11"/>
      <c r="O1616" s="11" t="s">
        <v>4042</v>
      </c>
      <c r="P1616" s="1"/>
      <c r="Q1616" s="1"/>
      <c r="R1616" s="11"/>
      <c r="S1616" s="2">
        <f>CONSOLIDADO_2026[[#This Row],[Hora final]]-CONSOLIDADO_2026[[#This Row],[Hora inic]]</f>
        <v>0.25</v>
      </c>
    </row>
    <row r="1617" spans="1:19" x14ac:dyDescent="0.25">
      <c r="A1617" t="s">
        <v>4301</v>
      </c>
      <c r="B1617">
        <v>1047475415</v>
      </c>
      <c r="C1617" t="s">
        <v>582</v>
      </c>
      <c r="D1617" s="11" t="s">
        <v>15</v>
      </c>
      <c r="E1617" s="11" t="s">
        <v>4046</v>
      </c>
      <c r="F1617" s="11" t="s">
        <v>16</v>
      </c>
      <c r="G1617" s="1">
        <v>46260</v>
      </c>
      <c r="H1617" s="1">
        <v>46260</v>
      </c>
      <c r="I1617" s="2"/>
      <c r="J1617" s="2"/>
      <c r="K1617" s="11"/>
      <c r="L1617" s="11" t="s">
        <v>4041</v>
      </c>
      <c r="M1617" s="1"/>
      <c r="N1617" s="11"/>
      <c r="O1617" s="11" t="s">
        <v>4042</v>
      </c>
      <c r="P1617" s="1"/>
      <c r="Q1617" s="1"/>
      <c r="R1617" s="11"/>
      <c r="S1617" s="2">
        <f>CONSOLIDADO_2026[[#This Row],[Hora final]]-CONSOLIDADO_2026[[#This Row],[Hora inic]]</f>
        <v>0</v>
      </c>
    </row>
    <row r="1618" spans="1:19" x14ac:dyDescent="0.25">
      <c r="A1618" t="s">
        <v>4301</v>
      </c>
      <c r="B1618">
        <v>1015483595</v>
      </c>
      <c r="C1618" t="s">
        <v>221</v>
      </c>
      <c r="D1618" s="11" t="s">
        <v>15</v>
      </c>
      <c r="E1618" s="11" t="s">
        <v>4046</v>
      </c>
      <c r="F1618" s="11" t="s">
        <v>24</v>
      </c>
      <c r="G1618" s="1">
        <v>46244</v>
      </c>
      <c r="H1618" s="1">
        <v>46265</v>
      </c>
      <c r="I1618" s="2">
        <v>0.54166666666666663</v>
      </c>
      <c r="J1618" s="2">
        <v>0.875</v>
      </c>
      <c r="K1618" s="11" t="s">
        <v>103</v>
      </c>
      <c r="L1618" s="11" t="s">
        <v>104</v>
      </c>
      <c r="M1618" s="1"/>
      <c r="N1618" s="11"/>
      <c r="O1618" s="11" t="s">
        <v>21</v>
      </c>
      <c r="P1618" s="1"/>
      <c r="Q1618" s="1"/>
      <c r="R1618" s="11"/>
      <c r="S1618" s="2">
        <f>CONSOLIDADO_2026[[#This Row],[Hora final]]-CONSOLIDADO_2026[[#This Row],[Hora inic]]</f>
        <v>0.33333333333333337</v>
      </c>
    </row>
    <row r="1619" spans="1:19" x14ac:dyDescent="0.25">
      <c r="A1619" t="s">
        <v>4301</v>
      </c>
      <c r="B1619">
        <v>1143406315</v>
      </c>
      <c r="C1619" t="s">
        <v>735</v>
      </c>
      <c r="D1619" s="11" t="s">
        <v>272</v>
      </c>
      <c r="E1619" s="11" t="s">
        <v>4056</v>
      </c>
      <c r="F1619" s="11" t="s">
        <v>16</v>
      </c>
      <c r="G1619" s="1">
        <v>46259</v>
      </c>
      <c r="H1619" s="1">
        <v>46260</v>
      </c>
      <c r="I1619" s="2"/>
      <c r="J1619" s="2"/>
      <c r="K1619" s="11"/>
      <c r="L1619" s="11" t="s">
        <v>4041</v>
      </c>
      <c r="M1619" s="1"/>
      <c r="N1619" s="11"/>
      <c r="O1619" s="11" t="s">
        <v>4042</v>
      </c>
      <c r="P1619" s="1"/>
      <c r="Q1619" s="1"/>
      <c r="R1619" s="11"/>
      <c r="S1619" s="2">
        <f>CONSOLIDADO_2026[[#This Row],[Hora final]]-CONSOLIDADO_2026[[#This Row],[Hora inic]]</f>
        <v>0</v>
      </c>
    </row>
    <row r="1620" spans="1:19" x14ac:dyDescent="0.25">
      <c r="A1620" t="s">
        <v>4301</v>
      </c>
      <c r="B1620">
        <v>1010135017</v>
      </c>
      <c r="C1620" t="s">
        <v>1311</v>
      </c>
      <c r="D1620" s="11" t="s">
        <v>256</v>
      </c>
      <c r="E1620" s="11" t="s">
        <v>4040</v>
      </c>
      <c r="F1620" s="11" t="s">
        <v>16</v>
      </c>
      <c r="G1620" s="1">
        <v>46259</v>
      </c>
      <c r="H1620" s="1">
        <v>46261</v>
      </c>
      <c r="I1620" s="2">
        <v>0.25</v>
      </c>
      <c r="J1620" s="2">
        <v>4.1666666666666664E-2</v>
      </c>
      <c r="K1620" s="11"/>
      <c r="L1620" s="11" t="s">
        <v>327</v>
      </c>
      <c r="M1620" s="1"/>
      <c r="N1620" s="11"/>
      <c r="O1620" s="11" t="s">
        <v>4042</v>
      </c>
      <c r="P1620" s="1"/>
      <c r="Q1620" s="1"/>
      <c r="R1620" s="11"/>
      <c r="S1620" s="2">
        <f>CONSOLIDADO_2026[[#This Row],[Hora final]]-CONSOLIDADO_2026[[#This Row],[Hora inic]]</f>
        <v>-0.20833333333333334</v>
      </c>
    </row>
    <row r="1621" spans="1:19" x14ac:dyDescent="0.25">
      <c r="A1621" t="s">
        <v>4301</v>
      </c>
      <c r="B1621">
        <v>1017238267</v>
      </c>
      <c r="C1621" t="s">
        <v>2537</v>
      </c>
      <c r="D1621" s="11" t="s">
        <v>55</v>
      </c>
      <c r="E1621" s="11" t="s">
        <v>4047</v>
      </c>
      <c r="F1621" s="11" t="s">
        <v>16</v>
      </c>
      <c r="G1621" s="1">
        <v>46259</v>
      </c>
      <c r="H1621" s="1">
        <v>46261</v>
      </c>
      <c r="I1621" s="2">
        <v>0.25</v>
      </c>
      <c r="J1621" s="2">
        <v>0.58333333333333337</v>
      </c>
      <c r="K1621" s="11" t="s">
        <v>199</v>
      </c>
      <c r="L1621" s="11" t="s">
        <v>200</v>
      </c>
      <c r="M1621" s="1"/>
      <c r="N1621" s="11"/>
      <c r="O1621" s="11" t="s">
        <v>21</v>
      </c>
      <c r="P1621" s="1"/>
      <c r="Q1621" s="1"/>
      <c r="R1621" s="11"/>
      <c r="S1621" s="2">
        <f>CONSOLIDADO_2026[[#This Row],[Hora final]]-CONSOLIDADO_2026[[#This Row],[Hora inic]]</f>
        <v>0.33333333333333337</v>
      </c>
    </row>
    <row r="1622" spans="1:19" x14ac:dyDescent="0.25">
      <c r="A1622" t="s">
        <v>4301</v>
      </c>
      <c r="B1622">
        <v>1000439437</v>
      </c>
      <c r="C1622" t="s">
        <v>451</v>
      </c>
      <c r="D1622" s="11" t="s">
        <v>139</v>
      </c>
      <c r="E1622" s="11" t="s">
        <v>4040</v>
      </c>
      <c r="F1622" s="11" t="s">
        <v>16</v>
      </c>
      <c r="G1622" s="1">
        <v>46259</v>
      </c>
      <c r="H1622" s="1">
        <v>46260</v>
      </c>
      <c r="I1622" s="2"/>
      <c r="J1622" s="2"/>
      <c r="K1622" s="11"/>
      <c r="L1622" s="11" t="s">
        <v>4041</v>
      </c>
      <c r="M1622" s="1"/>
      <c r="N1622" s="11"/>
      <c r="O1622" s="11" t="s">
        <v>4042</v>
      </c>
      <c r="P1622" s="1"/>
      <c r="Q1622" s="1"/>
      <c r="R1622" s="11"/>
      <c r="S1622" s="2">
        <f>CONSOLIDADO_2026[[#This Row],[Hora final]]-CONSOLIDADO_2026[[#This Row],[Hora inic]]</f>
        <v>0</v>
      </c>
    </row>
    <row r="1623" spans="1:19" x14ac:dyDescent="0.25">
      <c r="A1623" t="s">
        <v>4301</v>
      </c>
      <c r="B1623">
        <v>1003045926</v>
      </c>
      <c r="C1623" t="s">
        <v>2063</v>
      </c>
      <c r="D1623" s="11" t="s">
        <v>124</v>
      </c>
      <c r="E1623" s="11" t="s">
        <v>4045</v>
      </c>
      <c r="F1623" s="11" t="s">
        <v>16</v>
      </c>
      <c r="G1623" s="1">
        <v>46258</v>
      </c>
      <c r="H1623" s="1">
        <v>46262</v>
      </c>
      <c r="I1623" s="2">
        <v>0.58333333333333337</v>
      </c>
      <c r="J1623" s="2">
        <v>0.875</v>
      </c>
      <c r="K1623" s="11"/>
      <c r="L1623" s="11" t="s">
        <v>327</v>
      </c>
      <c r="M1623" s="1"/>
      <c r="N1623" s="11"/>
      <c r="O1623" s="11" t="s">
        <v>4042</v>
      </c>
      <c r="P1623" s="1"/>
      <c r="Q1623" s="1"/>
      <c r="R1623" s="11"/>
      <c r="S1623" s="2">
        <f>CONSOLIDADO_2026[[#This Row],[Hora final]]-CONSOLIDADO_2026[[#This Row],[Hora inic]]</f>
        <v>0.29166666666666663</v>
      </c>
    </row>
    <row r="1624" spans="1:19" x14ac:dyDescent="0.25">
      <c r="A1624" t="s">
        <v>4301</v>
      </c>
      <c r="B1624">
        <v>1083048590</v>
      </c>
      <c r="C1624" t="s">
        <v>4303</v>
      </c>
      <c r="D1624" s="11" t="s">
        <v>28</v>
      </c>
      <c r="E1624" s="11" t="s">
        <v>4046</v>
      </c>
      <c r="F1624" s="11" t="s">
        <v>16</v>
      </c>
      <c r="G1624" s="1">
        <v>46259</v>
      </c>
      <c r="H1624" s="1">
        <v>46260</v>
      </c>
      <c r="I1624" s="2"/>
      <c r="J1624" s="2"/>
      <c r="K1624" s="11"/>
      <c r="L1624" s="11" t="s">
        <v>4041</v>
      </c>
      <c r="M1624" s="1"/>
      <c r="N1624" s="11"/>
      <c r="O1624" s="11" t="s">
        <v>4042</v>
      </c>
      <c r="P1624" s="1"/>
      <c r="Q1624" s="1"/>
      <c r="R1624" s="11"/>
      <c r="S1624" s="2">
        <f>CONSOLIDADO_2026[[#This Row],[Hora final]]-CONSOLIDADO_2026[[#This Row],[Hora inic]]</f>
        <v>0</v>
      </c>
    </row>
    <row r="1625" spans="1:19" x14ac:dyDescent="0.25">
      <c r="A1625" t="s">
        <v>4301</v>
      </c>
      <c r="B1625">
        <v>1143375080</v>
      </c>
      <c r="C1625" t="s">
        <v>157</v>
      </c>
      <c r="D1625" s="11" t="s">
        <v>44</v>
      </c>
      <c r="E1625" s="11" t="s">
        <v>4045</v>
      </c>
      <c r="F1625" s="11" t="s">
        <v>16</v>
      </c>
      <c r="G1625" s="1">
        <v>46258</v>
      </c>
      <c r="H1625" s="1">
        <v>46287</v>
      </c>
      <c r="I1625" s="2">
        <v>0.25</v>
      </c>
      <c r="J1625" s="2">
        <v>0.58333333333333337</v>
      </c>
      <c r="K1625" s="11" t="s">
        <v>240</v>
      </c>
      <c r="L1625" s="11" t="s">
        <v>241</v>
      </c>
      <c r="M1625" s="1"/>
      <c r="N1625" s="11"/>
      <c r="O1625" s="11" t="s">
        <v>21</v>
      </c>
      <c r="P1625" s="1"/>
      <c r="Q1625" s="1"/>
      <c r="R1625" s="11"/>
      <c r="S1625" s="2">
        <f>CONSOLIDADO_2026[[#This Row],[Hora final]]-CONSOLIDADO_2026[[#This Row],[Hora inic]]</f>
        <v>0.33333333333333337</v>
      </c>
    </row>
    <row r="1626" spans="1:19" x14ac:dyDescent="0.25">
      <c r="A1626" t="s">
        <v>4301</v>
      </c>
      <c r="B1626">
        <v>1037631989</v>
      </c>
      <c r="C1626" t="s">
        <v>27</v>
      </c>
      <c r="D1626" s="11" t="s">
        <v>28</v>
      </c>
      <c r="E1626" s="11" t="s">
        <v>4046</v>
      </c>
      <c r="F1626" s="11" t="s">
        <v>16</v>
      </c>
      <c r="G1626" s="1">
        <v>46256</v>
      </c>
      <c r="H1626" s="1">
        <v>46285</v>
      </c>
      <c r="I1626" s="2">
        <v>0.54166666666666663</v>
      </c>
      <c r="J1626" s="2">
        <v>0.875</v>
      </c>
      <c r="K1626" s="11"/>
      <c r="L1626" s="11" t="s">
        <v>327</v>
      </c>
      <c r="M1626" s="1"/>
      <c r="N1626" s="11"/>
      <c r="O1626" s="11" t="s">
        <v>4042</v>
      </c>
      <c r="P1626" s="1"/>
      <c r="Q1626" s="1"/>
      <c r="R1626" s="11"/>
      <c r="S1626" s="2">
        <f>CONSOLIDADO_2026[[#This Row],[Hora final]]-CONSOLIDADO_2026[[#This Row],[Hora inic]]</f>
        <v>0.33333333333333337</v>
      </c>
    </row>
    <row r="1627" spans="1:19" x14ac:dyDescent="0.25">
      <c r="A1627" t="s">
        <v>4301</v>
      </c>
      <c r="B1627">
        <v>1001996913</v>
      </c>
      <c r="C1627" t="s">
        <v>3174</v>
      </c>
      <c r="D1627" s="11" t="s">
        <v>28</v>
      </c>
      <c r="E1627" s="11" t="s">
        <v>4046</v>
      </c>
      <c r="F1627" s="11" t="s">
        <v>16</v>
      </c>
      <c r="G1627" s="1">
        <v>46259</v>
      </c>
      <c r="H1627" s="1">
        <v>46259</v>
      </c>
      <c r="I1627" s="2"/>
      <c r="J1627" s="2"/>
      <c r="K1627" s="11"/>
      <c r="L1627" s="11" t="s">
        <v>4041</v>
      </c>
      <c r="M1627" s="1"/>
      <c r="N1627" s="11"/>
      <c r="O1627" s="11" t="s">
        <v>4042</v>
      </c>
      <c r="P1627" s="1"/>
      <c r="Q1627" s="1"/>
      <c r="R1627" s="11"/>
      <c r="S1627" s="2">
        <f>CONSOLIDADO_2026[[#This Row],[Hora final]]-CONSOLIDADO_2026[[#This Row],[Hora inic]]</f>
        <v>0</v>
      </c>
    </row>
    <row r="1628" spans="1:19" x14ac:dyDescent="0.25">
      <c r="A1628" t="s">
        <v>4301</v>
      </c>
      <c r="B1628">
        <v>1032488873</v>
      </c>
      <c r="C1628" t="s">
        <v>4240</v>
      </c>
      <c r="D1628" s="11" t="s">
        <v>55</v>
      </c>
      <c r="E1628" s="11" t="s">
        <v>4047</v>
      </c>
      <c r="F1628" s="11" t="s">
        <v>16</v>
      </c>
      <c r="G1628" s="1">
        <v>46259</v>
      </c>
      <c r="H1628" s="1">
        <v>46263</v>
      </c>
      <c r="I1628" s="2">
        <v>0.54166666666666663</v>
      </c>
      <c r="J1628" s="2">
        <v>0.875</v>
      </c>
      <c r="K1628" s="11"/>
      <c r="L1628" s="11" t="s">
        <v>327</v>
      </c>
      <c r="M1628" s="1"/>
      <c r="N1628" s="11"/>
      <c r="O1628" s="11" t="s">
        <v>4042</v>
      </c>
      <c r="P1628" s="1"/>
      <c r="Q1628" s="1"/>
      <c r="R1628" s="11"/>
      <c r="S1628" s="2">
        <f>CONSOLIDADO_2026[[#This Row],[Hora final]]-CONSOLIDADO_2026[[#This Row],[Hora inic]]</f>
        <v>0.33333333333333337</v>
      </c>
    </row>
    <row r="1629" spans="1:19" x14ac:dyDescent="0.25">
      <c r="A1629" t="s">
        <v>4301</v>
      </c>
      <c r="B1629">
        <v>1067864151</v>
      </c>
      <c r="C1629" t="s">
        <v>1809</v>
      </c>
      <c r="D1629" s="11" t="s">
        <v>256</v>
      </c>
      <c r="E1629" s="11" t="s">
        <v>4040</v>
      </c>
      <c r="F1629" s="11" t="s">
        <v>16</v>
      </c>
      <c r="G1629" s="1">
        <v>46258</v>
      </c>
      <c r="H1629" s="1">
        <v>46260</v>
      </c>
      <c r="I1629" s="2"/>
      <c r="J1629" s="2"/>
      <c r="K1629" s="11"/>
      <c r="L1629" s="11" t="s">
        <v>4041</v>
      </c>
      <c r="M1629" s="1"/>
      <c r="N1629" s="11"/>
      <c r="O1629" s="11" t="s">
        <v>4042</v>
      </c>
      <c r="P1629" s="1"/>
      <c r="Q1629" s="1"/>
      <c r="R1629" s="11"/>
      <c r="S1629" s="2">
        <f>CONSOLIDADO_2026[[#This Row],[Hora final]]-CONSOLIDADO_2026[[#This Row],[Hora inic]]</f>
        <v>0</v>
      </c>
    </row>
    <row r="1630" spans="1:19" x14ac:dyDescent="0.25">
      <c r="A1630" t="s">
        <v>4301</v>
      </c>
      <c r="B1630">
        <v>1017264032</v>
      </c>
      <c r="C1630" t="s">
        <v>88</v>
      </c>
      <c r="D1630" s="11" t="s">
        <v>55</v>
      </c>
      <c r="E1630" s="11" t="s">
        <v>4047</v>
      </c>
      <c r="F1630" s="11" t="s">
        <v>16</v>
      </c>
      <c r="G1630" s="1">
        <v>46259</v>
      </c>
      <c r="H1630" s="1">
        <v>46265</v>
      </c>
      <c r="I1630" s="2">
        <v>0.58333333333333337</v>
      </c>
      <c r="J1630" s="2">
        <v>0.875</v>
      </c>
      <c r="K1630" s="11" t="s">
        <v>213</v>
      </c>
      <c r="L1630" s="11" t="s">
        <v>214</v>
      </c>
      <c r="M1630" s="1"/>
      <c r="N1630" s="11"/>
      <c r="O1630" s="11" t="s">
        <v>21</v>
      </c>
      <c r="P1630" s="1"/>
      <c r="Q1630" s="1"/>
      <c r="R1630" s="11"/>
      <c r="S1630" s="2">
        <f>CONSOLIDADO_2026[[#This Row],[Hora final]]-CONSOLIDADO_2026[[#This Row],[Hora inic]]</f>
        <v>0.29166666666666663</v>
      </c>
    </row>
    <row r="1631" spans="1:19" x14ac:dyDescent="0.25">
      <c r="A1631" t="s">
        <v>4301</v>
      </c>
      <c r="B1631">
        <v>1235539927</v>
      </c>
      <c r="C1631" t="s">
        <v>2591</v>
      </c>
      <c r="D1631" s="11" t="s">
        <v>132</v>
      </c>
      <c r="E1631" s="11" t="s">
        <v>4040</v>
      </c>
      <c r="F1631" s="11" t="s">
        <v>16</v>
      </c>
      <c r="G1631" s="1">
        <v>46258</v>
      </c>
      <c r="H1631" s="1">
        <v>46260</v>
      </c>
      <c r="I1631" s="2"/>
      <c r="J1631" s="2"/>
      <c r="K1631" s="11"/>
      <c r="L1631" s="11" t="s">
        <v>4041</v>
      </c>
      <c r="M1631" s="1"/>
      <c r="N1631" s="11"/>
      <c r="O1631" s="11" t="s">
        <v>4042</v>
      </c>
      <c r="P1631" s="1"/>
      <c r="Q1631" s="1"/>
      <c r="R1631" s="11"/>
      <c r="S1631" s="2">
        <f>CONSOLIDADO_2026[[#This Row],[Hora final]]-CONSOLIDADO_2026[[#This Row],[Hora inic]]</f>
        <v>0</v>
      </c>
    </row>
    <row r="1632" spans="1:19" x14ac:dyDescent="0.25">
      <c r="A1632" t="s">
        <v>4301</v>
      </c>
      <c r="B1632">
        <v>1143267842</v>
      </c>
      <c r="C1632" t="s">
        <v>1501</v>
      </c>
      <c r="D1632" s="11" t="s">
        <v>128</v>
      </c>
      <c r="E1632" s="11" t="s">
        <v>4045</v>
      </c>
      <c r="F1632" s="11" t="s">
        <v>24</v>
      </c>
      <c r="G1632" s="1">
        <v>46260</v>
      </c>
      <c r="H1632" s="1">
        <v>46262</v>
      </c>
      <c r="I1632" s="2">
        <v>0.54166666666666663</v>
      </c>
      <c r="J1632" s="2">
        <v>0.875</v>
      </c>
      <c r="K1632" s="11" t="s">
        <v>119</v>
      </c>
      <c r="L1632" s="11" t="s">
        <v>120</v>
      </c>
      <c r="M1632" s="1"/>
      <c r="N1632" s="11"/>
      <c r="O1632" s="11" t="s">
        <v>21</v>
      </c>
      <c r="P1632" s="1"/>
      <c r="Q1632" s="1"/>
      <c r="R1632" s="11"/>
      <c r="S1632" s="2">
        <f>CONSOLIDADO_2026[[#This Row],[Hora final]]-CONSOLIDADO_2026[[#This Row],[Hora inic]]</f>
        <v>0.33333333333333337</v>
      </c>
    </row>
    <row r="1633" spans="1:19" x14ac:dyDescent="0.25">
      <c r="A1633" t="s">
        <v>4301</v>
      </c>
      <c r="B1633">
        <v>1000294973</v>
      </c>
      <c r="C1633" t="s">
        <v>1266</v>
      </c>
      <c r="D1633" s="11" t="s">
        <v>15</v>
      </c>
      <c r="E1633" s="11" t="s">
        <v>4046</v>
      </c>
      <c r="F1633" s="11" t="s">
        <v>4123</v>
      </c>
      <c r="G1633" s="1">
        <v>46260</v>
      </c>
      <c r="H1633" s="1">
        <v>46262</v>
      </c>
      <c r="I1633" s="2">
        <v>0.54166666666666663</v>
      </c>
      <c r="J1633" s="2">
        <v>0.875</v>
      </c>
      <c r="K1633" s="11" t="s">
        <v>300</v>
      </c>
      <c r="L1633" s="11" t="s">
        <v>301</v>
      </c>
      <c r="M1633" s="1"/>
      <c r="N1633" s="11"/>
      <c r="O1633" s="11" t="s">
        <v>21</v>
      </c>
      <c r="P1633" s="1"/>
      <c r="Q1633" s="1"/>
      <c r="R1633" s="11"/>
      <c r="S1633" s="2">
        <f>CONSOLIDADO_2026[[#This Row],[Hora final]]-CONSOLIDADO_2026[[#This Row],[Hora inic]]</f>
        <v>0.33333333333333337</v>
      </c>
    </row>
    <row r="1634" spans="1:19" x14ac:dyDescent="0.25">
      <c r="A1634" t="s">
        <v>4301</v>
      </c>
      <c r="B1634">
        <v>1152434926</v>
      </c>
      <c r="C1634" t="s">
        <v>217</v>
      </c>
      <c r="D1634" s="11" t="s">
        <v>59</v>
      </c>
      <c r="E1634" s="11" t="s">
        <v>4047</v>
      </c>
      <c r="F1634" s="11" t="s">
        <v>16</v>
      </c>
      <c r="G1634" s="1">
        <v>46258</v>
      </c>
      <c r="H1634" s="1">
        <v>46263</v>
      </c>
      <c r="I1634" s="2">
        <v>0.25</v>
      </c>
      <c r="J1634" s="2">
        <v>0.58333333333333337</v>
      </c>
      <c r="K1634" s="11"/>
      <c r="L1634" s="11" t="s">
        <v>327</v>
      </c>
      <c r="M1634" s="1"/>
      <c r="N1634" s="11"/>
      <c r="O1634" s="11" t="s">
        <v>4042</v>
      </c>
      <c r="P1634" s="1"/>
      <c r="Q1634" s="1"/>
      <c r="R1634" s="11"/>
      <c r="S1634" s="2">
        <f>CONSOLIDADO_2026[[#This Row],[Hora final]]-CONSOLIDADO_2026[[#This Row],[Hora inic]]</f>
        <v>0.33333333333333337</v>
      </c>
    </row>
    <row r="1635" spans="1:19" x14ac:dyDescent="0.25">
      <c r="A1635" t="s">
        <v>4301</v>
      </c>
      <c r="B1635">
        <v>1034296571</v>
      </c>
      <c r="C1635" t="s">
        <v>4229</v>
      </c>
      <c r="D1635" s="11" t="s">
        <v>128</v>
      </c>
      <c r="E1635" s="11" t="s">
        <v>4045</v>
      </c>
      <c r="F1635" s="11" t="s">
        <v>16</v>
      </c>
      <c r="G1635" s="1">
        <v>46258</v>
      </c>
      <c r="H1635" s="1">
        <v>46260</v>
      </c>
      <c r="I1635" s="2"/>
      <c r="J1635" s="2"/>
      <c r="K1635" s="11"/>
      <c r="L1635" s="11" t="s">
        <v>4041</v>
      </c>
      <c r="M1635" s="1"/>
      <c r="N1635" s="11"/>
      <c r="O1635" s="11" t="s">
        <v>4042</v>
      </c>
      <c r="P1635" s="1"/>
      <c r="Q1635" s="1"/>
      <c r="R1635" s="11"/>
      <c r="S1635" s="2">
        <f>CONSOLIDADO_2026[[#This Row],[Hora final]]-CONSOLIDADO_2026[[#This Row],[Hora inic]]</f>
        <v>0</v>
      </c>
    </row>
    <row r="1636" spans="1:19" x14ac:dyDescent="0.25">
      <c r="A1636" t="s">
        <v>4301</v>
      </c>
      <c r="B1636">
        <v>1007959114</v>
      </c>
      <c r="C1636" t="s">
        <v>4154</v>
      </c>
      <c r="D1636" s="11" t="s">
        <v>39</v>
      </c>
      <c r="E1636" s="11" t="s">
        <v>4046</v>
      </c>
      <c r="F1636" s="11" t="s">
        <v>16</v>
      </c>
      <c r="G1636" s="1">
        <v>46258</v>
      </c>
      <c r="H1636" s="1">
        <v>46260</v>
      </c>
      <c r="I1636" s="2"/>
      <c r="J1636" s="2"/>
      <c r="K1636" s="11"/>
      <c r="L1636" s="11" t="s">
        <v>4041</v>
      </c>
      <c r="M1636" s="1"/>
      <c r="N1636" s="11"/>
      <c r="O1636" s="11" t="s">
        <v>4042</v>
      </c>
      <c r="P1636" s="1"/>
      <c r="Q1636" s="1"/>
      <c r="R1636" s="11"/>
      <c r="S1636" s="2">
        <f>CONSOLIDADO_2026[[#This Row],[Hora final]]-CONSOLIDADO_2026[[#This Row],[Hora inic]]</f>
        <v>0</v>
      </c>
    </row>
    <row r="1637" spans="1:19" x14ac:dyDescent="0.25">
      <c r="A1637" t="s">
        <v>4301</v>
      </c>
      <c r="B1637">
        <v>1000098388</v>
      </c>
      <c r="C1637" t="s">
        <v>4231</v>
      </c>
      <c r="D1637" s="11" t="s">
        <v>28</v>
      </c>
      <c r="E1637" s="11" t="s">
        <v>4046</v>
      </c>
      <c r="F1637" s="11" t="s">
        <v>4050</v>
      </c>
      <c r="G1637" s="1">
        <v>46258</v>
      </c>
      <c r="H1637" s="1">
        <v>46260</v>
      </c>
      <c r="I1637" s="2"/>
      <c r="J1637" s="2"/>
      <c r="K1637" s="11"/>
      <c r="L1637" s="11" t="s">
        <v>4041</v>
      </c>
      <c r="M1637" s="1"/>
      <c r="N1637" s="11"/>
      <c r="O1637" s="11" t="s">
        <v>4042</v>
      </c>
      <c r="P1637" s="1"/>
      <c r="Q1637" s="1"/>
      <c r="R1637" s="11"/>
      <c r="S1637" s="2">
        <f>CONSOLIDADO_2026[[#This Row],[Hora final]]-CONSOLIDADO_2026[[#This Row],[Hora inic]]</f>
        <v>0</v>
      </c>
    </row>
    <row r="1638" spans="1:19" x14ac:dyDescent="0.25">
      <c r="A1638" t="s">
        <v>4301</v>
      </c>
      <c r="B1638">
        <v>1037644923</v>
      </c>
      <c r="C1638" t="s">
        <v>4218</v>
      </c>
      <c r="D1638" s="11" t="s">
        <v>492</v>
      </c>
      <c r="E1638" s="11" t="s">
        <v>4045</v>
      </c>
      <c r="F1638" s="11" t="s">
        <v>16</v>
      </c>
      <c r="G1638" s="1">
        <v>46258</v>
      </c>
      <c r="H1638" s="1">
        <v>46260</v>
      </c>
      <c r="I1638" s="2"/>
      <c r="J1638" s="2"/>
      <c r="K1638" s="11"/>
      <c r="L1638" s="11" t="s">
        <v>4041</v>
      </c>
      <c r="M1638" s="1"/>
      <c r="N1638" s="11"/>
      <c r="O1638" s="11" t="s">
        <v>4042</v>
      </c>
      <c r="P1638" s="1"/>
      <c r="Q1638" s="1"/>
      <c r="R1638" s="11"/>
      <c r="S1638" s="2">
        <f>CONSOLIDADO_2026[[#This Row],[Hora final]]-CONSOLIDADO_2026[[#This Row],[Hora inic]]</f>
        <v>0</v>
      </c>
    </row>
    <row r="1639" spans="1:19" x14ac:dyDescent="0.25">
      <c r="A1639" t="s">
        <v>4301</v>
      </c>
      <c r="B1639">
        <v>71317684</v>
      </c>
      <c r="C1639" t="s">
        <v>4304</v>
      </c>
      <c r="D1639" s="11" t="s">
        <v>44</v>
      </c>
      <c r="E1639" s="11" t="s">
        <v>4045</v>
      </c>
      <c r="F1639" s="11" t="s">
        <v>24</v>
      </c>
      <c r="G1639" s="1">
        <v>46261</v>
      </c>
      <c r="H1639" s="1">
        <v>46261</v>
      </c>
      <c r="I1639" s="2">
        <v>0.25</v>
      </c>
      <c r="J1639" s="2">
        <v>0.54166666666666663</v>
      </c>
      <c r="K1639" s="11"/>
      <c r="L1639" s="11" t="s">
        <v>327</v>
      </c>
      <c r="M1639" s="1"/>
      <c r="N1639" s="11"/>
      <c r="O1639" s="11" t="s">
        <v>4042</v>
      </c>
      <c r="P1639" s="1"/>
      <c r="Q1639" s="1"/>
      <c r="R1639" s="11"/>
      <c r="S1639" s="2">
        <f>CONSOLIDADO_2026[[#This Row],[Hora final]]-CONSOLIDADO_2026[[#This Row],[Hora inic]]</f>
        <v>0.29166666666666663</v>
      </c>
    </row>
    <row r="1640" spans="1:19" x14ac:dyDescent="0.25">
      <c r="A1640" t="s">
        <v>4301</v>
      </c>
      <c r="B1640">
        <v>1096223065</v>
      </c>
      <c r="C1640" t="s">
        <v>3428</v>
      </c>
      <c r="D1640" s="11" t="s">
        <v>59</v>
      </c>
      <c r="E1640" s="11" t="s">
        <v>4047</v>
      </c>
      <c r="F1640" s="11" t="s">
        <v>24</v>
      </c>
      <c r="G1640" s="1">
        <v>46253</v>
      </c>
      <c r="H1640" s="1">
        <v>46265</v>
      </c>
      <c r="I1640" s="2">
        <v>0.54166666666666663</v>
      </c>
      <c r="J1640" s="2">
        <v>0.83333333333333337</v>
      </c>
      <c r="K1640" s="11" t="s">
        <v>196</v>
      </c>
      <c r="L1640" s="11" t="s">
        <v>197</v>
      </c>
      <c r="M1640" s="1"/>
      <c r="N1640" s="11"/>
      <c r="O1640" s="11" t="s">
        <v>21</v>
      </c>
      <c r="P1640" s="1"/>
      <c r="Q1640" s="1"/>
      <c r="R1640" s="11"/>
      <c r="S1640" s="2">
        <f>CONSOLIDADO_2026[[#This Row],[Hora final]]-CONSOLIDADO_2026[[#This Row],[Hora inic]]</f>
        <v>0.29166666666666674</v>
      </c>
    </row>
    <row r="1641" spans="1:19" x14ac:dyDescent="0.25">
      <c r="A1641" t="s">
        <v>4301</v>
      </c>
      <c r="B1641">
        <v>1102878409</v>
      </c>
      <c r="C1641" t="s">
        <v>479</v>
      </c>
      <c r="D1641" s="11" t="s">
        <v>51</v>
      </c>
      <c r="E1641" s="11" t="s">
        <v>4047</v>
      </c>
      <c r="F1641" s="11" t="s">
        <v>4147</v>
      </c>
      <c r="G1641" s="1">
        <v>46261</v>
      </c>
      <c r="H1641" s="1">
        <v>46261</v>
      </c>
      <c r="I1641" s="2">
        <v>0.29166666666666669</v>
      </c>
      <c r="J1641" s="2">
        <v>0.58333333333333337</v>
      </c>
      <c r="K1641" s="11" t="s">
        <v>85</v>
      </c>
      <c r="L1641" s="11" t="s">
        <v>86</v>
      </c>
      <c r="M1641" s="1"/>
      <c r="N1641" s="11"/>
      <c r="O1641" s="11" t="s">
        <v>4042</v>
      </c>
      <c r="P1641" s="1"/>
      <c r="Q1641" s="1"/>
      <c r="R1641" s="11"/>
      <c r="S1641" s="2">
        <f>CONSOLIDADO_2026[[#This Row],[Hora final]]-CONSOLIDADO_2026[[#This Row],[Hora inic]]</f>
        <v>0.29166666666666669</v>
      </c>
    </row>
    <row r="1642" spans="1:19" x14ac:dyDescent="0.25">
      <c r="A1642" t="s">
        <v>4301</v>
      </c>
      <c r="B1642">
        <v>1043006106</v>
      </c>
      <c r="C1642" t="s">
        <v>63</v>
      </c>
      <c r="D1642" s="11" t="s">
        <v>64</v>
      </c>
      <c r="E1642" s="11" t="s">
        <v>4046</v>
      </c>
      <c r="F1642" s="11" t="s">
        <v>16</v>
      </c>
      <c r="G1642" s="1">
        <v>46249</v>
      </c>
      <c r="H1642" s="1">
        <v>46278</v>
      </c>
      <c r="I1642" s="2">
        <v>0.58333333333333337</v>
      </c>
      <c r="J1642" s="2">
        <v>0.875</v>
      </c>
      <c r="K1642" s="11" t="s">
        <v>282</v>
      </c>
      <c r="L1642" s="11" t="s">
        <v>283</v>
      </c>
      <c r="M1642" s="1"/>
      <c r="N1642" s="11"/>
      <c r="O1642" s="11" t="s">
        <v>21</v>
      </c>
      <c r="P1642" s="1"/>
      <c r="Q1642" s="1"/>
      <c r="R1642" s="11"/>
      <c r="S1642" s="2">
        <f>CONSOLIDADO_2026[[#This Row],[Hora final]]-CONSOLIDADO_2026[[#This Row],[Hora inic]]</f>
        <v>0.29166666666666663</v>
      </c>
    </row>
    <row r="1643" spans="1:19" x14ac:dyDescent="0.25">
      <c r="A1643" t="s">
        <v>4301</v>
      </c>
      <c r="B1643">
        <v>1040755197</v>
      </c>
      <c r="C1643" t="s">
        <v>171</v>
      </c>
      <c r="D1643" s="11" t="s">
        <v>172</v>
      </c>
      <c r="E1643" s="11" t="s">
        <v>4046</v>
      </c>
      <c r="F1643" s="11" t="s">
        <v>16</v>
      </c>
      <c r="G1643" s="1">
        <v>46252</v>
      </c>
      <c r="H1643" s="1">
        <v>46262</v>
      </c>
      <c r="I1643" s="2">
        <v>0.25</v>
      </c>
      <c r="J1643" s="2">
        <v>0.5</v>
      </c>
      <c r="K1643" s="11" t="s">
        <v>236</v>
      </c>
      <c r="L1643" s="11" t="s">
        <v>237</v>
      </c>
      <c r="M1643" s="1"/>
      <c r="N1643" s="11"/>
      <c r="O1643" s="11" t="s">
        <v>21</v>
      </c>
      <c r="P1643" s="1"/>
      <c r="Q1643" s="1"/>
      <c r="R1643" s="11"/>
      <c r="S1643" s="2">
        <f>CONSOLIDADO_2026[[#This Row],[Hora final]]-CONSOLIDADO_2026[[#This Row],[Hora inic]]</f>
        <v>0.25</v>
      </c>
    </row>
    <row r="1644" spans="1:19" x14ac:dyDescent="0.25">
      <c r="A1644" t="s">
        <v>4301</v>
      </c>
      <c r="B1644">
        <v>1102808787</v>
      </c>
      <c r="C1644" t="s">
        <v>135</v>
      </c>
      <c r="D1644" s="11" t="s">
        <v>39</v>
      </c>
      <c r="E1644" s="11" t="s">
        <v>4046</v>
      </c>
      <c r="F1644" s="11" t="s">
        <v>16</v>
      </c>
      <c r="G1644" s="1">
        <v>46245</v>
      </c>
      <c r="H1644" s="1">
        <v>46276</v>
      </c>
      <c r="I1644" s="2">
        <v>0.25</v>
      </c>
      <c r="J1644" s="2">
        <v>0.54166666666666663</v>
      </c>
      <c r="K1644" s="11"/>
      <c r="L1644" s="11" t="s">
        <v>327</v>
      </c>
      <c r="M1644" s="1"/>
      <c r="N1644" s="11"/>
      <c r="O1644" s="11" t="s">
        <v>4042</v>
      </c>
      <c r="P1644" s="1"/>
      <c r="Q1644" s="1"/>
      <c r="R1644" s="11"/>
      <c r="S1644" s="2">
        <f>CONSOLIDADO_2026[[#This Row],[Hora final]]-CONSOLIDADO_2026[[#This Row],[Hora inic]]</f>
        <v>0.29166666666666663</v>
      </c>
    </row>
    <row r="1645" spans="1:19" x14ac:dyDescent="0.25">
      <c r="A1645" t="s">
        <v>4301</v>
      </c>
      <c r="B1645">
        <v>1082896324</v>
      </c>
      <c r="C1645" t="s">
        <v>127</v>
      </c>
      <c r="D1645" s="11" t="s">
        <v>128</v>
      </c>
      <c r="E1645" s="11" t="s">
        <v>4045</v>
      </c>
      <c r="F1645" s="11" t="s">
        <v>16</v>
      </c>
      <c r="G1645" s="1">
        <v>46242</v>
      </c>
      <c r="H1645" s="1">
        <v>46272</v>
      </c>
      <c r="I1645" s="2">
        <v>0.58333333333333337</v>
      </c>
      <c r="J1645" s="2">
        <v>0.875</v>
      </c>
      <c r="K1645" s="11"/>
      <c r="L1645" s="11" t="s">
        <v>327</v>
      </c>
      <c r="M1645" s="1"/>
      <c r="N1645" s="11"/>
      <c r="O1645" s="11" t="s">
        <v>4042</v>
      </c>
      <c r="P1645" s="1"/>
      <c r="Q1645" s="1"/>
      <c r="R1645" s="11"/>
      <c r="S1645" s="2">
        <f>CONSOLIDADO_2026[[#This Row],[Hora final]]-CONSOLIDADO_2026[[#This Row],[Hora inic]]</f>
        <v>0.29166666666666663</v>
      </c>
    </row>
    <row r="1646" spans="1:19" x14ac:dyDescent="0.25">
      <c r="A1646" t="s">
        <v>4301</v>
      </c>
      <c r="B1646">
        <v>1152446353</v>
      </c>
      <c r="C1646" t="s">
        <v>205</v>
      </c>
      <c r="D1646" s="11" t="s">
        <v>51</v>
      </c>
      <c r="E1646" s="11" t="s">
        <v>4047</v>
      </c>
      <c r="F1646" s="11" t="s">
        <v>92</v>
      </c>
      <c r="G1646" s="1">
        <v>46236</v>
      </c>
      <c r="H1646" s="1">
        <v>46262</v>
      </c>
      <c r="I1646" s="2">
        <v>0.54166666666666663</v>
      </c>
      <c r="J1646" s="2">
        <v>0.875</v>
      </c>
      <c r="K1646" s="11" t="s">
        <v>261</v>
      </c>
      <c r="L1646" s="11" t="s">
        <v>262</v>
      </c>
      <c r="M1646" s="1"/>
      <c r="N1646" s="11"/>
      <c r="O1646" s="11" t="s">
        <v>21</v>
      </c>
      <c r="P1646" s="1"/>
      <c r="Q1646" s="1"/>
      <c r="R1646" s="11"/>
      <c r="S1646" s="2">
        <f>CONSOLIDADO_2026[[#This Row],[Hora final]]-CONSOLIDADO_2026[[#This Row],[Hora inic]]</f>
        <v>0.33333333333333337</v>
      </c>
    </row>
    <row r="1647" spans="1:19" x14ac:dyDescent="0.25">
      <c r="A1647" t="s">
        <v>4301</v>
      </c>
      <c r="B1647">
        <v>1001851670</v>
      </c>
      <c r="C1647" t="s">
        <v>50</v>
      </c>
      <c r="D1647" s="11" t="s">
        <v>51</v>
      </c>
      <c r="E1647" s="11" t="s">
        <v>4047</v>
      </c>
      <c r="F1647" s="11" t="s">
        <v>36</v>
      </c>
      <c r="G1647" s="1">
        <v>46241</v>
      </c>
      <c r="H1647" s="1">
        <v>46366</v>
      </c>
      <c r="I1647" s="2">
        <v>0.54166666666666663</v>
      </c>
      <c r="J1647" s="2">
        <v>0.875</v>
      </c>
      <c r="K1647" s="11"/>
      <c r="L1647" s="11" t="s">
        <v>327</v>
      </c>
      <c r="M1647" s="1"/>
      <c r="N1647" s="11"/>
      <c r="O1647" s="11" t="s">
        <v>4042</v>
      </c>
      <c r="P1647" s="1"/>
      <c r="Q1647" s="1"/>
      <c r="R1647" s="11"/>
      <c r="S1647" s="2">
        <f>CONSOLIDADO_2026[[#This Row],[Hora final]]-CONSOLIDADO_2026[[#This Row],[Hora inic]]</f>
        <v>0.33333333333333337</v>
      </c>
    </row>
    <row r="1648" spans="1:19" x14ac:dyDescent="0.25">
      <c r="A1648" t="s">
        <v>4301</v>
      </c>
      <c r="B1648">
        <v>1000415206</v>
      </c>
      <c r="C1648" t="s">
        <v>325</v>
      </c>
      <c r="D1648" s="11" t="s">
        <v>82</v>
      </c>
      <c r="E1648" s="11" t="s">
        <v>4045</v>
      </c>
      <c r="F1648" s="11" t="s">
        <v>326</v>
      </c>
      <c r="G1648" s="1">
        <v>46258</v>
      </c>
      <c r="H1648" s="1">
        <v>46262</v>
      </c>
      <c r="I1648" s="2">
        <v>0.54166666666666663</v>
      </c>
      <c r="J1648" s="2">
        <v>0.83333333333333337</v>
      </c>
      <c r="K1648" s="11" t="s">
        <v>231</v>
      </c>
      <c r="L1648" s="11" t="s">
        <v>232</v>
      </c>
      <c r="M1648" s="1"/>
      <c r="N1648" s="11"/>
      <c r="O1648" s="11" t="s">
        <v>21</v>
      </c>
      <c r="P1648" s="1"/>
      <c r="Q1648" s="1"/>
      <c r="R1648" s="11"/>
      <c r="S1648" s="2">
        <f>CONSOLIDADO_2026[[#This Row],[Hora final]]-CONSOLIDADO_2026[[#This Row],[Hora inic]]</f>
        <v>0.29166666666666674</v>
      </c>
    </row>
    <row r="1649" spans="1:19" x14ac:dyDescent="0.25">
      <c r="A1649" t="s">
        <v>4301</v>
      </c>
      <c r="B1649">
        <v>42141273</v>
      </c>
      <c r="C1649" t="s">
        <v>271</v>
      </c>
      <c r="D1649" s="11" t="s">
        <v>272</v>
      </c>
      <c r="E1649" s="11" t="s">
        <v>4056</v>
      </c>
      <c r="F1649" s="11" t="s">
        <v>4065</v>
      </c>
      <c r="G1649" s="1">
        <v>46238</v>
      </c>
      <c r="H1649" s="1">
        <v>46295</v>
      </c>
      <c r="I1649" s="2">
        <v>0.25</v>
      </c>
      <c r="J1649" s="2">
        <v>0.5</v>
      </c>
      <c r="K1649" s="11" t="s">
        <v>163</v>
      </c>
      <c r="L1649" s="11" t="s">
        <v>164</v>
      </c>
      <c r="M1649" s="1"/>
      <c r="N1649" s="11"/>
      <c r="O1649" s="11" t="s">
        <v>4042</v>
      </c>
      <c r="P1649" s="1"/>
      <c r="Q1649" s="1"/>
      <c r="R1649" s="11"/>
      <c r="S1649" s="2">
        <f>CONSOLIDADO_2026[[#This Row],[Hora final]]-CONSOLIDADO_2026[[#This Row],[Hora inic]]</f>
        <v>0.25</v>
      </c>
    </row>
    <row r="1650" spans="1:19" x14ac:dyDescent="0.25">
      <c r="A1650" t="s">
        <v>4301</v>
      </c>
      <c r="B1650">
        <v>1005424850</v>
      </c>
      <c r="C1650" t="s">
        <v>95</v>
      </c>
      <c r="D1650" s="11" t="s">
        <v>82</v>
      </c>
      <c r="E1650" s="11" t="s">
        <v>4045</v>
      </c>
      <c r="F1650" s="11" t="s">
        <v>24</v>
      </c>
      <c r="G1650" s="1">
        <v>46261</v>
      </c>
      <c r="H1650" s="1">
        <v>46262</v>
      </c>
      <c r="I1650" s="2">
        <v>0.5</v>
      </c>
      <c r="J1650" s="2">
        <v>0.83333333333333337</v>
      </c>
      <c r="K1650" s="11" t="s">
        <v>303</v>
      </c>
      <c r="L1650" s="11" t="s">
        <v>304</v>
      </c>
      <c r="M1650" s="1"/>
      <c r="N1650" s="11"/>
      <c r="O1650" s="11" t="s">
        <v>4042</v>
      </c>
      <c r="P1650" s="1"/>
      <c r="Q1650" s="1"/>
      <c r="R1650" s="11"/>
      <c r="S1650" s="2">
        <f>CONSOLIDADO_2026[[#This Row],[Hora final]]-CONSOLIDADO_2026[[#This Row],[Hora inic]]</f>
        <v>0.33333333333333337</v>
      </c>
    </row>
    <row r="1651" spans="1:19" x14ac:dyDescent="0.25">
      <c r="A1651" t="s">
        <v>4301</v>
      </c>
      <c r="B1651">
        <v>1152221372</v>
      </c>
      <c r="C1651" t="s">
        <v>4072</v>
      </c>
      <c r="D1651" s="11" t="s">
        <v>139</v>
      </c>
      <c r="E1651" s="11" t="s">
        <v>4040</v>
      </c>
      <c r="F1651" s="11" t="s">
        <v>158</v>
      </c>
      <c r="G1651" s="1">
        <v>46230</v>
      </c>
      <c r="H1651" s="1">
        <v>46230</v>
      </c>
      <c r="I1651" s="2">
        <v>0.54166666666666663</v>
      </c>
      <c r="J1651" s="2">
        <v>0.875</v>
      </c>
      <c r="K1651" s="11"/>
      <c r="L1651" s="11" t="s">
        <v>327</v>
      </c>
      <c r="M1651" s="1"/>
      <c r="N1651" s="11"/>
      <c r="O1651" s="11" t="s">
        <v>4042</v>
      </c>
      <c r="P1651" s="1"/>
      <c r="Q1651" s="1"/>
      <c r="R1651" s="11"/>
      <c r="S1651" s="2">
        <f>CONSOLIDADO_2026[[#This Row],[Hora final]]-CONSOLIDADO_2026[[#This Row],[Hora inic]]</f>
        <v>0.33333333333333337</v>
      </c>
    </row>
    <row r="1652" spans="1:19" x14ac:dyDescent="0.25">
      <c r="A1652" t="s">
        <v>4301</v>
      </c>
      <c r="B1652">
        <v>1037630071</v>
      </c>
      <c r="C1652" t="s">
        <v>4196</v>
      </c>
      <c r="D1652" s="11" t="s">
        <v>176</v>
      </c>
      <c r="E1652" s="11" t="s">
        <v>4040</v>
      </c>
      <c r="F1652" s="11" t="s">
        <v>4062</v>
      </c>
      <c r="G1652" s="1">
        <v>46247</v>
      </c>
      <c r="H1652" s="1">
        <v>46265</v>
      </c>
      <c r="I1652" s="2">
        <v>0.25</v>
      </c>
      <c r="J1652" s="2">
        <v>0.58333333333333337</v>
      </c>
      <c r="K1652" s="11" t="s">
        <v>251</v>
      </c>
      <c r="L1652" s="11" t="s">
        <v>252</v>
      </c>
      <c r="M1652" s="1"/>
      <c r="N1652" s="11"/>
      <c r="O1652" s="11" t="s">
        <v>21</v>
      </c>
      <c r="P1652" s="1"/>
      <c r="Q1652" s="1"/>
      <c r="R1652" s="11"/>
      <c r="S1652" s="2">
        <f>CONSOLIDADO_2026[[#This Row],[Hora final]]-CONSOLIDADO_2026[[#This Row],[Hora inic]]</f>
        <v>0.33333333333333337</v>
      </c>
    </row>
    <row r="1653" spans="1:19" x14ac:dyDescent="0.25">
      <c r="A1653" t="s">
        <v>4301</v>
      </c>
      <c r="B1653">
        <v>1143460426</v>
      </c>
      <c r="C1653" t="s">
        <v>4069</v>
      </c>
      <c r="D1653" s="11" t="s">
        <v>64</v>
      </c>
      <c r="E1653" s="11" t="s">
        <v>4046</v>
      </c>
      <c r="F1653" s="11" t="s">
        <v>4050</v>
      </c>
      <c r="G1653" s="1">
        <v>46195</v>
      </c>
      <c r="H1653" s="1">
        <v>46198</v>
      </c>
      <c r="I1653" s="2">
        <v>0.58333333333333337</v>
      </c>
      <c r="J1653" s="2">
        <v>0.875</v>
      </c>
      <c r="K1653" s="11"/>
      <c r="L1653" s="11" t="s">
        <v>327</v>
      </c>
      <c r="M1653" s="1"/>
      <c r="N1653" s="11"/>
      <c r="O1653" s="11" t="s">
        <v>4042</v>
      </c>
      <c r="P1653" s="1"/>
      <c r="Q1653" s="1"/>
      <c r="R1653" s="11"/>
      <c r="S1653" s="2">
        <f>CONSOLIDADO_2026[[#This Row],[Hora final]]-CONSOLIDADO_2026[[#This Row],[Hora inic]]</f>
        <v>0.29166666666666663</v>
      </c>
    </row>
    <row r="1654" spans="1:19" x14ac:dyDescent="0.25">
      <c r="A1654" t="s">
        <v>4301</v>
      </c>
      <c r="B1654">
        <v>1017236556</v>
      </c>
      <c r="C1654" t="s">
        <v>4245</v>
      </c>
      <c r="D1654" s="11" t="s">
        <v>51</v>
      </c>
      <c r="E1654" s="11" t="s">
        <v>4047</v>
      </c>
      <c r="F1654" s="11" t="s">
        <v>4147</v>
      </c>
      <c r="G1654" s="1">
        <v>46260</v>
      </c>
      <c r="H1654" s="1">
        <v>46260</v>
      </c>
      <c r="I1654" s="2"/>
      <c r="J1654" s="2"/>
      <c r="K1654" s="11"/>
      <c r="L1654" s="11" t="s">
        <v>4041</v>
      </c>
      <c r="M1654" s="1"/>
      <c r="N1654" s="11"/>
      <c r="O1654" s="11" t="s">
        <v>4042</v>
      </c>
      <c r="P1654" s="1"/>
      <c r="Q1654" s="1"/>
      <c r="R1654" s="11"/>
      <c r="S1654" s="2">
        <f>CONSOLIDADO_2026[[#This Row],[Hora final]]-CONSOLIDADO_2026[[#This Row],[Hora inic]]</f>
        <v>0</v>
      </c>
    </row>
    <row r="1655" spans="1:19" x14ac:dyDescent="0.25">
      <c r="A1655" t="s">
        <v>4301</v>
      </c>
      <c r="B1655">
        <v>1015483595</v>
      </c>
      <c r="C1655" t="s">
        <v>23</v>
      </c>
      <c r="D1655" s="11" t="s">
        <v>421</v>
      </c>
      <c r="E1655" s="11" t="s">
        <v>4047</v>
      </c>
      <c r="F1655" s="11" t="s">
        <v>4087</v>
      </c>
      <c r="G1655" s="1">
        <v>46260</v>
      </c>
      <c r="H1655" s="1">
        <v>46260</v>
      </c>
      <c r="I1655" s="2"/>
      <c r="J1655" s="2"/>
      <c r="K1655" s="11"/>
      <c r="L1655" s="11" t="s">
        <v>4041</v>
      </c>
      <c r="M1655" s="1"/>
      <c r="N1655" s="11"/>
      <c r="O1655" s="11" t="s">
        <v>4042</v>
      </c>
      <c r="P1655" s="1"/>
      <c r="Q1655" s="1"/>
      <c r="R1655" s="11"/>
      <c r="S1655" s="2">
        <f>CONSOLIDADO_2026[[#This Row],[Hora final]]-CONSOLIDADO_2026[[#This Row],[Hora inic]]</f>
        <v>0</v>
      </c>
    </row>
    <row r="1656" spans="1:19" x14ac:dyDescent="0.25">
      <c r="A1656" t="s">
        <v>4301</v>
      </c>
      <c r="B1656">
        <v>1096223065</v>
      </c>
      <c r="C1656" t="s">
        <v>3428</v>
      </c>
      <c r="D1656" s="11" t="s">
        <v>55</v>
      </c>
      <c r="E1656" s="11" t="s">
        <v>4047</v>
      </c>
      <c r="F1656" s="11" t="s">
        <v>16</v>
      </c>
      <c r="G1656" s="1">
        <v>46256</v>
      </c>
      <c r="H1656" s="1">
        <v>46263</v>
      </c>
      <c r="I1656" s="2">
        <v>0.58333333333333337</v>
      </c>
      <c r="J1656" s="2">
        <v>0.875</v>
      </c>
      <c r="K1656" s="11"/>
      <c r="L1656" s="11" t="s">
        <v>327</v>
      </c>
      <c r="M1656" s="1"/>
      <c r="N1656" s="11"/>
      <c r="O1656" s="11" t="s">
        <v>4042</v>
      </c>
      <c r="P1656" s="1"/>
      <c r="Q1656" s="1"/>
      <c r="R1656" s="11"/>
      <c r="S1656" s="2">
        <f>CONSOLIDADO_2026[[#This Row],[Hora final]]-CONSOLIDADO_2026[[#This Row],[Hora inic]]</f>
        <v>0.29166666666666663</v>
      </c>
    </row>
    <row r="1657" spans="1:19" x14ac:dyDescent="0.25">
      <c r="A1657" t="s">
        <v>4301</v>
      </c>
      <c r="B1657">
        <v>1116283658</v>
      </c>
      <c r="C1657" t="s">
        <v>283</v>
      </c>
      <c r="D1657" s="11" t="s">
        <v>256</v>
      </c>
      <c r="E1657" s="11" t="s">
        <v>4040</v>
      </c>
      <c r="F1657" s="11" t="s">
        <v>24</v>
      </c>
      <c r="G1657" s="1">
        <v>46258</v>
      </c>
      <c r="H1657" s="1">
        <v>46265</v>
      </c>
      <c r="I1657" s="2">
        <v>0.58333333333333337</v>
      </c>
      <c r="J1657" s="2">
        <v>0.875</v>
      </c>
      <c r="K1657" s="11" t="s">
        <v>294</v>
      </c>
      <c r="L1657" s="11" t="s">
        <v>295</v>
      </c>
      <c r="M1657" s="1"/>
      <c r="N1657" s="11"/>
      <c r="O1657" s="11" t="s">
        <v>21</v>
      </c>
      <c r="P1657" s="1"/>
      <c r="Q1657" s="1"/>
      <c r="R1657" s="11"/>
      <c r="S1657" s="2">
        <f>CONSOLIDADO_2026[[#This Row],[Hora final]]-CONSOLIDADO_2026[[#This Row],[Hora inic]]</f>
        <v>0.29166666666666663</v>
      </c>
    </row>
    <row r="1658" spans="1:19" x14ac:dyDescent="0.25">
      <c r="A1658" t="s">
        <v>4301</v>
      </c>
      <c r="B1658">
        <v>1020476544</v>
      </c>
      <c r="C1658" t="s">
        <v>473</v>
      </c>
      <c r="D1658" s="11" t="s">
        <v>256</v>
      </c>
      <c r="E1658" s="11" t="s">
        <v>4040</v>
      </c>
      <c r="F1658" s="11" t="s">
        <v>16</v>
      </c>
      <c r="G1658" s="1">
        <v>46259</v>
      </c>
      <c r="H1658" s="1">
        <v>46259</v>
      </c>
      <c r="I1658" s="2"/>
      <c r="J1658" s="2"/>
      <c r="K1658" s="11"/>
      <c r="L1658" s="11" t="s">
        <v>4041</v>
      </c>
      <c r="M1658" s="1"/>
      <c r="N1658" s="11"/>
      <c r="O1658" s="11" t="s">
        <v>4042</v>
      </c>
      <c r="P1658" s="1"/>
      <c r="Q1658" s="1"/>
      <c r="R1658" s="11"/>
      <c r="S1658" s="2">
        <f>CONSOLIDADO_2026[[#This Row],[Hora final]]-CONSOLIDADO_2026[[#This Row],[Hora inic]]</f>
        <v>0</v>
      </c>
    </row>
    <row r="1659" spans="1:19" x14ac:dyDescent="0.25">
      <c r="A1659" t="s">
        <v>4301</v>
      </c>
      <c r="B1659">
        <v>1017254059</v>
      </c>
      <c r="C1659" t="s">
        <v>2878</v>
      </c>
      <c r="D1659" s="11" t="s">
        <v>132</v>
      </c>
      <c r="E1659" s="11" t="s">
        <v>4040</v>
      </c>
      <c r="F1659" s="11" t="s">
        <v>16</v>
      </c>
      <c r="G1659" s="1">
        <v>46259</v>
      </c>
      <c r="H1659" s="1">
        <v>46260</v>
      </c>
      <c r="I1659" s="2"/>
      <c r="J1659" s="2"/>
      <c r="K1659" s="11"/>
      <c r="L1659" s="11" t="s">
        <v>4041</v>
      </c>
      <c r="M1659" s="1"/>
      <c r="N1659" s="11"/>
      <c r="O1659" s="11" t="s">
        <v>4042</v>
      </c>
      <c r="P1659" s="1"/>
      <c r="Q1659" s="1"/>
      <c r="R1659" s="11"/>
      <c r="S1659" s="2">
        <f>CONSOLIDADO_2026[[#This Row],[Hora final]]-CONSOLIDADO_2026[[#This Row],[Hora inic]]</f>
        <v>0</v>
      </c>
    </row>
    <row r="1660" spans="1:19" x14ac:dyDescent="0.25">
      <c r="A1660" t="s">
        <v>4301</v>
      </c>
      <c r="B1660">
        <v>1038408808</v>
      </c>
      <c r="C1660" t="s">
        <v>483</v>
      </c>
      <c r="D1660" s="11" t="s">
        <v>482</v>
      </c>
      <c r="E1660" s="11" t="s">
        <v>4040</v>
      </c>
      <c r="F1660" s="11" t="s">
        <v>16</v>
      </c>
      <c r="G1660" s="1">
        <v>46259</v>
      </c>
      <c r="H1660" s="1">
        <v>46262</v>
      </c>
      <c r="I1660" s="2">
        <v>0.58333333333333337</v>
      </c>
      <c r="J1660" s="2">
        <v>0.83333333333333337</v>
      </c>
      <c r="K1660" s="11"/>
      <c r="L1660" s="11" t="s">
        <v>327</v>
      </c>
      <c r="M1660" s="1"/>
      <c r="N1660" s="11"/>
      <c r="O1660" s="11" t="s">
        <v>4042</v>
      </c>
      <c r="P1660" s="1"/>
      <c r="Q1660" s="1"/>
      <c r="R1660" s="11"/>
      <c r="S1660" s="2">
        <f>CONSOLIDADO_2026[[#This Row],[Hora final]]-CONSOLIDADO_2026[[#This Row],[Hora inic]]</f>
        <v>0.25</v>
      </c>
    </row>
    <row r="1661" spans="1:19" x14ac:dyDescent="0.25">
      <c r="A1661" t="s">
        <v>4301</v>
      </c>
      <c r="B1661">
        <v>1037662189</v>
      </c>
      <c r="C1661" t="s">
        <v>3657</v>
      </c>
      <c r="D1661" s="11" t="s">
        <v>68</v>
      </c>
      <c r="E1661" s="11" t="s">
        <v>4040</v>
      </c>
      <c r="F1661" s="11" t="s">
        <v>4091</v>
      </c>
      <c r="G1661" s="1">
        <v>46260</v>
      </c>
      <c r="H1661" s="1">
        <v>46260</v>
      </c>
      <c r="I1661" s="2">
        <v>0.58333333333333337</v>
      </c>
      <c r="J1661" s="2">
        <v>0.875</v>
      </c>
      <c r="K1661" s="11" t="s">
        <v>181</v>
      </c>
      <c r="L1661" s="11" t="s">
        <v>182</v>
      </c>
      <c r="M1661" s="1"/>
      <c r="N1661" s="11"/>
      <c r="O1661" s="11" t="s">
        <v>21</v>
      </c>
      <c r="P1661" s="1"/>
      <c r="Q1661" s="1"/>
      <c r="R1661" s="11"/>
      <c r="S1661" s="2">
        <f>CONSOLIDADO_2026[[#This Row],[Hora final]]-CONSOLIDADO_2026[[#This Row],[Hora inic]]</f>
        <v>0.29166666666666663</v>
      </c>
    </row>
    <row r="1662" spans="1:19" x14ac:dyDescent="0.25">
      <c r="A1662" t="s">
        <v>4301</v>
      </c>
      <c r="B1662">
        <v>43453341</v>
      </c>
      <c r="C1662" t="s">
        <v>146</v>
      </c>
      <c r="D1662" s="11" t="s">
        <v>124</v>
      </c>
      <c r="E1662" s="11" t="s">
        <v>4045</v>
      </c>
      <c r="F1662" s="11" t="s">
        <v>16</v>
      </c>
      <c r="G1662" s="1">
        <v>46254</v>
      </c>
      <c r="H1662" s="1">
        <v>46268</v>
      </c>
      <c r="I1662" s="2">
        <v>0.54166666666666663</v>
      </c>
      <c r="J1662" s="2">
        <v>0.875</v>
      </c>
      <c r="K1662" s="11" t="s">
        <v>150</v>
      </c>
      <c r="L1662" s="11" t="s">
        <v>151</v>
      </c>
      <c r="M1662" s="1"/>
      <c r="N1662" s="11"/>
      <c r="O1662" s="11" t="s">
        <v>21</v>
      </c>
      <c r="P1662" s="1"/>
      <c r="Q1662" s="1"/>
      <c r="R1662" s="11"/>
      <c r="S1662" s="2">
        <f>CONSOLIDADO_2026[[#This Row],[Hora final]]-CONSOLIDADO_2026[[#This Row],[Hora inic]]</f>
        <v>0.33333333333333337</v>
      </c>
    </row>
    <row r="1663" spans="1:19" x14ac:dyDescent="0.25">
      <c r="A1663" t="s">
        <v>4301</v>
      </c>
      <c r="B1663">
        <v>1035876080</v>
      </c>
      <c r="C1663" t="s">
        <v>123</v>
      </c>
      <c r="D1663" s="11" t="s">
        <v>124</v>
      </c>
      <c r="E1663" s="11" t="s">
        <v>4045</v>
      </c>
      <c r="F1663" s="11" t="s">
        <v>158</v>
      </c>
      <c r="G1663" s="1">
        <v>46254</v>
      </c>
      <c r="H1663" s="1"/>
      <c r="I1663" s="2">
        <v>0.25</v>
      </c>
      <c r="J1663" s="2">
        <v>0.58333333333333337</v>
      </c>
      <c r="K1663" s="11" t="s">
        <v>73</v>
      </c>
      <c r="L1663" s="11" t="s">
        <v>74</v>
      </c>
      <c r="M1663" s="1"/>
      <c r="N1663" s="11"/>
      <c r="O1663" s="11" t="s">
        <v>21</v>
      </c>
      <c r="P1663" s="1"/>
      <c r="Q1663" s="1"/>
      <c r="R1663" s="11"/>
      <c r="S1663" s="2">
        <f>CONSOLIDADO_2026[[#This Row],[Hora final]]-CONSOLIDADO_2026[[#This Row],[Hora inic]]</f>
        <v>0.33333333333333337</v>
      </c>
    </row>
    <row r="1664" spans="1:19" x14ac:dyDescent="0.25">
      <c r="A1664" t="s">
        <v>4301</v>
      </c>
      <c r="B1664">
        <v>1001999023</v>
      </c>
      <c r="C1664" t="s">
        <v>149</v>
      </c>
      <c r="D1664" s="11" t="s">
        <v>492</v>
      </c>
      <c r="E1664" s="11" t="s">
        <v>4045</v>
      </c>
      <c r="F1664" s="11" t="s">
        <v>4050</v>
      </c>
      <c r="G1664" s="1">
        <v>46260</v>
      </c>
      <c r="H1664" s="1">
        <v>46262</v>
      </c>
      <c r="I1664" s="2"/>
      <c r="J1664" s="2"/>
      <c r="K1664" s="11"/>
      <c r="L1664" s="11" t="s">
        <v>4041</v>
      </c>
      <c r="M1664" s="1"/>
      <c r="N1664" s="11"/>
      <c r="O1664" s="11" t="s">
        <v>4042</v>
      </c>
      <c r="P1664" s="1"/>
      <c r="Q1664" s="1"/>
      <c r="R1664" s="11"/>
      <c r="S1664" s="2">
        <f>CONSOLIDADO_2026[[#This Row],[Hora final]]-CONSOLIDADO_2026[[#This Row],[Hora inic]]</f>
        <v>0</v>
      </c>
    </row>
    <row r="1665" spans="1:19" x14ac:dyDescent="0.25">
      <c r="A1665" t="s">
        <v>4301</v>
      </c>
      <c r="B1665">
        <v>1143373273</v>
      </c>
      <c r="C1665" t="s">
        <v>2037</v>
      </c>
      <c r="D1665" s="11" t="s">
        <v>272</v>
      </c>
      <c r="E1665" s="11" t="s">
        <v>4056</v>
      </c>
      <c r="F1665" s="11" t="s">
        <v>16</v>
      </c>
      <c r="G1665" s="1">
        <v>46259</v>
      </c>
      <c r="H1665" s="1">
        <v>46266</v>
      </c>
      <c r="I1665" s="2">
        <v>0.25</v>
      </c>
      <c r="J1665" s="2">
        <v>0.58333333333333337</v>
      </c>
      <c r="K1665" s="11" t="s">
        <v>3662</v>
      </c>
      <c r="L1665" s="11" t="s">
        <v>3663</v>
      </c>
      <c r="M1665" s="1"/>
      <c r="N1665" s="11"/>
      <c r="O1665" s="11" t="s">
        <v>21</v>
      </c>
      <c r="P1665" s="1"/>
      <c r="Q1665" s="1"/>
      <c r="R1665" s="11"/>
      <c r="S1665" s="2">
        <f>CONSOLIDADO_2026[[#This Row],[Hora final]]-CONSOLIDADO_2026[[#This Row],[Hora inic]]</f>
        <v>0.33333333333333337</v>
      </c>
    </row>
    <row r="1666" spans="1:19" x14ac:dyDescent="0.25">
      <c r="A1666" t="s">
        <v>4301</v>
      </c>
      <c r="B1666">
        <v>1045718883</v>
      </c>
      <c r="C1666" t="s">
        <v>34</v>
      </c>
      <c r="D1666" s="11" t="s">
        <v>15</v>
      </c>
      <c r="E1666" s="11" t="s">
        <v>4046</v>
      </c>
      <c r="F1666" s="11" t="s">
        <v>36</v>
      </c>
      <c r="G1666" s="1">
        <v>46244</v>
      </c>
      <c r="H1666" s="1">
        <v>46393</v>
      </c>
      <c r="I1666" s="2">
        <v>0.25</v>
      </c>
      <c r="J1666" s="2">
        <v>0.54166666666666663</v>
      </c>
      <c r="K1666" s="11"/>
      <c r="L1666" s="11" t="s">
        <v>327</v>
      </c>
      <c r="M1666" s="1"/>
      <c r="N1666" s="11"/>
      <c r="O1666" s="11" t="s">
        <v>4042</v>
      </c>
      <c r="P1666" s="1"/>
      <c r="Q1666" s="1"/>
      <c r="R1666" s="11"/>
      <c r="S1666" s="2">
        <f>CONSOLIDADO_2026[[#This Row],[Hora final]]-CONSOLIDADO_2026[[#This Row],[Hora inic]]</f>
        <v>0.29166666666666663</v>
      </c>
    </row>
    <row r="1667" spans="1:19" x14ac:dyDescent="0.25">
      <c r="A1667" t="s">
        <v>4301</v>
      </c>
      <c r="B1667">
        <v>1000944725</v>
      </c>
      <c r="C1667" t="s">
        <v>3007</v>
      </c>
      <c r="D1667" s="11" t="s">
        <v>78</v>
      </c>
      <c r="E1667" s="11" t="s">
        <v>4046</v>
      </c>
      <c r="F1667" s="11" t="s">
        <v>16</v>
      </c>
      <c r="G1667" s="1">
        <v>46258</v>
      </c>
      <c r="H1667" s="1">
        <v>46267</v>
      </c>
      <c r="I1667" s="2">
        <v>0.58333333333333337</v>
      </c>
      <c r="J1667" s="2">
        <v>0.875</v>
      </c>
      <c r="K1667" s="11" t="s">
        <v>17</v>
      </c>
      <c r="L1667" s="11" t="s">
        <v>18</v>
      </c>
      <c r="M1667" s="1"/>
      <c r="N1667" s="11"/>
      <c r="O1667" s="11" t="s">
        <v>21</v>
      </c>
      <c r="P1667" s="1"/>
      <c r="Q1667" s="1"/>
      <c r="R1667" s="11"/>
      <c r="S1667" s="2">
        <f>CONSOLIDADO_2026[[#This Row],[Hora final]]-CONSOLIDADO_2026[[#This Row],[Hora inic]]</f>
        <v>0.29166666666666663</v>
      </c>
    </row>
    <row r="1668" spans="1:19" x14ac:dyDescent="0.25">
      <c r="A1668" t="s">
        <v>4301</v>
      </c>
      <c r="B1668">
        <v>1000416383</v>
      </c>
      <c r="C1668" t="s">
        <v>1245</v>
      </c>
      <c r="D1668" s="11" t="s">
        <v>172</v>
      </c>
      <c r="E1668" s="11" t="s">
        <v>4046</v>
      </c>
      <c r="F1668" s="11" t="s">
        <v>24</v>
      </c>
      <c r="G1668" s="1">
        <v>46260</v>
      </c>
      <c r="H1668" s="1">
        <v>46260</v>
      </c>
      <c r="I1668" s="2"/>
      <c r="J1668" s="2"/>
      <c r="K1668" s="11"/>
      <c r="L1668" s="11" t="s">
        <v>4041</v>
      </c>
      <c r="M1668" s="1"/>
      <c r="N1668" s="11"/>
      <c r="O1668" s="11" t="s">
        <v>4042</v>
      </c>
      <c r="P1668" s="1"/>
      <c r="Q1668" s="1"/>
      <c r="R1668" s="11"/>
      <c r="S1668" s="2">
        <f>CONSOLIDADO_2026[[#This Row],[Hora final]]-CONSOLIDADO_2026[[#This Row],[Hora inic]]</f>
        <v>0</v>
      </c>
    </row>
    <row r="1669" spans="1:19" x14ac:dyDescent="0.25">
      <c r="A1669" t="s">
        <v>4301</v>
      </c>
      <c r="B1669">
        <v>1037661959</v>
      </c>
      <c r="C1669" t="s">
        <v>4080</v>
      </c>
      <c r="D1669" s="11" t="s">
        <v>482</v>
      </c>
      <c r="E1669" s="11" t="s">
        <v>4040</v>
      </c>
      <c r="F1669" s="11" t="s">
        <v>4073</v>
      </c>
      <c r="G1669" s="1">
        <v>46259</v>
      </c>
      <c r="H1669" s="1">
        <v>46261</v>
      </c>
      <c r="I1669" s="2">
        <v>0.54166666666666663</v>
      </c>
      <c r="J1669" s="2">
        <v>0.875</v>
      </c>
      <c r="K1669" s="11" t="s">
        <v>1427</v>
      </c>
      <c r="L1669" s="11" t="s">
        <v>1428</v>
      </c>
      <c r="M1669" s="1"/>
      <c r="N1669" s="11"/>
      <c r="O1669" s="11" t="s">
        <v>4042</v>
      </c>
      <c r="P1669" s="1"/>
      <c r="Q1669" s="1"/>
      <c r="R1669" s="11"/>
      <c r="S1669" s="2">
        <f>CONSOLIDADO_2026[[#This Row],[Hora final]]-CONSOLIDADO_2026[[#This Row],[Hora inic]]</f>
        <v>0.33333333333333337</v>
      </c>
    </row>
    <row r="1670" spans="1:19" x14ac:dyDescent="0.25">
      <c r="A1670" t="s">
        <v>4301</v>
      </c>
      <c r="B1670">
        <v>1003930736</v>
      </c>
      <c r="C1670" t="s">
        <v>2543</v>
      </c>
      <c r="D1670" s="11" t="s">
        <v>51</v>
      </c>
      <c r="E1670" s="11" t="s">
        <v>4047</v>
      </c>
      <c r="F1670" s="11" t="s">
        <v>4074</v>
      </c>
      <c r="G1670" s="1">
        <v>46261</v>
      </c>
      <c r="H1670" s="1">
        <v>46262</v>
      </c>
      <c r="I1670" s="2">
        <v>0.25</v>
      </c>
      <c r="J1670" s="2">
        <v>0.58333333333333337</v>
      </c>
      <c r="K1670" s="11"/>
      <c r="L1670" s="11" t="s">
        <v>4060</v>
      </c>
      <c r="M1670" s="1"/>
      <c r="N1670" s="11"/>
      <c r="O1670" s="11" t="s">
        <v>4042</v>
      </c>
      <c r="P1670" s="1"/>
      <c r="Q1670" s="1"/>
      <c r="R1670" s="11"/>
      <c r="S1670" s="2">
        <f>CONSOLIDADO_2026[[#This Row],[Hora final]]-CONSOLIDADO_2026[[#This Row],[Hora inic]]</f>
        <v>0.33333333333333337</v>
      </c>
    </row>
    <row r="1671" spans="1:19" x14ac:dyDescent="0.25">
      <c r="A1671" t="s">
        <v>4301</v>
      </c>
      <c r="B1671">
        <v>1007959114</v>
      </c>
      <c r="C1671" t="s">
        <v>4154</v>
      </c>
      <c r="D1671" s="11" t="s">
        <v>39</v>
      </c>
      <c r="E1671" s="11" t="s">
        <v>4046</v>
      </c>
      <c r="F1671" s="11" t="s">
        <v>4074</v>
      </c>
      <c r="G1671" s="1">
        <v>46261</v>
      </c>
      <c r="H1671" s="1">
        <v>46265</v>
      </c>
      <c r="I1671" s="2">
        <v>0.25</v>
      </c>
      <c r="J1671" s="2">
        <v>0.54166666666666663</v>
      </c>
      <c r="K1671" s="11"/>
      <c r="L1671" s="11" t="s">
        <v>4060</v>
      </c>
      <c r="M1671" s="1"/>
      <c r="N1671" s="11"/>
      <c r="O1671" s="11" t="s">
        <v>4042</v>
      </c>
      <c r="P1671" s="1"/>
      <c r="Q1671" s="1"/>
      <c r="R1671" s="11"/>
      <c r="S1671" s="2">
        <f>CONSOLIDADO_2026[[#This Row],[Hora final]]-CONSOLIDADO_2026[[#This Row],[Hora inic]]</f>
        <v>0.29166666666666663</v>
      </c>
    </row>
    <row r="1672" spans="1:19" x14ac:dyDescent="0.25">
      <c r="A1672" t="s">
        <v>4301</v>
      </c>
      <c r="B1672">
        <v>1192904075</v>
      </c>
      <c r="C1672" t="s">
        <v>3776</v>
      </c>
      <c r="D1672" s="11" t="s">
        <v>256</v>
      </c>
      <c r="E1672" s="11" t="s">
        <v>4040</v>
      </c>
      <c r="F1672" s="11" t="s">
        <v>4311</v>
      </c>
      <c r="G1672" s="1">
        <v>46261</v>
      </c>
      <c r="H1672" s="1">
        <v>46261</v>
      </c>
      <c r="I1672" s="2">
        <v>0.25</v>
      </c>
      <c r="J1672" s="2">
        <v>0.54166666666666663</v>
      </c>
      <c r="K1672" s="11" t="s">
        <v>167</v>
      </c>
      <c r="L1672" s="11" t="s">
        <v>168</v>
      </c>
      <c r="M1672" s="1"/>
      <c r="N1672" s="11"/>
      <c r="O1672" s="11" t="s">
        <v>4042</v>
      </c>
      <c r="P1672" s="1"/>
      <c r="Q1672" s="1"/>
      <c r="R1672" s="11"/>
      <c r="S1672" s="2">
        <f>CONSOLIDADO_2026[[#This Row],[Hora final]]-CONSOLIDADO_2026[[#This Row],[Hora inic]]</f>
        <v>0.29166666666666663</v>
      </c>
    </row>
    <row r="1673" spans="1:19" x14ac:dyDescent="0.25">
      <c r="A1673" t="s">
        <v>4301</v>
      </c>
      <c r="B1673">
        <v>1010149319</v>
      </c>
      <c r="C1673" t="s">
        <v>3177</v>
      </c>
      <c r="D1673" s="11" t="s">
        <v>59</v>
      </c>
      <c r="E1673" s="11" t="s">
        <v>4047</v>
      </c>
      <c r="F1673" s="11" t="s">
        <v>16</v>
      </c>
      <c r="G1673" s="1">
        <v>46260</v>
      </c>
      <c r="H1673" s="1">
        <v>46260</v>
      </c>
      <c r="I1673" s="2"/>
      <c r="J1673" s="2"/>
      <c r="K1673" s="11"/>
      <c r="L1673" s="11" t="s">
        <v>4041</v>
      </c>
      <c r="M1673" s="1"/>
      <c r="N1673" s="11"/>
      <c r="O1673" s="11" t="s">
        <v>4042</v>
      </c>
      <c r="P1673" s="1"/>
      <c r="Q1673" s="1"/>
      <c r="R1673" s="11"/>
      <c r="S1673" s="2">
        <f>CONSOLIDADO_2026[[#This Row],[Hora final]]-CONSOLIDADO_2026[[#This Row],[Hora inic]]</f>
        <v>0</v>
      </c>
    </row>
    <row r="1674" spans="1:19" x14ac:dyDescent="0.25">
      <c r="A1674" t="s">
        <v>4301</v>
      </c>
      <c r="B1674">
        <v>1103099277</v>
      </c>
      <c r="C1674" t="s">
        <v>2594</v>
      </c>
      <c r="D1674" s="11" t="s">
        <v>78</v>
      </c>
      <c r="E1674" s="11" t="s">
        <v>4046</v>
      </c>
      <c r="F1674" s="11" t="s">
        <v>4050</v>
      </c>
      <c r="G1674" s="1">
        <v>46260</v>
      </c>
      <c r="H1674" s="1">
        <v>46262</v>
      </c>
      <c r="I1674" s="2">
        <v>0.25</v>
      </c>
      <c r="J1674" s="2">
        <v>0.58333333333333337</v>
      </c>
      <c r="K1674" s="11"/>
      <c r="L1674" s="11" t="s">
        <v>327</v>
      </c>
      <c r="M1674" s="1"/>
      <c r="N1674" s="11"/>
      <c r="O1674" s="11" t="s">
        <v>4042</v>
      </c>
      <c r="P1674" s="1"/>
      <c r="Q1674" s="1"/>
      <c r="R1674" s="11"/>
      <c r="S1674" s="2">
        <f>CONSOLIDADO_2026[[#This Row],[Hora final]]-CONSOLIDADO_2026[[#This Row],[Hora inic]]</f>
        <v>0.33333333333333337</v>
      </c>
    </row>
    <row r="1675" spans="1:19" x14ac:dyDescent="0.25">
      <c r="A1675" t="s">
        <v>4301</v>
      </c>
      <c r="B1675">
        <v>1067864151</v>
      </c>
      <c r="C1675" t="s">
        <v>1809</v>
      </c>
      <c r="D1675" s="11" t="s">
        <v>256</v>
      </c>
      <c r="E1675" s="11" t="s">
        <v>4040</v>
      </c>
      <c r="F1675" s="11" t="s">
        <v>16</v>
      </c>
      <c r="G1675" s="1">
        <v>46261</v>
      </c>
      <c r="H1675" s="1">
        <v>46268</v>
      </c>
      <c r="I1675" s="2">
        <v>0.58333333333333337</v>
      </c>
      <c r="J1675" s="2">
        <v>0.875</v>
      </c>
      <c r="K1675" s="11"/>
      <c r="L1675" s="11" t="s">
        <v>327</v>
      </c>
      <c r="M1675" s="1"/>
      <c r="N1675" s="11"/>
      <c r="O1675" s="11" t="s">
        <v>4042</v>
      </c>
      <c r="P1675" s="1"/>
      <c r="Q1675" s="1"/>
      <c r="R1675" s="11"/>
      <c r="S1675" s="2">
        <f>CONSOLIDADO_2026[[#This Row],[Hora final]]-CONSOLIDADO_2026[[#This Row],[Hora inic]]</f>
        <v>0.29166666666666663</v>
      </c>
    </row>
    <row r="1676" spans="1:19" x14ac:dyDescent="0.25">
      <c r="A1676" t="s">
        <v>4301</v>
      </c>
      <c r="B1676">
        <v>1037638426</v>
      </c>
      <c r="C1676" t="s">
        <v>31</v>
      </c>
      <c r="D1676" s="11" t="s">
        <v>28</v>
      </c>
      <c r="E1676" s="11" t="s">
        <v>4046</v>
      </c>
      <c r="F1676" s="11" t="s">
        <v>24</v>
      </c>
      <c r="G1676" s="1">
        <v>46249</v>
      </c>
      <c r="H1676" s="1">
        <v>46264</v>
      </c>
      <c r="I1676" s="2">
        <v>0.25</v>
      </c>
      <c r="J1676" s="2">
        <v>0.54166666666666663</v>
      </c>
      <c r="K1676" s="11" t="s">
        <v>318</v>
      </c>
      <c r="L1676" s="11" t="s">
        <v>319</v>
      </c>
      <c r="M1676" s="1"/>
      <c r="N1676" s="11"/>
      <c r="O1676" s="11" t="s">
        <v>21</v>
      </c>
      <c r="P1676" s="1"/>
      <c r="Q1676" s="1"/>
      <c r="R1676" s="11"/>
      <c r="S1676" s="2">
        <f>CONSOLIDADO_2026[[#This Row],[Hora final]]-CONSOLIDADO_2026[[#This Row],[Hora inic]]</f>
        <v>0.29166666666666663</v>
      </c>
    </row>
    <row r="1677" spans="1:19" x14ac:dyDescent="0.25">
      <c r="A1677" t="s">
        <v>4301</v>
      </c>
      <c r="B1677">
        <v>1002208089</v>
      </c>
      <c r="C1677" t="s">
        <v>3350</v>
      </c>
      <c r="D1677" s="11" t="s">
        <v>162</v>
      </c>
      <c r="E1677" s="11" t="s">
        <v>4056</v>
      </c>
      <c r="F1677" s="11" t="s">
        <v>16</v>
      </c>
      <c r="G1677" s="1">
        <v>46261</v>
      </c>
      <c r="H1677" s="1">
        <v>46262</v>
      </c>
      <c r="I1677" s="2">
        <v>0.25</v>
      </c>
      <c r="J1677" s="2">
        <v>0.58333333333333337</v>
      </c>
      <c r="K1677" s="11" t="s">
        <v>184</v>
      </c>
      <c r="L1677" s="11" t="s">
        <v>185</v>
      </c>
      <c r="M1677" s="1"/>
      <c r="N1677" s="11"/>
      <c r="O1677" s="11" t="s">
        <v>4042</v>
      </c>
      <c r="P1677" s="1"/>
      <c r="Q1677" s="1"/>
      <c r="R1677" s="11"/>
      <c r="S1677" s="2">
        <f>CONSOLIDADO_2026[[#This Row],[Hora final]]-CONSOLIDADO_2026[[#This Row],[Hora inic]]</f>
        <v>0.33333333333333337</v>
      </c>
    </row>
    <row r="1678" spans="1:19" x14ac:dyDescent="0.25">
      <c r="A1678" t="s">
        <v>4301</v>
      </c>
      <c r="B1678">
        <v>1067959066</v>
      </c>
      <c r="C1678" t="s">
        <v>3479</v>
      </c>
      <c r="D1678" s="11" t="s">
        <v>344</v>
      </c>
      <c r="E1678" s="11" t="s">
        <v>4056</v>
      </c>
      <c r="F1678" s="11" t="s">
        <v>4050</v>
      </c>
      <c r="G1678" s="1">
        <v>46260</v>
      </c>
      <c r="H1678" s="1"/>
      <c r="I1678" s="2">
        <v>0.58333333333333337</v>
      </c>
      <c r="J1678" s="2">
        <v>0.875</v>
      </c>
      <c r="K1678" s="11"/>
      <c r="L1678" s="11" t="s">
        <v>327</v>
      </c>
      <c r="M1678" s="1"/>
      <c r="N1678" s="11"/>
      <c r="O1678" s="11" t="s">
        <v>4042</v>
      </c>
      <c r="P1678" s="1"/>
      <c r="Q1678" s="1"/>
      <c r="R1678" s="11"/>
      <c r="S1678" s="2">
        <f>CONSOLIDADO_2026[[#This Row],[Hora final]]-CONSOLIDADO_2026[[#This Row],[Hora inic]]</f>
        <v>0.29166666666666663</v>
      </c>
    </row>
    <row r="1679" spans="1:19" x14ac:dyDescent="0.25">
      <c r="A1679" t="s">
        <v>4301</v>
      </c>
      <c r="B1679">
        <v>50927877</v>
      </c>
      <c r="C1679" t="s">
        <v>1709</v>
      </c>
      <c r="D1679" s="11" t="s">
        <v>176</v>
      </c>
      <c r="E1679" s="11" t="s">
        <v>4040</v>
      </c>
      <c r="F1679" s="11" t="s">
        <v>4087</v>
      </c>
      <c r="G1679" s="1">
        <v>46261</v>
      </c>
      <c r="H1679" s="1">
        <v>46261</v>
      </c>
      <c r="I1679" s="2">
        <v>0.25</v>
      </c>
      <c r="J1679" s="2">
        <v>0.54166666666666663</v>
      </c>
      <c r="K1679" s="11" t="s">
        <v>45</v>
      </c>
      <c r="L1679" s="11" t="s">
        <v>46</v>
      </c>
      <c r="M1679" s="1"/>
      <c r="N1679" s="11"/>
      <c r="O1679" s="11" t="s">
        <v>4042</v>
      </c>
      <c r="P1679" s="1"/>
      <c r="Q1679" s="1"/>
      <c r="R1679" s="11"/>
      <c r="S1679" s="2">
        <f>CONSOLIDADO_2026[[#This Row],[Hora final]]-CONSOLIDADO_2026[[#This Row],[Hora inic]]</f>
        <v>0.29166666666666663</v>
      </c>
    </row>
    <row r="1680" spans="1:19" x14ac:dyDescent="0.25">
      <c r="A1680" t="s">
        <v>4301</v>
      </c>
      <c r="B1680">
        <v>1000416307</v>
      </c>
      <c r="C1680" t="s">
        <v>3062</v>
      </c>
      <c r="D1680" s="11" t="s">
        <v>132</v>
      </c>
      <c r="E1680" s="11" t="s">
        <v>4040</v>
      </c>
      <c r="F1680" s="11" t="s">
        <v>4050</v>
      </c>
      <c r="G1680" s="1">
        <v>46261</v>
      </c>
      <c r="H1680" s="1">
        <v>46263</v>
      </c>
      <c r="I1680" s="2">
        <v>0.54166666666666663</v>
      </c>
      <c r="J1680" s="2">
        <v>0.70833333333333337</v>
      </c>
      <c r="K1680" s="11"/>
      <c r="L1680" s="11" t="s">
        <v>327</v>
      </c>
      <c r="M1680" s="1"/>
      <c r="N1680" s="11"/>
      <c r="O1680" s="11" t="s">
        <v>4042</v>
      </c>
      <c r="P1680" s="1"/>
      <c r="Q1680" s="1"/>
      <c r="R1680" s="11"/>
      <c r="S1680" s="2">
        <f>CONSOLIDADO_2026[[#This Row],[Hora final]]-CONSOLIDADO_2026[[#This Row],[Hora inic]]</f>
        <v>0.16666666666666674</v>
      </c>
    </row>
    <row r="1681" spans="1:19" x14ac:dyDescent="0.25">
      <c r="A1681" t="s">
        <v>4301</v>
      </c>
      <c r="B1681">
        <v>1017232013</v>
      </c>
      <c r="C1681" t="s">
        <v>2334</v>
      </c>
      <c r="D1681" s="11" t="s">
        <v>28</v>
      </c>
      <c r="E1681" s="11" t="s">
        <v>4046</v>
      </c>
      <c r="F1681" s="11" t="s">
        <v>16</v>
      </c>
      <c r="G1681" s="1">
        <v>46260</v>
      </c>
      <c r="H1681" s="1">
        <v>46262</v>
      </c>
      <c r="I1681" s="2">
        <v>0.25</v>
      </c>
      <c r="J1681" s="2">
        <v>0.58333333333333337</v>
      </c>
      <c r="K1681" s="11"/>
      <c r="L1681" s="11" t="s">
        <v>327</v>
      </c>
      <c r="M1681" s="1"/>
      <c r="N1681" s="11"/>
      <c r="O1681" s="11" t="s">
        <v>4042</v>
      </c>
      <c r="P1681" s="1"/>
      <c r="Q1681" s="1"/>
      <c r="R1681" s="11"/>
      <c r="S1681" s="2">
        <f>CONSOLIDADO_2026[[#This Row],[Hora final]]-CONSOLIDADO_2026[[#This Row],[Hora inic]]</f>
        <v>0.33333333333333337</v>
      </c>
    </row>
    <row r="1682" spans="1:19" x14ac:dyDescent="0.25">
      <c r="A1682" t="s">
        <v>4301</v>
      </c>
      <c r="B1682">
        <v>1152187746</v>
      </c>
      <c r="C1682" t="s">
        <v>4007</v>
      </c>
      <c r="D1682" s="11" t="s">
        <v>619</v>
      </c>
      <c r="E1682" s="11" t="s">
        <v>4045</v>
      </c>
      <c r="F1682" s="11" t="s">
        <v>4091</v>
      </c>
      <c r="G1682" s="1">
        <v>46261</v>
      </c>
      <c r="H1682" s="1">
        <v>46263</v>
      </c>
      <c r="I1682" s="2">
        <v>0.54166666666666663</v>
      </c>
      <c r="J1682" s="2">
        <v>0.875</v>
      </c>
      <c r="K1682" s="11" t="s">
        <v>222</v>
      </c>
      <c r="L1682" s="11" t="s">
        <v>223</v>
      </c>
      <c r="M1682" s="1"/>
      <c r="N1682" s="11"/>
      <c r="O1682" s="11" t="s">
        <v>4042</v>
      </c>
      <c r="P1682" s="1"/>
      <c r="Q1682" s="1"/>
      <c r="R1682" s="11"/>
      <c r="S1682" s="2">
        <f>CONSOLIDADO_2026[[#This Row],[Hora final]]-CONSOLIDADO_2026[[#This Row],[Hora inic]]</f>
        <v>0.33333333333333337</v>
      </c>
    </row>
    <row r="1683" spans="1:19" x14ac:dyDescent="0.25">
      <c r="A1683" t="s">
        <v>4301</v>
      </c>
      <c r="B1683">
        <v>1083048455</v>
      </c>
      <c r="C1683" t="s">
        <v>2787</v>
      </c>
      <c r="D1683" s="11" t="s">
        <v>256</v>
      </c>
      <c r="E1683" s="11" t="s">
        <v>4040</v>
      </c>
      <c r="F1683" s="11" t="s">
        <v>4074</v>
      </c>
      <c r="G1683" s="1">
        <v>46261</v>
      </c>
      <c r="H1683" s="1">
        <v>46262</v>
      </c>
      <c r="I1683" s="2">
        <v>0.25</v>
      </c>
      <c r="J1683" s="2">
        <v>0.54166666666666663</v>
      </c>
      <c r="K1683" s="11"/>
      <c r="L1683" s="11" t="s">
        <v>4060</v>
      </c>
      <c r="M1683" s="1"/>
      <c r="N1683" s="11"/>
      <c r="O1683" s="11" t="s">
        <v>4042</v>
      </c>
      <c r="P1683" s="1"/>
      <c r="Q1683" s="1"/>
      <c r="R1683" s="11"/>
      <c r="S1683" s="2">
        <f>CONSOLIDADO_2026[[#This Row],[Hora final]]-CONSOLIDADO_2026[[#This Row],[Hora inic]]</f>
        <v>0.29166666666666663</v>
      </c>
    </row>
    <row r="1684" spans="1:19" x14ac:dyDescent="0.25">
      <c r="A1684" t="s">
        <v>4301</v>
      </c>
      <c r="B1684">
        <v>1107046318</v>
      </c>
      <c r="C1684" t="s">
        <v>268</v>
      </c>
      <c r="D1684" s="11" t="s">
        <v>4078</v>
      </c>
      <c r="E1684" s="11" t="s">
        <v>4056</v>
      </c>
      <c r="F1684" s="11" t="s">
        <v>4087</v>
      </c>
      <c r="G1684" s="1">
        <v>46261</v>
      </c>
      <c r="H1684" s="1">
        <v>46261</v>
      </c>
      <c r="I1684" s="2">
        <v>0.25</v>
      </c>
      <c r="J1684" s="2">
        <v>0.54166666666666663</v>
      </c>
      <c r="K1684" s="11" t="s">
        <v>267</v>
      </c>
      <c r="L1684" s="11" t="s">
        <v>268</v>
      </c>
      <c r="M1684" s="1"/>
      <c r="N1684" s="11"/>
      <c r="O1684" s="11" t="s">
        <v>4042</v>
      </c>
      <c r="P1684" s="1"/>
      <c r="Q1684" s="1"/>
      <c r="R1684" s="11"/>
      <c r="S1684" s="2">
        <f>CONSOLIDADO_2026[[#This Row],[Hora final]]-CONSOLIDADO_2026[[#This Row],[Hora inic]]</f>
        <v>0.29166666666666663</v>
      </c>
    </row>
    <row r="1685" spans="1:19" x14ac:dyDescent="0.25">
      <c r="A1685" t="s">
        <v>4301</v>
      </c>
      <c r="B1685">
        <v>42161723</v>
      </c>
      <c r="C1685" t="s">
        <v>2232</v>
      </c>
      <c r="D1685" s="11" t="s">
        <v>256</v>
      </c>
      <c r="E1685" s="11" t="s">
        <v>4040</v>
      </c>
      <c r="F1685" s="11" t="s">
        <v>4074</v>
      </c>
      <c r="G1685" s="1">
        <v>46261</v>
      </c>
      <c r="H1685" s="1">
        <v>46262</v>
      </c>
      <c r="I1685" s="2">
        <v>0.25</v>
      </c>
      <c r="J1685" s="2">
        <v>0.54166666666666663</v>
      </c>
      <c r="K1685" s="11"/>
      <c r="L1685" s="11" t="s">
        <v>4060</v>
      </c>
      <c r="M1685" s="1"/>
      <c r="N1685" s="11"/>
      <c r="O1685" s="11" t="s">
        <v>4042</v>
      </c>
      <c r="P1685" s="1"/>
      <c r="Q1685" s="1"/>
      <c r="R1685" s="11"/>
      <c r="S1685" s="2">
        <f>CONSOLIDADO_2026[[#This Row],[Hora final]]-CONSOLIDADO_2026[[#This Row],[Hora inic]]</f>
        <v>0.29166666666666663</v>
      </c>
    </row>
    <row r="1686" spans="1:19" x14ac:dyDescent="0.25">
      <c r="A1686" t="s">
        <v>4301</v>
      </c>
      <c r="B1686">
        <v>1152456771</v>
      </c>
      <c r="C1686" t="s">
        <v>2914</v>
      </c>
      <c r="D1686" s="11" t="s">
        <v>51</v>
      </c>
      <c r="E1686" s="11" t="s">
        <v>4047</v>
      </c>
      <c r="F1686" s="11" t="s">
        <v>4074</v>
      </c>
      <c r="G1686" s="1">
        <v>46261</v>
      </c>
      <c r="H1686" s="1"/>
      <c r="I1686" s="2">
        <v>0.25</v>
      </c>
      <c r="J1686" s="2">
        <v>0.54166666666666663</v>
      </c>
      <c r="K1686" s="11"/>
      <c r="L1686" s="11" t="s">
        <v>4060</v>
      </c>
      <c r="M1686" s="1"/>
      <c r="N1686" s="11"/>
      <c r="O1686" s="11" t="s">
        <v>4042</v>
      </c>
      <c r="P1686" s="1"/>
      <c r="Q1686" s="1"/>
      <c r="R1686" s="11"/>
      <c r="S1686" s="2">
        <f>CONSOLIDADO_2026[[#This Row],[Hora final]]-CONSOLIDADO_2026[[#This Row],[Hora inic]]</f>
        <v>0.29166666666666663</v>
      </c>
    </row>
    <row r="1687" spans="1:19" x14ac:dyDescent="0.25">
      <c r="A1687" t="s">
        <v>4301</v>
      </c>
      <c r="B1687">
        <v>1017271052</v>
      </c>
      <c r="C1687" t="s">
        <v>489</v>
      </c>
      <c r="D1687" s="11" t="s">
        <v>4312</v>
      </c>
      <c r="E1687" s="11" t="s">
        <v>4047</v>
      </c>
      <c r="F1687" s="11" t="s">
        <v>4074</v>
      </c>
      <c r="G1687" s="1">
        <v>46261</v>
      </c>
      <c r="H1687" s="1">
        <v>46262</v>
      </c>
      <c r="I1687" s="2"/>
      <c r="J1687" s="2"/>
      <c r="K1687" s="11"/>
      <c r="L1687" s="11" t="s">
        <v>4060</v>
      </c>
      <c r="M1687" s="1"/>
      <c r="N1687" s="11"/>
      <c r="O1687" s="11" t="s">
        <v>4042</v>
      </c>
      <c r="P1687" s="1"/>
      <c r="Q1687" s="1"/>
      <c r="R1687" s="11"/>
      <c r="S1687" s="2">
        <f>CONSOLIDADO_2026[[#This Row],[Hora final]]-CONSOLIDADO_2026[[#This Row],[Hora inic]]</f>
        <v>0</v>
      </c>
    </row>
    <row r="1688" spans="1:19" x14ac:dyDescent="0.25">
      <c r="A1688" t="s">
        <v>4301</v>
      </c>
      <c r="B1688">
        <v>1095832090</v>
      </c>
      <c r="C1688" t="s">
        <v>1441</v>
      </c>
      <c r="D1688" s="11" t="s">
        <v>55</v>
      </c>
      <c r="E1688" s="11" t="s">
        <v>4047</v>
      </c>
      <c r="F1688" s="11" t="s">
        <v>16</v>
      </c>
      <c r="G1688" s="1">
        <v>46260</v>
      </c>
      <c r="H1688" s="1">
        <v>46274</v>
      </c>
      <c r="I1688" s="2"/>
      <c r="J1688" s="2"/>
      <c r="K1688" s="11"/>
      <c r="L1688" s="11" t="s">
        <v>327</v>
      </c>
      <c r="M1688" s="1"/>
      <c r="N1688" s="11"/>
      <c r="O1688" s="11" t="s">
        <v>4042</v>
      </c>
      <c r="P1688" s="1"/>
      <c r="Q1688" s="1"/>
      <c r="R1688" s="11"/>
      <c r="S1688" s="2">
        <f>CONSOLIDADO_2026[[#This Row],[Hora final]]-CONSOLIDADO_2026[[#This Row],[Hora inic]]</f>
        <v>0</v>
      </c>
    </row>
    <row r="1689" spans="1:19" x14ac:dyDescent="0.25">
      <c r="A1689" t="s">
        <v>4301</v>
      </c>
      <c r="B1689">
        <v>1143168832</v>
      </c>
      <c r="C1689" t="s">
        <v>1965</v>
      </c>
      <c r="D1689" s="11" t="s">
        <v>82</v>
      </c>
      <c r="E1689" s="11" t="s">
        <v>4045</v>
      </c>
      <c r="F1689" s="11" t="s">
        <v>4074</v>
      </c>
      <c r="G1689" s="1">
        <v>46261</v>
      </c>
      <c r="H1689" s="1">
        <v>46262</v>
      </c>
      <c r="I1689" s="2"/>
      <c r="J1689" s="2"/>
      <c r="K1689" s="11"/>
      <c r="L1689" s="11" t="s">
        <v>4060</v>
      </c>
      <c r="M1689" s="1"/>
      <c r="N1689" s="11"/>
      <c r="O1689" s="11" t="s">
        <v>4042</v>
      </c>
      <c r="P1689" s="1"/>
      <c r="Q1689" s="1"/>
      <c r="R1689" s="11"/>
      <c r="S1689" s="2">
        <f>CONSOLIDADO_2026[[#This Row],[Hora final]]-CONSOLIDADO_2026[[#This Row],[Hora inic]]</f>
        <v>0</v>
      </c>
    </row>
    <row r="1690" spans="1:19" x14ac:dyDescent="0.25">
      <c r="A1690" t="s">
        <v>4301</v>
      </c>
      <c r="B1690">
        <v>1128272024</v>
      </c>
      <c r="C1690" t="s">
        <v>1101</v>
      </c>
      <c r="D1690" s="11" t="s">
        <v>124</v>
      </c>
      <c r="E1690" s="11" t="s">
        <v>4045</v>
      </c>
      <c r="F1690" s="11" t="s">
        <v>4074</v>
      </c>
      <c r="G1690" s="1">
        <v>46261</v>
      </c>
      <c r="H1690" s="1">
        <v>46262</v>
      </c>
      <c r="I1690" s="2">
        <v>0.54166666666666663</v>
      </c>
      <c r="J1690" s="2">
        <v>0.875</v>
      </c>
      <c r="K1690" s="11"/>
      <c r="L1690" s="11" t="s">
        <v>4060</v>
      </c>
      <c r="M1690" s="1"/>
      <c r="N1690" s="11"/>
      <c r="O1690" s="11" t="s">
        <v>4042</v>
      </c>
      <c r="P1690" s="1"/>
      <c r="Q1690" s="1"/>
      <c r="R1690" s="11"/>
      <c r="S1690" s="2">
        <f>CONSOLIDADO_2026[[#This Row],[Hora final]]-CONSOLIDADO_2026[[#This Row],[Hora inic]]</f>
        <v>0.33333333333333337</v>
      </c>
    </row>
    <row r="1691" spans="1:19" x14ac:dyDescent="0.25">
      <c r="A1691" t="s">
        <v>4301</v>
      </c>
      <c r="B1691">
        <v>1007223463</v>
      </c>
      <c r="C1691" t="s">
        <v>561</v>
      </c>
      <c r="D1691" s="11" t="s">
        <v>2052</v>
      </c>
      <c r="E1691" s="11" t="s">
        <v>4056</v>
      </c>
      <c r="F1691" s="11" t="s">
        <v>4073</v>
      </c>
      <c r="G1691" s="1">
        <v>46261</v>
      </c>
      <c r="H1691" s="1">
        <v>46261</v>
      </c>
      <c r="I1691" s="2">
        <v>0.29166666666666669</v>
      </c>
      <c r="J1691" s="2">
        <v>0.58333333333333337</v>
      </c>
      <c r="K1691" s="11"/>
      <c r="L1691" s="11" t="s">
        <v>4313</v>
      </c>
      <c r="M1691" s="1"/>
      <c r="N1691" s="11"/>
      <c r="O1691" s="11" t="s">
        <v>21</v>
      </c>
      <c r="P1691" s="1"/>
      <c r="Q1691" s="1"/>
      <c r="R1691" s="11"/>
      <c r="S1691" s="2">
        <f>CONSOLIDADO_2026[[#This Row],[Hora final]]-CONSOLIDADO_2026[[#This Row],[Hora inic]]</f>
        <v>0.29166666666666669</v>
      </c>
    </row>
    <row r="1692" spans="1:19" x14ac:dyDescent="0.25">
      <c r="A1692" t="s">
        <v>4301</v>
      </c>
      <c r="B1692">
        <v>1126251297</v>
      </c>
      <c r="C1692" t="s">
        <v>286</v>
      </c>
      <c r="D1692" s="11" t="s">
        <v>4079</v>
      </c>
      <c r="E1692" s="11" t="s">
        <v>4056</v>
      </c>
      <c r="F1692" s="11" t="s">
        <v>4079</v>
      </c>
      <c r="G1692" s="1">
        <v>46261</v>
      </c>
      <c r="H1692" s="1">
        <v>46261</v>
      </c>
      <c r="I1692" s="2">
        <v>0.29166666666666669</v>
      </c>
      <c r="J1692" s="2">
        <v>0.625</v>
      </c>
      <c r="K1692" s="11" t="s">
        <v>285</v>
      </c>
      <c r="L1692" s="11" t="s">
        <v>286</v>
      </c>
      <c r="M1692" s="1"/>
      <c r="N1692" s="11"/>
      <c r="O1692" s="11" t="s">
        <v>4042</v>
      </c>
      <c r="P1692" s="1"/>
      <c r="Q1692" s="1"/>
      <c r="R1692" s="11"/>
      <c r="S1692" s="2">
        <f>CONSOLIDADO_2026[[#This Row],[Hora final]]-CONSOLIDADO_2026[[#This Row],[Hora inic]]</f>
        <v>0.33333333333333331</v>
      </c>
    </row>
    <row r="1693" spans="1:19" x14ac:dyDescent="0.25">
      <c r="A1693" t="s">
        <v>4301</v>
      </c>
      <c r="B1693">
        <v>1020475954</v>
      </c>
      <c r="C1693" t="s">
        <v>3934</v>
      </c>
      <c r="D1693" s="11" t="s">
        <v>68</v>
      </c>
      <c r="E1693" s="11" t="s">
        <v>4040</v>
      </c>
      <c r="F1693" s="11" t="s">
        <v>16</v>
      </c>
      <c r="G1693" s="1">
        <v>46261</v>
      </c>
      <c r="H1693" s="1">
        <v>46262</v>
      </c>
      <c r="I1693" s="2"/>
      <c r="J1693" s="2"/>
      <c r="K1693" s="11"/>
      <c r="L1693" s="11" t="s">
        <v>327</v>
      </c>
      <c r="M1693" s="1"/>
      <c r="N1693" s="11"/>
      <c r="O1693" s="11" t="s">
        <v>4042</v>
      </c>
      <c r="P1693" s="1"/>
      <c r="Q1693" s="1"/>
      <c r="R1693" s="11"/>
      <c r="S1693" s="2">
        <f>CONSOLIDADO_2026[[#This Row],[Hora final]]-CONSOLIDADO_2026[[#This Row],[Hora inic]]</f>
        <v>0</v>
      </c>
    </row>
    <row r="1694" spans="1:19" x14ac:dyDescent="0.25">
      <c r="A1694" t="s">
        <v>4301</v>
      </c>
      <c r="B1694">
        <v>1037608343</v>
      </c>
      <c r="C1694" t="s">
        <v>3077</v>
      </c>
      <c r="D1694" s="11" t="s">
        <v>39</v>
      </c>
      <c r="E1694" s="11" t="s">
        <v>4046</v>
      </c>
      <c r="F1694" s="11" t="s">
        <v>92</v>
      </c>
      <c r="G1694" s="1">
        <v>46261</v>
      </c>
      <c r="H1694" s="1">
        <v>46265</v>
      </c>
      <c r="I1694" s="2"/>
      <c r="J1694" s="2"/>
      <c r="K1694" s="11"/>
      <c r="L1694" s="11" t="s">
        <v>327</v>
      </c>
      <c r="M1694" s="1"/>
      <c r="N1694" s="11"/>
      <c r="O1694" s="11" t="s">
        <v>4042</v>
      </c>
      <c r="P1694" s="1"/>
      <c r="Q1694" s="1"/>
      <c r="R1694" s="11"/>
      <c r="S1694" s="2">
        <f>CONSOLIDADO_2026[[#This Row],[Hora final]]-CONSOLIDADO_2026[[#This Row],[Hora inic]]</f>
        <v>0</v>
      </c>
    </row>
    <row r="1695" spans="1:19" x14ac:dyDescent="0.25">
      <c r="A1695" t="s">
        <v>4301</v>
      </c>
      <c r="B1695">
        <v>1127339766</v>
      </c>
      <c r="C1695" t="s">
        <v>3262</v>
      </c>
      <c r="D1695" s="11" t="s">
        <v>39</v>
      </c>
      <c r="E1695" s="11" t="s">
        <v>4046</v>
      </c>
      <c r="F1695" s="11" t="s">
        <v>16</v>
      </c>
      <c r="G1695" s="1">
        <v>46261</v>
      </c>
      <c r="H1695" s="1">
        <v>46261</v>
      </c>
      <c r="I1695" s="2"/>
      <c r="J1695" s="2"/>
      <c r="K1695" s="11"/>
      <c r="L1695" s="11" t="s">
        <v>327</v>
      </c>
      <c r="M1695" s="1"/>
      <c r="N1695" s="11"/>
      <c r="O1695" s="11" t="s">
        <v>4042</v>
      </c>
      <c r="P1695" s="1"/>
      <c r="Q1695" s="1"/>
      <c r="R1695" s="11"/>
      <c r="S1695" s="2">
        <f>CONSOLIDADO_2026[[#This Row],[Hora final]]-CONSOLIDADO_2026[[#This Row],[Hora inic]]</f>
        <v>0</v>
      </c>
    </row>
    <row r="1696" spans="1:19" x14ac:dyDescent="0.25">
      <c r="A1696" t="s">
        <v>4301</v>
      </c>
      <c r="B1696">
        <v>1002248662</v>
      </c>
      <c r="C1696" t="s">
        <v>4322</v>
      </c>
      <c r="D1696" s="11" t="s">
        <v>55</v>
      </c>
      <c r="E1696" s="11" t="s">
        <v>4047</v>
      </c>
      <c r="F1696" s="11" t="s">
        <v>4050</v>
      </c>
      <c r="G1696" s="1">
        <v>46261</v>
      </c>
      <c r="H1696" s="1">
        <v>46263</v>
      </c>
      <c r="I1696" s="2"/>
      <c r="J1696" s="2"/>
      <c r="K1696" s="11"/>
      <c r="L1696" s="11" t="s">
        <v>327</v>
      </c>
      <c r="M1696" s="1"/>
      <c r="N1696" s="11"/>
      <c r="O1696" s="11" t="s">
        <v>4042</v>
      </c>
      <c r="P1696" s="1"/>
      <c r="Q1696" s="1"/>
      <c r="R1696" s="11"/>
      <c r="S1696" s="2">
        <f>CONSOLIDADO_2026[[#This Row],[Hora final]]-CONSOLIDADO_2026[[#This Row],[Hora inic]]</f>
        <v>0</v>
      </c>
    </row>
    <row r="1697" spans="1:19" x14ac:dyDescent="0.25">
      <c r="A1697" t="s">
        <v>4301</v>
      </c>
      <c r="B1697">
        <v>1036965348</v>
      </c>
      <c r="C1697" t="s">
        <v>229</v>
      </c>
      <c r="D1697" s="11" t="s">
        <v>4079</v>
      </c>
      <c r="E1697" s="11" t="s">
        <v>4046</v>
      </c>
      <c r="F1697" s="11" t="s">
        <v>4079</v>
      </c>
      <c r="G1697" s="1">
        <v>46261</v>
      </c>
      <c r="H1697" s="1">
        <v>46261</v>
      </c>
      <c r="I1697" s="2">
        <v>0.25</v>
      </c>
      <c r="J1697" s="2">
        <v>0.58333333333333337</v>
      </c>
      <c r="K1697" s="11" t="s">
        <v>228</v>
      </c>
      <c r="L1697" s="11" t="s">
        <v>229</v>
      </c>
      <c r="M1697" s="1"/>
      <c r="N1697" s="11"/>
      <c r="O1697" s="11" t="s">
        <v>4042</v>
      </c>
      <c r="P1697" s="1"/>
      <c r="Q1697" s="1"/>
      <c r="R1697" s="11"/>
      <c r="S1697" s="2">
        <f>CONSOLIDADO_2026[[#This Row],[Hora final]]-CONSOLIDADO_2026[[#This Row],[Hora inic]]</f>
        <v>0.33333333333333337</v>
      </c>
    </row>
    <row r="1698" spans="1:19" x14ac:dyDescent="0.25">
      <c r="A1698" t="s">
        <v>4301</v>
      </c>
      <c r="B1698">
        <v>1143880690</v>
      </c>
      <c r="C1698" t="s">
        <v>4238</v>
      </c>
      <c r="D1698" s="11" t="s">
        <v>4078</v>
      </c>
      <c r="E1698" s="11" t="s">
        <v>4045</v>
      </c>
      <c r="F1698" s="11" t="s">
        <v>158</v>
      </c>
      <c r="G1698" s="1">
        <v>46258</v>
      </c>
      <c r="H1698" s="1"/>
      <c r="I1698" s="2">
        <v>0.25</v>
      </c>
      <c r="J1698" s="2">
        <v>0.54166666666666663</v>
      </c>
      <c r="K1698" s="11" t="s">
        <v>306</v>
      </c>
      <c r="L1698" s="11" t="s">
        <v>307</v>
      </c>
      <c r="M1698" s="1"/>
      <c r="N1698" s="11"/>
      <c r="O1698" s="11" t="s">
        <v>21</v>
      </c>
      <c r="P1698" s="1"/>
      <c r="Q1698" s="1"/>
      <c r="R1698" s="11"/>
      <c r="S1698" s="2">
        <f>CONSOLIDADO_2026[[#This Row],[Hora final]]-CONSOLIDADO_2026[[#This Row],[Hora inic]]</f>
        <v>0.29166666666666663</v>
      </c>
    </row>
    <row r="1699" spans="1:19" x14ac:dyDescent="0.25">
      <c r="A1699" t="s">
        <v>4301</v>
      </c>
      <c r="B1699">
        <v>1193454765</v>
      </c>
      <c r="C1699" t="s">
        <v>1428</v>
      </c>
      <c r="D1699" s="11" t="s">
        <v>4078</v>
      </c>
      <c r="E1699" s="11" t="s">
        <v>4040</v>
      </c>
      <c r="F1699" s="11" t="s">
        <v>4099</v>
      </c>
      <c r="G1699" s="1">
        <v>46261</v>
      </c>
      <c r="H1699" s="1">
        <v>46261</v>
      </c>
      <c r="I1699" s="2">
        <v>0.54166666666666663</v>
      </c>
      <c r="J1699" s="2">
        <v>0.58333333333333337</v>
      </c>
      <c r="K1699" s="11"/>
      <c r="L1699" s="11" t="s">
        <v>339</v>
      </c>
      <c r="M1699" s="1"/>
      <c r="N1699" s="11"/>
      <c r="O1699" s="11" t="s">
        <v>4042</v>
      </c>
      <c r="P1699" s="1"/>
      <c r="Q1699" s="1"/>
      <c r="R1699" s="11"/>
      <c r="S1699" s="2">
        <f>CONSOLIDADO_2026[[#This Row],[Hora final]]-CONSOLIDADO_2026[[#This Row],[Hora inic]]</f>
        <v>4.1666666666666741E-2</v>
      </c>
    </row>
    <row r="1700" spans="1:19" hidden="1" x14ac:dyDescent="0.25">
      <c r="A1700" t="s">
        <v>4314</v>
      </c>
      <c r="B1700">
        <v>1128272024</v>
      </c>
      <c r="C1700" t="s">
        <v>1101</v>
      </c>
      <c r="D1700" s="11" t="s">
        <v>124</v>
      </c>
      <c r="E1700" s="11" t="s">
        <v>4045</v>
      </c>
      <c r="F1700" s="11" t="s">
        <v>16</v>
      </c>
      <c r="G1700" s="1">
        <v>46261</v>
      </c>
      <c r="H1700" s="1">
        <v>46262</v>
      </c>
      <c r="I1700" s="2">
        <v>0.54166666666666663</v>
      </c>
      <c r="J1700" s="2">
        <v>0.875</v>
      </c>
      <c r="K1700" s="11"/>
      <c r="L1700" s="11" t="s">
        <v>327</v>
      </c>
      <c r="M1700" s="1"/>
      <c r="N1700" s="11"/>
      <c r="O1700" s="11" t="s">
        <v>4042</v>
      </c>
      <c r="P1700" s="1"/>
      <c r="Q1700" s="1"/>
      <c r="R1700" s="11"/>
      <c r="S1700" s="2">
        <f>CONSOLIDADO_2026[[#This Row],[Hora final]]-CONSOLIDADO_2026[[#This Row],[Hora inic]]</f>
        <v>0.33333333333333337</v>
      </c>
    </row>
    <row r="1701" spans="1:19" hidden="1" x14ac:dyDescent="0.25">
      <c r="A1701" t="s">
        <v>4314</v>
      </c>
      <c r="B1701">
        <v>42161723</v>
      </c>
      <c r="C1701" t="s">
        <v>4315</v>
      </c>
      <c r="D1701" s="11" t="s">
        <v>256</v>
      </c>
      <c r="E1701" s="11" t="s">
        <v>4040</v>
      </c>
      <c r="F1701" s="11" t="s">
        <v>16</v>
      </c>
      <c r="G1701" s="1">
        <v>46261</v>
      </c>
      <c r="H1701" s="1">
        <v>46262</v>
      </c>
      <c r="I1701" s="2">
        <v>0.25</v>
      </c>
      <c r="J1701" s="2">
        <v>0.58333333333333337</v>
      </c>
      <c r="K1701" s="11"/>
      <c r="L1701" s="11" t="s">
        <v>327</v>
      </c>
      <c r="M1701" s="1"/>
      <c r="N1701" s="11"/>
      <c r="O1701" s="11" t="s">
        <v>4042</v>
      </c>
      <c r="P1701" s="1"/>
      <c r="Q1701" s="1"/>
      <c r="R1701" s="11"/>
      <c r="S1701" s="2">
        <f>CONSOLIDADO_2026[[#This Row],[Hora final]]-CONSOLIDADO_2026[[#This Row],[Hora inic]]</f>
        <v>0.33333333333333337</v>
      </c>
    </row>
    <row r="1702" spans="1:19" hidden="1" x14ac:dyDescent="0.25">
      <c r="A1702" t="s">
        <v>4314</v>
      </c>
      <c r="B1702">
        <v>1143168832</v>
      </c>
      <c r="C1702" t="s">
        <v>1965</v>
      </c>
      <c r="D1702" s="11" t="s">
        <v>82</v>
      </c>
      <c r="E1702" s="11" t="s">
        <v>4045</v>
      </c>
      <c r="F1702" s="11" t="s">
        <v>16</v>
      </c>
      <c r="G1702" s="1">
        <v>46261</v>
      </c>
      <c r="H1702" s="1">
        <v>46262</v>
      </c>
      <c r="I1702" s="2">
        <v>0.25</v>
      </c>
      <c r="J1702" s="2">
        <v>0.54166666666666663</v>
      </c>
      <c r="K1702" s="11"/>
      <c r="L1702" s="11" t="s">
        <v>327</v>
      </c>
      <c r="M1702" s="1"/>
      <c r="N1702" s="11"/>
      <c r="O1702" s="11" t="s">
        <v>4042</v>
      </c>
      <c r="P1702" s="1"/>
      <c r="Q1702" s="1"/>
      <c r="R1702" s="11"/>
      <c r="S1702" s="2">
        <f>CONSOLIDADO_2026[[#This Row],[Hora final]]-CONSOLIDADO_2026[[#This Row],[Hora inic]]</f>
        <v>0.29166666666666663</v>
      </c>
    </row>
    <row r="1703" spans="1:19" hidden="1" x14ac:dyDescent="0.25">
      <c r="A1703" t="s">
        <v>4314</v>
      </c>
      <c r="B1703">
        <v>1095832090</v>
      </c>
      <c r="C1703" t="s">
        <v>4243</v>
      </c>
      <c r="D1703" s="11" t="s">
        <v>55</v>
      </c>
      <c r="E1703" s="11" t="s">
        <v>4047</v>
      </c>
      <c r="F1703" s="11" t="s">
        <v>16</v>
      </c>
      <c r="G1703" s="1">
        <v>46260</v>
      </c>
      <c r="H1703" s="1">
        <v>46274</v>
      </c>
      <c r="I1703" s="2">
        <v>0.25</v>
      </c>
      <c r="J1703" s="2">
        <v>0.58333333333333337</v>
      </c>
      <c r="K1703" s="11"/>
      <c r="L1703" s="11" t="s">
        <v>327</v>
      </c>
      <c r="M1703" s="1"/>
      <c r="N1703" s="11"/>
      <c r="O1703" s="11" t="s">
        <v>4042</v>
      </c>
      <c r="P1703" s="1"/>
      <c r="Q1703" s="1"/>
      <c r="R1703" s="11"/>
      <c r="S1703" s="2">
        <f>CONSOLIDADO_2026[[#This Row],[Hora final]]-CONSOLIDADO_2026[[#This Row],[Hora inic]]</f>
        <v>0.33333333333333337</v>
      </c>
    </row>
    <row r="1704" spans="1:19" hidden="1" x14ac:dyDescent="0.25">
      <c r="A1704" t="s">
        <v>4314</v>
      </c>
      <c r="B1704">
        <v>1002208089</v>
      </c>
      <c r="C1704" t="s">
        <v>3350</v>
      </c>
      <c r="D1704" s="11" t="s">
        <v>162</v>
      </c>
      <c r="E1704" s="11" t="s">
        <v>4056</v>
      </c>
      <c r="F1704" s="11" t="s">
        <v>16</v>
      </c>
      <c r="G1704" s="1">
        <v>46261</v>
      </c>
      <c r="H1704" s="1">
        <v>46262</v>
      </c>
      <c r="I1704" s="2">
        <v>0.25</v>
      </c>
      <c r="J1704" s="2">
        <v>0.58333333333333337</v>
      </c>
      <c r="K1704" s="11" t="s">
        <v>267</v>
      </c>
      <c r="L1704" s="11" t="s">
        <v>268</v>
      </c>
      <c r="M1704" s="1"/>
      <c r="N1704" s="11"/>
      <c r="O1704" s="11" t="s">
        <v>4042</v>
      </c>
      <c r="P1704" s="1"/>
      <c r="Q1704" s="1"/>
      <c r="R1704" s="11"/>
      <c r="S1704" s="2">
        <f>CONSOLIDADO_2026[[#This Row],[Hora final]]-CONSOLIDADO_2026[[#This Row],[Hora inic]]</f>
        <v>0.33333333333333337</v>
      </c>
    </row>
    <row r="1705" spans="1:19" hidden="1" x14ac:dyDescent="0.25">
      <c r="A1705" t="s">
        <v>4314</v>
      </c>
      <c r="B1705">
        <v>1000416307</v>
      </c>
      <c r="C1705" t="s">
        <v>3062</v>
      </c>
      <c r="D1705" s="11" t="s">
        <v>132</v>
      </c>
      <c r="E1705" s="11" t="s">
        <v>4040</v>
      </c>
      <c r="F1705" s="11" t="s">
        <v>4050</v>
      </c>
      <c r="G1705" s="1">
        <v>46261</v>
      </c>
      <c r="H1705" s="1">
        <v>46263</v>
      </c>
      <c r="I1705" s="2">
        <v>0.58333333333333337</v>
      </c>
      <c r="J1705" s="2">
        <v>0.875</v>
      </c>
      <c r="K1705" s="11"/>
      <c r="L1705" s="11" t="s">
        <v>327</v>
      </c>
      <c r="M1705" s="1"/>
      <c r="N1705" s="11"/>
      <c r="O1705" s="11" t="s">
        <v>4042</v>
      </c>
      <c r="P1705" s="1"/>
      <c r="Q1705" s="1"/>
      <c r="R1705" s="11"/>
      <c r="S1705" s="2">
        <f>CONSOLIDADO_2026[[#This Row],[Hora final]]-CONSOLIDADO_2026[[#This Row],[Hora inic]]</f>
        <v>0.29166666666666663</v>
      </c>
    </row>
    <row r="1706" spans="1:19" hidden="1" x14ac:dyDescent="0.25">
      <c r="A1706" t="s">
        <v>4314</v>
      </c>
      <c r="B1706">
        <v>1067959066</v>
      </c>
      <c r="C1706" t="s">
        <v>3479</v>
      </c>
      <c r="D1706" s="11" t="s">
        <v>344</v>
      </c>
      <c r="E1706" s="11" t="s">
        <v>4056</v>
      </c>
      <c r="F1706" s="11" t="s">
        <v>4050</v>
      </c>
      <c r="G1706" s="1">
        <v>46261</v>
      </c>
      <c r="H1706" s="1">
        <v>46295</v>
      </c>
      <c r="I1706" s="2">
        <v>0.58333333333333337</v>
      </c>
      <c r="J1706" s="2">
        <v>0.875</v>
      </c>
      <c r="K1706" s="11" t="s">
        <v>285</v>
      </c>
      <c r="L1706" s="11" t="s">
        <v>286</v>
      </c>
      <c r="M1706" s="1"/>
      <c r="N1706" s="11"/>
      <c r="O1706" s="11" t="s">
        <v>4042</v>
      </c>
      <c r="P1706" s="1"/>
      <c r="Q1706" s="1"/>
      <c r="R1706" s="11"/>
      <c r="S1706" s="2">
        <f>CONSOLIDADO_2026[[#This Row],[Hora final]]-CONSOLIDADO_2026[[#This Row],[Hora inic]]</f>
        <v>0.29166666666666663</v>
      </c>
    </row>
    <row r="1707" spans="1:19" hidden="1" x14ac:dyDescent="0.25">
      <c r="A1707" t="s">
        <v>4314</v>
      </c>
      <c r="B1707">
        <v>1017232013</v>
      </c>
      <c r="C1707" t="s">
        <v>4317</v>
      </c>
      <c r="D1707" s="11" t="s">
        <v>28</v>
      </c>
      <c r="E1707" s="11" t="s">
        <v>4046</v>
      </c>
      <c r="F1707" s="11" t="s">
        <v>16</v>
      </c>
      <c r="G1707" s="1">
        <v>46260</v>
      </c>
      <c r="H1707" s="1">
        <v>46262</v>
      </c>
      <c r="I1707" s="2">
        <v>0.25</v>
      </c>
      <c r="J1707" s="2">
        <v>0.54166666666666663</v>
      </c>
      <c r="K1707" s="11"/>
      <c r="L1707" s="11" t="s">
        <v>327</v>
      </c>
      <c r="M1707" s="1"/>
      <c r="N1707" s="11"/>
      <c r="O1707" s="11" t="s">
        <v>4042</v>
      </c>
      <c r="P1707" s="1"/>
      <c r="Q1707" s="1"/>
      <c r="R1707" s="11"/>
      <c r="S1707" s="2">
        <f>CONSOLIDADO_2026[[#This Row],[Hora final]]-CONSOLIDADO_2026[[#This Row],[Hora inic]]</f>
        <v>0.29166666666666663</v>
      </c>
    </row>
    <row r="1708" spans="1:19" hidden="1" x14ac:dyDescent="0.25">
      <c r="A1708" t="s">
        <v>4314</v>
      </c>
      <c r="B1708">
        <v>1143267842</v>
      </c>
      <c r="C1708" t="s">
        <v>1501</v>
      </c>
      <c r="D1708" s="11" t="s">
        <v>128</v>
      </c>
      <c r="E1708" s="11" t="s">
        <v>4045</v>
      </c>
      <c r="F1708" s="11" t="s">
        <v>24</v>
      </c>
      <c r="G1708" s="1">
        <v>46260</v>
      </c>
      <c r="H1708" s="1">
        <v>46262</v>
      </c>
      <c r="I1708" s="2">
        <v>0.58333333333333337</v>
      </c>
      <c r="J1708" s="2">
        <v>0.875</v>
      </c>
      <c r="K1708" s="11" t="s">
        <v>196</v>
      </c>
      <c r="L1708" s="11" t="s">
        <v>197</v>
      </c>
      <c r="M1708" s="1"/>
      <c r="N1708" s="11"/>
      <c r="O1708" s="11" t="s">
        <v>21</v>
      </c>
      <c r="P1708" s="1"/>
      <c r="Q1708" s="1"/>
      <c r="R1708" s="11"/>
      <c r="S1708" s="2">
        <f>CONSOLIDADO_2026[[#This Row],[Hora final]]-CONSOLIDADO_2026[[#This Row],[Hora inic]]</f>
        <v>0.29166666666666663</v>
      </c>
    </row>
    <row r="1709" spans="1:19" hidden="1" x14ac:dyDescent="0.25">
      <c r="A1709" t="s">
        <v>4314</v>
      </c>
      <c r="B1709">
        <v>1067864151</v>
      </c>
      <c r="C1709" t="s">
        <v>1809</v>
      </c>
      <c r="D1709" s="11" t="s">
        <v>256</v>
      </c>
      <c r="E1709" s="11" t="s">
        <v>4040</v>
      </c>
      <c r="F1709" s="11" t="s">
        <v>16</v>
      </c>
      <c r="G1709" s="1">
        <v>46261</v>
      </c>
      <c r="H1709" s="1">
        <v>46268</v>
      </c>
      <c r="I1709" s="2">
        <v>0.58333333333333337</v>
      </c>
      <c r="J1709" s="2">
        <v>0.875</v>
      </c>
      <c r="K1709" s="11"/>
      <c r="L1709" s="11" t="s">
        <v>327</v>
      </c>
      <c r="M1709" s="1"/>
      <c r="N1709" s="11"/>
      <c r="O1709" s="11" t="s">
        <v>4042</v>
      </c>
      <c r="P1709" s="1"/>
      <c r="Q1709" s="1"/>
      <c r="R1709" s="11"/>
      <c r="S1709" s="2">
        <f>CONSOLIDADO_2026[[#This Row],[Hora final]]-CONSOLIDADO_2026[[#This Row],[Hora inic]]</f>
        <v>0.29166666666666663</v>
      </c>
    </row>
    <row r="1710" spans="1:19" hidden="1" x14ac:dyDescent="0.25">
      <c r="A1710" t="s">
        <v>4314</v>
      </c>
      <c r="B1710">
        <v>1143373273</v>
      </c>
      <c r="C1710" t="s">
        <v>2037</v>
      </c>
      <c r="D1710" s="11" t="s">
        <v>272</v>
      </c>
      <c r="E1710" s="11" t="s">
        <v>4056</v>
      </c>
      <c r="F1710" s="11" t="s">
        <v>16</v>
      </c>
      <c r="G1710" s="1">
        <v>46259</v>
      </c>
      <c r="H1710" s="1">
        <v>46266</v>
      </c>
      <c r="I1710" s="2">
        <v>0.54166666666666663</v>
      </c>
      <c r="J1710" s="2">
        <v>0.875</v>
      </c>
      <c r="K1710" s="11" t="s">
        <v>163</v>
      </c>
      <c r="L1710" s="11" t="s">
        <v>164</v>
      </c>
      <c r="M1710" s="1"/>
      <c r="N1710" s="11"/>
      <c r="O1710" s="11" t="s">
        <v>21</v>
      </c>
      <c r="P1710" s="1"/>
      <c r="Q1710" s="1"/>
      <c r="R1710" s="11"/>
      <c r="S1710" s="2">
        <f>CONSOLIDADO_2026[[#This Row],[Hora final]]-CONSOLIDADO_2026[[#This Row],[Hora inic]]</f>
        <v>0.33333333333333337</v>
      </c>
    </row>
    <row r="1711" spans="1:19" hidden="1" x14ac:dyDescent="0.25">
      <c r="A1711" t="s">
        <v>4314</v>
      </c>
      <c r="B1711">
        <v>1007959114</v>
      </c>
      <c r="C1711" t="s">
        <v>4154</v>
      </c>
      <c r="D1711" s="11" t="s">
        <v>39</v>
      </c>
      <c r="E1711" s="11" t="s">
        <v>4046</v>
      </c>
      <c r="F1711" s="11" t="s">
        <v>16</v>
      </c>
      <c r="G1711" s="1">
        <v>46261</v>
      </c>
      <c r="H1711" s="1">
        <v>46265</v>
      </c>
      <c r="I1711" s="2">
        <v>0.25</v>
      </c>
      <c r="J1711" s="2">
        <v>0.54166666666666663</v>
      </c>
      <c r="K1711" s="11"/>
      <c r="L1711" s="11" t="s">
        <v>327</v>
      </c>
      <c r="M1711" s="1"/>
      <c r="N1711" s="11"/>
      <c r="O1711" s="11" t="s">
        <v>4042</v>
      </c>
      <c r="P1711" s="1"/>
      <c r="Q1711" s="1"/>
      <c r="R1711" s="11"/>
      <c r="S1711" s="2">
        <f>CONSOLIDADO_2026[[#This Row],[Hora final]]-CONSOLIDADO_2026[[#This Row],[Hora inic]]</f>
        <v>0.29166666666666663</v>
      </c>
    </row>
    <row r="1712" spans="1:19" hidden="1" x14ac:dyDescent="0.25">
      <c r="A1712" t="s">
        <v>4314</v>
      </c>
      <c r="B1712">
        <v>1003930736</v>
      </c>
      <c r="C1712" t="s">
        <v>4319</v>
      </c>
      <c r="D1712" s="11" t="s">
        <v>51</v>
      </c>
      <c r="E1712" s="11" t="s">
        <v>4047</v>
      </c>
      <c r="F1712" s="11" t="s">
        <v>16</v>
      </c>
      <c r="G1712" s="1">
        <v>46261</v>
      </c>
      <c r="H1712" s="1">
        <v>46262</v>
      </c>
      <c r="I1712" s="2">
        <v>0.25</v>
      </c>
      <c r="J1712" s="2">
        <v>0.58333333333333337</v>
      </c>
      <c r="K1712" s="11"/>
      <c r="L1712" s="11" t="s">
        <v>327</v>
      </c>
      <c r="M1712" s="1"/>
      <c r="N1712" s="11"/>
      <c r="O1712" s="11" t="s">
        <v>4042</v>
      </c>
      <c r="P1712" s="1"/>
      <c r="Q1712" s="1"/>
      <c r="R1712" s="11"/>
      <c r="S1712" s="2">
        <f>CONSOLIDADO_2026[[#This Row],[Hora final]]-CONSOLIDADO_2026[[#This Row],[Hora inic]]</f>
        <v>0.33333333333333337</v>
      </c>
    </row>
    <row r="1713" spans="1:19" hidden="1" x14ac:dyDescent="0.25">
      <c r="A1713" t="s">
        <v>4314</v>
      </c>
      <c r="B1713">
        <v>1037660327</v>
      </c>
      <c r="C1713" t="s">
        <v>4302</v>
      </c>
      <c r="D1713" s="11" t="s">
        <v>68</v>
      </c>
      <c r="E1713" s="11" t="s">
        <v>4040</v>
      </c>
      <c r="F1713" s="11" t="s">
        <v>16</v>
      </c>
      <c r="G1713" s="1">
        <v>46260</v>
      </c>
      <c r="H1713" s="1">
        <v>46260</v>
      </c>
      <c r="I1713" s="2"/>
      <c r="J1713" s="2"/>
      <c r="K1713" s="11"/>
      <c r="L1713" s="11" t="s">
        <v>4041</v>
      </c>
      <c r="M1713" s="1"/>
      <c r="N1713" s="11"/>
      <c r="O1713" s="11" t="s">
        <v>4042</v>
      </c>
      <c r="P1713" s="1"/>
      <c r="Q1713" s="1"/>
      <c r="R1713" s="11"/>
      <c r="S1713" s="2">
        <f>CONSOLIDADO_2026[[#This Row],[Hora final]]-CONSOLIDADO_2026[[#This Row],[Hora inic]]</f>
        <v>0</v>
      </c>
    </row>
    <row r="1714" spans="1:19" hidden="1" x14ac:dyDescent="0.25">
      <c r="A1714" t="s">
        <v>4314</v>
      </c>
      <c r="B1714">
        <v>1015483595</v>
      </c>
      <c r="C1714" t="s">
        <v>221</v>
      </c>
      <c r="D1714" s="11" t="s">
        <v>15</v>
      </c>
      <c r="E1714" s="11" t="s">
        <v>4046</v>
      </c>
      <c r="F1714" s="11" t="s">
        <v>24</v>
      </c>
      <c r="G1714" s="1">
        <v>46244</v>
      </c>
      <c r="H1714" s="1">
        <v>46265</v>
      </c>
      <c r="I1714" s="2">
        <v>0.58333333333333337</v>
      </c>
      <c r="J1714" s="2">
        <v>0.875</v>
      </c>
      <c r="K1714" s="11" t="s">
        <v>318</v>
      </c>
      <c r="L1714" s="11" t="s">
        <v>319</v>
      </c>
      <c r="M1714" s="1"/>
      <c r="N1714" s="11"/>
      <c r="O1714" s="11" t="s">
        <v>21</v>
      </c>
      <c r="P1714" s="1"/>
      <c r="Q1714" s="1"/>
      <c r="R1714" s="11"/>
      <c r="S1714" s="2">
        <f>CONSOLIDADO_2026[[#This Row],[Hora final]]-CONSOLIDADO_2026[[#This Row],[Hora inic]]</f>
        <v>0.29166666666666663</v>
      </c>
    </row>
    <row r="1715" spans="1:19" hidden="1" x14ac:dyDescent="0.25">
      <c r="A1715" t="s">
        <v>4314</v>
      </c>
      <c r="B1715">
        <v>1037662189</v>
      </c>
      <c r="C1715" t="s">
        <v>3657</v>
      </c>
      <c r="D1715" s="11" t="s">
        <v>68</v>
      </c>
      <c r="E1715" s="11" t="s">
        <v>4040</v>
      </c>
      <c r="F1715" s="11" t="s">
        <v>4091</v>
      </c>
      <c r="G1715" s="1">
        <v>46260</v>
      </c>
      <c r="H1715" s="1">
        <v>46260</v>
      </c>
      <c r="I1715" s="2">
        <v>0.29166666666666669</v>
      </c>
      <c r="J1715" s="2">
        <v>0.625</v>
      </c>
      <c r="K1715" s="11"/>
      <c r="L1715" s="11" t="s">
        <v>327</v>
      </c>
      <c r="M1715" s="1"/>
      <c r="N1715" s="11"/>
      <c r="O1715" s="11" t="s">
        <v>4042</v>
      </c>
      <c r="P1715" s="1"/>
      <c r="Q1715" s="1"/>
      <c r="R1715" s="11"/>
      <c r="S1715" s="2">
        <f>CONSOLIDADO_2026[[#This Row],[Hora final]]-CONSOLIDADO_2026[[#This Row],[Hora inic]]</f>
        <v>0.33333333333333331</v>
      </c>
    </row>
    <row r="1716" spans="1:19" hidden="1" x14ac:dyDescent="0.25">
      <c r="A1716" t="s">
        <v>4314</v>
      </c>
      <c r="B1716">
        <v>1017238267</v>
      </c>
      <c r="C1716" t="s">
        <v>2537</v>
      </c>
      <c r="D1716" s="11" t="s">
        <v>55</v>
      </c>
      <c r="E1716" s="11" t="s">
        <v>4047</v>
      </c>
      <c r="F1716" s="11" t="s">
        <v>16</v>
      </c>
      <c r="G1716" s="1">
        <v>46259</v>
      </c>
      <c r="H1716" s="1">
        <v>46261</v>
      </c>
      <c r="I1716" s="2"/>
      <c r="J1716" s="2"/>
      <c r="K1716" s="11"/>
      <c r="L1716" s="11" t="s">
        <v>4041</v>
      </c>
      <c r="M1716" s="1"/>
      <c r="N1716" s="11"/>
      <c r="O1716" s="11" t="s">
        <v>4042</v>
      </c>
      <c r="P1716" s="1"/>
      <c r="Q1716" s="1"/>
      <c r="R1716" s="11"/>
      <c r="S1716" s="2">
        <f>CONSOLIDADO_2026[[#This Row],[Hora final]]-CONSOLIDADO_2026[[#This Row],[Hora inic]]</f>
        <v>0</v>
      </c>
    </row>
    <row r="1717" spans="1:19" hidden="1" x14ac:dyDescent="0.25">
      <c r="A1717" t="s">
        <v>4314</v>
      </c>
      <c r="B1717">
        <v>1003045926</v>
      </c>
      <c r="C1717" t="s">
        <v>2063</v>
      </c>
      <c r="D1717" s="11" t="s">
        <v>124</v>
      </c>
      <c r="E1717" s="11" t="s">
        <v>4045</v>
      </c>
      <c r="F1717" s="11" t="s">
        <v>16</v>
      </c>
      <c r="G1717" s="1">
        <v>46258</v>
      </c>
      <c r="H1717" s="1">
        <v>46262</v>
      </c>
      <c r="I1717" s="2">
        <v>0.58333333333333337</v>
      </c>
      <c r="J1717" s="2">
        <v>0.875</v>
      </c>
      <c r="K1717" s="11"/>
      <c r="L1717" s="11" t="s">
        <v>327</v>
      </c>
      <c r="M1717" s="1"/>
      <c r="N1717" s="11"/>
      <c r="O1717" s="11" t="s">
        <v>4042</v>
      </c>
      <c r="P1717" s="1"/>
      <c r="Q1717" s="1"/>
      <c r="R1717" s="11"/>
      <c r="S1717" s="2">
        <f>CONSOLIDADO_2026[[#This Row],[Hora final]]-CONSOLIDADO_2026[[#This Row],[Hora inic]]</f>
        <v>0.29166666666666663</v>
      </c>
    </row>
    <row r="1718" spans="1:19" hidden="1" x14ac:dyDescent="0.25">
      <c r="A1718" t="s">
        <v>4314</v>
      </c>
      <c r="B1718">
        <v>1010135017</v>
      </c>
      <c r="C1718" t="s">
        <v>1311</v>
      </c>
      <c r="D1718" s="11" t="s">
        <v>256</v>
      </c>
      <c r="E1718" s="11" t="s">
        <v>4040</v>
      </c>
      <c r="F1718" s="11" t="s">
        <v>16</v>
      </c>
      <c r="G1718" s="1">
        <v>46259</v>
      </c>
      <c r="H1718" s="1">
        <v>46261</v>
      </c>
      <c r="I1718" s="2"/>
      <c r="J1718" s="2"/>
      <c r="K1718" s="11"/>
      <c r="L1718" s="11" t="s">
        <v>4041</v>
      </c>
      <c r="M1718" s="1"/>
      <c r="N1718" s="11"/>
      <c r="O1718" s="11" t="s">
        <v>4042</v>
      </c>
      <c r="P1718" s="1"/>
      <c r="Q1718" s="1"/>
      <c r="R1718" s="11"/>
      <c r="S1718" s="2">
        <f>CONSOLIDADO_2026[[#This Row],[Hora final]]-CONSOLIDADO_2026[[#This Row],[Hora inic]]</f>
        <v>0</v>
      </c>
    </row>
    <row r="1719" spans="1:19" hidden="1" x14ac:dyDescent="0.25">
      <c r="A1719" t="s">
        <v>4314</v>
      </c>
      <c r="B1719">
        <v>1143375080</v>
      </c>
      <c r="C1719" t="s">
        <v>157</v>
      </c>
      <c r="D1719" s="11" t="s">
        <v>44</v>
      </c>
      <c r="E1719" s="11" t="s">
        <v>4045</v>
      </c>
      <c r="F1719" s="11" t="s">
        <v>16</v>
      </c>
      <c r="G1719" s="1">
        <v>46258</v>
      </c>
      <c r="H1719" s="1">
        <v>46287</v>
      </c>
      <c r="I1719" s="2">
        <v>0.25</v>
      </c>
      <c r="J1719" s="2">
        <v>0.54166666666666663</v>
      </c>
      <c r="K1719" s="11" t="s">
        <v>240</v>
      </c>
      <c r="L1719" s="11" t="s">
        <v>241</v>
      </c>
      <c r="M1719" s="1"/>
      <c r="N1719" s="11"/>
      <c r="O1719" s="11" t="s">
        <v>21</v>
      </c>
      <c r="P1719" s="1"/>
      <c r="Q1719" s="1"/>
      <c r="R1719" s="11"/>
      <c r="S1719" s="2">
        <f>CONSOLIDADO_2026[[#This Row],[Hora final]]-CONSOLIDADO_2026[[#This Row],[Hora inic]]</f>
        <v>0.29166666666666663</v>
      </c>
    </row>
    <row r="1720" spans="1:19" hidden="1" x14ac:dyDescent="0.25">
      <c r="A1720" t="s">
        <v>4314</v>
      </c>
      <c r="B1720">
        <v>1037631989</v>
      </c>
      <c r="C1720" t="s">
        <v>27</v>
      </c>
      <c r="D1720" s="11" t="s">
        <v>28</v>
      </c>
      <c r="E1720" s="11" t="s">
        <v>4046</v>
      </c>
      <c r="F1720" s="11" t="s">
        <v>16</v>
      </c>
      <c r="G1720" s="1">
        <v>46256</v>
      </c>
      <c r="H1720" s="1">
        <v>46285</v>
      </c>
      <c r="I1720" s="2">
        <v>0.54166666666666663</v>
      </c>
      <c r="J1720" s="2">
        <v>0.875</v>
      </c>
      <c r="K1720" s="11"/>
      <c r="L1720" s="11" t="s">
        <v>327</v>
      </c>
      <c r="M1720" s="1"/>
      <c r="N1720" s="11"/>
      <c r="O1720" s="11" t="s">
        <v>4042</v>
      </c>
      <c r="P1720" s="1"/>
      <c r="Q1720" s="1"/>
      <c r="R1720" s="11"/>
      <c r="S1720" s="2">
        <f>CONSOLIDADO_2026[[#This Row],[Hora final]]-CONSOLIDADO_2026[[#This Row],[Hora inic]]</f>
        <v>0.33333333333333337</v>
      </c>
    </row>
    <row r="1721" spans="1:19" hidden="1" x14ac:dyDescent="0.25">
      <c r="A1721" t="s">
        <v>4314</v>
      </c>
      <c r="B1721">
        <v>1032488873</v>
      </c>
      <c r="C1721" t="s">
        <v>4240</v>
      </c>
      <c r="D1721" s="11" t="s">
        <v>55</v>
      </c>
      <c r="E1721" s="11" t="s">
        <v>4047</v>
      </c>
      <c r="F1721" s="11" t="s">
        <v>16</v>
      </c>
      <c r="G1721" s="1">
        <v>46259</v>
      </c>
      <c r="H1721" s="1">
        <v>46263</v>
      </c>
      <c r="I1721" s="2">
        <v>0.58333333333333337</v>
      </c>
      <c r="J1721" s="2">
        <v>0.875</v>
      </c>
      <c r="K1721" s="11" t="s">
        <v>150</v>
      </c>
      <c r="L1721" s="11" t="s">
        <v>151</v>
      </c>
      <c r="M1721" s="1"/>
      <c r="N1721" s="11"/>
      <c r="O1721" s="11" t="s">
        <v>21</v>
      </c>
      <c r="P1721" s="1"/>
      <c r="Q1721" s="1"/>
      <c r="R1721" s="11"/>
      <c r="S1721" s="2">
        <f>CONSOLIDADO_2026[[#This Row],[Hora final]]-CONSOLIDADO_2026[[#This Row],[Hora inic]]</f>
        <v>0.29166666666666663</v>
      </c>
    </row>
    <row r="1722" spans="1:19" hidden="1" x14ac:dyDescent="0.25">
      <c r="A1722" t="s">
        <v>4314</v>
      </c>
      <c r="B1722">
        <v>1017264032</v>
      </c>
      <c r="C1722" t="s">
        <v>88</v>
      </c>
      <c r="D1722" s="11" t="s">
        <v>55</v>
      </c>
      <c r="E1722" s="11" t="s">
        <v>4047</v>
      </c>
      <c r="F1722" s="11" t="s">
        <v>16</v>
      </c>
      <c r="G1722" s="1">
        <v>46259</v>
      </c>
      <c r="H1722" s="1">
        <v>46265</v>
      </c>
      <c r="I1722" s="2">
        <v>0.58333333333333337</v>
      </c>
      <c r="J1722" s="2">
        <v>0.875</v>
      </c>
      <c r="K1722" s="11" t="s">
        <v>213</v>
      </c>
      <c r="L1722" s="11" t="s">
        <v>214</v>
      </c>
      <c r="M1722" s="1"/>
      <c r="N1722" s="11"/>
      <c r="O1722" s="11" t="s">
        <v>21</v>
      </c>
      <c r="P1722" s="1"/>
      <c r="Q1722" s="1"/>
      <c r="R1722" s="11"/>
      <c r="S1722" s="2">
        <f>CONSOLIDADO_2026[[#This Row],[Hora final]]-CONSOLIDADO_2026[[#This Row],[Hora inic]]</f>
        <v>0.29166666666666663</v>
      </c>
    </row>
    <row r="1723" spans="1:19" hidden="1" x14ac:dyDescent="0.25">
      <c r="A1723" t="s">
        <v>4314</v>
      </c>
      <c r="B1723">
        <v>1000294973</v>
      </c>
      <c r="C1723" t="s">
        <v>1266</v>
      </c>
      <c r="D1723" s="11" t="s">
        <v>15</v>
      </c>
      <c r="E1723" s="11" t="s">
        <v>4046</v>
      </c>
      <c r="F1723" s="11" t="s">
        <v>4123</v>
      </c>
      <c r="G1723" s="1">
        <v>46260</v>
      </c>
      <c r="H1723" s="1">
        <v>46262</v>
      </c>
      <c r="I1723" s="2">
        <v>0.58333333333333337</v>
      </c>
      <c r="J1723" s="2">
        <v>0.875</v>
      </c>
      <c r="K1723" s="11" t="s">
        <v>103</v>
      </c>
      <c r="L1723" s="11" t="s">
        <v>104</v>
      </c>
      <c r="M1723" s="1"/>
      <c r="N1723" s="11"/>
      <c r="O1723" s="11" t="s">
        <v>21</v>
      </c>
      <c r="P1723" s="1"/>
      <c r="Q1723" s="1"/>
      <c r="R1723" s="11"/>
      <c r="S1723" s="2">
        <f>CONSOLIDADO_2026[[#This Row],[Hora final]]-CONSOLIDADO_2026[[#This Row],[Hora inic]]</f>
        <v>0.29166666666666663</v>
      </c>
    </row>
    <row r="1724" spans="1:19" hidden="1" x14ac:dyDescent="0.25">
      <c r="A1724" t="s">
        <v>4314</v>
      </c>
      <c r="B1724">
        <v>1152434926</v>
      </c>
      <c r="C1724" t="s">
        <v>217</v>
      </c>
      <c r="D1724" s="11" t="s">
        <v>59</v>
      </c>
      <c r="E1724" s="11" t="s">
        <v>4047</v>
      </c>
      <c r="F1724" s="11" t="s">
        <v>16</v>
      </c>
      <c r="G1724" s="1">
        <v>46258</v>
      </c>
      <c r="H1724" s="1">
        <v>46263</v>
      </c>
      <c r="I1724" s="2">
        <v>0.25</v>
      </c>
      <c r="J1724" s="2">
        <v>0.54166666666666663</v>
      </c>
      <c r="K1724" s="11"/>
      <c r="L1724" s="11" t="s">
        <v>327</v>
      </c>
      <c r="M1724" s="1"/>
      <c r="N1724" s="11"/>
      <c r="O1724" s="11" t="s">
        <v>4042</v>
      </c>
      <c r="P1724" s="1"/>
      <c r="Q1724" s="1"/>
      <c r="R1724" s="11"/>
      <c r="S1724" s="2">
        <f>CONSOLIDADO_2026[[#This Row],[Hora final]]-CONSOLIDADO_2026[[#This Row],[Hora inic]]</f>
        <v>0.29166666666666663</v>
      </c>
    </row>
    <row r="1725" spans="1:19" hidden="1" x14ac:dyDescent="0.25">
      <c r="A1725" t="s">
        <v>4314</v>
      </c>
      <c r="B1725">
        <v>71317684</v>
      </c>
      <c r="C1725" t="s">
        <v>4304</v>
      </c>
      <c r="D1725" s="11" t="s">
        <v>44</v>
      </c>
      <c r="E1725" s="11" t="s">
        <v>4045</v>
      </c>
      <c r="F1725" s="11" t="s">
        <v>24</v>
      </c>
      <c r="G1725" s="1">
        <v>46261</v>
      </c>
      <c r="H1725" s="1">
        <v>46261</v>
      </c>
      <c r="I1725" s="2"/>
      <c r="J1725" s="2"/>
      <c r="K1725" s="11"/>
      <c r="L1725" s="11" t="s">
        <v>4041</v>
      </c>
      <c r="M1725" s="1"/>
      <c r="N1725" s="11"/>
      <c r="O1725" s="11" t="s">
        <v>4042</v>
      </c>
      <c r="P1725" s="1"/>
      <c r="Q1725" s="1"/>
      <c r="R1725" s="11"/>
      <c r="S1725" s="2">
        <f>CONSOLIDADO_2026[[#This Row],[Hora final]]-CONSOLIDADO_2026[[#This Row],[Hora inic]]</f>
        <v>0</v>
      </c>
    </row>
    <row r="1726" spans="1:19" hidden="1" x14ac:dyDescent="0.25">
      <c r="A1726" t="s">
        <v>4314</v>
      </c>
      <c r="B1726">
        <v>1096223065</v>
      </c>
      <c r="C1726" t="s">
        <v>3428</v>
      </c>
      <c r="D1726" s="11" t="s">
        <v>59</v>
      </c>
      <c r="E1726" s="11" t="s">
        <v>4047</v>
      </c>
      <c r="F1726" s="11" t="s">
        <v>24</v>
      </c>
      <c r="G1726" s="1">
        <v>46253</v>
      </c>
      <c r="H1726" s="1">
        <v>46265</v>
      </c>
      <c r="I1726" s="2">
        <v>0.54166666666666663</v>
      </c>
      <c r="J1726" s="2">
        <v>0.83333333333333337</v>
      </c>
      <c r="K1726" s="11" t="s">
        <v>251</v>
      </c>
      <c r="L1726" s="11" t="s">
        <v>252</v>
      </c>
      <c r="M1726" s="1"/>
      <c r="N1726" s="11"/>
      <c r="O1726" s="11" t="s">
        <v>21</v>
      </c>
      <c r="P1726" s="1"/>
      <c r="Q1726" s="1"/>
      <c r="R1726" s="11"/>
      <c r="S1726" s="2">
        <f>CONSOLIDADO_2026[[#This Row],[Hora final]]-CONSOLIDADO_2026[[#This Row],[Hora inic]]</f>
        <v>0.29166666666666674</v>
      </c>
    </row>
    <row r="1727" spans="1:19" hidden="1" x14ac:dyDescent="0.25">
      <c r="A1727" t="s">
        <v>4314</v>
      </c>
      <c r="B1727">
        <v>1102878409</v>
      </c>
      <c r="C1727" t="s">
        <v>479</v>
      </c>
      <c r="D1727" s="11" t="s">
        <v>51</v>
      </c>
      <c r="E1727" s="11" t="s">
        <v>4047</v>
      </c>
      <c r="F1727" s="11" t="s">
        <v>4147</v>
      </c>
      <c r="G1727" s="1">
        <v>46261</v>
      </c>
      <c r="H1727" s="1">
        <v>46261</v>
      </c>
      <c r="I1727" s="2"/>
      <c r="J1727" s="2"/>
      <c r="K1727" s="11"/>
      <c r="L1727" s="11" t="s">
        <v>4041</v>
      </c>
      <c r="M1727" s="1"/>
      <c r="N1727" s="11"/>
      <c r="O1727" s="11" t="s">
        <v>4042</v>
      </c>
      <c r="P1727" s="1"/>
      <c r="Q1727" s="1"/>
      <c r="R1727" s="11"/>
      <c r="S1727" s="2">
        <f>CONSOLIDADO_2026[[#This Row],[Hora final]]-CONSOLIDADO_2026[[#This Row],[Hora inic]]</f>
        <v>0</v>
      </c>
    </row>
    <row r="1728" spans="1:19" hidden="1" x14ac:dyDescent="0.25">
      <c r="A1728" t="s">
        <v>4314</v>
      </c>
      <c r="B1728">
        <v>1045718883</v>
      </c>
      <c r="C1728" t="s">
        <v>34</v>
      </c>
      <c r="D1728" s="11" t="s">
        <v>15</v>
      </c>
      <c r="E1728" s="11" t="s">
        <v>4046</v>
      </c>
      <c r="F1728" s="11" t="s">
        <v>36</v>
      </c>
      <c r="G1728" s="1">
        <v>46244</v>
      </c>
      <c r="H1728" s="1">
        <v>46393</v>
      </c>
      <c r="I1728" s="2">
        <v>0.25</v>
      </c>
      <c r="J1728" s="2">
        <v>0.54166666666666663</v>
      </c>
      <c r="K1728" s="11"/>
      <c r="L1728" s="11" t="s">
        <v>327</v>
      </c>
      <c r="M1728" s="1"/>
      <c r="N1728" s="11"/>
      <c r="O1728" s="11" t="s">
        <v>4042</v>
      </c>
      <c r="P1728" s="1"/>
      <c r="Q1728" s="1"/>
      <c r="R1728" s="11"/>
      <c r="S1728" s="2">
        <f>CONSOLIDADO_2026[[#This Row],[Hora final]]-CONSOLIDADO_2026[[#This Row],[Hora inic]]</f>
        <v>0.29166666666666663</v>
      </c>
    </row>
    <row r="1729" spans="1:19" hidden="1" x14ac:dyDescent="0.25">
      <c r="A1729" t="s">
        <v>4314</v>
      </c>
      <c r="B1729">
        <v>1043006106</v>
      </c>
      <c r="C1729" t="s">
        <v>63</v>
      </c>
      <c r="D1729" s="11" t="s">
        <v>64</v>
      </c>
      <c r="E1729" s="11" t="s">
        <v>4046</v>
      </c>
      <c r="F1729" s="11" t="s">
        <v>16</v>
      </c>
      <c r="G1729" s="1">
        <v>46249</v>
      </c>
      <c r="H1729" s="1">
        <v>46278</v>
      </c>
      <c r="I1729" s="2">
        <v>0.58333333333333337</v>
      </c>
      <c r="J1729" s="2">
        <v>0.875</v>
      </c>
      <c r="K1729" s="11"/>
      <c r="L1729" s="11" t="s">
        <v>327</v>
      </c>
      <c r="M1729" s="1"/>
      <c r="N1729" s="11"/>
      <c r="O1729" s="11" t="s">
        <v>4042</v>
      </c>
      <c r="P1729" s="1"/>
      <c r="Q1729" s="1"/>
      <c r="R1729" s="11"/>
      <c r="S1729" s="2">
        <f>CONSOLIDADO_2026[[#This Row],[Hora final]]-CONSOLIDADO_2026[[#This Row],[Hora inic]]</f>
        <v>0.29166666666666663</v>
      </c>
    </row>
    <row r="1730" spans="1:19" hidden="1" x14ac:dyDescent="0.25">
      <c r="A1730" t="s">
        <v>4314</v>
      </c>
      <c r="B1730">
        <v>1040755197</v>
      </c>
      <c r="C1730" t="s">
        <v>171</v>
      </c>
      <c r="D1730" s="11" t="s">
        <v>102</v>
      </c>
      <c r="E1730" s="11" t="s">
        <v>4046</v>
      </c>
      <c r="F1730" s="11" t="s">
        <v>16</v>
      </c>
      <c r="G1730" s="1">
        <v>46252</v>
      </c>
      <c r="H1730" s="1">
        <v>46262</v>
      </c>
      <c r="I1730" s="2">
        <v>0.54166666666666663</v>
      </c>
      <c r="J1730" s="2">
        <v>0.875</v>
      </c>
      <c r="K1730" s="11" t="s">
        <v>222</v>
      </c>
      <c r="L1730" s="11" t="s">
        <v>223</v>
      </c>
      <c r="M1730" s="1"/>
      <c r="N1730" s="11"/>
      <c r="O1730" s="11" t="s">
        <v>21</v>
      </c>
      <c r="P1730" s="1"/>
      <c r="Q1730" s="1"/>
      <c r="R1730" s="11"/>
      <c r="S1730" s="2">
        <f>CONSOLIDADO_2026[[#This Row],[Hora final]]-CONSOLIDADO_2026[[#This Row],[Hora inic]]</f>
        <v>0.33333333333333337</v>
      </c>
    </row>
    <row r="1731" spans="1:19" hidden="1" x14ac:dyDescent="0.25">
      <c r="A1731" t="s">
        <v>4314</v>
      </c>
      <c r="B1731">
        <v>1102808787</v>
      </c>
      <c r="C1731" t="s">
        <v>135</v>
      </c>
      <c r="D1731" s="11" t="s">
        <v>39</v>
      </c>
      <c r="E1731" s="11" t="s">
        <v>4046</v>
      </c>
      <c r="F1731" s="11" t="s">
        <v>16</v>
      </c>
      <c r="G1731" s="1">
        <v>46245</v>
      </c>
      <c r="H1731" s="1">
        <v>46276</v>
      </c>
      <c r="I1731" s="2">
        <v>0.25</v>
      </c>
      <c r="J1731" s="2">
        <v>0.58333333333333337</v>
      </c>
      <c r="K1731" s="11"/>
      <c r="L1731" s="11" t="s">
        <v>327</v>
      </c>
      <c r="M1731" s="1"/>
      <c r="N1731" s="11"/>
      <c r="O1731" s="11" t="s">
        <v>4042</v>
      </c>
      <c r="P1731" s="1"/>
      <c r="Q1731" s="1"/>
      <c r="R1731" s="11"/>
      <c r="S1731" s="2">
        <f>CONSOLIDADO_2026[[#This Row],[Hora final]]-CONSOLIDADO_2026[[#This Row],[Hora inic]]</f>
        <v>0.33333333333333337</v>
      </c>
    </row>
    <row r="1732" spans="1:19" hidden="1" x14ac:dyDescent="0.25">
      <c r="A1732" t="s">
        <v>4314</v>
      </c>
      <c r="B1732">
        <v>1037638426</v>
      </c>
      <c r="C1732" t="s">
        <v>61</v>
      </c>
      <c r="D1732" s="11" t="s">
        <v>28</v>
      </c>
      <c r="E1732" s="11" t="s">
        <v>4046</v>
      </c>
      <c r="F1732" s="11" t="s">
        <v>24</v>
      </c>
      <c r="G1732" s="1">
        <v>46249</v>
      </c>
      <c r="H1732" s="1">
        <v>46264</v>
      </c>
      <c r="I1732" s="2">
        <v>0.25</v>
      </c>
      <c r="J1732" s="2">
        <v>0.54166666666666663</v>
      </c>
      <c r="K1732" s="11" t="s">
        <v>300</v>
      </c>
      <c r="L1732" s="11" t="s">
        <v>301</v>
      </c>
      <c r="M1732" s="1"/>
      <c r="N1732" s="11"/>
      <c r="O1732" s="11" t="s">
        <v>21</v>
      </c>
      <c r="P1732" s="1"/>
      <c r="Q1732" s="1"/>
      <c r="R1732" s="11"/>
      <c r="S1732" s="2">
        <f>CONSOLIDADO_2026[[#This Row],[Hora final]]-CONSOLIDADO_2026[[#This Row],[Hora inic]]</f>
        <v>0.29166666666666663</v>
      </c>
    </row>
    <row r="1733" spans="1:19" hidden="1" x14ac:dyDescent="0.25">
      <c r="A1733" t="s">
        <v>4314</v>
      </c>
      <c r="B1733">
        <v>1082896324</v>
      </c>
      <c r="C1733" t="s">
        <v>127</v>
      </c>
      <c r="D1733" s="11" t="s">
        <v>128</v>
      </c>
      <c r="E1733" s="11" t="s">
        <v>4045</v>
      </c>
      <c r="F1733" s="11" t="s">
        <v>16</v>
      </c>
      <c r="G1733" s="1">
        <v>46242</v>
      </c>
      <c r="H1733" s="1">
        <v>46272</v>
      </c>
      <c r="I1733" s="2">
        <v>0.25</v>
      </c>
      <c r="J1733" s="2">
        <v>0.54166666666666663</v>
      </c>
      <c r="K1733" s="11"/>
      <c r="L1733" s="11" t="s">
        <v>327</v>
      </c>
      <c r="M1733" s="1"/>
      <c r="N1733" s="11"/>
      <c r="O1733" s="11" t="s">
        <v>4042</v>
      </c>
      <c r="P1733" s="1"/>
      <c r="Q1733" s="1"/>
      <c r="R1733" s="11"/>
      <c r="S1733" s="2">
        <f>CONSOLIDADO_2026[[#This Row],[Hora final]]-CONSOLIDADO_2026[[#This Row],[Hora inic]]</f>
        <v>0.29166666666666663</v>
      </c>
    </row>
    <row r="1734" spans="1:19" hidden="1" x14ac:dyDescent="0.25">
      <c r="A1734" t="s">
        <v>4314</v>
      </c>
      <c r="B1734">
        <v>1152446353</v>
      </c>
      <c r="C1734" t="s">
        <v>205</v>
      </c>
      <c r="D1734" s="11" t="s">
        <v>51</v>
      </c>
      <c r="E1734" s="11" t="s">
        <v>4047</v>
      </c>
      <c r="F1734" s="11" t="s">
        <v>92</v>
      </c>
      <c r="G1734" s="1">
        <v>46236</v>
      </c>
      <c r="H1734" s="1">
        <v>46262</v>
      </c>
      <c r="I1734" s="2">
        <v>0.25</v>
      </c>
      <c r="J1734" s="2">
        <v>0.54166666666666663</v>
      </c>
      <c r="K1734" s="11" t="s">
        <v>85</v>
      </c>
      <c r="L1734" s="11" t="s">
        <v>86</v>
      </c>
      <c r="M1734" s="1"/>
      <c r="N1734" s="11"/>
      <c r="O1734" s="11" t="s">
        <v>21</v>
      </c>
      <c r="P1734" s="1"/>
      <c r="Q1734" s="1"/>
      <c r="R1734" s="11"/>
      <c r="S1734" s="2">
        <f>CONSOLIDADO_2026[[#This Row],[Hora final]]-CONSOLIDADO_2026[[#This Row],[Hora inic]]</f>
        <v>0.29166666666666663</v>
      </c>
    </row>
    <row r="1735" spans="1:19" hidden="1" x14ac:dyDescent="0.25">
      <c r="A1735" t="s">
        <v>4314</v>
      </c>
      <c r="B1735">
        <v>1000944725</v>
      </c>
      <c r="C1735" t="s">
        <v>3007</v>
      </c>
      <c r="D1735" s="11" t="s">
        <v>78</v>
      </c>
      <c r="E1735" s="11" t="s">
        <v>4046</v>
      </c>
      <c r="F1735" s="11" t="s">
        <v>16</v>
      </c>
      <c r="G1735" s="1">
        <v>46258</v>
      </c>
      <c r="H1735" s="1">
        <v>46267</v>
      </c>
      <c r="I1735" s="2">
        <v>0.58333333333333337</v>
      </c>
      <c r="J1735" s="2">
        <v>0.875</v>
      </c>
      <c r="K1735" s="11"/>
      <c r="L1735" s="11" t="s">
        <v>327</v>
      </c>
      <c r="M1735" s="1"/>
      <c r="N1735" s="11"/>
      <c r="O1735" s="11" t="s">
        <v>4042</v>
      </c>
      <c r="P1735" s="1"/>
      <c r="Q1735" s="1"/>
      <c r="R1735" s="11"/>
      <c r="S1735" s="2">
        <f>CONSOLIDADO_2026[[#This Row],[Hora final]]-CONSOLIDADO_2026[[#This Row],[Hora inic]]</f>
        <v>0.29166666666666663</v>
      </c>
    </row>
    <row r="1736" spans="1:19" hidden="1" x14ac:dyDescent="0.25">
      <c r="A1736" t="s">
        <v>4314</v>
      </c>
      <c r="B1736">
        <v>1001851670</v>
      </c>
      <c r="C1736" t="s">
        <v>50</v>
      </c>
      <c r="D1736" s="11" t="s">
        <v>51</v>
      </c>
      <c r="E1736" s="11" t="s">
        <v>4047</v>
      </c>
      <c r="F1736" s="11" t="s">
        <v>36</v>
      </c>
      <c r="G1736" s="1">
        <v>46241</v>
      </c>
      <c r="H1736" s="1">
        <v>46366</v>
      </c>
      <c r="I1736" s="2">
        <v>0.25</v>
      </c>
      <c r="J1736" s="2">
        <v>0.54166666666666663</v>
      </c>
      <c r="K1736" s="11"/>
      <c r="L1736" s="11" t="s">
        <v>327</v>
      </c>
      <c r="M1736" s="1"/>
      <c r="N1736" s="11"/>
      <c r="O1736" s="11" t="s">
        <v>4042</v>
      </c>
      <c r="P1736" s="1"/>
      <c r="Q1736" s="1"/>
      <c r="R1736" s="11"/>
      <c r="S1736" s="2">
        <f>CONSOLIDADO_2026[[#This Row],[Hora final]]-CONSOLIDADO_2026[[#This Row],[Hora inic]]</f>
        <v>0.29166666666666663</v>
      </c>
    </row>
    <row r="1737" spans="1:19" hidden="1" x14ac:dyDescent="0.25">
      <c r="A1737" t="s">
        <v>4314</v>
      </c>
      <c r="B1737">
        <v>1000415206</v>
      </c>
      <c r="C1737" t="s">
        <v>325</v>
      </c>
      <c r="D1737" s="11" t="s">
        <v>82</v>
      </c>
      <c r="E1737" s="11" t="s">
        <v>4045</v>
      </c>
      <c r="F1737" s="11" t="s">
        <v>326</v>
      </c>
      <c r="G1737" s="1">
        <v>46258</v>
      </c>
      <c r="H1737" s="1">
        <v>46262</v>
      </c>
      <c r="I1737" s="2">
        <v>0.54166666666666663</v>
      </c>
      <c r="J1737" s="2">
        <v>0.83333333333333337</v>
      </c>
      <c r="K1737" s="11" t="s">
        <v>231</v>
      </c>
      <c r="L1737" s="11" t="s">
        <v>232</v>
      </c>
      <c r="M1737" s="1"/>
      <c r="N1737" s="11"/>
      <c r="O1737" s="11" t="s">
        <v>21</v>
      </c>
      <c r="P1737" s="1"/>
      <c r="Q1737" s="1"/>
      <c r="R1737" s="11"/>
      <c r="S1737" s="2">
        <f>CONSOLIDADO_2026[[#This Row],[Hora final]]-CONSOLIDADO_2026[[#This Row],[Hora inic]]</f>
        <v>0.29166666666666674</v>
      </c>
    </row>
    <row r="1738" spans="1:19" hidden="1" x14ac:dyDescent="0.25">
      <c r="A1738" t="s">
        <v>4314</v>
      </c>
      <c r="B1738">
        <v>42141273</v>
      </c>
      <c r="C1738" t="s">
        <v>271</v>
      </c>
      <c r="D1738" s="11" t="s">
        <v>272</v>
      </c>
      <c r="E1738" s="11" t="s">
        <v>4056</v>
      </c>
      <c r="F1738" s="11" t="s">
        <v>4065</v>
      </c>
      <c r="G1738" s="1">
        <v>46238</v>
      </c>
      <c r="H1738" s="1">
        <v>46295</v>
      </c>
      <c r="I1738" s="2">
        <v>0.25</v>
      </c>
      <c r="J1738" s="2">
        <v>0.5</v>
      </c>
      <c r="K1738" s="11" t="s">
        <v>184</v>
      </c>
      <c r="L1738" s="11" t="s">
        <v>185</v>
      </c>
      <c r="M1738" s="1"/>
      <c r="N1738" s="11"/>
      <c r="O1738" s="11" t="s">
        <v>4042</v>
      </c>
      <c r="P1738" s="1"/>
      <c r="Q1738" s="1"/>
      <c r="R1738" s="11"/>
      <c r="S1738" s="2">
        <f>CONSOLIDADO_2026[[#This Row],[Hora final]]-CONSOLIDADO_2026[[#This Row],[Hora inic]]</f>
        <v>0.25</v>
      </c>
    </row>
    <row r="1739" spans="1:19" hidden="1" x14ac:dyDescent="0.25">
      <c r="A1739" t="s">
        <v>4314</v>
      </c>
      <c r="B1739">
        <v>1005424850</v>
      </c>
      <c r="C1739" t="s">
        <v>95</v>
      </c>
      <c r="D1739" s="11" t="s">
        <v>82</v>
      </c>
      <c r="E1739" s="11" t="s">
        <v>4045</v>
      </c>
      <c r="F1739" s="11" t="s">
        <v>24</v>
      </c>
      <c r="G1739" s="1">
        <v>46261</v>
      </c>
      <c r="H1739" s="1">
        <v>46262</v>
      </c>
      <c r="I1739" s="2">
        <v>0.5</v>
      </c>
      <c r="J1739" s="2">
        <v>0.83333333333333337</v>
      </c>
      <c r="K1739" s="11" t="s">
        <v>303</v>
      </c>
      <c r="L1739" s="11" t="s">
        <v>304</v>
      </c>
      <c r="M1739" s="1"/>
      <c r="N1739" s="11"/>
      <c r="O1739" s="11" t="s">
        <v>4042</v>
      </c>
      <c r="P1739" s="1"/>
      <c r="Q1739" s="1"/>
      <c r="R1739" s="11"/>
      <c r="S1739" s="2">
        <f>CONSOLIDADO_2026[[#This Row],[Hora final]]-CONSOLIDADO_2026[[#This Row],[Hora inic]]</f>
        <v>0.33333333333333337</v>
      </c>
    </row>
    <row r="1740" spans="1:19" hidden="1" x14ac:dyDescent="0.25">
      <c r="A1740" t="s">
        <v>4314</v>
      </c>
      <c r="B1740">
        <v>1152221372</v>
      </c>
      <c r="C1740" t="s">
        <v>4072</v>
      </c>
      <c r="D1740" s="11" t="s">
        <v>139</v>
      </c>
      <c r="E1740" s="11" t="s">
        <v>4040</v>
      </c>
      <c r="F1740" s="11" t="s">
        <v>158</v>
      </c>
      <c r="G1740" s="1">
        <v>46230</v>
      </c>
      <c r="H1740" s="1">
        <v>46230</v>
      </c>
      <c r="I1740" s="2">
        <v>0.58333333333333337</v>
      </c>
      <c r="J1740" s="2">
        <v>0.875</v>
      </c>
      <c r="K1740" s="11"/>
      <c r="L1740" s="11" t="s">
        <v>327</v>
      </c>
      <c r="M1740" s="1"/>
      <c r="N1740" s="11"/>
      <c r="O1740" s="11" t="s">
        <v>4042</v>
      </c>
      <c r="P1740" s="1"/>
      <c r="Q1740" s="1"/>
      <c r="R1740" s="11"/>
      <c r="S1740" s="2">
        <f>CONSOLIDADO_2026[[#This Row],[Hora final]]-CONSOLIDADO_2026[[#This Row],[Hora inic]]</f>
        <v>0.29166666666666663</v>
      </c>
    </row>
    <row r="1741" spans="1:19" hidden="1" x14ac:dyDescent="0.25">
      <c r="A1741" t="s">
        <v>4314</v>
      </c>
      <c r="B1741">
        <v>1037630071</v>
      </c>
      <c r="C1741" t="s">
        <v>4196</v>
      </c>
      <c r="D1741" s="11" t="s">
        <v>176</v>
      </c>
      <c r="E1741" s="11" t="s">
        <v>4040</v>
      </c>
      <c r="F1741" s="11" t="s">
        <v>4062</v>
      </c>
      <c r="G1741" s="1">
        <v>46247</v>
      </c>
      <c r="H1741" s="1">
        <v>46265</v>
      </c>
      <c r="I1741" s="2">
        <v>0.25</v>
      </c>
      <c r="J1741" s="2">
        <v>0.58333333333333337</v>
      </c>
      <c r="K1741" s="11" t="s">
        <v>294</v>
      </c>
      <c r="L1741" s="11" t="s">
        <v>295</v>
      </c>
      <c r="M1741" s="1"/>
      <c r="N1741" s="11"/>
      <c r="O1741" s="11" t="s">
        <v>21</v>
      </c>
      <c r="P1741" s="1"/>
      <c r="Q1741" s="1"/>
      <c r="R1741" s="11"/>
      <c r="S1741" s="2">
        <f>CONSOLIDADO_2026[[#This Row],[Hora final]]-CONSOLIDADO_2026[[#This Row],[Hora inic]]</f>
        <v>0.33333333333333337</v>
      </c>
    </row>
    <row r="1742" spans="1:19" hidden="1" x14ac:dyDescent="0.25">
      <c r="A1742" t="s">
        <v>4314</v>
      </c>
      <c r="B1742">
        <v>1143460426</v>
      </c>
      <c r="C1742" t="s">
        <v>4069</v>
      </c>
      <c r="D1742" s="11" t="s">
        <v>64</v>
      </c>
      <c r="E1742" s="11" t="s">
        <v>4046</v>
      </c>
      <c r="F1742" s="11" t="s">
        <v>4050</v>
      </c>
      <c r="G1742" s="1">
        <v>46195</v>
      </c>
      <c r="H1742" s="1">
        <v>46198</v>
      </c>
      <c r="I1742" s="2">
        <v>0.58333333333333337</v>
      </c>
      <c r="J1742" s="2">
        <v>0.875</v>
      </c>
      <c r="K1742" s="11" t="s">
        <v>236</v>
      </c>
      <c r="L1742" s="11" t="s">
        <v>237</v>
      </c>
      <c r="M1742" s="1"/>
      <c r="N1742" s="11"/>
      <c r="O1742" s="11" t="s">
        <v>21</v>
      </c>
      <c r="P1742" s="1"/>
      <c r="Q1742" s="1"/>
      <c r="R1742" s="11"/>
      <c r="S1742" s="2">
        <f>CONSOLIDADO_2026[[#This Row],[Hora final]]-CONSOLIDADO_2026[[#This Row],[Hora inic]]</f>
        <v>0.29166666666666663</v>
      </c>
    </row>
    <row r="1743" spans="1:19" hidden="1" x14ac:dyDescent="0.25">
      <c r="A1743" t="s">
        <v>4314</v>
      </c>
      <c r="B1743">
        <v>1152456771</v>
      </c>
      <c r="C1743" t="s">
        <v>2914</v>
      </c>
      <c r="D1743" s="11" t="s">
        <v>51</v>
      </c>
      <c r="E1743" s="11" t="s">
        <v>4047</v>
      </c>
      <c r="F1743" s="11" t="s">
        <v>4074</v>
      </c>
      <c r="G1743" s="1">
        <v>46261</v>
      </c>
      <c r="H1743" s="1"/>
      <c r="I1743" s="2">
        <v>0.25</v>
      </c>
      <c r="J1743" s="2">
        <v>0.58333333333333337</v>
      </c>
      <c r="K1743" s="11"/>
      <c r="L1743" s="11" t="s">
        <v>4060</v>
      </c>
      <c r="M1743" s="1"/>
      <c r="N1743" s="11"/>
      <c r="O1743" s="11" t="s">
        <v>4042</v>
      </c>
      <c r="P1743" s="1"/>
      <c r="Q1743" s="1"/>
      <c r="R1743" s="11"/>
      <c r="S1743" s="2">
        <f>CONSOLIDADO_2026[[#This Row],[Hora final]]-CONSOLIDADO_2026[[#This Row],[Hora inic]]</f>
        <v>0.33333333333333337</v>
      </c>
    </row>
    <row r="1744" spans="1:19" hidden="1" x14ac:dyDescent="0.25">
      <c r="A1744" t="s">
        <v>4314</v>
      </c>
      <c r="B1744">
        <v>1037608343</v>
      </c>
      <c r="C1744" t="s">
        <v>3077</v>
      </c>
      <c r="D1744" s="11" t="s">
        <v>39</v>
      </c>
      <c r="E1744" s="11" t="s">
        <v>4046</v>
      </c>
      <c r="F1744" s="11" t="s">
        <v>92</v>
      </c>
      <c r="G1744" s="1">
        <v>46261</v>
      </c>
      <c r="H1744" s="1">
        <v>46265</v>
      </c>
      <c r="I1744" s="2">
        <v>0.625</v>
      </c>
      <c r="J1744" s="2">
        <v>0.875</v>
      </c>
      <c r="K1744" s="11"/>
      <c r="L1744" s="11" t="s">
        <v>327</v>
      </c>
      <c r="M1744" s="1"/>
      <c r="N1744" s="11"/>
      <c r="O1744" s="11" t="s">
        <v>4042</v>
      </c>
      <c r="P1744" s="1"/>
      <c r="Q1744" s="1"/>
      <c r="R1744" s="11"/>
      <c r="S1744" s="2">
        <f>CONSOLIDADO_2026[[#This Row],[Hora final]]-CONSOLIDADO_2026[[#This Row],[Hora inic]]</f>
        <v>0.25</v>
      </c>
    </row>
    <row r="1745" spans="1:19" hidden="1" x14ac:dyDescent="0.25">
      <c r="A1745" t="s">
        <v>4314</v>
      </c>
      <c r="B1745">
        <v>1127339766</v>
      </c>
      <c r="C1745" t="s">
        <v>3262</v>
      </c>
      <c r="D1745" s="11" t="s">
        <v>39</v>
      </c>
      <c r="E1745" s="11" t="s">
        <v>4046</v>
      </c>
      <c r="F1745" s="11" t="s">
        <v>16</v>
      </c>
      <c r="G1745" s="1">
        <v>46261</v>
      </c>
      <c r="H1745" s="1">
        <v>46261</v>
      </c>
      <c r="I1745" s="2"/>
      <c r="J1745" s="2"/>
      <c r="K1745" s="11"/>
      <c r="L1745" s="11" t="s">
        <v>4041</v>
      </c>
      <c r="M1745" s="1"/>
      <c r="N1745" s="11"/>
      <c r="O1745" s="11" t="s">
        <v>4042</v>
      </c>
      <c r="P1745" s="1"/>
      <c r="Q1745" s="1"/>
      <c r="R1745" s="11"/>
      <c r="S1745" s="2">
        <f>CONSOLIDADO_2026[[#This Row],[Hora final]]-CONSOLIDADO_2026[[#This Row],[Hora inic]]</f>
        <v>0</v>
      </c>
    </row>
    <row r="1746" spans="1:19" hidden="1" x14ac:dyDescent="0.25">
      <c r="A1746" t="s">
        <v>4314</v>
      </c>
      <c r="B1746">
        <v>1017271052</v>
      </c>
      <c r="C1746" t="s">
        <v>489</v>
      </c>
      <c r="D1746" s="11" t="s">
        <v>55</v>
      </c>
      <c r="E1746" s="11" t="s">
        <v>4047</v>
      </c>
      <c r="F1746" s="11" t="s">
        <v>4074</v>
      </c>
      <c r="G1746" s="1">
        <v>46261</v>
      </c>
      <c r="H1746" s="1">
        <v>46262</v>
      </c>
      <c r="I1746" s="2">
        <v>0.25</v>
      </c>
      <c r="J1746" s="2">
        <v>0.54166666666666663</v>
      </c>
      <c r="K1746" s="11"/>
      <c r="L1746" s="11" t="s">
        <v>4060</v>
      </c>
      <c r="M1746" s="1"/>
      <c r="N1746" s="11"/>
      <c r="O1746" s="11" t="s">
        <v>4042</v>
      </c>
      <c r="P1746" s="1"/>
      <c r="Q1746" s="1"/>
      <c r="R1746" s="11"/>
      <c r="S1746" s="2">
        <f>CONSOLIDADO_2026[[#This Row],[Hora final]]-CONSOLIDADO_2026[[#This Row],[Hora inic]]</f>
        <v>0.29166666666666663</v>
      </c>
    </row>
    <row r="1747" spans="1:19" hidden="1" x14ac:dyDescent="0.25">
      <c r="A1747" t="s">
        <v>4314</v>
      </c>
      <c r="B1747">
        <v>1096223065</v>
      </c>
      <c r="C1747" t="s">
        <v>3428</v>
      </c>
      <c r="D1747" s="11" t="s">
        <v>55</v>
      </c>
      <c r="E1747" s="11" t="s">
        <v>4047</v>
      </c>
      <c r="F1747" s="11" t="s">
        <v>16</v>
      </c>
      <c r="G1747" s="1">
        <v>46256</v>
      </c>
      <c r="H1747" s="1">
        <v>46263</v>
      </c>
      <c r="I1747" s="2">
        <v>0.58333333333333337</v>
      </c>
      <c r="J1747" s="2">
        <v>0.875</v>
      </c>
      <c r="K1747" s="11"/>
      <c r="L1747" s="11" t="s">
        <v>327</v>
      </c>
      <c r="M1747" s="1"/>
      <c r="N1747" s="11"/>
      <c r="O1747" s="11" t="s">
        <v>4042</v>
      </c>
      <c r="P1747" s="1"/>
      <c r="Q1747" s="1"/>
      <c r="R1747" s="11"/>
      <c r="S1747" s="2">
        <f>CONSOLIDADO_2026[[#This Row],[Hora final]]-CONSOLIDADO_2026[[#This Row],[Hora inic]]</f>
        <v>0.29166666666666663</v>
      </c>
    </row>
    <row r="1748" spans="1:19" hidden="1" x14ac:dyDescent="0.25">
      <c r="A1748" t="s">
        <v>4314</v>
      </c>
      <c r="B1748">
        <v>1002248662</v>
      </c>
      <c r="C1748" t="s">
        <v>4322</v>
      </c>
      <c r="D1748" s="11" t="s">
        <v>55</v>
      </c>
      <c r="E1748" s="11" t="s">
        <v>4047</v>
      </c>
      <c r="F1748" s="11" t="s">
        <v>4050</v>
      </c>
      <c r="G1748" s="1">
        <v>46261</v>
      </c>
      <c r="H1748" s="1">
        <v>46263</v>
      </c>
      <c r="I1748" s="2">
        <v>0.58333333333333337</v>
      </c>
      <c r="J1748" s="2">
        <v>0.875</v>
      </c>
      <c r="K1748" s="11"/>
      <c r="L1748" s="11" t="s">
        <v>327</v>
      </c>
      <c r="M1748" s="1"/>
      <c r="N1748" s="11"/>
      <c r="O1748" s="11" t="s">
        <v>4042</v>
      </c>
      <c r="P1748" s="1"/>
      <c r="Q1748" s="1"/>
      <c r="R1748" s="11"/>
      <c r="S1748" s="2">
        <f>CONSOLIDADO_2026[[#This Row],[Hora final]]-CONSOLIDADO_2026[[#This Row],[Hora inic]]</f>
        <v>0.29166666666666663</v>
      </c>
    </row>
    <row r="1749" spans="1:19" hidden="1" x14ac:dyDescent="0.25">
      <c r="A1749" t="s">
        <v>4314</v>
      </c>
      <c r="B1749">
        <v>1116283658</v>
      </c>
      <c r="C1749" t="s">
        <v>283</v>
      </c>
      <c r="D1749" s="11" t="s">
        <v>256</v>
      </c>
      <c r="E1749" s="11" t="s">
        <v>4040</v>
      </c>
      <c r="F1749" s="11" t="s">
        <v>24</v>
      </c>
      <c r="G1749" s="1">
        <v>46258</v>
      </c>
      <c r="H1749" s="1">
        <v>46265</v>
      </c>
      <c r="I1749" s="2">
        <v>0.58333333333333337</v>
      </c>
      <c r="J1749" s="2">
        <v>0.875</v>
      </c>
      <c r="K1749" s="11"/>
      <c r="L1749" s="11" t="s">
        <v>327</v>
      </c>
      <c r="M1749" s="1"/>
      <c r="N1749" s="11"/>
      <c r="O1749" s="11" t="s">
        <v>4042</v>
      </c>
      <c r="P1749" s="1"/>
      <c r="Q1749" s="1"/>
      <c r="R1749" s="11"/>
      <c r="S1749" s="2">
        <f>CONSOLIDADO_2026[[#This Row],[Hora final]]-CONSOLIDADO_2026[[#This Row],[Hora inic]]</f>
        <v>0.29166666666666663</v>
      </c>
    </row>
    <row r="1750" spans="1:19" hidden="1" x14ac:dyDescent="0.25">
      <c r="A1750" t="s">
        <v>4314</v>
      </c>
      <c r="B1750">
        <v>1083048455</v>
      </c>
      <c r="C1750" t="s">
        <v>2787</v>
      </c>
      <c r="D1750" s="11" t="s">
        <v>256</v>
      </c>
      <c r="E1750" s="11" t="s">
        <v>4040</v>
      </c>
      <c r="F1750" s="11" t="s">
        <v>16</v>
      </c>
      <c r="G1750" s="1">
        <v>46261</v>
      </c>
      <c r="H1750" s="1">
        <v>46262</v>
      </c>
      <c r="I1750" s="2">
        <v>0.25</v>
      </c>
      <c r="J1750" s="2">
        <v>0.58333333333333337</v>
      </c>
      <c r="K1750" s="11"/>
      <c r="L1750" s="11" t="s">
        <v>327</v>
      </c>
      <c r="M1750" s="1"/>
      <c r="N1750" s="11"/>
      <c r="O1750" s="11" t="s">
        <v>4042</v>
      </c>
      <c r="P1750" s="1"/>
      <c r="Q1750" s="1"/>
      <c r="R1750" s="11"/>
      <c r="S1750" s="2">
        <f>CONSOLIDADO_2026[[#This Row],[Hora final]]-CONSOLIDADO_2026[[#This Row],[Hora inic]]</f>
        <v>0.33333333333333337</v>
      </c>
    </row>
    <row r="1751" spans="1:19" hidden="1" x14ac:dyDescent="0.25">
      <c r="A1751" t="s">
        <v>4314</v>
      </c>
      <c r="B1751">
        <v>1192904075</v>
      </c>
      <c r="C1751" t="s">
        <v>3776</v>
      </c>
      <c r="D1751" s="11" t="s">
        <v>256</v>
      </c>
      <c r="E1751" s="11" t="s">
        <v>4040</v>
      </c>
      <c r="F1751" s="11" t="s">
        <v>4311</v>
      </c>
      <c r="G1751" s="1">
        <v>46261</v>
      </c>
      <c r="H1751" s="1">
        <v>46261</v>
      </c>
      <c r="I1751" s="2"/>
      <c r="J1751" s="2"/>
      <c r="K1751" s="11"/>
      <c r="L1751" s="11" t="s">
        <v>4041</v>
      </c>
      <c r="M1751" s="1"/>
      <c r="N1751" s="11"/>
      <c r="O1751" s="11" t="s">
        <v>4042</v>
      </c>
      <c r="P1751" s="1"/>
      <c r="Q1751" s="1"/>
      <c r="R1751" s="11"/>
      <c r="S1751" s="2">
        <f>CONSOLIDADO_2026[[#This Row],[Hora final]]-CONSOLIDADO_2026[[#This Row],[Hora inic]]</f>
        <v>0</v>
      </c>
    </row>
    <row r="1752" spans="1:19" hidden="1" x14ac:dyDescent="0.25">
      <c r="A1752" t="s">
        <v>4314</v>
      </c>
      <c r="B1752">
        <v>1038408808</v>
      </c>
      <c r="C1752" t="s">
        <v>483</v>
      </c>
      <c r="D1752" s="11" t="s">
        <v>482</v>
      </c>
      <c r="E1752" s="11" t="s">
        <v>4040</v>
      </c>
      <c r="F1752" s="11" t="s">
        <v>16</v>
      </c>
      <c r="G1752" s="1">
        <v>46259</v>
      </c>
      <c r="H1752" s="1">
        <v>46262</v>
      </c>
      <c r="I1752" s="2">
        <v>0.58333333333333337</v>
      </c>
      <c r="J1752" s="2">
        <v>0.875</v>
      </c>
      <c r="K1752" s="11" t="s">
        <v>167</v>
      </c>
      <c r="L1752" s="11" t="s">
        <v>168</v>
      </c>
      <c r="M1752" s="1"/>
      <c r="N1752" s="11"/>
      <c r="O1752" s="11" t="s">
        <v>21</v>
      </c>
      <c r="P1752" s="1"/>
      <c r="Q1752" s="1"/>
      <c r="R1752" s="11"/>
      <c r="S1752" s="2">
        <f>CONSOLIDADO_2026[[#This Row],[Hora final]]-CONSOLIDADO_2026[[#This Row],[Hora inic]]</f>
        <v>0.29166666666666663</v>
      </c>
    </row>
    <row r="1753" spans="1:19" hidden="1" x14ac:dyDescent="0.25">
      <c r="A1753" t="s">
        <v>4314</v>
      </c>
      <c r="B1753">
        <v>1037661959</v>
      </c>
      <c r="C1753" t="s">
        <v>4080</v>
      </c>
      <c r="D1753" s="11" t="s">
        <v>482</v>
      </c>
      <c r="E1753" s="11" t="s">
        <v>4040</v>
      </c>
      <c r="F1753" s="11" t="s">
        <v>4073</v>
      </c>
      <c r="G1753" s="1">
        <v>46259</v>
      </c>
      <c r="H1753" s="1">
        <v>46261</v>
      </c>
      <c r="I1753" s="2"/>
      <c r="J1753" s="2"/>
      <c r="K1753" s="11"/>
      <c r="L1753" s="11" t="s">
        <v>4041</v>
      </c>
      <c r="M1753" s="1"/>
      <c r="N1753" s="11"/>
      <c r="O1753" s="11" t="s">
        <v>4042</v>
      </c>
      <c r="P1753" s="1"/>
      <c r="Q1753" s="1"/>
      <c r="R1753" s="11"/>
      <c r="S1753" s="2">
        <f>CONSOLIDADO_2026[[#This Row],[Hora final]]-CONSOLIDADO_2026[[#This Row],[Hora inic]]</f>
        <v>0</v>
      </c>
    </row>
    <row r="1754" spans="1:19" hidden="1" x14ac:dyDescent="0.25">
      <c r="A1754" t="s">
        <v>4314</v>
      </c>
      <c r="B1754">
        <v>1020475954</v>
      </c>
      <c r="C1754" t="s">
        <v>3934</v>
      </c>
      <c r="D1754" s="11" t="s">
        <v>68</v>
      </c>
      <c r="E1754" s="11" t="s">
        <v>4040</v>
      </c>
      <c r="F1754" s="11" t="s">
        <v>16</v>
      </c>
      <c r="G1754" s="1">
        <v>46261</v>
      </c>
      <c r="H1754" s="1">
        <v>46262</v>
      </c>
      <c r="I1754" s="2">
        <v>0.25</v>
      </c>
      <c r="J1754" s="2">
        <v>0.54166666666666663</v>
      </c>
      <c r="K1754" s="11" t="s">
        <v>119</v>
      </c>
      <c r="L1754" s="11" t="s">
        <v>120</v>
      </c>
      <c r="M1754" s="1"/>
      <c r="N1754" s="11"/>
      <c r="O1754" s="11" t="s">
        <v>4042</v>
      </c>
      <c r="P1754" s="1"/>
      <c r="Q1754" s="1"/>
      <c r="R1754" s="11"/>
      <c r="S1754" s="2">
        <f>CONSOLIDADO_2026[[#This Row],[Hora final]]-CONSOLIDADO_2026[[#This Row],[Hora inic]]</f>
        <v>0.29166666666666663</v>
      </c>
    </row>
    <row r="1755" spans="1:19" hidden="1" x14ac:dyDescent="0.25">
      <c r="A1755" t="s">
        <v>4314</v>
      </c>
      <c r="B1755">
        <v>50927877</v>
      </c>
      <c r="C1755" t="s">
        <v>1709</v>
      </c>
      <c r="D1755" s="11" t="s">
        <v>176</v>
      </c>
      <c r="E1755" s="11" t="s">
        <v>4040</v>
      </c>
      <c r="F1755" s="11" t="s">
        <v>4087</v>
      </c>
      <c r="G1755" s="1">
        <v>46261</v>
      </c>
      <c r="H1755" s="1">
        <v>46261</v>
      </c>
      <c r="I1755" s="2"/>
      <c r="J1755" s="2"/>
      <c r="K1755" s="11"/>
      <c r="L1755" s="11" t="s">
        <v>4041</v>
      </c>
      <c r="M1755" s="1"/>
      <c r="N1755" s="11"/>
      <c r="O1755" s="11" t="s">
        <v>4042</v>
      </c>
      <c r="P1755" s="1"/>
      <c r="Q1755" s="1"/>
      <c r="R1755" s="11"/>
      <c r="S1755" s="2">
        <f>CONSOLIDADO_2026[[#This Row],[Hora final]]-CONSOLIDADO_2026[[#This Row],[Hora inic]]</f>
        <v>0</v>
      </c>
    </row>
    <row r="1756" spans="1:19" hidden="1" x14ac:dyDescent="0.25">
      <c r="A1756" t="s">
        <v>4314</v>
      </c>
      <c r="B1756">
        <v>43453341</v>
      </c>
      <c r="C1756" t="s">
        <v>146</v>
      </c>
      <c r="D1756" s="11" t="s">
        <v>124</v>
      </c>
      <c r="E1756" s="11" t="s">
        <v>4045</v>
      </c>
      <c r="F1756" s="11" t="s">
        <v>16</v>
      </c>
      <c r="G1756" s="1">
        <v>46254</v>
      </c>
      <c r="H1756" s="1">
        <v>46268</v>
      </c>
      <c r="I1756" s="2">
        <v>0.25</v>
      </c>
      <c r="J1756" s="2">
        <v>0.54166666666666663</v>
      </c>
      <c r="K1756" s="11"/>
      <c r="L1756" s="11" t="s">
        <v>327</v>
      </c>
      <c r="M1756" s="1"/>
      <c r="N1756" s="11"/>
      <c r="O1756" s="11" t="s">
        <v>4042</v>
      </c>
      <c r="P1756" s="1"/>
      <c r="Q1756" s="1"/>
      <c r="R1756" s="11"/>
      <c r="S1756" s="2">
        <f>CONSOLIDADO_2026[[#This Row],[Hora final]]-CONSOLIDADO_2026[[#This Row],[Hora inic]]</f>
        <v>0.29166666666666663</v>
      </c>
    </row>
    <row r="1757" spans="1:19" hidden="1" x14ac:dyDescent="0.25">
      <c r="A1757" t="s">
        <v>4314</v>
      </c>
      <c r="B1757">
        <v>1035876080</v>
      </c>
      <c r="C1757" t="s">
        <v>123</v>
      </c>
      <c r="D1757" s="11" t="s">
        <v>124</v>
      </c>
      <c r="E1757" s="11" t="s">
        <v>4045</v>
      </c>
      <c r="F1757" s="11" t="s">
        <v>158</v>
      </c>
      <c r="G1757" s="1">
        <v>46254</v>
      </c>
      <c r="H1757" s="1"/>
      <c r="I1757" s="2">
        <v>0.25</v>
      </c>
      <c r="J1757" s="2">
        <v>0.54166666666666663</v>
      </c>
      <c r="K1757" s="11" t="s">
        <v>73</v>
      </c>
      <c r="L1757" s="11" t="s">
        <v>74</v>
      </c>
      <c r="M1757" s="1"/>
      <c r="N1757" s="11"/>
      <c r="O1757" s="11" t="s">
        <v>21</v>
      </c>
      <c r="P1757" s="1"/>
      <c r="Q1757" s="1"/>
      <c r="R1757" s="11"/>
      <c r="S1757" s="2">
        <f>CONSOLIDADO_2026[[#This Row],[Hora final]]-CONSOLIDADO_2026[[#This Row],[Hora inic]]</f>
        <v>0.29166666666666663</v>
      </c>
    </row>
    <row r="1758" spans="1:19" hidden="1" x14ac:dyDescent="0.25">
      <c r="A1758" t="s">
        <v>4314</v>
      </c>
      <c r="B1758">
        <v>1152187746</v>
      </c>
      <c r="C1758" t="s">
        <v>4007</v>
      </c>
      <c r="D1758" s="11" t="s">
        <v>619</v>
      </c>
      <c r="E1758" s="11" t="s">
        <v>4045</v>
      </c>
      <c r="F1758" s="11" t="s">
        <v>4091</v>
      </c>
      <c r="G1758" s="1">
        <v>46261</v>
      </c>
      <c r="H1758" s="1">
        <v>46263</v>
      </c>
      <c r="I1758" s="2">
        <v>0.58333333333333337</v>
      </c>
      <c r="J1758" s="2">
        <v>0.875</v>
      </c>
      <c r="K1758" s="11" t="s">
        <v>199</v>
      </c>
      <c r="L1758" s="11" t="s">
        <v>200</v>
      </c>
      <c r="M1758" s="1"/>
      <c r="N1758" s="11"/>
      <c r="O1758" s="11" t="s">
        <v>4042</v>
      </c>
      <c r="P1758" s="1"/>
      <c r="Q1758" s="1"/>
      <c r="R1758" s="11"/>
      <c r="S1758" s="2">
        <f>CONSOLIDADO_2026[[#This Row],[Hora final]]-CONSOLIDADO_2026[[#This Row],[Hora inic]]</f>
        <v>0.29166666666666663</v>
      </c>
    </row>
    <row r="1759" spans="1:19" hidden="1" x14ac:dyDescent="0.25">
      <c r="A1759" t="s">
        <v>4314</v>
      </c>
      <c r="B1759">
        <v>1007223463</v>
      </c>
      <c r="C1759" t="s">
        <v>561</v>
      </c>
      <c r="D1759" s="11" t="s">
        <v>2052</v>
      </c>
      <c r="E1759" s="11" t="s">
        <v>4056</v>
      </c>
      <c r="F1759" s="11" t="s">
        <v>4073</v>
      </c>
      <c r="G1759" s="1">
        <v>46261</v>
      </c>
      <c r="H1759" s="1">
        <v>46261</v>
      </c>
      <c r="I1759" s="2"/>
      <c r="J1759" s="2"/>
      <c r="K1759" s="11"/>
      <c r="L1759" s="11" t="s">
        <v>4041</v>
      </c>
      <c r="M1759" s="1"/>
      <c r="N1759" s="11"/>
      <c r="O1759" s="11" t="s">
        <v>4042</v>
      </c>
      <c r="P1759" s="1"/>
      <c r="Q1759" s="1"/>
      <c r="R1759" s="11"/>
      <c r="S1759" s="2">
        <f>CONSOLIDADO_2026[[#This Row],[Hora final]]-CONSOLIDADO_2026[[#This Row],[Hora inic]]</f>
        <v>0</v>
      </c>
    </row>
    <row r="1760" spans="1:19" hidden="1" x14ac:dyDescent="0.25">
      <c r="A1760" t="s">
        <v>4314</v>
      </c>
      <c r="B1760">
        <v>1001446162</v>
      </c>
      <c r="C1760" t="s">
        <v>3663</v>
      </c>
      <c r="D1760" s="11" t="s">
        <v>4078</v>
      </c>
      <c r="E1760" s="11" t="s">
        <v>4056</v>
      </c>
      <c r="F1760" s="11" t="s">
        <v>4079</v>
      </c>
      <c r="G1760" s="1">
        <v>46262</v>
      </c>
      <c r="H1760" s="1">
        <v>46262</v>
      </c>
      <c r="I1760" s="2"/>
      <c r="J1760" s="2"/>
      <c r="K1760" s="11" t="s">
        <v>3662</v>
      </c>
      <c r="L1760" s="11" t="s">
        <v>3663</v>
      </c>
      <c r="M1760" s="1"/>
      <c r="N1760" s="11"/>
      <c r="O1760" s="11" t="s">
        <v>4042</v>
      </c>
      <c r="P1760" s="1"/>
      <c r="Q1760" s="1"/>
      <c r="R1760" s="11"/>
      <c r="S1760" s="2">
        <f>CONSOLIDADO_2026[[#This Row],[Hora final]]-CONSOLIDADO_2026[[#This Row],[Hora inic]]</f>
        <v>0</v>
      </c>
    </row>
    <row r="1761" spans="1:19" hidden="1" x14ac:dyDescent="0.25">
      <c r="A1761" t="s">
        <v>4314</v>
      </c>
      <c r="B1761">
        <v>1103099277</v>
      </c>
      <c r="C1761" t="s">
        <v>2594</v>
      </c>
      <c r="D1761" s="11" t="s">
        <v>78</v>
      </c>
      <c r="E1761" s="11" t="s">
        <v>4046</v>
      </c>
      <c r="F1761" s="11" t="s">
        <v>4050</v>
      </c>
      <c r="G1761" s="1">
        <v>46260</v>
      </c>
      <c r="H1761" s="1">
        <v>46262</v>
      </c>
      <c r="I1761" s="2">
        <v>0.25</v>
      </c>
      <c r="J1761" s="2">
        <v>0.54166666666666663</v>
      </c>
      <c r="K1761" s="11"/>
      <c r="L1761" s="11" t="s">
        <v>327</v>
      </c>
      <c r="M1761" s="1"/>
      <c r="N1761" s="11"/>
      <c r="O1761" s="11" t="s">
        <v>4042</v>
      </c>
      <c r="P1761" s="1"/>
      <c r="Q1761" s="1"/>
      <c r="R1761" s="11"/>
      <c r="S1761" s="2">
        <f>CONSOLIDADO_2026[[#This Row],[Hora final]]-CONSOLIDADO_2026[[#This Row],[Hora inic]]</f>
        <v>0.29166666666666663</v>
      </c>
    </row>
    <row r="1762" spans="1:19" hidden="1" x14ac:dyDescent="0.25">
      <c r="A1762" t="s">
        <v>4314</v>
      </c>
      <c r="B1762">
        <v>39192742</v>
      </c>
      <c r="C1762" t="s">
        <v>2632</v>
      </c>
      <c r="D1762" s="11" t="s">
        <v>272</v>
      </c>
      <c r="E1762" s="11" t="s">
        <v>4056</v>
      </c>
      <c r="F1762" s="11" t="s">
        <v>4074</v>
      </c>
      <c r="G1762" s="1">
        <v>46262</v>
      </c>
      <c r="H1762" s="1"/>
      <c r="I1762" s="2">
        <v>0.25</v>
      </c>
      <c r="J1762" s="2">
        <v>0.54166666666666663</v>
      </c>
      <c r="K1762" s="11"/>
      <c r="L1762" s="11" t="s">
        <v>4324</v>
      </c>
      <c r="M1762" s="1"/>
      <c r="N1762" s="11"/>
      <c r="O1762" s="11" t="s">
        <v>4042</v>
      </c>
      <c r="P1762" s="1"/>
      <c r="Q1762" s="1"/>
      <c r="R1762" s="11"/>
      <c r="S1762" s="2">
        <f>CONSOLIDADO_2026[[#This Row],[Hora final]]-CONSOLIDADO_2026[[#This Row],[Hora inic]]</f>
        <v>0.29166666666666663</v>
      </c>
    </row>
    <row r="1763" spans="1:19" hidden="1" x14ac:dyDescent="0.25">
      <c r="A1763" t="s">
        <v>4314</v>
      </c>
      <c r="B1763">
        <v>1016090631</v>
      </c>
      <c r="C1763" t="s">
        <v>2866</v>
      </c>
      <c r="D1763" s="11" t="s">
        <v>55</v>
      </c>
      <c r="E1763" s="11" t="s">
        <v>4047</v>
      </c>
      <c r="F1763" s="11" t="s">
        <v>16</v>
      </c>
      <c r="G1763" s="1">
        <v>46261</v>
      </c>
      <c r="H1763" s="1">
        <v>46263</v>
      </c>
      <c r="I1763" s="2">
        <v>0.58333333333333337</v>
      </c>
      <c r="J1763" s="2">
        <v>0.875</v>
      </c>
      <c r="K1763" s="11"/>
      <c r="L1763" s="11" t="s">
        <v>327</v>
      </c>
      <c r="M1763" s="1"/>
      <c r="N1763" s="11"/>
      <c r="O1763" s="11" t="s">
        <v>4042</v>
      </c>
      <c r="P1763" s="1"/>
      <c r="Q1763" s="1"/>
      <c r="R1763" s="11"/>
      <c r="S1763" s="2">
        <f>CONSOLIDADO_2026[[#This Row],[Hora final]]-CONSOLIDADO_2026[[#This Row],[Hora inic]]</f>
        <v>0.29166666666666663</v>
      </c>
    </row>
    <row r="1764" spans="1:19" hidden="1" x14ac:dyDescent="0.25">
      <c r="A1764" t="s">
        <v>4314</v>
      </c>
      <c r="B1764">
        <v>1001595946</v>
      </c>
      <c r="C1764" t="s">
        <v>2555</v>
      </c>
      <c r="D1764" s="11" t="s">
        <v>51</v>
      </c>
      <c r="E1764" s="11" t="s">
        <v>4047</v>
      </c>
      <c r="F1764" s="11" t="s">
        <v>4104</v>
      </c>
      <c r="G1764" s="1">
        <v>46262</v>
      </c>
      <c r="H1764" s="1">
        <v>46262</v>
      </c>
      <c r="I1764" s="2">
        <v>0.25</v>
      </c>
      <c r="J1764" s="2">
        <v>0.54166666666666663</v>
      </c>
      <c r="K1764" s="11"/>
      <c r="L1764" s="11" t="s">
        <v>339</v>
      </c>
      <c r="M1764" s="1"/>
      <c r="N1764" s="11"/>
      <c r="O1764" s="11" t="s">
        <v>4042</v>
      </c>
      <c r="P1764" s="1"/>
      <c r="Q1764" s="1"/>
      <c r="R1764" s="11"/>
      <c r="S1764" s="2">
        <f>CONSOLIDADO_2026[[#This Row],[Hora final]]-CONSOLIDADO_2026[[#This Row],[Hora inic]]</f>
        <v>0.29166666666666663</v>
      </c>
    </row>
    <row r="1765" spans="1:19" hidden="1" x14ac:dyDescent="0.25">
      <c r="A1765" t="s">
        <v>4314</v>
      </c>
      <c r="B1765">
        <v>1004898553</v>
      </c>
      <c r="C1765" t="s">
        <v>714</v>
      </c>
      <c r="D1765" s="11" t="s">
        <v>51</v>
      </c>
      <c r="E1765" s="11" t="s">
        <v>4047</v>
      </c>
      <c r="F1765" s="11" t="s">
        <v>4104</v>
      </c>
      <c r="G1765" s="1">
        <v>46262</v>
      </c>
      <c r="H1765" s="1">
        <v>46262</v>
      </c>
      <c r="I1765" s="2">
        <v>0.25</v>
      </c>
      <c r="J1765" s="2">
        <v>0.54166666666666663</v>
      </c>
      <c r="K1765" s="11"/>
      <c r="L1765" s="11" t="s">
        <v>339</v>
      </c>
      <c r="M1765" s="1"/>
      <c r="N1765" s="11"/>
      <c r="O1765" s="11" t="s">
        <v>4042</v>
      </c>
      <c r="P1765" s="1"/>
      <c r="Q1765" s="1"/>
      <c r="R1765" s="11"/>
      <c r="S1765" s="2">
        <f>CONSOLIDADO_2026[[#This Row],[Hora final]]-CONSOLIDADO_2026[[#This Row],[Hora inic]]</f>
        <v>0.29166666666666663</v>
      </c>
    </row>
    <row r="1766" spans="1:19" hidden="1" x14ac:dyDescent="0.25">
      <c r="A1766" t="s">
        <v>4314</v>
      </c>
      <c r="B1766">
        <v>1041177391</v>
      </c>
      <c r="C1766" t="s">
        <v>807</v>
      </c>
      <c r="D1766" s="11" t="s">
        <v>256</v>
      </c>
      <c r="E1766" s="11" t="s">
        <v>4047</v>
      </c>
      <c r="F1766" s="11" t="s">
        <v>4104</v>
      </c>
      <c r="G1766" s="1">
        <v>46262</v>
      </c>
      <c r="H1766" s="1">
        <v>46262</v>
      </c>
      <c r="I1766" s="2">
        <v>0.25</v>
      </c>
      <c r="J1766" s="2">
        <v>0.54166666666666663</v>
      </c>
      <c r="K1766" s="11"/>
      <c r="L1766" s="11" t="s">
        <v>339</v>
      </c>
      <c r="M1766" s="1"/>
      <c r="N1766" s="11"/>
      <c r="O1766" s="11" t="s">
        <v>4042</v>
      </c>
      <c r="P1766" s="1"/>
      <c r="Q1766" s="1"/>
      <c r="R1766" s="11"/>
      <c r="S1766" s="2">
        <f>CONSOLIDADO_2026[[#This Row],[Hora final]]-CONSOLIDADO_2026[[#This Row],[Hora inic]]</f>
        <v>0.29166666666666663</v>
      </c>
    </row>
    <row r="1767" spans="1:19" hidden="1" x14ac:dyDescent="0.25">
      <c r="A1767" t="s">
        <v>4314</v>
      </c>
      <c r="B1767">
        <v>1017260959</v>
      </c>
      <c r="C1767" t="s">
        <v>2671</v>
      </c>
      <c r="D1767" s="11" t="s">
        <v>139</v>
      </c>
      <c r="E1767" s="11" t="s">
        <v>4040</v>
      </c>
      <c r="F1767" s="11" t="s">
        <v>4104</v>
      </c>
      <c r="G1767" s="1">
        <v>46262</v>
      </c>
      <c r="H1767" s="1">
        <v>46262</v>
      </c>
      <c r="I1767" s="2">
        <v>0.29166666666666669</v>
      </c>
      <c r="J1767" s="2">
        <v>0.54166666666666663</v>
      </c>
      <c r="K1767" s="11"/>
      <c r="L1767" s="11" t="s">
        <v>4325</v>
      </c>
      <c r="M1767" s="1"/>
      <c r="N1767" s="11"/>
      <c r="O1767" s="11" t="s">
        <v>4042</v>
      </c>
      <c r="P1767" s="1"/>
      <c r="Q1767" s="1"/>
      <c r="R1767" s="11"/>
      <c r="S1767" s="2">
        <f>CONSOLIDADO_2026[[#This Row],[Hora final]]-CONSOLIDADO_2026[[#This Row],[Hora inic]]</f>
        <v>0.24999999999999994</v>
      </c>
    </row>
    <row r="1768" spans="1:19" hidden="1" x14ac:dyDescent="0.25">
      <c r="A1768" t="s">
        <v>4314</v>
      </c>
      <c r="B1768">
        <v>1000548167</v>
      </c>
      <c r="C1768" t="s">
        <v>3606</v>
      </c>
      <c r="D1768" s="11" t="s">
        <v>128</v>
      </c>
      <c r="E1768" s="11" t="s">
        <v>4045</v>
      </c>
      <c r="F1768" s="11" t="s">
        <v>4104</v>
      </c>
      <c r="G1768" s="1">
        <v>46262</v>
      </c>
      <c r="H1768" s="1">
        <v>46262</v>
      </c>
      <c r="I1768" s="2">
        <v>0.25</v>
      </c>
      <c r="J1768" s="2">
        <v>0.54166666666666663</v>
      </c>
      <c r="K1768" s="11"/>
      <c r="L1768" s="11" t="s">
        <v>339</v>
      </c>
      <c r="M1768" s="1"/>
      <c r="N1768" s="11"/>
      <c r="O1768" s="11" t="s">
        <v>4042</v>
      </c>
      <c r="P1768" s="1"/>
      <c r="Q1768" s="1"/>
      <c r="R1768" s="11"/>
      <c r="S1768" s="2">
        <f>CONSOLIDADO_2026[[#This Row],[Hora final]]-CONSOLIDADO_2026[[#This Row],[Hora inic]]</f>
        <v>0.29166666666666663</v>
      </c>
    </row>
    <row r="1769" spans="1:19" hidden="1" x14ac:dyDescent="0.25">
      <c r="A1769" t="s">
        <v>4314</v>
      </c>
      <c r="B1769">
        <v>1007496023</v>
      </c>
      <c r="C1769" t="s">
        <v>2811</v>
      </c>
      <c r="D1769" s="11" t="s">
        <v>39</v>
      </c>
      <c r="E1769" s="11" t="s">
        <v>4045</v>
      </c>
      <c r="F1769" s="11" t="s">
        <v>4104</v>
      </c>
      <c r="G1769" s="1">
        <v>46262</v>
      </c>
      <c r="H1769" s="1">
        <v>46262</v>
      </c>
      <c r="I1769" s="2">
        <v>0.25</v>
      </c>
      <c r="J1769" s="2">
        <v>0.54166666666666663</v>
      </c>
      <c r="K1769" s="11"/>
      <c r="L1769" s="11" t="s">
        <v>4327</v>
      </c>
      <c r="M1769" s="1"/>
      <c r="N1769" s="11"/>
      <c r="O1769" s="11" t="s">
        <v>4042</v>
      </c>
      <c r="P1769" s="1"/>
      <c r="Q1769" s="1"/>
      <c r="R1769" s="11"/>
      <c r="S1769" s="2">
        <f>CONSOLIDADO_2026[[#This Row],[Hora final]]-CONSOLIDADO_2026[[#This Row],[Hora inic]]</f>
        <v>0.29166666666666663</v>
      </c>
    </row>
    <row r="1770" spans="1:19" hidden="1" x14ac:dyDescent="0.25">
      <c r="A1770" t="s">
        <v>4314</v>
      </c>
      <c r="B1770">
        <v>1017195272</v>
      </c>
      <c r="C1770" t="s">
        <v>1938</v>
      </c>
      <c r="D1770" s="11" t="s">
        <v>15</v>
      </c>
      <c r="E1770" s="11" t="s">
        <v>4045</v>
      </c>
      <c r="F1770" s="11" t="s">
        <v>4104</v>
      </c>
      <c r="G1770" s="1">
        <v>46262</v>
      </c>
      <c r="H1770" s="1">
        <v>46262</v>
      </c>
      <c r="I1770" s="2">
        <v>0.25</v>
      </c>
      <c r="J1770" s="2">
        <v>0.54166666666666663</v>
      </c>
      <c r="K1770" s="11"/>
      <c r="L1770" s="11" t="s">
        <v>339</v>
      </c>
      <c r="M1770" s="1"/>
      <c r="N1770" s="11"/>
      <c r="O1770" s="11" t="s">
        <v>4042</v>
      </c>
      <c r="P1770" s="1"/>
      <c r="Q1770" s="1"/>
      <c r="R1770" s="11"/>
      <c r="S1770" s="2">
        <f>CONSOLIDADO_2026[[#This Row],[Hora final]]-CONSOLIDADO_2026[[#This Row],[Hora inic]]</f>
        <v>0.29166666666666663</v>
      </c>
    </row>
    <row r="1771" spans="1:19" hidden="1" x14ac:dyDescent="0.25">
      <c r="A1771" t="s">
        <v>4314</v>
      </c>
      <c r="B1771">
        <v>1001920543</v>
      </c>
      <c r="C1771" t="s">
        <v>2137</v>
      </c>
      <c r="D1771" s="11" t="s">
        <v>28</v>
      </c>
      <c r="E1771" s="11" t="s">
        <v>4045</v>
      </c>
      <c r="F1771" s="11" t="s">
        <v>4104</v>
      </c>
      <c r="G1771" s="1">
        <v>46262</v>
      </c>
      <c r="H1771" s="1">
        <v>46262</v>
      </c>
      <c r="I1771" s="2">
        <v>0.25</v>
      </c>
      <c r="J1771" s="2">
        <v>0.54166666666666663</v>
      </c>
      <c r="K1771" s="11"/>
      <c r="L1771" s="11" t="s">
        <v>339</v>
      </c>
      <c r="M1771" s="1"/>
      <c r="N1771" s="11"/>
      <c r="O1771" s="11" t="s">
        <v>4042</v>
      </c>
      <c r="P1771" s="1"/>
      <c r="Q1771" s="1"/>
      <c r="R1771" s="11"/>
      <c r="S1771" s="2">
        <f>CONSOLIDADO_2026[[#This Row],[Hora final]]-CONSOLIDADO_2026[[#This Row],[Hora inic]]</f>
        <v>0.29166666666666663</v>
      </c>
    </row>
    <row r="1772" spans="1:19" hidden="1" x14ac:dyDescent="0.25">
      <c r="A1772" t="s">
        <v>4314</v>
      </c>
      <c r="B1772">
        <v>1000758789</v>
      </c>
      <c r="C1772" t="s">
        <v>2016</v>
      </c>
      <c r="D1772" s="11" t="s">
        <v>28</v>
      </c>
      <c r="E1772" s="11" t="s">
        <v>4045</v>
      </c>
      <c r="F1772" s="11" t="s">
        <v>4104</v>
      </c>
      <c r="G1772" s="1">
        <v>46262</v>
      </c>
      <c r="H1772" s="1">
        <v>46262</v>
      </c>
      <c r="I1772" s="2">
        <v>0.25</v>
      </c>
      <c r="J1772" s="2">
        <v>0.54166666666666663</v>
      </c>
      <c r="K1772" s="11"/>
      <c r="L1772" s="11" t="s">
        <v>339</v>
      </c>
      <c r="M1772" s="1"/>
      <c r="N1772" s="11"/>
      <c r="O1772" s="11" t="s">
        <v>4042</v>
      </c>
      <c r="P1772" s="1"/>
      <c r="Q1772" s="1"/>
      <c r="R1772" s="11"/>
      <c r="S1772" s="2">
        <f>CONSOLIDADO_2026[[#This Row],[Hora final]]-CONSOLIDADO_2026[[#This Row],[Hora inic]]</f>
        <v>0.29166666666666663</v>
      </c>
    </row>
    <row r="1773" spans="1:19" hidden="1" x14ac:dyDescent="0.25">
      <c r="A1773" t="s">
        <v>4314</v>
      </c>
      <c r="B1773">
        <v>1003068698</v>
      </c>
      <c r="C1773" t="s">
        <v>3484</v>
      </c>
      <c r="D1773" s="11" t="s">
        <v>59</v>
      </c>
      <c r="E1773" s="11" t="s">
        <v>4045</v>
      </c>
      <c r="F1773" s="11" t="s">
        <v>4104</v>
      </c>
      <c r="G1773" s="1">
        <v>46262</v>
      </c>
      <c r="H1773" s="1">
        <v>46262</v>
      </c>
      <c r="I1773" s="2">
        <v>0.3125</v>
      </c>
      <c r="J1773" s="2">
        <v>0.54166666666666663</v>
      </c>
      <c r="K1773" s="11"/>
      <c r="L1773" s="11" t="s">
        <v>4328</v>
      </c>
      <c r="M1773" s="1"/>
      <c r="N1773" s="11"/>
      <c r="O1773" s="11" t="s">
        <v>4042</v>
      </c>
      <c r="P1773" s="1"/>
      <c r="Q1773" s="1"/>
      <c r="R1773" s="11"/>
      <c r="S1773" s="2">
        <f>CONSOLIDADO_2026[[#This Row],[Hora final]]-CONSOLIDADO_2026[[#This Row],[Hora inic]]</f>
        <v>0.22916666666666663</v>
      </c>
    </row>
    <row r="1774" spans="1:19" hidden="1" x14ac:dyDescent="0.25">
      <c r="A1774" t="s">
        <v>4314</v>
      </c>
      <c r="B1774">
        <v>1037668909</v>
      </c>
      <c r="C1774" t="s">
        <v>3660</v>
      </c>
      <c r="D1774" s="11" t="s">
        <v>421</v>
      </c>
      <c r="E1774" s="11" t="s">
        <v>4047</v>
      </c>
      <c r="F1774" s="11" t="s">
        <v>4104</v>
      </c>
      <c r="G1774" s="1">
        <v>46262</v>
      </c>
      <c r="H1774" s="1">
        <v>46262</v>
      </c>
      <c r="I1774" s="2">
        <v>0.25</v>
      </c>
      <c r="J1774" s="2">
        <v>0.54166666666666663</v>
      </c>
      <c r="K1774" s="11"/>
      <c r="L1774" s="11" t="s">
        <v>339</v>
      </c>
      <c r="M1774" s="1"/>
      <c r="N1774" s="11"/>
      <c r="O1774" s="11" t="s">
        <v>4042</v>
      </c>
      <c r="P1774" s="1"/>
      <c r="Q1774" s="1"/>
      <c r="R1774" s="11"/>
      <c r="S1774" s="2">
        <f>CONSOLIDADO_2026[[#This Row],[Hora final]]-CONSOLIDADO_2026[[#This Row],[Hora inic]]</f>
        <v>0.29166666666666663</v>
      </c>
    </row>
    <row r="1775" spans="1:19" hidden="1" x14ac:dyDescent="0.25">
      <c r="A1775" t="s">
        <v>4314</v>
      </c>
      <c r="B1775">
        <v>1003377815</v>
      </c>
      <c r="C1775" t="s">
        <v>476</v>
      </c>
      <c r="D1775" s="11" t="s">
        <v>421</v>
      </c>
      <c r="E1775" s="11" t="s">
        <v>4047</v>
      </c>
      <c r="F1775" s="11" t="s">
        <v>4104</v>
      </c>
      <c r="G1775" s="1">
        <v>46262</v>
      </c>
      <c r="H1775" s="1">
        <v>46262</v>
      </c>
      <c r="I1775" s="2">
        <v>0.25</v>
      </c>
      <c r="J1775" s="2">
        <v>0.54166666666666663</v>
      </c>
      <c r="K1775" s="11"/>
      <c r="L1775" s="11" t="s">
        <v>339</v>
      </c>
      <c r="M1775" s="1"/>
      <c r="N1775" s="11"/>
      <c r="O1775" s="11" t="s">
        <v>4042</v>
      </c>
      <c r="P1775" s="1"/>
      <c r="Q1775" s="1"/>
      <c r="R1775" s="11"/>
      <c r="S1775" s="2">
        <f>CONSOLIDADO_2026[[#This Row],[Hora final]]-CONSOLIDADO_2026[[#This Row],[Hora inic]]</f>
        <v>0.29166666666666663</v>
      </c>
    </row>
    <row r="1776" spans="1:19" hidden="1" x14ac:dyDescent="0.25">
      <c r="A1776" t="s">
        <v>4314</v>
      </c>
      <c r="B1776">
        <v>1001639847</v>
      </c>
      <c r="C1776" t="s">
        <v>3977</v>
      </c>
      <c r="D1776" s="11" t="s">
        <v>272</v>
      </c>
      <c r="E1776" s="11" t="s">
        <v>4056</v>
      </c>
      <c r="F1776" s="11" t="s">
        <v>4104</v>
      </c>
      <c r="G1776" s="1">
        <v>46262</v>
      </c>
      <c r="H1776" s="1">
        <v>46262</v>
      </c>
      <c r="I1776" s="2">
        <v>0.25</v>
      </c>
      <c r="J1776" s="2">
        <v>0.54166666666666663</v>
      </c>
      <c r="K1776" s="11"/>
      <c r="L1776" s="11" t="s">
        <v>4326</v>
      </c>
      <c r="M1776" s="1"/>
      <c r="N1776" s="11"/>
      <c r="O1776" s="11" t="s">
        <v>4042</v>
      </c>
      <c r="P1776" s="1"/>
      <c r="Q1776" s="1"/>
      <c r="R1776" s="11"/>
      <c r="S1776" s="2">
        <f>CONSOLIDADO_2026[[#This Row],[Hora final]]-CONSOLIDADO_2026[[#This Row],[Hora inic]]</f>
        <v>0.29166666666666663</v>
      </c>
    </row>
    <row r="1777" spans="1:19" hidden="1" x14ac:dyDescent="0.25">
      <c r="A1777" t="s">
        <v>4314</v>
      </c>
      <c r="B1777">
        <v>1193537573</v>
      </c>
      <c r="C1777" t="s">
        <v>431</v>
      </c>
      <c r="D1777" s="11" t="s">
        <v>245</v>
      </c>
      <c r="E1777" s="11" t="s">
        <v>4040</v>
      </c>
      <c r="F1777" s="11" t="s">
        <v>4074</v>
      </c>
      <c r="G1777" s="1">
        <v>46261</v>
      </c>
      <c r="H1777" s="1">
        <v>46261</v>
      </c>
      <c r="I1777" s="2">
        <v>0.54166666666666663</v>
      </c>
      <c r="J1777" s="2">
        <v>0.875</v>
      </c>
      <c r="K1777" s="11"/>
      <c r="L1777" s="11" t="s">
        <v>4060</v>
      </c>
      <c r="M1777" s="1"/>
      <c r="N1777" s="11"/>
      <c r="O1777" s="11" t="s">
        <v>4042</v>
      </c>
      <c r="P1777" s="1"/>
      <c r="Q1777" s="1"/>
      <c r="R1777" s="11"/>
      <c r="S1777" s="2">
        <f>CONSOLIDADO_2026[[#This Row],[Hora final]]-CONSOLIDADO_2026[[#This Row],[Hora inic]]</f>
        <v>0.33333333333333337</v>
      </c>
    </row>
    <row r="1778" spans="1:19" hidden="1" x14ac:dyDescent="0.25">
      <c r="A1778" t="s">
        <v>4314</v>
      </c>
      <c r="B1778">
        <v>1077458502</v>
      </c>
      <c r="C1778" t="s">
        <v>1623</v>
      </c>
      <c r="D1778" s="11" t="s">
        <v>128</v>
      </c>
      <c r="E1778" s="11" t="s">
        <v>4045</v>
      </c>
      <c r="F1778" s="11" t="s">
        <v>4050</v>
      </c>
      <c r="G1778" s="1">
        <v>46261</v>
      </c>
      <c r="H1778" s="1">
        <v>46263</v>
      </c>
      <c r="I1778" s="2">
        <v>0.58333333333333337</v>
      </c>
      <c r="J1778" s="2">
        <v>0.875</v>
      </c>
      <c r="K1778" s="11"/>
      <c r="L1778" s="11" t="s">
        <v>327</v>
      </c>
      <c r="M1778" s="1"/>
      <c r="N1778" s="11"/>
      <c r="O1778" s="11" t="s">
        <v>4042</v>
      </c>
      <c r="P1778" s="1"/>
      <c r="Q1778" s="1"/>
      <c r="R1778" s="11"/>
      <c r="S1778" s="2">
        <f>CONSOLIDADO_2026[[#This Row],[Hora final]]-CONSOLIDADO_2026[[#This Row],[Hora inic]]</f>
        <v>0.29166666666666663</v>
      </c>
    </row>
    <row r="1779" spans="1:19" hidden="1" x14ac:dyDescent="0.25">
      <c r="A1779" t="s">
        <v>4314</v>
      </c>
      <c r="B1779">
        <v>1005582317</v>
      </c>
      <c r="C1779" t="s">
        <v>2959</v>
      </c>
      <c r="D1779" s="11" t="s">
        <v>28</v>
      </c>
      <c r="E1779" s="11" t="s">
        <v>4046</v>
      </c>
      <c r="F1779" s="11" t="s">
        <v>16</v>
      </c>
      <c r="G1779" s="1">
        <v>46262</v>
      </c>
      <c r="H1779" s="1">
        <v>46263</v>
      </c>
      <c r="I1779" s="2">
        <v>0.25</v>
      </c>
      <c r="J1779" s="2">
        <v>0.54166666666666663</v>
      </c>
      <c r="K1779" s="11"/>
      <c r="L1779" s="11" t="s">
        <v>327</v>
      </c>
      <c r="M1779" s="1"/>
      <c r="N1779" s="11"/>
      <c r="O1779" s="11" t="s">
        <v>4042</v>
      </c>
      <c r="P1779" s="1"/>
      <c r="Q1779" s="1"/>
      <c r="R1779" s="11"/>
      <c r="S1779" s="2">
        <f>CONSOLIDADO_2026[[#This Row],[Hora final]]-CONSOLIDADO_2026[[#This Row],[Hora inic]]</f>
        <v>0.29166666666666663</v>
      </c>
    </row>
    <row r="1780" spans="1:19" hidden="1" x14ac:dyDescent="0.25">
      <c r="A1780" t="s">
        <v>4314</v>
      </c>
      <c r="B1780">
        <v>1001368815</v>
      </c>
      <c r="C1780" t="s">
        <v>2875</v>
      </c>
      <c r="D1780" s="11" t="s">
        <v>272</v>
      </c>
      <c r="E1780" s="11" t="s">
        <v>4056</v>
      </c>
      <c r="F1780" s="11" t="s">
        <v>4104</v>
      </c>
      <c r="G1780" s="1">
        <v>46262</v>
      </c>
      <c r="H1780" s="1">
        <v>46262</v>
      </c>
      <c r="I1780" s="2">
        <v>0.25</v>
      </c>
      <c r="J1780" s="2">
        <v>0.54166666666666663</v>
      </c>
      <c r="K1780" s="11"/>
      <c r="L1780" s="11" t="s">
        <v>339</v>
      </c>
      <c r="M1780" s="1"/>
      <c r="N1780" s="11"/>
      <c r="O1780" s="11" t="s">
        <v>4042</v>
      </c>
      <c r="P1780" s="1"/>
      <c r="Q1780" s="1"/>
      <c r="R1780" s="11"/>
      <c r="S1780" s="2">
        <f>CONSOLIDADO_2026[[#This Row],[Hora final]]-CONSOLIDADO_2026[[#This Row],[Hora inic]]</f>
        <v>0.29166666666666663</v>
      </c>
    </row>
    <row r="1781" spans="1:19" hidden="1" x14ac:dyDescent="0.25">
      <c r="A1781" t="s">
        <v>4314</v>
      </c>
      <c r="B1781">
        <v>1100694689</v>
      </c>
      <c r="C1781" t="s">
        <v>262</v>
      </c>
      <c r="D1781" s="11" t="s">
        <v>4078</v>
      </c>
      <c r="E1781" s="11" t="s">
        <v>4047</v>
      </c>
      <c r="F1781" s="11" t="s">
        <v>4087</v>
      </c>
      <c r="G1781" s="1">
        <v>46262</v>
      </c>
      <c r="H1781" s="1">
        <v>46262</v>
      </c>
      <c r="I1781" s="2">
        <v>0.25</v>
      </c>
      <c r="J1781" s="2">
        <v>0.54166666666666663</v>
      </c>
      <c r="K1781" s="11" t="s">
        <v>261</v>
      </c>
      <c r="L1781" s="11" t="s">
        <v>262</v>
      </c>
      <c r="M1781" s="1"/>
      <c r="N1781" s="11"/>
      <c r="O1781" s="11" t="s">
        <v>4042</v>
      </c>
      <c r="P1781" s="1"/>
      <c r="Q1781" s="1"/>
      <c r="R1781" s="11"/>
      <c r="S1781" s="2">
        <f>CONSOLIDADO_2026[[#This Row],[Hora final]]-CONSOLIDADO_2026[[#This Row],[Hora inic]]</f>
        <v>0.29166666666666663</v>
      </c>
    </row>
    <row r="1782" spans="1:19" hidden="1" x14ac:dyDescent="0.25">
      <c r="A1782" t="s">
        <v>4314</v>
      </c>
      <c r="B1782">
        <v>1037645925</v>
      </c>
      <c r="C1782" t="s">
        <v>926</v>
      </c>
      <c r="D1782" s="11" t="s">
        <v>28</v>
      </c>
      <c r="E1782" s="11" t="s">
        <v>4046</v>
      </c>
      <c r="F1782" s="11" t="s">
        <v>16</v>
      </c>
      <c r="G1782" s="1">
        <v>46262</v>
      </c>
      <c r="H1782" s="1">
        <v>46262</v>
      </c>
      <c r="I1782" s="2">
        <v>0.25</v>
      </c>
      <c r="J1782" s="2">
        <v>0.45833333333333331</v>
      </c>
      <c r="K1782" s="11"/>
      <c r="L1782" s="11" t="s">
        <v>327</v>
      </c>
      <c r="M1782" s="1"/>
      <c r="N1782" s="11"/>
      <c r="O1782" s="11" t="s">
        <v>4042</v>
      </c>
      <c r="P1782" s="1"/>
      <c r="Q1782" s="1"/>
      <c r="R1782" s="11"/>
      <c r="S1782" s="2">
        <f>CONSOLIDADO_2026[[#This Row],[Hora final]]-CONSOLIDADO_2026[[#This Row],[Hora inic]]</f>
        <v>0.20833333333333331</v>
      </c>
    </row>
    <row r="1783" spans="1:19" hidden="1" x14ac:dyDescent="0.25">
      <c r="A1783" t="s">
        <v>4314</v>
      </c>
      <c r="B1783">
        <v>1047509880</v>
      </c>
      <c r="C1783" t="s">
        <v>3290</v>
      </c>
      <c r="D1783" s="11" t="s">
        <v>28</v>
      </c>
      <c r="E1783" s="11" t="s">
        <v>4046</v>
      </c>
      <c r="F1783" s="11" t="s">
        <v>16</v>
      </c>
      <c r="G1783" s="1">
        <v>46262</v>
      </c>
      <c r="H1783" s="1">
        <v>46263</v>
      </c>
      <c r="I1783" s="2">
        <v>0.25</v>
      </c>
      <c r="J1783" s="2">
        <v>0.58333333333333337</v>
      </c>
      <c r="K1783" s="11" t="s">
        <v>181</v>
      </c>
      <c r="L1783" s="11" t="s">
        <v>182</v>
      </c>
      <c r="M1783" s="1"/>
      <c r="N1783" s="11"/>
      <c r="O1783" s="11" t="s">
        <v>4042</v>
      </c>
      <c r="P1783" s="1"/>
      <c r="Q1783" s="1"/>
      <c r="R1783" s="11"/>
      <c r="S1783" s="2">
        <f>CONSOLIDADO_2026[[#This Row],[Hora final]]-CONSOLIDADO_2026[[#This Row],[Hora inic]]</f>
        <v>0.33333333333333337</v>
      </c>
    </row>
    <row r="1784" spans="1:19" hidden="1" x14ac:dyDescent="0.25">
      <c r="A1784" t="s">
        <v>4314</v>
      </c>
      <c r="B1784">
        <v>57418917</v>
      </c>
      <c r="C1784" t="s">
        <v>4329</v>
      </c>
      <c r="D1784" s="11" t="s">
        <v>28</v>
      </c>
      <c r="E1784" s="11" t="s">
        <v>4046</v>
      </c>
      <c r="F1784" s="11" t="s">
        <v>16</v>
      </c>
      <c r="G1784" s="1">
        <v>46262</v>
      </c>
      <c r="H1784" s="1">
        <v>46262</v>
      </c>
      <c r="I1784" s="2">
        <v>0.58333333333333337</v>
      </c>
      <c r="J1784" s="2">
        <v>0.875</v>
      </c>
      <c r="K1784" s="11"/>
      <c r="L1784" s="11" t="s">
        <v>327</v>
      </c>
      <c r="M1784" s="1"/>
      <c r="N1784" s="11"/>
      <c r="O1784" s="11" t="s">
        <v>4042</v>
      </c>
      <c r="P1784" s="1"/>
      <c r="Q1784" s="1"/>
      <c r="R1784" s="11"/>
      <c r="S1784" s="2">
        <f>CONSOLIDADO_2026[[#This Row],[Hora final]]-CONSOLIDADO_2026[[#This Row],[Hora inic]]</f>
        <v>0.29166666666666663</v>
      </c>
    </row>
    <row r="1785" spans="1:19" hidden="1" x14ac:dyDescent="0.25">
      <c r="A1785" t="s">
        <v>4314</v>
      </c>
      <c r="B1785">
        <v>1152462501</v>
      </c>
      <c r="C1785" t="s">
        <v>3056</v>
      </c>
      <c r="D1785" s="11" t="s">
        <v>28</v>
      </c>
      <c r="E1785" s="11" t="s">
        <v>4046</v>
      </c>
      <c r="F1785" s="11" t="s">
        <v>16</v>
      </c>
      <c r="G1785" s="1">
        <v>46262</v>
      </c>
      <c r="H1785" s="1">
        <v>46262</v>
      </c>
      <c r="I1785" s="2">
        <v>0.25</v>
      </c>
      <c r="J1785" s="2">
        <v>0.58333333333333337</v>
      </c>
      <c r="K1785" s="11"/>
      <c r="L1785" s="11" t="s">
        <v>327</v>
      </c>
      <c r="M1785" s="1"/>
      <c r="N1785" s="11"/>
      <c r="O1785" s="11" t="s">
        <v>4042</v>
      </c>
      <c r="P1785" s="1"/>
      <c r="Q1785" s="1"/>
      <c r="R1785" s="11"/>
      <c r="S1785" s="2">
        <f>CONSOLIDADO_2026[[#This Row],[Hora final]]-CONSOLIDADO_2026[[#This Row],[Hora inic]]</f>
        <v>0.33333333333333337</v>
      </c>
    </row>
    <row r="1786" spans="1:19" hidden="1" x14ac:dyDescent="0.25">
      <c r="A1786" t="s">
        <v>4330</v>
      </c>
      <c r="B1786">
        <v>1152462501</v>
      </c>
      <c r="C1786" t="s">
        <v>3056</v>
      </c>
      <c r="D1786" s="11" t="s">
        <v>78</v>
      </c>
      <c r="E1786" s="11" t="s">
        <v>4046</v>
      </c>
      <c r="F1786" s="11" t="s">
        <v>4074</v>
      </c>
      <c r="G1786" s="1">
        <v>46262</v>
      </c>
      <c r="H1786" s="1">
        <v>46262</v>
      </c>
      <c r="I1786" s="2"/>
      <c r="J1786" s="2"/>
      <c r="K1786" s="11"/>
      <c r="L1786" s="11" t="s">
        <v>339</v>
      </c>
      <c r="M1786" s="1"/>
      <c r="N1786" s="11"/>
      <c r="O1786" s="11" t="s">
        <v>4042</v>
      </c>
      <c r="P1786" s="1"/>
      <c r="Q1786" s="1"/>
      <c r="R1786" s="11"/>
      <c r="S1786" s="2">
        <f>CONSOLIDADO_2026[[#This Row],[Hora final]]-CONSOLIDADO_2026[[#This Row],[Hora inic]]</f>
        <v>0</v>
      </c>
    </row>
    <row r="1787" spans="1:19" hidden="1" x14ac:dyDescent="0.25">
      <c r="A1787" t="s">
        <v>4330</v>
      </c>
      <c r="B1787">
        <v>1016090631</v>
      </c>
      <c r="C1787" t="s">
        <v>2866</v>
      </c>
      <c r="D1787" s="11" t="s">
        <v>55</v>
      </c>
      <c r="E1787" s="11" t="s">
        <v>4047</v>
      </c>
      <c r="F1787" s="11" t="s">
        <v>16</v>
      </c>
      <c r="G1787" s="1">
        <v>46261</v>
      </c>
      <c r="H1787" s="1">
        <v>46263</v>
      </c>
      <c r="I1787" s="2"/>
      <c r="J1787" s="2"/>
      <c r="K1787" s="11"/>
      <c r="L1787" s="11" t="s">
        <v>339</v>
      </c>
      <c r="M1787" s="1"/>
      <c r="N1787" s="11"/>
      <c r="O1787" s="11" t="s">
        <v>4042</v>
      </c>
      <c r="P1787" s="1"/>
      <c r="Q1787" s="1"/>
      <c r="R1787" s="11"/>
      <c r="S1787" s="2">
        <f>CONSOLIDADO_2026[[#This Row],[Hora final]]-CONSOLIDADO_2026[[#This Row],[Hora inic]]</f>
        <v>0</v>
      </c>
    </row>
    <row r="1788" spans="1:19" hidden="1" x14ac:dyDescent="0.25">
      <c r="A1788" t="s">
        <v>4330</v>
      </c>
      <c r="B1788">
        <v>1047509880</v>
      </c>
      <c r="C1788" t="s">
        <v>3290</v>
      </c>
      <c r="D1788" s="11" t="s">
        <v>28</v>
      </c>
      <c r="E1788" s="11" t="s">
        <v>4046</v>
      </c>
      <c r="F1788" s="11" t="s">
        <v>16</v>
      </c>
      <c r="G1788" s="1">
        <v>46262</v>
      </c>
      <c r="H1788" s="1">
        <v>46263</v>
      </c>
      <c r="I1788" s="2"/>
      <c r="J1788" s="2"/>
      <c r="K1788" s="11"/>
      <c r="L1788" s="11" t="s">
        <v>339</v>
      </c>
      <c r="M1788" s="1"/>
      <c r="N1788" s="11"/>
      <c r="O1788" s="11" t="s">
        <v>4042</v>
      </c>
      <c r="P1788" s="1"/>
      <c r="Q1788" s="1"/>
      <c r="R1788" s="11"/>
      <c r="S1788" s="2">
        <f>CONSOLIDADO_2026[[#This Row],[Hora final]]-CONSOLIDADO_2026[[#This Row],[Hora inic]]</f>
        <v>0</v>
      </c>
    </row>
    <row r="1789" spans="1:19" hidden="1" x14ac:dyDescent="0.25">
      <c r="A1789" t="s">
        <v>4330</v>
      </c>
      <c r="B1789">
        <v>1037645925</v>
      </c>
      <c r="C1789" t="s">
        <v>926</v>
      </c>
      <c r="D1789" s="11" t="s">
        <v>28</v>
      </c>
      <c r="E1789" s="11" t="s">
        <v>4046</v>
      </c>
      <c r="F1789" s="11" t="s">
        <v>16</v>
      </c>
      <c r="G1789" s="1">
        <v>46262</v>
      </c>
      <c r="H1789" s="1">
        <v>46262</v>
      </c>
      <c r="I1789" s="2"/>
      <c r="J1789" s="2"/>
      <c r="K1789" s="11"/>
      <c r="L1789" s="11" t="s">
        <v>339</v>
      </c>
      <c r="M1789" s="1"/>
      <c r="N1789" s="11"/>
      <c r="O1789" s="11" t="s">
        <v>4042</v>
      </c>
      <c r="P1789" s="1"/>
      <c r="Q1789" s="1"/>
      <c r="R1789" s="11"/>
      <c r="S1789" s="2">
        <f>CONSOLIDADO_2026[[#This Row],[Hora final]]-CONSOLIDADO_2026[[#This Row],[Hora inic]]</f>
        <v>0</v>
      </c>
    </row>
    <row r="1790" spans="1:19" hidden="1" x14ac:dyDescent="0.25">
      <c r="A1790" t="s">
        <v>4330</v>
      </c>
      <c r="B1790">
        <v>1005582317</v>
      </c>
      <c r="C1790" t="s">
        <v>4331</v>
      </c>
      <c r="D1790" s="11" t="s">
        <v>28</v>
      </c>
      <c r="E1790" s="11" t="s">
        <v>4046</v>
      </c>
      <c r="F1790" s="11" t="s">
        <v>16</v>
      </c>
      <c r="G1790" s="1">
        <v>46262</v>
      </c>
      <c r="H1790" s="1">
        <v>46263</v>
      </c>
      <c r="I1790" s="2"/>
      <c r="J1790" s="2"/>
      <c r="K1790" s="11"/>
      <c r="L1790" s="11" t="s">
        <v>339</v>
      </c>
      <c r="M1790" s="1"/>
      <c r="N1790" s="11"/>
      <c r="O1790" s="11" t="s">
        <v>4042</v>
      </c>
      <c r="P1790" s="1"/>
      <c r="Q1790" s="1"/>
      <c r="R1790" s="11"/>
      <c r="S1790" s="2">
        <f>CONSOLIDADO_2026[[#This Row],[Hora final]]-CONSOLIDADO_2026[[#This Row],[Hora inic]]</f>
        <v>0</v>
      </c>
    </row>
    <row r="1791" spans="1:19" hidden="1" x14ac:dyDescent="0.25">
      <c r="A1791" t="s">
        <v>4330</v>
      </c>
      <c r="B1791">
        <v>1077458502</v>
      </c>
      <c r="C1791" t="s">
        <v>4332</v>
      </c>
      <c r="D1791" s="11" t="s">
        <v>128</v>
      </c>
      <c r="E1791" s="11" t="s">
        <v>4045</v>
      </c>
      <c r="F1791" s="11" t="s">
        <v>4050</v>
      </c>
      <c r="G1791" s="1">
        <v>46261</v>
      </c>
      <c r="H1791" s="1">
        <v>46263</v>
      </c>
      <c r="I1791" s="2"/>
      <c r="J1791" s="2"/>
      <c r="K1791" s="11"/>
      <c r="L1791" s="11" t="s">
        <v>339</v>
      </c>
      <c r="M1791" s="1"/>
      <c r="N1791" s="11"/>
      <c r="O1791" s="11" t="s">
        <v>4042</v>
      </c>
      <c r="P1791" s="1"/>
      <c r="Q1791" s="1"/>
      <c r="R1791" s="11"/>
      <c r="S1791" s="2">
        <f>CONSOLIDADO_2026[[#This Row],[Hora final]]-CONSOLIDADO_2026[[#This Row],[Hora inic]]</f>
        <v>0</v>
      </c>
    </row>
    <row r="1792" spans="1:19" hidden="1" x14ac:dyDescent="0.25">
      <c r="A1792" t="s">
        <v>4330</v>
      </c>
      <c r="B1792">
        <v>1039462842</v>
      </c>
      <c r="C1792" t="s">
        <v>4333</v>
      </c>
      <c r="D1792" s="11" t="s">
        <v>128</v>
      </c>
      <c r="E1792" s="11" t="s">
        <v>4045</v>
      </c>
      <c r="F1792" s="11" t="s">
        <v>4050</v>
      </c>
      <c r="G1792" s="1">
        <v>46263</v>
      </c>
      <c r="H1792" s="1">
        <v>46267</v>
      </c>
      <c r="I1792" s="2"/>
      <c r="J1792" s="2"/>
      <c r="K1792" s="11"/>
      <c r="L1792" s="11" t="s">
        <v>339</v>
      </c>
      <c r="M1792" s="1"/>
      <c r="N1792" s="11"/>
      <c r="O1792" s="11" t="s">
        <v>4042</v>
      </c>
      <c r="P1792" s="1"/>
      <c r="Q1792" s="1"/>
      <c r="R1792" s="11"/>
      <c r="S1792" s="2">
        <f>CONSOLIDADO_2026[[#This Row],[Hora final]]-CONSOLIDADO_2026[[#This Row],[Hora inic]]</f>
        <v>0</v>
      </c>
    </row>
    <row r="1793" spans="1:19" hidden="1" x14ac:dyDescent="0.25">
      <c r="A1793" t="s">
        <v>4330</v>
      </c>
      <c r="B1793">
        <v>1193537573</v>
      </c>
      <c r="C1793" t="s">
        <v>431</v>
      </c>
      <c r="D1793" s="11" t="s">
        <v>245</v>
      </c>
      <c r="E1793" s="11" t="s">
        <v>4040</v>
      </c>
      <c r="F1793" s="11" t="s">
        <v>4074</v>
      </c>
      <c r="G1793" s="1">
        <v>46261</v>
      </c>
      <c r="H1793" s="1">
        <v>46261</v>
      </c>
      <c r="I1793" s="2"/>
      <c r="J1793" s="2"/>
      <c r="K1793" s="11"/>
      <c r="L1793" s="11" t="s">
        <v>339</v>
      </c>
      <c r="M1793" s="1"/>
      <c r="N1793" s="11"/>
      <c r="O1793" s="11" t="s">
        <v>4042</v>
      </c>
      <c r="P1793" s="1"/>
      <c r="Q1793" s="1"/>
      <c r="R1793" s="11"/>
      <c r="S1793" s="2">
        <f>CONSOLIDADO_2026[[#This Row],[Hora final]]-CONSOLIDADO_2026[[#This Row],[Hora inic]]</f>
        <v>0</v>
      </c>
    </row>
    <row r="1794" spans="1:19" hidden="1" x14ac:dyDescent="0.25">
      <c r="A1794" t="s">
        <v>4330</v>
      </c>
      <c r="B1794">
        <v>1017260545</v>
      </c>
      <c r="C1794" t="s">
        <v>4334</v>
      </c>
      <c r="D1794" s="11" t="s">
        <v>4335</v>
      </c>
      <c r="E1794" s="11" t="s">
        <v>4040</v>
      </c>
      <c r="F1794" s="11" t="s">
        <v>4050</v>
      </c>
      <c r="G1794" s="1">
        <v>46261</v>
      </c>
      <c r="H1794" s="1">
        <v>46263</v>
      </c>
      <c r="I1794" s="2"/>
      <c r="J1794" s="2"/>
      <c r="K1794" s="11"/>
      <c r="L1794" s="11" t="s">
        <v>339</v>
      </c>
      <c r="M1794" s="1"/>
      <c r="N1794" s="11"/>
      <c r="O1794" s="11" t="s">
        <v>4042</v>
      </c>
      <c r="P1794" s="1"/>
      <c r="Q1794" s="1"/>
      <c r="R1794" s="11"/>
      <c r="S1794" s="2">
        <f>CONSOLIDADO_2026[[#This Row],[Hora final]]-CONSOLIDADO_2026[[#This Row],[Hora inic]]</f>
        <v>0</v>
      </c>
    </row>
    <row r="1795" spans="1:19" hidden="1" x14ac:dyDescent="0.25">
      <c r="A1795" t="s">
        <v>4330</v>
      </c>
      <c r="B1795">
        <v>1096223065</v>
      </c>
      <c r="C1795" t="s">
        <v>3428</v>
      </c>
      <c r="D1795" s="11" t="s">
        <v>59</v>
      </c>
      <c r="E1795" s="11" t="s">
        <v>4047</v>
      </c>
      <c r="F1795" s="11" t="s">
        <v>16</v>
      </c>
      <c r="G1795" s="1">
        <v>46256</v>
      </c>
      <c r="H1795" s="1">
        <v>46263</v>
      </c>
      <c r="I1795" s="2"/>
      <c r="J1795" s="2"/>
      <c r="K1795" s="11"/>
      <c r="L1795" s="11" t="s">
        <v>339</v>
      </c>
      <c r="M1795" s="1"/>
      <c r="N1795" s="11"/>
      <c r="O1795" s="11" t="s">
        <v>4042</v>
      </c>
      <c r="P1795" s="1"/>
      <c r="Q1795" s="1"/>
      <c r="R1795" s="11"/>
      <c r="S1795" s="2">
        <f>CONSOLIDADO_2026[[#This Row],[Hora final]]-CONSOLIDADO_2026[[#This Row],[Hora inic]]</f>
        <v>0</v>
      </c>
    </row>
    <row r="1796" spans="1:19" hidden="1" x14ac:dyDescent="0.25">
      <c r="A1796" t="s">
        <v>4330</v>
      </c>
      <c r="B1796">
        <v>1037638426</v>
      </c>
      <c r="C1796" t="s">
        <v>61</v>
      </c>
      <c r="D1796" s="11" t="s">
        <v>28</v>
      </c>
      <c r="E1796" s="11" t="s">
        <v>4046</v>
      </c>
      <c r="F1796" s="11" t="s">
        <v>24</v>
      </c>
      <c r="G1796" s="1">
        <v>46263</v>
      </c>
      <c r="H1796" s="1">
        <v>46295</v>
      </c>
      <c r="I1796" s="2"/>
      <c r="J1796" s="2"/>
      <c r="K1796" s="11"/>
      <c r="L1796" s="11" t="s">
        <v>339</v>
      </c>
      <c r="M1796" s="1"/>
      <c r="N1796" s="11"/>
      <c r="O1796" s="11" t="s">
        <v>4042</v>
      </c>
      <c r="P1796" s="1"/>
      <c r="Q1796" s="1"/>
      <c r="R1796" s="11"/>
      <c r="S1796" s="2">
        <f>CONSOLIDADO_2026[[#This Row],[Hora final]]-CONSOLIDADO_2026[[#This Row],[Hora inic]]</f>
        <v>0</v>
      </c>
    </row>
    <row r="1797" spans="1:19" hidden="1" x14ac:dyDescent="0.25">
      <c r="A1797" t="s">
        <v>4330</v>
      </c>
      <c r="B1797">
        <v>1103099277</v>
      </c>
      <c r="C1797" t="s">
        <v>4336</v>
      </c>
      <c r="D1797" s="11" t="s">
        <v>78</v>
      </c>
      <c r="E1797" s="11" t="s">
        <v>4046</v>
      </c>
      <c r="F1797" s="11" t="s">
        <v>4050</v>
      </c>
      <c r="G1797" s="1">
        <v>46260</v>
      </c>
      <c r="H1797" s="1">
        <v>46262</v>
      </c>
      <c r="I1797" s="2"/>
      <c r="J1797" s="2"/>
      <c r="K1797" s="11"/>
      <c r="L1797" s="11" t="s">
        <v>339</v>
      </c>
      <c r="M1797" s="1"/>
      <c r="N1797" s="11"/>
      <c r="O1797" s="11" t="s">
        <v>4042</v>
      </c>
      <c r="P1797" s="1"/>
      <c r="Q1797" s="1"/>
      <c r="R1797" s="11"/>
      <c r="S1797" s="2">
        <f>CONSOLIDADO_2026[[#This Row],[Hora final]]-CONSOLIDADO_2026[[#This Row],[Hora inic]]</f>
        <v>0</v>
      </c>
    </row>
    <row r="1798" spans="1:19" hidden="1" x14ac:dyDescent="0.25">
      <c r="A1798" t="s">
        <v>4330</v>
      </c>
      <c r="B1798">
        <v>1020475954</v>
      </c>
      <c r="C1798" t="s">
        <v>3934</v>
      </c>
      <c r="D1798" s="11" t="s">
        <v>68</v>
      </c>
      <c r="E1798" s="11" t="s">
        <v>4040</v>
      </c>
      <c r="F1798" s="11" t="s">
        <v>16</v>
      </c>
      <c r="G1798" s="1">
        <v>46261</v>
      </c>
      <c r="H1798" s="1">
        <v>46262</v>
      </c>
      <c r="I1798" s="2"/>
      <c r="J1798" s="2"/>
      <c r="K1798" s="11"/>
      <c r="L1798" s="11" t="s">
        <v>339</v>
      </c>
      <c r="M1798" s="1"/>
      <c r="N1798" s="11"/>
      <c r="O1798" s="11" t="s">
        <v>4042</v>
      </c>
      <c r="P1798" s="1"/>
      <c r="Q1798" s="1"/>
      <c r="R1798" s="11"/>
      <c r="S1798" s="2">
        <f>CONSOLIDADO_2026[[#This Row],[Hora final]]-CONSOLIDADO_2026[[#This Row],[Hora inic]]</f>
        <v>0</v>
      </c>
    </row>
    <row r="1799" spans="1:19" hidden="1" x14ac:dyDescent="0.25">
      <c r="A1799" t="s">
        <v>4330</v>
      </c>
      <c r="B1799">
        <v>1037608343</v>
      </c>
      <c r="C1799" t="s">
        <v>4337</v>
      </c>
      <c r="D1799" s="11" t="s">
        <v>39</v>
      </c>
      <c r="E1799" s="11" t="s">
        <v>4046</v>
      </c>
      <c r="F1799" s="11" t="s">
        <v>92</v>
      </c>
      <c r="G1799" s="1">
        <v>46261</v>
      </c>
      <c r="H1799" s="1">
        <v>46265</v>
      </c>
      <c r="I1799" s="2"/>
      <c r="J1799" s="2"/>
      <c r="K1799" s="11"/>
      <c r="L1799" s="11" t="s">
        <v>339</v>
      </c>
      <c r="M1799" s="1"/>
      <c r="N1799" s="11"/>
      <c r="O1799" s="11" t="s">
        <v>4042</v>
      </c>
      <c r="P1799" s="1"/>
      <c r="Q1799" s="1"/>
      <c r="R1799" s="11"/>
      <c r="S1799" s="2">
        <f>CONSOLIDADO_2026[[#This Row],[Hora final]]-CONSOLIDADO_2026[[#This Row],[Hora inic]]</f>
        <v>0</v>
      </c>
    </row>
    <row r="1800" spans="1:19" hidden="1" x14ac:dyDescent="0.25">
      <c r="A1800" t="s">
        <v>4330</v>
      </c>
      <c r="B1800">
        <v>1128272024</v>
      </c>
      <c r="C1800" t="s">
        <v>1101</v>
      </c>
      <c r="D1800" s="11" t="s">
        <v>51</v>
      </c>
      <c r="E1800" s="11" t="s">
        <v>4047</v>
      </c>
      <c r="F1800" s="11" t="s">
        <v>4074</v>
      </c>
      <c r="G1800" s="1">
        <v>46261</v>
      </c>
      <c r="H1800" s="1">
        <v>46262</v>
      </c>
      <c r="I1800" s="2"/>
      <c r="J1800" s="2"/>
      <c r="K1800" s="11"/>
      <c r="L1800" s="11" t="s">
        <v>339</v>
      </c>
      <c r="M1800" s="1"/>
      <c r="N1800" s="11"/>
      <c r="O1800" s="11" t="s">
        <v>4042</v>
      </c>
      <c r="P1800" s="1"/>
      <c r="Q1800" s="1"/>
      <c r="R1800" s="11"/>
      <c r="S1800" s="2">
        <f>CONSOLIDADO_2026[[#This Row],[Hora final]]-CONSOLIDADO_2026[[#This Row],[Hora inic]]</f>
        <v>0</v>
      </c>
    </row>
    <row r="1801" spans="1:19" hidden="1" x14ac:dyDescent="0.25">
      <c r="A1801" t="s">
        <v>4330</v>
      </c>
      <c r="B1801">
        <v>42161723</v>
      </c>
      <c r="C1801" t="s">
        <v>4315</v>
      </c>
      <c r="D1801" s="11" t="s">
        <v>256</v>
      </c>
      <c r="E1801" s="11" t="s">
        <v>4040</v>
      </c>
      <c r="F1801" s="11" t="s">
        <v>16</v>
      </c>
      <c r="G1801" s="1">
        <v>46261</v>
      </c>
      <c r="H1801" s="1">
        <v>46262</v>
      </c>
      <c r="I1801" s="2"/>
      <c r="J1801" s="2"/>
      <c r="K1801" s="11"/>
      <c r="L1801" s="11" t="s">
        <v>339</v>
      </c>
      <c r="M1801" s="1"/>
      <c r="N1801" s="11"/>
      <c r="O1801" s="11" t="s">
        <v>4042</v>
      </c>
      <c r="P1801" s="1"/>
      <c r="Q1801" s="1"/>
      <c r="R1801" s="11"/>
      <c r="S1801" s="2">
        <f>CONSOLIDADO_2026[[#This Row],[Hora final]]-CONSOLIDADO_2026[[#This Row],[Hora inic]]</f>
        <v>0</v>
      </c>
    </row>
    <row r="1802" spans="1:19" hidden="1" x14ac:dyDescent="0.25">
      <c r="A1802" t="s">
        <v>4330</v>
      </c>
      <c r="B1802">
        <v>1143168832</v>
      </c>
      <c r="C1802" t="s">
        <v>1965</v>
      </c>
      <c r="D1802" s="11" t="s">
        <v>128</v>
      </c>
      <c r="E1802" s="11" t="s">
        <v>4045</v>
      </c>
      <c r="F1802" s="11" t="s">
        <v>4074</v>
      </c>
      <c r="G1802" s="1">
        <v>46261</v>
      </c>
      <c r="H1802" s="1">
        <v>46262</v>
      </c>
      <c r="I1802" s="2"/>
      <c r="J1802" s="2"/>
      <c r="K1802" s="11"/>
      <c r="L1802" s="11" t="s">
        <v>339</v>
      </c>
      <c r="M1802" s="1"/>
      <c r="N1802" s="11"/>
      <c r="O1802" s="11" t="s">
        <v>4042</v>
      </c>
      <c r="P1802" s="1"/>
      <c r="Q1802" s="1"/>
      <c r="R1802" s="11"/>
      <c r="S1802" s="2">
        <f>CONSOLIDADO_2026[[#This Row],[Hora final]]-CONSOLIDADO_2026[[#This Row],[Hora inic]]</f>
        <v>0</v>
      </c>
    </row>
    <row r="1803" spans="1:19" hidden="1" x14ac:dyDescent="0.25">
      <c r="A1803" t="s">
        <v>4330</v>
      </c>
      <c r="B1803">
        <v>1095832090</v>
      </c>
      <c r="C1803" t="s">
        <v>4243</v>
      </c>
      <c r="D1803" s="11" t="s">
        <v>55</v>
      </c>
      <c r="E1803" s="11" t="s">
        <v>4047</v>
      </c>
      <c r="F1803" s="11" t="s">
        <v>16</v>
      </c>
      <c r="G1803" s="1">
        <v>46260</v>
      </c>
      <c r="H1803" s="1">
        <v>46274</v>
      </c>
      <c r="I1803" s="2"/>
      <c r="J1803" s="2"/>
      <c r="K1803" s="11"/>
      <c r="L1803" s="11" t="s">
        <v>339</v>
      </c>
      <c r="M1803" s="1"/>
      <c r="N1803" s="11"/>
      <c r="O1803" s="11" t="s">
        <v>4042</v>
      </c>
      <c r="P1803" s="1"/>
      <c r="Q1803" s="1"/>
      <c r="R1803" s="11"/>
      <c r="S1803" s="2">
        <f>CONSOLIDADO_2026[[#This Row],[Hora final]]-CONSOLIDADO_2026[[#This Row],[Hora inic]]</f>
        <v>0</v>
      </c>
    </row>
    <row r="1804" spans="1:19" hidden="1" x14ac:dyDescent="0.25">
      <c r="A1804" t="s">
        <v>4330</v>
      </c>
      <c r="B1804">
        <v>1017271052</v>
      </c>
      <c r="C1804" t="s">
        <v>489</v>
      </c>
      <c r="D1804" s="11" t="s">
        <v>4316</v>
      </c>
      <c r="E1804" s="11" t="s">
        <v>4047</v>
      </c>
      <c r="F1804" s="11" t="s">
        <v>16</v>
      </c>
      <c r="G1804" s="1">
        <v>46261</v>
      </c>
      <c r="H1804" s="1">
        <v>46262</v>
      </c>
      <c r="I1804" s="2"/>
      <c r="J1804" s="2"/>
      <c r="K1804" s="11"/>
      <c r="L1804" s="11" t="s">
        <v>339</v>
      </c>
      <c r="M1804" s="1"/>
      <c r="N1804" s="11"/>
      <c r="O1804" s="11" t="s">
        <v>4042</v>
      </c>
      <c r="P1804" s="1"/>
      <c r="Q1804" s="1"/>
      <c r="R1804" s="11"/>
      <c r="S1804" s="2">
        <f>CONSOLIDADO_2026[[#This Row],[Hora final]]-CONSOLIDADO_2026[[#This Row],[Hora inic]]</f>
        <v>0</v>
      </c>
    </row>
    <row r="1805" spans="1:19" hidden="1" x14ac:dyDescent="0.25">
      <c r="A1805" t="s">
        <v>4330</v>
      </c>
      <c r="B1805">
        <v>1002208089</v>
      </c>
      <c r="C1805" t="s">
        <v>3350</v>
      </c>
      <c r="D1805" s="11" t="s">
        <v>162</v>
      </c>
      <c r="E1805" s="11" t="s">
        <v>4056</v>
      </c>
      <c r="F1805" s="11" t="s">
        <v>16</v>
      </c>
      <c r="G1805" s="1">
        <v>46261</v>
      </c>
      <c r="H1805" s="1">
        <v>46262</v>
      </c>
      <c r="I1805" s="2"/>
      <c r="J1805" s="2"/>
      <c r="K1805" s="11"/>
      <c r="L1805" s="11" t="s">
        <v>339</v>
      </c>
      <c r="M1805" s="1"/>
      <c r="N1805" s="11"/>
      <c r="O1805" s="11" t="s">
        <v>4042</v>
      </c>
      <c r="P1805" s="1"/>
      <c r="Q1805" s="1"/>
      <c r="R1805" s="11"/>
      <c r="S1805" s="2">
        <f>CONSOLIDADO_2026[[#This Row],[Hora final]]-CONSOLIDADO_2026[[#This Row],[Hora inic]]</f>
        <v>0</v>
      </c>
    </row>
    <row r="1806" spans="1:19" hidden="1" x14ac:dyDescent="0.25">
      <c r="A1806" t="s">
        <v>4330</v>
      </c>
      <c r="B1806">
        <v>1000416307</v>
      </c>
      <c r="C1806" t="s">
        <v>3062</v>
      </c>
      <c r="D1806" s="11" t="s">
        <v>256</v>
      </c>
      <c r="E1806" s="11" t="s">
        <v>4040</v>
      </c>
      <c r="F1806" s="11" t="s">
        <v>4050</v>
      </c>
      <c r="G1806" s="1">
        <v>46261</v>
      </c>
      <c r="H1806" s="1">
        <v>46263</v>
      </c>
      <c r="I1806" s="2"/>
      <c r="J1806" s="2"/>
      <c r="K1806" s="11"/>
      <c r="L1806" s="11" t="s">
        <v>339</v>
      </c>
      <c r="M1806" s="1"/>
      <c r="N1806" s="11"/>
      <c r="O1806" s="11" t="s">
        <v>4042</v>
      </c>
      <c r="P1806" s="1"/>
      <c r="Q1806" s="1"/>
      <c r="R1806" s="11"/>
      <c r="S1806" s="2">
        <f>CONSOLIDADO_2026[[#This Row],[Hora final]]-CONSOLIDADO_2026[[#This Row],[Hora inic]]</f>
        <v>0</v>
      </c>
    </row>
    <row r="1807" spans="1:19" hidden="1" x14ac:dyDescent="0.25">
      <c r="A1807" t="s">
        <v>4330</v>
      </c>
      <c r="B1807">
        <v>1067959066</v>
      </c>
      <c r="C1807" t="s">
        <v>3479</v>
      </c>
      <c r="D1807" s="11" t="s">
        <v>344</v>
      </c>
      <c r="E1807" s="11" t="s">
        <v>4056</v>
      </c>
      <c r="F1807" s="11" t="s">
        <v>4091</v>
      </c>
      <c r="G1807" s="1">
        <v>46261</v>
      </c>
      <c r="H1807" s="1">
        <v>46295</v>
      </c>
      <c r="I1807" s="2"/>
      <c r="J1807" s="2"/>
      <c r="K1807" s="11"/>
      <c r="L1807" s="11" t="s">
        <v>339</v>
      </c>
      <c r="M1807" s="1"/>
      <c r="N1807" s="11"/>
      <c r="O1807" s="11" t="s">
        <v>4042</v>
      </c>
      <c r="P1807" s="1"/>
      <c r="Q1807" s="1"/>
      <c r="R1807" s="11"/>
      <c r="S1807" s="2">
        <f>CONSOLIDADO_2026[[#This Row],[Hora final]]-CONSOLIDADO_2026[[#This Row],[Hora inic]]</f>
        <v>0</v>
      </c>
    </row>
    <row r="1808" spans="1:19" hidden="1" x14ac:dyDescent="0.25">
      <c r="A1808" t="s">
        <v>4330</v>
      </c>
      <c r="B1808">
        <v>1017232013</v>
      </c>
      <c r="C1808" t="s">
        <v>4317</v>
      </c>
      <c r="D1808" s="11" t="s">
        <v>28</v>
      </c>
      <c r="E1808" s="11" t="s">
        <v>4046</v>
      </c>
      <c r="F1808" s="11" t="s">
        <v>16</v>
      </c>
      <c r="G1808" s="1">
        <v>46260</v>
      </c>
      <c r="H1808" s="1">
        <v>46262</v>
      </c>
      <c r="I1808" s="2"/>
      <c r="J1808" s="2"/>
      <c r="K1808" s="11"/>
      <c r="L1808" s="11" t="s">
        <v>339</v>
      </c>
      <c r="M1808" s="1"/>
      <c r="N1808" s="11"/>
      <c r="O1808" s="11" t="s">
        <v>4042</v>
      </c>
      <c r="P1808" s="1"/>
      <c r="Q1808" s="1"/>
      <c r="R1808" s="11"/>
      <c r="S1808" s="2">
        <f>CONSOLIDADO_2026[[#This Row],[Hora final]]-CONSOLIDADO_2026[[#This Row],[Hora inic]]</f>
        <v>0</v>
      </c>
    </row>
    <row r="1809" spans="1:19" hidden="1" x14ac:dyDescent="0.25">
      <c r="A1809" t="s">
        <v>4330</v>
      </c>
      <c r="B1809">
        <v>1143267842</v>
      </c>
      <c r="C1809" t="s">
        <v>1501</v>
      </c>
      <c r="D1809" s="11" t="s">
        <v>128</v>
      </c>
      <c r="E1809" s="11" t="s">
        <v>4045</v>
      </c>
      <c r="F1809" s="11" t="s">
        <v>4050</v>
      </c>
      <c r="G1809" s="1">
        <v>46261</v>
      </c>
      <c r="H1809" s="1">
        <v>46263</v>
      </c>
      <c r="I1809" s="2"/>
      <c r="J1809" s="2"/>
      <c r="K1809" s="11"/>
      <c r="L1809" s="11" t="s">
        <v>339</v>
      </c>
      <c r="M1809" s="1"/>
      <c r="N1809" s="11"/>
      <c r="O1809" s="11" t="s">
        <v>4042</v>
      </c>
      <c r="P1809" s="1"/>
      <c r="Q1809" s="1"/>
      <c r="R1809" s="11"/>
      <c r="S1809" s="2">
        <f>CONSOLIDADO_2026[[#This Row],[Hora final]]-CONSOLIDADO_2026[[#This Row],[Hora inic]]</f>
        <v>0</v>
      </c>
    </row>
    <row r="1810" spans="1:19" hidden="1" x14ac:dyDescent="0.25">
      <c r="A1810" t="s">
        <v>4330</v>
      </c>
      <c r="B1810">
        <v>1067864151</v>
      </c>
      <c r="C1810" t="s">
        <v>1809</v>
      </c>
      <c r="D1810" s="11" t="s">
        <v>256</v>
      </c>
      <c r="E1810" s="11" t="s">
        <v>4040</v>
      </c>
      <c r="F1810" s="11" t="s">
        <v>16</v>
      </c>
      <c r="G1810" s="1">
        <v>46261</v>
      </c>
      <c r="H1810" s="1">
        <v>46268</v>
      </c>
      <c r="I1810" s="2"/>
      <c r="J1810" s="2"/>
      <c r="K1810" s="11"/>
      <c r="L1810" s="11" t="s">
        <v>339</v>
      </c>
      <c r="M1810" s="1"/>
      <c r="N1810" s="11"/>
      <c r="O1810" s="11" t="s">
        <v>4042</v>
      </c>
      <c r="P1810" s="1"/>
      <c r="Q1810" s="1"/>
      <c r="R1810" s="11"/>
      <c r="S1810" s="2">
        <f>CONSOLIDADO_2026[[#This Row],[Hora final]]-CONSOLIDADO_2026[[#This Row],[Hora inic]]</f>
        <v>0</v>
      </c>
    </row>
    <row r="1811" spans="1:19" hidden="1" x14ac:dyDescent="0.25">
      <c r="A1811" t="s">
        <v>4330</v>
      </c>
      <c r="B1811">
        <v>1143373273</v>
      </c>
      <c r="C1811" t="s">
        <v>2037</v>
      </c>
      <c r="D1811" s="11" t="s">
        <v>4318</v>
      </c>
      <c r="E1811" s="11" t="s">
        <v>4056</v>
      </c>
      <c r="F1811" s="11" t="s">
        <v>16</v>
      </c>
      <c r="G1811" s="1">
        <v>46259</v>
      </c>
      <c r="H1811" s="1">
        <v>46266</v>
      </c>
      <c r="I1811" s="2"/>
      <c r="J1811" s="2"/>
      <c r="K1811" s="11"/>
      <c r="L1811" s="11" t="s">
        <v>339</v>
      </c>
      <c r="M1811" s="1"/>
      <c r="N1811" s="11"/>
      <c r="O1811" s="11" t="s">
        <v>4042</v>
      </c>
      <c r="P1811" s="1"/>
      <c r="Q1811" s="1"/>
      <c r="R1811" s="11"/>
      <c r="S1811" s="2">
        <f>CONSOLIDADO_2026[[#This Row],[Hora final]]-CONSOLIDADO_2026[[#This Row],[Hora inic]]</f>
        <v>0</v>
      </c>
    </row>
    <row r="1812" spans="1:19" hidden="1" x14ac:dyDescent="0.25">
      <c r="A1812" t="s">
        <v>4330</v>
      </c>
      <c r="B1812">
        <v>1007959114</v>
      </c>
      <c r="C1812" t="s">
        <v>4154</v>
      </c>
      <c r="D1812" s="11" t="s">
        <v>39</v>
      </c>
      <c r="E1812" s="11" t="s">
        <v>4046</v>
      </c>
      <c r="F1812" s="11" t="s">
        <v>4074</v>
      </c>
      <c r="G1812" s="1">
        <v>46261</v>
      </c>
      <c r="H1812" s="1">
        <v>46265</v>
      </c>
      <c r="I1812" s="2"/>
      <c r="J1812" s="2"/>
      <c r="K1812" s="11"/>
      <c r="L1812" s="11" t="s">
        <v>339</v>
      </c>
      <c r="M1812" s="1"/>
      <c r="N1812" s="11"/>
      <c r="O1812" s="11" t="s">
        <v>4042</v>
      </c>
      <c r="P1812" s="1"/>
      <c r="Q1812" s="1"/>
      <c r="R1812" s="11"/>
      <c r="S1812" s="2">
        <f>CONSOLIDADO_2026[[#This Row],[Hora final]]-CONSOLIDADO_2026[[#This Row],[Hora inic]]</f>
        <v>0</v>
      </c>
    </row>
    <row r="1813" spans="1:19" hidden="1" x14ac:dyDescent="0.25">
      <c r="A1813" t="s">
        <v>4330</v>
      </c>
      <c r="B1813">
        <v>1003930736</v>
      </c>
      <c r="C1813" t="s">
        <v>4319</v>
      </c>
      <c r="D1813" s="11" t="s">
        <v>51</v>
      </c>
      <c r="E1813" s="11" t="s">
        <v>4047</v>
      </c>
      <c r="F1813" s="11" t="s">
        <v>4074</v>
      </c>
      <c r="G1813" s="1">
        <v>46261</v>
      </c>
      <c r="H1813" s="1">
        <v>46262</v>
      </c>
      <c r="I1813" s="2"/>
      <c r="J1813" s="2"/>
      <c r="K1813" s="11"/>
      <c r="L1813" s="11" t="s">
        <v>339</v>
      </c>
      <c r="M1813" s="1"/>
      <c r="N1813" s="11"/>
      <c r="O1813" s="11" t="s">
        <v>4042</v>
      </c>
      <c r="P1813" s="1"/>
      <c r="Q1813" s="1"/>
      <c r="R1813" s="11"/>
      <c r="S1813" s="2">
        <f>CONSOLIDADO_2026[[#This Row],[Hora final]]-CONSOLIDADO_2026[[#This Row],[Hora inic]]</f>
        <v>0</v>
      </c>
    </row>
    <row r="1814" spans="1:19" hidden="1" x14ac:dyDescent="0.25">
      <c r="A1814" t="s">
        <v>4330</v>
      </c>
      <c r="B1814">
        <v>1015483595</v>
      </c>
      <c r="C1814" t="s">
        <v>221</v>
      </c>
      <c r="D1814" s="11" t="s">
        <v>15</v>
      </c>
      <c r="E1814" s="11" t="s">
        <v>4046</v>
      </c>
      <c r="F1814" s="11" t="s">
        <v>4087</v>
      </c>
      <c r="G1814" s="1">
        <v>46260</v>
      </c>
      <c r="H1814" s="1">
        <v>46260</v>
      </c>
      <c r="I1814" s="2"/>
      <c r="J1814" s="2"/>
      <c r="K1814" s="11"/>
      <c r="L1814" s="11" t="s">
        <v>339</v>
      </c>
      <c r="M1814" s="1"/>
      <c r="N1814" s="11"/>
      <c r="O1814" s="11" t="s">
        <v>4042</v>
      </c>
      <c r="P1814" s="1"/>
      <c r="Q1814" s="1"/>
      <c r="R1814" s="11"/>
      <c r="S1814" s="2">
        <f>CONSOLIDADO_2026[[#This Row],[Hora final]]-CONSOLIDADO_2026[[#This Row],[Hora inic]]</f>
        <v>0</v>
      </c>
    </row>
    <row r="1815" spans="1:19" hidden="1" x14ac:dyDescent="0.25">
      <c r="A1815" t="s">
        <v>4330</v>
      </c>
      <c r="B1815">
        <v>1037662189</v>
      </c>
      <c r="C1815" t="s">
        <v>3657</v>
      </c>
      <c r="D1815" s="11" t="s">
        <v>68</v>
      </c>
      <c r="E1815" s="11" t="s">
        <v>4040</v>
      </c>
      <c r="F1815" s="11" t="s">
        <v>4091</v>
      </c>
      <c r="G1815" s="1">
        <v>46260</v>
      </c>
      <c r="H1815" s="1">
        <v>46260</v>
      </c>
      <c r="I1815" s="2"/>
      <c r="J1815" s="2"/>
      <c r="K1815" s="11"/>
      <c r="L1815" s="11" t="s">
        <v>339</v>
      </c>
      <c r="M1815" s="1"/>
      <c r="N1815" s="11"/>
      <c r="O1815" s="11" t="s">
        <v>4042</v>
      </c>
      <c r="P1815" s="1"/>
      <c r="Q1815" s="1"/>
      <c r="R1815" s="11"/>
      <c r="S1815" s="2">
        <f>CONSOLIDADO_2026[[#This Row],[Hora final]]-CONSOLIDADO_2026[[#This Row],[Hora inic]]</f>
        <v>0</v>
      </c>
    </row>
    <row r="1816" spans="1:19" hidden="1" x14ac:dyDescent="0.25">
      <c r="A1816" t="s">
        <v>4330</v>
      </c>
      <c r="B1816">
        <v>1003045926</v>
      </c>
      <c r="C1816" t="s">
        <v>2063</v>
      </c>
      <c r="D1816" s="11" t="s">
        <v>124</v>
      </c>
      <c r="E1816" s="11" t="s">
        <v>4045</v>
      </c>
      <c r="F1816" s="11" t="s">
        <v>16</v>
      </c>
      <c r="G1816" s="1">
        <v>46258</v>
      </c>
      <c r="H1816" s="1">
        <v>46262</v>
      </c>
      <c r="I1816" s="2"/>
      <c r="J1816" s="2"/>
      <c r="K1816" s="11"/>
      <c r="L1816" s="11" t="s">
        <v>339</v>
      </c>
      <c r="M1816" s="1"/>
      <c r="N1816" s="11"/>
      <c r="O1816" s="11" t="s">
        <v>4042</v>
      </c>
      <c r="P1816" s="1"/>
      <c r="Q1816" s="1"/>
      <c r="R1816" s="11"/>
      <c r="S1816" s="2">
        <f>CONSOLIDADO_2026[[#This Row],[Hora final]]-CONSOLIDADO_2026[[#This Row],[Hora inic]]</f>
        <v>0</v>
      </c>
    </row>
    <row r="1817" spans="1:19" hidden="1" x14ac:dyDescent="0.25">
      <c r="A1817" t="s">
        <v>4330</v>
      </c>
      <c r="B1817">
        <v>1038408808</v>
      </c>
      <c r="C1817" t="s">
        <v>483</v>
      </c>
      <c r="D1817" s="11" t="s">
        <v>132</v>
      </c>
      <c r="E1817" s="11" t="s">
        <v>4040</v>
      </c>
      <c r="F1817" s="11" t="s">
        <v>16</v>
      </c>
      <c r="G1817" s="1">
        <v>46259</v>
      </c>
      <c r="H1817" s="1">
        <v>46262</v>
      </c>
      <c r="I1817" s="2"/>
      <c r="J1817" s="2"/>
      <c r="K1817" s="11"/>
      <c r="L1817" s="11" t="s">
        <v>339</v>
      </c>
      <c r="M1817" s="1"/>
      <c r="N1817" s="11"/>
      <c r="O1817" s="11" t="s">
        <v>4042</v>
      </c>
      <c r="P1817" s="1"/>
      <c r="Q1817" s="1"/>
      <c r="R1817" s="11"/>
      <c r="S1817" s="2">
        <f>CONSOLIDADO_2026[[#This Row],[Hora final]]-CONSOLIDADO_2026[[#This Row],[Hora inic]]</f>
        <v>0</v>
      </c>
    </row>
    <row r="1818" spans="1:19" hidden="1" x14ac:dyDescent="0.25">
      <c r="A1818" t="s">
        <v>4330</v>
      </c>
      <c r="B1818">
        <v>1010135017</v>
      </c>
      <c r="C1818" t="s">
        <v>1311</v>
      </c>
      <c r="D1818" s="11" t="s">
        <v>256</v>
      </c>
      <c r="E1818" s="11" t="s">
        <v>4040</v>
      </c>
      <c r="F1818" s="11" t="s">
        <v>4074</v>
      </c>
      <c r="G1818" s="1">
        <v>46259</v>
      </c>
      <c r="H1818" s="1">
        <v>46261</v>
      </c>
      <c r="I1818" s="2"/>
      <c r="J1818" s="2"/>
      <c r="K1818" s="11"/>
      <c r="L1818" s="11" t="s">
        <v>339</v>
      </c>
      <c r="M1818" s="1"/>
      <c r="N1818" s="11"/>
      <c r="O1818" s="11" t="s">
        <v>4042</v>
      </c>
      <c r="P1818" s="1"/>
      <c r="Q1818" s="1"/>
      <c r="R1818" s="11"/>
      <c r="S1818" s="2">
        <f>CONSOLIDADO_2026[[#This Row],[Hora final]]-CONSOLIDADO_2026[[#This Row],[Hora inic]]</f>
        <v>0</v>
      </c>
    </row>
    <row r="1819" spans="1:19" hidden="1" x14ac:dyDescent="0.25">
      <c r="A1819" t="s">
        <v>4330</v>
      </c>
      <c r="B1819">
        <v>1143375080</v>
      </c>
      <c r="C1819" t="s">
        <v>157</v>
      </c>
      <c r="D1819" s="11" t="s">
        <v>44</v>
      </c>
      <c r="E1819" s="11" t="s">
        <v>4045</v>
      </c>
      <c r="F1819" s="11" t="s">
        <v>16</v>
      </c>
      <c r="G1819" s="1">
        <v>46258</v>
      </c>
      <c r="H1819" s="1">
        <v>46287</v>
      </c>
      <c r="I1819" s="2"/>
      <c r="J1819" s="2"/>
      <c r="K1819" s="11"/>
      <c r="L1819" s="11" t="s">
        <v>339</v>
      </c>
      <c r="M1819" s="1"/>
      <c r="N1819" s="11"/>
      <c r="O1819" s="11" t="s">
        <v>4042</v>
      </c>
      <c r="P1819" s="1"/>
      <c r="Q1819" s="1"/>
      <c r="R1819" s="11"/>
      <c r="S1819" s="2">
        <f>CONSOLIDADO_2026[[#This Row],[Hora final]]-CONSOLIDADO_2026[[#This Row],[Hora inic]]</f>
        <v>0</v>
      </c>
    </row>
    <row r="1820" spans="1:19" hidden="1" x14ac:dyDescent="0.25">
      <c r="A1820" t="s">
        <v>4330</v>
      </c>
      <c r="B1820">
        <v>1037631989</v>
      </c>
      <c r="C1820" t="s">
        <v>27</v>
      </c>
      <c r="D1820" s="11" t="s">
        <v>28</v>
      </c>
      <c r="E1820" s="11" t="s">
        <v>4046</v>
      </c>
      <c r="F1820" s="11" t="s">
        <v>16</v>
      </c>
      <c r="G1820" s="1">
        <v>46256</v>
      </c>
      <c r="H1820" s="1">
        <v>46285</v>
      </c>
      <c r="I1820" s="2"/>
      <c r="J1820" s="2"/>
      <c r="K1820" s="11"/>
      <c r="L1820" s="11" t="s">
        <v>339</v>
      </c>
      <c r="M1820" s="1"/>
      <c r="N1820" s="11"/>
      <c r="O1820" s="11" t="s">
        <v>4042</v>
      </c>
      <c r="P1820" s="1"/>
      <c r="Q1820" s="1"/>
      <c r="R1820" s="11"/>
      <c r="S1820" s="2">
        <f>CONSOLIDADO_2026[[#This Row],[Hora final]]-CONSOLIDADO_2026[[#This Row],[Hora inic]]</f>
        <v>0</v>
      </c>
    </row>
    <row r="1821" spans="1:19" hidden="1" x14ac:dyDescent="0.25">
      <c r="A1821" t="s">
        <v>4330</v>
      </c>
      <c r="B1821">
        <v>1032488873</v>
      </c>
      <c r="C1821" t="s">
        <v>4240</v>
      </c>
      <c r="D1821" s="11" t="s">
        <v>55</v>
      </c>
      <c r="E1821" s="11" t="s">
        <v>4047</v>
      </c>
      <c r="F1821" s="11" t="s">
        <v>4074</v>
      </c>
      <c r="G1821" s="1">
        <v>46259</v>
      </c>
      <c r="H1821" s="1">
        <v>46263</v>
      </c>
      <c r="I1821" s="2"/>
      <c r="J1821" s="2"/>
      <c r="K1821" s="11"/>
      <c r="L1821" s="11" t="s">
        <v>339</v>
      </c>
      <c r="M1821" s="1"/>
      <c r="N1821" s="11"/>
      <c r="O1821" s="11" t="s">
        <v>4042</v>
      </c>
      <c r="P1821" s="1"/>
      <c r="Q1821" s="1"/>
      <c r="R1821" s="11"/>
      <c r="S1821" s="2">
        <f>CONSOLIDADO_2026[[#This Row],[Hora final]]-CONSOLIDADO_2026[[#This Row],[Hora inic]]</f>
        <v>0</v>
      </c>
    </row>
    <row r="1822" spans="1:19" hidden="1" x14ac:dyDescent="0.25">
      <c r="A1822" t="s">
        <v>4330</v>
      </c>
      <c r="B1822">
        <v>1000944725</v>
      </c>
      <c r="C1822" t="s">
        <v>3007</v>
      </c>
      <c r="D1822" s="11" t="s">
        <v>28</v>
      </c>
      <c r="E1822" s="11" t="s">
        <v>4046</v>
      </c>
      <c r="F1822" s="11" t="s">
        <v>16</v>
      </c>
      <c r="G1822" s="1">
        <v>46258</v>
      </c>
      <c r="H1822" s="1">
        <v>46267</v>
      </c>
      <c r="I1822" s="2"/>
      <c r="J1822" s="2"/>
      <c r="K1822" s="11"/>
      <c r="L1822" s="11" t="s">
        <v>339</v>
      </c>
      <c r="M1822" s="1"/>
      <c r="N1822" s="11"/>
      <c r="O1822" s="11" t="s">
        <v>4042</v>
      </c>
      <c r="P1822" s="1"/>
      <c r="Q1822" s="1"/>
      <c r="R1822" s="11"/>
      <c r="S1822" s="2">
        <f>CONSOLIDADO_2026[[#This Row],[Hora final]]-CONSOLIDADO_2026[[#This Row],[Hora inic]]</f>
        <v>0</v>
      </c>
    </row>
    <row r="1823" spans="1:19" hidden="1" x14ac:dyDescent="0.25">
      <c r="A1823" t="s">
        <v>4330</v>
      </c>
      <c r="B1823">
        <v>1017264032</v>
      </c>
      <c r="C1823" t="s">
        <v>88</v>
      </c>
      <c r="D1823" s="11" t="s">
        <v>55</v>
      </c>
      <c r="E1823" s="11" t="s">
        <v>4047</v>
      </c>
      <c r="F1823" s="11" t="s">
        <v>16</v>
      </c>
      <c r="G1823" s="1">
        <v>46259</v>
      </c>
      <c r="H1823" s="1">
        <v>46265</v>
      </c>
      <c r="I1823" s="2"/>
      <c r="J1823" s="2"/>
      <c r="K1823" s="11"/>
      <c r="L1823" s="11" t="s">
        <v>339</v>
      </c>
      <c r="M1823" s="1"/>
      <c r="N1823" s="11"/>
      <c r="O1823" s="11" t="s">
        <v>4042</v>
      </c>
      <c r="P1823" s="1"/>
      <c r="Q1823" s="1"/>
      <c r="R1823" s="11"/>
      <c r="S1823" s="2">
        <f>CONSOLIDADO_2026[[#This Row],[Hora final]]-CONSOLIDADO_2026[[#This Row],[Hora inic]]</f>
        <v>0</v>
      </c>
    </row>
    <row r="1824" spans="1:19" hidden="1" x14ac:dyDescent="0.25">
      <c r="A1824" t="s">
        <v>4330</v>
      </c>
      <c r="B1824">
        <v>1000294973</v>
      </c>
      <c r="C1824" t="s">
        <v>1266</v>
      </c>
      <c r="D1824" s="11" t="s">
        <v>15</v>
      </c>
      <c r="E1824" s="11" t="s">
        <v>4046</v>
      </c>
      <c r="F1824" s="11" t="s">
        <v>4123</v>
      </c>
      <c r="G1824" s="1">
        <v>46260</v>
      </c>
      <c r="H1824" s="1">
        <v>46262</v>
      </c>
      <c r="I1824" s="2"/>
      <c r="J1824" s="2"/>
      <c r="K1824" s="11"/>
      <c r="L1824" s="11" t="s">
        <v>339</v>
      </c>
      <c r="M1824" s="1"/>
      <c r="N1824" s="11"/>
      <c r="O1824" s="11" t="s">
        <v>4042</v>
      </c>
      <c r="P1824" s="1"/>
      <c r="Q1824" s="1"/>
      <c r="R1824" s="11"/>
      <c r="S1824" s="2">
        <f>CONSOLIDADO_2026[[#This Row],[Hora final]]-CONSOLIDADO_2026[[#This Row],[Hora inic]]</f>
        <v>0</v>
      </c>
    </row>
    <row r="1825" spans="1:19" hidden="1" x14ac:dyDescent="0.25">
      <c r="A1825" t="s">
        <v>4330</v>
      </c>
      <c r="B1825">
        <v>1152434926</v>
      </c>
      <c r="C1825" t="s">
        <v>217</v>
      </c>
      <c r="D1825" s="11" t="s">
        <v>59</v>
      </c>
      <c r="E1825" s="11" t="s">
        <v>4047</v>
      </c>
      <c r="F1825" s="11" t="s">
        <v>16</v>
      </c>
      <c r="G1825" s="1">
        <v>46258</v>
      </c>
      <c r="H1825" s="1">
        <v>46263</v>
      </c>
      <c r="I1825" s="2"/>
      <c r="J1825" s="2"/>
      <c r="K1825" s="11"/>
      <c r="L1825" s="11" t="s">
        <v>339</v>
      </c>
      <c r="M1825" s="1"/>
      <c r="N1825" s="11"/>
      <c r="O1825" s="11" t="s">
        <v>4042</v>
      </c>
      <c r="P1825" s="1"/>
      <c r="Q1825" s="1"/>
      <c r="R1825" s="11"/>
      <c r="S1825" s="2">
        <f>CONSOLIDADO_2026[[#This Row],[Hora final]]-CONSOLIDADO_2026[[#This Row],[Hora inic]]</f>
        <v>0</v>
      </c>
    </row>
    <row r="1826" spans="1:19" hidden="1" x14ac:dyDescent="0.25">
      <c r="A1826" t="s">
        <v>4330</v>
      </c>
      <c r="B1826">
        <v>1116283658</v>
      </c>
      <c r="C1826" t="s">
        <v>283</v>
      </c>
      <c r="D1826" s="11" t="s">
        <v>39</v>
      </c>
      <c r="E1826" s="11" t="s">
        <v>4046</v>
      </c>
      <c r="F1826" s="11" t="s">
        <v>24</v>
      </c>
      <c r="G1826" s="1">
        <v>46258</v>
      </c>
      <c r="H1826" s="1">
        <v>46265</v>
      </c>
      <c r="I1826" s="2"/>
      <c r="J1826" s="2"/>
      <c r="K1826" s="11"/>
      <c r="L1826" s="11" t="s">
        <v>339</v>
      </c>
      <c r="M1826" s="1"/>
      <c r="N1826" s="11"/>
      <c r="O1826" s="11" t="s">
        <v>4042</v>
      </c>
      <c r="P1826" s="1"/>
      <c r="Q1826" s="1"/>
      <c r="R1826" s="11"/>
      <c r="S1826" s="2">
        <f>CONSOLIDADO_2026[[#This Row],[Hora final]]-CONSOLIDADO_2026[[#This Row],[Hora inic]]</f>
        <v>0</v>
      </c>
    </row>
    <row r="1827" spans="1:19" hidden="1" x14ac:dyDescent="0.25">
      <c r="A1827" t="s">
        <v>4330</v>
      </c>
      <c r="B1827">
        <v>1096223065</v>
      </c>
      <c r="C1827" t="s">
        <v>3428</v>
      </c>
      <c r="D1827" s="11" t="s">
        <v>59</v>
      </c>
      <c r="E1827" s="11" t="s">
        <v>4047</v>
      </c>
      <c r="F1827" s="11" t="s">
        <v>24</v>
      </c>
      <c r="G1827" s="1">
        <v>46253</v>
      </c>
      <c r="H1827" s="1">
        <v>46265</v>
      </c>
      <c r="I1827" s="2"/>
      <c r="J1827" s="2"/>
      <c r="K1827" s="11"/>
      <c r="L1827" s="11" t="s">
        <v>339</v>
      </c>
      <c r="M1827" s="1"/>
      <c r="N1827" s="11"/>
      <c r="O1827" s="11" t="s">
        <v>4042</v>
      </c>
      <c r="P1827" s="1"/>
      <c r="Q1827" s="1"/>
      <c r="R1827" s="11"/>
      <c r="S1827" s="2">
        <f>CONSOLIDADO_2026[[#This Row],[Hora final]]-CONSOLIDADO_2026[[#This Row],[Hora inic]]</f>
        <v>0</v>
      </c>
    </row>
    <row r="1828" spans="1:19" hidden="1" x14ac:dyDescent="0.25">
      <c r="A1828" t="s">
        <v>4330</v>
      </c>
      <c r="B1828">
        <v>1045718883</v>
      </c>
      <c r="C1828" t="s">
        <v>34</v>
      </c>
      <c r="D1828" s="11" t="s">
        <v>128</v>
      </c>
      <c r="E1828" s="11" t="s">
        <v>4045</v>
      </c>
      <c r="F1828" s="11" t="s">
        <v>36</v>
      </c>
      <c r="G1828" s="1">
        <v>46244</v>
      </c>
      <c r="H1828" s="1">
        <v>46393</v>
      </c>
      <c r="I1828" s="2"/>
      <c r="J1828" s="2"/>
      <c r="K1828" s="11"/>
      <c r="L1828" s="11" t="s">
        <v>339</v>
      </c>
      <c r="M1828" s="1"/>
      <c r="N1828" s="11"/>
      <c r="O1828" s="11" t="s">
        <v>4042</v>
      </c>
      <c r="P1828" s="1"/>
      <c r="Q1828" s="1"/>
      <c r="R1828" s="11"/>
      <c r="S1828" s="2">
        <f>CONSOLIDADO_2026[[#This Row],[Hora final]]-CONSOLIDADO_2026[[#This Row],[Hora inic]]</f>
        <v>0</v>
      </c>
    </row>
    <row r="1829" spans="1:19" hidden="1" x14ac:dyDescent="0.25">
      <c r="A1829" t="s">
        <v>4330</v>
      </c>
      <c r="B1829">
        <v>1043006106</v>
      </c>
      <c r="C1829" t="s">
        <v>63</v>
      </c>
      <c r="D1829" s="11" t="s">
        <v>64</v>
      </c>
      <c r="E1829" s="11" t="s">
        <v>4046</v>
      </c>
      <c r="F1829" s="11" t="s">
        <v>16</v>
      </c>
      <c r="G1829" s="1">
        <v>46249</v>
      </c>
      <c r="H1829" s="1">
        <v>46278</v>
      </c>
      <c r="I1829" s="2"/>
      <c r="J1829" s="2"/>
      <c r="K1829" s="11"/>
      <c r="L1829" s="11" t="s">
        <v>339</v>
      </c>
      <c r="M1829" s="1"/>
      <c r="N1829" s="11"/>
      <c r="O1829" s="11" t="s">
        <v>4042</v>
      </c>
      <c r="P1829" s="1"/>
      <c r="Q1829" s="1"/>
      <c r="R1829" s="11"/>
      <c r="S1829" s="2">
        <f>CONSOLIDADO_2026[[#This Row],[Hora final]]-CONSOLIDADO_2026[[#This Row],[Hora inic]]</f>
        <v>0</v>
      </c>
    </row>
    <row r="1830" spans="1:19" hidden="1" x14ac:dyDescent="0.25">
      <c r="A1830" t="s">
        <v>4330</v>
      </c>
      <c r="B1830">
        <v>1040755197</v>
      </c>
      <c r="C1830" t="s">
        <v>171</v>
      </c>
      <c r="D1830" s="11" t="s">
        <v>102</v>
      </c>
      <c r="E1830" s="11" t="s">
        <v>4046</v>
      </c>
      <c r="F1830" s="11" t="s">
        <v>4074</v>
      </c>
      <c r="G1830" s="1">
        <v>46252</v>
      </c>
      <c r="H1830" s="1">
        <v>46262</v>
      </c>
      <c r="I1830" s="2"/>
      <c r="J1830" s="2"/>
      <c r="K1830" s="11"/>
      <c r="L1830" s="11" t="s">
        <v>339</v>
      </c>
      <c r="M1830" s="1"/>
      <c r="N1830" s="11"/>
      <c r="O1830" s="11" t="s">
        <v>4042</v>
      </c>
      <c r="P1830" s="1"/>
      <c r="Q1830" s="1"/>
      <c r="R1830" s="11"/>
      <c r="S1830" s="2">
        <f>CONSOLIDADO_2026[[#This Row],[Hora final]]-CONSOLIDADO_2026[[#This Row],[Hora inic]]</f>
        <v>0</v>
      </c>
    </row>
    <row r="1831" spans="1:19" hidden="1" x14ac:dyDescent="0.25">
      <c r="A1831" t="s">
        <v>4330</v>
      </c>
      <c r="B1831">
        <v>1102808787</v>
      </c>
      <c r="C1831" t="s">
        <v>135</v>
      </c>
      <c r="D1831" s="11" t="s">
        <v>39</v>
      </c>
      <c r="E1831" s="11" t="s">
        <v>4046</v>
      </c>
      <c r="F1831" s="11" t="s">
        <v>16</v>
      </c>
      <c r="G1831" s="1">
        <v>46245</v>
      </c>
      <c r="H1831" s="1">
        <v>46276</v>
      </c>
      <c r="I1831" s="2"/>
      <c r="J1831" s="2"/>
      <c r="K1831" s="11"/>
      <c r="L1831" s="11" t="s">
        <v>339</v>
      </c>
      <c r="M1831" s="1"/>
      <c r="N1831" s="11"/>
      <c r="O1831" s="11" t="s">
        <v>4042</v>
      </c>
      <c r="P1831" s="1"/>
      <c r="Q1831" s="1"/>
      <c r="R1831" s="11"/>
      <c r="S1831" s="2">
        <f>CONSOLIDADO_2026[[#This Row],[Hora final]]-CONSOLIDADO_2026[[#This Row],[Hora inic]]</f>
        <v>0</v>
      </c>
    </row>
    <row r="1832" spans="1:19" hidden="1" x14ac:dyDescent="0.25">
      <c r="A1832" t="s">
        <v>4330</v>
      </c>
      <c r="B1832">
        <v>1037638426</v>
      </c>
      <c r="C1832" t="s">
        <v>61</v>
      </c>
      <c r="D1832" s="11" t="s">
        <v>28</v>
      </c>
      <c r="E1832" s="11" t="s">
        <v>4046</v>
      </c>
      <c r="F1832" s="11" t="s">
        <v>24</v>
      </c>
      <c r="G1832" s="1">
        <v>46249</v>
      </c>
      <c r="H1832" s="1">
        <v>46264</v>
      </c>
      <c r="I1832" s="2"/>
      <c r="J1832" s="2"/>
      <c r="K1832" s="11"/>
      <c r="L1832" s="11" t="s">
        <v>339</v>
      </c>
      <c r="M1832" s="1"/>
      <c r="N1832" s="11"/>
      <c r="O1832" s="11" t="s">
        <v>4042</v>
      </c>
      <c r="P1832" s="1"/>
      <c r="Q1832" s="1"/>
      <c r="R1832" s="11"/>
      <c r="S1832" s="2">
        <f>CONSOLIDADO_2026[[#This Row],[Hora final]]-CONSOLIDADO_2026[[#This Row],[Hora inic]]</f>
        <v>0</v>
      </c>
    </row>
    <row r="1833" spans="1:19" hidden="1" x14ac:dyDescent="0.25">
      <c r="A1833" t="s">
        <v>4330</v>
      </c>
      <c r="B1833">
        <v>1082896324</v>
      </c>
      <c r="C1833" t="s">
        <v>127</v>
      </c>
      <c r="D1833" s="11" t="s">
        <v>128</v>
      </c>
      <c r="E1833" s="11" t="s">
        <v>4045</v>
      </c>
      <c r="F1833" s="11" t="s">
        <v>16</v>
      </c>
      <c r="G1833" s="1">
        <v>46242</v>
      </c>
      <c r="H1833" s="1">
        <v>46272</v>
      </c>
      <c r="I1833" s="2"/>
      <c r="J1833" s="2"/>
      <c r="K1833" s="11"/>
      <c r="L1833" s="11" t="s">
        <v>339</v>
      </c>
      <c r="M1833" s="1"/>
      <c r="N1833" s="11"/>
      <c r="O1833" s="11" t="s">
        <v>4042</v>
      </c>
      <c r="P1833" s="1"/>
      <c r="Q1833" s="1"/>
      <c r="R1833" s="11"/>
      <c r="S1833" s="2">
        <f>CONSOLIDADO_2026[[#This Row],[Hora final]]-CONSOLIDADO_2026[[#This Row],[Hora inic]]</f>
        <v>0</v>
      </c>
    </row>
    <row r="1834" spans="1:19" hidden="1" x14ac:dyDescent="0.25">
      <c r="A1834" t="s">
        <v>4330</v>
      </c>
      <c r="B1834">
        <v>1152446353</v>
      </c>
      <c r="C1834" t="s">
        <v>205</v>
      </c>
      <c r="D1834" s="11" t="s">
        <v>51</v>
      </c>
      <c r="E1834" s="11" t="s">
        <v>4047</v>
      </c>
      <c r="F1834" s="11" t="s">
        <v>92</v>
      </c>
      <c r="G1834" s="1">
        <v>46236</v>
      </c>
      <c r="H1834" s="1">
        <v>46262</v>
      </c>
      <c r="I1834" s="2"/>
      <c r="J1834" s="2"/>
      <c r="K1834" s="11"/>
      <c r="L1834" s="11" t="s">
        <v>339</v>
      </c>
      <c r="M1834" s="1"/>
      <c r="N1834" s="11"/>
      <c r="O1834" s="11" t="s">
        <v>4042</v>
      </c>
      <c r="P1834" s="1"/>
      <c r="Q1834" s="1"/>
      <c r="R1834" s="11"/>
      <c r="S1834" s="2">
        <f>CONSOLIDADO_2026[[#This Row],[Hora final]]-CONSOLIDADO_2026[[#This Row],[Hora inic]]</f>
        <v>0</v>
      </c>
    </row>
    <row r="1835" spans="1:19" hidden="1" x14ac:dyDescent="0.25">
      <c r="A1835" t="s">
        <v>4330</v>
      </c>
      <c r="B1835">
        <v>1001851670</v>
      </c>
      <c r="C1835" t="s">
        <v>50</v>
      </c>
      <c r="D1835" s="11" t="s">
        <v>51</v>
      </c>
      <c r="E1835" s="11" t="s">
        <v>4047</v>
      </c>
      <c r="F1835" s="11" t="s">
        <v>36</v>
      </c>
      <c r="G1835" s="1">
        <v>46241</v>
      </c>
      <c r="H1835" s="1">
        <v>46366</v>
      </c>
      <c r="I1835" s="2"/>
      <c r="J1835" s="2"/>
      <c r="K1835" s="11"/>
      <c r="L1835" s="11" t="s">
        <v>339</v>
      </c>
      <c r="M1835" s="1"/>
      <c r="N1835" s="11"/>
      <c r="O1835" s="11" t="s">
        <v>4042</v>
      </c>
      <c r="P1835" s="1"/>
      <c r="Q1835" s="1"/>
      <c r="R1835" s="11"/>
      <c r="S1835" s="2">
        <f>CONSOLIDADO_2026[[#This Row],[Hora final]]-CONSOLIDADO_2026[[#This Row],[Hora inic]]</f>
        <v>0</v>
      </c>
    </row>
    <row r="1836" spans="1:19" hidden="1" x14ac:dyDescent="0.25">
      <c r="A1836" t="s">
        <v>4330</v>
      </c>
      <c r="B1836">
        <v>1000415206</v>
      </c>
      <c r="C1836" t="s">
        <v>325</v>
      </c>
      <c r="D1836" s="11" t="s">
        <v>128</v>
      </c>
      <c r="E1836" s="11" t="s">
        <v>4045</v>
      </c>
      <c r="F1836" s="11" t="s">
        <v>326</v>
      </c>
      <c r="G1836" s="1">
        <v>46258</v>
      </c>
      <c r="H1836" s="1">
        <v>46262</v>
      </c>
      <c r="I1836" s="2"/>
      <c r="J1836" s="2"/>
      <c r="K1836" s="11"/>
      <c r="L1836" s="11" t="s">
        <v>339</v>
      </c>
      <c r="M1836" s="1"/>
      <c r="N1836" s="11"/>
      <c r="O1836" s="11" t="s">
        <v>4042</v>
      </c>
      <c r="P1836" s="1"/>
      <c r="Q1836" s="1"/>
      <c r="R1836" s="11"/>
      <c r="S1836" s="2">
        <f>CONSOLIDADO_2026[[#This Row],[Hora final]]-CONSOLIDADO_2026[[#This Row],[Hora inic]]</f>
        <v>0</v>
      </c>
    </row>
    <row r="1837" spans="1:19" hidden="1" x14ac:dyDescent="0.25">
      <c r="A1837" t="s">
        <v>4330</v>
      </c>
      <c r="B1837">
        <v>42141273</v>
      </c>
      <c r="C1837" t="s">
        <v>271</v>
      </c>
      <c r="D1837" s="11" t="s">
        <v>272</v>
      </c>
      <c r="E1837" s="11" t="s">
        <v>4056</v>
      </c>
      <c r="F1837" s="11" t="s">
        <v>4065</v>
      </c>
      <c r="G1837" s="1">
        <v>46238</v>
      </c>
      <c r="H1837" s="1">
        <v>46295</v>
      </c>
      <c r="I1837" s="2"/>
      <c r="J1837" s="2"/>
      <c r="K1837" s="11"/>
      <c r="L1837" s="11" t="s">
        <v>339</v>
      </c>
      <c r="M1837" s="1"/>
      <c r="N1837" s="11"/>
      <c r="O1837" s="11" t="s">
        <v>4042</v>
      </c>
      <c r="P1837" s="1"/>
      <c r="Q1837" s="1"/>
      <c r="R1837" s="11"/>
      <c r="S1837" s="2">
        <f>CONSOLIDADO_2026[[#This Row],[Hora final]]-CONSOLIDADO_2026[[#This Row],[Hora inic]]</f>
        <v>0</v>
      </c>
    </row>
    <row r="1838" spans="1:19" hidden="1" x14ac:dyDescent="0.25">
      <c r="A1838" t="s">
        <v>4330</v>
      </c>
      <c r="B1838">
        <v>1005424850</v>
      </c>
      <c r="C1838" t="s">
        <v>95</v>
      </c>
      <c r="D1838" s="11" t="s">
        <v>82</v>
      </c>
      <c r="E1838" s="11" t="s">
        <v>4045</v>
      </c>
      <c r="F1838" s="11" t="s">
        <v>4074</v>
      </c>
      <c r="G1838" s="1">
        <v>46238</v>
      </c>
      <c r="H1838" s="1">
        <v>46262</v>
      </c>
      <c r="I1838" s="2"/>
      <c r="J1838" s="2"/>
      <c r="K1838" s="11"/>
      <c r="L1838" s="11" t="s">
        <v>339</v>
      </c>
      <c r="M1838" s="1"/>
      <c r="N1838" s="11"/>
      <c r="O1838" s="11" t="s">
        <v>4042</v>
      </c>
      <c r="P1838" s="1"/>
      <c r="Q1838" s="1"/>
      <c r="R1838" s="11"/>
      <c r="S1838" s="2">
        <f>CONSOLIDADO_2026[[#This Row],[Hora final]]-CONSOLIDADO_2026[[#This Row],[Hora inic]]</f>
        <v>0</v>
      </c>
    </row>
    <row r="1839" spans="1:19" hidden="1" x14ac:dyDescent="0.25">
      <c r="A1839" t="s">
        <v>4330</v>
      </c>
      <c r="B1839">
        <v>1152221372</v>
      </c>
      <c r="C1839" t="s">
        <v>4072</v>
      </c>
      <c r="D1839" s="11" t="s">
        <v>139</v>
      </c>
      <c r="E1839" s="11" t="s">
        <v>4040</v>
      </c>
      <c r="F1839" s="11" t="s">
        <v>4074</v>
      </c>
      <c r="G1839" s="1">
        <v>46230</v>
      </c>
      <c r="H1839" s="1">
        <v>46230</v>
      </c>
      <c r="I1839" s="2"/>
      <c r="J1839" s="2"/>
      <c r="K1839" s="11"/>
      <c r="L1839" s="11" t="s">
        <v>339</v>
      </c>
      <c r="M1839" s="1"/>
      <c r="N1839" s="11"/>
      <c r="O1839" s="11" t="s">
        <v>4042</v>
      </c>
      <c r="P1839" s="1"/>
      <c r="Q1839" s="1"/>
      <c r="R1839" s="11"/>
      <c r="S1839" s="2">
        <f>CONSOLIDADO_2026[[#This Row],[Hora final]]-CONSOLIDADO_2026[[#This Row],[Hora inic]]</f>
        <v>0</v>
      </c>
    </row>
    <row r="1840" spans="1:19" hidden="1" x14ac:dyDescent="0.25">
      <c r="A1840" t="s">
        <v>4330</v>
      </c>
      <c r="B1840">
        <v>1037630071</v>
      </c>
      <c r="C1840" t="s">
        <v>4196</v>
      </c>
      <c r="D1840" s="11" t="s">
        <v>139</v>
      </c>
      <c r="E1840" s="11" t="s">
        <v>4040</v>
      </c>
      <c r="F1840" s="11" t="s">
        <v>4062</v>
      </c>
      <c r="G1840" s="1">
        <v>46247</v>
      </c>
      <c r="H1840" s="1">
        <v>46265</v>
      </c>
      <c r="I1840" s="2"/>
      <c r="J1840" s="2"/>
      <c r="K1840" s="11"/>
      <c r="L1840" s="11" t="s">
        <v>339</v>
      </c>
      <c r="M1840" s="1"/>
      <c r="N1840" s="11"/>
      <c r="O1840" s="11" t="s">
        <v>4042</v>
      </c>
      <c r="P1840" s="1"/>
      <c r="Q1840" s="1"/>
      <c r="R1840" s="11"/>
      <c r="S1840" s="2">
        <f>CONSOLIDADO_2026[[#This Row],[Hora final]]-CONSOLIDADO_2026[[#This Row],[Hora inic]]</f>
        <v>0</v>
      </c>
    </row>
    <row r="1841" spans="1:19" hidden="1" x14ac:dyDescent="0.25">
      <c r="A1841" t="s">
        <v>4330</v>
      </c>
      <c r="B1841">
        <v>1143460426</v>
      </c>
      <c r="C1841" t="s">
        <v>4069</v>
      </c>
      <c r="D1841" s="11" t="s">
        <v>64</v>
      </c>
      <c r="E1841" s="11" t="s">
        <v>4046</v>
      </c>
      <c r="F1841" s="11" t="s">
        <v>4050</v>
      </c>
      <c r="G1841" s="1">
        <v>46195</v>
      </c>
      <c r="H1841" s="1">
        <v>46198</v>
      </c>
      <c r="I1841" s="2"/>
      <c r="J1841" s="2"/>
      <c r="K1841" s="11"/>
      <c r="L1841" s="11" t="s">
        <v>339</v>
      </c>
      <c r="M1841" s="1"/>
      <c r="N1841" s="11"/>
      <c r="O1841" s="11" t="s">
        <v>4042</v>
      </c>
      <c r="P1841" s="1"/>
      <c r="Q1841" s="1"/>
      <c r="R1841" s="11"/>
      <c r="S1841" s="2">
        <f>CONSOLIDADO_2026[[#This Row],[Hora final]]-CONSOLIDADO_2026[[#This Row],[Hora inic]]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6040F-A773-4E98-A3A6-1209666B8A4D}">
  <dimension ref="A1:I1705"/>
  <sheetViews>
    <sheetView topLeftCell="E1" workbookViewId="0">
      <selection activeCell="B1349" sqref="B1349:I1349"/>
    </sheetView>
  </sheetViews>
  <sheetFormatPr baseColWidth="10" defaultColWidth="11.42578125" defaultRowHeight="15" x14ac:dyDescent="0.25"/>
  <cols>
    <col min="1" max="1" width="39" bestFit="1" customWidth="1"/>
    <col min="2" max="2" width="15.28515625" bestFit="1" customWidth="1"/>
    <col min="3" max="3" width="40.140625" bestFit="1" customWidth="1"/>
    <col min="4" max="4" width="24.28515625" bestFit="1" customWidth="1"/>
    <col min="5" max="5" width="14.7109375" bestFit="1" customWidth="1"/>
    <col min="6" max="6" width="16.28515625" style="1" bestFit="1" customWidth="1"/>
    <col min="7" max="7" width="15.85546875" style="1" bestFit="1" customWidth="1"/>
    <col min="8" max="8" width="28" bestFit="1" customWidth="1"/>
    <col min="9" max="9" width="81.140625" bestFit="1" customWidth="1"/>
    <col min="10" max="10" width="25.42578125" bestFit="1" customWidth="1"/>
    <col min="11" max="11" width="25.5703125" bestFit="1" customWidth="1"/>
    <col min="12" max="12" width="13" bestFit="1" customWidth="1"/>
    <col min="13" max="13" width="81.140625" customWidth="1"/>
    <col min="14" max="14" width="81.140625" bestFit="1" customWidth="1"/>
  </cols>
  <sheetData>
    <row r="1" spans="1:9" x14ac:dyDescent="0.25">
      <c r="A1" t="s">
        <v>4246</v>
      </c>
      <c r="B1" t="s">
        <v>1</v>
      </c>
      <c r="C1" t="s">
        <v>2</v>
      </c>
      <c r="D1" t="s">
        <v>3</v>
      </c>
      <c r="E1" t="s">
        <v>4029</v>
      </c>
      <c r="F1" s="1" t="s">
        <v>5</v>
      </c>
      <c r="G1" s="1" t="s">
        <v>6</v>
      </c>
      <c r="H1" t="s">
        <v>8</v>
      </c>
      <c r="I1" t="s">
        <v>9</v>
      </c>
    </row>
    <row r="2" spans="1:9" hidden="1" x14ac:dyDescent="0.25">
      <c r="A2" s="1">
        <v>46235</v>
      </c>
      <c r="B2">
        <v>1102885216</v>
      </c>
      <c r="C2" t="s">
        <v>3900</v>
      </c>
      <c r="D2" s="11" t="s">
        <v>482</v>
      </c>
      <c r="E2" s="11" t="s">
        <v>4040</v>
      </c>
      <c r="F2" s="1">
        <v>46234</v>
      </c>
      <c r="G2" s="1">
        <v>46234</v>
      </c>
      <c r="H2" s="11"/>
      <c r="I2" s="11" t="s">
        <v>4041</v>
      </c>
    </row>
    <row r="3" spans="1:9" hidden="1" x14ac:dyDescent="0.25">
      <c r="A3" s="1">
        <v>46237</v>
      </c>
      <c r="B3">
        <v>1037634709</v>
      </c>
      <c r="C3" t="s">
        <v>4044</v>
      </c>
      <c r="D3" s="11" t="s">
        <v>492</v>
      </c>
      <c r="E3" s="11" t="s">
        <v>4045</v>
      </c>
      <c r="F3" s="1">
        <v>46234</v>
      </c>
      <c r="G3" s="1">
        <v>46235</v>
      </c>
      <c r="H3" s="11"/>
      <c r="I3" s="11" t="s">
        <v>4041</v>
      </c>
    </row>
    <row r="4" spans="1:9" hidden="1" x14ac:dyDescent="0.25">
      <c r="A4" s="1">
        <v>46237</v>
      </c>
      <c r="B4">
        <v>1152436231</v>
      </c>
      <c r="C4" t="s">
        <v>142</v>
      </c>
      <c r="D4" s="11" t="s">
        <v>143</v>
      </c>
      <c r="E4" s="11" t="s">
        <v>4045</v>
      </c>
      <c r="F4" s="1">
        <v>46234</v>
      </c>
      <c r="G4" s="1">
        <v>46235</v>
      </c>
      <c r="H4" s="11"/>
      <c r="I4" s="11" t="s">
        <v>4041</v>
      </c>
    </row>
    <row r="5" spans="1:9" hidden="1" x14ac:dyDescent="0.25">
      <c r="A5" s="1">
        <v>46237</v>
      </c>
      <c r="B5">
        <v>42158742</v>
      </c>
      <c r="C5" t="s">
        <v>3192</v>
      </c>
      <c r="D5" s="11" t="s">
        <v>78</v>
      </c>
      <c r="E5" s="11" t="s">
        <v>4046</v>
      </c>
      <c r="F5" s="1">
        <v>46234</v>
      </c>
      <c r="G5" s="1">
        <v>46235</v>
      </c>
      <c r="H5" s="11"/>
      <c r="I5" s="11" t="s">
        <v>4041</v>
      </c>
    </row>
    <row r="6" spans="1:9" hidden="1" x14ac:dyDescent="0.25">
      <c r="A6" s="1">
        <v>46235</v>
      </c>
      <c r="B6">
        <v>1001013936</v>
      </c>
      <c r="C6" t="s">
        <v>3856</v>
      </c>
      <c r="D6" s="11" t="s">
        <v>28</v>
      </c>
      <c r="E6" s="11" t="s">
        <v>4046</v>
      </c>
      <c r="F6" s="1">
        <v>46234</v>
      </c>
      <c r="G6" s="1">
        <v>46234</v>
      </c>
      <c r="H6" s="11"/>
      <c r="I6" s="11" t="s">
        <v>4041</v>
      </c>
    </row>
    <row r="7" spans="1:9" hidden="1" x14ac:dyDescent="0.25">
      <c r="A7" s="1">
        <v>46237</v>
      </c>
      <c r="B7">
        <v>1016090631</v>
      </c>
      <c r="C7" t="s">
        <v>2866</v>
      </c>
      <c r="D7" s="11" t="s">
        <v>55</v>
      </c>
      <c r="E7" s="11" t="s">
        <v>4047</v>
      </c>
      <c r="F7" s="1">
        <v>46233</v>
      </c>
      <c r="G7" s="1">
        <v>46235</v>
      </c>
      <c r="H7" s="11"/>
      <c r="I7" s="11" t="s">
        <v>4041</v>
      </c>
    </row>
    <row r="8" spans="1:9" hidden="1" x14ac:dyDescent="0.25">
      <c r="A8" s="1">
        <v>46235</v>
      </c>
      <c r="B8">
        <v>1000893991</v>
      </c>
      <c r="C8" t="s">
        <v>3597</v>
      </c>
      <c r="D8" s="11" t="s">
        <v>55</v>
      </c>
      <c r="E8" s="11" t="s">
        <v>4047</v>
      </c>
      <c r="F8" s="1">
        <v>46234</v>
      </c>
      <c r="G8" s="1">
        <v>46234</v>
      </c>
      <c r="H8" s="11"/>
      <c r="I8" s="11" t="s">
        <v>4041</v>
      </c>
    </row>
    <row r="9" spans="1:9" hidden="1" x14ac:dyDescent="0.25">
      <c r="A9" s="1">
        <v>46237</v>
      </c>
      <c r="B9">
        <v>1128467297</v>
      </c>
      <c r="C9" t="s">
        <v>3392</v>
      </c>
      <c r="D9" s="11" t="s">
        <v>619</v>
      </c>
      <c r="E9" s="11" t="s">
        <v>4045</v>
      </c>
      <c r="F9" s="1">
        <v>46234</v>
      </c>
      <c r="G9" s="1">
        <v>46235</v>
      </c>
      <c r="H9" s="11"/>
      <c r="I9" s="11" t="s">
        <v>4041</v>
      </c>
    </row>
    <row r="10" spans="1:9" hidden="1" x14ac:dyDescent="0.25">
      <c r="A10" s="1">
        <v>46240</v>
      </c>
      <c r="B10">
        <v>1001940238</v>
      </c>
      <c r="C10" t="s">
        <v>4049</v>
      </c>
      <c r="D10" s="11" t="s">
        <v>82</v>
      </c>
      <c r="E10" s="11" t="s">
        <v>4045</v>
      </c>
      <c r="F10" s="1">
        <v>46237</v>
      </c>
      <c r="G10" s="1">
        <v>46239</v>
      </c>
      <c r="H10" s="11"/>
      <c r="I10" s="11" t="s">
        <v>4041</v>
      </c>
    </row>
    <row r="11" spans="1:9" hidden="1" x14ac:dyDescent="0.25">
      <c r="A11" s="1">
        <v>46242</v>
      </c>
      <c r="B11">
        <v>1001940238</v>
      </c>
      <c r="C11" t="s">
        <v>4049</v>
      </c>
      <c r="D11" s="11" t="s">
        <v>82</v>
      </c>
      <c r="E11" s="11" t="s">
        <v>4045</v>
      </c>
      <c r="F11" s="1">
        <v>46237</v>
      </c>
      <c r="G11" s="1">
        <v>46239</v>
      </c>
      <c r="H11" s="11"/>
      <c r="I11" s="11" t="s">
        <v>4041</v>
      </c>
    </row>
    <row r="12" spans="1:9" hidden="1" x14ac:dyDescent="0.25">
      <c r="A12" s="1">
        <v>46237</v>
      </c>
      <c r="B12">
        <v>1017270154</v>
      </c>
      <c r="C12" t="s">
        <v>1004</v>
      </c>
      <c r="D12" s="11" t="s">
        <v>421</v>
      </c>
      <c r="E12" s="11" t="s">
        <v>4047</v>
      </c>
      <c r="F12" s="1">
        <v>46234</v>
      </c>
      <c r="G12" s="1">
        <v>46235</v>
      </c>
      <c r="H12" s="11"/>
      <c r="I12" s="11" t="s">
        <v>4041</v>
      </c>
    </row>
    <row r="13" spans="1:9" hidden="1" x14ac:dyDescent="0.25">
      <c r="A13" s="1">
        <v>46244</v>
      </c>
      <c r="B13">
        <v>1047505786</v>
      </c>
      <c r="C13" t="s">
        <v>114</v>
      </c>
      <c r="D13" s="11" t="s">
        <v>51</v>
      </c>
      <c r="E13" s="11" t="s">
        <v>4047</v>
      </c>
      <c r="F13" s="1">
        <v>46229</v>
      </c>
      <c r="G13" s="1">
        <v>46243</v>
      </c>
      <c r="H13" s="11"/>
      <c r="I13" s="11" t="s">
        <v>4041</v>
      </c>
    </row>
    <row r="14" spans="1:9" hidden="1" x14ac:dyDescent="0.25">
      <c r="A14" s="1">
        <v>46237</v>
      </c>
      <c r="B14">
        <v>1043022975</v>
      </c>
      <c r="C14" t="s">
        <v>1786</v>
      </c>
      <c r="D14" s="11" t="s">
        <v>15</v>
      </c>
      <c r="E14" s="11" t="s">
        <v>4046</v>
      </c>
      <c r="F14" s="1">
        <v>46234</v>
      </c>
      <c r="G14" s="1">
        <v>46235</v>
      </c>
      <c r="H14" s="11"/>
      <c r="I14" s="11" t="s">
        <v>4041</v>
      </c>
    </row>
    <row r="15" spans="1:9" hidden="1" x14ac:dyDescent="0.25">
      <c r="A15" s="1">
        <v>46239</v>
      </c>
      <c r="B15">
        <v>1140905046</v>
      </c>
      <c r="C15" t="s">
        <v>4054</v>
      </c>
      <c r="D15" s="11" t="s">
        <v>482</v>
      </c>
      <c r="E15" s="11" t="s">
        <v>4040</v>
      </c>
      <c r="F15" s="1">
        <v>46235</v>
      </c>
      <c r="G15" s="1">
        <v>46238</v>
      </c>
      <c r="H15" s="11"/>
      <c r="I15" s="11" t="s">
        <v>4041</v>
      </c>
    </row>
    <row r="16" spans="1:9" hidden="1" x14ac:dyDescent="0.25">
      <c r="A16" s="1">
        <v>46240</v>
      </c>
      <c r="B16">
        <v>1140905046</v>
      </c>
      <c r="C16" t="s">
        <v>4054</v>
      </c>
      <c r="D16" s="11" t="s">
        <v>482</v>
      </c>
      <c r="E16" s="11" t="s">
        <v>4040</v>
      </c>
      <c r="F16" s="1">
        <v>46235</v>
      </c>
      <c r="G16" s="1">
        <v>46238</v>
      </c>
      <c r="H16" s="11"/>
      <c r="I16" s="11" t="s">
        <v>4041</v>
      </c>
    </row>
    <row r="17" spans="1:9" hidden="1" x14ac:dyDescent="0.25">
      <c r="A17" s="1">
        <v>46238</v>
      </c>
      <c r="B17" t="s">
        <v>288</v>
      </c>
      <c r="C17" t="s">
        <v>289</v>
      </c>
      <c r="D17" s="11" t="s">
        <v>272</v>
      </c>
      <c r="E17" s="11" t="s">
        <v>4056</v>
      </c>
      <c r="F17" s="1">
        <v>46230</v>
      </c>
      <c r="G17" s="1">
        <v>46355</v>
      </c>
      <c r="H17" s="11"/>
      <c r="I17" s="11" t="s">
        <v>4041</v>
      </c>
    </row>
    <row r="18" spans="1:9" hidden="1" x14ac:dyDescent="0.25">
      <c r="A18" s="1">
        <v>46239</v>
      </c>
      <c r="B18">
        <v>1085318652</v>
      </c>
      <c r="C18" t="s">
        <v>292</v>
      </c>
      <c r="D18" s="11" t="s">
        <v>272</v>
      </c>
      <c r="E18" s="11" t="s">
        <v>4056</v>
      </c>
      <c r="F18" s="1">
        <v>46233</v>
      </c>
      <c r="G18" s="1">
        <v>46238</v>
      </c>
      <c r="H18" s="11"/>
      <c r="I18" s="11" t="s">
        <v>4041</v>
      </c>
    </row>
    <row r="19" spans="1:9" hidden="1" x14ac:dyDescent="0.25">
      <c r="A19" s="1">
        <v>46239</v>
      </c>
      <c r="B19">
        <v>21852680</v>
      </c>
      <c r="C19" t="s">
        <v>4057</v>
      </c>
      <c r="D19" s="11" t="s">
        <v>482</v>
      </c>
      <c r="E19" s="11" t="s">
        <v>4040</v>
      </c>
      <c r="F19" s="1">
        <v>46235</v>
      </c>
      <c r="G19" s="1">
        <v>46238</v>
      </c>
      <c r="H19" s="11"/>
      <c r="I19" s="11" t="s">
        <v>4041</v>
      </c>
    </row>
    <row r="20" spans="1:9" hidden="1" x14ac:dyDescent="0.25">
      <c r="A20" s="1">
        <v>46240</v>
      </c>
      <c r="B20">
        <v>21852680</v>
      </c>
      <c r="C20" t="s">
        <v>4057</v>
      </c>
      <c r="D20" s="11" t="s">
        <v>482</v>
      </c>
      <c r="E20" s="11" t="s">
        <v>4040</v>
      </c>
      <c r="F20" s="1">
        <v>46235</v>
      </c>
      <c r="G20" s="1">
        <v>46238</v>
      </c>
      <c r="H20" s="11"/>
      <c r="I20" s="11" t="s">
        <v>4041</v>
      </c>
    </row>
    <row r="21" spans="1:9" hidden="1" x14ac:dyDescent="0.25">
      <c r="A21" s="1">
        <v>46235</v>
      </c>
      <c r="B21">
        <v>1143413071</v>
      </c>
      <c r="C21" t="s">
        <v>496</v>
      </c>
      <c r="D21" s="11" t="s">
        <v>28</v>
      </c>
      <c r="E21" s="11" t="s">
        <v>4046</v>
      </c>
      <c r="F21" s="1">
        <v>46232</v>
      </c>
      <c r="G21" s="1">
        <v>46234</v>
      </c>
      <c r="H21" s="11"/>
      <c r="I21" s="11" t="s">
        <v>4041</v>
      </c>
    </row>
    <row r="22" spans="1:9" hidden="1" x14ac:dyDescent="0.25">
      <c r="A22" s="1">
        <v>46239</v>
      </c>
      <c r="B22">
        <v>1143374438</v>
      </c>
      <c r="C22" t="s">
        <v>154</v>
      </c>
      <c r="D22" s="11" t="s">
        <v>28</v>
      </c>
      <c r="E22" s="11" t="s">
        <v>4046</v>
      </c>
      <c r="F22" s="1">
        <v>46209</v>
      </c>
      <c r="G22" s="1">
        <v>46238</v>
      </c>
      <c r="H22" s="11"/>
      <c r="I22" s="11" t="s">
        <v>4041</v>
      </c>
    </row>
    <row r="23" spans="1:9" hidden="1" x14ac:dyDescent="0.25">
      <c r="A23" s="1">
        <v>46237</v>
      </c>
      <c r="B23">
        <v>1061819313</v>
      </c>
      <c r="C23" t="s">
        <v>280</v>
      </c>
      <c r="D23" s="11" t="s">
        <v>59</v>
      </c>
      <c r="E23" s="11" t="s">
        <v>4047</v>
      </c>
      <c r="F23" s="1">
        <v>46231</v>
      </c>
      <c r="G23" s="1">
        <v>46235</v>
      </c>
      <c r="H23" s="11"/>
      <c r="I23" s="11" t="s">
        <v>4041</v>
      </c>
    </row>
    <row r="24" spans="1:9" hidden="1" x14ac:dyDescent="0.25">
      <c r="A24" s="1">
        <v>46235</v>
      </c>
      <c r="B24">
        <v>50995706</v>
      </c>
      <c r="C24" t="s">
        <v>2510</v>
      </c>
      <c r="D24" s="11" t="s">
        <v>55</v>
      </c>
      <c r="E24" s="11" t="s">
        <v>4047</v>
      </c>
      <c r="F24" s="1">
        <v>46234</v>
      </c>
      <c r="G24" s="1">
        <v>46234</v>
      </c>
      <c r="H24" s="11"/>
      <c r="I24" s="11" t="s">
        <v>4041</v>
      </c>
    </row>
    <row r="25" spans="1:9" hidden="1" x14ac:dyDescent="0.25">
      <c r="A25" s="1">
        <v>46237</v>
      </c>
      <c r="B25">
        <v>57303015</v>
      </c>
      <c r="C25" t="s">
        <v>188</v>
      </c>
      <c r="D25" s="11" t="s">
        <v>55</v>
      </c>
      <c r="E25" s="11" t="s">
        <v>4047</v>
      </c>
      <c r="F25" s="1">
        <v>46232</v>
      </c>
      <c r="G25" s="1">
        <v>46235</v>
      </c>
      <c r="H25" s="11"/>
      <c r="I25" s="11" t="s">
        <v>4041</v>
      </c>
    </row>
    <row r="26" spans="1:9" hidden="1" x14ac:dyDescent="0.25">
      <c r="A26" s="1">
        <v>46235</v>
      </c>
      <c r="B26">
        <v>1140851921</v>
      </c>
      <c r="C26" t="s">
        <v>4061</v>
      </c>
      <c r="D26" s="11" t="s">
        <v>256</v>
      </c>
      <c r="E26" s="11" t="s">
        <v>4040</v>
      </c>
      <c r="F26" s="1">
        <v>46231</v>
      </c>
      <c r="G26" s="1">
        <v>46234</v>
      </c>
      <c r="H26" s="11"/>
      <c r="I26" s="11" t="s">
        <v>4041</v>
      </c>
    </row>
    <row r="27" spans="1:9" hidden="1" x14ac:dyDescent="0.25">
      <c r="A27" s="1">
        <v>46240</v>
      </c>
      <c r="B27">
        <v>1143375080</v>
      </c>
      <c r="C27" t="s">
        <v>157</v>
      </c>
      <c r="D27" s="11" t="s">
        <v>44</v>
      </c>
      <c r="E27" s="11" t="s">
        <v>4045</v>
      </c>
      <c r="F27" s="1">
        <v>46232</v>
      </c>
      <c r="G27" s="1">
        <v>46239</v>
      </c>
      <c r="H27" s="11"/>
      <c r="I27" s="11" t="s">
        <v>4041</v>
      </c>
    </row>
    <row r="28" spans="1:9" hidden="1" x14ac:dyDescent="0.25">
      <c r="A28" s="1">
        <v>46242</v>
      </c>
      <c r="B28">
        <v>1143375080</v>
      </c>
      <c r="C28" t="s">
        <v>157</v>
      </c>
      <c r="D28" s="11" t="s">
        <v>44</v>
      </c>
      <c r="E28" s="11" t="s">
        <v>4045</v>
      </c>
      <c r="F28" s="1">
        <v>46232</v>
      </c>
      <c r="G28" s="1">
        <v>46239</v>
      </c>
      <c r="H28" s="11"/>
      <c r="I28" s="11" t="s">
        <v>4041</v>
      </c>
    </row>
    <row r="29" spans="1:9" hidden="1" x14ac:dyDescent="0.25">
      <c r="A29" s="1">
        <v>46235</v>
      </c>
      <c r="B29">
        <v>1143995272</v>
      </c>
      <c r="C29" t="s">
        <v>2280</v>
      </c>
      <c r="D29" s="11" t="s">
        <v>245</v>
      </c>
      <c r="E29" s="11" t="s">
        <v>4040</v>
      </c>
      <c r="F29" s="1">
        <v>46234</v>
      </c>
      <c r="G29" s="1">
        <v>46234</v>
      </c>
      <c r="H29" s="11"/>
      <c r="I29" s="11" t="s">
        <v>4041</v>
      </c>
    </row>
    <row r="30" spans="1:9" hidden="1" x14ac:dyDescent="0.25">
      <c r="A30" s="1">
        <v>46235</v>
      </c>
      <c r="B30">
        <v>39192742</v>
      </c>
      <c r="C30" t="s">
        <v>2632</v>
      </c>
      <c r="D30" s="11" t="s">
        <v>272</v>
      </c>
      <c r="E30" s="11" t="s">
        <v>4056</v>
      </c>
      <c r="F30" s="1">
        <v>46230</v>
      </c>
      <c r="G30" s="1">
        <v>46232</v>
      </c>
      <c r="H30" s="11"/>
      <c r="I30" s="11" t="s">
        <v>4041</v>
      </c>
    </row>
    <row r="31" spans="1:9" hidden="1" x14ac:dyDescent="0.25">
      <c r="A31" s="1">
        <v>46235</v>
      </c>
      <c r="B31">
        <v>1193459665</v>
      </c>
      <c r="C31" t="s">
        <v>4063</v>
      </c>
      <c r="D31" s="11" t="s">
        <v>256</v>
      </c>
      <c r="E31" s="11" t="s">
        <v>4040</v>
      </c>
      <c r="F31" s="1">
        <v>46230</v>
      </c>
      <c r="G31" s="1">
        <v>46234</v>
      </c>
      <c r="H31" s="11"/>
      <c r="I31" s="11" t="s">
        <v>4041</v>
      </c>
    </row>
    <row r="32" spans="1:9" hidden="1" x14ac:dyDescent="0.25">
      <c r="A32" s="1">
        <v>46237</v>
      </c>
      <c r="B32">
        <v>1002159016</v>
      </c>
      <c r="C32" t="s">
        <v>244</v>
      </c>
      <c r="D32" s="11" t="s">
        <v>245</v>
      </c>
      <c r="E32" s="11" t="s">
        <v>4040</v>
      </c>
      <c r="F32" s="1">
        <v>46230</v>
      </c>
      <c r="G32" s="1">
        <v>46235</v>
      </c>
      <c r="H32" s="11"/>
      <c r="I32" s="11" t="s">
        <v>4041</v>
      </c>
    </row>
    <row r="33" spans="1:9" hidden="1" x14ac:dyDescent="0.25">
      <c r="A33" s="1">
        <v>46237</v>
      </c>
      <c r="B33">
        <v>1118569642</v>
      </c>
      <c r="C33" t="s">
        <v>175</v>
      </c>
      <c r="D33" s="11" t="s">
        <v>176</v>
      </c>
      <c r="E33" s="11" t="s">
        <v>4040</v>
      </c>
      <c r="F33" s="1">
        <v>46230</v>
      </c>
      <c r="G33" s="1">
        <v>46235</v>
      </c>
      <c r="H33" s="11"/>
      <c r="I33" s="11" t="s">
        <v>4041</v>
      </c>
    </row>
    <row r="34" spans="1:9" hidden="1" x14ac:dyDescent="0.25">
      <c r="A34" s="1">
        <v>46235</v>
      </c>
      <c r="B34" t="s">
        <v>2907</v>
      </c>
      <c r="C34" t="s">
        <v>2908</v>
      </c>
      <c r="D34" s="11" t="s">
        <v>102</v>
      </c>
      <c r="E34" s="11" t="s">
        <v>4046</v>
      </c>
      <c r="F34" s="1">
        <v>46232</v>
      </c>
      <c r="G34" s="1">
        <v>46234</v>
      </c>
      <c r="H34" s="11"/>
      <c r="I34" s="11" t="s">
        <v>4041</v>
      </c>
    </row>
    <row r="35" spans="1:9" hidden="1" x14ac:dyDescent="0.25">
      <c r="A35" s="1">
        <v>46235</v>
      </c>
      <c r="B35">
        <v>57303015</v>
      </c>
      <c r="C35" t="s">
        <v>188</v>
      </c>
      <c r="D35" s="11" t="s">
        <v>55</v>
      </c>
      <c r="E35" s="11" t="s">
        <v>4047</v>
      </c>
      <c r="F35" s="1">
        <v>46232</v>
      </c>
      <c r="G35" s="1">
        <v>46235</v>
      </c>
      <c r="H35" s="11" t="s">
        <v>189</v>
      </c>
      <c r="I35" s="11" t="s">
        <v>190</v>
      </c>
    </row>
    <row r="36" spans="1:9" hidden="1" x14ac:dyDescent="0.25">
      <c r="A36" s="1">
        <v>46235</v>
      </c>
      <c r="B36">
        <v>1037634709</v>
      </c>
      <c r="C36" t="s">
        <v>4044</v>
      </c>
      <c r="D36" s="11" t="s">
        <v>492</v>
      </c>
      <c r="E36" s="11" t="s">
        <v>4045</v>
      </c>
      <c r="F36" s="1">
        <v>46234</v>
      </c>
      <c r="G36" s="1">
        <v>46235</v>
      </c>
      <c r="H36" s="11" t="s">
        <v>96</v>
      </c>
      <c r="I36" s="11" t="s">
        <v>97</v>
      </c>
    </row>
    <row r="37" spans="1:9" hidden="1" x14ac:dyDescent="0.25">
      <c r="A37" s="1">
        <v>46235</v>
      </c>
      <c r="B37">
        <v>1152436231</v>
      </c>
      <c r="C37" t="s">
        <v>142</v>
      </c>
      <c r="D37" s="11" t="s">
        <v>143</v>
      </c>
      <c r="E37" s="11" t="s">
        <v>4045</v>
      </c>
      <c r="F37" s="1">
        <v>46234</v>
      </c>
      <c r="G37" s="1">
        <v>46235</v>
      </c>
      <c r="H37" s="11" t="s">
        <v>1491</v>
      </c>
      <c r="I37" s="11" t="s">
        <v>1492</v>
      </c>
    </row>
    <row r="38" spans="1:9" hidden="1" x14ac:dyDescent="0.25">
      <c r="A38" s="1">
        <v>46237</v>
      </c>
      <c r="B38">
        <v>1143375080</v>
      </c>
      <c r="C38" t="s">
        <v>203</v>
      </c>
      <c r="D38" s="11" t="s">
        <v>44</v>
      </c>
      <c r="E38" s="11" t="s">
        <v>4045</v>
      </c>
      <c r="F38" s="1">
        <v>46232</v>
      </c>
      <c r="G38" s="1">
        <v>46239</v>
      </c>
      <c r="H38" s="11" t="s">
        <v>1491</v>
      </c>
      <c r="I38" s="11" t="s">
        <v>1492</v>
      </c>
    </row>
    <row r="39" spans="1:9" hidden="1" x14ac:dyDescent="0.25">
      <c r="A39" s="1">
        <v>46235</v>
      </c>
      <c r="B39">
        <v>1128467297</v>
      </c>
      <c r="C39" t="s">
        <v>3392</v>
      </c>
      <c r="D39" s="11" t="s">
        <v>619</v>
      </c>
      <c r="E39" s="11" t="s">
        <v>4045</v>
      </c>
      <c r="F39" s="1">
        <v>46234</v>
      </c>
      <c r="G39" s="1">
        <v>46235</v>
      </c>
      <c r="H39" s="11" t="s">
        <v>314</v>
      </c>
      <c r="I39" s="11" t="s">
        <v>315</v>
      </c>
    </row>
    <row r="40" spans="1:9" hidden="1" x14ac:dyDescent="0.25">
      <c r="A40" s="1">
        <v>46235</v>
      </c>
      <c r="B40">
        <v>42158742</v>
      </c>
      <c r="C40" t="s">
        <v>3192</v>
      </c>
      <c r="D40" s="11" t="s">
        <v>78</v>
      </c>
      <c r="E40" s="11" t="s">
        <v>4046</v>
      </c>
      <c r="F40" s="1">
        <v>46234</v>
      </c>
      <c r="G40" s="1">
        <v>46235</v>
      </c>
      <c r="H40" s="11" t="s">
        <v>300</v>
      </c>
      <c r="I40" s="11" t="s">
        <v>301</v>
      </c>
    </row>
    <row r="41" spans="1:9" hidden="1" x14ac:dyDescent="0.25">
      <c r="A41" s="1">
        <v>46244</v>
      </c>
      <c r="B41">
        <v>1017264032</v>
      </c>
      <c r="C41" t="s">
        <v>88</v>
      </c>
      <c r="D41" s="11" t="s">
        <v>55</v>
      </c>
      <c r="E41" s="11" t="s">
        <v>4047</v>
      </c>
      <c r="F41" s="1">
        <v>46229</v>
      </c>
      <c r="G41" s="1">
        <v>46258</v>
      </c>
      <c r="H41" s="11" t="s">
        <v>303</v>
      </c>
      <c r="I41" s="11" t="s">
        <v>304</v>
      </c>
    </row>
    <row r="42" spans="1:9" hidden="1" x14ac:dyDescent="0.25">
      <c r="A42" s="1">
        <v>46237</v>
      </c>
      <c r="B42">
        <v>1047505786</v>
      </c>
      <c r="C42" t="s">
        <v>114</v>
      </c>
      <c r="D42" s="11" t="s">
        <v>51</v>
      </c>
      <c r="E42" s="11" t="s">
        <v>4047</v>
      </c>
      <c r="F42" s="1">
        <v>46229</v>
      </c>
      <c r="G42" s="1">
        <v>46243</v>
      </c>
      <c r="H42" s="11" t="s">
        <v>116</v>
      </c>
      <c r="I42" s="11" t="s">
        <v>117</v>
      </c>
    </row>
    <row r="43" spans="1:9" hidden="1" x14ac:dyDescent="0.25">
      <c r="A43" s="1">
        <v>46239</v>
      </c>
      <c r="B43">
        <v>1017264032</v>
      </c>
      <c r="C43" t="s">
        <v>88</v>
      </c>
      <c r="D43" s="11" t="s">
        <v>55</v>
      </c>
      <c r="E43" s="11" t="s">
        <v>4047</v>
      </c>
      <c r="F43" s="1">
        <v>46229</v>
      </c>
      <c r="G43" s="1">
        <v>46258</v>
      </c>
      <c r="H43" s="11" t="s">
        <v>116</v>
      </c>
      <c r="I43" s="11" t="s">
        <v>117</v>
      </c>
    </row>
    <row r="44" spans="1:9" hidden="1" x14ac:dyDescent="0.25">
      <c r="A44" s="1">
        <v>46240</v>
      </c>
      <c r="B44">
        <v>1017264032</v>
      </c>
      <c r="C44" t="s">
        <v>88</v>
      </c>
      <c r="D44" s="11" t="s">
        <v>55</v>
      </c>
      <c r="E44" s="11" t="s">
        <v>4047</v>
      </c>
      <c r="F44" s="1">
        <v>46229</v>
      </c>
      <c r="G44" s="1">
        <v>46258</v>
      </c>
      <c r="H44" s="11" t="s">
        <v>116</v>
      </c>
      <c r="I44" s="11" t="s">
        <v>117</v>
      </c>
    </row>
    <row r="45" spans="1:9" hidden="1" x14ac:dyDescent="0.25">
      <c r="A45" s="1">
        <v>46238</v>
      </c>
      <c r="B45">
        <v>1143374438</v>
      </c>
      <c r="C45" t="s">
        <v>154</v>
      </c>
      <c r="D45" s="11" t="s">
        <v>28</v>
      </c>
      <c r="E45" s="11" t="s">
        <v>4046</v>
      </c>
      <c r="F45" s="1">
        <v>46209</v>
      </c>
      <c r="G45" s="1">
        <v>46238</v>
      </c>
      <c r="H45" s="11" t="s">
        <v>150</v>
      </c>
      <c r="I45" s="11" t="s">
        <v>151</v>
      </c>
    </row>
    <row r="46" spans="1:9" hidden="1" x14ac:dyDescent="0.25">
      <c r="A46" s="1">
        <v>46235</v>
      </c>
      <c r="B46">
        <v>1016090631</v>
      </c>
      <c r="C46" t="s">
        <v>2866</v>
      </c>
      <c r="D46" s="11" t="s">
        <v>55</v>
      </c>
      <c r="E46" s="11" t="s">
        <v>4047</v>
      </c>
      <c r="F46" s="1">
        <v>46233</v>
      </c>
      <c r="G46" s="1">
        <v>46235</v>
      </c>
      <c r="H46" s="11"/>
      <c r="I46" s="11" t="s">
        <v>327</v>
      </c>
    </row>
    <row r="47" spans="1:9" hidden="1" x14ac:dyDescent="0.25">
      <c r="A47" s="1">
        <v>46235</v>
      </c>
      <c r="B47">
        <v>1152226738</v>
      </c>
      <c r="C47" t="s">
        <v>138</v>
      </c>
      <c r="D47" s="11" t="s">
        <v>139</v>
      </c>
      <c r="E47" s="11" t="s">
        <v>4040</v>
      </c>
      <c r="F47" s="1">
        <v>46234</v>
      </c>
      <c r="G47" s="1">
        <v>46237</v>
      </c>
      <c r="H47" s="11"/>
      <c r="I47" s="11" t="s">
        <v>327</v>
      </c>
    </row>
    <row r="48" spans="1:9" hidden="1" x14ac:dyDescent="0.25">
      <c r="A48" s="1">
        <v>46240</v>
      </c>
      <c r="B48">
        <v>1047505786</v>
      </c>
      <c r="C48" t="s">
        <v>114</v>
      </c>
      <c r="D48" s="11" t="s">
        <v>51</v>
      </c>
      <c r="E48" s="11" t="s">
        <v>4047</v>
      </c>
      <c r="F48" s="1">
        <v>46229</v>
      </c>
      <c r="G48" s="1">
        <v>46243</v>
      </c>
      <c r="H48" s="11"/>
      <c r="I48" s="11" t="s">
        <v>327</v>
      </c>
    </row>
    <row r="49" spans="1:9" hidden="1" x14ac:dyDescent="0.25">
      <c r="A49" s="1">
        <v>46235</v>
      </c>
      <c r="B49">
        <v>21852680</v>
      </c>
      <c r="C49" t="s">
        <v>4058</v>
      </c>
      <c r="D49" s="11" t="s">
        <v>482</v>
      </c>
      <c r="E49" s="11" t="s">
        <v>4040</v>
      </c>
      <c r="F49" s="1">
        <v>46235</v>
      </c>
      <c r="G49" s="1">
        <v>46238</v>
      </c>
      <c r="H49" s="11"/>
      <c r="I49" s="11" t="s">
        <v>327</v>
      </c>
    </row>
    <row r="50" spans="1:9" hidden="1" x14ac:dyDescent="0.25">
      <c r="A50" s="1">
        <v>46235</v>
      </c>
      <c r="B50">
        <v>1061819313</v>
      </c>
      <c r="C50" t="s">
        <v>280</v>
      </c>
      <c r="D50" s="11" t="s">
        <v>59</v>
      </c>
      <c r="E50" s="11" t="s">
        <v>4047</v>
      </c>
      <c r="F50" s="1">
        <v>46231</v>
      </c>
      <c r="G50" s="1">
        <v>46235</v>
      </c>
      <c r="H50" s="11" t="s">
        <v>276</v>
      </c>
      <c r="I50" s="11" t="s">
        <v>277</v>
      </c>
    </row>
    <row r="51" spans="1:9" hidden="1" x14ac:dyDescent="0.25">
      <c r="A51" s="1">
        <v>46239</v>
      </c>
      <c r="B51">
        <v>1036132488</v>
      </c>
      <c r="C51" t="s">
        <v>58</v>
      </c>
      <c r="D51" s="11" t="s">
        <v>59</v>
      </c>
      <c r="E51" s="11" t="s">
        <v>4047</v>
      </c>
      <c r="F51" s="1">
        <v>46227</v>
      </c>
      <c r="G51" s="1">
        <v>46246</v>
      </c>
      <c r="H51" s="11" t="s">
        <v>276</v>
      </c>
      <c r="I51" s="11" t="s">
        <v>277</v>
      </c>
    </row>
    <row r="52" spans="1:9" hidden="1" x14ac:dyDescent="0.25">
      <c r="A52" s="1">
        <v>46235</v>
      </c>
      <c r="B52">
        <v>1140905046</v>
      </c>
      <c r="C52" t="s">
        <v>4059</v>
      </c>
      <c r="D52" s="11" t="s">
        <v>482</v>
      </c>
      <c r="E52" s="11" t="s">
        <v>4040</v>
      </c>
      <c r="F52" s="1">
        <v>46235</v>
      </c>
      <c r="G52" s="1">
        <v>46238</v>
      </c>
      <c r="H52" s="11" t="s">
        <v>282</v>
      </c>
      <c r="I52" s="11" t="s">
        <v>283</v>
      </c>
    </row>
    <row r="53" spans="1:9" hidden="1" x14ac:dyDescent="0.25">
      <c r="A53" s="1">
        <v>46239</v>
      </c>
      <c r="B53">
        <v>1143375080</v>
      </c>
      <c r="C53" t="s">
        <v>157</v>
      </c>
      <c r="D53" s="11" t="s">
        <v>44</v>
      </c>
      <c r="E53" s="11" t="s">
        <v>4045</v>
      </c>
      <c r="F53" s="1">
        <v>46232</v>
      </c>
      <c r="G53" s="1">
        <v>46239</v>
      </c>
      <c r="H53" s="11" t="s">
        <v>282</v>
      </c>
      <c r="I53" s="11" t="s">
        <v>283</v>
      </c>
    </row>
    <row r="54" spans="1:9" hidden="1" x14ac:dyDescent="0.25">
      <c r="A54" s="1">
        <v>46235</v>
      </c>
      <c r="B54" t="s">
        <v>288</v>
      </c>
      <c r="C54" t="s">
        <v>289</v>
      </c>
      <c r="D54" s="11" t="s">
        <v>272</v>
      </c>
      <c r="E54" s="11" t="s">
        <v>4056</v>
      </c>
      <c r="F54" s="1">
        <v>46230</v>
      </c>
      <c r="G54" s="1">
        <v>46355</v>
      </c>
      <c r="H54" s="11" t="s">
        <v>285</v>
      </c>
      <c r="I54" s="11" t="s">
        <v>286</v>
      </c>
    </row>
    <row r="55" spans="1:9" hidden="1" x14ac:dyDescent="0.25">
      <c r="A55" s="1">
        <v>46237</v>
      </c>
      <c r="B55">
        <v>1085318652</v>
      </c>
      <c r="C55" t="s">
        <v>292</v>
      </c>
      <c r="D55" s="11" t="s">
        <v>272</v>
      </c>
      <c r="E55" s="11" t="s">
        <v>4056</v>
      </c>
      <c r="F55" s="1">
        <v>46233</v>
      </c>
      <c r="G55" s="1">
        <v>46238</v>
      </c>
      <c r="H55" s="11" t="s">
        <v>285</v>
      </c>
      <c r="I55" s="11" t="s">
        <v>286</v>
      </c>
    </row>
    <row r="56" spans="1:9" hidden="1" x14ac:dyDescent="0.25">
      <c r="A56" s="1">
        <v>46237</v>
      </c>
      <c r="B56">
        <v>1152226738</v>
      </c>
      <c r="C56" t="s">
        <v>138</v>
      </c>
      <c r="D56" s="11" t="s">
        <v>139</v>
      </c>
      <c r="E56" s="11" t="s">
        <v>4040</v>
      </c>
      <c r="F56" s="1">
        <v>46234</v>
      </c>
      <c r="G56" s="1">
        <v>46237</v>
      </c>
      <c r="H56" s="11" t="s">
        <v>119</v>
      </c>
      <c r="I56" s="11" t="s">
        <v>120</v>
      </c>
    </row>
    <row r="57" spans="1:9" hidden="1" x14ac:dyDescent="0.25">
      <c r="A57" s="1">
        <v>46237</v>
      </c>
      <c r="B57">
        <v>1001940238</v>
      </c>
      <c r="C57" t="s">
        <v>4049</v>
      </c>
      <c r="D57" s="11" t="s">
        <v>82</v>
      </c>
      <c r="E57" s="11" t="s">
        <v>4045</v>
      </c>
      <c r="F57" s="1">
        <v>46237</v>
      </c>
      <c r="G57" s="1">
        <v>46239</v>
      </c>
      <c r="H57" s="11" t="s">
        <v>231</v>
      </c>
      <c r="I57" s="11" t="s">
        <v>232</v>
      </c>
    </row>
    <row r="58" spans="1:9" hidden="1" x14ac:dyDescent="0.25">
      <c r="A58" s="1">
        <v>46239</v>
      </c>
      <c r="B58">
        <v>1047505786</v>
      </c>
      <c r="C58" t="s">
        <v>114</v>
      </c>
      <c r="D58" s="11" t="s">
        <v>51</v>
      </c>
      <c r="E58" s="11" t="s">
        <v>4047</v>
      </c>
      <c r="F58" s="1">
        <v>46229</v>
      </c>
      <c r="G58" s="1">
        <v>46243</v>
      </c>
      <c r="H58" s="11" t="s">
        <v>110</v>
      </c>
      <c r="I58" s="11" t="s">
        <v>111</v>
      </c>
    </row>
    <row r="59" spans="1:9" hidden="1" x14ac:dyDescent="0.25">
      <c r="A59" s="1">
        <v>46242</v>
      </c>
      <c r="B59">
        <v>1047505786</v>
      </c>
      <c r="C59" t="s">
        <v>114</v>
      </c>
      <c r="D59" s="11" t="s">
        <v>51</v>
      </c>
      <c r="E59" s="11" t="s">
        <v>4047</v>
      </c>
      <c r="F59" s="1">
        <v>46229</v>
      </c>
      <c r="G59" s="1">
        <v>46243</v>
      </c>
      <c r="H59" s="11" t="s">
        <v>110</v>
      </c>
      <c r="I59" s="11" t="s">
        <v>111</v>
      </c>
    </row>
    <row r="60" spans="1:9" hidden="1" x14ac:dyDescent="0.25">
      <c r="A60" s="1">
        <v>46237</v>
      </c>
      <c r="B60">
        <v>1017264032</v>
      </c>
      <c r="C60" t="s">
        <v>54</v>
      </c>
      <c r="D60" s="11" t="s">
        <v>55</v>
      </c>
      <c r="E60" s="11" t="s">
        <v>4047</v>
      </c>
      <c r="F60" s="1">
        <v>46229</v>
      </c>
      <c r="G60" s="1">
        <v>46258</v>
      </c>
      <c r="H60" s="11" t="s">
        <v>110</v>
      </c>
      <c r="I60" s="11" t="s">
        <v>111</v>
      </c>
    </row>
    <row r="61" spans="1:9" hidden="1" x14ac:dyDescent="0.25">
      <c r="A61" s="1">
        <v>46239</v>
      </c>
      <c r="B61">
        <v>1001940238</v>
      </c>
      <c r="C61" t="s">
        <v>4049</v>
      </c>
      <c r="D61" s="11" t="s">
        <v>82</v>
      </c>
      <c r="E61" s="11" t="s">
        <v>4045</v>
      </c>
      <c r="F61" s="1">
        <v>46237</v>
      </c>
      <c r="G61" s="1">
        <v>46239</v>
      </c>
      <c r="H61" s="11" t="s">
        <v>264</v>
      </c>
      <c r="I61" s="11" t="s">
        <v>265</v>
      </c>
    </row>
    <row r="62" spans="1:9" hidden="1" x14ac:dyDescent="0.25">
      <c r="A62" s="1">
        <v>46235</v>
      </c>
      <c r="B62">
        <v>1143375080</v>
      </c>
      <c r="C62" t="s">
        <v>203</v>
      </c>
      <c r="D62" s="11" t="s">
        <v>44</v>
      </c>
      <c r="E62" s="11" t="s">
        <v>4045</v>
      </c>
      <c r="F62" s="1">
        <v>46232</v>
      </c>
      <c r="G62" s="1">
        <v>46239</v>
      </c>
      <c r="H62" s="11" t="s">
        <v>264</v>
      </c>
      <c r="I62" s="11" t="s">
        <v>265</v>
      </c>
    </row>
    <row r="63" spans="1:9" hidden="1" x14ac:dyDescent="0.25">
      <c r="A63" s="1">
        <v>46235</v>
      </c>
      <c r="B63">
        <v>1017270154</v>
      </c>
      <c r="C63" t="s">
        <v>1004</v>
      </c>
      <c r="D63" s="11" t="s">
        <v>421</v>
      </c>
      <c r="E63" s="11" t="s">
        <v>4047</v>
      </c>
      <c r="F63" s="1">
        <v>46234</v>
      </c>
      <c r="G63" s="1">
        <v>46235</v>
      </c>
      <c r="H63" s="11" t="s">
        <v>85</v>
      </c>
      <c r="I63" s="11" t="s">
        <v>86</v>
      </c>
    </row>
    <row r="64" spans="1:9" hidden="1" x14ac:dyDescent="0.25">
      <c r="A64" s="1">
        <v>46240</v>
      </c>
      <c r="B64">
        <v>1036132488</v>
      </c>
      <c r="C64" t="s">
        <v>58</v>
      </c>
      <c r="D64" s="11" t="s">
        <v>59</v>
      </c>
      <c r="E64" s="11" t="s">
        <v>4047</v>
      </c>
      <c r="F64" s="1">
        <v>46227</v>
      </c>
      <c r="G64" s="1">
        <v>46246</v>
      </c>
      <c r="H64" s="11" t="s">
        <v>85</v>
      </c>
      <c r="I64" s="11" t="s">
        <v>86</v>
      </c>
    </row>
    <row r="65" spans="1:9" hidden="1" x14ac:dyDescent="0.25">
      <c r="A65" s="1">
        <v>46235</v>
      </c>
      <c r="B65">
        <v>1017264032</v>
      </c>
      <c r="C65" t="s">
        <v>54</v>
      </c>
      <c r="D65" s="11" t="s">
        <v>55</v>
      </c>
      <c r="E65" s="11" t="s">
        <v>4047</v>
      </c>
      <c r="F65" s="1">
        <v>46229</v>
      </c>
      <c r="G65" s="1">
        <v>46258</v>
      </c>
      <c r="H65" s="11" t="s">
        <v>107</v>
      </c>
      <c r="I65" s="11" t="s">
        <v>108</v>
      </c>
    </row>
    <row r="66" spans="1:9" hidden="1" x14ac:dyDescent="0.25">
      <c r="A66" s="1">
        <v>46237</v>
      </c>
      <c r="B66">
        <v>1036132488</v>
      </c>
      <c r="C66" t="s">
        <v>89</v>
      </c>
      <c r="D66" s="11" t="s">
        <v>59</v>
      </c>
      <c r="E66" s="11" t="s">
        <v>4047</v>
      </c>
      <c r="F66" s="1">
        <v>46227</v>
      </c>
      <c r="G66" s="1">
        <v>46246</v>
      </c>
      <c r="H66" s="11" t="s">
        <v>297</v>
      </c>
      <c r="I66" s="11" t="s">
        <v>298</v>
      </c>
    </row>
    <row r="67" spans="1:9" hidden="1" x14ac:dyDescent="0.25">
      <c r="A67" s="1">
        <v>46242</v>
      </c>
      <c r="B67">
        <v>1036132488</v>
      </c>
      <c r="C67" t="s">
        <v>58</v>
      </c>
      <c r="D67" s="11" t="s">
        <v>59</v>
      </c>
      <c r="E67" s="11" t="s">
        <v>4047</v>
      </c>
      <c r="F67" s="1">
        <v>46227</v>
      </c>
      <c r="G67" s="1">
        <v>46246</v>
      </c>
      <c r="H67" s="11" t="s">
        <v>297</v>
      </c>
      <c r="I67" s="11" t="s">
        <v>298</v>
      </c>
    </row>
    <row r="68" spans="1:9" hidden="1" x14ac:dyDescent="0.25">
      <c r="A68" s="1">
        <v>46238</v>
      </c>
      <c r="B68" t="s">
        <v>33</v>
      </c>
      <c r="C68" t="s">
        <v>34</v>
      </c>
      <c r="D68" s="11" t="s">
        <v>15</v>
      </c>
      <c r="E68" s="11" t="s">
        <v>4046</v>
      </c>
      <c r="F68" s="1">
        <v>46224</v>
      </c>
      <c r="G68" s="1">
        <v>46239</v>
      </c>
      <c r="H68" s="11" t="s">
        <v>222</v>
      </c>
      <c r="I68" s="11" t="s">
        <v>223</v>
      </c>
    </row>
    <row r="69" spans="1:9" hidden="1" x14ac:dyDescent="0.25">
      <c r="A69" s="1">
        <v>46237</v>
      </c>
      <c r="B69">
        <v>1140905046</v>
      </c>
      <c r="C69" t="s">
        <v>4059</v>
      </c>
      <c r="D69" s="11" t="s">
        <v>482</v>
      </c>
      <c r="E69" s="11" t="s">
        <v>4040</v>
      </c>
      <c r="F69" s="1">
        <v>46235</v>
      </c>
      <c r="G69" s="1">
        <v>46238</v>
      </c>
      <c r="H69" s="11" t="s">
        <v>309</v>
      </c>
      <c r="I69" s="11" t="s">
        <v>310</v>
      </c>
    </row>
    <row r="70" spans="1:9" hidden="1" x14ac:dyDescent="0.25">
      <c r="A70" s="1">
        <v>46245</v>
      </c>
      <c r="B70">
        <v>1036132488</v>
      </c>
      <c r="C70" t="s">
        <v>89</v>
      </c>
      <c r="D70" s="11" t="s">
        <v>59</v>
      </c>
      <c r="E70" s="11" t="s">
        <v>4047</v>
      </c>
      <c r="F70" s="1">
        <v>46227</v>
      </c>
      <c r="G70" s="1">
        <v>46246</v>
      </c>
      <c r="H70" s="11" t="s">
        <v>309</v>
      </c>
      <c r="I70" s="11" t="s">
        <v>310</v>
      </c>
    </row>
    <row r="71" spans="1:9" hidden="1" x14ac:dyDescent="0.25">
      <c r="A71" s="1">
        <v>46237</v>
      </c>
      <c r="B71">
        <v>21852680</v>
      </c>
      <c r="C71" t="s">
        <v>4058</v>
      </c>
      <c r="D71" s="11" t="s">
        <v>482</v>
      </c>
      <c r="E71" s="11" t="s">
        <v>4040</v>
      </c>
      <c r="F71" s="1">
        <v>46235</v>
      </c>
      <c r="G71" s="1">
        <v>46238</v>
      </c>
      <c r="H71" s="11" t="s">
        <v>193</v>
      </c>
      <c r="I71" s="11" t="s">
        <v>194</v>
      </c>
    </row>
    <row r="72" spans="1:9" hidden="1" x14ac:dyDescent="0.25">
      <c r="A72" s="1">
        <v>46237</v>
      </c>
      <c r="B72">
        <v>1143374438</v>
      </c>
      <c r="C72" t="s">
        <v>154</v>
      </c>
      <c r="D72" s="11" t="s">
        <v>28</v>
      </c>
      <c r="E72" s="11" t="s">
        <v>4046</v>
      </c>
      <c r="F72" s="1">
        <v>46209</v>
      </c>
      <c r="G72" s="1">
        <v>46238</v>
      </c>
      <c r="H72" s="11" t="s">
        <v>273</v>
      </c>
      <c r="I72" s="11" t="s">
        <v>274</v>
      </c>
    </row>
    <row r="73" spans="1:9" hidden="1" x14ac:dyDescent="0.25">
      <c r="A73" s="1">
        <v>46235</v>
      </c>
      <c r="B73">
        <v>1118569642</v>
      </c>
      <c r="C73" t="s">
        <v>175</v>
      </c>
      <c r="D73" s="11" t="s">
        <v>176</v>
      </c>
      <c r="E73" s="11" t="s">
        <v>4040</v>
      </c>
      <c r="F73" s="1">
        <v>46230</v>
      </c>
      <c r="G73" s="1">
        <v>46235</v>
      </c>
      <c r="H73" s="11" t="s">
        <v>177</v>
      </c>
      <c r="I73" s="11" t="s">
        <v>178</v>
      </c>
    </row>
    <row r="74" spans="1:9" hidden="1" x14ac:dyDescent="0.25">
      <c r="A74" s="1">
        <v>46237</v>
      </c>
      <c r="B74" t="s">
        <v>33</v>
      </c>
      <c r="C74" t="s">
        <v>34</v>
      </c>
      <c r="D74" s="11" t="s">
        <v>15</v>
      </c>
      <c r="E74" s="11" t="s">
        <v>4046</v>
      </c>
      <c r="F74" s="1">
        <v>46224</v>
      </c>
      <c r="G74" s="1">
        <v>46239</v>
      </c>
      <c r="H74" s="11" t="s">
        <v>17</v>
      </c>
      <c r="I74" s="11" t="s">
        <v>18</v>
      </c>
    </row>
    <row r="75" spans="1:9" hidden="1" x14ac:dyDescent="0.25">
      <c r="A75" s="1">
        <v>46237</v>
      </c>
      <c r="B75" t="s">
        <v>288</v>
      </c>
      <c r="C75" t="s">
        <v>289</v>
      </c>
      <c r="D75" s="11" t="s">
        <v>272</v>
      </c>
      <c r="E75" s="11" t="s">
        <v>4056</v>
      </c>
      <c r="F75" s="1">
        <v>46230</v>
      </c>
      <c r="G75" s="1">
        <v>46355</v>
      </c>
      <c r="H75" s="11" t="s">
        <v>321</v>
      </c>
      <c r="I75" s="11" t="s">
        <v>322</v>
      </c>
    </row>
    <row r="76" spans="1:9" hidden="1" x14ac:dyDescent="0.25">
      <c r="A76" s="1">
        <v>46235</v>
      </c>
      <c r="B76">
        <v>1085318652</v>
      </c>
      <c r="C76" t="s">
        <v>292</v>
      </c>
      <c r="D76" s="11" t="s">
        <v>272</v>
      </c>
      <c r="E76" s="11" t="s">
        <v>4056</v>
      </c>
      <c r="F76" s="1">
        <v>46233</v>
      </c>
      <c r="G76" s="1">
        <v>46238</v>
      </c>
      <c r="H76" s="11" t="s">
        <v>321</v>
      </c>
      <c r="I76" s="11" t="s">
        <v>322</v>
      </c>
    </row>
    <row r="77" spans="1:9" hidden="1" x14ac:dyDescent="0.25">
      <c r="A77" s="1">
        <v>46245</v>
      </c>
      <c r="B77">
        <v>1017264032</v>
      </c>
      <c r="C77" t="s">
        <v>54</v>
      </c>
      <c r="D77" s="11" t="s">
        <v>55</v>
      </c>
      <c r="E77" s="11" t="s">
        <v>4047</v>
      </c>
      <c r="F77" s="1">
        <v>46229</v>
      </c>
      <c r="G77" s="1">
        <v>46258</v>
      </c>
      <c r="H77" s="11" t="s">
        <v>45</v>
      </c>
      <c r="I77" s="11" t="s">
        <v>46</v>
      </c>
    </row>
    <row r="78" spans="1:9" hidden="1" x14ac:dyDescent="0.25">
      <c r="A78" s="1">
        <v>46244</v>
      </c>
      <c r="B78">
        <v>1036132488</v>
      </c>
      <c r="C78" t="s">
        <v>58</v>
      </c>
      <c r="D78" s="11" t="s">
        <v>59</v>
      </c>
      <c r="E78" s="11" t="s">
        <v>4047</v>
      </c>
      <c r="F78" s="1">
        <v>46227</v>
      </c>
      <c r="G78" s="1">
        <v>46246</v>
      </c>
      <c r="H78" s="11" t="s">
        <v>45</v>
      </c>
      <c r="I78" s="11" t="s">
        <v>46</v>
      </c>
    </row>
    <row r="79" spans="1:9" hidden="1" x14ac:dyDescent="0.25">
      <c r="A79" s="1">
        <v>46235</v>
      </c>
      <c r="B79">
        <v>1002159016</v>
      </c>
      <c r="C79" t="s">
        <v>244</v>
      </c>
      <c r="D79" s="11" t="s">
        <v>245</v>
      </c>
      <c r="E79" s="11" t="s">
        <v>4040</v>
      </c>
      <c r="F79" s="1">
        <v>46230</v>
      </c>
      <c r="G79" s="1">
        <v>46235</v>
      </c>
      <c r="H79" s="11" t="s">
        <v>246</v>
      </c>
      <c r="I79" s="11" t="s">
        <v>247</v>
      </c>
    </row>
    <row r="80" spans="1:9" hidden="1" x14ac:dyDescent="0.25">
      <c r="A80" s="1">
        <v>46235</v>
      </c>
      <c r="B80">
        <v>1143374438</v>
      </c>
      <c r="C80" t="s">
        <v>154</v>
      </c>
      <c r="D80" s="11" t="s">
        <v>28</v>
      </c>
      <c r="E80" s="11" t="s">
        <v>4046</v>
      </c>
      <c r="F80" s="1">
        <v>46209</v>
      </c>
      <c r="G80" s="1">
        <v>46238</v>
      </c>
      <c r="H80" s="11" t="s">
        <v>213</v>
      </c>
      <c r="I80" s="11" t="s">
        <v>214</v>
      </c>
    </row>
    <row r="81" spans="1:9" hidden="1" x14ac:dyDescent="0.25">
      <c r="A81" s="1">
        <v>46237</v>
      </c>
      <c r="B81">
        <v>50995706</v>
      </c>
      <c r="C81" t="s">
        <v>2510</v>
      </c>
      <c r="D81" s="11" t="s">
        <v>55</v>
      </c>
      <c r="E81" s="11" t="s">
        <v>4047</v>
      </c>
      <c r="F81" s="1">
        <v>46234</v>
      </c>
      <c r="G81" s="1">
        <v>46234</v>
      </c>
      <c r="H81" s="11"/>
      <c r="I81" s="11" t="s">
        <v>4060</v>
      </c>
    </row>
    <row r="82" spans="1:9" hidden="1" x14ac:dyDescent="0.25">
      <c r="A82" s="1">
        <v>46235</v>
      </c>
      <c r="B82">
        <v>50927877</v>
      </c>
      <c r="C82" t="s">
        <v>1709</v>
      </c>
      <c r="D82" s="11" t="s">
        <v>176</v>
      </c>
      <c r="E82" s="11" t="s">
        <v>4040</v>
      </c>
      <c r="F82" s="1">
        <v>46234</v>
      </c>
      <c r="G82" s="1">
        <v>46234</v>
      </c>
      <c r="H82" s="11"/>
      <c r="I82" s="11" t="s">
        <v>4041</v>
      </c>
    </row>
    <row r="83" spans="1:9" hidden="1" x14ac:dyDescent="0.25">
      <c r="A83" s="1">
        <v>46235</v>
      </c>
      <c r="B83">
        <v>72011169</v>
      </c>
      <c r="C83" t="s">
        <v>250</v>
      </c>
      <c r="D83" s="11" t="s">
        <v>55</v>
      </c>
      <c r="E83" s="11" t="s">
        <v>4047</v>
      </c>
      <c r="F83" s="1">
        <v>46225</v>
      </c>
      <c r="G83" s="1">
        <v>46239</v>
      </c>
      <c r="H83" s="11"/>
      <c r="I83" s="11" t="s">
        <v>327</v>
      </c>
    </row>
    <row r="84" spans="1:9" hidden="1" x14ac:dyDescent="0.25">
      <c r="A84" s="1">
        <v>46237</v>
      </c>
      <c r="B84">
        <v>72011169</v>
      </c>
      <c r="C84" t="s">
        <v>250</v>
      </c>
      <c r="D84" s="11" t="s">
        <v>55</v>
      </c>
      <c r="E84" s="11" t="s">
        <v>4047</v>
      </c>
      <c r="F84" s="1">
        <v>46225</v>
      </c>
      <c r="G84" s="1">
        <v>46239</v>
      </c>
      <c r="H84" s="11" t="s">
        <v>246</v>
      </c>
      <c r="I84" s="11" t="s">
        <v>247</v>
      </c>
    </row>
    <row r="85" spans="1:9" hidden="1" x14ac:dyDescent="0.25">
      <c r="A85" s="1">
        <v>46239</v>
      </c>
      <c r="B85">
        <v>72011169</v>
      </c>
      <c r="C85" t="s">
        <v>220</v>
      </c>
      <c r="D85" s="11" t="s">
        <v>55</v>
      </c>
      <c r="E85" s="11" t="s">
        <v>4047</v>
      </c>
      <c r="F85" s="1">
        <v>46225</v>
      </c>
      <c r="G85" s="1">
        <v>46239</v>
      </c>
      <c r="H85" s="11"/>
      <c r="I85" s="11" t="s">
        <v>327</v>
      </c>
    </row>
    <row r="86" spans="1:9" hidden="1" x14ac:dyDescent="0.25">
      <c r="A86" s="1">
        <v>46240</v>
      </c>
      <c r="B86">
        <v>72011169</v>
      </c>
      <c r="C86" t="s">
        <v>220</v>
      </c>
      <c r="D86" s="11" t="s">
        <v>55</v>
      </c>
      <c r="E86" s="11" t="s">
        <v>4047</v>
      </c>
      <c r="F86" s="1">
        <v>46225</v>
      </c>
      <c r="G86" s="1">
        <v>46239</v>
      </c>
      <c r="H86" s="11"/>
      <c r="I86" s="11" t="s">
        <v>4041</v>
      </c>
    </row>
    <row r="87" spans="1:9" hidden="1" x14ac:dyDescent="0.25">
      <c r="A87" s="1">
        <v>46235</v>
      </c>
      <c r="B87">
        <v>43558465</v>
      </c>
      <c r="C87" t="s">
        <v>71</v>
      </c>
      <c r="D87" s="11" t="s">
        <v>55</v>
      </c>
      <c r="E87" s="11" t="s">
        <v>4047</v>
      </c>
      <c r="F87" s="1">
        <v>46226</v>
      </c>
      <c r="G87" s="1">
        <v>46246</v>
      </c>
      <c r="H87" s="11"/>
      <c r="I87" s="11" t="s">
        <v>327</v>
      </c>
    </row>
    <row r="88" spans="1:9" hidden="1" x14ac:dyDescent="0.25">
      <c r="A88" s="1">
        <v>46237</v>
      </c>
      <c r="B88">
        <v>43558465</v>
      </c>
      <c r="C88" t="s">
        <v>71</v>
      </c>
      <c r="D88" s="11" t="s">
        <v>55</v>
      </c>
      <c r="E88" s="11" t="s">
        <v>4047</v>
      </c>
      <c r="F88" s="1">
        <v>46226</v>
      </c>
      <c r="G88" s="1">
        <v>46246</v>
      </c>
      <c r="H88" s="11" t="s">
        <v>45</v>
      </c>
      <c r="I88" s="11" t="s">
        <v>46</v>
      </c>
    </row>
    <row r="89" spans="1:9" hidden="1" x14ac:dyDescent="0.25">
      <c r="A89" s="1">
        <v>46239</v>
      </c>
      <c r="B89">
        <v>43558465</v>
      </c>
      <c r="C89" t="s">
        <v>71</v>
      </c>
      <c r="D89" s="11" t="s">
        <v>55</v>
      </c>
      <c r="E89" s="11" t="s">
        <v>4047</v>
      </c>
      <c r="F89" s="1">
        <v>46226</v>
      </c>
      <c r="G89" s="1">
        <v>46246</v>
      </c>
      <c r="H89" s="11"/>
      <c r="I89" s="11" t="s">
        <v>327</v>
      </c>
    </row>
    <row r="90" spans="1:9" hidden="1" x14ac:dyDescent="0.25">
      <c r="A90" s="1">
        <v>46240</v>
      </c>
      <c r="B90">
        <v>43558465</v>
      </c>
      <c r="C90" t="s">
        <v>71</v>
      </c>
      <c r="D90" s="11" t="s">
        <v>55</v>
      </c>
      <c r="E90" s="11" t="s">
        <v>4047</v>
      </c>
      <c r="F90" s="1">
        <v>46226</v>
      </c>
      <c r="G90" s="1">
        <v>46246</v>
      </c>
      <c r="H90" s="11" t="s">
        <v>246</v>
      </c>
      <c r="I90" s="11" t="s">
        <v>247</v>
      </c>
    </row>
    <row r="91" spans="1:9" hidden="1" x14ac:dyDescent="0.25">
      <c r="A91" s="1">
        <v>46242</v>
      </c>
      <c r="B91">
        <v>43558465</v>
      </c>
      <c r="C91" t="s">
        <v>71</v>
      </c>
      <c r="D91" s="11" t="s">
        <v>55</v>
      </c>
      <c r="E91" s="11" t="s">
        <v>4047</v>
      </c>
      <c r="F91" s="1">
        <v>46226</v>
      </c>
      <c r="G91" s="1">
        <v>46246</v>
      </c>
      <c r="H91" s="11" t="s">
        <v>257</v>
      </c>
      <c r="I91" s="11" t="s">
        <v>258</v>
      </c>
    </row>
    <row r="92" spans="1:9" hidden="1" x14ac:dyDescent="0.25">
      <c r="A92" s="1">
        <v>46244</v>
      </c>
      <c r="B92">
        <v>43558465</v>
      </c>
      <c r="C92" t="s">
        <v>71</v>
      </c>
      <c r="D92" s="11" t="s">
        <v>55</v>
      </c>
      <c r="E92" s="11" t="s">
        <v>4047</v>
      </c>
      <c r="F92" s="1">
        <v>46226</v>
      </c>
      <c r="G92" s="1">
        <v>46246</v>
      </c>
      <c r="H92" s="11"/>
      <c r="I92" s="11" t="s">
        <v>327</v>
      </c>
    </row>
    <row r="93" spans="1:9" hidden="1" x14ac:dyDescent="0.25">
      <c r="A93" s="1">
        <v>46245</v>
      </c>
      <c r="B93">
        <v>43558465</v>
      </c>
      <c r="C93" t="s">
        <v>71</v>
      </c>
      <c r="D93" s="11" t="s">
        <v>55</v>
      </c>
      <c r="E93" s="11" t="s">
        <v>4047</v>
      </c>
      <c r="F93" s="1">
        <v>46226</v>
      </c>
      <c r="G93" s="1">
        <v>46246</v>
      </c>
      <c r="H93" s="11"/>
      <c r="I93" s="11" t="s">
        <v>327</v>
      </c>
    </row>
    <row r="94" spans="1:9" hidden="1" x14ac:dyDescent="0.25">
      <c r="A94" s="1">
        <v>46235</v>
      </c>
      <c r="B94">
        <v>1037631989</v>
      </c>
      <c r="C94" t="s">
        <v>27</v>
      </c>
      <c r="D94" s="11" t="s">
        <v>28</v>
      </c>
      <c r="E94" s="11" t="s">
        <v>4046</v>
      </c>
      <c r="F94" s="1">
        <v>46226</v>
      </c>
      <c r="G94" s="1">
        <v>46255</v>
      </c>
      <c r="H94" s="11"/>
      <c r="I94" s="11" t="s">
        <v>327</v>
      </c>
    </row>
    <row r="95" spans="1:9" hidden="1" x14ac:dyDescent="0.25">
      <c r="A95" s="1">
        <v>46237</v>
      </c>
      <c r="B95">
        <v>1037631989</v>
      </c>
      <c r="C95" t="s">
        <v>27</v>
      </c>
      <c r="D95" s="11" t="s">
        <v>28</v>
      </c>
      <c r="E95" s="11" t="s">
        <v>4046</v>
      </c>
      <c r="F95" s="1">
        <v>46226</v>
      </c>
      <c r="G95" s="1">
        <v>46255</v>
      </c>
      <c r="H95" s="11" t="s">
        <v>213</v>
      </c>
      <c r="I95" s="11" t="s">
        <v>214</v>
      </c>
    </row>
    <row r="96" spans="1:9" hidden="1" x14ac:dyDescent="0.25">
      <c r="A96" s="1">
        <v>46239</v>
      </c>
      <c r="B96">
        <v>1037631989</v>
      </c>
      <c r="C96" t="s">
        <v>27</v>
      </c>
      <c r="D96" s="11" t="s">
        <v>28</v>
      </c>
      <c r="E96" s="11" t="s">
        <v>4046</v>
      </c>
      <c r="F96" s="1">
        <v>46226</v>
      </c>
      <c r="G96" s="1">
        <v>46255</v>
      </c>
      <c r="H96" s="11" t="s">
        <v>96</v>
      </c>
      <c r="I96" s="11" t="s">
        <v>97</v>
      </c>
    </row>
    <row r="97" spans="1:9" hidden="1" x14ac:dyDescent="0.25">
      <c r="A97" s="1">
        <v>46240</v>
      </c>
      <c r="B97">
        <v>1037631989</v>
      </c>
      <c r="C97" t="s">
        <v>27</v>
      </c>
      <c r="D97" s="11" t="s">
        <v>28</v>
      </c>
      <c r="E97" s="11" t="s">
        <v>4046</v>
      </c>
      <c r="F97" s="1">
        <v>46226</v>
      </c>
      <c r="G97" s="1">
        <v>46255</v>
      </c>
      <c r="H97" s="11" t="s">
        <v>17</v>
      </c>
      <c r="I97" s="11" t="s">
        <v>18</v>
      </c>
    </row>
    <row r="98" spans="1:9" hidden="1" x14ac:dyDescent="0.25">
      <c r="A98" s="1">
        <v>46244</v>
      </c>
      <c r="B98">
        <v>1037631989</v>
      </c>
      <c r="C98" t="s">
        <v>27</v>
      </c>
      <c r="D98" s="11" t="s">
        <v>28</v>
      </c>
      <c r="E98" s="11" t="s">
        <v>4046</v>
      </c>
      <c r="F98" s="1">
        <v>46226</v>
      </c>
      <c r="G98" s="1">
        <v>46255</v>
      </c>
      <c r="H98" s="11" t="s">
        <v>228</v>
      </c>
      <c r="I98" s="11" t="s">
        <v>229</v>
      </c>
    </row>
    <row r="99" spans="1:9" hidden="1" x14ac:dyDescent="0.25">
      <c r="A99" s="1">
        <v>46245</v>
      </c>
      <c r="B99">
        <v>1037631989</v>
      </c>
      <c r="C99" t="s">
        <v>27</v>
      </c>
      <c r="D99" s="11" t="s">
        <v>28</v>
      </c>
      <c r="E99" s="11" t="s">
        <v>4046</v>
      </c>
      <c r="F99" s="1">
        <v>46226</v>
      </c>
      <c r="G99" s="1">
        <v>46255</v>
      </c>
      <c r="H99" s="11"/>
      <c r="I99" s="11" t="s">
        <v>327</v>
      </c>
    </row>
    <row r="100" spans="1:9" hidden="1" x14ac:dyDescent="0.25">
      <c r="A100" s="1">
        <v>46237</v>
      </c>
      <c r="B100">
        <v>42141273</v>
      </c>
      <c r="C100" t="s">
        <v>271</v>
      </c>
      <c r="D100" s="11" t="s">
        <v>272</v>
      </c>
      <c r="E100" s="11" t="s">
        <v>4056</v>
      </c>
      <c r="F100" s="1">
        <v>46224</v>
      </c>
      <c r="G100" s="1">
        <v>46238</v>
      </c>
      <c r="H100" s="11" t="s">
        <v>267</v>
      </c>
      <c r="I100" s="11" t="s">
        <v>268</v>
      </c>
    </row>
    <row r="101" spans="1:9" hidden="1" x14ac:dyDescent="0.25">
      <c r="A101" s="1">
        <v>46239</v>
      </c>
      <c r="B101">
        <v>42141273</v>
      </c>
      <c r="C101" t="s">
        <v>271</v>
      </c>
      <c r="D101" s="11" t="s">
        <v>272</v>
      </c>
      <c r="E101" s="11" t="s">
        <v>4056</v>
      </c>
      <c r="F101" s="1">
        <v>46224</v>
      </c>
      <c r="G101" s="1">
        <v>46238</v>
      </c>
      <c r="H101" s="11"/>
      <c r="I101" s="11" t="s">
        <v>4041</v>
      </c>
    </row>
    <row r="102" spans="1:9" hidden="1" x14ac:dyDescent="0.25">
      <c r="A102" s="1">
        <v>46235</v>
      </c>
      <c r="B102">
        <v>1043006106</v>
      </c>
      <c r="C102" t="s">
        <v>202</v>
      </c>
      <c r="D102" s="11" t="s">
        <v>64</v>
      </c>
      <c r="E102" s="11" t="s">
        <v>4046</v>
      </c>
      <c r="F102" s="1">
        <v>46219</v>
      </c>
      <c r="G102" s="1">
        <v>46248</v>
      </c>
      <c r="H102" s="11" t="s">
        <v>236</v>
      </c>
      <c r="I102" s="11" t="s">
        <v>237</v>
      </c>
    </row>
    <row r="103" spans="1:9" hidden="1" x14ac:dyDescent="0.25">
      <c r="A103" s="1">
        <v>46237</v>
      </c>
      <c r="B103">
        <v>1043006106</v>
      </c>
      <c r="C103" t="s">
        <v>202</v>
      </c>
      <c r="D103" s="11" t="s">
        <v>64</v>
      </c>
      <c r="E103" s="11" t="s">
        <v>4046</v>
      </c>
      <c r="F103" s="1">
        <v>46219</v>
      </c>
      <c r="G103" s="1">
        <v>46248</v>
      </c>
      <c r="H103" s="11" t="s">
        <v>236</v>
      </c>
      <c r="I103" s="11" t="s">
        <v>237</v>
      </c>
    </row>
    <row r="104" spans="1:9" hidden="1" x14ac:dyDescent="0.25">
      <c r="A104" s="1">
        <v>46239</v>
      </c>
      <c r="B104">
        <v>1043006106</v>
      </c>
      <c r="C104" t="s">
        <v>63</v>
      </c>
      <c r="D104" s="11" t="s">
        <v>64</v>
      </c>
      <c r="E104" s="11" t="s">
        <v>4046</v>
      </c>
      <c r="F104" s="1">
        <v>46219</v>
      </c>
      <c r="G104" s="1">
        <v>46248</v>
      </c>
      <c r="H104" s="11"/>
      <c r="I104" s="11" t="s">
        <v>327</v>
      </c>
    </row>
    <row r="105" spans="1:9" hidden="1" x14ac:dyDescent="0.25">
      <c r="A105" s="1">
        <v>46240</v>
      </c>
      <c r="B105">
        <v>1043006106</v>
      </c>
      <c r="C105" t="s">
        <v>63</v>
      </c>
      <c r="D105" s="11" t="s">
        <v>64</v>
      </c>
      <c r="E105" s="11" t="s">
        <v>4046</v>
      </c>
      <c r="F105" s="1">
        <v>46219</v>
      </c>
      <c r="G105" s="1">
        <v>46248</v>
      </c>
      <c r="H105" s="11" t="s">
        <v>45</v>
      </c>
      <c r="I105" s="11" t="s">
        <v>46</v>
      </c>
    </row>
    <row r="106" spans="1:9" hidden="1" x14ac:dyDescent="0.25">
      <c r="A106" s="1">
        <v>46244</v>
      </c>
      <c r="B106">
        <v>1043006106</v>
      </c>
      <c r="C106" t="s">
        <v>63</v>
      </c>
      <c r="D106" s="11" t="s">
        <v>64</v>
      </c>
      <c r="E106" s="11" t="s">
        <v>4046</v>
      </c>
      <c r="F106" s="1">
        <v>46219</v>
      </c>
      <c r="G106" s="1">
        <v>46248</v>
      </c>
      <c r="H106" s="11" t="s">
        <v>236</v>
      </c>
      <c r="I106" s="11" t="s">
        <v>237</v>
      </c>
    </row>
    <row r="107" spans="1:9" hidden="1" x14ac:dyDescent="0.25">
      <c r="A107" s="1">
        <v>46245</v>
      </c>
      <c r="B107">
        <v>1043006106</v>
      </c>
      <c r="C107" t="s">
        <v>202</v>
      </c>
      <c r="D107" s="11" t="s">
        <v>64</v>
      </c>
      <c r="E107" s="11" t="s">
        <v>4046</v>
      </c>
      <c r="F107" s="1">
        <v>46219</v>
      </c>
      <c r="G107" s="1">
        <v>46248</v>
      </c>
      <c r="H107" s="11" t="s">
        <v>236</v>
      </c>
      <c r="I107" s="11" t="s">
        <v>237</v>
      </c>
    </row>
    <row r="108" spans="1:9" hidden="1" x14ac:dyDescent="0.25">
      <c r="A108" s="1">
        <v>46235</v>
      </c>
      <c r="B108">
        <v>1045022397</v>
      </c>
      <c r="C108" t="s">
        <v>4066</v>
      </c>
      <c r="D108" s="11" t="s">
        <v>634</v>
      </c>
      <c r="E108" s="11" t="s">
        <v>4045</v>
      </c>
      <c r="F108" s="1">
        <v>46232</v>
      </c>
      <c r="G108" s="1">
        <v>46234</v>
      </c>
      <c r="H108" s="11"/>
      <c r="I108" s="11" t="s">
        <v>4041</v>
      </c>
    </row>
    <row r="109" spans="1:9" hidden="1" x14ac:dyDescent="0.25">
      <c r="A109" s="1">
        <v>46235</v>
      </c>
      <c r="B109">
        <v>1037638426</v>
      </c>
      <c r="C109" t="s">
        <v>31</v>
      </c>
      <c r="D109" s="11" t="s">
        <v>28</v>
      </c>
      <c r="E109" s="11" t="s">
        <v>4046</v>
      </c>
      <c r="F109" s="1">
        <v>46230</v>
      </c>
      <c r="G109" s="1">
        <v>46262</v>
      </c>
      <c r="H109" s="11" t="s">
        <v>150</v>
      </c>
      <c r="I109" s="11" t="s">
        <v>151</v>
      </c>
    </row>
    <row r="110" spans="1:9" hidden="1" x14ac:dyDescent="0.25">
      <c r="A110" s="1">
        <v>46237</v>
      </c>
      <c r="B110">
        <v>1037638426</v>
      </c>
      <c r="C110" t="s">
        <v>31</v>
      </c>
      <c r="D110" s="11" t="s">
        <v>28</v>
      </c>
      <c r="E110" s="11" t="s">
        <v>4046</v>
      </c>
      <c r="F110" s="1">
        <v>46230</v>
      </c>
      <c r="G110" s="1">
        <v>46262</v>
      </c>
      <c r="H110" s="11" t="s">
        <v>148</v>
      </c>
      <c r="I110" s="11" t="s">
        <v>149</v>
      </c>
    </row>
    <row r="111" spans="1:9" hidden="1" x14ac:dyDescent="0.25">
      <c r="A111" s="1">
        <v>46239</v>
      </c>
      <c r="B111">
        <v>1037638426</v>
      </c>
      <c r="C111" t="s">
        <v>61</v>
      </c>
      <c r="D111" s="11" t="s">
        <v>28</v>
      </c>
      <c r="E111" s="11" t="s">
        <v>4046</v>
      </c>
      <c r="F111" s="1">
        <v>46230</v>
      </c>
      <c r="G111" s="1">
        <v>46262</v>
      </c>
      <c r="H111" s="11" t="s">
        <v>148</v>
      </c>
      <c r="I111" s="11" t="s">
        <v>149</v>
      </c>
    </row>
    <row r="112" spans="1:9" hidden="1" x14ac:dyDescent="0.25">
      <c r="A112" s="1">
        <v>46240</v>
      </c>
      <c r="B112">
        <v>1037638426</v>
      </c>
      <c r="C112" t="s">
        <v>61</v>
      </c>
      <c r="D112" s="11" t="s">
        <v>28</v>
      </c>
      <c r="E112" s="11" t="s">
        <v>4046</v>
      </c>
      <c r="F112" s="1">
        <v>46230</v>
      </c>
      <c r="G112" s="1">
        <v>46262</v>
      </c>
      <c r="H112" s="11" t="s">
        <v>236</v>
      </c>
      <c r="I112" s="11" t="s">
        <v>237</v>
      </c>
    </row>
    <row r="113" spans="1:9" hidden="1" x14ac:dyDescent="0.25">
      <c r="A113" s="1">
        <v>46244</v>
      </c>
      <c r="B113">
        <v>1037638426</v>
      </c>
      <c r="C113" t="s">
        <v>61</v>
      </c>
      <c r="D113" s="11" t="s">
        <v>28</v>
      </c>
      <c r="E113" s="11" t="s">
        <v>4046</v>
      </c>
      <c r="F113" s="1">
        <v>46230</v>
      </c>
      <c r="G113" s="1">
        <v>46262</v>
      </c>
      <c r="H113" s="11" t="s">
        <v>300</v>
      </c>
      <c r="I113" s="11" t="s">
        <v>301</v>
      </c>
    </row>
    <row r="114" spans="1:9" hidden="1" x14ac:dyDescent="0.25">
      <c r="A114" s="1">
        <v>46245</v>
      </c>
      <c r="B114">
        <v>1037638426</v>
      </c>
      <c r="C114" t="s">
        <v>31</v>
      </c>
      <c r="D114" s="11" t="s">
        <v>28</v>
      </c>
      <c r="E114" s="11" t="s">
        <v>4046</v>
      </c>
      <c r="F114" s="1">
        <v>46230</v>
      </c>
      <c r="G114" s="1">
        <v>46262</v>
      </c>
      <c r="H114" s="11" t="s">
        <v>17</v>
      </c>
      <c r="I114" s="11" t="s">
        <v>18</v>
      </c>
    </row>
    <row r="115" spans="1:9" hidden="1" x14ac:dyDescent="0.25">
      <c r="A115" s="1">
        <v>46235</v>
      </c>
      <c r="B115">
        <v>1035876080</v>
      </c>
      <c r="C115" t="s">
        <v>123</v>
      </c>
      <c r="D115" s="11" t="s">
        <v>124</v>
      </c>
      <c r="E115" s="11" t="s">
        <v>4045</v>
      </c>
      <c r="F115" s="1">
        <v>46224</v>
      </c>
      <c r="G115" s="1">
        <v>46238</v>
      </c>
      <c r="H115" s="11"/>
      <c r="I115" s="11" t="s">
        <v>327</v>
      </c>
    </row>
    <row r="116" spans="1:9" hidden="1" x14ac:dyDescent="0.25">
      <c r="A116" s="1">
        <v>46237</v>
      </c>
      <c r="B116">
        <v>1035876080</v>
      </c>
      <c r="C116" t="s">
        <v>123</v>
      </c>
      <c r="D116" s="11" t="s">
        <v>124</v>
      </c>
      <c r="E116" s="11" t="s">
        <v>4045</v>
      </c>
      <c r="F116" s="1">
        <v>46224</v>
      </c>
      <c r="G116" s="1">
        <v>46238</v>
      </c>
      <c r="H116" s="11" t="s">
        <v>276</v>
      </c>
      <c r="I116" s="11" t="s">
        <v>277</v>
      </c>
    </row>
    <row r="117" spans="1:9" hidden="1" x14ac:dyDescent="0.25">
      <c r="A117" s="1">
        <v>46239</v>
      </c>
      <c r="B117">
        <v>1035876080</v>
      </c>
      <c r="C117" t="s">
        <v>123</v>
      </c>
      <c r="D117" s="11" t="s">
        <v>124</v>
      </c>
      <c r="E117" s="11" t="s">
        <v>4045</v>
      </c>
      <c r="F117" s="1">
        <v>46224</v>
      </c>
      <c r="G117" s="1">
        <v>46238</v>
      </c>
      <c r="H117" s="11"/>
      <c r="I117" s="11" t="s">
        <v>4041</v>
      </c>
    </row>
    <row r="118" spans="1:9" hidden="1" x14ac:dyDescent="0.25">
      <c r="A118" s="1">
        <v>46235</v>
      </c>
      <c r="B118">
        <v>1121506548</v>
      </c>
      <c r="C118" t="s">
        <v>38</v>
      </c>
      <c r="D118" s="11" t="s">
        <v>39</v>
      </c>
      <c r="E118" s="11" t="s">
        <v>4046</v>
      </c>
      <c r="F118" s="1">
        <v>46217</v>
      </c>
      <c r="G118" s="1">
        <v>46342</v>
      </c>
      <c r="H118" s="11" t="s">
        <v>148</v>
      </c>
      <c r="I118" s="11" t="s">
        <v>149</v>
      </c>
    </row>
    <row r="119" spans="1:9" hidden="1" x14ac:dyDescent="0.25">
      <c r="A119" s="1">
        <v>46237</v>
      </c>
      <c r="B119">
        <v>1121506548</v>
      </c>
      <c r="C119" t="s">
        <v>38</v>
      </c>
      <c r="D119" s="11" t="s">
        <v>39</v>
      </c>
      <c r="E119" s="11" t="s">
        <v>4046</v>
      </c>
      <c r="F119" s="1">
        <v>46217</v>
      </c>
      <c r="G119" s="1">
        <v>46342</v>
      </c>
      <c r="H119" s="11" t="s">
        <v>177</v>
      </c>
      <c r="I119" s="11" t="s">
        <v>178</v>
      </c>
    </row>
    <row r="120" spans="1:9" hidden="1" x14ac:dyDescent="0.25">
      <c r="A120" s="1">
        <v>46239</v>
      </c>
      <c r="B120">
        <v>1121506548</v>
      </c>
      <c r="C120" t="s">
        <v>38</v>
      </c>
      <c r="D120" s="11" t="s">
        <v>39</v>
      </c>
      <c r="E120" s="11" t="s">
        <v>4046</v>
      </c>
      <c r="F120" s="1">
        <v>46217</v>
      </c>
      <c r="G120" s="1">
        <v>46342</v>
      </c>
      <c r="H120" s="11" t="s">
        <v>309</v>
      </c>
      <c r="I120" s="11" t="s">
        <v>310</v>
      </c>
    </row>
    <row r="121" spans="1:9" hidden="1" x14ac:dyDescent="0.25">
      <c r="A121" s="1">
        <v>46240</v>
      </c>
      <c r="B121">
        <v>1121506548</v>
      </c>
      <c r="C121" t="s">
        <v>38</v>
      </c>
      <c r="D121" s="11" t="s">
        <v>39</v>
      </c>
      <c r="E121" s="11" t="s">
        <v>4046</v>
      </c>
      <c r="F121" s="1">
        <v>46217</v>
      </c>
      <c r="G121" s="1">
        <v>46342</v>
      </c>
      <c r="H121" s="11" t="s">
        <v>300</v>
      </c>
      <c r="I121" s="11" t="s">
        <v>301</v>
      </c>
    </row>
    <row r="122" spans="1:9" hidden="1" x14ac:dyDescent="0.25">
      <c r="A122" s="1">
        <v>46244</v>
      </c>
      <c r="B122">
        <v>1121506548</v>
      </c>
      <c r="C122" t="s">
        <v>38</v>
      </c>
      <c r="D122" s="11" t="s">
        <v>39</v>
      </c>
      <c r="E122" s="11" t="s">
        <v>4046</v>
      </c>
      <c r="F122" s="1">
        <v>46217</v>
      </c>
      <c r="G122" s="1">
        <v>46342</v>
      </c>
      <c r="H122" s="11" t="s">
        <v>17</v>
      </c>
      <c r="I122" s="11" t="s">
        <v>18</v>
      </c>
    </row>
    <row r="123" spans="1:9" hidden="1" x14ac:dyDescent="0.25">
      <c r="A123" s="1">
        <v>46245</v>
      </c>
      <c r="B123">
        <v>1121506548</v>
      </c>
      <c r="C123" t="s">
        <v>38</v>
      </c>
      <c r="D123" s="11" t="s">
        <v>39</v>
      </c>
      <c r="E123" s="11" t="s">
        <v>4046</v>
      </c>
      <c r="F123" s="1">
        <v>46217</v>
      </c>
      <c r="G123" s="1">
        <v>46342</v>
      </c>
      <c r="H123" s="11"/>
      <c r="I123" s="11" t="s">
        <v>327</v>
      </c>
    </row>
    <row r="124" spans="1:9" hidden="1" x14ac:dyDescent="0.25">
      <c r="A124" s="1">
        <v>46237</v>
      </c>
      <c r="B124" t="s">
        <v>225</v>
      </c>
      <c r="C124" t="s">
        <v>226</v>
      </c>
      <c r="D124" s="11" t="s">
        <v>39</v>
      </c>
      <c r="E124" s="11" t="s">
        <v>4046</v>
      </c>
      <c r="F124" s="1">
        <v>46227</v>
      </c>
      <c r="G124" s="1">
        <v>46237</v>
      </c>
      <c r="H124" s="11" t="s">
        <v>222</v>
      </c>
      <c r="I124" s="11" t="s">
        <v>223</v>
      </c>
    </row>
    <row r="125" spans="1:9" hidden="1" x14ac:dyDescent="0.25">
      <c r="A125" s="1">
        <v>46238</v>
      </c>
      <c r="B125" t="s">
        <v>225</v>
      </c>
      <c r="C125" t="s">
        <v>226</v>
      </c>
      <c r="D125" s="11" t="s">
        <v>39</v>
      </c>
      <c r="E125" s="11" t="s">
        <v>4046</v>
      </c>
      <c r="F125" s="1">
        <v>46227</v>
      </c>
      <c r="G125" s="1">
        <v>46237</v>
      </c>
      <c r="H125" s="11"/>
      <c r="I125" s="11" t="s">
        <v>4041</v>
      </c>
    </row>
    <row r="126" spans="1:9" hidden="1" x14ac:dyDescent="0.25">
      <c r="A126" s="1">
        <v>46235</v>
      </c>
      <c r="B126">
        <v>22519737</v>
      </c>
      <c r="C126" t="s">
        <v>4067</v>
      </c>
      <c r="D126" s="11" t="s">
        <v>59</v>
      </c>
      <c r="E126" s="11" t="s">
        <v>4047</v>
      </c>
      <c r="F126" s="1">
        <v>46231</v>
      </c>
      <c r="G126" s="1">
        <v>46234</v>
      </c>
      <c r="H126" s="11"/>
      <c r="I126" s="11" t="s">
        <v>4041</v>
      </c>
    </row>
    <row r="127" spans="1:9" hidden="1" x14ac:dyDescent="0.25">
      <c r="A127" s="1">
        <v>46235</v>
      </c>
      <c r="B127">
        <v>1037653415</v>
      </c>
      <c r="C127" t="s">
        <v>2337</v>
      </c>
      <c r="D127" s="11" t="s">
        <v>102</v>
      </c>
      <c r="E127" s="11" t="s">
        <v>4046</v>
      </c>
      <c r="F127" s="1">
        <v>46234</v>
      </c>
      <c r="G127" s="1">
        <v>46234</v>
      </c>
      <c r="H127" s="11"/>
      <c r="I127" s="11" t="s">
        <v>4041</v>
      </c>
    </row>
    <row r="128" spans="1:9" hidden="1" x14ac:dyDescent="0.25">
      <c r="A128" s="1">
        <v>46237</v>
      </c>
      <c r="B128">
        <v>1143460426</v>
      </c>
      <c r="C128" t="s">
        <v>4069</v>
      </c>
      <c r="D128" s="11" t="s">
        <v>64</v>
      </c>
      <c r="E128" s="11" t="s">
        <v>4046</v>
      </c>
      <c r="F128" s="1">
        <v>46195</v>
      </c>
      <c r="G128" s="1">
        <v>46198</v>
      </c>
      <c r="H128" s="11" t="s">
        <v>264</v>
      </c>
      <c r="I128" s="11" t="s">
        <v>265</v>
      </c>
    </row>
    <row r="129" spans="1:9" hidden="1" x14ac:dyDescent="0.25">
      <c r="A129" s="1">
        <v>46239</v>
      </c>
      <c r="B129">
        <v>1143460426</v>
      </c>
      <c r="C129" t="s">
        <v>4069</v>
      </c>
      <c r="D129" s="11" t="s">
        <v>64</v>
      </c>
      <c r="E129" s="11" t="s">
        <v>4046</v>
      </c>
      <c r="F129" s="1">
        <v>46195</v>
      </c>
      <c r="G129" s="1">
        <v>46198</v>
      </c>
      <c r="H129" s="11" t="s">
        <v>236</v>
      </c>
      <c r="I129" s="11" t="s">
        <v>237</v>
      </c>
    </row>
    <row r="130" spans="1:9" hidden="1" x14ac:dyDescent="0.25">
      <c r="A130" s="1">
        <v>46240</v>
      </c>
      <c r="B130">
        <v>1143460426</v>
      </c>
      <c r="C130" t="s">
        <v>4069</v>
      </c>
      <c r="D130" s="11" t="s">
        <v>64</v>
      </c>
      <c r="E130" s="11" t="s">
        <v>4046</v>
      </c>
      <c r="F130" s="1">
        <v>46195</v>
      </c>
      <c r="G130" s="1">
        <v>46198</v>
      </c>
      <c r="H130" s="11" t="s">
        <v>282</v>
      </c>
      <c r="I130" s="11" t="s">
        <v>283</v>
      </c>
    </row>
    <row r="131" spans="1:9" hidden="1" x14ac:dyDescent="0.25">
      <c r="A131" s="1">
        <v>46242</v>
      </c>
      <c r="B131">
        <v>1143460426</v>
      </c>
      <c r="C131" t="s">
        <v>4069</v>
      </c>
      <c r="D131" s="11" t="s">
        <v>64</v>
      </c>
      <c r="E131" s="11" t="s">
        <v>4046</v>
      </c>
      <c r="F131" s="1">
        <v>46195</v>
      </c>
      <c r="G131" s="1">
        <v>46198</v>
      </c>
      <c r="H131" s="11" t="s">
        <v>273</v>
      </c>
      <c r="I131" s="11" t="s">
        <v>274</v>
      </c>
    </row>
    <row r="132" spans="1:9" hidden="1" x14ac:dyDescent="0.25">
      <c r="A132" s="1">
        <v>46244</v>
      </c>
      <c r="B132">
        <v>1143460426</v>
      </c>
      <c r="C132" t="s">
        <v>4069</v>
      </c>
      <c r="D132" s="11" t="s">
        <v>64</v>
      </c>
      <c r="E132" s="11" t="s">
        <v>4046</v>
      </c>
      <c r="F132" s="1">
        <v>46195</v>
      </c>
      <c r="G132" s="1">
        <v>46198</v>
      </c>
      <c r="H132" s="11"/>
      <c r="I132" s="11" t="s">
        <v>327</v>
      </c>
    </row>
    <row r="133" spans="1:9" hidden="1" x14ac:dyDescent="0.25">
      <c r="A133" s="1">
        <v>46245</v>
      </c>
      <c r="B133">
        <v>1143460426</v>
      </c>
      <c r="C133" t="s">
        <v>4069</v>
      </c>
      <c r="D133" s="11" t="s">
        <v>64</v>
      </c>
      <c r="E133" s="11" t="s">
        <v>4046</v>
      </c>
      <c r="F133" s="1">
        <v>46195</v>
      </c>
      <c r="G133" s="1">
        <v>46198</v>
      </c>
      <c r="H133" s="11" t="s">
        <v>199</v>
      </c>
      <c r="I133" s="11" t="s">
        <v>200</v>
      </c>
    </row>
    <row r="134" spans="1:9" hidden="1" x14ac:dyDescent="0.25">
      <c r="A134" s="1">
        <v>46235</v>
      </c>
      <c r="B134" t="s">
        <v>4070</v>
      </c>
      <c r="C134" t="s">
        <v>4071</v>
      </c>
      <c r="D134" s="11" t="s">
        <v>256</v>
      </c>
      <c r="E134" s="11" t="s">
        <v>4040</v>
      </c>
      <c r="F134" s="1">
        <v>46233</v>
      </c>
      <c r="G134" s="1">
        <v>46235</v>
      </c>
      <c r="H134" s="11"/>
      <c r="I134" s="11" t="s">
        <v>327</v>
      </c>
    </row>
    <row r="135" spans="1:9" hidden="1" x14ac:dyDescent="0.25">
      <c r="A135" s="1">
        <v>46237</v>
      </c>
      <c r="B135" t="s">
        <v>4070</v>
      </c>
      <c r="C135" t="s">
        <v>4071</v>
      </c>
      <c r="D135" s="11" t="s">
        <v>256</v>
      </c>
      <c r="E135" s="11" t="s">
        <v>4040</v>
      </c>
      <c r="F135" s="1">
        <v>46233</v>
      </c>
      <c r="G135" s="1">
        <v>46235</v>
      </c>
      <c r="H135" s="11"/>
      <c r="I135" s="11" t="s">
        <v>4041</v>
      </c>
    </row>
    <row r="136" spans="1:9" hidden="1" x14ac:dyDescent="0.25">
      <c r="A136" s="1">
        <v>46235</v>
      </c>
      <c r="B136">
        <v>1083048455</v>
      </c>
      <c r="C136" t="s">
        <v>2787</v>
      </c>
      <c r="D136" s="11" t="s">
        <v>256</v>
      </c>
      <c r="E136" s="11" t="s">
        <v>4040</v>
      </c>
      <c r="F136" s="1">
        <v>46234</v>
      </c>
      <c r="G136" s="1">
        <v>46234</v>
      </c>
      <c r="H136" s="11"/>
      <c r="I136" s="11" t="s">
        <v>4041</v>
      </c>
    </row>
    <row r="137" spans="1:9" hidden="1" x14ac:dyDescent="0.25">
      <c r="A137" s="1">
        <v>46235</v>
      </c>
      <c r="B137">
        <v>1152221372</v>
      </c>
      <c r="C137" t="s">
        <v>2363</v>
      </c>
      <c r="D137" s="11" t="s">
        <v>139</v>
      </c>
      <c r="E137" s="11" t="s">
        <v>4040</v>
      </c>
      <c r="F137" s="1">
        <v>46230</v>
      </c>
      <c r="G137" s="1">
        <v>46230</v>
      </c>
      <c r="H137" s="11"/>
      <c r="I137" s="11" t="s">
        <v>327</v>
      </c>
    </row>
    <row r="138" spans="1:9" hidden="1" x14ac:dyDescent="0.25">
      <c r="A138" s="1">
        <v>46237</v>
      </c>
      <c r="B138">
        <v>1152221372</v>
      </c>
      <c r="C138" t="s">
        <v>2363</v>
      </c>
      <c r="D138" s="11" t="s">
        <v>139</v>
      </c>
      <c r="E138" s="11" t="s">
        <v>4040</v>
      </c>
      <c r="F138" s="1">
        <v>46230</v>
      </c>
      <c r="G138" s="1">
        <v>46230</v>
      </c>
      <c r="H138" s="11" t="s">
        <v>257</v>
      </c>
      <c r="I138" s="11" t="s">
        <v>258</v>
      </c>
    </row>
    <row r="139" spans="1:9" hidden="1" x14ac:dyDescent="0.25">
      <c r="A139" s="1">
        <v>46239</v>
      </c>
      <c r="B139">
        <v>1152221372</v>
      </c>
      <c r="C139" t="s">
        <v>4072</v>
      </c>
      <c r="D139" s="11" t="s">
        <v>139</v>
      </c>
      <c r="E139" s="11" t="s">
        <v>4040</v>
      </c>
      <c r="F139" s="1">
        <v>46230</v>
      </c>
      <c r="G139" s="1">
        <v>46230</v>
      </c>
      <c r="H139" s="11" t="s">
        <v>314</v>
      </c>
      <c r="I139" s="11" t="s">
        <v>315</v>
      </c>
    </row>
    <row r="140" spans="1:9" hidden="1" x14ac:dyDescent="0.25">
      <c r="A140" s="1">
        <v>46240</v>
      </c>
      <c r="B140">
        <v>1152221372</v>
      </c>
      <c r="C140" t="s">
        <v>4072</v>
      </c>
      <c r="D140" s="11" t="s">
        <v>139</v>
      </c>
      <c r="E140" s="11" t="s">
        <v>4040</v>
      </c>
      <c r="F140" s="1">
        <v>46230</v>
      </c>
      <c r="G140" s="1">
        <v>46230</v>
      </c>
      <c r="H140" s="11" t="s">
        <v>1491</v>
      </c>
      <c r="I140" s="11" t="s">
        <v>1492</v>
      </c>
    </row>
    <row r="141" spans="1:9" hidden="1" x14ac:dyDescent="0.25">
      <c r="A141" s="1">
        <v>46244</v>
      </c>
      <c r="B141">
        <v>1152221372</v>
      </c>
      <c r="C141" t="s">
        <v>4072</v>
      </c>
      <c r="D141" s="11" t="s">
        <v>139</v>
      </c>
      <c r="E141" s="11" t="s">
        <v>4040</v>
      </c>
      <c r="F141" s="1">
        <v>46230</v>
      </c>
      <c r="G141" s="1">
        <v>46230</v>
      </c>
      <c r="H141" s="11" t="s">
        <v>119</v>
      </c>
      <c r="I141" s="11" t="s">
        <v>120</v>
      </c>
    </row>
    <row r="142" spans="1:9" hidden="1" x14ac:dyDescent="0.25">
      <c r="A142" s="1">
        <v>46245</v>
      </c>
      <c r="B142">
        <v>1152221372</v>
      </c>
      <c r="C142" t="s">
        <v>2363</v>
      </c>
      <c r="D142" s="11" t="s">
        <v>139</v>
      </c>
      <c r="E142" s="11" t="s">
        <v>4040</v>
      </c>
      <c r="F142" s="1">
        <v>46230</v>
      </c>
      <c r="G142" s="1">
        <v>46230</v>
      </c>
      <c r="H142" s="11" t="s">
        <v>85</v>
      </c>
      <c r="I142" s="11" t="s">
        <v>86</v>
      </c>
    </row>
    <row r="143" spans="1:9" hidden="1" x14ac:dyDescent="0.25">
      <c r="A143" s="1">
        <v>46235</v>
      </c>
      <c r="B143">
        <v>1098777544</v>
      </c>
      <c r="C143" t="s">
        <v>131</v>
      </c>
      <c r="D143" s="11" t="s">
        <v>132</v>
      </c>
      <c r="E143" s="11" t="s">
        <v>4040</v>
      </c>
      <c r="F143" s="1">
        <v>46217</v>
      </c>
      <c r="G143" s="1">
        <v>46246</v>
      </c>
      <c r="H143" s="11"/>
      <c r="I143" s="11" t="s">
        <v>327</v>
      </c>
    </row>
    <row r="144" spans="1:9" hidden="1" x14ac:dyDescent="0.25">
      <c r="A144" s="1">
        <v>46237</v>
      </c>
      <c r="B144">
        <v>1098777544</v>
      </c>
      <c r="C144" t="s">
        <v>131</v>
      </c>
      <c r="D144" s="11" t="s">
        <v>132</v>
      </c>
      <c r="E144" s="11" t="s">
        <v>4040</v>
      </c>
      <c r="F144" s="1">
        <v>46217</v>
      </c>
      <c r="G144" s="1">
        <v>46246</v>
      </c>
      <c r="H144" s="11" t="s">
        <v>282</v>
      </c>
      <c r="I144" s="11" t="s">
        <v>283</v>
      </c>
    </row>
    <row r="145" spans="1:9" hidden="1" x14ac:dyDescent="0.25">
      <c r="A145" s="1">
        <v>46238</v>
      </c>
      <c r="B145">
        <v>1098777544</v>
      </c>
      <c r="C145" t="s">
        <v>131</v>
      </c>
      <c r="D145" s="11" t="s">
        <v>132</v>
      </c>
      <c r="E145" s="11" t="s">
        <v>4040</v>
      </c>
      <c r="F145" s="1">
        <v>46217</v>
      </c>
      <c r="G145" s="1">
        <v>46246</v>
      </c>
      <c r="H145" s="11" t="s">
        <v>193</v>
      </c>
      <c r="I145" s="11" t="s">
        <v>194</v>
      </c>
    </row>
    <row r="146" spans="1:9" hidden="1" x14ac:dyDescent="0.25">
      <c r="A146" s="1">
        <v>46239</v>
      </c>
      <c r="B146">
        <v>1098777544</v>
      </c>
      <c r="C146" t="s">
        <v>131</v>
      </c>
      <c r="D146" s="11" t="s">
        <v>132</v>
      </c>
      <c r="E146" s="11" t="s">
        <v>4040</v>
      </c>
      <c r="F146" s="1">
        <v>46217</v>
      </c>
      <c r="G146" s="1">
        <v>46246</v>
      </c>
      <c r="H146" s="11" t="s">
        <v>119</v>
      </c>
      <c r="I146" s="11" t="s">
        <v>120</v>
      </c>
    </row>
    <row r="147" spans="1:9" hidden="1" x14ac:dyDescent="0.25">
      <c r="A147" s="1">
        <v>46240</v>
      </c>
      <c r="B147">
        <v>1098777544</v>
      </c>
      <c r="C147" t="s">
        <v>131</v>
      </c>
      <c r="D147" s="11" t="s">
        <v>132</v>
      </c>
      <c r="E147" s="11" t="s">
        <v>4040</v>
      </c>
      <c r="F147" s="1">
        <v>46217</v>
      </c>
      <c r="G147" s="1">
        <v>46246</v>
      </c>
      <c r="H147" s="11" t="s">
        <v>264</v>
      </c>
      <c r="I147" s="11" t="s">
        <v>265</v>
      </c>
    </row>
    <row r="148" spans="1:9" hidden="1" x14ac:dyDescent="0.25">
      <c r="A148" s="1">
        <v>46244</v>
      </c>
      <c r="B148">
        <v>1098777544</v>
      </c>
      <c r="C148" t="s">
        <v>131</v>
      </c>
      <c r="D148" s="11" t="s">
        <v>132</v>
      </c>
      <c r="E148" s="11" t="s">
        <v>4040</v>
      </c>
      <c r="F148" s="1">
        <v>46217</v>
      </c>
      <c r="G148" s="1">
        <v>46246</v>
      </c>
      <c r="H148" s="11" t="s">
        <v>150</v>
      </c>
      <c r="I148" s="11" t="s">
        <v>151</v>
      </c>
    </row>
    <row r="149" spans="1:9" hidden="1" x14ac:dyDescent="0.25">
      <c r="A149" s="1">
        <v>46245</v>
      </c>
      <c r="B149">
        <v>1098777544</v>
      </c>
      <c r="C149" t="s">
        <v>131</v>
      </c>
      <c r="D149" s="11" t="s">
        <v>132</v>
      </c>
      <c r="E149" s="11" t="s">
        <v>4040</v>
      </c>
      <c r="F149" s="1">
        <v>46217</v>
      </c>
      <c r="G149" s="1">
        <v>46246</v>
      </c>
      <c r="H149" s="11"/>
      <c r="I149" s="11" t="s">
        <v>327</v>
      </c>
    </row>
    <row r="150" spans="1:9" hidden="1" x14ac:dyDescent="0.25">
      <c r="A150" s="1">
        <v>46235</v>
      </c>
      <c r="B150">
        <v>1000445985</v>
      </c>
      <c r="C150" t="s">
        <v>4009</v>
      </c>
      <c r="D150" s="11" t="s">
        <v>55</v>
      </c>
      <c r="E150" s="11" t="s">
        <v>4047</v>
      </c>
      <c r="F150" s="1">
        <v>46233</v>
      </c>
      <c r="G150" s="1">
        <v>46234</v>
      </c>
      <c r="H150" s="11"/>
      <c r="I150" s="11" t="s">
        <v>4041</v>
      </c>
    </row>
    <row r="151" spans="1:9" hidden="1" x14ac:dyDescent="0.25">
      <c r="A151" s="1">
        <v>46235</v>
      </c>
      <c r="B151">
        <v>32852919</v>
      </c>
      <c r="C151" t="s">
        <v>795</v>
      </c>
      <c r="D151" s="11" t="s">
        <v>128</v>
      </c>
      <c r="E151" s="11" t="s">
        <v>4045</v>
      </c>
      <c r="F151" s="1">
        <v>46234</v>
      </c>
      <c r="G151" s="1">
        <v>46234</v>
      </c>
      <c r="H151" s="11"/>
      <c r="I151" s="11" t="s">
        <v>4041</v>
      </c>
    </row>
    <row r="152" spans="1:9" hidden="1" x14ac:dyDescent="0.25">
      <c r="A152" s="1">
        <v>46235</v>
      </c>
      <c r="B152">
        <v>1047476960</v>
      </c>
      <c r="C152" t="s">
        <v>3219</v>
      </c>
      <c r="D152" s="11" t="s">
        <v>492</v>
      </c>
      <c r="E152" s="11" t="s">
        <v>4045</v>
      </c>
      <c r="F152" s="1">
        <v>46234</v>
      </c>
      <c r="G152" s="1">
        <v>46237</v>
      </c>
      <c r="H152" s="11"/>
      <c r="I152" s="11" t="s">
        <v>4060</v>
      </c>
    </row>
    <row r="153" spans="1:9" hidden="1" x14ac:dyDescent="0.25">
      <c r="A153" s="1">
        <v>46237</v>
      </c>
      <c r="B153">
        <v>1047476960</v>
      </c>
      <c r="C153" t="s">
        <v>3219</v>
      </c>
      <c r="D153" s="11" t="s">
        <v>492</v>
      </c>
      <c r="E153" s="11" t="s">
        <v>4045</v>
      </c>
      <c r="F153" s="1">
        <v>46234</v>
      </c>
      <c r="G153" s="1">
        <v>46237</v>
      </c>
      <c r="H153" s="11"/>
      <c r="I153" s="11" t="s">
        <v>4305</v>
      </c>
    </row>
    <row r="154" spans="1:9" hidden="1" x14ac:dyDescent="0.25">
      <c r="A154" s="1">
        <v>46238</v>
      </c>
      <c r="B154">
        <v>1047476960</v>
      </c>
      <c r="C154" t="s">
        <v>3219</v>
      </c>
      <c r="D154" s="11" t="s">
        <v>492</v>
      </c>
      <c r="E154" s="11" t="s">
        <v>4045</v>
      </c>
      <c r="F154" s="1">
        <v>46234</v>
      </c>
      <c r="G154" s="1">
        <v>46237</v>
      </c>
      <c r="H154" s="11"/>
      <c r="I154" s="11" t="s">
        <v>4041</v>
      </c>
    </row>
    <row r="155" spans="1:9" hidden="1" x14ac:dyDescent="0.25">
      <c r="A155" s="1">
        <v>46235</v>
      </c>
      <c r="B155">
        <v>1143470207</v>
      </c>
      <c r="C155" t="s">
        <v>4076</v>
      </c>
      <c r="D155" s="11" t="s">
        <v>44</v>
      </c>
      <c r="E155" s="11" t="s">
        <v>4045</v>
      </c>
      <c r="F155" s="1">
        <v>46230</v>
      </c>
      <c r="G155" s="1">
        <v>46234</v>
      </c>
      <c r="H155" s="11"/>
      <c r="I155" s="11" t="s">
        <v>4041</v>
      </c>
    </row>
    <row r="156" spans="1:9" hidden="1" x14ac:dyDescent="0.25">
      <c r="A156" s="1">
        <v>46235</v>
      </c>
      <c r="B156">
        <v>1001005240</v>
      </c>
      <c r="C156" t="s">
        <v>43</v>
      </c>
      <c r="D156" s="11" t="s">
        <v>44</v>
      </c>
      <c r="E156" s="11" t="s">
        <v>4045</v>
      </c>
      <c r="F156" s="1">
        <v>46234</v>
      </c>
      <c r="G156" s="1">
        <v>46240</v>
      </c>
      <c r="H156" s="11" t="s">
        <v>199</v>
      </c>
      <c r="I156" s="11" t="s">
        <v>200</v>
      </c>
    </row>
    <row r="157" spans="1:9" hidden="1" x14ac:dyDescent="0.25">
      <c r="A157" s="1">
        <v>46237</v>
      </c>
      <c r="B157">
        <v>1001005240</v>
      </c>
      <c r="C157" t="s">
        <v>43</v>
      </c>
      <c r="D157" s="11" t="s">
        <v>44</v>
      </c>
      <c r="E157" s="11" t="s">
        <v>4045</v>
      </c>
      <c r="F157" s="1">
        <v>46234</v>
      </c>
      <c r="G157" s="1">
        <v>46240</v>
      </c>
      <c r="H157" s="11" t="s">
        <v>300</v>
      </c>
      <c r="I157" s="11" t="s">
        <v>301</v>
      </c>
    </row>
    <row r="158" spans="1:9" hidden="1" x14ac:dyDescent="0.25">
      <c r="A158" s="1">
        <v>46238</v>
      </c>
      <c r="B158">
        <v>1001005240</v>
      </c>
      <c r="C158" t="s">
        <v>43</v>
      </c>
      <c r="D158" s="11" t="s">
        <v>44</v>
      </c>
      <c r="E158" s="11" t="s">
        <v>4045</v>
      </c>
      <c r="F158" s="1">
        <v>46234</v>
      </c>
      <c r="G158" s="1">
        <v>46240</v>
      </c>
      <c r="H158" s="11" t="s">
        <v>231</v>
      </c>
      <c r="I158" s="11" t="s">
        <v>232</v>
      </c>
    </row>
    <row r="159" spans="1:9" hidden="1" x14ac:dyDescent="0.25">
      <c r="A159" s="1">
        <v>46239</v>
      </c>
      <c r="B159">
        <v>1001005240</v>
      </c>
      <c r="C159" t="s">
        <v>43</v>
      </c>
      <c r="D159" s="11" t="s">
        <v>44</v>
      </c>
      <c r="E159" s="11" t="s">
        <v>4045</v>
      </c>
      <c r="F159" s="1">
        <v>46234</v>
      </c>
      <c r="G159" s="1">
        <v>46240</v>
      </c>
      <c r="H159" s="11" t="s">
        <v>45</v>
      </c>
      <c r="I159" s="11" t="s">
        <v>46</v>
      </c>
    </row>
    <row r="160" spans="1:9" hidden="1" x14ac:dyDescent="0.25">
      <c r="A160" s="1">
        <v>46240</v>
      </c>
      <c r="B160">
        <v>1001005240</v>
      </c>
      <c r="C160" t="s">
        <v>43</v>
      </c>
      <c r="D160" s="11" t="s">
        <v>44</v>
      </c>
      <c r="E160" s="11" t="s">
        <v>4045</v>
      </c>
      <c r="F160" s="1">
        <v>46234</v>
      </c>
      <c r="G160" s="1">
        <v>46240</v>
      </c>
      <c r="H160" s="11" t="s">
        <v>213</v>
      </c>
      <c r="I160" s="11" t="s">
        <v>214</v>
      </c>
    </row>
    <row r="161" spans="1:9" hidden="1" x14ac:dyDescent="0.25">
      <c r="A161" s="1">
        <v>46242</v>
      </c>
      <c r="B161">
        <v>1001005240</v>
      </c>
      <c r="C161" t="s">
        <v>43</v>
      </c>
      <c r="D161" s="11" t="s">
        <v>44</v>
      </c>
      <c r="E161" s="11" t="s">
        <v>4045</v>
      </c>
      <c r="F161" s="1">
        <v>46234</v>
      </c>
      <c r="G161" s="1">
        <v>46240</v>
      </c>
      <c r="H161" s="11"/>
      <c r="I161" s="11" t="s">
        <v>4041</v>
      </c>
    </row>
    <row r="162" spans="1:9" hidden="1" x14ac:dyDescent="0.25">
      <c r="A162" s="1">
        <v>46235</v>
      </c>
      <c r="B162">
        <v>1020488082</v>
      </c>
      <c r="C162" t="s">
        <v>3828</v>
      </c>
      <c r="D162" s="11" t="s">
        <v>256</v>
      </c>
      <c r="E162" s="11" t="s">
        <v>4040</v>
      </c>
      <c r="F162" s="1">
        <v>46234</v>
      </c>
      <c r="G162" s="1">
        <v>46235</v>
      </c>
      <c r="H162" s="11"/>
      <c r="I162" s="11" t="s">
        <v>4060</v>
      </c>
    </row>
    <row r="163" spans="1:9" hidden="1" x14ac:dyDescent="0.25">
      <c r="A163" s="1">
        <v>46237</v>
      </c>
      <c r="B163">
        <v>1020488082</v>
      </c>
      <c r="C163" t="s">
        <v>3828</v>
      </c>
      <c r="D163" s="11" t="s">
        <v>256</v>
      </c>
      <c r="E163" s="11" t="s">
        <v>4040</v>
      </c>
      <c r="F163" s="1">
        <v>46234</v>
      </c>
      <c r="G163" s="1">
        <v>46235</v>
      </c>
      <c r="H163" s="11"/>
      <c r="I163" s="11" t="s">
        <v>4041</v>
      </c>
    </row>
    <row r="164" spans="1:9" hidden="1" x14ac:dyDescent="0.25">
      <c r="A164" s="1">
        <v>46237</v>
      </c>
      <c r="B164">
        <v>1144057947</v>
      </c>
      <c r="C164" t="s">
        <v>1618</v>
      </c>
      <c r="D164" s="11" t="s">
        <v>162</v>
      </c>
      <c r="E164" s="11" t="s">
        <v>4056</v>
      </c>
      <c r="F164" s="1">
        <v>46220</v>
      </c>
      <c r="G164" s="1">
        <v>46235</v>
      </c>
      <c r="H164" s="11"/>
      <c r="I164" s="11" t="s">
        <v>4041</v>
      </c>
    </row>
    <row r="165" spans="1:9" hidden="1" x14ac:dyDescent="0.25">
      <c r="A165" s="1">
        <v>46235</v>
      </c>
      <c r="B165" t="s">
        <v>228</v>
      </c>
      <c r="C165" t="s">
        <v>229</v>
      </c>
      <c r="D165" s="11" t="s">
        <v>4078</v>
      </c>
      <c r="E165" s="11" t="s">
        <v>4046</v>
      </c>
      <c r="F165" s="1">
        <v>46235</v>
      </c>
      <c r="G165" s="1">
        <v>46235</v>
      </c>
      <c r="H165" s="11"/>
      <c r="I165" s="11" t="s">
        <v>339</v>
      </c>
    </row>
    <row r="166" spans="1:9" hidden="1" x14ac:dyDescent="0.25">
      <c r="A166" s="1">
        <v>46237</v>
      </c>
      <c r="B166" t="s">
        <v>228</v>
      </c>
      <c r="C166" t="s">
        <v>229</v>
      </c>
      <c r="D166" s="11" t="s">
        <v>4078</v>
      </c>
      <c r="E166" s="11" t="s">
        <v>4046</v>
      </c>
      <c r="F166" s="1">
        <v>46235</v>
      </c>
      <c r="G166" s="1">
        <v>46235</v>
      </c>
      <c r="H166" s="11" t="s">
        <v>228</v>
      </c>
      <c r="I166" s="11" t="s">
        <v>229</v>
      </c>
    </row>
    <row r="167" spans="1:9" hidden="1" x14ac:dyDescent="0.25">
      <c r="A167" s="1">
        <v>46235</v>
      </c>
      <c r="B167">
        <v>1192769686</v>
      </c>
      <c r="C167" t="s">
        <v>1935</v>
      </c>
      <c r="D167" s="11" t="s">
        <v>256</v>
      </c>
      <c r="E167" s="11" t="s">
        <v>4040</v>
      </c>
      <c r="F167" s="1">
        <v>46234</v>
      </c>
      <c r="G167" s="1">
        <v>46235</v>
      </c>
      <c r="H167" s="11" t="s">
        <v>303</v>
      </c>
      <c r="I167" s="11" t="s">
        <v>304</v>
      </c>
    </row>
    <row r="168" spans="1:9" hidden="1" x14ac:dyDescent="0.25">
      <c r="A168" s="1">
        <v>46237</v>
      </c>
      <c r="B168">
        <v>1192769686</v>
      </c>
      <c r="C168" t="s">
        <v>1935</v>
      </c>
      <c r="D168" s="11" t="s">
        <v>256</v>
      </c>
      <c r="E168" s="11" t="s">
        <v>4040</v>
      </c>
      <c r="F168" s="1">
        <v>46234</v>
      </c>
      <c r="G168" s="1">
        <v>46235</v>
      </c>
      <c r="H168" s="11"/>
      <c r="I168" s="11" t="s">
        <v>4041</v>
      </c>
    </row>
    <row r="169" spans="1:9" hidden="1" x14ac:dyDescent="0.25">
      <c r="A169" s="1">
        <v>46235</v>
      </c>
      <c r="B169">
        <v>1037651431</v>
      </c>
      <c r="C169" t="s">
        <v>539</v>
      </c>
      <c r="D169" s="11" t="s">
        <v>51</v>
      </c>
      <c r="E169" s="11" t="s">
        <v>4047</v>
      </c>
      <c r="F169" s="1">
        <v>46235</v>
      </c>
      <c r="G169" s="1">
        <v>46235</v>
      </c>
      <c r="H169" s="11"/>
      <c r="I169" s="11" t="s">
        <v>327</v>
      </c>
    </row>
    <row r="170" spans="1:9" hidden="1" x14ac:dyDescent="0.25">
      <c r="A170" s="1">
        <v>46237</v>
      </c>
      <c r="B170">
        <v>1037651431</v>
      </c>
      <c r="C170" t="s">
        <v>539</v>
      </c>
      <c r="D170" s="11" t="s">
        <v>51</v>
      </c>
      <c r="E170" s="11" t="s">
        <v>4047</v>
      </c>
      <c r="F170" s="1">
        <v>46235</v>
      </c>
      <c r="G170" s="1">
        <v>46235</v>
      </c>
      <c r="H170" s="11"/>
      <c r="I170" s="11" t="s">
        <v>4041</v>
      </c>
    </row>
    <row r="171" spans="1:9" hidden="1" x14ac:dyDescent="0.25">
      <c r="A171" s="1">
        <v>46235</v>
      </c>
      <c r="B171">
        <v>1142948064</v>
      </c>
      <c r="C171" t="s">
        <v>1567</v>
      </c>
      <c r="D171" s="11" t="s">
        <v>143</v>
      </c>
      <c r="E171" s="11" t="s">
        <v>4045</v>
      </c>
      <c r="F171" s="1">
        <v>46234</v>
      </c>
      <c r="G171" s="1">
        <v>46234</v>
      </c>
      <c r="H171" s="11"/>
      <c r="I171" s="11" t="s">
        <v>4041</v>
      </c>
    </row>
    <row r="172" spans="1:9" hidden="1" x14ac:dyDescent="0.25">
      <c r="A172" s="1">
        <v>46235</v>
      </c>
      <c r="B172">
        <v>1143470207</v>
      </c>
      <c r="C172" t="s">
        <v>4076</v>
      </c>
      <c r="D172" s="11" t="s">
        <v>44</v>
      </c>
      <c r="E172" s="11" t="s">
        <v>4045</v>
      </c>
      <c r="F172" s="1">
        <v>46235</v>
      </c>
      <c r="G172" s="1">
        <v>46238</v>
      </c>
      <c r="H172" s="11"/>
      <c r="I172" s="11" t="s">
        <v>327</v>
      </c>
    </row>
    <row r="173" spans="1:9" hidden="1" x14ac:dyDescent="0.25">
      <c r="A173" s="1">
        <v>46237</v>
      </c>
      <c r="B173">
        <v>1143470207</v>
      </c>
      <c r="C173" t="s">
        <v>4076</v>
      </c>
      <c r="D173" s="11" t="s">
        <v>44</v>
      </c>
      <c r="E173" s="11" t="s">
        <v>4045</v>
      </c>
      <c r="F173" s="1">
        <v>46235</v>
      </c>
      <c r="G173" s="1">
        <v>46238</v>
      </c>
      <c r="H173" s="11" t="s">
        <v>303</v>
      </c>
      <c r="I173" s="11" t="s">
        <v>304</v>
      </c>
    </row>
    <row r="174" spans="1:9" hidden="1" x14ac:dyDescent="0.25">
      <c r="A174" s="1">
        <v>46238</v>
      </c>
      <c r="B174">
        <v>1143470207</v>
      </c>
      <c r="C174" t="s">
        <v>4076</v>
      </c>
      <c r="D174" s="11" t="s">
        <v>44</v>
      </c>
      <c r="E174" s="11" t="s">
        <v>4045</v>
      </c>
      <c r="F174" s="1">
        <v>46235</v>
      </c>
      <c r="G174" s="1">
        <v>46238</v>
      </c>
      <c r="H174" s="11"/>
      <c r="I174" s="11" t="s">
        <v>327</v>
      </c>
    </row>
    <row r="175" spans="1:9" hidden="1" x14ac:dyDescent="0.25">
      <c r="A175" s="1">
        <v>46239</v>
      </c>
      <c r="B175">
        <v>1143470207</v>
      </c>
      <c r="C175" t="s">
        <v>4076</v>
      </c>
      <c r="D175" s="11" t="s">
        <v>44</v>
      </c>
      <c r="E175" s="11" t="s">
        <v>4045</v>
      </c>
      <c r="F175" s="1">
        <v>46235</v>
      </c>
      <c r="G175" s="1">
        <v>46238</v>
      </c>
      <c r="H175" s="11"/>
      <c r="I175" s="11" t="s">
        <v>4041</v>
      </c>
    </row>
    <row r="176" spans="1:9" hidden="1" x14ac:dyDescent="0.25">
      <c r="A176" s="1">
        <v>46235</v>
      </c>
      <c r="B176">
        <v>1037661959</v>
      </c>
      <c r="C176" t="s">
        <v>4080</v>
      </c>
      <c r="D176" s="11" t="s">
        <v>482</v>
      </c>
      <c r="E176" s="11" t="s">
        <v>4040</v>
      </c>
      <c r="F176" s="1">
        <v>46235</v>
      </c>
      <c r="G176" s="1">
        <v>46235</v>
      </c>
      <c r="H176" s="11"/>
      <c r="I176" s="11" t="s">
        <v>327</v>
      </c>
    </row>
    <row r="177" spans="1:9" hidden="1" x14ac:dyDescent="0.25">
      <c r="A177" s="1">
        <v>46237</v>
      </c>
      <c r="B177">
        <v>1037661959</v>
      </c>
      <c r="C177" t="s">
        <v>4080</v>
      </c>
      <c r="D177" s="11" t="s">
        <v>482</v>
      </c>
      <c r="E177" s="11" t="s">
        <v>4040</v>
      </c>
      <c r="F177" s="1">
        <v>46235</v>
      </c>
      <c r="G177" s="1">
        <v>46235</v>
      </c>
      <c r="H177" s="11"/>
      <c r="I177" s="11" t="s">
        <v>4041</v>
      </c>
    </row>
    <row r="178" spans="1:9" hidden="1" x14ac:dyDescent="0.25">
      <c r="A178" s="1">
        <v>46235</v>
      </c>
      <c r="B178">
        <v>1000416383</v>
      </c>
      <c r="C178" t="s">
        <v>1245</v>
      </c>
      <c r="D178" s="11" t="s">
        <v>102</v>
      </c>
      <c r="E178" s="11" t="s">
        <v>4046</v>
      </c>
      <c r="F178" s="1">
        <v>46234</v>
      </c>
      <c r="G178" s="1">
        <v>46235</v>
      </c>
      <c r="H178" s="11"/>
      <c r="I178" s="11" t="s">
        <v>4060</v>
      </c>
    </row>
    <row r="179" spans="1:9" hidden="1" x14ac:dyDescent="0.25">
      <c r="A179" s="1">
        <v>46237</v>
      </c>
      <c r="B179">
        <v>1000416383</v>
      </c>
      <c r="C179" t="s">
        <v>1245</v>
      </c>
      <c r="D179" s="11" t="s">
        <v>102</v>
      </c>
      <c r="E179" s="11" t="s">
        <v>4046</v>
      </c>
      <c r="F179" s="1">
        <v>46234</v>
      </c>
      <c r="G179" s="1">
        <v>46235</v>
      </c>
      <c r="H179" s="11"/>
      <c r="I179" s="11" t="s">
        <v>4041</v>
      </c>
    </row>
    <row r="180" spans="1:9" hidden="1" x14ac:dyDescent="0.25">
      <c r="A180" s="1">
        <v>46235</v>
      </c>
      <c r="B180">
        <v>1193459665</v>
      </c>
      <c r="C180" t="s">
        <v>4063</v>
      </c>
      <c r="D180" s="11" t="s">
        <v>256</v>
      </c>
      <c r="E180" s="11" t="s">
        <v>4040</v>
      </c>
      <c r="F180" s="1">
        <v>46235</v>
      </c>
      <c r="G180" s="1">
        <v>46238</v>
      </c>
      <c r="H180" s="11"/>
      <c r="I180" s="11" t="s">
        <v>327</v>
      </c>
    </row>
    <row r="181" spans="1:9" hidden="1" x14ac:dyDescent="0.25">
      <c r="A181" s="1">
        <v>46235</v>
      </c>
      <c r="B181">
        <v>1152446353</v>
      </c>
      <c r="C181" t="s">
        <v>205</v>
      </c>
      <c r="D181" s="11" t="s">
        <v>51</v>
      </c>
      <c r="E181" s="11" t="s">
        <v>4047</v>
      </c>
      <c r="F181" s="1">
        <v>46235</v>
      </c>
      <c r="G181" s="1">
        <v>46235</v>
      </c>
      <c r="H181" s="11"/>
      <c r="I181" s="11" t="s">
        <v>327</v>
      </c>
    </row>
    <row r="182" spans="1:9" hidden="1" x14ac:dyDescent="0.25">
      <c r="A182" s="1">
        <v>46235</v>
      </c>
      <c r="B182">
        <v>1067959066</v>
      </c>
      <c r="C182" t="s">
        <v>3479</v>
      </c>
      <c r="D182" s="11" t="s">
        <v>344</v>
      </c>
      <c r="E182" s="11" t="s">
        <v>4056</v>
      </c>
      <c r="F182" s="1">
        <v>46235</v>
      </c>
      <c r="G182" s="1">
        <v>46235</v>
      </c>
      <c r="H182" s="11"/>
      <c r="I182" s="11" t="s">
        <v>4082</v>
      </c>
    </row>
    <row r="183" spans="1:9" hidden="1" x14ac:dyDescent="0.25">
      <c r="A183" s="1">
        <v>46235</v>
      </c>
      <c r="B183">
        <v>1007868236</v>
      </c>
      <c r="C183" t="s">
        <v>1509</v>
      </c>
      <c r="D183" s="11" t="s">
        <v>132</v>
      </c>
      <c r="E183" s="11" t="s">
        <v>4040</v>
      </c>
      <c r="F183" s="1">
        <v>46235</v>
      </c>
      <c r="G183" s="1">
        <v>46235</v>
      </c>
      <c r="H183" s="11"/>
      <c r="I183" s="11" t="s">
        <v>327</v>
      </c>
    </row>
    <row r="184" spans="1:9" hidden="1" x14ac:dyDescent="0.25">
      <c r="A184" s="1">
        <v>46237</v>
      </c>
      <c r="B184">
        <v>1007868236</v>
      </c>
      <c r="C184" t="s">
        <v>1509</v>
      </c>
      <c r="D184" s="11" t="s">
        <v>132</v>
      </c>
      <c r="E184" s="11" t="s">
        <v>4040</v>
      </c>
      <c r="F184" s="1">
        <v>46235</v>
      </c>
      <c r="G184" s="1">
        <v>46235</v>
      </c>
      <c r="H184" s="11"/>
      <c r="I184" s="11" t="s">
        <v>4041</v>
      </c>
    </row>
    <row r="185" spans="1:9" hidden="1" x14ac:dyDescent="0.25">
      <c r="A185" s="1">
        <v>46237</v>
      </c>
      <c r="B185">
        <v>1037668071</v>
      </c>
      <c r="C185" t="s">
        <v>1761</v>
      </c>
      <c r="D185" s="11" t="s">
        <v>55</v>
      </c>
      <c r="E185" s="11" t="s">
        <v>4047</v>
      </c>
      <c r="F185" s="1">
        <v>46235</v>
      </c>
      <c r="G185" s="1">
        <v>46235</v>
      </c>
      <c r="H185" s="11"/>
      <c r="I185" s="11" t="s">
        <v>4060</v>
      </c>
    </row>
    <row r="186" spans="1:9" hidden="1" x14ac:dyDescent="0.25">
      <c r="A186" s="1">
        <v>46235</v>
      </c>
      <c r="B186">
        <v>43271257</v>
      </c>
      <c r="C186" t="s">
        <v>1302</v>
      </c>
      <c r="D186" s="11" t="s">
        <v>15</v>
      </c>
      <c r="E186" s="11" t="s">
        <v>4046</v>
      </c>
      <c r="F186" s="1">
        <v>46235</v>
      </c>
      <c r="G186" s="1">
        <v>46235</v>
      </c>
      <c r="H186" s="11"/>
      <c r="I186" s="11" t="s">
        <v>4060</v>
      </c>
    </row>
    <row r="187" spans="1:9" hidden="1" x14ac:dyDescent="0.25">
      <c r="A187" s="1">
        <v>46237</v>
      </c>
      <c r="B187">
        <v>43271257</v>
      </c>
      <c r="C187" t="s">
        <v>1302</v>
      </c>
      <c r="D187" s="11" t="s">
        <v>15</v>
      </c>
      <c r="E187" s="11" t="s">
        <v>4046</v>
      </c>
      <c r="F187" s="1">
        <v>46235</v>
      </c>
      <c r="G187" s="1">
        <v>46235</v>
      </c>
      <c r="H187" s="11"/>
      <c r="I187" s="11" t="s">
        <v>4041</v>
      </c>
    </row>
    <row r="188" spans="1:9" hidden="1" x14ac:dyDescent="0.25">
      <c r="A188" s="1">
        <v>46235</v>
      </c>
      <c r="B188">
        <v>1046668203</v>
      </c>
      <c r="C188" t="s">
        <v>2690</v>
      </c>
      <c r="D188" s="11" t="s">
        <v>128</v>
      </c>
      <c r="E188" s="11" t="s">
        <v>4045</v>
      </c>
      <c r="F188" s="1">
        <v>46235</v>
      </c>
      <c r="G188" s="1">
        <v>46235</v>
      </c>
      <c r="H188" s="11"/>
      <c r="I188" s="11" t="s">
        <v>4060</v>
      </c>
    </row>
    <row r="189" spans="1:9" hidden="1" x14ac:dyDescent="0.25">
      <c r="A189" s="1">
        <v>46237</v>
      </c>
      <c r="B189">
        <v>1046668203</v>
      </c>
      <c r="C189" t="s">
        <v>2690</v>
      </c>
      <c r="D189" s="11" t="s">
        <v>128</v>
      </c>
      <c r="E189" s="11" t="s">
        <v>4045</v>
      </c>
      <c r="F189" s="1">
        <v>46235</v>
      </c>
      <c r="G189" s="1">
        <v>46235</v>
      </c>
      <c r="H189" s="11"/>
      <c r="I189" s="11" t="s">
        <v>4041</v>
      </c>
    </row>
    <row r="190" spans="1:9" hidden="1" x14ac:dyDescent="0.25">
      <c r="A190" s="1">
        <v>46235</v>
      </c>
      <c r="B190">
        <v>42827780</v>
      </c>
      <c r="C190" t="s">
        <v>2499</v>
      </c>
      <c r="D190" s="11" t="s">
        <v>245</v>
      </c>
      <c r="E190" s="11" t="s">
        <v>4040</v>
      </c>
      <c r="F190" s="1">
        <v>46235</v>
      </c>
      <c r="G190" s="1">
        <v>46235</v>
      </c>
      <c r="H190" s="11"/>
      <c r="I190" s="11" t="s">
        <v>4060</v>
      </c>
    </row>
    <row r="191" spans="1:9" hidden="1" x14ac:dyDescent="0.25">
      <c r="A191" s="1">
        <v>46237</v>
      </c>
      <c r="B191">
        <v>42827780</v>
      </c>
      <c r="C191" t="s">
        <v>2499</v>
      </c>
      <c r="D191" s="11" t="s">
        <v>245</v>
      </c>
      <c r="E191" s="11" t="s">
        <v>4040</v>
      </c>
      <c r="F191" s="1">
        <v>46235</v>
      </c>
      <c r="G191" s="1">
        <v>46235</v>
      </c>
      <c r="H191" s="11"/>
      <c r="I191" s="11" t="s">
        <v>4041</v>
      </c>
    </row>
    <row r="192" spans="1:9" hidden="1" x14ac:dyDescent="0.25">
      <c r="A192" s="1">
        <v>46235</v>
      </c>
      <c r="B192">
        <v>1045017347</v>
      </c>
      <c r="C192" t="s">
        <v>1284</v>
      </c>
      <c r="D192" s="11" t="s">
        <v>256</v>
      </c>
      <c r="E192" s="11" t="s">
        <v>4047</v>
      </c>
      <c r="F192" s="1">
        <v>46235</v>
      </c>
      <c r="G192" s="1">
        <v>46235</v>
      </c>
      <c r="H192" s="11"/>
      <c r="I192" s="11" t="s">
        <v>4060</v>
      </c>
    </row>
    <row r="193" spans="1:9" hidden="1" x14ac:dyDescent="0.25">
      <c r="A193" s="1">
        <v>46237</v>
      </c>
      <c r="B193">
        <v>1045017347</v>
      </c>
      <c r="C193" t="s">
        <v>1284</v>
      </c>
      <c r="D193" s="11" t="s">
        <v>256</v>
      </c>
      <c r="E193" s="11" t="s">
        <v>4040</v>
      </c>
      <c r="F193" s="1">
        <v>46235</v>
      </c>
      <c r="G193" s="1">
        <v>46235</v>
      </c>
      <c r="H193" s="11"/>
      <c r="I193" s="11" t="s">
        <v>4041</v>
      </c>
    </row>
    <row r="194" spans="1:9" hidden="1" x14ac:dyDescent="0.25">
      <c r="A194" s="1">
        <v>46237</v>
      </c>
      <c r="B194">
        <v>1037642818</v>
      </c>
      <c r="C194" t="s">
        <v>3692</v>
      </c>
      <c r="D194" s="11" t="s">
        <v>28</v>
      </c>
      <c r="E194" s="11" t="s">
        <v>4046</v>
      </c>
      <c r="F194" s="1">
        <v>46235</v>
      </c>
      <c r="H194" s="11"/>
      <c r="I194" s="11" t="s">
        <v>4060</v>
      </c>
    </row>
    <row r="195" spans="1:9" hidden="1" x14ac:dyDescent="0.25">
      <c r="A195" s="1">
        <v>46238</v>
      </c>
      <c r="B195">
        <v>1037642818</v>
      </c>
      <c r="C195" t="s">
        <v>3692</v>
      </c>
      <c r="D195" s="11" t="s">
        <v>28</v>
      </c>
      <c r="E195" s="11" t="s">
        <v>4046</v>
      </c>
      <c r="F195" s="1">
        <v>46235</v>
      </c>
      <c r="H195" s="11"/>
      <c r="I195" s="11" t="s">
        <v>4084</v>
      </c>
    </row>
    <row r="196" spans="1:9" hidden="1" x14ac:dyDescent="0.25">
      <c r="A196" s="1">
        <v>46235</v>
      </c>
      <c r="B196">
        <v>1035442917</v>
      </c>
      <c r="C196" t="s">
        <v>2781</v>
      </c>
      <c r="D196" s="11" t="s">
        <v>245</v>
      </c>
      <c r="E196" s="11" t="s">
        <v>4040</v>
      </c>
      <c r="F196" s="1">
        <v>46235</v>
      </c>
      <c r="H196" s="11"/>
      <c r="I196" s="11" t="s">
        <v>4060</v>
      </c>
    </row>
    <row r="197" spans="1:9" hidden="1" x14ac:dyDescent="0.25">
      <c r="A197" s="1">
        <v>46237</v>
      </c>
      <c r="B197">
        <v>1035442917</v>
      </c>
      <c r="C197" t="s">
        <v>2781</v>
      </c>
      <c r="D197" s="11" t="s">
        <v>245</v>
      </c>
      <c r="E197" s="11" t="s">
        <v>4040</v>
      </c>
      <c r="F197" s="1">
        <v>46235</v>
      </c>
      <c r="H197" s="11"/>
      <c r="I197" s="11" t="s">
        <v>4086</v>
      </c>
    </row>
    <row r="198" spans="1:9" hidden="1" x14ac:dyDescent="0.25">
      <c r="A198" s="1">
        <v>46238</v>
      </c>
      <c r="B198">
        <v>1035442917</v>
      </c>
      <c r="C198" t="s">
        <v>2781</v>
      </c>
      <c r="D198" s="11" t="s">
        <v>245</v>
      </c>
      <c r="E198" s="11" t="s">
        <v>4040</v>
      </c>
      <c r="F198" s="1">
        <v>46235</v>
      </c>
      <c r="H198" s="11"/>
      <c r="I198" s="11" t="s">
        <v>4084</v>
      </c>
    </row>
    <row r="199" spans="1:9" hidden="1" x14ac:dyDescent="0.25">
      <c r="A199" s="1">
        <v>46235</v>
      </c>
      <c r="B199">
        <v>1000640650</v>
      </c>
      <c r="C199" t="s">
        <v>3761</v>
      </c>
      <c r="D199" s="11" t="s">
        <v>64</v>
      </c>
      <c r="E199" s="11" t="s">
        <v>4046</v>
      </c>
      <c r="F199" s="1">
        <v>46235</v>
      </c>
      <c r="G199" s="1">
        <v>46235</v>
      </c>
      <c r="H199" s="11"/>
      <c r="I199" s="11" t="s">
        <v>4060</v>
      </c>
    </row>
    <row r="200" spans="1:9" hidden="1" x14ac:dyDescent="0.25">
      <c r="A200" s="1">
        <v>46237</v>
      </c>
      <c r="B200">
        <v>1000640650</v>
      </c>
      <c r="C200" t="s">
        <v>3761</v>
      </c>
      <c r="D200" s="11" t="s">
        <v>64</v>
      </c>
      <c r="E200" s="11" t="s">
        <v>4046</v>
      </c>
      <c r="F200" s="1">
        <v>46235</v>
      </c>
      <c r="G200" s="1">
        <v>46235</v>
      </c>
      <c r="H200" s="11"/>
      <c r="I200" s="11" t="s">
        <v>4041</v>
      </c>
    </row>
    <row r="201" spans="1:9" hidden="1" x14ac:dyDescent="0.25">
      <c r="A201" s="1">
        <v>46235</v>
      </c>
      <c r="B201">
        <v>1233189573</v>
      </c>
      <c r="C201" t="s">
        <v>2854</v>
      </c>
      <c r="D201" s="11" t="s">
        <v>59</v>
      </c>
      <c r="E201" s="11" t="s">
        <v>4047</v>
      </c>
      <c r="F201" s="1">
        <v>46235</v>
      </c>
      <c r="G201" s="1">
        <v>46235</v>
      </c>
      <c r="H201" s="11"/>
      <c r="I201" s="11" t="s">
        <v>4060</v>
      </c>
    </row>
    <row r="202" spans="1:9" hidden="1" x14ac:dyDescent="0.25">
      <c r="A202" s="1">
        <v>46237</v>
      </c>
      <c r="B202">
        <v>1233189573</v>
      </c>
      <c r="C202" t="s">
        <v>2854</v>
      </c>
      <c r="D202" s="11" t="s">
        <v>59</v>
      </c>
      <c r="E202" s="11" t="s">
        <v>4047</v>
      </c>
      <c r="F202" s="1">
        <v>46235</v>
      </c>
      <c r="G202" s="1">
        <v>46235</v>
      </c>
      <c r="H202" s="11"/>
      <c r="I202" s="11" t="s">
        <v>4041</v>
      </c>
    </row>
    <row r="203" spans="1:9" hidden="1" x14ac:dyDescent="0.25">
      <c r="A203" s="1">
        <v>46235</v>
      </c>
      <c r="B203">
        <v>1088348251</v>
      </c>
      <c r="C203" t="s">
        <v>2164</v>
      </c>
      <c r="D203" s="11" t="s">
        <v>59</v>
      </c>
      <c r="E203" s="11" t="s">
        <v>4047</v>
      </c>
      <c r="F203" s="1">
        <v>46235</v>
      </c>
      <c r="G203" s="1">
        <v>46235</v>
      </c>
      <c r="H203" s="11"/>
      <c r="I203" s="11" t="s">
        <v>4060</v>
      </c>
    </row>
    <row r="204" spans="1:9" hidden="1" x14ac:dyDescent="0.25">
      <c r="A204" s="1">
        <v>46237</v>
      </c>
      <c r="B204">
        <v>1088348251</v>
      </c>
      <c r="C204" t="s">
        <v>2164</v>
      </c>
      <c r="D204" s="11" t="s">
        <v>59</v>
      </c>
      <c r="E204" s="11" t="s">
        <v>4047</v>
      </c>
      <c r="F204" s="1">
        <v>46235</v>
      </c>
      <c r="G204" s="1">
        <v>46235</v>
      </c>
      <c r="H204" s="11"/>
      <c r="I204" s="11" t="s">
        <v>4060</v>
      </c>
    </row>
    <row r="205" spans="1:9" hidden="1" x14ac:dyDescent="0.25">
      <c r="A205" s="1">
        <v>46235</v>
      </c>
      <c r="B205">
        <v>1193584838</v>
      </c>
      <c r="C205" t="s">
        <v>3000</v>
      </c>
      <c r="D205" s="11" t="s">
        <v>59</v>
      </c>
      <c r="E205" s="11" t="s">
        <v>4047</v>
      </c>
      <c r="F205" s="1">
        <v>46235</v>
      </c>
      <c r="G205" s="1">
        <v>46235</v>
      </c>
      <c r="H205" s="11"/>
      <c r="I205" s="11" t="s">
        <v>4060</v>
      </c>
    </row>
    <row r="206" spans="1:9" hidden="1" x14ac:dyDescent="0.25">
      <c r="A206" s="1">
        <v>46237</v>
      </c>
      <c r="B206">
        <v>1193584838</v>
      </c>
      <c r="C206" t="s">
        <v>3000</v>
      </c>
      <c r="D206" s="11" t="s">
        <v>492</v>
      </c>
      <c r="E206" s="11" t="s">
        <v>4045</v>
      </c>
      <c r="F206" s="1">
        <v>46235</v>
      </c>
      <c r="G206" s="1">
        <v>46235</v>
      </c>
      <c r="H206" s="11"/>
      <c r="I206" s="11" t="s">
        <v>4041</v>
      </c>
    </row>
    <row r="207" spans="1:9" hidden="1" x14ac:dyDescent="0.25">
      <c r="A207" s="1">
        <v>46235</v>
      </c>
      <c r="B207">
        <v>1017241980</v>
      </c>
      <c r="C207" t="s">
        <v>1447</v>
      </c>
      <c r="D207" s="11" t="s">
        <v>55</v>
      </c>
      <c r="E207" s="11" t="s">
        <v>4047</v>
      </c>
      <c r="F207" s="1">
        <v>46235</v>
      </c>
      <c r="G207" s="1">
        <v>46235</v>
      </c>
      <c r="H207" s="11"/>
      <c r="I207" s="11" t="s">
        <v>327</v>
      </c>
    </row>
    <row r="208" spans="1:9" hidden="1" x14ac:dyDescent="0.25">
      <c r="A208" s="1">
        <v>46237</v>
      </c>
      <c r="B208">
        <v>1017241980</v>
      </c>
      <c r="C208" t="s">
        <v>1447</v>
      </c>
      <c r="D208" s="11" t="s">
        <v>55</v>
      </c>
      <c r="E208" s="11" t="s">
        <v>4047</v>
      </c>
      <c r="F208" s="1">
        <v>46235</v>
      </c>
      <c r="G208" s="1">
        <v>46235</v>
      </c>
      <c r="H208" s="11"/>
      <c r="I208" s="11" t="s">
        <v>4041</v>
      </c>
    </row>
    <row r="209" spans="1:9" hidden="1" x14ac:dyDescent="0.25">
      <c r="A209" s="1">
        <v>46235</v>
      </c>
      <c r="B209">
        <v>1036962119</v>
      </c>
      <c r="C209" t="s">
        <v>2001</v>
      </c>
      <c r="D209" s="11" t="s">
        <v>128</v>
      </c>
      <c r="E209" s="11" t="s">
        <v>4045</v>
      </c>
      <c r="F209" s="1">
        <v>46235</v>
      </c>
      <c r="G209" s="1">
        <v>46235</v>
      </c>
      <c r="H209" s="11"/>
      <c r="I209" s="11" t="s">
        <v>4060</v>
      </c>
    </row>
    <row r="210" spans="1:9" hidden="1" x14ac:dyDescent="0.25">
      <c r="A210" s="1">
        <v>46239</v>
      </c>
      <c r="B210">
        <v>1036962119</v>
      </c>
      <c r="C210" t="s">
        <v>2001</v>
      </c>
      <c r="D210" s="11" t="s">
        <v>128</v>
      </c>
      <c r="E210" s="11" t="s">
        <v>4045</v>
      </c>
      <c r="F210" s="1">
        <v>46235</v>
      </c>
      <c r="G210" s="1">
        <v>46235</v>
      </c>
      <c r="H210" s="11"/>
      <c r="I210" s="11" t="s">
        <v>4041</v>
      </c>
    </row>
    <row r="211" spans="1:9" hidden="1" x14ac:dyDescent="0.25">
      <c r="A211" s="1">
        <v>46237</v>
      </c>
      <c r="B211">
        <v>1032491944</v>
      </c>
      <c r="C211" t="s">
        <v>687</v>
      </c>
      <c r="D211" s="11" t="s">
        <v>78</v>
      </c>
      <c r="E211" s="11" t="s">
        <v>4046</v>
      </c>
      <c r="F211" s="1">
        <v>46237</v>
      </c>
      <c r="G211" s="1">
        <v>46241</v>
      </c>
      <c r="H211" s="11"/>
      <c r="I211" s="11" t="s">
        <v>4088</v>
      </c>
    </row>
    <row r="212" spans="1:9" hidden="1" x14ac:dyDescent="0.25">
      <c r="A212" s="1">
        <v>46239</v>
      </c>
      <c r="B212">
        <v>1032491944</v>
      </c>
      <c r="C212" t="s">
        <v>77</v>
      </c>
      <c r="D212" s="11" t="s">
        <v>78</v>
      </c>
      <c r="E212" s="11" t="s">
        <v>4046</v>
      </c>
      <c r="F212" s="1">
        <v>46237</v>
      </c>
      <c r="G212" s="1">
        <v>46241</v>
      </c>
      <c r="H212" s="11" t="s">
        <v>222</v>
      </c>
      <c r="I212" s="11" t="s">
        <v>223</v>
      </c>
    </row>
    <row r="213" spans="1:9" hidden="1" x14ac:dyDescent="0.25">
      <c r="A213" s="1">
        <v>46240</v>
      </c>
      <c r="B213">
        <v>1032491944</v>
      </c>
      <c r="C213" t="s">
        <v>77</v>
      </c>
      <c r="D213" s="11" t="s">
        <v>78</v>
      </c>
      <c r="E213" s="11" t="s">
        <v>4046</v>
      </c>
      <c r="F213" s="1">
        <v>46237</v>
      </c>
      <c r="G213" s="1">
        <v>46241</v>
      </c>
      <c r="H213" s="11" t="s">
        <v>148</v>
      </c>
      <c r="I213" s="11" t="s">
        <v>149</v>
      </c>
    </row>
    <row r="214" spans="1:9" hidden="1" x14ac:dyDescent="0.25">
      <c r="A214" s="1">
        <v>46242</v>
      </c>
      <c r="B214">
        <v>1032491944</v>
      </c>
      <c r="C214" t="s">
        <v>77</v>
      </c>
      <c r="D214" s="11" t="s">
        <v>78</v>
      </c>
      <c r="E214" s="11" t="s">
        <v>4046</v>
      </c>
      <c r="F214" s="1">
        <v>46237</v>
      </c>
      <c r="G214" s="1">
        <v>46241</v>
      </c>
      <c r="H214" s="11"/>
      <c r="I214" s="11" t="s">
        <v>4041</v>
      </c>
    </row>
    <row r="215" spans="1:9" hidden="1" x14ac:dyDescent="0.25">
      <c r="A215" s="1">
        <v>46237</v>
      </c>
      <c r="B215">
        <v>1037659560</v>
      </c>
      <c r="C215" t="s">
        <v>208</v>
      </c>
      <c r="D215" s="11" t="s">
        <v>28</v>
      </c>
      <c r="E215" s="11" t="s">
        <v>4046</v>
      </c>
      <c r="F215" s="1">
        <v>46235</v>
      </c>
      <c r="G215" s="1">
        <v>46240</v>
      </c>
      <c r="H215" s="11"/>
      <c r="I215" s="11" t="s">
        <v>4089</v>
      </c>
    </row>
    <row r="216" spans="1:9" hidden="1" x14ac:dyDescent="0.25">
      <c r="A216" s="1">
        <v>46239</v>
      </c>
      <c r="B216">
        <v>1037659560</v>
      </c>
      <c r="C216" t="s">
        <v>208</v>
      </c>
      <c r="D216" s="11" t="s">
        <v>28</v>
      </c>
      <c r="E216" s="11" t="s">
        <v>4046</v>
      </c>
      <c r="F216" s="1">
        <v>46235</v>
      </c>
      <c r="G216" s="1">
        <v>46240</v>
      </c>
      <c r="H216" s="11"/>
      <c r="I216" s="11" t="s">
        <v>327</v>
      </c>
    </row>
    <row r="217" spans="1:9" hidden="1" x14ac:dyDescent="0.25">
      <c r="A217" s="1">
        <v>46240</v>
      </c>
      <c r="B217">
        <v>1037659560</v>
      </c>
      <c r="C217" t="s">
        <v>208</v>
      </c>
      <c r="D217" s="11" t="s">
        <v>28</v>
      </c>
      <c r="E217" s="11" t="s">
        <v>4046</v>
      </c>
      <c r="F217" s="1">
        <v>46235</v>
      </c>
      <c r="G217" s="1">
        <v>46240</v>
      </c>
      <c r="H217" s="11" t="s">
        <v>209</v>
      </c>
      <c r="I217" s="11" t="s">
        <v>210</v>
      </c>
    </row>
    <row r="218" spans="1:9" hidden="1" x14ac:dyDescent="0.25">
      <c r="A218" s="1">
        <v>46242</v>
      </c>
      <c r="B218">
        <v>1037659560</v>
      </c>
      <c r="C218" t="s">
        <v>208</v>
      </c>
      <c r="D218" s="11" t="s">
        <v>28</v>
      </c>
      <c r="E218" s="11" t="s">
        <v>4046</v>
      </c>
      <c r="F218" s="1">
        <v>46235</v>
      </c>
      <c r="G218" s="1">
        <v>46240</v>
      </c>
      <c r="H218" s="11"/>
      <c r="I218" s="11" t="s">
        <v>4041</v>
      </c>
    </row>
    <row r="219" spans="1:9" hidden="1" x14ac:dyDescent="0.25">
      <c r="A219" s="1">
        <v>46237</v>
      </c>
      <c r="B219">
        <v>1001851670</v>
      </c>
      <c r="C219" t="s">
        <v>50</v>
      </c>
      <c r="D219" s="11" t="s">
        <v>51</v>
      </c>
      <c r="E219" s="11" t="s">
        <v>4047</v>
      </c>
      <c r="F219" s="1">
        <v>46237</v>
      </c>
      <c r="G219" s="1">
        <v>46366</v>
      </c>
      <c r="H219" s="11"/>
      <c r="I219" s="11" t="s">
        <v>327</v>
      </c>
    </row>
    <row r="220" spans="1:9" hidden="1" x14ac:dyDescent="0.25">
      <c r="A220" s="1">
        <v>46238</v>
      </c>
      <c r="B220">
        <v>1001851670</v>
      </c>
      <c r="C220" t="s">
        <v>50</v>
      </c>
      <c r="D220" s="11" t="s">
        <v>51</v>
      </c>
      <c r="E220" s="11" t="s">
        <v>4047</v>
      </c>
      <c r="F220" s="1">
        <v>46237</v>
      </c>
      <c r="G220" s="1">
        <v>46366</v>
      </c>
      <c r="H220" s="11" t="s">
        <v>297</v>
      </c>
      <c r="I220" s="11" t="s">
        <v>298</v>
      </c>
    </row>
    <row r="221" spans="1:9" hidden="1" x14ac:dyDescent="0.25">
      <c r="A221" s="1">
        <v>46239</v>
      </c>
      <c r="B221">
        <v>1001851670</v>
      </c>
      <c r="C221" t="s">
        <v>50</v>
      </c>
      <c r="D221" s="11" t="s">
        <v>51</v>
      </c>
      <c r="E221" s="11" t="s">
        <v>4047</v>
      </c>
      <c r="F221" s="1">
        <v>46237</v>
      </c>
      <c r="G221" s="1">
        <v>46366</v>
      </c>
      <c r="H221" s="11" t="s">
        <v>231</v>
      </c>
      <c r="I221" s="11" t="s">
        <v>232</v>
      </c>
    </row>
    <row r="222" spans="1:9" hidden="1" x14ac:dyDescent="0.25">
      <c r="A222" s="1">
        <v>46240</v>
      </c>
      <c r="B222">
        <v>1001851670</v>
      </c>
      <c r="C222" t="s">
        <v>50</v>
      </c>
      <c r="D222" s="11" t="s">
        <v>51</v>
      </c>
      <c r="E222" s="11" t="s">
        <v>4047</v>
      </c>
      <c r="F222" s="1">
        <v>46237</v>
      </c>
      <c r="G222" s="1">
        <v>46366</v>
      </c>
      <c r="H222" s="11" t="s">
        <v>276</v>
      </c>
      <c r="I222" s="11" t="s">
        <v>277</v>
      </c>
    </row>
    <row r="223" spans="1:9" hidden="1" x14ac:dyDescent="0.25">
      <c r="A223" s="1">
        <v>46242</v>
      </c>
      <c r="B223">
        <v>1001851670</v>
      </c>
      <c r="C223" t="s">
        <v>50</v>
      </c>
      <c r="D223" s="11" t="s">
        <v>51</v>
      </c>
      <c r="E223" s="11" t="s">
        <v>4047</v>
      </c>
      <c r="F223" s="1">
        <v>46237</v>
      </c>
      <c r="G223" s="1">
        <v>46366</v>
      </c>
      <c r="H223" s="11" t="s">
        <v>45</v>
      </c>
      <c r="I223" s="11" t="s">
        <v>46</v>
      </c>
    </row>
    <row r="224" spans="1:9" hidden="1" x14ac:dyDescent="0.25">
      <c r="A224" s="1">
        <v>46244</v>
      </c>
      <c r="B224">
        <v>1001851670</v>
      </c>
      <c r="C224" t="s">
        <v>50</v>
      </c>
      <c r="D224" s="11" t="s">
        <v>51</v>
      </c>
      <c r="E224" s="11" t="s">
        <v>4047</v>
      </c>
      <c r="F224" s="1">
        <v>46237</v>
      </c>
      <c r="G224" s="1">
        <v>46366</v>
      </c>
      <c r="H224" s="11"/>
      <c r="I224" s="11" t="s">
        <v>327</v>
      </c>
    </row>
    <row r="225" spans="1:9" hidden="1" x14ac:dyDescent="0.25">
      <c r="A225" s="1">
        <v>46237</v>
      </c>
      <c r="B225">
        <v>1140851921</v>
      </c>
      <c r="C225" t="s">
        <v>4061</v>
      </c>
      <c r="D225" s="11" t="s">
        <v>256</v>
      </c>
      <c r="E225" s="11" t="s">
        <v>4040</v>
      </c>
      <c r="F225" s="1">
        <v>46237</v>
      </c>
      <c r="G225" s="1">
        <v>46239</v>
      </c>
      <c r="H225" s="11" t="s">
        <v>1407</v>
      </c>
      <c r="I225" s="11" t="s">
        <v>1408</v>
      </c>
    </row>
    <row r="226" spans="1:9" hidden="1" x14ac:dyDescent="0.25">
      <c r="A226" s="1">
        <v>46239</v>
      </c>
      <c r="B226">
        <v>1140851921</v>
      </c>
      <c r="C226" t="s">
        <v>4061</v>
      </c>
      <c r="D226" s="11" t="s">
        <v>256</v>
      </c>
      <c r="E226" s="11" t="s">
        <v>4040</v>
      </c>
      <c r="F226" s="1">
        <v>46237</v>
      </c>
      <c r="G226" s="1">
        <v>46239</v>
      </c>
      <c r="H226" s="11" t="s">
        <v>1407</v>
      </c>
      <c r="I226" s="11" t="s">
        <v>1408</v>
      </c>
    </row>
    <row r="227" spans="1:9" hidden="1" x14ac:dyDescent="0.25">
      <c r="A227" s="1">
        <v>46240</v>
      </c>
      <c r="B227">
        <v>1140851921</v>
      </c>
      <c r="C227" t="s">
        <v>4061</v>
      </c>
      <c r="D227" s="11" t="s">
        <v>256</v>
      </c>
      <c r="E227" s="11" t="s">
        <v>4040</v>
      </c>
      <c r="F227" s="1">
        <v>46237</v>
      </c>
      <c r="G227" s="1">
        <v>46239</v>
      </c>
      <c r="H227" s="11"/>
      <c r="I227" s="11" t="s">
        <v>4041</v>
      </c>
    </row>
    <row r="228" spans="1:9" hidden="1" x14ac:dyDescent="0.25">
      <c r="A228" s="1">
        <v>46237</v>
      </c>
      <c r="B228">
        <v>1102808787</v>
      </c>
      <c r="C228" t="s">
        <v>135</v>
      </c>
      <c r="D228" s="11" t="s">
        <v>39</v>
      </c>
      <c r="E228" s="11" t="s">
        <v>4046</v>
      </c>
      <c r="F228" s="1">
        <v>46237</v>
      </c>
      <c r="G228" s="1">
        <v>46276</v>
      </c>
      <c r="H228" s="11"/>
      <c r="I228" s="11" t="s">
        <v>4060</v>
      </c>
    </row>
    <row r="229" spans="1:9" hidden="1" x14ac:dyDescent="0.25">
      <c r="A229" s="1">
        <v>46239</v>
      </c>
      <c r="B229">
        <v>1102808787</v>
      </c>
      <c r="C229" t="s">
        <v>135</v>
      </c>
      <c r="D229" s="11" t="s">
        <v>39</v>
      </c>
      <c r="E229" s="11" t="s">
        <v>4046</v>
      </c>
      <c r="F229" s="1">
        <v>46237</v>
      </c>
      <c r="G229" s="1">
        <v>46276</v>
      </c>
      <c r="H229" s="11"/>
      <c r="I229" s="11" t="s">
        <v>327</v>
      </c>
    </row>
    <row r="230" spans="1:9" hidden="1" x14ac:dyDescent="0.25">
      <c r="A230" s="1">
        <v>46240</v>
      </c>
      <c r="B230">
        <v>1102808787</v>
      </c>
      <c r="C230" t="s">
        <v>135</v>
      </c>
      <c r="D230" s="11" t="s">
        <v>39</v>
      </c>
      <c r="E230" s="11" t="s">
        <v>4046</v>
      </c>
      <c r="F230" s="1">
        <v>46237</v>
      </c>
      <c r="G230" s="1">
        <v>46276</v>
      </c>
      <c r="H230" s="11"/>
      <c r="I230" s="11" t="s">
        <v>327</v>
      </c>
    </row>
    <row r="231" spans="1:9" hidden="1" x14ac:dyDescent="0.25">
      <c r="A231" s="1">
        <v>46244</v>
      </c>
      <c r="B231">
        <v>1102808787</v>
      </c>
      <c r="C231" t="s">
        <v>135</v>
      </c>
      <c r="D231" s="11" t="s">
        <v>39</v>
      </c>
      <c r="E231" s="11" t="s">
        <v>4046</v>
      </c>
      <c r="F231" s="1">
        <v>46237</v>
      </c>
      <c r="G231" s="1">
        <v>46276</v>
      </c>
      <c r="H231" s="11"/>
      <c r="I231" s="11" t="s">
        <v>327</v>
      </c>
    </row>
    <row r="232" spans="1:9" hidden="1" x14ac:dyDescent="0.25">
      <c r="A232" s="1">
        <v>46245</v>
      </c>
      <c r="B232">
        <v>1102808787</v>
      </c>
      <c r="C232" t="s">
        <v>135</v>
      </c>
      <c r="D232" s="11" t="s">
        <v>39</v>
      </c>
      <c r="E232" s="11" t="s">
        <v>4046</v>
      </c>
      <c r="F232" s="1">
        <v>46237</v>
      </c>
      <c r="G232" s="1">
        <v>46276</v>
      </c>
      <c r="H232" s="11"/>
      <c r="I232" s="11" t="s">
        <v>327</v>
      </c>
    </row>
    <row r="233" spans="1:9" hidden="1" x14ac:dyDescent="0.25">
      <c r="A233" s="1">
        <v>46237</v>
      </c>
      <c r="B233">
        <v>1152208665</v>
      </c>
      <c r="C233" t="s">
        <v>1157</v>
      </c>
      <c r="D233" s="11" t="s">
        <v>344</v>
      </c>
      <c r="E233" s="11" t="s">
        <v>4056</v>
      </c>
      <c r="F233" s="1">
        <v>46237</v>
      </c>
      <c r="G233" s="1">
        <v>46238</v>
      </c>
      <c r="H233" s="11"/>
      <c r="I233" s="11" t="s">
        <v>4092</v>
      </c>
    </row>
    <row r="234" spans="1:9" hidden="1" x14ac:dyDescent="0.25">
      <c r="A234" s="1">
        <v>46238</v>
      </c>
      <c r="B234">
        <v>1152208665</v>
      </c>
      <c r="C234" t="s">
        <v>1157</v>
      </c>
      <c r="D234" s="11" t="s">
        <v>344</v>
      </c>
      <c r="E234" s="11" t="s">
        <v>4056</v>
      </c>
      <c r="F234" s="1">
        <v>46237</v>
      </c>
      <c r="G234" s="1">
        <v>46238</v>
      </c>
      <c r="H234" s="11" t="s">
        <v>184</v>
      </c>
      <c r="I234" s="11" t="s">
        <v>185</v>
      </c>
    </row>
    <row r="235" spans="1:9" hidden="1" x14ac:dyDescent="0.25">
      <c r="A235" s="1">
        <v>46239</v>
      </c>
      <c r="B235">
        <v>1152208665</v>
      </c>
      <c r="C235" t="s">
        <v>1157</v>
      </c>
      <c r="D235" s="11" t="s">
        <v>344</v>
      </c>
      <c r="E235" s="11" t="s">
        <v>4056</v>
      </c>
      <c r="F235" s="1">
        <v>46237</v>
      </c>
      <c r="G235" s="1">
        <v>46238</v>
      </c>
      <c r="H235" s="11"/>
      <c r="I235" s="11" t="s">
        <v>4041</v>
      </c>
    </row>
    <row r="236" spans="1:9" hidden="1" x14ac:dyDescent="0.25">
      <c r="A236" s="1">
        <v>46237</v>
      </c>
      <c r="B236">
        <v>1004841623</v>
      </c>
      <c r="C236" t="s">
        <v>4093</v>
      </c>
      <c r="D236" s="11" t="s">
        <v>492</v>
      </c>
      <c r="E236" s="11" t="s">
        <v>4045</v>
      </c>
      <c r="F236" s="1">
        <v>46237</v>
      </c>
      <c r="G236" s="1">
        <v>46241</v>
      </c>
      <c r="H236" s="11"/>
      <c r="I236" s="11" t="s">
        <v>4060</v>
      </c>
    </row>
    <row r="237" spans="1:9" hidden="1" x14ac:dyDescent="0.25">
      <c r="A237" s="1">
        <v>46238</v>
      </c>
      <c r="B237">
        <v>1004841623</v>
      </c>
      <c r="C237" t="s">
        <v>4093</v>
      </c>
      <c r="D237" s="11" t="s">
        <v>492</v>
      </c>
      <c r="E237" s="11" t="s">
        <v>4045</v>
      </c>
      <c r="F237" s="1">
        <v>46237</v>
      </c>
      <c r="G237" s="1">
        <v>46241</v>
      </c>
      <c r="H237" s="11" t="s">
        <v>209</v>
      </c>
      <c r="I237" s="11" t="s">
        <v>210</v>
      </c>
    </row>
    <row r="238" spans="1:9" hidden="1" x14ac:dyDescent="0.25">
      <c r="A238" s="1">
        <v>46239</v>
      </c>
      <c r="B238">
        <v>1004841623</v>
      </c>
      <c r="C238" t="s">
        <v>4095</v>
      </c>
      <c r="D238" s="11" t="s">
        <v>492</v>
      </c>
      <c r="E238" s="11" t="s">
        <v>4045</v>
      </c>
      <c r="F238" s="1">
        <v>46237</v>
      </c>
      <c r="G238" s="1">
        <v>46241</v>
      </c>
      <c r="H238" s="11" t="s">
        <v>213</v>
      </c>
      <c r="I238" s="11" t="s">
        <v>214</v>
      </c>
    </row>
    <row r="239" spans="1:9" hidden="1" x14ac:dyDescent="0.25">
      <c r="A239" s="1">
        <v>46240</v>
      </c>
      <c r="B239">
        <v>1004841623</v>
      </c>
      <c r="C239" t="s">
        <v>4095</v>
      </c>
      <c r="D239" s="11" t="s">
        <v>492</v>
      </c>
      <c r="E239" s="11" t="s">
        <v>4045</v>
      </c>
      <c r="F239" s="1">
        <v>46237</v>
      </c>
      <c r="G239" s="1">
        <v>46241</v>
      </c>
      <c r="H239" s="11"/>
      <c r="I239" s="11" t="s">
        <v>4041</v>
      </c>
    </row>
    <row r="240" spans="1:9" hidden="1" x14ac:dyDescent="0.25">
      <c r="A240" s="1">
        <v>46242</v>
      </c>
      <c r="B240">
        <v>1004841623</v>
      </c>
      <c r="C240" t="s">
        <v>4095</v>
      </c>
      <c r="D240" s="11" t="s">
        <v>492</v>
      </c>
      <c r="E240" s="11" t="s">
        <v>4045</v>
      </c>
      <c r="F240" s="1">
        <v>46237</v>
      </c>
      <c r="G240" s="1">
        <v>46241</v>
      </c>
      <c r="H240" s="11"/>
      <c r="I240" s="11" t="s">
        <v>4041</v>
      </c>
    </row>
    <row r="241" spans="1:9" hidden="1" x14ac:dyDescent="0.25">
      <c r="A241" s="1">
        <v>46237</v>
      </c>
      <c r="B241">
        <v>1036962119</v>
      </c>
      <c r="C241" t="s">
        <v>2001</v>
      </c>
      <c r="D241" s="11" t="s">
        <v>128</v>
      </c>
      <c r="E241" s="11" t="s">
        <v>4045</v>
      </c>
      <c r="F241" s="1">
        <v>46237</v>
      </c>
      <c r="G241" s="1">
        <v>46235</v>
      </c>
      <c r="H241" s="11"/>
      <c r="I241" s="11" t="s">
        <v>4306</v>
      </c>
    </row>
    <row r="242" spans="1:9" hidden="1" x14ac:dyDescent="0.25">
      <c r="A242" s="1">
        <v>46238</v>
      </c>
      <c r="B242">
        <v>1036962119</v>
      </c>
      <c r="C242" t="s">
        <v>2001</v>
      </c>
      <c r="D242" s="11" t="s">
        <v>128</v>
      </c>
      <c r="E242" s="11" t="s">
        <v>4045</v>
      </c>
      <c r="F242" s="1">
        <v>46237</v>
      </c>
      <c r="G242" s="1">
        <v>46235</v>
      </c>
      <c r="H242" s="11"/>
      <c r="I242" s="11" t="s">
        <v>4060</v>
      </c>
    </row>
    <row r="243" spans="1:9" hidden="1" x14ac:dyDescent="0.25">
      <c r="A243" s="1">
        <v>46237</v>
      </c>
      <c r="B243">
        <v>1143413583</v>
      </c>
      <c r="C243" t="s">
        <v>41</v>
      </c>
      <c r="D243" s="11" t="s">
        <v>28</v>
      </c>
      <c r="E243" s="11" t="s">
        <v>4046</v>
      </c>
      <c r="F243" s="1">
        <v>46236</v>
      </c>
      <c r="G243" s="1">
        <v>46239</v>
      </c>
      <c r="H243" s="11"/>
      <c r="I243" s="11" t="s">
        <v>4060</v>
      </c>
    </row>
    <row r="244" spans="1:9" hidden="1" x14ac:dyDescent="0.25">
      <c r="A244" s="1">
        <v>46238</v>
      </c>
      <c r="B244">
        <v>1143413583</v>
      </c>
      <c r="C244" t="s">
        <v>41</v>
      </c>
      <c r="D244" s="11" t="s">
        <v>28</v>
      </c>
      <c r="E244" s="11" t="s">
        <v>4046</v>
      </c>
      <c r="F244" s="1">
        <v>46236</v>
      </c>
      <c r="G244" s="1">
        <v>46239</v>
      </c>
      <c r="H244" s="11" t="s">
        <v>199</v>
      </c>
      <c r="I244" s="11" t="s">
        <v>200</v>
      </c>
    </row>
    <row r="245" spans="1:9" hidden="1" x14ac:dyDescent="0.25">
      <c r="A245" s="1">
        <v>46239</v>
      </c>
      <c r="B245">
        <v>1143413583</v>
      </c>
      <c r="C245" t="s">
        <v>41</v>
      </c>
      <c r="D245" s="11" t="s">
        <v>28</v>
      </c>
      <c r="E245" s="11" t="s">
        <v>4046</v>
      </c>
      <c r="F245" s="1">
        <v>46236</v>
      </c>
      <c r="G245" s="1">
        <v>46239</v>
      </c>
      <c r="H245" s="11" t="s">
        <v>17</v>
      </c>
      <c r="I245" s="11" t="s">
        <v>18</v>
      </c>
    </row>
    <row r="246" spans="1:9" hidden="1" x14ac:dyDescent="0.25">
      <c r="A246" s="1">
        <v>46240</v>
      </c>
      <c r="B246">
        <v>1143413583</v>
      </c>
      <c r="C246" t="s">
        <v>41</v>
      </c>
      <c r="D246" s="11" t="s">
        <v>28</v>
      </c>
      <c r="E246" s="11" t="s">
        <v>4046</v>
      </c>
      <c r="F246" s="1">
        <v>46236</v>
      </c>
      <c r="G246" s="1">
        <v>46239</v>
      </c>
      <c r="H246" s="11"/>
      <c r="I246" s="11" t="s">
        <v>4041</v>
      </c>
    </row>
    <row r="247" spans="1:9" hidden="1" x14ac:dyDescent="0.25">
      <c r="A247" s="1">
        <v>46242</v>
      </c>
      <c r="B247">
        <v>1143413583</v>
      </c>
      <c r="C247" t="s">
        <v>41</v>
      </c>
      <c r="D247" s="11" t="s">
        <v>28</v>
      </c>
      <c r="E247" s="11" t="s">
        <v>4046</v>
      </c>
      <c r="F247" s="1">
        <v>46236</v>
      </c>
      <c r="G247" s="1">
        <v>46239</v>
      </c>
      <c r="H247" s="11"/>
      <c r="I247" s="11" t="s">
        <v>4041</v>
      </c>
    </row>
    <row r="248" spans="1:9" hidden="1" x14ac:dyDescent="0.25">
      <c r="A248" s="1">
        <v>46237</v>
      </c>
      <c r="B248">
        <v>1129516553</v>
      </c>
      <c r="C248" t="s">
        <v>1405</v>
      </c>
      <c r="D248" s="11" t="s">
        <v>59</v>
      </c>
      <c r="E248" s="11" t="s">
        <v>4047</v>
      </c>
      <c r="F248" s="1">
        <v>46237</v>
      </c>
      <c r="G248" s="1">
        <v>46238</v>
      </c>
      <c r="H248" s="11"/>
      <c r="I248" s="11" t="s">
        <v>4060</v>
      </c>
    </row>
    <row r="249" spans="1:9" hidden="1" x14ac:dyDescent="0.25">
      <c r="A249" s="1">
        <v>46238</v>
      </c>
      <c r="B249">
        <v>1129516553</v>
      </c>
      <c r="C249" t="s">
        <v>1405</v>
      </c>
      <c r="D249" s="11" t="s">
        <v>59</v>
      </c>
      <c r="E249" s="11" t="s">
        <v>4047</v>
      </c>
      <c r="F249" s="1">
        <v>46237</v>
      </c>
      <c r="G249" s="1">
        <v>46238</v>
      </c>
      <c r="H249" s="11"/>
      <c r="I249" s="11" t="s">
        <v>4060</v>
      </c>
    </row>
    <row r="250" spans="1:9" hidden="1" x14ac:dyDescent="0.25">
      <c r="A250" s="1">
        <v>46239</v>
      </c>
      <c r="B250">
        <v>1129516553</v>
      </c>
      <c r="C250" t="s">
        <v>1405</v>
      </c>
      <c r="D250" s="11" t="s">
        <v>59</v>
      </c>
      <c r="E250" s="11" t="s">
        <v>4047</v>
      </c>
      <c r="F250" s="1">
        <v>46237</v>
      </c>
      <c r="G250" s="1">
        <v>46238</v>
      </c>
      <c r="H250" s="11"/>
      <c r="I250" s="11" t="s">
        <v>4041</v>
      </c>
    </row>
    <row r="251" spans="1:9" hidden="1" x14ac:dyDescent="0.25">
      <c r="A251" s="1">
        <v>46237</v>
      </c>
      <c r="B251">
        <v>1005624879</v>
      </c>
      <c r="C251" t="s">
        <v>332</v>
      </c>
      <c r="D251" s="11" t="s">
        <v>143</v>
      </c>
      <c r="E251" s="11" t="s">
        <v>4045</v>
      </c>
      <c r="F251" s="1">
        <v>46237</v>
      </c>
      <c r="G251" s="1">
        <v>46240</v>
      </c>
      <c r="H251" s="11"/>
      <c r="I251" s="11" t="s">
        <v>4096</v>
      </c>
    </row>
    <row r="252" spans="1:9" hidden="1" x14ac:dyDescent="0.25">
      <c r="A252" s="1">
        <v>46238</v>
      </c>
      <c r="B252">
        <v>1005624879</v>
      </c>
      <c r="C252" t="s">
        <v>332</v>
      </c>
      <c r="D252" s="11" t="s">
        <v>143</v>
      </c>
      <c r="E252" s="11" t="s">
        <v>4045</v>
      </c>
      <c r="F252" s="1">
        <v>46237</v>
      </c>
      <c r="G252" s="1">
        <v>46240</v>
      </c>
      <c r="H252" s="11"/>
      <c r="I252" s="11" t="s">
        <v>327</v>
      </c>
    </row>
    <row r="253" spans="1:9" hidden="1" x14ac:dyDescent="0.25">
      <c r="A253" s="1">
        <v>46239</v>
      </c>
      <c r="B253">
        <v>1005624879</v>
      </c>
      <c r="C253" t="s">
        <v>313</v>
      </c>
      <c r="D253" s="11" t="s">
        <v>143</v>
      </c>
      <c r="E253" s="11" t="s">
        <v>4045</v>
      </c>
      <c r="F253" s="1">
        <v>46237</v>
      </c>
      <c r="G253" s="1">
        <v>46240</v>
      </c>
      <c r="H253" s="11"/>
      <c r="I253" s="11" t="s">
        <v>327</v>
      </c>
    </row>
    <row r="254" spans="1:9" hidden="1" x14ac:dyDescent="0.25">
      <c r="A254" s="1">
        <v>46240</v>
      </c>
      <c r="B254">
        <v>1005624879</v>
      </c>
      <c r="C254" t="s">
        <v>313</v>
      </c>
      <c r="D254" s="11" t="s">
        <v>143</v>
      </c>
      <c r="E254" s="11" t="s">
        <v>4045</v>
      </c>
      <c r="F254" s="1">
        <v>46237</v>
      </c>
      <c r="G254" s="1">
        <v>46240</v>
      </c>
      <c r="H254" s="11" t="s">
        <v>314</v>
      </c>
      <c r="I254" s="11" t="s">
        <v>315</v>
      </c>
    </row>
    <row r="255" spans="1:9" hidden="1" x14ac:dyDescent="0.25">
      <c r="A255" s="1">
        <v>46242</v>
      </c>
      <c r="B255">
        <v>1005624879</v>
      </c>
      <c r="C255" t="s">
        <v>313</v>
      </c>
      <c r="D255" s="11" t="s">
        <v>143</v>
      </c>
      <c r="E255" s="11" t="s">
        <v>4045</v>
      </c>
      <c r="F255" s="1">
        <v>46237</v>
      </c>
      <c r="G255" s="1">
        <v>46240</v>
      </c>
      <c r="H255" s="11"/>
      <c r="I255" s="11" t="s">
        <v>4041</v>
      </c>
    </row>
    <row r="256" spans="1:9" hidden="1" x14ac:dyDescent="0.25">
      <c r="A256" s="1">
        <v>46237</v>
      </c>
      <c r="B256" t="s">
        <v>4097</v>
      </c>
      <c r="C256" t="s">
        <v>2053</v>
      </c>
      <c r="D256" s="11" t="s">
        <v>2052</v>
      </c>
      <c r="E256" s="11" t="s">
        <v>4056</v>
      </c>
      <c r="F256" s="1">
        <v>46237</v>
      </c>
      <c r="G256" s="1">
        <v>46238</v>
      </c>
      <c r="H256" s="11" t="s">
        <v>3662</v>
      </c>
      <c r="I256" s="11" t="s">
        <v>3663</v>
      </c>
    </row>
    <row r="257" spans="1:9" hidden="1" x14ac:dyDescent="0.25">
      <c r="A257" s="1">
        <v>46238</v>
      </c>
      <c r="B257" t="s">
        <v>4097</v>
      </c>
      <c r="C257" t="s">
        <v>2053</v>
      </c>
      <c r="D257" s="11" t="s">
        <v>2052</v>
      </c>
      <c r="E257" s="11" t="s">
        <v>4056</v>
      </c>
      <c r="F257" s="1">
        <v>46237</v>
      </c>
      <c r="G257" s="1">
        <v>46238</v>
      </c>
      <c r="H257" s="11"/>
      <c r="I257" s="11" t="s">
        <v>327</v>
      </c>
    </row>
    <row r="258" spans="1:9" hidden="1" x14ac:dyDescent="0.25">
      <c r="A258" s="1">
        <v>46239</v>
      </c>
      <c r="B258" t="s">
        <v>4097</v>
      </c>
      <c r="C258" t="s">
        <v>2053</v>
      </c>
      <c r="D258" s="11" t="s">
        <v>2052</v>
      </c>
      <c r="E258" s="11" t="s">
        <v>4056</v>
      </c>
      <c r="F258" s="1">
        <v>46237</v>
      </c>
      <c r="G258" s="1">
        <v>46238</v>
      </c>
      <c r="H258" s="11"/>
      <c r="I258" s="11" t="s">
        <v>4041</v>
      </c>
    </row>
    <row r="259" spans="1:9" hidden="1" x14ac:dyDescent="0.25">
      <c r="A259" s="1">
        <v>46237</v>
      </c>
      <c r="B259">
        <v>1152436231</v>
      </c>
      <c r="C259" t="s">
        <v>142</v>
      </c>
      <c r="D259" s="11" t="s">
        <v>143</v>
      </c>
      <c r="E259" s="11" t="s">
        <v>4045</v>
      </c>
      <c r="F259" s="1">
        <v>46237</v>
      </c>
      <c r="G259" s="1">
        <v>46240</v>
      </c>
      <c r="H259" s="11"/>
      <c r="I259" s="11" t="s">
        <v>4060</v>
      </c>
    </row>
    <row r="260" spans="1:9" hidden="1" x14ac:dyDescent="0.25">
      <c r="A260" s="1">
        <v>46238</v>
      </c>
      <c r="B260">
        <v>1152436231</v>
      </c>
      <c r="C260" t="s">
        <v>142</v>
      </c>
      <c r="D260" s="11" t="s">
        <v>143</v>
      </c>
      <c r="E260" s="11" t="s">
        <v>4045</v>
      </c>
      <c r="F260" s="1">
        <v>46237</v>
      </c>
      <c r="G260" s="1">
        <v>46240</v>
      </c>
      <c r="H260" s="11" t="s">
        <v>119</v>
      </c>
      <c r="I260" s="11" t="s">
        <v>120</v>
      </c>
    </row>
    <row r="261" spans="1:9" hidden="1" x14ac:dyDescent="0.25">
      <c r="A261" s="1">
        <v>46239</v>
      </c>
      <c r="B261">
        <v>1152436231</v>
      </c>
      <c r="C261" t="s">
        <v>142</v>
      </c>
      <c r="D261" s="11" t="s">
        <v>143</v>
      </c>
      <c r="E261" s="11" t="s">
        <v>4045</v>
      </c>
      <c r="F261" s="1">
        <v>46237</v>
      </c>
      <c r="G261" s="1">
        <v>46240</v>
      </c>
      <c r="H261" s="11" t="s">
        <v>209</v>
      </c>
      <c r="I261" s="11" t="s">
        <v>210</v>
      </c>
    </row>
    <row r="262" spans="1:9" hidden="1" x14ac:dyDescent="0.25">
      <c r="A262" s="1">
        <v>46240</v>
      </c>
      <c r="B262">
        <v>1152436231</v>
      </c>
      <c r="C262" t="s">
        <v>142</v>
      </c>
      <c r="D262" s="11" t="s">
        <v>143</v>
      </c>
      <c r="E262" s="11" t="s">
        <v>4045</v>
      </c>
      <c r="F262" s="1">
        <v>46237</v>
      </c>
      <c r="G262" s="1">
        <v>46240</v>
      </c>
      <c r="H262" s="11" t="s">
        <v>199</v>
      </c>
      <c r="I262" s="11" t="s">
        <v>200</v>
      </c>
    </row>
    <row r="263" spans="1:9" hidden="1" x14ac:dyDescent="0.25">
      <c r="A263" s="1">
        <v>46244</v>
      </c>
      <c r="B263">
        <v>1152436231</v>
      </c>
      <c r="C263" t="s">
        <v>142</v>
      </c>
      <c r="D263" s="11" t="s">
        <v>143</v>
      </c>
      <c r="E263" s="11" t="s">
        <v>4045</v>
      </c>
      <c r="F263" s="1">
        <v>46237</v>
      </c>
      <c r="G263" s="1">
        <v>46240</v>
      </c>
      <c r="H263" s="11"/>
      <c r="I263" s="11" t="s">
        <v>4041</v>
      </c>
    </row>
    <row r="264" spans="1:9" hidden="1" x14ac:dyDescent="0.25">
      <c r="A264" s="1">
        <v>46237</v>
      </c>
      <c r="B264">
        <v>1000099010</v>
      </c>
      <c r="C264" t="s">
        <v>660</v>
      </c>
      <c r="D264" s="11" t="s">
        <v>139</v>
      </c>
      <c r="E264" s="11" t="s">
        <v>4040</v>
      </c>
      <c r="F264" s="1">
        <v>46237</v>
      </c>
      <c r="G264" s="1">
        <v>46239</v>
      </c>
      <c r="H264" s="11"/>
      <c r="I264" s="11" t="s">
        <v>4060</v>
      </c>
    </row>
    <row r="265" spans="1:9" hidden="1" x14ac:dyDescent="0.25">
      <c r="A265" s="1">
        <v>46238</v>
      </c>
      <c r="B265">
        <v>1000099010</v>
      </c>
      <c r="C265" t="s">
        <v>660</v>
      </c>
      <c r="D265" s="11" t="s">
        <v>139</v>
      </c>
      <c r="E265" s="11" t="s">
        <v>4040</v>
      </c>
      <c r="F265" s="1">
        <v>46237</v>
      </c>
      <c r="G265" s="1">
        <v>46239</v>
      </c>
      <c r="H265" s="11"/>
      <c r="I265" s="11" t="s">
        <v>4060</v>
      </c>
    </row>
    <row r="266" spans="1:9" hidden="1" x14ac:dyDescent="0.25">
      <c r="A266" s="1">
        <v>46239</v>
      </c>
      <c r="B266">
        <v>1000099010</v>
      </c>
      <c r="C266" t="s">
        <v>660</v>
      </c>
      <c r="D266" s="11" t="s">
        <v>139</v>
      </c>
      <c r="E266" s="11" t="s">
        <v>4040</v>
      </c>
      <c r="F266" s="1">
        <v>46237</v>
      </c>
      <c r="G266" s="1">
        <v>46239</v>
      </c>
      <c r="H266" s="11"/>
      <c r="I266" s="11" t="s">
        <v>4060</v>
      </c>
    </row>
    <row r="267" spans="1:9" hidden="1" x14ac:dyDescent="0.25">
      <c r="A267" s="1">
        <v>46240</v>
      </c>
      <c r="B267">
        <v>1000099010</v>
      </c>
      <c r="C267" t="s">
        <v>660</v>
      </c>
      <c r="D267" s="11" t="s">
        <v>139</v>
      </c>
      <c r="E267" s="11" t="s">
        <v>4040</v>
      </c>
      <c r="F267" s="1">
        <v>46237</v>
      </c>
      <c r="G267" s="1">
        <v>46239</v>
      </c>
      <c r="H267" s="11"/>
      <c r="I267" s="11" t="s">
        <v>4041</v>
      </c>
    </row>
    <row r="268" spans="1:9" hidden="1" x14ac:dyDescent="0.25">
      <c r="A268" s="1">
        <v>46237</v>
      </c>
      <c r="B268">
        <v>1193459665</v>
      </c>
      <c r="C268" t="s">
        <v>4063</v>
      </c>
      <c r="D268" s="11" t="s">
        <v>256</v>
      </c>
      <c r="E268" s="11" t="s">
        <v>4040</v>
      </c>
      <c r="F268" s="1">
        <v>46237</v>
      </c>
      <c r="G268" s="1">
        <v>46239</v>
      </c>
      <c r="H268" s="11"/>
      <c r="I268" s="11" t="s">
        <v>327</v>
      </c>
    </row>
    <row r="269" spans="1:9" hidden="1" x14ac:dyDescent="0.25">
      <c r="A269" s="1">
        <v>46238</v>
      </c>
      <c r="B269">
        <v>1193459665</v>
      </c>
      <c r="C269" t="s">
        <v>4063</v>
      </c>
      <c r="D269" s="11" t="s">
        <v>256</v>
      </c>
      <c r="E269" s="11" t="s">
        <v>4040</v>
      </c>
      <c r="F269" s="1">
        <v>46237</v>
      </c>
      <c r="G269" s="1">
        <v>46239</v>
      </c>
      <c r="H269" s="11" t="s">
        <v>309</v>
      </c>
      <c r="I269" s="11" t="s">
        <v>310</v>
      </c>
    </row>
    <row r="270" spans="1:9" hidden="1" x14ac:dyDescent="0.25">
      <c r="A270" s="1">
        <v>46239</v>
      </c>
      <c r="B270">
        <v>1193459665</v>
      </c>
      <c r="C270" t="s">
        <v>4098</v>
      </c>
      <c r="D270" s="11" t="s">
        <v>256</v>
      </c>
      <c r="E270" s="11" t="s">
        <v>4040</v>
      </c>
      <c r="F270" s="1">
        <v>46237</v>
      </c>
      <c r="G270" s="1">
        <v>46239</v>
      </c>
      <c r="H270" s="11" t="s">
        <v>193</v>
      </c>
      <c r="I270" s="11" t="s">
        <v>194</v>
      </c>
    </row>
    <row r="271" spans="1:9" hidden="1" x14ac:dyDescent="0.25">
      <c r="A271" s="1">
        <v>46240</v>
      </c>
      <c r="B271">
        <v>1193459665</v>
      </c>
      <c r="C271" t="s">
        <v>4098</v>
      </c>
      <c r="D271" s="11" t="s">
        <v>256</v>
      </c>
      <c r="E271" s="11" t="s">
        <v>4040</v>
      </c>
      <c r="F271" s="1">
        <v>46237</v>
      </c>
      <c r="G271" s="1">
        <v>46239</v>
      </c>
      <c r="H271" s="11"/>
      <c r="I271" s="11" t="s">
        <v>4041</v>
      </c>
    </row>
    <row r="272" spans="1:9" hidden="1" x14ac:dyDescent="0.25">
      <c r="A272" s="1">
        <v>46242</v>
      </c>
      <c r="B272">
        <v>1193459665</v>
      </c>
      <c r="C272" t="s">
        <v>4098</v>
      </c>
      <c r="D272" s="11" t="s">
        <v>256</v>
      </c>
      <c r="E272" s="11" t="s">
        <v>4040</v>
      </c>
      <c r="F272" s="1">
        <v>46237</v>
      </c>
      <c r="G272" s="1">
        <v>46239</v>
      </c>
      <c r="H272" s="11"/>
      <c r="I272" s="11" t="s">
        <v>4041</v>
      </c>
    </row>
    <row r="273" spans="1:9" hidden="1" x14ac:dyDescent="0.25">
      <c r="A273" s="1">
        <v>46237</v>
      </c>
      <c r="B273">
        <v>1072648283</v>
      </c>
      <c r="C273" t="s">
        <v>828</v>
      </c>
      <c r="D273" s="11" t="s">
        <v>272</v>
      </c>
      <c r="E273" s="11" t="s">
        <v>4056</v>
      </c>
      <c r="F273" s="1">
        <v>46237</v>
      </c>
      <c r="G273" s="1">
        <v>46239</v>
      </c>
      <c r="H273" s="11" t="s">
        <v>163</v>
      </c>
      <c r="I273" s="11" t="s">
        <v>164</v>
      </c>
    </row>
    <row r="274" spans="1:9" hidden="1" x14ac:dyDescent="0.25">
      <c r="A274" s="1">
        <v>46238</v>
      </c>
      <c r="B274">
        <v>1072648283</v>
      </c>
      <c r="C274" t="s">
        <v>828</v>
      </c>
      <c r="D274" s="11" t="s">
        <v>272</v>
      </c>
      <c r="E274" s="11" t="s">
        <v>4056</v>
      </c>
      <c r="F274" s="1">
        <v>46237</v>
      </c>
      <c r="G274" s="1">
        <v>46239</v>
      </c>
      <c r="H274" s="11" t="s">
        <v>560</v>
      </c>
      <c r="I274" s="11" t="s">
        <v>561</v>
      </c>
    </row>
    <row r="275" spans="1:9" hidden="1" x14ac:dyDescent="0.25">
      <c r="A275" s="1">
        <v>46239</v>
      </c>
      <c r="B275">
        <v>1072648283</v>
      </c>
      <c r="C275" t="s">
        <v>828</v>
      </c>
      <c r="D275" s="11" t="s">
        <v>272</v>
      </c>
      <c r="E275" s="11" t="s">
        <v>4056</v>
      </c>
      <c r="F275" s="1">
        <v>46237</v>
      </c>
      <c r="G275" s="1">
        <v>46239</v>
      </c>
      <c r="H275" s="11" t="s">
        <v>560</v>
      </c>
      <c r="I275" s="11" t="s">
        <v>561</v>
      </c>
    </row>
    <row r="276" spans="1:9" hidden="1" x14ac:dyDescent="0.25">
      <c r="A276" s="1">
        <v>46240</v>
      </c>
      <c r="B276">
        <v>1072648283</v>
      </c>
      <c r="C276" t="s">
        <v>828</v>
      </c>
      <c r="D276" s="11" t="s">
        <v>272</v>
      </c>
      <c r="E276" s="11" t="s">
        <v>4056</v>
      </c>
      <c r="F276" s="1">
        <v>46237</v>
      </c>
      <c r="G276" s="1">
        <v>46239</v>
      </c>
      <c r="H276" s="11"/>
      <c r="I276" s="11" t="s">
        <v>4041</v>
      </c>
    </row>
    <row r="277" spans="1:9" hidden="1" x14ac:dyDescent="0.25">
      <c r="A277" s="1">
        <v>46237</v>
      </c>
      <c r="B277">
        <v>1124076705</v>
      </c>
      <c r="C277" t="s">
        <v>819</v>
      </c>
      <c r="D277" s="11" t="s">
        <v>55</v>
      </c>
      <c r="E277" s="11" t="s">
        <v>4047</v>
      </c>
      <c r="F277" s="1">
        <v>46237</v>
      </c>
      <c r="G277" s="1">
        <v>46239</v>
      </c>
      <c r="H277" s="11"/>
      <c r="I277" s="11" t="s">
        <v>4060</v>
      </c>
    </row>
    <row r="278" spans="1:9" hidden="1" x14ac:dyDescent="0.25">
      <c r="A278" s="1">
        <v>46238</v>
      </c>
      <c r="B278">
        <v>1124076705</v>
      </c>
      <c r="C278" t="s">
        <v>819</v>
      </c>
      <c r="D278" s="11" t="s">
        <v>55</v>
      </c>
      <c r="E278" s="11" t="s">
        <v>4047</v>
      </c>
      <c r="F278" s="1">
        <v>46237</v>
      </c>
      <c r="G278" s="1">
        <v>46239</v>
      </c>
      <c r="H278" s="11"/>
      <c r="I278" s="11" t="s">
        <v>4060</v>
      </c>
    </row>
    <row r="279" spans="1:9" hidden="1" x14ac:dyDescent="0.25">
      <c r="A279" s="1">
        <v>46239</v>
      </c>
      <c r="B279">
        <v>1124076705</v>
      </c>
      <c r="C279" t="s">
        <v>819</v>
      </c>
      <c r="D279" s="11" t="s">
        <v>55</v>
      </c>
      <c r="E279" s="11" t="s">
        <v>4047</v>
      </c>
      <c r="F279" s="1">
        <v>46237</v>
      </c>
      <c r="G279" s="1">
        <v>46239</v>
      </c>
      <c r="H279" s="11"/>
      <c r="I279" s="11" t="s">
        <v>327</v>
      </c>
    </row>
    <row r="280" spans="1:9" hidden="1" x14ac:dyDescent="0.25">
      <c r="A280" s="1">
        <v>46240</v>
      </c>
      <c r="B280">
        <v>1124076705</v>
      </c>
      <c r="C280" t="s">
        <v>819</v>
      </c>
      <c r="D280" s="11" t="s">
        <v>55</v>
      </c>
      <c r="E280" s="11" t="s">
        <v>4047</v>
      </c>
      <c r="F280" s="1">
        <v>46237</v>
      </c>
      <c r="G280" s="1">
        <v>46239</v>
      </c>
      <c r="H280" s="11"/>
      <c r="I280" s="11" t="s">
        <v>4041</v>
      </c>
    </row>
    <row r="281" spans="1:9" hidden="1" x14ac:dyDescent="0.25">
      <c r="A281" s="1">
        <v>46237</v>
      </c>
      <c r="B281">
        <v>1001996913</v>
      </c>
      <c r="C281" t="s">
        <v>3174</v>
      </c>
      <c r="D281" s="11" t="s">
        <v>28</v>
      </c>
      <c r="E281" s="11" t="s">
        <v>4046</v>
      </c>
      <c r="F281" s="1">
        <v>46237</v>
      </c>
      <c r="G281" s="1">
        <v>46238</v>
      </c>
      <c r="H281" s="11"/>
      <c r="I281" s="11" t="s">
        <v>4060</v>
      </c>
    </row>
    <row r="282" spans="1:9" hidden="1" x14ac:dyDescent="0.25">
      <c r="A282" s="1">
        <v>46238</v>
      </c>
      <c r="B282">
        <v>1001996913</v>
      </c>
      <c r="C282" t="s">
        <v>3174</v>
      </c>
      <c r="D282" s="11" t="s">
        <v>28</v>
      </c>
      <c r="E282" s="11" t="s">
        <v>4046</v>
      </c>
      <c r="F282" s="1">
        <v>46237</v>
      </c>
      <c r="G282" s="1">
        <v>46238</v>
      </c>
      <c r="H282" s="11"/>
      <c r="I282" s="11" t="s">
        <v>4060</v>
      </c>
    </row>
    <row r="283" spans="1:9" hidden="1" x14ac:dyDescent="0.25">
      <c r="A283" s="1">
        <v>46239</v>
      </c>
      <c r="B283">
        <v>1001996913</v>
      </c>
      <c r="C283" t="s">
        <v>3174</v>
      </c>
      <c r="D283" s="11" t="s">
        <v>28</v>
      </c>
      <c r="E283" s="11" t="s">
        <v>4046</v>
      </c>
      <c r="F283" s="1">
        <v>46237</v>
      </c>
      <c r="G283" s="1">
        <v>46238</v>
      </c>
      <c r="H283" s="11"/>
      <c r="I283" s="11" t="s">
        <v>4041</v>
      </c>
    </row>
    <row r="284" spans="1:9" hidden="1" x14ac:dyDescent="0.25">
      <c r="A284" s="1">
        <v>46237</v>
      </c>
      <c r="B284">
        <v>1004373476</v>
      </c>
      <c r="C284" t="s">
        <v>3779</v>
      </c>
      <c r="D284" s="11" t="s">
        <v>15</v>
      </c>
      <c r="E284" s="11" t="s">
        <v>4046</v>
      </c>
      <c r="F284" s="1">
        <v>46237</v>
      </c>
      <c r="G284" s="1">
        <v>46238</v>
      </c>
      <c r="H284" s="11"/>
      <c r="I284" s="11" t="s">
        <v>4060</v>
      </c>
    </row>
    <row r="285" spans="1:9" hidden="1" x14ac:dyDescent="0.25">
      <c r="A285" s="1">
        <v>46238</v>
      </c>
      <c r="B285">
        <v>1004373476</v>
      </c>
      <c r="C285" t="s">
        <v>3779</v>
      </c>
      <c r="D285" s="11" t="s">
        <v>15</v>
      </c>
      <c r="E285" s="11" t="s">
        <v>4046</v>
      </c>
      <c r="F285" s="1">
        <v>46237</v>
      </c>
      <c r="G285" s="1">
        <v>46238</v>
      </c>
      <c r="H285" s="11" t="s">
        <v>300</v>
      </c>
      <c r="I285" s="11" t="s">
        <v>301</v>
      </c>
    </row>
    <row r="286" spans="1:9" hidden="1" x14ac:dyDescent="0.25">
      <c r="A286" s="1">
        <v>46239</v>
      </c>
      <c r="B286">
        <v>1004373476</v>
      </c>
      <c r="C286" t="s">
        <v>3779</v>
      </c>
      <c r="D286" s="11" t="s">
        <v>15</v>
      </c>
      <c r="E286" s="11" t="s">
        <v>4046</v>
      </c>
      <c r="F286" s="1">
        <v>46237</v>
      </c>
      <c r="G286" s="1">
        <v>46238</v>
      </c>
      <c r="H286" s="11"/>
      <c r="I286" s="11" t="s">
        <v>4041</v>
      </c>
    </row>
    <row r="287" spans="1:9" hidden="1" x14ac:dyDescent="0.25">
      <c r="A287" s="1">
        <v>46237</v>
      </c>
      <c r="B287">
        <v>1082984414</v>
      </c>
      <c r="C287" t="s">
        <v>2953</v>
      </c>
      <c r="D287" s="11" t="s">
        <v>44</v>
      </c>
      <c r="E287" s="11" t="s">
        <v>4045</v>
      </c>
      <c r="F287" s="1">
        <v>46237</v>
      </c>
      <c r="G287" s="1">
        <v>46238</v>
      </c>
      <c r="H287" s="11"/>
      <c r="I287" s="11" t="s">
        <v>4235</v>
      </c>
    </row>
    <row r="288" spans="1:9" hidden="1" x14ac:dyDescent="0.25">
      <c r="A288" s="1">
        <v>46238</v>
      </c>
      <c r="B288">
        <v>1082984414</v>
      </c>
      <c r="C288" t="s">
        <v>2953</v>
      </c>
      <c r="D288" s="11" t="s">
        <v>44</v>
      </c>
      <c r="E288" s="11" t="s">
        <v>4045</v>
      </c>
      <c r="F288" s="1">
        <v>46237</v>
      </c>
      <c r="G288" s="1">
        <v>46238</v>
      </c>
      <c r="H288" s="11"/>
      <c r="I288" s="11" t="s">
        <v>327</v>
      </c>
    </row>
    <row r="289" spans="1:9" hidden="1" x14ac:dyDescent="0.25">
      <c r="A289" s="1">
        <v>46239</v>
      </c>
      <c r="B289">
        <v>1082984414</v>
      </c>
      <c r="C289" t="s">
        <v>2953</v>
      </c>
      <c r="D289" s="11" t="s">
        <v>44</v>
      </c>
      <c r="E289" s="11" t="s">
        <v>4045</v>
      </c>
      <c r="F289" s="1">
        <v>46237</v>
      </c>
      <c r="G289" s="1">
        <v>46238</v>
      </c>
      <c r="H289" s="11"/>
      <c r="I289" s="11" t="s">
        <v>4041</v>
      </c>
    </row>
    <row r="290" spans="1:9" hidden="1" x14ac:dyDescent="0.25">
      <c r="A290" s="1">
        <v>46237</v>
      </c>
      <c r="B290">
        <v>1085687504</v>
      </c>
      <c r="C290" t="s">
        <v>258</v>
      </c>
      <c r="D290" s="11" t="s">
        <v>139</v>
      </c>
      <c r="E290" s="11" t="s">
        <v>4040</v>
      </c>
      <c r="F290" s="1">
        <v>46237</v>
      </c>
      <c r="G290" s="1">
        <v>46237</v>
      </c>
      <c r="H290" s="11" t="s">
        <v>257</v>
      </c>
      <c r="I290" s="11" t="s">
        <v>258</v>
      </c>
    </row>
    <row r="291" spans="1:9" hidden="1" x14ac:dyDescent="0.25">
      <c r="A291" s="1">
        <v>46237</v>
      </c>
      <c r="B291">
        <v>1042422897</v>
      </c>
      <c r="C291" t="s">
        <v>4100</v>
      </c>
      <c r="D291" s="11" t="s">
        <v>256</v>
      </c>
      <c r="E291" s="11" t="s">
        <v>4040</v>
      </c>
      <c r="F291" s="1">
        <v>46237</v>
      </c>
      <c r="G291" s="1">
        <v>46238</v>
      </c>
      <c r="H291" s="11"/>
      <c r="I291" s="11" t="s">
        <v>4101</v>
      </c>
    </row>
    <row r="292" spans="1:9" hidden="1" x14ac:dyDescent="0.25">
      <c r="A292" s="1">
        <v>46238</v>
      </c>
      <c r="B292">
        <v>1042422897</v>
      </c>
      <c r="C292" t="s">
        <v>4100</v>
      </c>
      <c r="D292" s="11" t="s">
        <v>256</v>
      </c>
      <c r="E292" s="11" t="s">
        <v>4040</v>
      </c>
      <c r="F292" s="1">
        <v>46237</v>
      </c>
      <c r="G292" s="1">
        <v>46238</v>
      </c>
      <c r="H292" s="11"/>
      <c r="I292" s="11" t="s">
        <v>327</v>
      </c>
    </row>
    <row r="293" spans="1:9" hidden="1" x14ac:dyDescent="0.25">
      <c r="A293" s="1">
        <v>46239</v>
      </c>
      <c r="B293">
        <v>1042422897</v>
      </c>
      <c r="C293" t="s">
        <v>4102</v>
      </c>
      <c r="D293" s="11" t="s">
        <v>256</v>
      </c>
      <c r="E293" s="11" t="s">
        <v>4040</v>
      </c>
      <c r="F293" s="1">
        <v>46237</v>
      </c>
      <c r="G293" s="1">
        <v>46238</v>
      </c>
      <c r="H293" s="11"/>
      <c r="I293" s="11" t="s">
        <v>4041</v>
      </c>
    </row>
    <row r="294" spans="1:9" hidden="1" x14ac:dyDescent="0.25">
      <c r="A294" s="1">
        <v>46240</v>
      </c>
      <c r="B294">
        <v>1042422897</v>
      </c>
      <c r="C294" t="s">
        <v>4102</v>
      </c>
      <c r="D294" s="11" t="s">
        <v>256</v>
      </c>
      <c r="E294" s="11" t="s">
        <v>4040</v>
      </c>
      <c r="F294" s="1">
        <v>46237</v>
      </c>
      <c r="G294" s="1">
        <v>46238</v>
      </c>
      <c r="H294" s="11"/>
      <c r="I294" s="11" t="s">
        <v>4041</v>
      </c>
    </row>
    <row r="295" spans="1:9" hidden="1" x14ac:dyDescent="0.25">
      <c r="A295" s="1">
        <v>46237</v>
      </c>
      <c r="B295">
        <v>1017267628</v>
      </c>
      <c r="C295" t="s">
        <v>255</v>
      </c>
      <c r="D295" s="11" t="s">
        <v>256</v>
      </c>
      <c r="E295" s="11" t="s">
        <v>4040</v>
      </c>
      <c r="F295" s="1">
        <v>46237</v>
      </c>
      <c r="G295" s="1">
        <v>46243</v>
      </c>
      <c r="H295" s="11"/>
      <c r="I295" s="11" t="s">
        <v>4060</v>
      </c>
    </row>
    <row r="296" spans="1:9" hidden="1" x14ac:dyDescent="0.25">
      <c r="A296" s="1">
        <v>46238</v>
      </c>
      <c r="B296">
        <v>1017267628</v>
      </c>
      <c r="C296" t="s">
        <v>255</v>
      </c>
      <c r="D296" s="11" t="s">
        <v>256</v>
      </c>
      <c r="E296" s="11" t="s">
        <v>4040</v>
      </c>
      <c r="F296" s="1">
        <v>46237</v>
      </c>
      <c r="G296" s="1">
        <v>46243</v>
      </c>
      <c r="H296" s="11"/>
      <c r="I296" s="11" t="s">
        <v>4060</v>
      </c>
    </row>
    <row r="297" spans="1:9" hidden="1" x14ac:dyDescent="0.25">
      <c r="A297" s="1">
        <v>46240</v>
      </c>
      <c r="B297">
        <v>1017267628</v>
      </c>
      <c r="C297" t="s">
        <v>255</v>
      </c>
      <c r="D297" s="11" t="s">
        <v>256</v>
      </c>
      <c r="E297" s="11" t="s">
        <v>4040</v>
      </c>
      <c r="F297" s="1">
        <v>46237</v>
      </c>
      <c r="G297" s="1">
        <v>46243</v>
      </c>
      <c r="H297" s="11" t="s">
        <v>257</v>
      </c>
      <c r="I297" s="11" t="s">
        <v>258</v>
      </c>
    </row>
    <row r="298" spans="1:9" hidden="1" x14ac:dyDescent="0.25">
      <c r="A298" s="1">
        <v>46244</v>
      </c>
      <c r="B298">
        <v>1017267628</v>
      </c>
      <c r="C298" t="s">
        <v>4103</v>
      </c>
      <c r="D298" s="11" t="s">
        <v>256</v>
      </c>
      <c r="E298" s="11" t="s">
        <v>4040</v>
      </c>
      <c r="F298" s="1">
        <v>46237</v>
      </c>
      <c r="G298" s="1">
        <v>46243</v>
      </c>
      <c r="H298" s="11"/>
      <c r="I298" s="11" t="s">
        <v>4041</v>
      </c>
    </row>
    <row r="299" spans="1:9" hidden="1" x14ac:dyDescent="0.25">
      <c r="A299" s="1">
        <v>46237</v>
      </c>
      <c r="B299">
        <v>1000083810</v>
      </c>
      <c r="C299" t="s">
        <v>1193</v>
      </c>
      <c r="D299" s="11" t="s">
        <v>59</v>
      </c>
      <c r="E299" s="11" t="s">
        <v>4047</v>
      </c>
      <c r="F299" s="1">
        <v>46237</v>
      </c>
      <c r="G299" s="1">
        <v>46239</v>
      </c>
      <c r="H299" s="11"/>
      <c r="I299" s="11" t="s">
        <v>4060</v>
      </c>
    </row>
    <row r="300" spans="1:9" hidden="1" x14ac:dyDescent="0.25">
      <c r="A300" s="1">
        <v>46238</v>
      </c>
      <c r="B300">
        <v>1000083810</v>
      </c>
      <c r="C300" t="s">
        <v>1193</v>
      </c>
      <c r="D300" s="11" t="s">
        <v>59</v>
      </c>
      <c r="E300" s="11" t="s">
        <v>4047</v>
      </c>
      <c r="F300" s="1">
        <v>46237</v>
      </c>
      <c r="G300" s="1">
        <v>46239</v>
      </c>
      <c r="H300" s="11"/>
      <c r="I300" s="11" t="s">
        <v>4060</v>
      </c>
    </row>
    <row r="301" spans="1:9" hidden="1" x14ac:dyDescent="0.25">
      <c r="A301" s="1">
        <v>46239</v>
      </c>
      <c r="B301">
        <v>1000083810</v>
      </c>
      <c r="C301" t="s">
        <v>1193</v>
      </c>
      <c r="D301" s="11" t="s">
        <v>59</v>
      </c>
      <c r="E301" s="11" t="s">
        <v>4047</v>
      </c>
      <c r="F301" s="1">
        <v>46237</v>
      </c>
      <c r="G301" s="1">
        <v>46239</v>
      </c>
      <c r="H301" s="11"/>
      <c r="I301" s="11" t="s">
        <v>327</v>
      </c>
    </row>
    <row r="302" spans="1:9" hidden="1" x14ac:dyDescent="0.25">
      <c r="A302" s="1">
        <v>46240</v>
      </c>
      <c r="B302">
        <v>1000083810</v>
      </c>
      <c r="C302" t="s">
        <v>1193</v>
      </c>
      <c r="D302" s="11" t="s">
        <v>59</v>
      </c>
      <c r="E302" s="11" t="s">
        <v>4047</v>
      </c>
      <c r="F302" s="1">
        <v>46237</v>
      </c>
      <c r="G302" s="1">
        <v>46239</v>
      </c>
      <c r="H302" s="11"/>
      <c r="I302" s="11" t="s">
        <v>4041</v>
      </c>
    </row>
    <row r="303" spans="1:9" hidden="1" x14ac:dyDescent="0.25">
      <c r="A303" s="1">
        <v>46237</v>
      </c>
      <c r="B303">
        <v>1020486493</v>
      </c>
      <c r="C303" t="s">
        <v>4105</v>
      </c>
      <c r="D303" s="11" t="s">
        <v>256</v>
      </c>
      <c r="E303" s="11" t="s">
        <v>4040</v>
      </c>
      <c r="F303" s="1">
        <v>46237</v>
      </c>
      <c r="G303" s="1">
        <v>46239</v>
      </c>
      <c r="H303" s="11" t="s">
        <v>107</v>
      </c>
      <c r="I303" s="11" t="s">
        <v>108</v>
      </c>
    </row>
    <row r="304" spans="1:9" hidden="1" x14ac:dyDescent="0.25">
      <c r="A304" s="1">
        <v>46238</v>
      </c>
      <c r="B304">
        <v>1020486493</v>
      </c>
      <c r="C304" t="s">
        <v>4105</v>
      </c>
      <c r="D304" s="11" t="s">
        <v>256</v>
      </c>
      <c r="E304" s="11" t="s">
        <v>4040</v>
      </c>
      <c r="F304" s="1">
        <v>46237</v>
      </c>
      <c r="G304" s="1">
        <v>46239</v>
      </c>
      <c r="H304" s="11" t="s">
        <v>1382</v>
      </c>
      <c r="I304" s="11" t="s">
        <v>1383</v>
      </c>
    </row>
    <row r="305" spans="1:9" hidden="1" x14ac:dyDescent="0.25">
      <c r="A305" s="1">
        <v>46239</v>
      </c>
      <c r="B305">
        <v>1020486493</v>
      </c>
      <c r="C305" t="s">
        <v>4106</v>
      </c>
      <c r="D305" s="11" t="s">
        <v>256</v>
      </c>
      <c r="E305" s="11" t="s">
        <v>4040</v>
      </c>
      <c r="F305" s="1">
        <v>46237</v>
      </c>
      <c r="G305" s="1">
        <v>46239</v>
      </c>
      <c r="H305" s="11" t="s">
        <v>246</v>
      </c>
      <c r="I305" s="11" t="s">
        <v>247</v>
      </c>
    </row>
    <row r="306" spans="1:9" hidden="1" x14ac:dyDescent="0.25">
      <c r="A306" s="1">
        <v>46240</v>
      </c>
      <c r="B306">
        <v>1020486493</v>
      </c>
      <c r="C306" t="s">
        <v>4106</v>
      </c>
      <c r="D306" s="11" t="s">
        <v>256</v>
      </c>
      <c r="E306" s="11" t="s">
        <v>4040</v>
      </c>
      <c r="F306" s="1">
        <v>46237</v>
      </c>
      <c r="G306" s="1">
        <v>46239</v>
      </c>
      <c r="H306" s="11"/>
      <c r="I306" s="11" t="s">
        <v>4041</v>
      </c>
    </row>
    <row r="307" spans="1:9" hidden="1" x14ac:dyDescent="0.25">
      <c r="A307" s="1">
        <v>46242</v>
      </c>
      <c r="B307">
        <v>1020486493</v>
      </c>
      <c r="C307" t="s">
        <v>4106</v>
      </c>
      <c r="D307" s="11" t="s">
        <v>256</v>
      </c>
      <c r="E307" s="11" t="s">
        <v>4040</v>
      </c>
      <c r="F307" s="1">
        <v>46237</v>
      </c>
      <c r="G307" s="1">
        <v>46239</v>
      </c>
      <c r="H307" s="11"/>
      <c r="I307" s="11" t="s">
        <v>4041</v>
      </c>
    </row>
    <row r="308" spans="1:9" hidden="1" x14ac:dyDescent="0.25">
      <c r="A308" s="1">
        <v>46238</v>
      </c>
      <c r="B308" t="s">
        <v>134</v>
      </c>
      <c r="C308" t="s">
        <v>135</v>
      </c>
      <c r="D308" s="11" t="s">
        <v>39</v>
      </c>
      <c r="E308" s="11" t="s">
        <v>4046</v>
      </c>
      <c r="F308" s="1">
        <v>46237</v>
      </c>
      <c r="G308" s="1">
        <v>46256</v>
      </c>
      <c r="H308" s="11"/>
      <c r="I308" s="11" t="s">
        <v>327</v>
      </c>
    </row>
    <row r="309" spans="1:9" hidden="1" x14ac:dyDescent="0.25">
      <c r="A309" s="1">
        <v>46238</v>
      </c>
      <c r="B309" t="s">
        <v>4107</v>
      </c>
      <c r="C309" t="s">
        <v>4061</v>
      </c>
      <c r="D309" s="11" t="s">
        <v>256</v>
      </c>
      <c r="E309" s="11" t="s">
        <v>4040</v>
      </c>
      <c r="F309" s="1">
        <v>46237</v>
      </c>
      <c r="G309" s="1">
        <v>46239</v>
      </c>
      <c r="H309" s="11" t="s">
        <v>116</v>
      </c>
      <c r="I309" s="11" t="s">
        <v>117</v>
      </c>
    </row>
    <row r="310" spans="1:9" hidden="1" x14ac:dyDescent="0.25">
      <c r="A310" s="1">
        <v>46238</v>
      </c>
      <c r="B310" t="s">
        <v>2853</v>
      </c>
      <c r="C310" t="s">
        <v>4108</v>
      </c>
      <c r="D310" s="11" t="s">
        <v>59</v>
      </c>
      <c r="E310" s="11" t="s">
        <v>4047</v>
      </c>
      <c r="F310" s="1">
        <v>46235</v>
      </c>
      <c r="G310" s="1">
        <v>46235</v>
      </c>
      <c r="H310" s="11"/>
      <c r="I310" s="11" t="s">
        <v>4041</v>
      </c>
    </row>
    <row r="311" spans="1:9" hidden="1" x14ac:dyDescent="0.25">
      <c r="A311" s="1">
        <v>46238</v>
      </c>
      <c r="B311" t="s">
        <v>1446</v>
      </c>
      <c r="C311" t="s">
        <v>1447</v>
      </c>
      <c r="D311" s="11" t="s">
        <v>143</v>
      </c>
      <c r="E311" s="11" t="s">
        <v>4045</v>
      </c>
      <c r="F311" s="1">
        <v>46235</v>
      </c>
      <c r="G311" s="1">
        <v>46235</v>
      </c>
      <c r="H311" s="11"/>
      <c r="I311" s="11" t="s">
        <v>4041</v>
      </c>
    </row>
    <row r="312" spans="1:9" hidden="1" x14ac:dyDescent="0.25">
      <c r="A312" s="1">
        <v>46238</v>
      </c>
      <c r="B312" t="s">
        <v>2999</v>
      </c>
      <c r="C312" t="s">
        <v>4109</v>
      </c>
      <c r="D312" s="11" t="s">
        <v>59</v>
      </c>
      <c r="E312" s="11" t="s">
        <v>4047</v>
      </c>
      <c r="F312" s="1">
        <v>46235</v>
      </c>
      <c r="G312" s="1">
        <v>46235</v>
      </c>
      <c r="H312" s="11"/>
      <c r="I312" s="11" t="s">
        <v>4041</v>
      </c>
    </row>
    <row r="313" spans="1:9" hidden="1" x14ac:dyDescent="0.25">
      <c r="A313" s="1">
        <v>46238</v>
      </c>
      <c r="B313" t="s">
        <v>2163</v>
      </c>
      <c r="C313" t="s">
        <v>4110</v>
      </c>
      <c r="D313" s="11" t="s">
        <v>59</v>
      </c>
      <c r="E313" s="11" t="s">
        <v>4047</v>
      </c>
      <c r="F313" s="1">
        <v>46235</v>
      </c>
      <c r="G313" s="1">
        <v>46235</v>
      </c>
      <c r="H313" s="11"/>
      <c r="I313" s="11" t="s">
        <v>4041</v>
      </c>
    </row>
    <row r="314" spans="1:9" hidden="1" x14ac:dyDescent="0.25">
      <c r="A314" s="1">
        <v>46238</v>
      </c>
      <c r="B314" t="s">
        <v>2498</v>
      </c>
      <c r="C314" t="s">
        <v>4111</v>
      </c>
      <c r="D314" s="11" t="s">
        <v>139</v>
      </c>
      <c r="E314" s="11" t="s">
        <v>4040</v>
      </c>
      <c r="F314" s="1">
        <v>46235</v>
      </c>
      <c r="G314" s="1">
        <v>46235</v>
      </c>
      <c r="H314" s="11"/>
      <c r="I314" s="11" t="s">
        <v>4041</v>
      </c>
    </row>
    <row r="315" spans="1:9" hidden="1" x14ac:dyDescent="0.25">
      <c r="A315" s="1">
        <v>46238</v>
      </c>
      <c r="B315" t="s">
        <v>1760</v>
      </c>
      <c r="C315" t="s">
        <v>4112</v>
      </c>
      <c r="D315" s="11" t="s">
        <v>55</v>
      </c>
      <c r="E315" s="11" t="s">
        <v>4047</v>
      </c>
      <c r="F315" s="1">
        <v>46235</v>
      </c>
      <c r="G315" s="1">
        <v>46235</v>
      </c>
      <c r="H315" s="11"/>
      <c r="I315" s="11" t="s">
        <v>4041</v>
      </c>
    </row>
    <row r="316" spans="1:9" hidden="1" x14ac:dyDescent="0.25">
      <c r="A316" s="1">
        <v>46238</v>
      </c>
      <c r="B316" t="s">
        <v>1301</v>
      </c>
      <c r="C316" t="s">
        <v>4113</v>
      </c>
      <c r="D316" s="11" t="s">
        <v>15</v>
      </c>
      <c r="E316" s="11" t="s">
        <v>4046</v>
      </c>
      <c r="F316" s="1">
        <v>46235</v>
      </c>
      <c r="G316" s="1">
        <v>46235</v>
      </c>
      <c r="H316" s="11"/>
      <c r="I316" s="11" t="s">
        <v>4041</v>
      </c>
    </row>
    <row r="317" spans="1:9" hidden="1" x14ac:dyDescent="0.25">
      <c r="A317" s="1">
        <v>46238</v>
      </c>
      <c r="B317" t="s">
        <v>3478</v>
      </c>
      <c r="C317" t="s">
        <v>3479</v>
      </c>
      <c r="D317" s="11" t="s">
        <v>344</v>
      </c>
      <c r="E317" s="11" t="s">
        <v>4056</v>
      </c>
      <c r="F317" s="1">
        <v>46235</v>
      </c>
      <c r="G317" s="1">
        <v>46235</v>
      </c>
      <c r="H317" s="11"/>
      <c r="I317" s="11" t="s">
        <v>4041</v>
      </c>
    </row>
    <row r="318" spans="1:9" hidden="1" x14ac:dyDescent="0.25">
      <c r="A318" s="1">
        <v>46238</v>
      </c>
      <c r="B318" t="s">
        <v>76</v>
      </c>
      <c r="C318" t="s">
        <v>77</v>
      </c>
      <c r="D318" s="11" t="s">
        <v>78</v>
      </c>
      <c r="E318" s="11" t="s">
        <v>4046</v>
      </c>
      <c r="F318" s="1">
        <v>46237</v>
      </c>
      <c r="G318" s="1">
        <v>46241</v>
      </c>
      <c r="H318" s="11" t="s">
        <v>73</v>
      </c>
      <c r="I318" s="11" t="s">
        <v>74</v>
      </c>
    </row>
    <row r="319" spans="1:9" hidden="1" x14ac:dyDescent="0.25">
      <c r="A319" s="1">
        <v>46238</v>
      </c>
      <c r="B319" t="s">
        <v>1244</v>
      </c>
      <c r="C319" t="s">
        <v>1245</v>
      </c>
      <c r="D319" s="11" t="s">
        <v>102</v>
      </c>
      <c r="E319" s="11" t="s">
        <v>4046</v>
      </c>
      <c r="F319" s="1">
        <v>46234</v>
      </c>
      <c r="G319" s="1">
        <v>46235</v>
      </c>
      <c r="H319" s="11"/>
      <c r="I319" s="11" t="s">
        <v>4041</v>
      </c>
    </row>
    <row r="320" spans="1:9" hidden="1" x14ac:dyDescent="0.25">
      <c r="A320" s="1">
        <v>46238</v>
      </c>
      <c r="B320" t="s">
        <v>538</v>
      </c>
      <c r="C320" t="s">
        <v>4114</v>
      </c>
      <c r="D320" s="11" t="s">
        <v>51</v>
      </c>
      <c r="E320" s="11" t="s">
        <v>4047</v>
      </c>
      <c r="F320" s="1">
        <v>46235</v>
      </c>
      <c r="G320" s="1">
        <v>46235</v>
      </c>
      <c r="H320" s="11"/>
      <c r="I320" s="11" t="s">
        <v>4041</v>
      </c>
    </row>
    <row r="321" spans="1:9" hidden="1" x14ac:dyDescent="0.25">
      <c r="A321" s="1">
        <v>46238</v>
      </c>
      <c r="B321" t="s">
        <v>3899</v>
      </c>
      <c r="C321" t="s">
        <v>3900</v>
      </c>
      <c r="D321" s="11" t="s">
        <v>482</v>
      </c>
      <c r="E321" s="11" t="s">
        <v>4040</v>
      </c>
      <c r="F321" s="1">
        <v>46234</v>
      </c>
      <c r="G321" s="1">
        <v>46234</v>
      </c>
      <c r="H321" s="11"/>
      <c r="I321" s="11" t="s">
        <v>4041</v>
      </c>
    </row>
    <row r="322" spans="1:9" hidden="1" x14ac:dyDescent="0.25">
      <c r="A322" s="1">
        <v>46238</v>
      </c>
      <c r="B322" t="s">
        <v>3191</v>
      </c>
      <c r="C322" t="s">
        <v>4115</v>
      </c>
      <c r="D322" s="11" t="s">
        <v>78</v>
      </c>
      <c r="E322" s="11" t="s">
        <v>4046</v>
      </c>
      <c r="F322" s="1">
        <v>46234</v>
      </c>
      <c r="G322" s="1">
        <v>46235</v>
      </c>
      <c r="H322" s="11"/>
      <c r="I322" s="11" t="s">
        <v>4041</v>
      </c>
    </row>
    <row r="323" spans="1:9" hidden="1" x14ac:dyDescent="0.25">
      <c r="A323" s="1">
        <v>46238</v>
      </c>
      <c r="B323" t="s">
        <v>2865</v>
      </c>
      <c r="C323" t="s">
        <v>2866</v>
      </c>
      <c r="D323" s="11" t="s">
        <v>55</v>
      </c>
      <c r="E323" s="11" t="s">
        <v>4047</v>
      </c>
      <c r="F323" s="1">
        <v>46233</v>
      </c>
      <c r="G323" s="1">
        <v>46235</v>
      </c>
      <c r="H323" s="11"/>
      <c r="I323" s="11" t="s">
        <v>4041</v>
      </c>
    </row>
    <row r="324" spans="1:9" hidden="1" x14ac:dyDescent="0.25">
      <c r="A324" s="1">
        <v>46238</v>
      </c>
      <c r="B324" t="s">
        <v>3391</v>
      </c>
      <c r="C324" t="s">
        <v>4116</v>
      </c>
      <c r="D324" s="11" t="s">
        <v>619</v>
      </c>
      <c r="E324" s="11" t="s">
        <v>4045</v>
      </c>
      <c r="F324" s="1">
        <v>46234</v>
      </c>
      <c r="G324" s="1">
        <v>46235</v>
      </c>
      <c r="H324" s="11"/>
      <c r="I324" s="11" t="s">
        <v>4041</v>
      </c>
    </row>
    <row r="325" spans="1:9" hidden="1" x14ac:dyDescent="0.25">
      <c r="A325" s="1">
        <v>46238</v>
      </c>
      <c r="B325" t="s">
        <v>137</v>
      </c>
      <c r="C325" t="s">
        <v>4117</v>
      </c>
      <c r="D325" s="11" t="s">
        <v>139</v>
      </c>
      <c r="E325" s="11" t="s">
        <v>4040</v>
      </c>
      <c r="F325" s="1">
        <v>46234</v>
      </c>
      <c r="G325" s="1">
        <v>46237</v>
      </c>
      <c r="H325" s="11"/>
      <c r="I325" s="11" t="s">
        <v>4041</v>
      </c>
    </row>
    <row r="326" spans="1:9" hidden="1" x14ac:dyDescent="0.25">
      <c r="A326" s="1">
        <v>46238</v>
      </c>
      <c r="B326" t="s">
        <v>4118</v>
      </c>
      <c r="C326" t="s">
        <v>4049</v>
      </c>
      <c r="D326" s="11" t="s">
        <v>82</v>
      </c>
      <c r="E326" s="11" t="s">
        <v>4045</v>
      </c>
      <c r="F326" s="1">
        <v>46237</v>
      </c>
      <c r="G326" s="1">
        <v>46239</v>
      </c>
      <c r="H326" s="11" t="s">
        <v>264</v>
      </c>
      <c r="I326" s="11" t="s">
        <v>265</v>
      </c>
    </row>
    <row r="327" spans="1:9" hidden="1" x14ac:dyDescent="0.25">
      <c r="A327" s="1">
        <v>46238</v>
      </c>
      <c r="B327" t="s">
        <v>113</v>
      </c>
      <c r="C327" t="s">
        <v>114</v>
      </c>
      <c r="D327" s="11" t="s">
        <v>51</v>
      </c>
      <c r="E327" s="11" t="s">
        <v>4047</v>
      </c>
      <c r="F327" s="1">
        <v>46229</v>
      </c>
      <c r="G327" s="1">
        <v>46243</v>
      </c>
      <c r="H327" s="11" t="s">
        <v>276</v>
      </c>
      <c r="I327" s="11" t="s">
        <v>277</v>
      </c>
    </row>
    <row r="328" spans="1:9" hidden="1" x14ac:dyDescent="0.25">
      <c r="A328" s="1">
        <v>46238</v>
      </c>
      <c r="B328" t="s">
        <v>4119</v>
      </c>
      <c r="C328" t="s">
        <v>4054</v>
      </c>
      <c r="D328" s="11" t="s">
        <v>482</v>
      </c>
      <c r="E328" s="11" t="s">
        <v>4040</v>
      </c>
      <c r="F328" s="1">
        <v>46235</v>
      </c>
      <c r="G328" s="1">
        <v>46238</v>
      </c>
      <c r="H328" s="11" t="s">
        <v>282</v>
      </c>
      <c r="I328" s="11" t="s">
        <v>283</v>
      </c>
    </row>
    <row r="329" spans="1:9" hidden="1" x14ac:dyDescent="0.25">
      <c r="A329" s="1">
        <v>46238</v>
      </c>
      <c r="B329" t="s">
        <v>291</v>
      </c>
      <c r="C329" t="s">
        <v>292</v>
      </c>
      <c r="D329" s="11" t="s">
        <v>272</v>
      </c>
      <c r="E329" s="11" t="s">
        <v>4056</v>
      </c>
      <c r="F329" s="1">
        <v>46233</v>
      </c>
      <c r="G329" s="1">
        <v>46238</v>
      </c>
      <c r="H329" s="11" t="s">
        <v>285</v>
      </c>
      <c r="I329" s="11" t="s">
        <v>286</v>
      </c>
    </row>
    <row r="330" spans="1:9" hidden="1" x14ac:dyDescent="0.25">
      <c r="A330" s="1">
        <v>46238</v>
      </c>
      <c r="B330" t="s">
        <v>4120</v>
      </c>
      <c r="C330" t="s">
        <v>4057</v>
      </c>
      <c r="D330" s="11" t="s">
        <v>482</v>
      </c>
      <c r="E330" s="11" t="s">
        <v>4040</v>
      </c>
      <c r="F330" s="1">
        <v>46235</v>
      </c>
      <c r="G330" s="1">
        <v>46238</v>
      </c>
      <c r="H330" s="11" t="s">
        <v>246</v>
      </c>
      <c r="I330" s="11" t="s">
        <v>247</v>
      </c>
    </row>
    <row r="331" spans="1:9" hidden="1" x14ac:dyDescent="0.25">
      <c r="A331" s="1">
        <v>46238</v>
      </c>
      <c r="B331" t="s">
        <v>2362</v>
      </c>
      <c r="C331" t="s">
        <v>4072</v>
      </c>
      <c r="D331" s="11" t="s">
        <v>139</v>
      </c>
      <c r="E331" s="11" t="s">
        <v>4040</v>
      </c>
      <c r="F331" s="1">
        <v>46230</v>
      </c>
      <c r="H331" s="11" t="s">
        <v>257</v>
      </c>
      <c r="I331" s="11" t="s">
        <v>258</v>
      </c>
    </row>
    <row r="332" spans="1:9" hidden="1" x14ac:dyDescent="0.25">
      <c r="A332" s="1">
        <v>46238</v>
      </c>
      <c r="B332" t="s">
        <v>279</v>
      </c>
      <c r="C332" t="s">
        <v>4121</v>
      </c>
      <c r="D332" s="11" t="s">
        <v>59</v>
      </c>
      <c r="E332" s="11" t="s">
        <v>4047</v>
      </c>
      <c r="F332" s="1">
        <v>46231</v>
      </c>
      <c r="G332" s="1">
        <v>46235</v>
      </c>
      <c r="H332" s="11"/>
      <c r="I332" s="11" t="s">
        <v>4041</v>
      </c>
    </row>
    <row r="333" spans="1:9" hidden="1" x14ac:dyDescent="0.25">
      <c r="A333" s="1">
        <v>46238</v>
      </c>
      <c r="B333" t="s">
        <v>187</v>
      </c>
      <c r="C333" t="s">
        <v>4122</v>
      </c>
      <c r="D333" s="11" t="s">
        <v>55</v>
      </c>
      <c r="E333" s="11" t="s">
        <v>4047</v>
      </c>
      <c r="F333" s="1">
        <v>46232</v>
      </c>
      <c r="G333" s="1">
        <v>46235</v>
      </c>
      <c r="H333" s="11"/>
      <c r="I333" s="11" t="s">
        <v>4041</v>
      </c>
    </row>
    <row r="334" spans="1:9" hidden="1" x14ac:dyDescent="0.25">
      <c r="A334" s="1">
        <v>46238</v>
      </c>
      <c r="B334" t="s">
        <v>3933</v>
      </c>
      <c r="C334" t="s">
        <v>3934</v>
      </c>
      <c r="D334" s="11" t="s">
        <v>68</v>
      </c>
      <c r="E334" s="11" t="s">
        <v>4040</v>
      </c>
      <c r="F334" s="1">
        <v>46238</v>
      </c>
      <c r="G334" s="1">
        <v>46240</v>
      </c>
      <c r="H334" s="11" t="s">
        <v>1407</v>
      </c>
      <c r="I334" s="11" t="s">
        <v>1408</v>
      </c>
    </row>
    <row r="335" spans="1:9" hidden="1" x14ac:dyDescent="0.25">
      <c r="A335" s="1">
        <v>46238</v>
      </c>
      <c r="B335" t="s">
        <v>207</v>
      </c>
      <c r="C335" t="s">
        <v>208</v>
      </c>
      <c r="D335" s="11" t="s">
        <v>28</v>
      </c>
      <c r="E335" s="11" t="s">
        <v>4046</v>
      </c>
      <c r="F335" s="1">
        <v>46235</v>
      </c>
      <c r="G335" s="1">
        <v>46240</v>
      </c>
      <c r="H335" s="11" t="s">
        <v>303</v>
      </c>
      <c r="I335" s="11" t="s">
        <v>304</v>
      </c>
    </row>
    <row r="336" spans="1:9" hidden="1" x14ac:dyDescent="0.25">
      <c r="A336" s="1">
        <v>46238</v>
      </c>
      <c r="B336" t="s">
        <v>156</v>
      </c>
      <c r="C336" t="s">
        <v>157</v>
      </c>
      <c r="D336" s="11" t="s">
        <v>44</v>
      </c>
      <c r="E336" s="11" t="s">
        <v>4045</v>
      </c>
      <c r="F336" s="1">
        <v>46232</v>
      </c>
      <c r="G336" s="1">
        <v>46239</v>
      </c>
      <c r="H336" s="11" t="s">
        <v>96</v>
      </c>
      <c r="I336" s="11" t="s">
        <v>97</v>
      </c>
    </row>
    <row r="337" spans="1:9" hidden="1" x14ac:dyDescent="0.25">
      <c r="A337" s="1">
        <v>46238</v>
      </c>
      <c r="B337" t="s">
        <v>53</v>
      </c>
      <c r="C337" t="s">
        <v>88</v>
      </c>
      <c r="D337" s="11" t="s">
        <v>55</v>
      </c>
      <c r="E337" s="11" t="s">
        <v>4047</v>
      </c>
      <c r="F337" s="1">
        <v>46229</v>
      </c>
      <c r="G337" s="1">
        <v>46258</v>
      </c>
      <c r="H337" s="11" t="s">
        <v>85</v>
      </c>
      <c r="I337" s="11" t="s">
        <v>86</v>
      </c>
    </row>
    <row r="338" spans="1:9" hidden="1" x14ac:dyDescent="0.25">
      <c r="A338" s="1">
        <v>46238</v>
      </c>
      <c r="B338" t="s">
        <v>57</v>
      </c>
      <c r="C338" t="s">
        <v>58</v>
      </c>
      <c r="D338" s="11" t="s">
        <v>59</v>
      </c>
      <c r="E338" s="11" t="s">
        <v>4047</v>
      </c>
      <c r="F338" s="1">
        <v>46227</v>
      </c>
      <c r="G338" s="1">
        <v>46246</v>
      </c>
      <c r="H338" s="11" t="s">
        <v>110</v>
      </c>
      <c r="I338" s="11" t="s">
        <v>111</v>
      </c>
    </row>
    <row r="339" spans="1:9" hidden="1" x14ac:dyDescent="0.25">
      <c r="A339" s="1">
        <v>46238</v>
      </c>
      <c r="B339" t="s">
        <v>219</v>
      </c>
      <c r="C339" t="s">
        <v>220</v>
      </c>
      <c r="D339" s="11" t="s">
        <v>55</v>
      </c>
      <c r="E339" s="11" t="s">
        <v>4047</v>
      </c>
      <c r="F339" s="1">
        <v>46225</v>
      </c>
      <c r="G339" s="1">
        <v>46239</v>
      </c>
      <c r="H339" s="11" t="s">
        <v>213</v>
      </c>
      <c r="I339" s="11" t="s">
        <v>214</v>
      </c>
    </row>
    <row r="340" spans="1:9" hidden="1" x14ac:dyDescent="0.25">
      <c r="A340" s="1">
        <v>46238</v>
      </c>
      <c r="B340" t="s">
        <v>70</v>
      </c>
      <c r="C340" t="s">
        <v>71</v>
      </c>
      <c r="D340" s="11" t="s">
        <v>55</v>
      </c>
      <c r="E340" s="11" t="s">
        <v>4047</v>
      </c>
      <c r="F340" s="1">
        <v>46226</v>
      </c>
      <c r="G340" s="1">
        <v>46246</v>
      </c>
      <c r="H340" s="11" t="s">
        <v>177</v>
      </c>
      <c r="I340" s="11" t="s">
        <v>178</v>
      </c>
    </row>
    <row r="341" spans="1:9" hidden="1" x14ac:dyDescent="0.25">
      <c r="A341" s="1">
        <v>46238</v>
      </c>
      <c r="B341" t="s">
        <v>26</v>
      </c>
      <c r="C341" t="s">
        <v>27</v>
      </c>
      <c r="D341" s="11" t="s">
        <v>28</v>
      </c>
      <c r="E341" s="11" t="s">
        <v>4046</v>
      </c>
      <c r="F341" s="1">
        <v>46226</v>
      </c>
      <c r="G341" s="1">
        <v>46255</v>
      </c>
      <c r="H341" s="11" t="s">
        <v>17</v>
      </c>
      <c r="I341" s="11" t="s">
        <v>18</v>
      </c>
    </row>
    <row r="342" spans="1:9" hidden="1" x14ac:dyDescent="0.25">
      <c r="A342" s="1">
        <v>46238</v>
      </c>
      <c r="B342" t="s">
        <v>270</v>
      </c>
      <c r="C342" t="s">
        <v>271</v>
      </c>
      <c r="D342" s="11" t="s">
        <v>272</v>
      </c>
      <c r="E342" s="11" t="s">
        <v>4056</v>
      </c>
      <c r="F342" s="1">
        <v>46224</v>
      </c>
      <c r="G342" s="1">
        <v>46238</v>
      </c>
      <c r="H342" s="11"/>
      <c r="I342" s="11" t="s">
        <v>327</v>
      </c>
    </row>
    <row r="343" spans="1:9" hidden="1" x14ac:dyDescent="0.25">
      <c r="A343" s="1">
        <v>46238</v>
      </c>
      <c r="B343" t="s">
        <v>62</v>
      </c>
      <c r="C343" t="s">
        <v>63</v>
      </c>
      <c r="D343" s="11" t="s">
        <v>64</v>
      </c>
      <c r="E343" s="11" t="s">
        <v>4046</v>
      </c>
      <c r="F343" s="1">
        <v>46219</v>
      </c>
      <c r="G343" s="1">
        <v>46248</v>
      </c>
      <c r="H343" s="11" t="s">
        <v>236</v>
      </c>
      <c r="I343" s="11" t="s">
        <v>237</v>
      </c>
    </row>
    <row r="344" spans="1:9" hidden="1" x14ac:dyDescent="0.25">
      <c r="A344" s="1">
        <v>46238</v>
      </c>
      <c r="B344" t="s">
        <v>30</v>
      </c>
      <c r="C344" t="s">
        <v>61</v>
      </c>
      <c r="D344" s="11" t="s">
        <v>28</v>
      </c>
      <c r="E344" s="11" t="s">
        <v>4046</v>
      </c>
      <c r="F344" s="1">
        <v>46230</v>
      </c>
      <c r="G344" s="1">
        <v>46248</v>
      </c>
      <c r="H344" s="11" t="s">
        <v>45</v>
      </c>
      <c r="I344" s="11" t="s">
        <v>46</v>
      </c>
    </row>
    <row r="345" spans="1:9" hidden="1" x14ac:dyDescent="0.25">
      <c r="A345" s="1">
        <v>46238</v>
      </c>
      <c r="B345" t="s">
        <v>122</v>
      </c>
      <c r="C345" t="s">
        <v>123</v>
      </c>
      <c r="D345" s="11" t="s">
        <v>124</v>
      </c>
      <c r="E345" s="11" t="s">
        <v>4045</v>
      </c>
      <c r="F345" s="1">
        <v>46224</v>
      </c>
      <c r="G345" s="1">
        <v>46238</v>
      </c>
      <c r="H345" s="11" t="s">
        <v>273</v>
      </c>
      <c r="I345" s="11" t="s">
        <v>274</v>
      </c>
    </row>
    <row r="346" spans="1:9" hidden="1" x14ac:dyDescent="0.25">
      <c r="A346" s="1">
        <v>46238</v>
      </c>
      <c r="B346" t="s">
        <v>37</v>
      </c>
      <c r="C346" t="s">
        <v>38</v>
      </c>
      <c r="D346" s="11" t="s">
        <v>39</v>
      </c>
      <c r="E346" s="11" t="s">
        <v>4046</v>
      </c>
      <c r="F346" s="1">
        <v>46217</v>
      </c>
      <c r="G346" s="1">
        <v>46342</v>
      </c>
      <c r="H346" s="11" t="s">
        <v>148</v>
      </c>
      <c r="I346" s="11" t="s">
        <v>149</v>
      </c>
    </row>
    <row r="347" spans="1:9" hidden="1" x14ac:dyDescent="0.25">
      <c r="A347" s="1">
        <v>46238</v>
      </c>
      <c r="B347" t="s">
        <v>4124</v>
      </c>
      <c r="C347" t="s">
        <v>4069</v>
      </c>
      <c r="D347" s="11" t="s">
        <v>64</v>
      </c>
      <c r="E347" s="11" t="s">
        <v>4046</v>
      </c>
      <c r="F347" s="1">
        <v>46195</v>
      </c>
      <c r="H347" s="11"/>
      <c r="I347" s="11" t="s">
        <v>327</v>
      </c>
    </row>
    <row r="348" spans="1:9" hidden="1" x14ac:dyDescent="0.25">
      <c r="A348" s="1">
        <v>46238</v>
      </c>
      <c r="B348">
        <v>1152699151</v>
      </c>
      <c r="C348" t="s">
        <v>1020</v>
      </c>
      <c r="D348" s="11" t="s">
        <v>4125</v>
      </c>
      <c r="E348" s="11" t="s">
        <v>4046</v>
      </c>
      <c r="F348" s="1">
        <v>46238</v>
      </c>
      <c r="G348" s="1">
        <v>46240</v>
      </c>
      <c r="H348" s="11" t="s">
        <v>3662</v>
      </c>
      <c r="I348" s="11" t="s">
        <v>3663</v>
      </c>
    </row>
    <row r="349" spans="1:9" hidden="1" x14ac:dyDescent="0.25">
      <c r="A349" s="1">
        <v>46239</v>
      </c>
      <c r="B349">
        <v>1152699151</v>
      </c>
      <c r="C349" t="s">
        <v>1020</v>
      </c>
      <c r="D349" s="11" t="s">
        <v>4125</v>
      </c>
      <c r="E349" s="11" t="s">
        <v>4046</v>
      </c>
      <c r="F349" s="1">
        <v>46238</v>
      </c>
      <c r="G349" s="1">
        <v>46240</v>
      </c>
      <c r="H349" s="11" t="s">
        <v>3662</v>
      </c>
      <c r="I349" s="11" t="s">
        <v>3663</v>
      </c>
    </row>
    <row r="350" spans="1:9" hidden="1" x14ac:dyDescent="0.25">
      <c r="A350" s="1">
        <v>46240</v>
      </c>
      <c r="B350">
        <v>1152699151</v>
      </c>
      <c r="C350" t="s">
        <v>1020</v>
      </c>
      <c r="D350" s="11" t="s">
        <v>4125</v>
      </c>
      <c r="E350" s="11" t="s">
        <v>4046</v>
      </c>
      <c r="F350" s="1">
        <v>46238</v>
      </c>
      <c r="G350" s="1">
        <v>46240</v>
      </c>
      <c r="H350" s="11" t="s">
        <v>3662</v>
      </c>
      <c r="I350" s="11" t="s">
        <v>3663</v>
      </c>
    </row>
    <row r="351" spans="1:9" hidden="1" x14ac:dyDescent="0.25">
      <c r="A351" s="1">
        <v>46242</v>
      </c>
      <c r="B351">
        <v>1152699151</v>
      </c>
      <c r="C351" t="s">
        <v>1020</v>
      </c>
      <c r="D351" s="11" t="s">
        <v>4125</v>
      </c>
      <c r="E351" s="11" t="s">
        <v>4046</v>
      </c>
      <c r="F351" s="1">
        <v>46238</v>
      </c>
      <c r="G351" s="1">
        <v>46240</v>
      </c>
      <c r="H351" s="11"/>
      <c r="I351" s="11" t="s">
        <v>4041</v>
      </c>
    </row>
    <row r="352" spans="1:9" hidden="1" x14ac:dyDescent="0.25">
      <c r="A352" s="1">
        <v>46238</v>
      </c>
      <c r="B352">
        <v>1152470285</v>
      </c>
      <c r="C352" t="s">
        <v>3594</v>
      </c>
      <c r="D352" s="11" t="s">
        <v>82</v>
      </c>
      <c r="E352" s="11" t="s">
        <v>4045</v>
      </c>
      <c r="F352" s="1">
        <v>46238</v>
      </c>
      <c r="G352" s="1">
        <v>46238</v>
      </c>
      <c r="H352" s="11" t="s">
        <v>1491</v>
      </c>
      <c r="I352" s="11" t="s">
        <v>1492</v>
      </c>
    </row>
    <row r="353" spans="1:9" hidden="1" x14ac:dyDescent="0.25">
      <c r="A353" s="1">
        <v>46239</v>
      </c>
      <c r="B353">
        <v>1152470285</v>
      </c>
      <c r="C353" t="s">
        <v>4126</v>
      </c>
      <c r="D353" s="11" t="s">
        <v>82</v>
      </c>
      <c r="E353" s="11" t="s">
        <v>4045</v>
      </c>
      <c r="F353" s="1">
        <v>46238</v>
      </c>
      <c r="G353" s="1">
        <v>46238</v>
      </c>
      <c r="H353" s="11"/>
      <c r="I353" s="11" t="s">
        <v>4041</v>
      </c>
    </row>
    <row r="354" spans="1:9" hidden="1" x14ac:dyDescent="0.25">
      <c r="A354" s="1">
        <v>46238</v>
      </c>
      <c r="B354" t="s">
        <v>228</v>
      </c>
      <c r="C354" t="s">
        <v>229</v>
      </c>
      <c r="D354" s="11" t="s">
        <v>4078</v>
      </c>
      <c r="E354" s="11" t="s">
        <v>4046</v>
      </c>
      <c r="F354" s="1">
        <v>46238</v>
      </c>
      <c r="G354" s="1">
        <v>46238</v>
      </c>
      <c r="H354" s="11" t="s">
        <v>228</v>
      </c>
      <c r="I354" s="11" t="s">
        <v>229</v>
      </c>
    </row>
    <row r="355" spans="1:9" hidden="1" x14ac:dyDescent="0.25">
      <c r="A355" s="1">
        <v>46238</v>
      </c>
      <c r="B355">
        <v>1193055266</v>
      </c>
      <c r="C355" t="s">
        <v>322</v>
      </c>
      <c r="D355" s="11" t="s">
        <v>4078</v>
      </c>
      <c r="E355" s="11" t="s">
        <v>4056</v>
      </c>
      <c r="F355" s="1">
        <v>46238</v>
      </c>
      <c r="G355" s="1">
        <v>46238</v>
      </c>
      <c r="H355" s="11" t="s">
        <v>321</v>
      </c>
      <c r="I355" s="11" t="s">
        <v>322</v>
      </c>
    </row>
    <row r="356" spans="1:9" hidden="1" x14ac:dyDescent="0.25">
      <c r="A356" s="1">
        <v>46238</v>
      </c>
      <c r="B356">
        <v>1152687492</v>
      </c>
      <c r="C356" t="s">
        <v>4127</v>
      </c>
      <c r="D356" s="11" t="s">
        <v>414</v>
      </c>
      <c r="E356" s="11" t="s">
        <v>4056</v>
      </c>
      <c r="F356" s="1">
        <v>46238</v>
      </c>
      <c r="G356" s="1">
        <v>46240</v>
      </c>
      <c r="H356" s="11" t="s">
        <v>267</v>
      </c>
      <c r="I356" s="11" t="s">
        <v>268</v>
      </c>
    </row>
    <row r="357" spans="1:9" hidden="1" x14ac:dyDescent="0.25">
      <c r="A357" s="1">
        <v>46239</v>
      </c>
      <c r="B357">
        <v>1152687492</v>
      </c>
      <c r="C357" t="s">
        <v>4127</v>
      </c>
      <c r="D357" s="11" t="s">
        <v>414</v>
      </c>
      <c r="E357" s="11" t="s">
        <v>4056</v>
      </c>
      <c r="F357" s="1">
        <v>46238</v>
      </c>
      <c r="G357" s="1">
        <v>46240</v>
      </c>
      <c r="H357" s="11" t="s">
        <v>285</v>
      </c>
      <c r="I357" s="11" t="s">
        <v>286</v>
      </c>
    </row>
    <row r="358" spans="1:9" hidden="1" x14ac:dyDescent="0.25">
      <c r="A358" s="1">
        <v>46240</v>
      </c>
      <c r="B358">
        <v>1152687492</v>
      </c>
      <c r="C358" t="s">
        <v>4127</v>
      </c>
      <c r="D358" s="11" t="s">
        <v>414</v>
      </c>
      <c r="E358" s="11" t="s">
        <v>4056</v>
      </c>
      <c r="F358" s="1">
        <v>46238</v>
      </c>
      <c r="G358" s="1">
        <v>46240</v>
      </c>
      <c r="H358" s="11"/>
      <c r="I358" s="11" t="s">
        <v>4041</v>
      </c>
    </row>
    <row r="359" spans="1:9" hidden="1" x14ac:dyDescent="0.25">
      <c r="A359" s="1">
        <v>46242</v>
      </c>
      <c r="B359">
        <v>1152687492</v>
      </c>
      <c r="C359" t="s">
        <v>4127</v>
      </c>
      <c r="D359" s="11" t="s">
        <v>414</v>
      </c>
      <c r="E359" s="11" t="s">
        <v>4056</v>
      </c>
      <c r="F359" s="1">
        <v>46238</v>
      </c>
      <c r="G359" s="1">
        <v>46240</v>
      </c>
      <c r="H359" s="11"/>
      <c r="I359" s="11" t="s">
        <v>4041</v>
      </c>
    </row>
    <row r="360" spans="1:9" hidden="1" x14ac:dyDescent="0.25">
      <c r="A360" s="1">
        <v>46238</v>
      </c>
      <c r="B360">
        <v>1117545007</v>
      </c>
      <c r="C360" t="s">
        <v>2375</v>
      </c>
      <c r="D360" s="11" t="s">
        <v>139</v>
      </c>
      <c r="E360" s="11" t="s">
        <v>4040</v>
      </c>
      <c r="F360" s="1">
        <v>46237</v>
      </c>
      <c r="G360" s="1">
        <v>46239</v>
      </c>
      <c r="H360" s="11" t="s">
        <v>314</v>
      </c>
      <c r="I360" s="11" t="s">
        <v>315</v>
      </c>
    </row>
    <row r="361" spans="1:9" hidden="1" x14ac:dyDescent="0.25">
      <c r="A361" s="1">
        <v>46239</v>
      </c>
      <c r="B361">
        <v>1117545007</v>
      </c>
      <c r="C361" t="s">
        <v>2375</v>
      </c>
      <c r="D361" s="11" t="s">
        <v>139</v>
      </c>
      <c r="E361" s="11" t="s">
        <v>4040</v>
      </c>
      <c r="F361" s="1">
        <v>46237</v>
      </c>
      <c r="G361" s="1">
        <v>46239</v>
      </c>
      <c r="H361" s="11" t="s">
        <v>73</v>
      </c>
      <c r="I361" s="11" t="s">
        <v>74</v>
      </c>
    </row>
    <row r="362" spans="1:9" hidden="1" x14ac:dyDescent="0.25">
      <c r="A362" s="1">
        <v>46240</v>
      </c>
      <c r="B362">
        <v>1117545007</v>
      </c>
      <c r="C362" t="s">
        <v>2375</v>
      </c>
      <c r="D362" s="11" t="s">
        <v>139</v>
      </c>
      <c r="E362" s="11" t="s">
        <v>4040</v>
      </c>
      <c r="F362" s="1">
        <v>46237</v>
      </c>
      <c r="G362" s="1">
        <v>46239</v>
      </c>
      <c r="H362" s="11"/>
      <c r="I362" s="11" t="s">
        <v>4041</v>
      </c>
    </row>
    <row r="363" spans="1:9" hidden="1" x14ac:dyDescent="0.25">
      <c r="A363" s="1">
        <v>46238</v>
      </c>
      <c r="B363">
        <v>1214743121</v>
      </c>
      <c r="C363" t="s">
        <v>4128</v>
      </c>
      <c r="D363" s="11" t="s">
        <v>421</v>
      </c>
      <c r="E363" s="11" t="s">
        <v>4047</v>
      </c>
      <c r="F363" s="1">
        <v>46238</v>
      </c>
      <c r="H363" s="11"/>
      <c r="I363" s="11" t="s">
        <v>4060</v>
      </c>
    </row>
    <row r="364" spans="1:9" hidden="1" x14ac:dyDescent="0.25">
      <c r="A364" s="1">
        <v>46239</v>
      </c>
      <c r="B364">
        <v>1214743121</v>
      </c>
      <c r="C364" t="s">
        <v>4128</v>
      </c>
      <c r="D364" s="11" t="s">
        <v>421</v>
      </c>
      <c r="E364" s="11" t="s">
        <v>4047</v>
      </c>
      <c r="F364" s="1">
        <v>46238</v>
      </c>
      <c r="H364" s="11"/>
      <c r="I364" s="11" t="s">
        <v>4084</v>
      </c>
    </row>
    <row r="365" spans="1:9" hidden="1" x14ac:dyDescent="0.25">
      <c r="A365" s="1">
        <v>46238</v>
      </c>
      <c r="B365">
        <v>1005660092</v>
      </c>
      <c r="C365" t="s">
        <v>2316</v>
      </c>
      <c r="D365" s="11" t="s">
        <v>102</v>
      </c>
      <c r="E365" s="11" t="s">
        <v>4046</v>
      </c>
      <c r="F365" s="1">
        <v>46238</v>
      </c>
      <c r="G365" s="1">
        <v>46238</v>
      </c>
      <c r="H365" s="11"/>
      <c r="I365" s="11" t="s">
        <v>4060</v>
      </c>
    </row>
    <row r="366" spans="1:9" hidden="1" x14ac:dyDescent="0.25">
      <c r="A366" s="1">
        <v>46238</v>
      </c>
      <c r="B366">
        <v>88030132</v>
      </c>
      <c r="C366" t="s">
        <v>1956</v>
      </c>
      <c r="D366" s="11" t="s">
        <v>59</v>
      </c>
      <c r="E366" s="11" t="s">
        <v>4047</v>
      </c>
      <c r="F366" s="1">
        <v>46238</v>
      </c>
      <c r="G366" s="1">
        <v>46237</v>
      </c>
      <c r="H366" s="11"/>
      <c r="I366" s="11" t="s">
        <v>4084</v>
      </c>
    </row>
    <row r="367" spans="1:9" hidden="1" x14ac:dyDescent="0.25">
      <c r="A367" s="1">
        <v>46239</v>
      </c>
      <c r="B367">
        <v>88030132</v>
      </c>
      <c r="C367" t="s">
        <v>1956</v>
      </c>
      <c r="D367" s="11" t="s">
        <v>59</v>
      </c>
      <c r="E367" s="11" t="s">
        <v>4047</v>
      </c>
      <c r="F367" s="1">
        <v>46238</v>
      </c>
      <c r="G367" s="1">
        <v>46237</v>
      </c>
      <c r="H367" s="11"/>
      <c r="I367" s="11" t="s">
        <v>4060</v>
      </c>
    </row>
    <row r="368" spans="1:9" hidden="1" x14ac:dyDescent="0.25">
      <c r="A368" s="1">
        <v>46238</v>
      </c>
      <c r="B368">
        <v>1067963513</v>
      </c>
      <c r="C368" t="s">
        <v>4130</v>
      </c>
      <c r="D368" s="11" t="s">
        <v>68</v>
      </c>
      <c r="E368" s="11" t="s">
        <v>4040</v>
      </c>
      <c r="F368" s="1">
        <v>46238</v>
      </c>
      <c r="G368" s="1">
        <v>46238</v>
      </c>
      <c r="H368" s="11"/>
      <c r="I368" s="11" t="s">
        <v>4060</v>
      </c>
    </row>
    <row r="369" spans="1:9" hidden="1" x14ac:dyDescent="0.25">
      <c r="A369" s="1">
        <v>46239</v>
      </c>
      <c r="B369">
        <v>1067963513</v>
      </c>
      <c r="C369" t="s">
        <v>84</v>
      </c>
      <c r="D369" s="11" t="s">
        <v>68</v>
      </c>
      <c r="E369" s="11" t="s">
        <v>4040</v>
      </c>
      <c r="F369" s="1">
        <v>46238</v>
      </c>
      <c r="G369" s="1">
        <v>46238</v>
      </c>
      <c r="H369" s="11"/>
      <c r="I369" s="11" t="s">
        <v>4060</v>
      </c>
    </row>
    <row r="370" spans="1:9" hidden="1" x14ac:dyDescent="0.25">
      <c r="A370" s="1">
        <v>46240</v>
      </c>
      <c r="B370">
        <v>1067963513</v>
      </c>
      <c r="C370" t="s">
        <v>84</v>
      </c>
      <c r="D370" s="11" t="s">
        <v>68</v>
      </c>
      <c r="E370" s="11" t="s">
        <v>4040</v>
      </c>
      <c r="F370" s="1">
        <v>46238</v>
      </c>
      <c r="G370" s="1">
        <v>46238</v>
      </c>
      <c r="H370" s="11"/>
      <c r="I370" s="11" t="s">
        <v>4041</v>
      </c>
    </row>
    <row r="371" spans="1:9" hidden="1" x14ac:dyDescent="0.25">
      <c r="A371" s="1">
        <v>46238</v>
      </c>
      <c r="B371">
        <v>1000412686</v>
      </c>
      <c r="C371" t="s">
        <v>2872</v>
      </c>
      <c r="D371" s="11" t="s">
        <v>82</v>
      </c>
      <c r="E371" s="11" t="s">
        <v>4045</v>
      </c>
      <c r="F371" s="1">
        <v>46238</v>
      </c>
      <c r="G371" s="1">
        <v>46238</v>
      </c>
      <c r="H371" s="11"/>
      <c r="I371" s="11" t="s">
        <v>4060</v>
      </c>
    </row>
    <row r="372" spans="1:9" hidden="1" x14ac:dyDescent="0.25">
      <c r="A372" s="1">
        <v>46239</v>
      </c>
      <c r="B372">
        <v>1000412686</v>
      </c>
      <c r="C372" t="s">
        <v>2872</v>
      </c>
      <c r="D372" s="11" t="s">
        <v>82</v>
      </c>
      <c r="E372" s="11" t="s">
        <v>4045</v>
      </c>
      <c r="F372" s="1">
        <v>46238</v>
      </c>
      <c r="G372" s="1">
        <v>46238</v>
      </c>
      <c r="H372" s="11"/>
      <c r="I372" s="11" t="s">
        <v>4060</v>
      </c>
    </row>
    <row r="373" spans="1:9" hidden="1" x14ac:dyDescent="0.25">
      <c r="A373" s="1">
        <v>46240</v>
      </c>
      <c r="B373">
        <v>1000412686</v>
      </c>
      <c r="C373" t="s">
        <v>2872</v>
      </c>
      <c r="D373" s="11" t="s">
        <v>82</v>
      </c>
      <c r="E373" s="11" t="s">
        <v>4045</v>
      </c>
      <c r="F373" s="1">
        <v>46238</v>
      </c>
      <c r="G373" s="1">
        <v>46238</v>
      </c>
      <c r="H373" s="11"/>
      <c r="I373" s="11" t="s">
        <v>4041</v>
      </c>
    </row>
    <row r="374" spans="1:9" hidden="1" x14ac:dyDescent="0.25">
      <c r="A374" s="1">
        <v>46238</v>
      </c>
      <c r="B374">
        <v>1193104616</v>
      </c>
      <c r="C374" t="s">
        <v>2004</v>
      </c>
      <c r="D374" s="11" t="s">
        <v>55</v>
      </c>
      <c r="E374" s="11" t="s">
        <v>4047</v>
      </c>
      <c r="F374" s="1">
        <v>46238</v>
      </c>
      <c r="G374" s="1">
        <v>46240</v>
      </c>
      <c r="H374" s="11"/>
      <c r="I374" s="11" t="s">
        <v>327</v>
      </c>
    </row>
    <row r="375" spans="1:9" hidden="1" x14ac:dyDescent="0.25">
      <c r="A375" s="1">
        <v>46239</v>
      </c>
      <c r="B375">
        <v>1193104616</v>
      </c>
      <c r="C375" t="s">
        <v>2004</v>
      </c>
      <c r="D375" s="11" t="s">
        <v>55</v>
      </c>
      <c r="E375" s="11" t="s">
        <v>4047</v>
      </c>
      <c r="F375" s="1">
        <v>46238</v>
      </c>
      <c r="G375" s="1">
        <v>46240</v>
      </c>
      <c r="H375" s="11" t="s">
        <v>85</v>
      </c>
      <c r="I375" s="11" t="s">
        <v>86</v>
      </c>
    </row>
    <row r="376" spans="1:9" hidden="1" x14ac:dyDescent="0.25">
      <c r="A376" s="1">
        <v>46240</v>
      </c>
      <c r="B376">
        <v>1193104616</v>
      </c>
      <c r="C376" t="s">
        <v>2004</v>
      </c>
      <c r="D376" s="11" t="s">
        <v>55</v>
      </c>
      <c r="E376" s="11" t="s">
        <v>4047</v>
      </c>
      <c r="F376" s="1">
        <v>46238</v>
      </c>
      <c r="G376" s="1">
        <v>46240</v>
      </c>
      <c r="H376" s="11"/>
      <c r="I376" s="11" t="s">
        <v>327</v>
      </c>
    </row>
    <row r="377" spans="1:9" hidden="1" x14ac:dyDescent="0.25">
      <c r="A377" s="1">
        <v>46242</v>
      </c>
      <c r="B377">
        <v>1193104616</v>
      </c>
      <c r="C377" t="s">
        <v>2004</v>
      </c>
      <c r="D377" s="11" t="s">
        <v>55</v>
      </c>
      <c r="E377" s="11" t="s">
        <v>4047</v>
      </c>
      <c r="F377" s="1">
        <v>46238</v>
      </c>
      <c r="G377" s="1">
        <v>46240</v>
      </c>
      <c r="H377" s="11"/>
      <c r="I377" s="11" t="s">
        <v>4041</v>
      </c>
    </row>
    <row r="378" spans="1:9" hidden="1" x14ac:dyDescent="0.25">
      <c r="A378" s="1">
        <v>46238</v>
      </c>
      <c r="B378">
        <v>1001369228</v>
      </c>
      <c r="C378" t="s">
        <v>164</v>
      </c>
      <c r="D378" s="11" t="s">
        <v>4078</v>
      </c>
      <c r="E378" s="11" t="s">
        <v>4056</v>
      </c>
      <c r="F378" s="1">
        <v>46238</v>
      </c>
      <c r="G378" s="1">
        <v>46239</v>
      </c>
      <c r="H378" s="11"/>
      <c r="I378" s="11" t="s">
        <v>4131</v>
      </c>
    </row>
    <row r="379" spans="1:9" hidden="1" x14ac:dyDescent="0.25">
      <c r="A379" s="1">
        <v>46239</v>
      </c>
      <c r="B379">
        <v>1001369228</v>
      </c>
      <c r="C379" t="s">
        <v>164</v>
      </c>
      <c r="D379" s="11" t="s">
        <v>4078</v>
      </c>
      <c r="E379" s="11" t="s">
        <v>4056</v>
      </c>
      <c r="F379" s="1">
        <v>46238</v>
      </c>
      <c r="G379" s="1">
        <v>46239</v>
      </c>
      <c r="H379" s="11"/>
      <c r="I379" s="11" t="s">
        <v>339</v>
      </c>
    </row>
    <row r="380" spans="1:9" hidden="1" x14ac:dyDescent="0.25">
      <c r="A380" s="1">
        <v>46238</v>
      </c>
      <c r="B380">
        <v>1005424850</v>
      </c>
      <c r="C380" t="s">
        <v>95</v>
      </c>
      <c r="D380" s="11" t="s">
        <v>82</v>
      </c>
      <c r="E380" s="11" t="s">
        <v>4045</v>
      </c>
      <c r="F380" s="1">
        <v>46238</v>
      </c>
      <c r="G380" s="1">
        <v>46262</v>
      </c>
      <c r="H380" s="11"/>
      <c r="I380" s="11" t="s">
        <v>327</v>
      </c>
    </row>
    <row r="381" spans="1:9" hidden="1" x14ac:dyDescent="0.25">
      <c r="A381" s="1">
        <v>46239</v>
      </c>
      <c r="B381">
        <v>1005424850</v>
      </c>
      <c r="C381" t="s">
        <v>95</v>
      </c>
      <c r="D381" s="11" t="s">
        <v>82</v>
      </c>
      <c r="E381" s="11" t="s">
        <v>4045</v>
      </c>
      <c r="F381" s="1">
        <v>46238</v>
      </c>
      <c r="G381" s="1">
        <v>46262</v>
      </c>
      <c r="H381" s="11"/>
      <c r="I381" s="11" t="s">
        <v>327</v>
      </c>
    </row>
    <row r="382" spans="1:9" hidden="1" x14ac:dyDescent="0.25">
      <c r="A382" s="1">
        <v>46240</v>
      </c>
      <c r="B382">
        <v>1005424850</v>
      </c>
      <c r="C382" t="s">
        <v>95</v>
      </c>
      <c r="D382" s="11" t="s">
        <v>82</v>
      </c>
      <c r="E382" s="11" t="s">
        <v>4045</v>
      </c>
      <c r="F382" s="1">
        <v>46238</v>
      </c>
      <c r="G382" s="1">
        <v>46262</v>
      </c>
      <c r="H382" s="11" t="s">
        <v>96</v>
      </c>
      <c r="I382" s="11" t="s">
        <v>97</v>
      </c>
    </row>
    <row r="383" spans="1:9" hidden="1" x14ac:dyDescent="0.25">
      <c r="A383" s="1">
        <v>46244</v>
      </c>
      <c r="B383">
        <v>1005424850</v>
      </c>
      <c r="C383" t="s">
        <v>95</v>
      </c>
      <c r="D383" s="11" t="s">
        <v>82</v>
      </c>
      <c r="E383" s="11" t="s">
        <v>4045</v>
      </c>
      <c r="F383" s="1">
        <v>46238</v>
      </c>
      <c r="G383" s="1">
        <v>46262</v>
      </c>
      <c r="H383" s="11" t="s">
        <v>199</v>
      </c>
      <c r="I383" s="11" t="s">
        <v>200</v>
      </c>
    </row>
    <row r="384" spans="1:9" hidden="1" x14ac:dyDescent="0.25">
      <c r="A384" s="1">
        <v>46245</v>
      </c>
      <c r="B384">
        <v>1005424850</v>
      </c>
      <c r="C384" t="s">
        <v>95</v>
      </c>
      <c r="D384" s="11" t="s">
        <v>82</v>
      </c>
      <c r="E384" s="11" t="s">
        <v>4045</v>
      </c>
      <c r="F384" s="1">
        <v>46238</v>
      </c>
      <c r="G384" s="1">
        <v>46262</v>
      </c>
      <c r="H384" s="11" t="s">
        <v>231</v>
      </c>
      <c r="I384" s="11" t="s">
        <v>232</v>
      </c>
    </row>
    <row r="385" spans="1:9" hidden="1" x14ac:dyDescent="0.25">
      <c r="A385" s="1">
        <v>46239</v>
      </c>
      <c r="B385">
        <v>1140899272</v>
      </c>
      <c r="C385" t="s">
        <v>4132</v>
      </c>
      <c r="D385" s="11" t="s">
        <v>28</v>
      </c>
      <c r="E385" s="11" t="s">
        <v>4046</v>
      </c>
      <c r="F385" s="1">
        <v>46238</v>
      </c>
      <c r="G385" s="1">
        <v>46240</v>
      </c>
      <c r="H385" s="11"/>
      <c r="I385" s="11" t="s">
        <v>4133</v>
      </c>
    </row>
    <row r="386" spans="1:9" hidden="1" x14ac:dyDescent="0.25">
      <c r="A386" s="1">
        <v>46240</v>
      </c>
      <c r="B386">
        <v>1140899272</v>
      </c>
      <c r="C386" t="s">
        <v>4132</v>
      </c>
      <c r="D386" s="11" t="s">
        <v>28</v>
      </c>
      <c r="E386" s="11" t="s">
        <v>4046</v>
      </c>
      <c r="F386" s="1">
        <v>46238</v>
      </c>
      <c r="G386" s="1">
        <v>46240</v>
      </c>
      <c r="H386" s="11"/>
      <c r="I386" s="11" t="s">
        <v>327</v>
      </c>
    </row>
    <row r="387" spans="1:9" hidden="1" x14ac:dyDescent="0.25">
      <c r="A387" s="1">
        <v>46242</v>
      </c>
      <c r="B387">
        <v>1140899272</v>
      </c>
      <c r="C387" t="s">
        <v>4132</v>
      </c>
      <c r="D387" s="11" t="s">
        <v>28</v>
      </c>
      <c r="E387" s="11" t="s">
        <v>4046</v>
      </c>
      <c r="F387" s="1">
        <v>46238</v>
      </c>
      <c r="G387" s="1">
        <v>46240</v>
      </c>
      <c r="H387" s="11"/>
      <c r="I387" s="11" t="s">
        <v>4041</v>
      </c>
    </row>
    <row r="388" spans="1:9" hidden="1" x14ac:dyDescent="0.25">
      <c r="A388" s="1">
        <v>46238</v>
      </c>
      <c r="B388">
        <v>1037626926</v>
      </c>
      <c r="C388" t="s">
        <v>4134</v>
      </c>
      <c r="D388" s="11" t="s">
        <v>51</v>
      </c>
      <c r="E388" s="11" t="s">
        <v>4047</v>
      </c>
      <c r="F388" s="1">
        <v>46237</v>
      </c>
      <c r="G388" s="1">
        <v>46238</v>
      </c>
      <c r="H388" s="11"/>
      <c r="I388" s="11" t="s">
        <v>327</v>
      </c>
    </row>
    <row r="389" spans="1:9" hidden="1" x14ac:dyDescent="0.25">
      <c r="A389" s="1">
        <v>46239</v>
      </c>
      <c r="B389">
        <v>1037626926</v>
      </c>
      <c r="C389" t="s">
        <v>4135</v>
      </c>
      <c r="D389" s="11" t="s">
        <v>51</v>
      </c>
      <c r="E389" s="11" t="s">
        <v>4047</v>
      </c>
      <c r="F389" s="1">
        <v>46237</v>
      </c>
      <c r="G389" s="1">
        <v>46238</v>
      </c>
      <c r="H389" s="11"/>
      <c r="I389" s="11" t="s">
        <v>4041</v>
      </c>
    </row>
    <row r="390" spans="1:9" hidden="1" x14ac:dyDescent="0.25">
      <c r="A390" s="1">
        <v>46238</v>
      </c>
      <c r="B390">
        <v>1036656151</v>
      </c>
      <c r="C390" t="s">
        <v>4136</v>
      </c>
      <c r="D390" s="11" t="s">
        <v>15</v>
      </c>
      <c r="E390" s="11" t="s">
        <v>4046</v>
      </c>
      <c r="F390" s="1">
        <v>46238</v>
      </c>
      <c r="G390" s="1">
        <v>46239</v>
      </c>
      <c r="H390" s="11"/>
      <c r="I390" s="11" t="s">
        <v>4060</v>
      </c>
    </row>
    <row r="391" spans="1:9" hidden="1" x14ac:dyDescent="0.25">
      <c r="A391" s="1">
        <v>46239</v>
      </c>
      <c r="B391">
        <v>1036656151</v>
      </c>
      <c r="C391" t="s">
        <v>1697</v>
      </c>
      <c r="D391" s="11" t="s">
        <v>15</v>
      </c>
      <c r="E391" s="11" t="s">
        <v>4046</v>
      </c>
      <c r="F391" s="1">
        <v>46238</v>
      </c>
      <c r="G391" s="1">
        <v>46239</v>
      </c>
      <c r="H391" s="11" t="s">
        <v>177</v>
      </c>
      <c r="I391" s="11" t="s">
        <v>178</v>
      </c>
    </row>
    <row r="392" spans="1:9" hidden="1" x14ac:dyDescent="0.25">
      <c r="A392" s="1">
        <v>46240</v>
      </c>
      <c r="B392">
        <v>1036656151</v>
      </c>
      <c r="C392" t="s">
        <v>1697</v>
      </c>
      <c r="D392" s="11" t="s">
        <v>15</v>
      </c>
      <c r="E392" s="11" t="s">
        <v>4046</v>
      </c>
      <c r="F392" s="1">
        <v>46238</v>
      </c>
      <c r="G392" s="1">
        <v>46239</v>
      </c>
      <c r="H392" s="11"/>
      <c r="I392" s="11" t="s">
        <v>4041</v>
      </c>
    </row>
    <row r="393" spans="1:9" hidden="1" x14ac:dyDescent="0.25">
      <c r="A393" s="1">
        <v>46238</v>
      </c>
      <c r="B393">
        <v>1001901817</v>
      </c>
      <c r="C393" t="s">
        <v>4137</v>
      </c>
      <c r="D393" s="11" t="s">
        <v>634</v>
      </c>
      <c r="E393" s="11" t="s">
        <v>4045</v>
      </c>
      <c r="F393" s="1">
        <v>46238</v>
      </c>
      <c r="G393" s="1">
        <v>46239</v>
      </c>
      <c r="H393" s="11"/>
      <c r="I393" s="11" t="s">
        <v>4060</v>
      </c>
    </row>
    <row r="394" spans="1:9" hidden="1" x14ac:dyDescent="0.25">
      <c r="A394" s="1">
        <v>46239</v>
      </c>
      <c r="B394">
        <v>1001901817</v>
      </c>
      <c r="C394" t="s">
        <v>4137</v>
      </c>
      <c r="D394" s="11" t="s">
        <v>634</v>
      </c>
      <c r="E394" s="11" t="s">
        <v>4045</v>
      </c>
      <c r="F394" s="1">
        <v>46238</v>
      </c>
      <c r="G394" s="1">
        <v>46239</v>
      </c>
      <c r="H394" s="11" t="s">
        <v>273</v>
      </c>
      <c r="I394" s="11" t="s">
        <v>274</v>
      </c>
    </row>
    <row r="395" spans="1:9" hidden="1" x14ac:dyDescent="0.25">
      <c r="A395" s="1">
        <v>46238</v>
      </c>
      <c r="B395">
        <v>1037634709</v>
      </c>
      <c r="C395" t="s">
        <v>4044</v>
      </c>
      <c r="D395" s="11" t="s">
        <v>492</v>
      </c>
      <c r="E395" s="11" t="s">
        <v>4045</v>
      </c>
      <c r="F395" s="1">
        <v>46238</v>
      </c>
      <c r="G395" s="1">
        <v>46240</v>
      </c>
      <c r="H395" s="11"/>
      <c r="I395" s="11" t="s">
        <v>327</v>
      </c>
    </row>
    <row r="396" spans="1:9" hidden="1" x14ac:dyDescent="0.25">
      <c r="A396" s="1">
        <v>46239</v>
      </c>
      <c r="B396">
        <v>1037634709</v>
      </c>
      <c r="C396" t="s">
        <v>4044</v>
      </c>
      <c r="D396" s="11" t="s">
        <v>492</v>
      </c>
      <c r="E396" s="11" t="s">
        <v>4045</v>
      </c>
      <c r="F396" s="1">
        <v>46238</v>
      </c>
      <c r="G396" s="1">
        <v>46240</v>
      </c>
      <c r="H396" s="11" t="s">
        <v>199</v>
      </c>
      <c r="I396" s="11" t="s">
        <v>200</v>
      </c>
    </row>
    <row r="397" spans="1:9" hidden="1" x14ac:dyDescent="0.25">
      <c r="A397" s="1">
        <v>46240</v>
      </c>
      <c r="B397">
        <v>1037634709</v>
      </c>
      <c r="C397" t="s">
        <v>4044</v>
      </c>
      <c r="D397" s="11" t="s">
        <v>492</v>
      </c>
      <c r="E397" s="11" t="s">
        <v>4045</v>
      </c>
      <c r="F397" s="1">
        <v>46238</v>
      </c>
      <c r="G397" s="1">
        <v>46240</v>
      </c>
      <c r="H397" s="11" t="s">
        <v>150</v>
      </c>
      <c r="I397" s="11" t="s">
        <v>151</v>
      </c>
    </row>
    <row r="398" spans="1:9" hidden="1" x14ac:dyDescent="0.25">
      <c r="A398" s="1">
        <v>46242</v>
      </c>
      <c r="B398">
        <v>1037634709</v>
      </c>
      <c r="C398" t="s">
        <v>4044</v>
      </c>
      <c r="D398" s="11" t="s">
        <v>492</v>
      </c>
      <c r="E398" s="11" t="s">
        <v>4045</v>
      </c>
      <c r="F398" s="1">
        <v>46238</v>
      </c>
      <c r="G398" s="1">
        <v>46240</v>
      </c>
      <c r="H398" s="11"/>
      <c r="I398" s="11" t="s">
        <v>4041</v>
      </c>
    </row>
    <row r="399" spans="1:9" hidden="1" x14ac:dyDescent="0.25">
      <c r="A399" s="1">
        <v>46238</v>
      </c>
      <c r="B399">
        <v>1000439437</v>
      </c>
      <c r="C399" t="s">
        <v>451</v>
      </c>
      <c r="D399" s="11" t="s">
        <v>139</v>
      </c>
      <c r="E399" s="11" t="s">
        <v>4040</v>
      </c>
      <c r="F399" s="1">
        <v>46238</v>
      </c>
      <c r="G399" s="1">
        <v>46240</v>
      </c>
      <c r="H399" s="11"/>
      <c r="I399" s="11" t="s">
        <v>4060</v>
      </c>
    </row>
    <row r="400" spans="1:9" hidden="1" x14ac:dyDescent="0.25">
      <c r="A400" s="1">
        <v>46239</v>
      </c>
      <c r="B400">
        <v>1000439437</v>
      </c>
      <c r="C400" t="s">
        <v>451</v>
      </c>
      <c r="D400" s="11" t="s">
        <v>139</v>
      </c>
      <c r="E400" s="11" t="s">
        <v>4040</v>
      </c>
      <c r="F400" s="1">
        <v>46238</v>
      </c>
      <c r="G400" s="1">
        <v>46240</v>
      </c>
      <c r="H400" s="11"/>
      <c r="I400" s="11" t="s">
        <v>327</v>
      </c>
    </row>
    <row r="401" spans="1:9" hidden="1" x14ac:dyDescent="0.25">
      <c r="A401" s="1">
        <v>46240</v>
      </c>
      <c r="B401">
        <v>1000439437</v>
      </c>
      <c r="C401" t="s">
        <v>451</v>
      </c>
      <c r="D401" s="11" t="s">
        <v>139</v>
      </c>
      <c r="E401" s="11" t="s">
        <v>4040</v>
      </c>
      <c r="F401" s="1">
        <v>46238</v>
      </c>
      <c r="G401" s="1">
        <v>46240</v>
      </c>
      <c r="H401" s="11" t="s">
        <v>73</v>
      </c>
      <c r="I401" s="11" t="s">
        <v>74</v>
      </c>
    </row>
    <row r="402" spans="1:9" hidden="1" x14ac:dyDescent="0.25">
      <c r="A402" s="1">
        <v>46242</v>
      </c>
      <c r="B402">
        <v>1000439437</v>
      </c>
      <c r="C402" t="s">
        <v>451</v>
      </c>
      <c r="D402" s="11" t="s">
        <v>139</v>
      </c>
      <c r="E402" s="11" t="s">
        <v>4040</v>
      </c>
      <c r="F402" s="1">
        <v>46238</v>
      </c>
      <c r="G402" s="1">
        <v>46240</v>
      </c>
      <c r="H402" s="11"/>
      <c r="I402" s="11" t="s">
        <v>4041</v>
      </c>
    </row>
    <row r="403" spans="1:9" hidden="1" x14ac:dyDescent="0.25">
      <c r="A403" s="1">
        <v>46238</v>
      </c>
      <c r="B403">
        <v>1017259589</v>
      </c>
      <c r="C403" t="s">
        <v>2094</v>
      </c>
      <c r="D403" s="11" t="s">
        <v>82</v>
      </c>
      <c r="E403" s="11" t="s">
        <v>4045</v>
      </c>
      <c r="F403" s="1">
        <v>46238</v>
      </c>
      <c r="G403" s="1">
        <v>46238</v>
      </c>
      <c r="H403" s="11"/>
      <c r="I403" s="11" t="s">
        <v>4060</v>
      </c>
    </row>
    <row r="404" spans="1:9" hidden="1" x14ac:dyDescent="0.25">
      <c r="A404" s="1">
        <v>46239</v>
      </c>
      <c r="B404">
        <v>1017259589</v>
      </c>
      <c r="C404" t="s">
        <v>4138</v>
      </c>
      <c r="D404" s="11" t="s">
        <v>82</v>
      </c>
      <c r="E404" s="11" t="s">
        <v>4045</v>
      </c>
      <c r="F404" s="1">
        <v>46238</v>
      </c>
      <c r="G404" s="1">
        <v>46238</v>
      </c>
      <c r="H404" s="11"/>
      <c r="I404" s="11" t="s">
        <v>4041</v>
      </c>
    </row>
    <row r="405" spans="1:9" hidden="1" x14ac:dyDescent="0.25">
      <c r="A405" s="1">
        <v>46240</v>
      </c>
      <c r="B405">
        <v>1017259589</v>
      </c>
      <c r="C405" t="s">
        <v>4138</v>
      </c>
      <c r="D405" s="11" t="s">
        <v>82</v>
      </c>
      <c r="E405" s="11" t="s">
        <v>4045</v>
      </c>
      <c r="F405" s="1">
        <v>46238</v>
      </c>
      <c r="G405" s="1">
        <v>46238</v>
      </c>
      <c r="H405" s="11"/>
      <c r="I405" s="11" t="s">
        <v>4041</v>
      </c>
    </row>
    <row r="406" spans="1:9" hidden="1" x14ac:dyDescent="0.25">
      <c r="A406" s="1">
        <v>46239</v>
      </c>
      <c r="B406">
        <v>1143166909</v>
      </c>
      <c r="C406" t="s">
        <v>2717</v>
      </c>
      <c r="D406" s="11" t="s">
        <v>344</v>
      </c>
      <c r="E406" s="11" t="s">
        <v>4056</v>
      </c>
      <c r="F406" s="1">
        <v>46239</v>
      </c>
      <c r="H406" s="11"/>
      <c r="I406" s="11" t="s">
        <v>4139</v>
      </c>
    </row>
    <row r="407" spans="1:9" hidden="1" x14ac:dyDescent="0.25">
      <c r="A407" s="1">
        <v>46240</v>
      </c>
      <c r="B407">
        <v>1143166909</v>
      </c>
      <c r="C407" t="s">
        <v>2717</v>
      </c>
      <c r="D407" s="11" t="s">
        <v>344</v>
      </c>
      <c r="E407" s="11" t="s">
        <v>4056</v>
      </c>
      <c r="F407" s="1">
        <v>46239</v>
      </c>
      <c r="H407" s="11"/>
      <c r="I407" s="11" t="s">
        <v>4041</v>
      </c>
    </row>
    <row r="408" spans="1:9" hidden="1" x14ac:dyDescent="0.25">
      <c r="A408" s="1">
        <v>46239</v>
      </c>
      <c r="B408">
        <v>1083001678</v>
      </c>
      <c r="C408" t="s">
        <v>599</v>
      </c>
      <c r="D408" s="11" t="s">
        <v>139</v>
      </c>
      <c r="E408" s="11" t="s">
        <v>4040</v>
      </c>
      <c r="F408" s="1">
        <v>46239</v>
      </c>
      <c r="G408" s="1">
        <v>46239</v>
      </c>
      <c r="H408" s="11" t="s">
        <v>1491</v>
      </c>
      <c r="I408" s="11" t="s">
        <v>1492</v>
      </c>
    </row>
    <row r="409" spans="1:9" hidden="1" x14ac:dyDescent="0.25">
      <c r="A409" s="1">
        <v>46240</v>
      </c>
      <c r="B409">
        <v>1083001678</v>
      </c>
      <c r="C409" t="s">
        <v>599</v>
      </c>
      <c r="D409" s="11" t="s">
        <v>139</v>
      </c>
      <c r="E409" s="11" t="s">
        <v>4040</v>
      </c>
      <c r="F409" s="1">
        <v>46239</v>
      </c>
      <c r="G409" s="1">
        <v>46239</v>
      </c>
      <c r="H409" s="11"/>
      <c r="I409" s="11" t="s">
        <v>4041</v>
      </c>
    </row>
    <row r="410" spans="1:9" hidden="1" x14ac:dyDescent="0.25">
      <c r="A410" s="1">
        <v>46239</v>
      </c>
      <c r="B410">
        <v>1020475954</v>
      </c>
      <c r="C410" t="s">
        <v>3934</v>
      </c>
      <c r="D410" s="11" t="s">
        <v>68</v>
      </c>
      <c r="E410" s="11" t="s">
        <v>4040</v>
      </c>
      <c r="F410" s="1">
        <v>46238</v>
      </c>
      <c r="G410" s="1">
        <v>46240</v>
      </c>
      <c r="H410" s="11" t="s">
        <v>297</v>
      </c>
      <c r="I410" s="11" t="s">
        <v>298</v>
      </c>
    </row>
    <row r="411" spans="1:9" hidden="1" x14ac:dyDescent="0.25">
      <c r="A411" s="1">
        <v>46240</v>
      </c>
      <c r="B411">
        <v>1020475954</v>
      </c>
      <c r="C411" t="s">
        <v>3934</v>
      </c>
      <c r="D411" s="11" t="s">
        <v>68</v>
      </c>
      <c r="E411" s="11" t="s">
        <v>4040</v>
      </c>
      <c r="F411" s="1">
        <v>46238</v>
      </c>
      <c r="G411" s="1">
        <v>46240</v>
      </c>
      <c r="H411" s="11" t="s">
        <v>303</v>
      </c>
      <c r="I411" s="11" t="s">
        <v>304</v>
      </c>
    </row>
    <row r="412" spans="1:9" hidden="1" x14ac:dyDescent="0.25">
      <c r="A412" s="1">
        <v>46242</v>
      </c>
      <c r="B412">
        <v>1020475954</v>
      </c>
      <c r="C412" t="s">
        <v>3934</v>
      </c>
      <c r="D412" s="11" t="s">
        <v>68</v>
      </c>
      <c r="E412" s="11" t="s">
        <v>4040</v>
      </c>
      <c r="F412" s="1">
        <v>46238</v>
      </c>
      <c r="G412" s="1">
        <v>46240</v>
      </c>
      <c r="H412" s="11"/>
      <c r="I412" s="11" t="s">
        <v>4041</v>
      </c>
    </row>
    <row r="413" spans="1:9" hidden="1" x14ac:dyDescent="0.25">
      <c r="A413" s="1">
        <v>46239</v>
      </c>
      <c r="B413">
        <v>1045718883</v>
      </c>
      <c r="C413" t="s">
        <v>34</v>
      </c>
      <c r="D413" s="11" t="s">
        <v>15</v>
      </c>
      <c r="E413" s="11" t="s">
        <v>4046</v>
      </c>
      <c r="F413" s="1">
        <v>46224</v>
      </c>
      <c r="G413" s="1">
        <v>46239</v>
      </c>
      <c r="H413" s="11" t="s">
        <v>300</v>
      </c>
      <c r="I413" s="11" t="s">
        <v>301</v>
      </c>
    </row>
    <row r="414" spans="1:9" hidden="1" x14ac:dyDescent="0.25">
      <c r="A414" s="1">
        <v>46240</v>
      </c>
      <c r="B414">
        <v>1045718883</v>
      </c>
      <c r="C414" t="s">
        <v>34</v>
      </c>
      <c r="D414" s="11" t="s">
        <v>15</v>
      </c>
      <c r="E414" s="11" t="s">
        <v>4046</v>
      </c>
      <c r="F414" s="1">
        <v>46224</v>
      </c>
      <c r="G414" s="1">
        <v>46239</v>
      </c>
      <c r="H414" s="11"/>
      <c r="I414" s="11" t="s">
        <v>4041</v>
      </c>
    </row>
    <row r="415" spans="1:9" hidden="1" x14ac:dyDescent="0.25">
      <c r="A415" s="1">
        <v>46239</v>
      </c>
      <c r="B415">
        <v>1018466443</v>
      </c>
      <c r="C415" t="s">
        <v>4141</v>
      </c>
      <c r="D415" s="11" t="s">
        <v>482</v>
      </c>
      <c r="E415" s="11" t="s">
        <v>4040</v>
      </c>
      <c r="F415" s="1">
        <v>46239</v>
      </c>
      <c r="G415" s="1">
        <v>46244</v>
      </c>
      <c r="H415" s="11" t="s">
        <v>1382</v>
      </c>
      <c r="I415" s="11" t="s">
        <v>1383</v>
      </c>
    </row>
    <row r="416" spans="1:9" hidden="1" x14ac:dyDescent="0.25">
      <c r="A416" s="1">
        <v>46240</v>
      </c>
      <c r="B416">
        <v>1018466443</v>
      </c>
      <c r="C416" t="s">
        <v>4141</v>
      </c>
      <c r="D416" s="11" t="s">
        <v>482</v>
      </c>
      <c r="E416" s="11" t="s">
        <v>4040</v>
      </c>
      <c r="F416" s="1">
        <v>46239</v>
      </c>
      <c r="G416" s="1">
        <v>46244</v>
      </c>
      <c r="H416" s="11" t="s">
        <v>193</v>
      </c>
      <c r="I416" s="11" t="s">
        <v>194</v>
      </c>
    </row>
    <row r="417" spans="1:9" hidden="1" x14ac:dyDescent="0.25">
      <c r="A417" s="1">
        <v>46244</v>
      </c>
      <c r="B417">
        <v>1018466443</v>
      </c>
      <c r="C417" t="s">
        <v>4141</v>
      </c>
      <c r="D417" s="11" t="s">
        <v>482</v>
      </c>
      <c r="E417" s="11" t="s">
        <v>4040</v>
      </c>
      <c r="F417" s="1">
        <v>46239</v>
      </c>
      <c r="G417" s="1">
        <v>46244</v>
      </c>
      <c r="H417" s="11" t="s">
        <v>231</v>
      </c>
      <c r="I417" s="11" t="s">
        <v>232</v>
      </c>
    </row>
    <row r="418" spans="1:9" hidden="1" x14ac:dyDescent="0.25">
      <c r="A418" s="1">
        <v>46245</v>
      </c>
      <c r="B418">
        <v>1018466443</v>
      </c>
      <c r="C418" t="s">
        <v>1768</v>
      </c>
      <c r="D418" s="11" t="s">
        <v>482</v>
      </c>
      <c r="E418" s="11" t="s">
        <v>4040</v>
      </c>
      <c r="F418" s="1">
        <v>46239</v>
      </c>
      <c r="G418" s="1">
        <v>46244</v>
      </c>
      <c r="H418" s="11"/>
      <c r="I418" s="11" t="s">
        <v>4041</v>
      </c>
    </row>
    <row r="419" spans="1:9" hidden="1" x14ac:dyDescent="0.25">
      <c r="A419" s="1">
        <v>46239</v>
      </c>
      <c r="B419">
        <v>1017267628</v>
      </c>
      <c r="C419" t="s">
        <v>255</v>
      </c>
      <c r="D419" s="11" t="s">
        <v>256</v>
      </c>
      <c r="E419" s="11" t="s">
        <v>4040</v>
      </c>
      <c r="F419" s="1">
        <v>46239</v>
      </c>
      <c r="G419" s="1">
        <v>46243</v>
      </c>
      <c r="H419" s="11"/>
      <c r="I419" s="11" t="s">
        <v>4060</v>
      </c>
    </row>
    <row r="420" spans="1:9" hidden="1" x14ac:dyDescent="0.25">
      <c r="A420" s="1">
        <v>46239</v>
      </c>
      <c r="B420" t="s">
        <v>228</v>
      </c>
      <c r="C420" t="s">
        <v>229</v>
      </c>
      <c r="D420" s="11" t="s">
        <v>4078</v>
      </c>
      <c r="E420" s="11" t="s">
        <v>4046</v>
      </c>
      <c r="F420" s="1">
        <v>46239</v>
      </c>
      <c r="G420" s="1">
        <v>46239</v>
      </c>
      <c r="H420" s="11" t="s">
        <v>228</v>
      </c>
      <c r="I420" s="11" t="s">
        <v>229</v>
      </c>
    </row>
    <row r="421" spans="1:9" hidden="1" x14ac:dyDescent="0.25">
      <c r="A421" s="1">
        <v>46239</v>
      </c>
      <c r="B421">
        <v>1037669752</v>
      </c>
      <c r="C421" t="s">
        <v>3585</v>
      </c>
      <c r="D421" s="11" t="s">
        <v>143</v>
      </c>
      <c r="E421" s="11" t="s">
        <v>4045</v>
      </c>
      <c r="F421" s="1">
        <v>46239</v>
      </c>
      <c r="G421" s="1">
        <v>46239</v>
      </c>
      <c r="H421" s="11" t="s">
        <v>257</v>
      </c>
      <c r="I421" s="11" t="s">
        <v>258</v>
      </c>
    </row>
    <row r="422" spans="1:9" hidden="1" x14ac:dyDescent="0.25">
      <c r="A422" s="1">
        <v>46240</v>
      </c>
      <c r="B422">
        <v>1037669752</v>
      </c>
      <c r="C422" t="s">
        <v>3585</v>
      </c>
      <c r="D422" s="11" t="s">
        <v>143</v>
      </c>
      <c r="E422" s="11" t="s">
        <v>4045</v>
      </c>
      <c r="F422" s="1">
        <v>46239</v>
      </c>
      <c r="G422" s="1">
        <v>46239</v>
      </c>
      <c r="H422" s="11"/>
      <c r="I422" s="11" t="s">
        <v>4041</v>
      </c>
    </row>
    <row r="423" spans="1:9" hidden="1" x14ac:dyDescent="0.25">
      <c r="A423" s="1">
        <v>46239</v>
      </c>
      <c r="B423">
        <v>1005605946</v>
      </c>
      <c r="C423" t="s">
        <v>185</v>
      </c>
      <c r="D423" s="11" t="s">
        <v>4078</v>
      </c>
      <c r="E423" s="11" t="s">
        <v>4056</v>
      </c>
      <c r="F423" s="1">
        <v>46239</v>
      </c>
      <c r="G423" s="1">
        <v>46239</v>
      </c>
      <c r="H423" s="11" t="s">
        <v>184</v>
      </c>
      <c r="I423" s="11" t="s">
        <v>185</v>
      </c>
    </row>
    <row r="424" spans="1:9" hidden="1" x14ac:dyDescent="0.25">
      <c r="A424" s="1">
        <v>46239</v>
      </c>
      <c r="B424">
        <v>1143374438</v>
      </c>
      <c r="C424" t="s">
        <v>154</v>
      </c>
      <c r="D424" s="11" t="s">
        <v>28</v>
      </c>
      <c r="E424" s="11" t="s">
        <v>4046</v>
      </c>
      <c r="F424" s="1">
        <v>46239</v>
      </c>
      <c r="G424" s="1">
        <v>46268</v>
      </c>
      <c r="H424" s="11"/>
      <c r="I424" s="11" t="s">
        <v>4060</v>
      </c>
    </row>
    <row r="425" spans="1:9" hidden="1" x14ac:dyDescent="0.25">
      <c r="A425" s="1">
        <v>46240</v>
      </c>
      <c r="B425">
        <v>1143374438</v>
      </c>
      <c r="C425" t="s">
        <v>154</v>
      </c>
      <c r="D425" s="11" t="s">
        <v>28</v>
      </c>
      <c r="E425" s="11" t="s">
        <v>4046</v>
      </c>
      <c r="F425" s="1">
        <v>46239</v>
      </c>
      <c r="G425" s="1">
        <v>46268</v>
      </c>
      <c r="H425" s="11"/>
      <c r="I425" s="11" t="s">
        <v>4060</v>
      </c>
    </row>
    <row r="426" spans="1:9" hidden="1" x14ac:dyDescent="0.25">
      <c r="A426" s="1">
        <v>46244</v>
      </c>
      <c r="B426">
        <v>1143374438</v>
      </c>
      <c r="C426" t="s">
        <v>154</v>
      </c>
      <c r="D426" s="11" t="s">
        <v>28</v>
      </c>
      <c r="E426" s="11" t="s">
        <v>4046</v>
      </c>
      <c r="F426" s="1">
        <v>46239</v>
      </c>
      <c r="G426" s="1">
        <v>46268</v>
      </c>
      <c r="H426" s="11"/>
      <c r="I426" s="11" t="s">
        <v>327</v>
      </c>
    </row>
    <row r="427" spans="1:9" hidden="1" x14ac:dyDescent="0.25">
      <c r="A427" s="1">
        <v>46245</v>
      </c>
      <c r="B427">
        <v>1143374438</v>
      </c>
      <c r="C427" t="s">
        <v>154</v>
      </c>
      <c r="D427" s="11" t="s">
        <v>28</v>
      </c>
      <c r="E427" s="11" t="s">
        <v>4046</v>
      </c>
      <c r="F427" s="1">
        <v>46239</v>
      </c>
      <c r="G427" s="1">
        <v>46268</v>
      </c>
      <c r="H427" s="11" t="s">
        <v>213</v>
      </c>
      <c r="I427" s="11" t="s">
        <v>214</v>
      </c>
    </row>
    <row r="428" spans="1:9" hidden="1" x14ac:dyDescent="0.25">
      <c r="A428" s="1">
        <v>46239</v>
      </c>
      <c r="B428">
        <v>42141273</v>
      </c>
      <c r="C428" t="s">
        <v>271</v>
      </c>
      <c r="D428" s="11" t="s">
        <v>272</v>
      </c>
      <c r="E428" s="11" t="s">
        <v>4056</v>
      </c>
      <c r="F428" s="1">
        <v>46238</v>
      </c>
      <c r="G428" s="1">
        <v>46295</v>
      </c>
      <c r="H428" s="11" t="s">
        <v>267</v>
      </c>
      <c r="I428" s="11" t="s">
        <v>268</v>
      </c>
    </row>
    <row r="429" spans="1:9" hidden="1" x14ac:dyDescent="0.25">
      <c r="A429" s="1">
        <v>46239</v>
      </c>
      <c r="B429">
        <v>1017270154</v>
      </c>
      <c r="C429" t="s">
        <v>1004</v>
      </c>
      <c r="D429" s="11" t="s">
        <v>421</v>
      </c>
      <c r="E429" s="11" t="s">
        <v>4047</v>
      </c>
      <c r="F429" s="1">
        <v>46239</v>
      </c>
      <c r="G429" s="1">
        <v>46240</v>
      </c>
      <c r="H429" s="11"/>
      <c r="I429" s="11" t="s">
        <v>4060</v>
      </c>
    </row>
    <row r="430" spans="1:9" hidden="1" x14ac:dyDescent="0.25">
      <c r="A430" s="1">
        <v>46240</v>
      </c>
      <c r="B430">
        <v>1017270154</v>
      </c>
      <c r="C430" t="s">
        <v>4142</v>
      </c>
      <c r="D430" s="11" t="s">
        <v>421</v>
      </c>
      <c r="E430" s="11" t="s">
        <v>4047</v>
      </c>
      <c r="F430" s="1">
        <v>46239</v>
      </c>
      <c r="G430" s="1">
        <v>46240</v>
      </c>
      <c r="H430" s="11"/>
      <c r="I430" s="11" t="s">
        <v>4060</v>
      </c>
    </row>
    <row r="431" spans="1:9" hidden="1" x14ac:dyDescent="0.25">
      <c r="A431" s="1">
        <v>46242</v>
      </c>
      <c r="B431">
        <v>1017270154</v>
      </c>
      <c r="C431" t="s">
        <v>4142</v>
      </c>
      <c r="D431" s="11" t="s">
        <v>421</v>
      </c>
      <c r="E431" s="11" t="s">
        <v>4047</v>
      </c>
      <c r="F431" s="1">
        <v>46239</v>
      </c>
      <c r="G431" s="1">
        <v>46240</v>
      </c>
      <c r="H431" s="11"/>
      <c r="I431" s="11" t="s">
        <v>4041</v>
      </c>
    </row>
    <row r="432" spans="1:9" hidden="1" x14ac:dyDescent="0.25">
      <c r="A432" s="1">
        <v>46239</v>
      </c>
      <c r="B432">
        <v>1035876080</v>
      </c>
      <c r="C432" t="s">
        <v>123</v>
      </c>
      <c r="D432" s="11" t="s">
        <v>124</v>
      </c>
      <c r="E432" s="11" t="s">
        <v>4045</v>
      </c>
      <c r="F432" s="1">
        <v>46238</v>
      </c>
      <c r="G432" s="1">
        <v>46245</v>
      </c>
      <c r="H432" s="11"/>
      <c r="I432" s="11" t="s">
        <v>4060</v>
      </c>
    </row>
    <row r="433" spans="1:9" hidden="1" x14ac:dyDescent="0.25">
      <c r="A433" s="1">
        <v>46239</v>
      </c>
      <c r="B433">
        <v>1003377961</v>
      </c>
      <c r="C433" t="s">
        <v>2582</v>
      </c>
      <c r="D433" s="11" t="s">
        <v>55</v>
      </c>
      <c r="E433" s="11" t="s">
        <v>4047</v>
      </c>
      <c r="F433" s="1">
        <v>46239</v>
      </c>
      <c r="G433" s="1">
        <v>46239</v>
      </c>
      <c r="H433" s="11"/>
      <c r="I433" s="11" t="s">
        <v>327</v>
      </c>
    </row>
    <row r="434" spans="1:9" hidden="1" x14ac:dyDescent="0.25">
      <c r="A434" s="1">
        <v>46240</v>
      </c>
      <c r="B434">
        <v>1003377961</v>
      </c>
      <c r="C434" t="s">
        <v>2582</v>
      </c>
      <c r="D434" s="11" t="s">
        <v>55</v>
      </c>
      <c r="E434" s="11" t="s">
        <v>4047</v>
      </c>
      <c r="F434" s="1">
        <v>46239</v>
      </c>
      <c r="G434" s="1">
        <v>46239</v>
      </c>
      <c r="H434" s="11"/>
      <c r="I434" s="11" t="s">
        <v>4041</v>
      </c>
    </row>
    <row r="435" spans="1:9" hidden="1" x14ac:dyDescent="0.25">
      <c r="A435" s="1">
        <v>46239</v>
      </c>
      <c r="B435">
        <v>1065664047</v>
      </c>
      <c r="C435" t="s">
        <v>1184</v>
      </c>
      <c r="D435" s="11" t="s">
        <v>162</v>
      </c>
      <c r="E435" s="11" t="s">
        <v>4056</v>
      </c>
      <c r="F435" s="1">
        <v>46239</v>
      </c>
      <c r="G435" s="1">
        <v>46240</v>
      </c>
      <c r="H435" s="11"/>
      <c r="I435" s="11" t="s">
        <v>4060</v>
      </c>
    </row>
    <row r="436" spans="1:9" hidden="1" x14ac:dyDescent="0.25">
      <c r="A436" s="1">
        <v>46240</v>
      </c>
      <c r="B436">
        <v>1065664047</v>
      </c>
      <c r="C436" t="s">
        <v>1184</v>
      </c>
      <c r="D436" s="11" t="s">
        <v>162</v>
      </c>
      <c r="E436" s="11" t="s">
        <v>4056</v>
      </c>
      <c r="F436" s="1">
        <v>46239</v>
      </c>
      <c r="G436" s="1">
        <v>46240</v>
      </c>
      <c r="H436" s="11" t="s">
        <v>321</v>
      </c>
      <c r="I436" s="11" t="s">
        <v>322</v>
      </c>
    </row>
    <row r="437" spans="1:9" hidden="1" x14ac:dyDescent="0.25">
      <c r="A437" s="1">
        <v>46242</v>
      </c>
      <c r="B437">
        <v>1065664047</v>
      </c>
      <c r="C437" t="s">
        <v>1184</v>
      </c>
      <c r="D437" s="11" t="s">
        <v>162</v>
      </c>
      <c r="E437" s="11" t="s">
        <v>4056</v>
      </c>
      <c r="F437" s="1">
        <v>46239</v>
      </c>
      <c r="G437" s="1">
        <v>46240</v>
      </c>
      <c r="H437" s="11"/>
      <c r="I437" s="11" t="s">
        <v>4041</v>
      </c>
    </row>
    <row r="438" spans="1:9" hidden="1" x14ac:dyDescent="0.25">
      <c r="A438" s="1">
        <v>46239</v>
      </c>
      <c r="B438">
        <v>1143394119</v>
      </c>
      <c r="C438" t="s">
        <v>4143</v>
      </c>
      <c r="D438" s="11" t="s">
        <v>59</v>
      </c>
      <c r="E438" s="11" t="s">
        <v>4047</v>
      </c>
      <c r="F438" s="1">
        <v>46238</v>
      </c>
      <c r="G438" s="1">
        <v>46239</v>
      </c>
      <c r="H438" s="11"/>
      <c r="I438" s="11" t="s">
        <v>4060</v>
      </c>
    </row>
    <row r="439" spans="1:9" hidden="1" x14ac:dyDescent="0.25">
      <c r="A439" s="1">
        <v>46239</v>
      </c>
      <c r="B439">
        <v>1082896324</v>
      </c>
      <c r="C439" t="s">
        <v>127</v>
      </c>
      <c r="D439" s="11" t="s">
        <v>128</v>
      </c>
      <c r="E439" s="11" t="s">
        <v>4045</v>
      </c>
      <c r="F439" s="1">
        <v>46239</v>
      </c>
      <c r="G439" s="1">
        <v>46240</v>
      </c>
      <c r="H439" s="11"/>
      <c r="I439" s="11" t="s">
        <v>4060</v>
      </c>
    </row>
    <row r="440" spans="1:9" hidden="1" x14ac:dyDescent="0.25">
      <c r="A440" s="1">
        <v>46240</v>
      </c>
      <c r="B440">
        <v>1082896324</v>
      </c>
      <c r="C440" t="s">
        <v>127</v>
      </c>
      <c r="D440" s="11" t="s">
        <v>128</v>
      </c>
      <c r="E440" s="11" t="s">
        <v>4045</v>
      </c>
      <c r="F440" s="1">
        <v>46239</v>
      </c>
      <c r="G440" s="1">
        <v>46240</v>
      </c>
      <c r="H440" s="11" t="s">
        <v>1382</v>
      </c>
      <c r="I440" s="11" t="s">
        <v>1383</v>
      </c>
    </row>
    <row r="441" spans="1:9" hidden="1" x14ac:dyDescent="0.25">
      <c r="A441" s="1">
        <v>46242</v>
      </c>
      <c r="B441">
        <v>1082896324</v>
      </c>
      <c r="C441" t="s">
        <v>127</v>
      </c>
      <c r="D441" s="11" t="s">
        <v>128</v>
      </c>
      <c r="E441" s="11" t="s">
        <v>4045</v>
      </c>
      <c r="F441" s="1">
        <v>46239</v>
      </c>
      <c r="G441" s="1">
        <v>46240</v>
      </c>
      <c r="H441" s="11"/>
      <c r="I441" s="11" t="s">
        <v>4041</v>
      </c>
    </row>
    <row r="442" spans="1:9" hidden="1" x14ac:dyDescent="0.25">
      <c r="A442" s="1">
        <v>46239</v>
      </c>
      <c r="B442">
        <v>1235045754</v>
      </c>
      <c r="C442" t="s">
        <v>2420</v>
      </c>
      <c r="D442" s="11" t="s">
        <v>421</v>
      </c>
      <c r="E442" s="11" t="s">
        <v>4047</v>
      </c>
      <c r="F442" s="1">
        <v>46238</v>
      </c>
      <c r="G442" s="1">
        <v>46240</v>
      </c>
      <c r="H442" s="11"/>
      <c r="I442" s="11" t="s">
        <v>327</v>
      </c>
    </row>
    <row r="443" spans="1:9" hidden="1" x14ac:dyDescent="0.25">
      <c r="A443" s="1">
        <v>46240</v>
      </c>
      <c r="B443">
        <v>1235045754</v>
      </c>
      <c r="C443" t="s">
        <v>2420</v>
      </c>
      <c r="D443" s="11" t="s">
        <v>421</v>
      </c>
      <c r="E443" s="11" t="s">
        <v>4047</v>
      </c>
      <c r="F443" s="1">
        <v>46238</v>
      </c>
      <c r="G443" s="1">
        <v>46240</v>
      </c>
      <c r="H443" s="11" t="s">
        <v>110</v>
      </c>
      <c r="I443" s="11" t="s">
        <v>111</v>
      </c>
    </row>
    <row r="444" spans="1:9" hidden="1" x14ac:dyDescent="0.25">
      <c r="A444" s="1">
        <v>46242</v>
      </c>
      <c r="B444">
        <v>1235045754</v>
      </c>
      <c r="C444" t="s">
        <v>2420</v>
      </c>
      <c r="D444" s="11" t="s">
        <v>421</v>
      </c>
      <c r="E444" s="11" t="s">
        <v>4047</v>
      </c>
      <c r="F444" s="1">
        <v>46238</v>
      </c>
      <c r="G444" s="1">
        <v>46240</v>
      </c>
      <c r="H444" s="11"/>
      <c r="I444" s="11" t="s">
        <v>4041</v>
      </c>
    </row>
    <row r="445" spans="1:9" hidden="1" x14ac:dyDescent="0.25">
      <c r="A445" s="1">
        <v>46239</v>
      </c>
      <c r="B445">
        <v>1005569691</v>
      </c>
      <c r="C445" t="s">
        <v>3651</v>
      </c>
      <c r="D445" s="11" t="s">
        <v>256</v>
      </c>
      <c r="E445" s="11" t="s">
        <v>4040</v>
      </c>
      <c r="F445" s="1">
        <v>46239</v>
      </c>
      <c r="G445" s="1">
        <v>46240</v>
      </c>
      <c r="H445" s="11"/>
      <c r="I445" s="11" t="s">
        <v>4060</v>
      </c>
    </row>
    <row r="446" spans="1:9" hidden="1" x14ac:dyDescent="0.25">
      <c r="A446" s="1">
        <v>46240</v>
      </c>
      <c r="B446">
        <v>1005569691</v>
      </c>
      <c r="C446" t="s">
        <v>3651</v>
      </c>
      <c r="D446" s="11" t="s">
        <v>256</v>
      </c>
      <c r="E446" s="11" t="s">
        <v>4040</v>
      </c>
      <c r="F446" s="1">
        <v>46239</v>
      </c>
      <c r="G446" s="1">
        <v>46240</v>
      </c>
      <c r="H446" s="11" t="s">
        <v>297</v>
      </c>
      <c r="I446" s="11" t="s">
        <v>298</v>
      </c>
    </row>
    <row r="447" spans="1:9" hidden="1" x14ac:dyDescent="0.25">
      <c r="A447" s="1">
        <v>46242</v>
      </c>
      <c r="B447">
        <v>1005569691</v>
      </c>
      <c r="C447" t="s">
        <v>3651</v>
      </c>
      <c r="D447" s="11" t="s">
        <v>256</v>
      </c>
      <c r="E447" s="11" t="s">
        <v>4040</v>
      </c>
      <c r="F447" s="1">
        <v>46239</v>
      </c>
      <c r="G447" s="1">
        <v>46240</v>
      </c>
      <c r="H447" s="11"/>
      <c r="I447" s="11" t="s">
        <v>4041</v>
      </c>
    </row>
    <row r="448" spans="1:9" hidden="1" x14ac:dyDescent="0.25">
      <c r="A448" s="1">
        <v>46239</v>
      </c>
      <c r="B448">
        <v>1001014608</v>
      </c>
      <c r="C448" t="s">
        <v>573</v>
      </c>
      <c r="D448" s="11" t="s">
        <v>55</v>
      </c>
      <c r="E448" s="11" t="s">
        <v>4047</v>
      </c>
      <c r="F448" s="1">
        <v>46239</v>
      </c>
      <c r="G448" s="1">
        <v>46268</v>
      </c>
      <c r="H448" s="11"/>
      <c r="I448" s="11" t="s">
        <v>4060</v>
      </c>
    </row>
    <row r="449" spans="1:9" hidden="1" x14ac:dyDescent="0.25">
      <c r="A449" s="1">
        <v>46240</v>
      </c>
      <c r="B449">
        <v>1001014608</v>
      </c>
      <c r="C449" t="s">
        <v>573</v>
      </c>
      <c r="D449" s="11" t="s">
        <v>55</v>
      </c>
      <c r="E449" s="11" t="s">
        <v>4047</v>
      </c>
      <c r="F449" s="1">
        <v>46239</v>
      </c>
      <c r="G449" s="1">
        <v>46268</v>
      </c>
      <c r="H449" s="11"/>
      <c r="I449" s="11" t="s">
        <v>4060</v>
      </c>
    </row>
    <row r="450" spans="1:9" hidden="1" x14ac:dyDescent="0.25">
      <c r="A450" s="1">
        <v>46244</v>
      </c>
      <c r="B450">
        <v>1001014608</v>
      </c>
      <c r="C450" t="s">
        <v>573</v>
      </c>
      <c r="D450" s="11" t="s">
        <v>55</v>
      </c>
      <c r="E450" s="11" t="s">
        <v>4047</v>
      </c>
      <c r="F450" s="1">
        <v>46239</v>
      </c>
      <c r="G450" s="1">
        <v>46268</v>
      </c>
      <c r="H450" s="11"/>
      <c r="I450" s="11" t="s">
        <v>4041</v>
      </c>
    </row>
    <row r="451" spans="1:9" hidden="1" x14ac:dyDescent="0.25">
      <c r="A451" s="1">
        <v>46239</v>
      </c>
      <c r="B451">
        <v>1041901478</v>
      </c>
      <c r="C451" t="s">
        <v>405</v>
      </c>
      <c r="D451" s="11" t="s">
        <v>256</v>
      </c>
      <c r="E451" s="11" t="s">
        <v>4040</v>
      </c>
      <c r="F451" s="1">
        <v>46239</v>
      </c>
      <c r="G451" s="1">
        <v>46240</v>
      </c>
      <c r="H451" s="11"/>
      <c r="I451" s="11" t="s">
        <v>4060</v>
      </c>
    </row>
    <row r="452" spans="1:9" hidden="1" x14ac:dyDescent="0.25">
      <c r="A452" s="1">
        <v>46240</v>
      </c>
      <c r="B452">
        <v>1041901478</v>
      </c>
      <c r="C452" t="s">
        <v>405</v>
      </c>
      <c r="D452" s="11" t="s">
        <v>256</v>
      </c>
      <c r="E452" s="11" t="s">
        <v>4040</v>
      </c>
      <c r="F452" s="1">
        <v>46239</v>
      </c>
      <c r="G452" s="1">
        <v>46240</v>
      </c>
      <c r="H452" s="11" t="s">
        <v>1407</v>
      </c>
      <c r="I452" s="11" t="s">
        <v>1408</v>
      </c>
    </row>
    <row r="453" spans="1:9" hidden="1" x14ac:dyDescent="0.25">
      <c r="A453" s="1">
        <v>46242</v>
      </c>
      <c r="B453">
        <v>1041901478</v>
      </c>
      <c r="C453" t="s">
        <v>405</v>
      </c>
      <c r="D453" s="11" t="s">
        <v>256</v>
      </c>
      <c r="E453" s="11" t="s">
        <v>4040</v>
      </c>
      <c r="F453" s="1">
        <v>46239</v>
      </c>
      <c r="G453" s="1">
        <v>46240</v>
      </c>
      <c r="H453" s="11"/>
      <c r="I453" s="11" t="s">
        <v>4041</v>
      </c>
    </row>
    <row r="454" spans="1:9" hidden="1" x14ac:dyDescent="0.25">
      <c r="A454" s="1">
        <v>46239</v>
      </c>
      <c r="B454">
        <v>1192923605</v>
      </c>
      <c r="C454" t="s">
        <v>395</v>
      </c>
      <c r="D454" s="11" t="s">
        <v>272</v>
      </c>
      <c r="E454" s="11" t="s">
        <v>4056</v>
      </c>
      <c r="F454" s="1">
        <v>46239</v>
      </c>
      <c r="G454" s="1">
        <v>46240</v>
      </c>
      <c r="H454" s="11"/>
      <c r="I454" s="11" t="s">
        <v>327</v>
      </c>
    </row>
    <row r="455" spans="1:9" hidden="1" x14ac:dyDescent="0.25">
      <c r="A455" s="1">
        <v>46240</v>
      </c>
      <c r="B455">
        <v>1192923605</v>
      </c>
      <c r="C455" t="s">
        <v>395</v>
      </c>
      <c r="D455" s="11" t="s">
        <v>272</v>
      </c>
      <c r="E455" s="11" t="s">
        <v>4056</v>
      </c>
      <c r="F455" s="1">
        <v>46239</v>
      </c>
      <c r="G455" s="1">
        <v>46240</v>
      </c>
      <c r="H455" s="11" t="s">
        <v>267</v>
      </c>
      <c r="I455" s="11" t="s">
        <v>268</v>
      </c>
    </row>
    <row r="456" spans="1:9" hidden="1" x14ac:dyDescent="0.25">
      <c r="A456" s="1">
        <v>46242</v>
      </c>
      <c r="B456">
        <v>1192923605</v>
      </c>
      <c r="C456" t="s">
        <v>395</v>
      </c>
      <c r="D456" s="11" t="s">
        <v>272</v>
      </c>
      <c r="E456" s="11" t="s">
        <v>4056</v>
      </c>
      <c r="F456" s="1">
        <v>46239</v>
      </c>
      <c r="G456" s="1">
        <v>46240</v>
      </c>
      <c r="H456" s="11"/>
      <c r="I456" s="11" t="s">
        <v>4041</v>
      </c>
    </row>
    <row r="457" spans="1:9" hidden="1" x14ac:dyDescent="0.25">
      <c r="A457" s="1">
        <v>46239</v>
      </c>
      <c r="B457">
        <v>1036670630</v>
      </c>
      <c r="C457" t="s">
        <v>1163</v>
      </c>
      <c r="D457" s="11" t="s">
        <v>51</v>
      </c>
      <c r="E457" s="11" t="s">
        <v>4047</v>
      </c>
      <c r="F457" s="1">
        <v>46239</v>
      </c>
      <c r="G457" s="1">
        <v>46239</v>
      </c>
      <c r="H457" s="11"/>
      <c r="I457" s="11" t="s">
        <v>4060</v>
      </c>
    </row>
    <row r="458" spans="1:9" hidden="1" x14ac:dyDescent="0.25">
      <c r="A458" s="1">
        <v>46239</v>
      </c>
      <c r="B458">
        <v>1026156098</v>
      </c>
      <c r="C458" t="s">
        <v>3553</v>
      </c>
      <c r="D458" s="11" t="s">
        <v>15</v>
      </c>
      <c r="E458" s="11" t="s">
        <v>4046</v>
      </c>
      <c r="F458" s="1">
        <v>46239</v>
      </c>
      <c r="G458" s="1">
        <v>46240</v>
      </c>
      <c r="H458" s="11"/>
      <c r="I458" s="11" t="s">
        <v>4060</v>
      </c>
    </row>
    <row r="459" spans="1:9" hidden="1" x14ac:dyDescent="0.25">
      <c r="A459" s="1">
        <v>46240</v>
      </c>
      <c r="B459">
        <v>1026156098</v>
      </c>
      <c r="C459" t="s">
        <v>3553</v>
      </c>
      <c r="D459" s="11" t="s">
        <v>15</v>
      </c>
      <c r="E459" s="11" t="s">
        <v>4046</v>
      </c>
      <c r="F459" s="1">
        <v>46239</v>
      </c>
      <c r="G459" s="1">
        <v>46240</v>
      </c>
      <c r="H459" s="11" t="s">
        <v>177</v>
      </c>
      <c r="I459" s="11" t="s">
        <v>178</v>
      </c>
    </row>
    <row r="460" spans="1:9" hidden="1" x14ac:dyDescent="0.25">
      <c r="A460" s="1">
        <v>46242</v>
      </c>
      <c r="B460">
        <v>1026156098</v>
      </c>
      <c r="C460" t="s">
        <v>3553</v>
      </c>
      <c r="D460" s="11" t="s">
        <v>15</v>
      </c>
      <c r="E460" s="11" t="s">
        <v>4046</v>
      </c>
      <c r="F460" s="1">
        <v>46239</v>
      </c>
      <c r="G460" s="1">
        <v>46240</v>
      </c>
      <c r="H460" s="11"/>
      <c r="I460" s="11" t="s">
        <v>4041</v>
      </c>
    </row>
    <row r="461" spans="1:9" hidden="1" x14ac:dyDescent="0.25">
      <c r="A461" s="1">
        <v>46239</v>
      </c>
      <c r="B461">
        <v>1128458157</v>
      </c>
      <c r="C461" t="s">
        <v>2784</v>
      </c>
      <c r="D461" s="11" t="s">
        <v>256</v>
      </c>
      <c r="E461" s="11" t="s">
        <v>4040</v>
      </c>
      <c r="F461" s="1">
        <v>46239</v>
      </c>
      <c r="G461" s="1">
        <v>46240</v>
      </c>
      <c r="H461" s="11"/>
      <c r="I461" s="11" t="s">
        <v>4060</v>
      </c>
    </row>
    <row r="462" spans="1:9" hidden="1" x14ac:dyDescent="0.25">
      <c r="A462" s="1">
        <v>46240</v>
      </c>
      <c r="B462">
        <v>1128458157</v>
      </c>
      <c r="C462" t="s">
        <v>2784</v>
      </c>
      <c r="D462" s="11" t="s">
        <v>256</v>
      </c>
      <c r="E462" s="11" t="s">
        <v>4040</v>
      </c>
      <c r="F462" s="1">
        <v>46239</v>
      </c>
      <c r="G462" s="1">
        <v>46240</v>
      </c>
      <c r="H462" s="11"/>
      <c r="I462" s="11" t="s">
        <v>327</v>
      </c>
    </row>
    <row r="463" spans="1:9" hidden="1" x14ac:dyDescent="0.25">
      <c r="A463" s="1">
        <v>46242</v>
      </c>
      <c r="B463">
        <v>1128458157</v>
      </c>
      <c r="C463" t="s">
        <v>2784</v>
      </c>
      <c r="D463" s="11" t="s">
        <v>256</v>
      </c>
      <c r="E463" s="11" t="s">
        <v>4040</v>
      </c>
      <c r="F463" s="1">
        <v>46239</v>
      </c>
      <c r="G463" s="1">
        <v>46240</v>
      </c>
      <c r="H463" s="11"/>
      <c r="I463" s="11" t="s">
        <v>4041</v>
      </c>
    </row>
    <row r="464" spans="1:9" hidden="1" x14ac:dyDescent="0.25">
      <c r="A464" s="1">
        <v>46239</v>
      </c>
      <c r="B464">
        <v>1001868101</v>
      </c>
      <c r="C464" t="s">
        <v>151</v>
      </c>
      <c r="D464" s="11" t="s">
        <v>4078</v>
      </c>
      <c r="E464" s="11" t="s">
        <v>4045</v>
      </c>
      <c r="F464" s="1">
        <v>46239</v>
      </c>
      <c r="G464" s="1">
        <v>46239</v>
      </c>
      <c r="H464" s="11" t="s">
        <v>150</v>
      </c>
      <c r="I464" s="11" t="s">
        <v>151</v>
      </c>
    </row>
    <row r="465" spans="1:9" hidden="1" x14ac:dyDescent="0.25">
      <c r="A465" s="1">
        <v>46239</v>
      </c>
      <c r="B465">
        <v>1065850707</v>
      </c>
      <c r="C465" t="s">
        <v>2743</v>
      </c>
      <c r="D465" s="11" t="s">
        <v>124</v>
      </c>
      <c r="E465" s="11" t="s">
        <v>4045</v>
      </c>
      <c r="F465" s="1">
        <v>46239</v>
      </c>
      <c r="G465" s="1">
        <v>46240</v>
      </c>
      <c r="H465" s="11"/>
      <c r="I465" s="11" t="s">
        <v>4060</v>
      </c>
    </row>
    <row r="466" spans="1:9" hidden="1" x14ac:dyDescent="0.25">
      <c r="A466" s="1">
        <v>46240</v>
      </c>
      <c r="B466">
        <v>1065850707</v>
      </c>
      <c r="C466" t="s">
        <v>2743</v>
      </c>
      <c r="D466" s="11" t="s">
        <v>124</v>
      </c>
      <c r="E466" s="11" t="s">
        <v>4045</v>
      </c>
      <c r="F466" s="1">
        <v>46239</v>
      </c>
      <c r="G466" s="1">
        <v>46240</v>
      </c>
      <c r="H466" s="11"/>
      <c r="I466" s="11" t="s">
        <v>4060</v>
      </c>
    </row>
    <row r="467" spans="1:9" hidden="1" x14ac:dyDescent="0.25">
      <c r="A467" s="1">
        <v>46242</v>
      </c>
      <c r="B467">
        <v>1065850707</v>
      </c>
      <c r="C467" t="s">
        <v>2743</v>
      </c>
      <c r="D467" s="11" t="s">
        <v>124</v>
      </c>
      <c r="E467" s="11" t="s">
        <v>4045</v>
      </c>
      <c r="F467" s="1">
        <v>46239</v>
      </c>
      <c r="G467" s="1">
        <v>46240</v>
      </c>
      <c r="H467" s="11"/>
      <c r="I467" s="11" t="s">
        <v>4041</v>
      </c>
    </row>
    <row r="468" spans="1:9" hidden="1" x14ac:dyDescent="0.25">
      <c r="A468" s="1">
        <v>46239</v>
      </c>
      <c r="B468">
        <v>1007223463</v>
      </c>
      <c r="C468" t="s">
        <v>561</v>
      </c>
      <c r="D468" s="11" t="s">
        <v>4078</v>
      </c>
      <c r="E468" s="11" t="s">
        <v>4056</v>
      </c>
      <c r="F468" s="1">
        <v>46239</v>
      </c>
      <c r="G468" s="1">
        <v>46239</v>
      </c>
      <c r="H468" s="11"/>
      <c r="I468" s="11" t="s">
        <v>339</v>
      </c>
    </row>
    <row r="469" spans="1:9" hidden="1" x14ac:dyDescent="0.25">
      <c r="A469" s="1">
        <v>46240</v>
      </c>
      <c r="B469">
        <v>1143394119</v>
      </c>
      <c r="C469" t="s">
        <v>917</v>
      </c>
      <c r="D469" s="11" t="s">
        <v>59</v>
      </c>
      <c r="E469" s="11" t="s">
        <v>4047</v>
      </c>
      <c r="F469" s="1">
        <v>46239</v>
      </c>
      <c r="G469" s="1">
        <v>46239</v>
      </c>
      <c r="H469" s="11"/>
      <c r="I469" s="11" t="s">
        <v>4144</v>
      </c>
    </row>
    <row r="470" spans="1:9" hidden="1" x14ac:dyDescent="0.25">
      <c r="A470" s="1">
        <v>46242</v>
      </c>
      <c r="B470">
        <v>1143394119</v>
      </c>
      <c r="C470" t="s">
        <v>917</v>
      </c>
      <c r="D470" s="11" t="s">
        <v>59</v>
      </c>
      <c r="E470" s="11" t="s">
        <v>4047</v>
      </c>
      <c r="F470" s="1">
        <v>46239</v>
      </c>
      <c r="G470" s="1">
        <v>46239</v>
      </c>
      <c r="H470" s="11"/>
      <c r="I470" s="11" t="s">
        <v>4041</v>
      </c>
    </row>
    <row r="471" spans="1:9" hidden="1" x14ac:dyDescent="0.25">
      <c r="A471" s="1">
        <v>46240</v>
      </c>
      <c r="B471">
        <v>42141273</v>
      </c>
      <c r="C471" t="s">
        <v>271</v>
      </c>
      <c r="D471" s="11" t="s">
        <v>272</v>
      </c>
      <c r="E471" s="11" t="s">
        <v>4056</v>
      </c>
      <c r="F471" s="1">
        <v>46232</v>
      </c>
      <c r="G471" s="1">
        <v>46261</v>
      </c>
      <c r="H471" s="11" t="s">
        <v>560</v>
      </c>
      <c r="I471" s="11" t="s">
        <v>561</v>
      </c>
    </row>
    <row r="472" spans="1:9" hidden="1" x14ac:dyDescent="0.25">
      <c r="A472" s="1">
        <v>46244</v>
      </c>
      <c r="B472">
        <v>42141273</v>
      </c>
      <c r="C472" t="s">
        <v>271</v>
      </c>
      <c r="D472" s="11" t="s">
        <v>272</v>
      </c>
      <c r="E472" s="11" t="s">
        <v>4056</v>
      </c>
      <c r="F472" s="1">
        <v>46232</v>
      </c>
      <c r="G472" s="1">
        <v>46261</v>
      </c>
      <c r="H472" s="11" t="s">
        <v>184</v>
      </c>
      <c r="I472" s="11" t="s">
        <v>185</v>
      </c>
    </row>
    <row r="473" spans="1:9" hidden="1" x14ac:dyDescent="0.25">
      <c r="A473" s="1">
        <v>46245</v>
      </c>
      <c r="B473">
        <v>42141273</v>
      </c>
      <c r="C473" t="s">
        <v>271</v>
      </c>
      <c r="D473" s="11" t="s">
        <v>272</v>
      </c>
      <c r="E473" s="11" t="s">
        <v>4056</v>
      </c>
      <c r="F473" s="1">
        <v>46232</v>
      </c>
      <c r="G473" s="1">
        <v>46261</v>
      </c>
      <c r="H473" s="11" t="s">
        <v>285</v>
      </c>
      <c r="I473" s="11" t="s">
        <v>286</v>
      </c>
    </row>
    <row r="474" spans="1:9" hidden="1" x14ac:dyDescent="0.25">
      <c r="A474" s="1">
        <v>46240</v>
      </c>
      <c r="B474">
        <v>1035876080</v>
      </c>
      <c r="C474" t="s">
        <v>123</v>
      </c>
      <c r="D474" s="11" t="s">
        <v>124</v>
      </c>
      <c r="E474" s="11" t="s">
        <v>4045</v>
      </c>
      <c r="F474" s="1">
        <v>46239</v>
      </c>
      <c r="G474" s="1">
        <v>46245</v>
      </c>
      <c r="H474" s="11" t="s">
        <v>273</v>
      </c>
      <c r="I474" s="11" t="s">
        <v>274</v>
      </c>
    </row>
    <row r="475" spans="1:9" hidden="1" x14ac:dyDescent="0.25">
      <c r="A475" s="1">
        <v>46244</v>
      </c>
      <c r="B475">
        <v>1035876080</v>
      </c>
      <c r="C475" t="s">
        <v>123</v>
      </c>
      <c r="D475" s="11" t="s">
        <v>124</v>
      </c>
      <c r="E475" s="11" t="s">
        <v>4045</v>
      </c>
      <c r="F475" s="1">
        <v>46239</v>
      </c>
      <c r="G475" s="1">
        <v>46245</v>
      </c>
      <c r="H475" s="11" t="s">
        <v>309</v>
      </c>
      <c r="I475" s="11" t="s">
        <v>310</v>
      </c>
    </row>
    <row r="476" spans="1:9" hidden="1" x14ac:dyDescent="0.25">
      <c r="A476" s="1">
        <v>46245</v>
      </c>
      <c r="B476">
        <v>1035876080</v>
      </c>
      <c r="C476" t="s">
        <v>123</v>
      </c>
      <c r="D476" s="11" t="s">
        <v>124</v>
      </c>
      <c r="E476" s="11" t="s">
        <v>4045</v>
      </c>
      <c r="F476" s="1">
        <v>46239</v>
      </c>
      <c r="G476" s="1">
        <v>46245</v>
      </c>
      <c r="H476" s="11" t="s">
        <v>119</v>
      </c>
      <c r="I476" s="11" t="s">
        <v>120</v>
      </c>
    </row>
    <row r="477" spans="1:9" hidden="1" x14ac:dyDescent="0.25">
      <c r="A477" s="1">
        <v>46240</v>
      </c>
      <c r="B477">
        <v>1001901817</v>
      </c>
      <c r="C477" t="s">
        <v>4137</v>
      </c>
      <c r="D477" s="11" t="s">
        <v>634</v>
      </c>
      <c r="E477" s="11" t="s">
        <v>4045</v>
      </c>
      <c r="F477" s="1">
        <v>46237</v>
      </c>
      <c r="G477" s="1">
        <v>46239</v>
      </c>
      <c r="H477" s="11"/>
      <c r="I477" s="11" t="s">
        <v>4041</v>
      </c>
    </row>
    <row r="478" spans="1:9" hidden="1" x14ac:dyDescent="0.25">
      <c r="A478" s="1">
        <v>46240</v>
      </c>
      <c r="B478">
        <v>88030132</v>
      </c>
      <c r="C478" t="s">
        <v>1956</v>
      </c>
      <c r="D478" s="11" t="s">
        <v>59</v>
      </c>
      <c r="E478" s="11" t="s">
        <v>4047</v>
      </c>
      <c r="F478" s="1">
        <v>46237</v>
      </c>
      <c r="G478" s="1">
        <v>46237</v>
      </c>
      <c r="H478" s="11"/>
      <c r="I478" s="11" t="s">
        <v>4041</v>
      </c>
    </row>
    <row r="479" spans="1:9" hidden="1" x14ac:dyDescent="0.25">
      <c r="A479" s="1">
        <v>46240</v>
      </c>
      <c r="B479">
        <v>1040184262</v>
      </c>
      <c r="C479" t="s">
        <v>4145</v>
      </c>
      <c r="D479" s="11" t="s">
        <v>2052</v>
      </c>
      <c r="E479" s="11" t="s">
        <v>4056</v>
      </c>
      <c r="F479" s="1">
        <v>46237</v>
      </c>
      <c r="G479" s="1">
        <v>46238</v>
      </c>
      <c r="H479" s="11"/>
      <c r="I479" s="11" t="s">
        <v>4041</v>
      </c>
    </row>
    <row r="480" spans="1:9" hidden="1" x14ac:dyDescent="0.25">
      <c r="A480" s="1">
        <v>46240</v>
      </c>
      <c r="B480" t="s">
        <v>228</v>
      </c>
      <c r="C480" t="s">
        <v>229</v>
      </c>
      <c r="D480" s="11" t="s">
        <v>4078</v>
      </c>
      <c r="E480" s="11" t="s">
        <v>4046</v>
      </c>
      <c r="F480" s="1">
        <v>46240</v>
      </c>
      <c r="G480" s="1">
        <v>46240</v>
      </c>
      <c r="H480" s="11" t="s">
        <v>228</v>
      </c>
      <c r="I480" s="11" t="s">
        <v>229</v>
      </c>
    </row>
    <row r="481" spans="1:9" hidden="1" x14ac:dyDescent="0.25">
      <c r="A481" s="1">
        <v>46240</v>
      </c>
      <c r="B481">
        <v>1036670630</v>
      </c>
      <c r="C481" t="s">
        <v>1163</v>
      </c>
      <c r="D481" s="11" t="s">
        <v>51</v>
      </c>
      <c r="E481" s="11" t="s">
        <v>4047</v>
      </c>
      <c r="F481" s="1">
        <v>46240</v>
      </c>
      <c r="G481" s="1">
        <v>46240</v>
      </c>
      <c r="H481" s="11" t="s">
        <v>231</v>
      </c>
      <c r="I481" s="11" t="s">
        <v>232</v>
      </c>
    </row>
    <row r="482" spans="1:9" hidden="1" x14ac:dyDescent="0.25">
      <c r="A482" s="1">
        <v>46242</v>
      </c>
      <c r="B482">
        <v>1036670630</v>
      </c>
      <c r="C482" t="s">
        <v>4146</v>
      </c>
      <c r="D482" s="11" t="s">
        <v>51</v>
      </c>
      <c r="E482" s="11" t="s">
        <v>4047</v>
      </c>
      <c r="F482" s="1">
        <v>46240</v>
      </c>
      <c r="G482" s="1">
        <v>46240</v>
      </c>
      <c r="H482" s="11"/>
      <c r="I482" s="11" t="s">
        <v>4041</v>
      </c>
    </row>
    <row r="483" spans="1:9" hidden="1" x14ac:dyDescent="0.25">
      <c r="A483" s="1">
        <v>46240</v>
      </c>
      <c r="B483">
        <v>1001947708</v>
      </c>
      <c r="C483" t="s">
        <v>1444</v>
      </c>
      <c r="D483" s="11" t="s">
        <v>128</v>
      </c>
      <c r="E483" s="11" t="s">
        <v>4045</v>
      </c>
      <c r="F483" s="1">
        <v>46240</v>
      </c>
      <c r="G483" s="1">
        <v>46240</v>
      </c>
      <c r="H483" s="11" t="s">
        <v>1382</v>
      </c>
      <c r="I483" s="11" t="s">
        <v>1383</v>
      </c>
    </row>
    <row r="484" spans="1:9" hidden="1" x14ac:dyDescent="0.25">
      <c r="A484" s="1">
        <v>46240</v>
      </c>
      <c r="B484" t="s">
        <v>4148</v>
      </c>
      <c r="C484" t="s">
        <v>4137</v>
      </c>
      <c r="D484" s="11" t="s">
        <v>634</v>
      </c>
      <c r="E484" s="11" t="s">
        <v>4045</v>
      </c>
      <c r="F484" s="1">
        <v>46240</v>
      </c>
      <c r="G484" s="1">
        <v>46240</v>
      </c>
      <c r="H484" s="11"/>
      <c r="I484" s="11" t="s">
        <v>4149</v>
      </c>
    </row>
    <row r="485" spans="1:9" hidden="1" x14ac:dyDescent="0.25">
      <c r="A485" s="1">
        <v>46240</v>
      </c>
      <c r="B485">
        <v>1037630337</v>
      </c>
      <c r="C485" t="s">
        <v>1524</v>
      </c>
      <c r="D485" s="11" t="s">
        <v>51</v>
      </c>
      <c r="E485" s="11" t="s">
        <v>4047</v>
      </c>
      <c r="F485" s="1">
        <v>46240</v>
      </c>
      <c r="G485" s="1">
        <v>46240</v>
      </c>
      <c r="H485" s="11" t="s">
        <v>222</v>
      </c>
      <c r="I485" s="11" t="s">
        <v>223</v>
      </c>
    </row>
    <row r="486" spans="1:9" hidden="1" x14ac:dyDescent="0.25">
      <c r="A486" s="1">
        <v>46242</v>
      </c>
      <c r="B486">
        <v>1037630337</v>
      </c>
      <c r="C486" t="s">
        <v>1524</v>
      </c>
      <c r="D486" s="11" t="s">
        <v>51</v>
      </c>
      <c r="E486" s="11" t="s">
        <v>4047</v>
      </c>
      <c r="F486" s="1">
        <v>46240</v>
      </c>
      <c r="G486" s="1">
        <v>46240</v>
      </c>
      <c r="H486" s="11"/>
      <c r="I486" s="11" t="s">
        <v>4041</v>
      </c>
    </row>
    <row r="487" spans="1:9" hidden="1" x14ac:dyDescent="0.25">
      <c r="A487" s="1">
        <v>46240</v>
      </c>
      <c r="B487">
        <v>1067963513</v>
      </c>
      <c r="C487" t="s">
        <v>84</v>
      </c>
      <c r="D487" s="11" t="s">
        <v>68</v>
      </c>
      <c r="E487" s="11" t="s">
        <v>4040</v>
      </c>
      <c r="F487" s="1">
        <v>46240</v>
      </c>
      <c r="G487" s="1">
        <v>46265</v>
      </c>
      <c r="H487" s="11" t="s">
        <v>309</v>
      </c>
      <c r="I487" s="11" t="s">
        <v>310</v>
      </c>
    </row>
    <row r="488" spans="1:9" hidden="1" x14ac:dyDescent="0.25">
      <c r="A488" s="1">
        <v>46244</v>
      </c>
      <c r="B488">
        <v>1067963513</v>
      </c>
      <c r="C488" t="s">
        <v>84</v>
      </c>
      <c r="D488" s="11" t="s">
        <v>68</v>
      </c>
      <c r="E488" s="11" t="s">
        <v>4040</v>
      </c>
      <c r="F488" s="1">
        <v>46240</v>
      </c>
      <c r="G488" s="1">
        <v>46265</v>
      </c>
      <c r="H488" s="11" t="s">
        <v>73</v>
      </c>
      <c r="I488" s="11" t="s">
        <v>74</v>
      </c>
    </row>
    <row r="489" spans="1:9" hidden="1" x14ac:dyDescent="0.25">
      <c r="A489" s="1">
        <v>46245</v>
      </c>
      <c r="B489">
        <v>1067963513</v>
      </c>
      <c r="C489" t="s">
        <v>67</v>
      </c>
      <c r="D489" s="11" t="s">
        <v>68</v>
      </c>
      <c r="E489" s="11" t="s">
        <v>4040</v>
      </c>
      <c r="F489" s="1">
        <v>46240</v>
      </c>
      <c r="G489" s="1">
        <v>46265</v>
      </c>
      <c r="H489" s="11" t="s">
        <v>116</v>
      </c>
      <c r="I489" s="11" t="s">
        <v>117</v>
      </c>
    </row>
    <row r="490" spans="1:9" hidden="1" x14ac:dyDescent="0.25">
      <c r="A490" s="1">
        <v>46240</v>
      </c>
      <c r="B490">
        <v>1045718883</v>
      </c>
      <c r="C490" t="s">
        <v>34</v>
      </c>
      <c r="D490" s="11" t="s">
        <v>15</v>
      </c>
      <c r="E490" s="11" t="s">
        <v>4046</v>
      </c>
      <c r="F490" s="1">
        <v>46239</v>
      </c>
      <c r="G490" s="1">
        <v>46249</v>
      </c>
      <c r="H490" s="11"/>
      <c r="I490" s="11" t="s">
        <v>4060</v>
      </c>
    </row>
    <row r="491" spans="1:9" hidden="1" x14ac:dyDescent="0.25">
      <c r="A491" s="1">
        <v>46244</v>
      </c>
      <c r="B491">
        <v>1045718883</v>
      </c>
      <c r="C491" t="s">
        <v>34</v>
      </c>
      <c r="D491" s="11" t="s">
        <v>15</v>
      </c>
      <c r="E491" s="11" t="s">
        <v>4046</v>
      </c>
      <c r="F491" s="1">
        <v>46239</v>
      </c>
      <c r="G491" s="1">
        <v>46249</v>
      </c>
      <c r="H491" s="11"/>
      <c r="I491" s="11" t="s">
        <v>327</v>
      </c>
    </row>
    <row r="492" spans="1:9" hidden="1" x14ac:dyDescent="0.25">
      <c r="A492" s="1">
        <v>46240</v>
      </c>
      <c r="B492">
        <v>1010135017</v>
      </c>
      <c r="C492" t="s">
        <v>1311</v>
      </c>
      <c r="D492" s="11" t="s">
        <v>256</v>
      </c>
      <c r="E492" s="11" t="s">
        <v>4040</v>
      </c>
      <c r="F492" s="1">
        <v>46239</v>
      </c>
      <c r="H492" s="11"/>
      <c r="I492" s="11" t="s">
        <v>4060</v>
      </c>
    </row>
    <row r="493" spans="1:9" hidden="1" x14ac:dyDescent="0.25">
      <c r="A493" s="1">
        <v>46242</v>
      </c>
      <c r="B493">
        <v>1010135017</v>
      </c>
      <c r="C493" t="s">
        <v>1311</v>
      </c>
      <c r="D493" s="11" t="s">
        <v>256</v>
      </c>
      <c r="E493" s="11" t="s">
        <v>4040</v>
      </c>
      <c r="F493" s="1">
        <v>46239</v>
      </c>
      <c r="H493" s="11"/>
      <c r="I493" s="11" t="s">
        <v>4084</v>
      </c>
    </row>
    <row r="494" spans="1:9" hidden="1" x14ac:dyDescent="0.25">
      <c r="A494" s="1">
        <v>46244</v>
      </c>
      <c r="B494">
        <v>1010135017</v>
      </c>
      <c r="C494" t="s">
        <v>1311</v>
      </c>
      <c r="D494" s="11" t="s">
        <v>256</v>
      </c>
      <c r="E494" s="11" t="s">
        <v>4040</v>
      </c>
      <c r="F494" s="1">
        <v>46239</v>
      </c>
      <c r="H494" s="11"/>
      <c r="I494" s="11" t="s">
        <v>4084</v>
      </c>
    </row>
    <row r="495" spans="1:9" hidden="1" x14ac:dyDescent="0.25">
      <c r="A495" s="1">
        <v>46240</v>
      </c>
      <c r="B495">
        <v>1072648283</v>
      </c>
      <c r="C495" t="s">
        <v>828</v>
      </c>
      <c r="D495" s="11" t="s">
        <v>272</v>
      </c>
      <c r="E495" s="11" t="s">
        <v>4056</v>
      </c>
      <c r="F495" s="1">
        <v>46240</v>
      </c>
      <c r="G495" s="1">
        <v>46240</v>
      </c>
      <c r="H495" s="11"/>
      <c r="I495" s="11" t="s">
        <v>4092</v>
      </c>
    </row>
    <row r="496" spans="1:9" hidden="1" x14ac:dyDescent="0.25">
      <c r="A496" s="1">
        <v>46244</v>
      </c>
      <c r="B496">
        <v>1072648283</v>
      </c>
      <c r="C496" t="s">
        <v>828</v>
      </c>
      <c r="D496" s="11" t="s">
        <v>272</v>
      </c>
      <c r="E496" s="11" t="s">
        <v>4056</v>
      </c>
      <c r="F496" s="1">
        <v>46240</v>
      </c>
      <c r="G496" s="1">
        <v>46240</v>
      </c>
      <c r="H496" s="11"/>
      <c r="I496" s="11" t="s">
        <v>4041</v>
      </c>
    </row>
    <row r="497" spans="1:9" hidden="1" x14ac:dyDescent="0.25">
      <c r="A497" s="1">
        <v>46240</v>
      </c>
      <c r="B497">
        <v>1001853191</v>
      </c>
      <c r="C497" t="s">
        <v>3240</v>
      </c>
      <c r="D497" s="11" t="s">
        <v>15</v>
      </c>
      <c r="E497" s="11" t="s">
        <v>4046</v>
      </c>
      <c r="F497" s="1">
        <v>46240</v>
      </c>
      <c r="G497" s="1">
        <v>46242</v>
      </c>
      <c r="H497" s="11"/>
      <c r="I497" s="11" t="s">
        <v>4060</v>
      </c>
    </row>
    <row r="498" spans="1:9" hidden="1" x14ac:dyDescent="0.25">
      <c r="A498" s="1">
        <v>46242</v>
      </c>
      <c r="B498">
        <v>1001853191</v>
      </c>
      <c r="C498" t="s">
        <v>3240</v>
      </c>
      <c r="D498" s="11" t="s">
        <v>15</v>
      </c>
      <c r="E498" s="11" t="s">
        <v>4046</v>
      </c>
      <c r="F498" s="1">
        <v>46240</v>
      </c>
      <c r="G498" s="1">
        <v>46242</v>
      </c>
      <c r="H498" s="11" t="s">
        <v>73</v>
      </c>
      <c r="I498" s="11" t="s">
        <v>74</v>
      </c>
    </row>
    <row r="499" spans="1:9" hidden="1" x14ac:dyDescent="0.25">
      <c r="A499" s="1">
        <v>46244</v>
      </c>
      <c r="B499">
        <v>1001853191</v>
      </c>
      <c r="C499" t="s">
        <v>3240</v>
      </c>
      <c r="D499" s="11" t="s">
        <v>15</v>
      </c>
      <c r="E499" s="11" t="s">
        <v>4046</v>
      </c>
      <c r="F499" s="1">
        <v>46240</v>
      </c>
      <c r="G499" s="1">
        <v>46242</v>
      </c>
      <c r="H499" s="11"/>
      <c r="I499" s="11" t="s">
        <v>4041</v>
      </c>
    </row>
    <row r="500" spans="1:9" hidden="1" x14ac:dyDescent="0.25">
      <c r="A500" s="1">
        <v>46240</v>
      </c>
      <c r="B500">
        <v>1006490561</v>
      </c>
      <c r="C500" t="s">
        <v>4151</v>
      </c>
      <c r="D500" s="11" t="s">
        <v>482</v>
      </c>
      <c r="E500" s="11" t="s">
        <v>4040</v>
      </c>
      <c r="F500" s="1">
        <v>46240</v>
      </c>
      <c r="G500" s="1">
        <v>46242</v>
      </c>
      <c r="H500" s="11"/>
      <c r="I500" s="11" t="s">
        <v>4060</v>
      </c>
    </row>
    <row r="501" spans="1:9" hidden="1" x14ac:dyDescent="0.25">
      <c r="A501" s="1">
        <v>46242</v>
      </c>
      <c r="B501">
        <v>1006490561</v>
      </c>
      <c r="C501" t="s">
        <v>4151</v>
      </c>
      <c r="D501" s="11" t="s">
        <v>482</v>
      </c>
      <c r="E501" s="11" t="s">
        <v>4040</v>
      </c>
      <c r="F501" s="1">
        <v>46240</v>
      </c>
      <c r="G501" s="1">
        <v>46242</v>
      </c>
      <c r="H501" s="11" t="s">
        <v>309</v>
      </c>
      <c r="I501" s="11" t="s">
        <v>310</v>
      </c>
    </row>
    <row r="502" spans="1:9" hidden="1" x14ac:dyDescent="0.25">
      <c r="A502" s="1">
        <v>46244</v>
      </c>
      <c r="B502">
        <v>1006490561</v>
      </c>
      <c r="C502" t="s">
        <v>4151</v>
      </c>
      <c r="D502" s="11" t="s">
        <v>482</v>
      </c>
      <c r="E502" s="11" t="s">
        <v>4040</v>
      </c>
      <c r="F502" s="1">
        <v>46240</v>
      </c>
      <c r="G502" s="1">
        <v>46242</v>
      </c>
      <c r="H502" s="11"/>
      <c r="I502" s="11" t="s">
        <v>4041</v>
      </c>
    </row>
    <row r="503" spans="1:9" hidden="1" x14ac:dyDescent="0.25">
      <c r="A503" s="1">
        <v>46242</v>
      </c>
      <c r="B503">
        <v>1193537336</v>
      </c>
      <c r="C503" t="s">
        <v>2134</v>
      </c>
      <c r="D503" s="11" t="s">
        <v>492</v>
      </c>
      <c r="E503" s="11" t="s">
        <v>4045</v>
      </c>
      <c r="F503" s="1">
        <v>46240</v>
      </c>
      <c r="G503" s="1">
        <v>46240</v>
      </c>
      <c r="H503" s="11"/>
      <c r="I503" s="11" t="s">
        <v>4041</v>
      </c>
    </row>
    <row r="504" spans="1:9" hidden="1" x14ac:dyDescent="0.25">
      <c r="A504" s="1">
        <v>46240</v>
      </c>
      <c r="B504">
        <v>1083048455</v>
      </c>
      <c r="C504" t="s">
        <v>2787</v>
      </c>
      <c r="D504" s="11" t="s">
        <v>256</v>
      </c>
      <c r="E504" s="11" t="s">
        <v>4040</v>
      </c>
      <c r="F504" s="1">
        <v>46240</v>
      </c>
      <c r="G504" s="1">
        <v>46240</v>
      </c>
      <c r="H504" s="11"/>
      <c r="I504" s="11" t="s">
        <v>4060</v>
      </c>
    </row>
    <row r="505" spans="1:9" hidden="1" x14ac:dyDescent="0.25">
      <c r="A505" s="1">
        <v>46242</v>
      </c>
      <c r="B505">
        <v>1083048455</v>
      </c>
      <c r="C505" t="s">
        <v>4152</v>
      </c>
      <c r="D505" s="11" t="s">
        <v>256</v>
      </c>
      <c r="E505" s="11" t="s">
        <v>4040</v>
      </c>
      <c r="F505" s="1">
        <v>46240</v>
      </c>
      <c r="G505" s="1">
        <v>46240</v>
      </c>
      <c r="H505" s="11"/>
      <c r="I505" s="11" t="s">
        <v>4041</v>
      </c>
    </row>
    <row r="506" spans="1:9" hidden="1" x14ac:dyDescent="0.25">
      <c r="A506" s="1">
        <v>46240</v>
      </c>
      <c r="B506">
        <v>1042422897</v>
      </c>
      <c r="C506" t="s">
        <v>4100</v>
      </c>
      <c r="D506" s="11" t="s">
        <v>256</v>
      </c>
      <c r="E506" s="11" t="s">
        <v>4040</v>
      </c>
      <c r="F506" s="1">
        <v>46240</v>
      </c>
      <c r="H506" s="11"/>
      <c r="I506" s="11" t="s">
        <v>4060</v>
      </c>
    </row>
    <row r="507" spans="1:9" hidden="1" x14ac:dyDescent="0.25">
      <c r="A507" s="1">
        <v>46240</v>
      </c>
      <c r="B507">
        <v>1007959114</v>
      </c>
      <c r="C507" t="s">
        <v>4153</v>
      </c>
      <c r="D507" s="11" t="s">
        <v>39</v>
      </c>
      <c r="E507" s="11" t="s">
        <v>4046</v>
      </c>
      <c r="F507" s="1">
        <v>46240</v>
      </c>
      <c r="G507" s="1">
        <v>46240</v>
      </c>
      <c r="H507" s="11"/>
      <c r="I507" s="11" t="s">
        <v>4060</v>
      </c>
    </row>
    <row r="508" spans="1:9" hidden="1" x14ac:dyDescent="0.25">
      <c r="A508" s="1">
        <v>46242</v>
      </c>
      <c r="B508">
        <v>1007959114</v>
      </c>
      <c r="C508" t="s">
        <v>4154</v>
      </c>
      <c r="D508" s="11" t="s">
        <v>39</v>
      </c>
      <c r="E508" s="11" t="s">
        <v>4046</v>
      </c>
      <c r="F508" s="1">
        <v>46240</v>
      </c>
      <c r="G508" s="1">
        <v>46240</v>
      </c>
      <c r="H508" s="11"/>
      <c r="I508" s="11" t="s">
        <v>4041</v>
      </c>
    </row>
    <row r="509" spans="1:9" hidden="1" x14ac:dyDescent="0.25">
      <c r="A509" s="1">
        <v>46240</v>
      </c>
      <c r="B509">
        <v>1084253148</v>
      </c>
      <c r="C509" t="s">
        <v>1125</v>
      </c>
      <c r="D509" s="11" t="s">
        <v>272</v>
      </c>
      <c r="E509" s="11" t="s">
        <v>4056</v>
      </c>
      <c r="F509" s="1">
        <v>46240</v>
      </c>
      <c r="G509" s="1">
        <v>46240</v>
      </c>
      <c r="H509" s="11"/>
      <c r="I509" s="11" t="s">
        <v>4060</v>
      </c>
    </row>
    <row r="510" spans="1:9" hidden="1" x14ac:dyDescent="0.25">
      <c r="A510" s="1">
        <v>46244</v>
      </c>
      <c r="B510">
        <v>1084253148</v>
      </c>
      <c r="C510" t="s">
        <v>1125</v>
      </c>
      <c r="D510" s="11" t="s">
        <v>272</v>
      </c>
      <c r="E510" s="11" t="s">
        <v>4056</v>
      </c>
      <c r="F510" s="1">
        <v>46240</v>
      </c>
      <c r="G510" s="1">
        <v>46240</v>
      </c>
      <c r="H510" s="11"/>
      <c r="I510" s="11" t="s">
        <v>4041</v>
      </c>
    </row>
    <row r="511" spans="1:9" hidden="1" x14ac:dyDescent="0.25">
      <c r="A511" s="1">
        <v>46240</v>
      </c>
      <c r="B511">
        <v>45529043</v>
      </c>
      <c r="C511" t="s">
        <v>798</v>
      </c>
      <c r="D511" s="11" t="s">
        <v>344</v>
      </c>
      <c r="E511" s="11" t="s">
        <v>4056</v>
      </c>
      <c r="F511" s="1">
        <v>46240</v>
      </c>
      <c r="G511" s="1">
        <v>46240</v>
      </c>
      <c r="H511" s="11"/>
      <c r="I511" s="11" t="s">
        <v>4155</v>
      </c>
    </row>
    <row r="512" spans="1:9" hidden="1" x14ac:dyDescent="0.25">
      <c r="A512" s="1">
        <v>46242</v>
      </c>
      <c r="B512">
        <v>45529043</v>
      </c>
      <c r="C512" t="s">
        <v>798</v>
      </c>
      <c r="D512" s="11" t="s">
        <v>344</v>
      </c>
      <c r="E512" s="11" t="s">
        <v>4056</v>
      </c>
      <c r="F512" s="1">
        <v>46240</v>
      </c>
      <c r="G512" s="1">
        <v>46240</v>
      </c>
      <c r="H512" s="11"/>
      <c r="I512" s="11" t="s">
        <v>4041</v>
      </c>
    </row>
    <row r="513" spans="1:9" hidden="1" x14ac:dyDescent="0.25">
      <c r="A513" s="1">
        <v>46240</v>
      </c>
      <c r="B513">
        <v>1214717629</v>
      </c>
      <c r="C513" t="s">
        <v>3086</v>
      </c>
      <c r="D513" s="11" t="s">
        <v>482</v>
      </c>
      <c r="E513" s="11" t="s">
        <v>4040</v>
      </c>
      <c r="F513" s="1">
        <v>46240</v>
      </c>
      <c r="G513" s="1">
        <v>46240</v>
      </c>
      <c r="H513" s="11"/>
      <c r="I513" s="11" t="s">
        <v>4060</v>
      </c>
    </row>
    <row r="514" spans="1:9" hidden="1" x14ac:dyDescent="0.25">
      <c r="A514" s="1">
        <v>46242</v>
      </c>
      <c r="B514">
        <v>1214717629</v>
      </c>
      <c r="C514" t="s">
        <v>3086</v>
      </c>
      <c r="D514" s="11" t="s">
        <v>482</v>
      </c>
      <c r="E514" s="11" t="s">
        <v>4040</v>
      </c>
      <c r="F514" s="1">
        <v>46240</v>
      </c>
      <c r="G514" s="1">
        <v>46240</v>
      </c>
      <c r="H514" s="11"/>
      <c r="I514" s="11" t="s">
        <v>4041</v>
      </c>
    </row>
    <row r="515" spans="1:9" hidden="1" x14ac:dyDescent="0.25">
      <c r="A515" s="1">
        <v>46240</v>
      </c>
      <c r="B515">
        <v>1010039979</v>
      </c>
      <c r="C515" t="s">
        <v>3909</v>
      </c>
      <c r="D515" s="11" t="s">
        <v>128</v>
      </c>
      <c r="E515" s="11" t="s">
        <v>4045</v>
      </c>
      <c r="F515" s="1">
        <v>46240</v>
      </c>
      <c r="G515" s="1">
        <v>46240</v>
      </c>
      <c r="H515" s="11"/>
      <c r="I515" s="11" t="s">
        <v>4060</v>
      </c>
    </row>
    <row r="516" spans="1:9" hidden="1" x14ac:dyDescent="0.25">
      <c r="A516" s="1">
        <v>46240</v>
      </c>
      <c r="B516">
        <v>1214743963</v>
      </c>
      <c r="C516" t="s">
        <v>1573</v>
      </c>
      <c r="D516" s="11" t="s">
        <v>256</v>
      </c>
      <c r="E516" s="11" t="s">
        <v>4040</v>
      </c>
      <c r="F516" s="1">
        <v>46240</v>
      </c>
      <c r="G516" s="1">
        <v>46240</v>
      </c>
      <c r="H516" s="11"/>
      <c r="I516" s="11" t="s">
        <v>4060</v>
      </c>
    </row>
    <row r="517" spans="1:9" hidden="1" x14ac:dyDescent="0.25">
      <c r="A517" s="1">
        <v>46242</v>
      </c>
      <c r="B517">
        <v>1214743963</v>
      </c>
      <c r="C517" t="s">
        <v>1573</v>
      </c>
      <c r="D517" s="11" t="s">
        <v>256</v>
      </c>
      <c r="E517" s="11" t="s">
        <v>4040</v>
      </c>
      <c r="F517" s="1">
        <v>46240</v>
      </c>
      <c r="G517" s="1">
        <v>46240</v>
      </c>
      <c r="H517" s="11"/>
      <c r="I517" s="11" t="s">
        <v>4041</v>
      </c>
    </row>
    <row r="518" spans="1:9" hidden="1" x14ac:dyDescent="0.25">
      <c r="A518" s="1">
        <v>46240</v>
      </c>
      <c r="B518">
        <v>1039462842</v>
      </c>
      <c r="C518" t="s">
        <v>503</v>
      </c>
      <c r="D518" s="11" t="s">
        <v>128</v>
      </c>
      <c r="E518" s="11" t="s">
        <v>4045</v>
      </c>
      <c r="F518" s="1">
        <v>46240</v>
      </c>
      <c r="G518" s="1">
        <v>46240</v>
      </c>
      <c r="H518" s="11"/>
      <c r="I518" s="11" t="s">
        <v>4060</v>
      </c>
    </row>
    <row r="519" spans="1:9" hidden="1" x14ac:dyDescent="0.25">
      <c r="A519" s="1">
        <v>46242</v>
      </c>
      <c r="B519">
        <v>1039462842</v>
      </c>
      <c r="C519" t="s">
        <v>503</v>
      </c>
      <c r="D519" s="11" t="s">
        <v>128</v>
      </c>
      <c r="E519" s="11" t="s">
        <v>4045</v>
      </c>
      <c r="F519" s="1">
        <v>46240</v>
      </c>
      <c r="G519" s="1">
        <v>46240</v>
      </c>
      <c r="H519" s="11"/>
      <c r="I519" s="11" t="s">
        <v>4041</v>
      </c>
    </row>
    <row r="520" spans="1:9" hidden="1" x14ac:dyDescent="0.25">
      <c r="A520" s="1">
        <v>46242</v>
      </c>
      <c r="B520">
        <v>1127074377</v>
      </c>
      <c r="C520" t="s">
        <v>422</v>
      </c>
      <c r="D520" s="11" t="s">
        <v>421</v>
      </c>
      <c r="E520" s="11" t="s">
        <v>4047</v>
      </c>
      <c r="F520" s="1">
        <v>46242</v>
      </c>
      <c r="G520" s="1">
        <v>46242</v>
      </c>
      <c r="H520" s="11" t="s">
        <v>1382</v>
      </c>
      <c r="I520" s="11" t="s">
        <v>1383</v>
      </c>
    </row>
    <row r="521" spans="1:9" hidden="1" x14ac:dyDescent="0.25">
      <c r="A521" s="1">
        <v>46244</v>
      </c>
      <c r="B521">
        <v>1127074377</v>
      </c>
      <c r="C521" t="s">
        <v>422</v>
      </c>
      <c r="D521" s="11" t="s">
        <v>421</v>
      </c>
      <c r="E521" s="11" t="s">
        <v>4047</v>
      </c>
      <c r="F521" s="1">
        <v>46242</v>
      </c>
      <c r="G521" s="1">
        <v>46242</v>
      </c>
      <c r="H521" s="11"/>
      <c r="I521" s="11" t="s">
        <v>4041</v>
      </c>
    </row>
    <row r="522" spans="1:9" hidden="1" x14ac:dyDescent="0.25">
      <c r="A522" s="1">
        <v>46242</v>
      </c>
      <c r="B522">
        <v>1001901817</v>
      </c>
      <c r="C522" t="s">
        <v>4137</v>
      </c>
      <c r="D522" s="11" t="s">
        <v>634</v>
      </c>
      <c r="E522" s="11" t="s">
        <v>4045</v>
      </c>
      <c r="F522" s="1">
        <v>46240</v>
      </c>
      <c r="G522" s="1">
        <v>46240</v>
      </c>
      <c r="H522" s="11"/>
      <c r="I522" s="11" t="s">
        <v>4041</v>
      </c>
    </row>
    <row r="523" spans="1:9" hidden="1" x14ac:dyDescent="0.25">
      <c r="A523" s="1">
        <v>46242</v>
      </c>
      <c r="B523">
        <v>1042422897</v>
      </c>
      <c r="C523" t="s">
        <v>4100</v>
      </c>
      <c r="D523" s="11" t="s">
        <v>256</v>
      </c>
      <c r="E523" s="11" t="s">
        <v>4040</v>
      </c>
      <c r="F523" s="1">
        <v>46242</v>
      </c>
      <c r="G523" s="1">
        <v>46245</v>
      </c>
      <c r="H523" s="11" t="s">
        <v>116</v>
      </c>
      <c r="I523" s="11" t="s">
        <v>117</v>
      </c>
    </row>
    <row r="524" spans="1:9" hidden="1" x14ac:dyDescent="0.25">
      <c r="A524" s="1">
        <v>46244</v>
      </c>
      <c r="B524">
        <v>1042422897</v>
      </c>
      <c r="C524" t="s">
        <v>4100</v>
      </c>
      <c r="D524" s="11" t="s">
        <v>256</v>
      </c>
      <c r="E524" s="11" t="s">
        <v>4040</v>
      </c>
      <c r="F524" s="1">
        <v>46242</v>
      </c>
      <c r="G524" s="1">
        <v>46245</v>
      </c>
      <c r="H524" s="11" t="s">
        <v>116</v>
      </c>
      <c r="I524" s="11" t="s">
        <v>117</v>
      </c>
    </row>
    <row r="525" spans="1:9" hidden="1" x14ac:dyDescent="0.25">
      <c r="A525" s="1">
        <v>46245</v>
      </c>
      <c r="B525">
        <v>1042422897</v>
      </c>
      <c r="C525" t="s">
        <v>4100</v>
      </c>
      <c r="D525" s="11" t="s">
        <v>256</v>
      </c>
      <c r="E525" s="11" t="s">
        <v>4040</v>
      </c>
      <c r="F525" s="1">
        <v>46242</v>
      </c>
      <c r="G525" s="1">
        <v>46245</v>
      </c>
      <c r="H525" s="11"/>
      <c r="I525" s="11" t="s">
        <v>327</v>
      </c>
    </row>
    <row r="526" spans="1:9" hidden="1" x14ac:dyDescent="0.25">
      <c r="A526" s="1">
        <v>46242</v>
      </c>
      <c r="B526">
        <v>1045718883</v>
      </c>
      <c r="C526" t="s">
        <v>34</v>
      </c>
      <c r="D526" s="11" t="s">
        <v>15</v>
      </c>
      <c r="E526" s="11" t="s">
        <v>4046</v>
      </c>
      <c r="F526" s="1">
        <v>46240</v>
      </c>
      <c r="G526" s="1">
        <v>46249</v>
      </c>
      <c r="H526" s="11" t="s">
        <v>222</v>
      </c>
      <c r="I526" s="11" t="s">
        <v>223</v>
      </c>
    </row>
    <row r="527" spans="1:9" hidden="1" x14ac:dyDescent="0.25">
      <c r="A527" s="1">
        <v>46245</v>
      </c>
      <c r="B527">
        <v>1045718883</v>
      </c>
      <c r="C527" t="s">
        <v>34</v>
      </c>
      <c r="D527" s="11" t="s">
        <v>15</v>
      </c>
      <c r="E527" s="11" t="s">
        <v>4046</v>
      </c>
      <c r="F527" s="1">
        <v>46240</v>
      </c>
      <c r="G527" s="1">
        <v>46249</v>
      </c>
      <c r="H527" s="11" t="s">
        <v>300</v>
      </c>
      <c r="I527" s="11" t="s">
        <v>301</v>
      </c>
    </row>
    <row r="528" spans="1:9" hidden="1" x14ac:dyDescent="0.25">
      <c r="A528" s="1">
        <v>46242</v>
      </c>
      <c r="B528">
        <v>1001446162</v>
      </c>
      <c r="C528" t="s">
        <v>3663</v>
      </c>
      <c r="D528" s="11" t="s">
        <v>4078</v>
      </c>
      <c r="E528" s="11" t="s">
        <v>4056</v>
      </c>
      <c r="F528" s="1">
        <v>46242</v>
      </c>
      <c r="G528" s="1">
        <v>46242</v>
      </c>
      <c r="H528" s="11" t="s">
        <v>3662</v>
      </c>
      <c r="I528" s="11" t="s">
        <v>3663</v>
      </c>
    </row>
    <row r="529" spans="1:9" hidden="1" x14ac:dyDescent="0.25">
      <c r="A529" s="1">
        <v>46242</v>
      </c>
      <c r="B529">
        <v>1001369228</v>
      </c>
      <c r="C529" t="s">
        <v>164</v>
      </c>
      <c r="D529" s="11" t="s">
        <v>4078</v>
      </c>
      <c r="E529" s="11" t="s">
        <v>4056</v>
      </c>
      <c r="F529" s="1">
        <v>46242</v>
      </c>
      <c r="G529" s="1">
        <v>46242</v>
      </c>
      <c r="H529" s="11" t="s">
        <v>163</v>
      </c>
      <c r="I529" s="11" t="s">
        <v>164</v>
      </c>
    </row>
    <row r="530" spans="1:9" hidden="1" x14ac:dyDescent="0.25">
      <c r="A530" s="1">
        <v>46242</v>
      </c>
      <c r="B530">
        <v>1000921455</v>
      </c>
      <c r="C530" t="s">
        <v>14</v>
      </c>
      <c r="D530" s="11" t="s">
        <v>15</v>
      </c>
      <c r="E530" s="11" t="s">
        <v>4046</v>
      </c>
      <c r="F530" s="1">
        <v>46239</v>
      </c>
      <c r="G530" s="1">
        <v>46246</v>
      </c>
      <c r="H530" s="11" t="s">
        <v>17</v>
      </c>
      <c r="I530" s="11" t="s">
        <v>18</v>
      </c>
    </row>
    <row r="531" spans="1:9" hidden="1" x14ac:dyDescent="0.25">
      <c r="A531" s="1">
        <v>46244</v>
      </c>
      <c r="B531">
        <v>1000921455</v>
      </c>
      <c r="C531" t="s">
        <v>14</v>
      </c>
      <c r="D531" s="11" t="s">
        <v>15</v>
      </c>
      <c r="E531" s="11" t="s">
        <v>4046</v>
      </c>
      <c r="F531" s="1">
        <v>46239</v>
      </c>
      <c r="G531" s="1">
        <v>46246</v>
      </c>
      <c r="H531" s="11"/>
      <c r="I531" s="11" t="s">
        <v>327</v>
      </c>
    </row>
    <row r="532" spans="1:9" hidden="1" x14ac:dyDescent="0.25">
      <c r="A532" s="1">
        <v>46242</v>
      </c>
      <c r="B532">
        <v>1143413583</v>
      </c>
      <c r="C532" t="s">
        <v>41</v>
      </c>
      <c r="D532" s="11" t="s">
        <v>28</v>
      </c>
      <c r="E532" s="11" t="s">
        <v>4046</v>
      </c>
      <c r="F532" s="1">
        <v>46240</v>
      </c>
      <c r="G532" s="1">
        <v>46244</v>
      </c>
      <c r="H532" s="11" t="s">
        <v>231</v>
      </c>
      <c r="I532" s="11" t="s">
        <v>232</v>
      </c>
    </row>
    <row r="533" spans="1:9" hidden="1" x14ac:dyDescent="0.25">
      <c r="A533" s="1">
        <v>46244</v>
      </c>
      <c r="B533">
        <v>1143413583</v>
      </c>
      <c r="C533" t="s">
        <v>41</v>
      </c>
      <c r="D533" s="11" t="s">
        <v>28</v>
      </c>
      <c r="E533" s="11" t="s">
        <v>4046</v>
      </c>
      <c r="F533" s="1">
        <v>46240</v>
      </c>
      <c r="G533" s="1">
        <v>46244</v>
      </c>
      <c r="H533" s="11"/>
      <c r="I533" s="11" t="s">
        <v>327</v>
      </c>
    </row>
    <row r="534" spans="1:9" hidden="1" x14ac:dyDescent="0.25">
      <c r="A534" s="1">
        <v>46245</v>
      </c>
      <c r="B534">
        <v>1143413583</v>
      </c>
      <c r="C534" t="s">
        <v>41</v>
      </c>
      <c r="D534" s="11" t="s">
        <v>28</v>
      </c>
      <c r="E534" s="11" t="s">
        <v>4046</v>
      </c>
      <c r="F534" s="1">
        <v>46240</v>
      </c>
      <c r="G534" s="1">
        <v>46244</v>
      </c>
      <c r="H534" s="11"/>
      <c r="I534" s="11" t="s">
        <v>4041</v>
      </c>
    </row>
    <row r="535" spans="1:9" hidden="1" x14ac:dyDescent="0.25">
      <c r="A535" s="1">
        <v>46242</v>
      </c>
      <c r="B535">
        <v>1037668455</v>
      </c>
      <c r="C535" t="s">
        <v>3013</v>
      </c>
      <c r="D535" s="11" t="s">
        <v>78</v>
      </c>
      <c r="E535" s="11" t="s">
        <v>4046</v>
      </c>
      <c r="F535" s="1">
        <v>46241</v>
      </c>
      <c r="G535" s="1">
        <v>46242</v>
      </c>
      <c r="H535" s="11" t="s">
        <v>209</v>
      </c>
      <c r="I535" s="11" t="s">
        <v>210</v>
      </c>
    </row>
    <row r="536" spans="1:9" hidden="1" x14ac:dyDescent="0.25">
      <c r="A536" s="1">
        <v>46244</v>
      </c>
      <c r="B536">
        <v>1037668455</v>
      </c>
      <c r="C536" t="s">
        <v>3013</v>
      </c>
      <c r="D536" s="11" t="s">
        <v>78</v>
      </c>
      <c r="E536" s="11" t="s">
        <v>4046</v>
      </c>
      <c r="F536" s="1">
        <v>46241</v>
      </c>
      <c r="G536" s="1">
        <v>46242</v>
      </c>
      <c r="H536" s="11"/>
      <c r="I536" s="11" t="s">
        <v>4041</v>
      </c>
    </row>
    <row r="537" spans="1:9" hidden="1" x14ac:dyDescent="0.25">
      <c r="A537" s="1">
        <v>46242</v>
      </c>
      <c r="B537">
        <v>1026134762</v>
      </c>
      <c r="C537" t="s">
        <v>1359</v>
      </c>
      <c r="D537" s="11" t="s">
        <v>15</v>
      </c>
      <c r="E537" s="11" t="s">
        <v>4046</v>
      </c>
      <c r="F537" s="1">
        <v>46242</v>
      </c>
      <c r="G537" s="1">
        <v>46242</v>
      </c>
      <c r="H537" s="11" t="s">
        <v>119</v>
      </c>
      <c r="I537" s="11" t="s">
        <v>120</v>
      </c>
    </row>
    <row r="538" spans="1:9" hidden="1" x14ac:dyDescent="0.25">
      <c r="A538" s="1">
        <v>46244</v>
      </c>
      <c r="B538">
        <v>1026134762</v>
      </c>
      <c r="C538" t="s">
        <v>1359</v>
      </c>
      <c r="D538" s="11" t="s">
        <v>15</v>
      </c>
      <c r="E538" s="11" t="s">
        <v>4046</v>
      </c>
      <c r="F538" s="1">
        <v>46242</v>
      </c>
      <c r="G538" s="1">
        <v>46242</v>
      </c>
      <c r="H538" s="11"/>
      <c r="I538" s="11" t="s">
        <v>4041</v>
      </c>
    </row>
    <row r="539" spans="1:9" hidden="1" x14ac:dyDescent="0.25">
      <c r="A539" s="1">
        <v>46242</v>
      </c>
      <c r="B539">
        <v>1001817894</v>
      </c>
      <c r="C539" t="s">
        <v>1546</v>
      </c>
      <c r="D539" s="11" t="s">
        <v>15</v>
      </c>
      <c r="E539" s="11" t="s">
        <v>4046</v>
      </c>
      <c r="F539" s="1">
        <v>46242</v>
      </c>
      <c r="G539" s="1">
        <v>46242</v>
      </c>
      <c r="H539" s="11"/>
      <c r="I539" s="11" t="s">
        <v>4060</v>
      </c>
    </row>
    <row r="540" spans="1:9" hidden="1" x14ac:dyDescent="0.25">
      <c r="A540" s="1">
        <v>46244</v>
      </c>
      <c r="B540">
        <v>1001817894</v>
      </c>
      <c r="C540" t="s">
        <v>1546</v>
      </c>
      <c r="D540" s="11" t="s">
        <v>15</v>
      </c>
      <c r="E540" s="11" t="s">
        <v>4046</v>
      </c>
      <c r="F540" s="1">
        <v>46242</v>
      </c>
      <c r="G540" s="1">
        <v>46242</v>
      </c>
      <c r="H540" s="11"/>
      <c r="I540" s="11" t="s">
        <v>4041</v>
      </c>
    </row>
    <row r="541" spans="1:9" hidden="1" x14ac:dyDescent="0.25">
      <c r="A541" s="1">
        <v>46242</v>
      </c>
      <c r="B541">
        <v>1083567466</v>
      </c>
      <c r="C541" t="s">
        <v>1453</v>
      </c>
      <c r="D541" s="11" t="s">
        <v>421</v>
      </c>
      <c r="E541" s="11" t="s">
        <v>4047</v>
      </c>
      <c r="F541" s="1">
        <v>46242</v>
      </c>
      <c r="G541" s="1">
        <v>46242</v>
      </c>
      <c r="H541" s="11"/>
      <c r="I541" s="11" t="s">
        <v>4060</v>
      </c>
    </row>
    <row r="542" spans="1:9" hidden="1" x14ac:dyDescent="0.25">
      <c r="A542" s="1">
        <v>46244</v>
      </c>
      <c r="B542">
        <v>1083567466</v>
      </c>
      <c r="C542" t="s">
        <v>1453</v>
      </c>
      <c r="D542" s="11" t="s">
        <v>421</v>
      </c>
      <c r="E542" s="11" t="s">
        <v>4047</v>
      </c>
      <c r="F542" s="1">
        <v>46242</v>
      </c>
      <c r="G542" s="1">
        <v>46242</v>
      </c>
      <c r="H542" s="11"/>
      <c r="I542" s="11" t="s">
        <v>4041</v>
      </c>
    </row>
    <row r="543" spans="1:9" hidden="1" x14ac:dyDescent="0.25">
      <c r="A543" s="1">
        <v>46242</v>
      </c>
      <c r="B543">
        <v>1003083272</v>
      </c>
      <c r="C543" t="s">
        <v>1269</v>
      </c>
      <c r="D543" s="11" t="s">
        <v>55</v>
      </c>
      <c r="E543" s="11" t="s">
        <v>4047</v>
      </c>
      <c r="F543" s="1">
        <v>46241</v>
      </c>
      <c r="G543" s="1">
        <v>46242</v>
      </c>
      <c r="H543" s="11"/>
      <c r="I543" s="11" t="s">
        <v>327</v>
      </c>
    </row>
    <row r="544" spans="1:9" hidden="1" x14ac:dyDescent="0.25">
      <c r="A544" s="1">
        <v>46244</v>
      </c>
      <c r="B544">
        <v>1003083272</v>
      </c>
      <c r="C544" t="s">
        <v>1269</v>
      </c>
      <c r="D544" s="11" t="s">
        <v>55</v>
      </c>
      <c r="E544" s="11" t="s">
        <v>4047</v>
      </c>
      <c r="F544" s="1">
        <v>46241</v>
      </c>
      <c r="G544" s="1">
        <v>46242</v>
      </c>
      <c r="H544" s="11"/>
      <c r="I544" s="11" t="s">
        <v>4041</v>
      </c>
    </row>
    <row r="545" spans="1:9" hidden="1" x14ac:dyDescent="0.25">
      <c r="A545" s="1">
        <v>46242</v>
      </c>
      <c r="B545">
        <v>1083037131</v>
      </c>
      <c r="C545" t="s">
        <v>533</v>
      </c>
      <c r="D545" s="11" t="s">
        <v>64</v>
      </c>
      <c r="E545" s="11" t="s">
        <v>4046</v>
      </c>
      <c r="F545" s="1">
        <v>46242</v>
      </c>
      <c r="G545" s="1">
        <v>46242</v>
      </c>
      <c r="H545" s="11"/>
      <c r="I545" s="11" t="s">
        <v>327</v>
      </c>
    </row>
    <row r="546" spans="1:9" hidden="1" x14ac:dyDescent="0.25">
      <c r="A546" s="1">
        <v>46244</v>
      </c>
      <c r="B546">
        <v>1083037131</v>
      </c>
      <c r="C546" t="s">
        <v>533</v>
      </c>
      <c r="D546" s="11" t="s">
        <v>64</v>
      </c>
      <c r="E546" s="11" t="s">
        <v>4046</v>
      </c>
      <c r="F546" s="1">
        <v>46242</v>
      </c>
      <c r="G546" s="1">
        <v>46242</v>
      </c>
      <c r="H546" s="11"/>
      <c r="I546" s="11" t="s">
        <v>4041</v>
      </c>
    </row>
    <row r="547" spans="1:9" hidden="1" x14ac:dyDescent="0.25">
      <c r="A547" s="1">
        <v>46242</v>
      </c>
      <c r="B547">
        <v>1037637914</v>
      </c>
      <c r="C547" t="s">
        <v>2749</v>
      </c>
      <c r="D547" s="11" t="s">
        <v>15</v>
      </c>
      <c r="E547" s="11" t="s">
        <v>4046</v>
      </c>
      <c r="F547" s="1">
        <v>46242</v>
      </c>
      <c r="G547" s="1">
        <v>46242</v>
      </c>
      <c r="H547" s="11"/>
      <c r="I547" s="11" t="s">
        <v>327</v>
      </c>
    </row>
    <row r="548" spans="1:9" hidden="1" x14ac:dyDescent="0.25">
      <c r="A548" s="1">
        <v>46244</v>
      </c>
      <c r="B548">
        <v>1037637914</v>
      </c>
      <c r="C548" t="s">
        <v>2749</v>
      </c>
      <c r="D548" s="11" t="s">
        <v>15</v>
      </c>
      <c r="E548" s="11" t="s">
        <v>4046</v>
      </c>
      <c r="F548" s="1">
        <v>46242</v>
      </c>
      <c r="G548" s="1">
        <v>46242</v>
      </c>
      <c r="H548" s="11"/>
      <c r="I548" s="11" t="s">
        <v>4041</v>
      </c>
    </row>
    <row r="549" spans="1:9" hidden="1" x14ac:dyDescent="0.25">
      <c r="A549" s="1">
        <v>46242</v>
      </c>
      <c r="B549">
        <v>1235045754</v>
      </c>
      <c r="C549" t="s">
        <v>2420</v>
      </c>
      <c r="D549" s="11" t="s">
        <v>421</v>
      </c>
      <c r="E549" s="11" t="s">
        <v>4047</v>
      </c>
      <c r="F549" s="1">
        <v>46242</v>
      </c>
      <c r="G549" s="1">
        <v>46242</v>
      </c>
      <c r="H549" s="11"/>
      <c r="I549" s="11" t="s">
        <v>4060</v>
      </c>
    </row>
    <row r="550" spans="1:9" hidden="1" x14ac:dyDescent="0.25">
      <c r="A550" s="1">
        <v>46244</v>
      </c>
      <c r="B550">
        <v>1235045754</v>
      </c>
      <c r="C550" t="s">
        <v>2420</v>
      </c>
      <c r="D550" s="11" t="s">
        <v>421</v>
      </c>
      <c r="E550" s="11" t="s">
        <v>4047</v>
      </c>
      <c r="F550" s="1">
        <v>46242</v>
      </c>
      <c r="G550" s="1">
        <v>46242</v>
      </c>
      <c r="H550" s="11"/>
      <c r="I550" s="11" t="s">
        <v>4041</v>
      </c>
    </row>
    <row r="551" spans="1:9" hidden="1" x14ac:dyDescent="0.25">
      <c r="A551" s="1">
        <v>46242</v>
      </c>
      <c r="B551">
        <v>1015483595</v>
      </c>
      <c r="C551" t="s">
        <v>4156</v>
      </c>
      <c r="D551" s="11" t="s">
        <v>15</v>
      </c>
      <c r="E551" s="11" t="s">
        <v>4046</v>
      </c>
      <c r="F551" s="1">
        <v>46244</v>
      </c>
      <c r="G551" s="1">
        <v>46265</v>
      </c>
      <c r="H551" s="11"/>
      <c r="I551" s="11" t="s">
        <v>4060</v>
      </c>
    </row>
    <row r="552" spans="1:9" hidden="1" x14ac:dyDescent="0.25">
      <c r="A552" s="1">
        <v>46244</v>
      </c>
      <c r="B552">
        <v>1015483595</v>
      </c>
      <c r="C552" t="s">
        <v>221</v>
      </c>
      <c r="D552" s="11" t="s">
        <v>15</v>
      </c>
      <c r="E552" s="11" t="s">
        <v>4046</v>
      </c>
      <c r="F552" s="1">
        <v>46244</v>
      </c>
      <c r="G552" s="1">
        <v>46265</v>
      </c>
      <c r="H552" s="11" t="s">
        <v>222</v>
      </c>
      <c r="I552" s="11" t="s">
        <v>223</v>
      </c>
    </row>
    <row r="553" spans="1:9" hidden="1" x14ac:dyDescent="0.25">
      <c r="A553" s="1">
        <v>46245</v>
      </c>
      <c r="B553">
        <v>1015483595</v>
      </c>
      <c r="C553" t="s">
        <v>23</v>
      </c>
      <c r="D553" s="11" t="s">
        <v>15</v>
      </c>
      <c r="E553" s="11" t="s">
        <v>4046</v>
      </c>
      <c r="F553" s="1">
        <v>46244</v>
      </c>
      <c r="G553" s="1">
        <v>46265</v>
      </c>
      <c r="H553" s="11"/>
      <c r="I553" s="11" t="s">
        <v>327</v>
      </c>
    </row>
    <row r="554" spans="1:9" hidden="1" x14ac:dyDescent="0.25">
      <c r="A554" s="1">
        <v>46242</v>
      </c>
      <c r="B554">
        <v>1214714989</v>
      </c>
      <c r="C554" t="s">
        <v>2191</v>
      </c>
      <c r="D554" s="11" t="s">
        <v>256</v>
      </c>
      <c r="E554" s="11" t="s">
        <v>4040</v>
      </c>
      <c r="F554" s="1">
        <v>46242</v>
      </c>
      <c r="G554" s="1">
        <v>46242</v>
      </c>
      <c r="H554" s="11"/>
      <c r="I554" s="11" t="s">
        <v>4060</v>
      </c>
    </row>
    <row r="555" spans="1:9" hidden="1" x14ac:dyDescent="0.25">
      <c r="A555" s="1">
        <v>46244</v>
      </c>
      <c r="B555">
        <v>1214714989</v>
      </c>
      <c r="C555" t="s">
        <v>2191</v>
      </c>
      <c r="D555" s="11" t="s">
        <v>256</v>
      </c>
      <c r="E555" s="11" t="s">
        <v>4040</v>
      </c>
      <c r="F555" s="1">
        <v>46242</v>
      </c>
      <c r="G555" s="1">
        <v>46242</v>
      </c>
      <c r="H555" s="11"/>
      <c r="I555" s="11" t="s">
        <v>4041</v>
      </c>
    </row>
    <row r="556" spans="1:9" hidden="1" x14ac:dyDescent="0.25">
      <c r="A556" s="1">
        <v>46242</v>
      </c>
      <c r="B556">
        <v>1010149319</v>
      </c>
      <c r="C556" t="s">
        <v>3177</v>
      </c>
      <c r="D556" s="11" t="s">
        <v>59</v>
      </c>
      <c r="E556" s="11" t="s">
        <v>4047</v>
      </c>
      <c r="F556" s="1">
        <v>46242</v>
      </c>
      <c r="G556" s="1">
        <v>46242</v>
      </c>
      <c r="H556" s="11"/>
      <c r="I556" s="11" t="s">
        <v>4060</v>
      </c>
    </row>
    <row r="557" spans="1:9" hidden="1" x14ac:dyDescent="0.25">
      <c r="A557" s="1">
        <v>46244</v>
      </c>
      <c r="B557">
        <v>1010149319</v>
      </c>
      <c r="C557" t="s">
        <v>3177</v>
      </c>
      <c r="D557" s="11" t="s">
        <v>59</v>
      </c>
      <c r="E557" s="11" t="s">
        <v>4047</v>
      </c>
      <c r="F557" s="1">
        <v>46242</v>
      </c>
      <c r="G557" s="1">
        <v>46242</v>
      </c>
      <c r="H557" s="11"/>
      <c r="I557" s="11" t="s">
        <v>4041</v>
      </c>
    </row>
    <row r="558" spans="1:9" hidden="1" x14ac:dyDescent="0.25">
      <c r="A558" s="1">
        <v>46242</v>
      </c>
      <c r="B558">
        <v>1010246557</v>
      </c>
      <c r="C558" t="s">
        <v>3461</v>
      </c>
      <c r="D558" s="11" t="s">
        <v>256</v>
      </c>
      <c r="E558" s="11" t="s">
        <v>4040</v>
      </c>
      <c r="F558" s="1">
        <v>46242</v>
      </c>
      <c r="G558" s="1">
        <v>46242</v>
      </c>
      <c r="H558" s="11"/>
      <c r="I558" s="11" t="s">
        <v>4157</v>
      </c>
    </row>
    <row r="559" spans="1:9" hidden="1" x14ac:dyDescent="0.25">
      <c r="A559" s="1">
        <v>46244</v>
      </c>
      <c r="B559">
        <v>1010246557</v>
      </c>
      <c r="C559" t="s">
        <v>3461</v>
      </c>
      <c r="D559" s="11" t="s">
        <v>256</v>
      </c>
      <c r="E559" s="11" t="s">
        <v>4040</v>
      </c>
      <c r="F559" s="1">
        <v>46242</v>
      </c>
      <c r="G559" s="1">
        <v>46242</v>
      </c>
      <c r="H559" s="11"/>
      <c r="I559" s="11" t="s">
        <v>4041</v>
      </c>
    </row>
    <row r="560" spans="1:9" hidden="1" x14ac:dyDescent="0.25">
      <c r="A560" s="1">
        <v>46242</v>
      </c>
      <c r="B560">
        <v>88030132</v>
      </c>
      <c r="C560" t="s">
        <v>1956</v>
      </c>
      <c r="D560" s="11" t="s">
        <v>59</v>
      </c>
      <c r="E560" s="11" t="s">
        <v>4047</v>
      </c>
      <c r="F560" s="1">
        <v>46242</v>
      </c>
      <c r="G560" s="1">
        <v>46243</v>
      </c>
      <c r="H560" s="11"/>
      <c r="I560" s="11" t="s">
        <v>4060</v>
      </c>
    </row>
    <row r="561" spans="1:9" hidden="1" x14ac:dyDescent="0.25">
      <c r="A561" s="1">
        <v>46244</v>
      </c>
      <c r="B561">
        <v>88030132</v>
      </c>
      <c r="C561" t="s">
        <v>1956</v>
      </c>
      <c r="D561" s="11" t="s">
        <v>59</v>
      </c>
      <c r="E561" s="11" t="s">
        <v>4047</v>
      </c>
      <c r="F561" s="1">
        <v>46242</v>
      </c>
      <c r="G561" s="1">
        <v>46243</v>
      </c>
      <c r="H561" s="11"/>
      <c r="I561" s="11" t="s">
        <v>4041</v>
      </c>
    </row>
    <row r="562" spans="1:9" hidden="1" x14ac:dyDescent="0.25">
      <c r="A562" s="1">
        <v>46242</v>
      </c>
      <c r="B562">
        <v>1107046318</v>
      </c>
      <c r="C562" t="s">
        <v>268</v>
      </c>
      <c r="D562" s="11" t="s">
        <v>344</v>
      </c>
      <c r="E562" s="11" t="s">
        <v>4056</v>
      </c>
      <c r="F562" s="1">
        <v>46242</v>
      </c>
      <c r="G562" s="1">
        <v>46242</v>
      </c>
      <c r="H562" s="11"/>
      <c r="I562" s="11" t="s">
        <v>339</v>
      </c>
    </row>
    <row r="563" spans="1:9" hidden="1" x14ac:dyDescent="0.25">
      <c r="A563" s="1">
        <v>46242</v>
      </c>
      <c r="B563">
        <v>1038412205</v>
      </c>
      <c r="C563" t="s">
        <v>2848</v>
      </c>
      <c r="D563" s="11" t="s">
        <v>482</v>
      </c>
      <c r="E563" s="11" t="s">
        <v>4040</v>
      </c>
      <c r="F563" s="1">
        <v>46242</v>
      </c>
      <c r="G563" s="1">
        <v>46242</v>
      </c>
      <c r="H563" s="11"/>
      <c r="I563" s="11" t="s">
        <v>4060</v>
      </c>
    </row>
    <row r="564" spans="1:9" hidden="1" x14ac:dyDescent="0.25">
      <c r="A564" s="1">
        <v>46244</v>
      </c>
      <c r="B564">
        <v>1038412205</v>
      </c>
      <c r="C564" t="s">
        <v>2848</v>
      </c>
      <c r="D564" s="11" t="s">
        <v>482</v>
      </c>
      <c r="E564" s="11" t="s">
        <v>4040</v>
      </c>
      <c r="F564" s="1">
        <v>46242</v>
      </c>
      <c r="G564" s="1">
        <v>46242</v>
      </c>
      <c r="H564" s="11"/>
      <c r="I564" s="11" t="s">
        <v>4041</v>
      </c>
    </row>
    <row r="565" spans="1:9" hidden="1" x14ac:dyDescent="0.25">
      <c r="A565" s="1">
        <v>46242</v>
      </c>
      <c r="B565">
        <v>1071169507</v>
      </c>
      <c r="C565" t="s">
        <v>161</v>
      </c>
      <c r="D565" s="11" t="s">
        <v>162</v>
      </c>
      <c r="E565" s="11" t="s">
        <v>4056</v>
      </c>
      <c r="F565" s="1">
        <v>46242</v>
      </c>
      <c r="G565" s="1">
        <v>46247</v>
      </c>
      <c r="H565" s="11"/>
      <c r="I565" s="11" t="s">
        <v>327</v>
      </c>
    </row>
    <row r="566" spans="1:9" hidden="1" x14ac:dyDescent="0.25">
      <c r="A566" s="1">
        <v>46244</v>
      </c>
      <c r="B566">
        <v>1071169507</v>
      </c>
      <c r="C566" t="s">
        <v>161</v>
      </c>
      <c r="D566" s="11" t="s">
        <v>162</v>
      </c>
      <c r="E566" s="11" t="s">
        <v>4056</v>
      </c>
      <c r="F566" s="1">
        <v>46242</v>
      </c>
      <c r="G566" s="1">
        <v>46247</v>
      </c>
      <c r="H566" s="11" t="s">
        <v>163</v>
      </c>
      <c r="I566" s="11" t="s">
        <v>164</v>
      </c>
    </row>
    <row r="567" spans="1:9" hidden="1" x14ac:dyDescent="0.25">
      <c r="A567" s="1">
        <v>46245</v>
      </c>
      <c r="B567">
        <v>1071169507</v>
      </c>
      <c r="C567" t="s">
        <v>161</v>
      </c>
      <c r="D567" s="11" t="s">
        <v>162</v>
      </c>
      <c r="E567" s="11" t="s">
        <v>4056</v>
      </c>
      <c r="F567" s="1">
        <v>46242</v>
      </c>
      <c r="G567" s="1">
        <v>46247</v>
      </c>
      <c r="H567" s="11" t="s">
        <v>184</v>
      </c>
      <c r="I567" s="11" t="s">
        <v>185</v>
      </c>
    </row>
    <row r="568" spans="1:9" hidden="1" x14ac:dyDescent="0.25">
      <c r="A568" s="1">
        <v>46242</v>
      </c>
      <c r="B568">
        <v>1001445343</v>
      </c>
      <c r="C568" t="s">
        <v>1432</v>
      </c>
      <c r="D568" s="11" t="s">
        <v>344</v>
      </c>
      <c r="E568" s="11" t="s">
        <v>4056</v>
      </c>
      <c r="F568" s="1">
        <v>46242</v>
      </c>
      <c r="G568" s="1">
        <v>46242</v>
      </c>
      <c r="H568" s="11" t="s">
        <v>184</v>
      </c>
      <c r="I568" s="11" t="s">
        <v>185</v>
      </c>
    </row>
    <row r="569" spans="1:9" hidden="1" x14ac:dyDescent="0.25">
      <c r="A569" s="1">
        <v>46244</v>
      </c>
      <c r="B569">
        <v>1036670630</v>
      </c>
      <c r="C569" t="s">
        <v>4146</v>
      </c>
      <c r="D569" s="11" t="s">
        <v>51</v>
      </c>
      <c r="E569" s="11" t="s">
        <v>4047</v>
      </c>
      <c r="F569" s="1">
        <v>46244</v>
      </c>
      <c r="G569" s="1">
        <v>46244</v>
      </c>
      <c r="H569" s="11" t="s">
        <v>85</v>
      </c>
      <c r="I569" s="11" t="s">
        <v>86</v>
      </c>
    </row>
    <row r="570" spans="1:9" hidden="1" x14ac:dyDescent="0.25">
      <c r="A570" s="1">
        <v>46245</v>
      </c>
      <c r="B570">
        <v>1036670630</v>
      </c>
      <c r="C570" t="s">
        <v>1163</v>
      </c>
      <c r="D570" s="11" t="s">
        <v>51</v>
      </c>
      <c r="E570" s="11" t="s">
        <v>4047</v>
      </c>
      <c r="F570" s="1">
        <v>46244</v>
      </c>
      <c r="G570" s="1">
        <v>46244</v>
      </c>
      <c r="H570" s="11"/>
      <c r="I570" s="11" t="s">
        <v>4041</v>
      </c>
    </row>
    <row r="571" spans="1:9" hidden="1" x14ac:dyDescent="0.25">
      <c r="A571" s="1">
        <v>46244</v>
      </c>
      <c r="B571">
        <v>1028005084</v>
      </c>
      <c r="C571" t="s">
        <v>1836</v>
      </c>
      <c r="D571" s="11" t="s">
        <v>176</v>
      </c>
      <c r="E571" s="11" t="s">
        <v>4040</v>
      </c>
      <c r="F571" s="1">
        <v>46242</v>
      </c>
      <c r="H571" s="11"/>
      <c r="I571" s="11" t="s">
        <v>4041</v>
      </c>
    </row>
    <row r="572" spans="1:9" hidden="1" x14ac:dyDescent="0.25">
      <c r="A572" s="1">
        <v>46244</v>
      </c>
      <c r="B572">
        <v>1007842898</v>
      </c>
      <c r="C572" t="s">
        <v>4159</v>
      </c>
      <c r="D572" s="11" t="s">
        <v>421</v>
      </c>
      <c r="E572" s="11" t="s">
        <v>4047</v>
      </c>
      <c r="F572" s="1">
        <v>46242</v>
      </c>
      <c r="H572" s="11" t="s">
        <v>213</v>
      </c>
      <c r="I572" s="11" t="s">
        <v>214</v>
      </c>
    </row>
    <row r="573" spans="1:9" hidden="1" x14ac:dyDescent="0.25">
      <c r="A573" s="1">
        <v>46244</v>
      </c>
      <c r="B573">
        <v>1001446162</v>
      </c>
      <c r="C573" t="s">
        <v>3663</v>
      </c>
      <c r="D573" s="11" t="s">
        <v>4078</v>
      </c>
      <c r="E573" s="11" t="s">
        <v>4056</v>
      </c>
      <c r="F573" s="1">
        <v>46244</v>
      </c>
      <c r="G573" s="1">
        <v>46244</v>
      </c>
      <c r="H573" s="11" t="s">
        <v>3662</v>
      </c>
      <c r="I573" s="11" t="s">
        <v>3663</v>
      </c>
    </row>
    <row r="574" spans="1:9" hidden="1" x14ac:dyDescent="0.25">
      <c r="A574" s="1">
        <v>46244</v>
      </c>
      <c r="B574">
        <v>1107046318</v>
      </c>
      <c r="C574" t="s">
        <v>268</v>
      </c>
      <c r="D574" s="11" t="s">
        <v>4078</v>
      </c>
      <c r="E574" s="11" t="s">
        <v>4056</v>
      </c>
      <c r="F574" s="1">
        <v>46244</v>
      </c>
      <c r="G574" s="1">
        <v>46244</v>
      </c>
      <c r="H574" s="11" t="s">
        <v>267</v>
      </c>
      <c r="I574" s="11" t="s">
        <v>268</v>
      </c>
    </row>
    <row r="575" spans="1:9" hidden="1" x14ac:dyDescent="0.25">
      <c r="A575" s="1">
        <v>46244</v>
      </c>
      <c r="B575">
        <v>1082896324</v>
      </c>
      <c r="C575" t="s">
        <v>127</v>
      </c>
      <c r="D575" s="11" t="s">
        <v>128</v>
      </c>
      <c r="E575" s="11" t="s">
        <v>4045</v>
      </c>
      <c r="F575" s="1">
        <v>46242</v>
      </c>
      <c r="G575" s="1">
        <v>46272</v>
      </c>
      <c r="H575" s="11"/>
      <c r="I575" s="11" t="s">
        <v>327</v>
      </c>
    </row>
    <row r="576" spans="1:9" hidden="1" x14ac:dyDescent="0.25">
      <c r="A576" s="1">
        <v>46245</v>
      </c>
      <c r="B576">
        <v>1082896324</v>
      </c>
      <c r="C576" t="s">
        <v>127</v>
      </c>
      <c r="D576" s="11" t="s">
        <v>128</v>
      </c>
      <c r="E576" s="11" t="s">
        <v>4045</v>
      </c>
      <c r="F576" s="1">
        <v>46242</v>
      </c>
      <c r="G576" s="1">
        <v>46272</v>
      </c>
      <c r="H576" s="11" t="s">
        <v>150</v>
      </c>
      <c r="I576" s="11" t="s">
        <v>151</v>
      </c>
    </row>
    <row r="577" spans="1:9" hidden="1" x14ac:dyDescent="0.25">
      <c r="A577" s="1">
        <v>46244</v>
      </c>
      <c r="B577">
        <v>1036670970</v>
      </c>
      <c r="C577" t="s">
        <v>2687</v>
      </c>
      <c r="D577" s="11" t="s">
        <v>15</v>
      </c>
      <c r="E577" s="11" t="s">
        <v>4046</v>
      </c>
      <c r="F577" s="1">
        <v>46244</v>
      </c>
      <c r="G577" s="1">
        <v>46244</v>
      </c>
      <c r="H577" s="11"/>
      <c r="I577" s="11" t="s">
        <v>4060</v>
      </c>
    </row>
    <row r="578" spans="1:9" hidden="1" x14ac:dyDescent="0.25">
      <c r="A578" s="1">
        <v>46245</v>
      </c>
      <c r="B578">
        <v>1036670970</v>
      </c>
      <c r="C578" t="s">
        <v>2687</v>
      </c>
      <c r="D578" s="11" t="s">
        <v>15</v>
      </c>
      <c r="E578" s="11" t="s">
        <v>4046</v>
      </c>
      <c r="F578" s="1">
        <v>46244</v>
      </c>
      <c r="G578" s="1">
        <v>46244</v>
      </c>
      <c r="H578" s="11"/>
      <c r="I578" s="11" t="s">
        <v>4041</v>
      </c>
    </row>
    <row r="579" spans="1:9" hidden="1" x14ac:dyDescent="0.25">
      <c r="A579" s="1">
        <v>46244</v>
      </c>
      <c r="B579">
        <v>1003033764</v>
      </c>
      <c r="C579" t="s">
        <v>1275</v>
      </c>
      <c r="D579" s="11" t="s">
        <v>124</v>
      </c>
      <c r="E579" s="11" t="s">
        <v>4045</v>
      </c>
      <c r="F579" s="1">
        <v>46244</v>
      </c>
      <c r="G579" s="1">
        <v>46245</v>
      </c>
      <c r="H579" s="11"/>
      <c r="I579" s="11" t="s">
        <v>4060</v>
      </c>
    </row>
    <row r="580" spans="1:9" hidden="1" x14ac:dyDescent="0.25">
      <c r="A580" s="1">
        <v>46245</v>
      </c>
      <c r="B580">
        <v>1003033764</v>
      </c>
      <c r="C580" t="s">
        <v>1275</v>
      </c>
      <c r="D580" s="11" t="s">
        <v>124</v>
      </c>
      <c r="E580" s="11" t="s">
        <v>4045</v>
      </c>
      <c r="F580" s="1">
        <v>46244</v>
      </c>
      <c r="G580" s="1">
        <v>46245</v>
      </c>
      <c r="H580" s="11"/>
      <c r="I580" s="11" t="s">
        <v>327</v>
      </c>
    </row>
    <row r="581" spans="1:9" hidden="1" x14ac:dyDescent="0.25">
      <c r="A581" s="1">
        <v>46244</v>
      </c>
      <c r="B581">
        <v>1143345388</v>
      </c>
      <c r="C581" t="s">
        <v>3124</v>
      </c>
      <c r="D581" s="11" t="s">
        <v>55</v>
      </c>
      <c r="E581" s="11" t="s">
        <v>4047</v>
      </c>
      <c r="F581" s="1">
        <v>46244</v>
      </c>
      <c r="G581" s="1">
        <v>46245</v>
      </c>
      <c r="H581" s="11"/>
      <c r="I581" s="11" t="s">
        <v>4060</v>
      </c>
    </row>
    <row r="582" spans="1:9" hidden="1" x14ac:dyDescent="0.25">
      <c r="A582" s="1">
        <v>46245</v>
      </c>
      <c r="B582">
        <v>1143345388</v>
      </c>
      <c r="C582" t="s">
        <v>3124</v>
      </c>
      <c r="D582" s="11" t="s">
        <v>55</v>
      </c>
      <c r="E582" s="11" t="s">
        <v>4047</v>
      </c>
      <c r="F582" s="1">
        <v>46244</v>
      </c>
      <c r="G582" s="1">
        <v>46245</v>
      </c>
      <c r="H582" s="11"/>
      <c r="I582" s="11" t="s">
        <v>327</v>
      </c>
    </row>
    <row r="583" spans="1:9" hidden="1" x14ac:dyDescent="0.25">
      <c r="A583" s="1">
        <v>46244</v>
      </c>
      <c r="B583">
        <v>1193370054</v>
      </c>
      <c r="C583" t="s">
        <v>994</v>
      </c>
      <c r="D583" s="11" t="s">
        <v>59</v>
      </c>
      <c r="E583" s="11" t="s">
        <v>4047</v>
      </c>
      <c r="F583" s="1">
        <v>46244</v>
      </c>
      <c r="G583" s="1">
        <v>46244</v>
      </c>
      <c r="H583" s="11"/>
      <c r="I583" s="11" t="s">
        <v>4060</v>
      </c>
    </row>
    <row r="584" spans="1:9" hidden="1" x14ac:dyDescent="0.25">
      <c r="A584" s="1">
        <v>46245</v>
      </c>
      <c r="B584">
        <v>1193370054</v>
      </c>
      <c r="C584" t="s">
        <v>994</v>
      </c>
      <c r="D584" s="11" t="s">
        <v>59</v>
      </c>
      <c r="E584" s="11" t="s">
        <v>4047</v>
      </c>
      <c r="F584" s="1">
        <v>46244</v>
      </c>
      <c r="G584" s="1">
        <v>46244</v>
      </c>
      <c r="H584" s="11"/>
      <c r="I584" s="11" t="s">
        <v>327</v>
      </c>
    </row>
    <row r="585" spans="1:9" hidden="1" x14ac:dyDescent="0.25">
      <c r="A585" s="1">
        <v>46245</v>
      </c>
      <c r="B585">
        <v>1037646627</v>
      </c>
      <c r="C585" t="s">
        <v>3293</v>
      </c>
      <c r="D585" s="11" t="s">
        <v>124</v>
      </c>
      <c r="E585" s="11" t="s">
        <v>4045</v>
      </c>
      <c r="F585" s="1">
        <v>46244</v>
      </c>
      <c r="G585" s="1">
        <v>46245</v>
      </c>
      <c r="H585" s="11" t="s">
        <v>303</v>
      </c>
      <c r="I585" s="11" t="s">
        <v>304</v>
      </c>
    </row>
    <row r="586" spans="1:9" hidden="1" x14ac:dyDescent="0.25">
      <c r="A586" s="1">
        <v>46244</v>
      </c>
      <c r="B586">
        <v>1048266834</v>
      </c>
      <c r="C586" t="s">
        <v>1231</v>
      </c>
      <c r="D586" s="11" t="s">
        <v>68</v>
      </c>
      <c r="E586" s="11" t="s">
        <v>4040</v>
      </c>
      <c r="F586" s="1">
        <v>46244</v>
      </c>
      <c r="G586" s="1">
        <v>46244</v>
      </c>
      <c r="H586" s="11"/>
      <c r="I586" s="11" t="s">
        <v>327</v>
      </c>
    </row>
    <row r="587" spans="1:9" hidden="1" x14ac:dyDescent="0.25">
      <c r="A587" s="1">
        <v>46245</v>
      </c>
      <c r="B587">
        <v>1048266834</v>
      </c>
      <c r="C587" t="s">
        <v>1231</v>
      </c>
      <c r="D587" s="11" t="s">
        <v>68</v>
      </c>
      <c r="E587" s="11" t="s">
        <v>4040</v>
      </c>
      <c r="F587" s="1">
        <v>46244</v>
      </c>
      <c r="G587" s="1">
        <v>46244</v>
      </c>
      <c r="H587" s="11"/>
      <c r="I587" s="11" t="s">
        <v>4041</v>
      </c>
    </row>
    <row r="588" spans="1:9" hidden="1" x14ac:dyDescent="0.25">
      <c r="A588" s="1">
        <v>46244</v>
      </c>
      <c r="B588">
        <v>1069505986</v>
      </c>
      <c r="C588" t="s">
        <v>935</v>
      </c>
      <c r="D588" s="11" t="s">
        <v>59</v>
      </c>
      <c r="E588" s="11" t="s">
        <v>4047</v>
      </c>
      <c r="F588" s="1">
        <v>46244</v>
      </c>
      <c r="G588" s="1">
        <v>46244</v>
      </c>
      <c r="H588" s="11"/>
      <c r="I588" s="11" t="s">
        <v>327</v>
      </c>
    </row>
    <row r="589" spans="1:9" hidden="1" x14ac:dyDescent="0.25">
      <c r="A589" s="1">
        <v>46245</v>
      </c>
      <c r="B589">
        <v>1069505986</v>
      </c>
      <c r="C589" t="s">
        <v>935</v>
      </c>
      <c r="D589" s="11" t="s">
        <v>59</v>
      </c>
      <c r="E589" s="11" t="s">
        <v>4047</v>
      </c>
      <c r="F589" s="1">
        <v>46244</v>
      </c>
      <c r="G589" s="1">
        <v>46244</v>
      </c>
      <c r="H589" s="11"/>
      <c r="I589" s="11" t="s">
        <v>4041</v>
      </c>
    </row>
    <row r="590" spans="1:9" hidden="1" x14ac:dyDescent="0.25">
      <c r="A590" s="1">
        <v>46244</v>
      </c>
      <c r="B590">
        <v>1039468657</v>
      </c>
      <c r="C590" t="s">
        <v>2389</v>
      </c>
      <c r="D590" s="11" t="s">
        <v>2069</v>
      </c>
      <c r="E590" s="11" t="s">
        <v>4046</v>
      </c>
      <c r="F590" s="1">
        <v>46244</v>
      </c>
      <c r="G590" s="1">
        <v>46245</v>
      </c>
      <c r="H590" s="11"/>
      <c r="I590" s="11" t="s">
        <v>327</v>
      </c>
    </row>
    <row r="591" spans="1:9" hidden="1" x14ac:dyDescent="0.25">
      <c r="A591" s="1">
        <v>46245</v>
      </c>
      <c r="B591">
        <v>1039468657</v>
      </c>
      <c r="C591" t="s">
        <v>2389</v>
      </c>
      <c r="D591" s="11" t="s">
        <v>2069</v>
      </c>
      <c r="E591" s="11" t="s">
        <v>4046</v>
      </c>
      <c r="F591" s="1">
        <v>46244</v>
      </c>
      <c r="G591" s="1">
        <v>46245</v>
      </c>
      <c r="H591" s="11" t="s">
        <v>222</v>
      </c>
      <c r="I591" s="11" t="s">
        <v>223</v>
      </c>
    </row>
    <row r="592" spans="1:9" hidden="1" x14ac:dyDescent="0.25">
      <c r="A592" s="1">
        <v>46244</v>
      </c>
      <c r="B592">
        <v>1001995044</v>
      </c>
      <c r="C592" t="s">
        <v>3822</v>
      </c>
      <c r="D592" s="11" t="s">
        <v>139</v>
      </c>
      <c r="E592" s="11" t="s">
        <v>4040</v>
      </c>
      <c r="F592" s="1">
        <v>46244</v>
      </c>
      <c r="G592" s="1">
        <v>46244</v>
      </c>
      <c r="H592" s="11"/>
      <c r="I592" s="11" t="s">
        <v>4060</v>
      </c>
    </row>
    <row r="593" spans="1:9" hidden="1" x14ac:dyDescent="0.25">
      <c r="A593" s="1">
        <v>46245</v>
      </c>
      <c r="B593">
        <v>1001995044</v>
      </c>
      <c r="C593" t="s">
        <v>3822</v>
      </c>
      <c r="D593" s="11" t="s">
        <v>139</v>
      </c>
      <c r="E593" s="11" t="s">
        <v>4040</v>
      </c>
      <c r="F593" s="1">
        <v>46244</v>
      </c>
      <c r="G593" s="1">
        <v>46244</v>
      </c>
      <c r="H593" s="11"/>
      <c r="I593" s="11" t="s">
        <v>4041</v>
      </c>
    </row>
    <row r="594" spans="1:9" hidden="1" x14ac:dyDescent="0.25">
      <c r="A594" s="1">
        <v>46244</v>
      </c>
      <c r="B594">
        <v>1003361835</v>
      </c>
      <c r="C594" t="s">
        <v>878</v>
      </c>
      <c r="D594" s="11" t="s">
        <v>492</v>
      </c>
      <c r="E594" s="11" t="s">
        <v>4045</v>
      </c>
      <c r="F594" s="1">
        <v>46244</v>
      </c>
      <c r="G594" s="1">
        <v>46245</v>
      </c>
      <c r="H594" s="11"/>
      <c r="I594" s="11" t="s">
        <v>4060</v>
      </c>
    </row>
    <row r="595" spans="1:9" hidden="1" x14ac:dyDescent="0.25">
      <c r="A595" s="1">
        <v>46245</v>
      </c>
      <c r="B595">
        <v>1003361835</v>
      </c>
      <c r="C595" t="s">
        <v>878</v>
      </c>
      <c r="D595" s="11" t="s">
        <v>492</v>
      </c>
      <c r="E595" s="11" t="s">
        <v>4045</v>
      </c>
      <c r="F595" s="1">
        <v>46244</v>
      </c>
      <c r="G595" s="1">
        <v>46245</v>
      </c>
      <c r="H595" s="11"/>
      <c r="I595" s="11" t="s">
        <v>327</v>
      </c>
    </row>
    <row r="596" spans="1:9" hidden="1" x14ac:dyDescent="0.25">
      <c r="A596" s="1">
        <v>46244</v>
      </c>
      <c r="B596">
        <v>1007743475</v>
      </c>
      <c r="C596" t="s">
        <v>3284</v>
      </c>
      <c r="D596" s="11" t="s">
        <v>55</v>
      </c>
      <c r="E596" s="11" t="s">
        <v>4047</v>
      </c>
      <c r="F596" s="1">
        <v>46244</v>
      </c>
      <c r="G596" s="1">
        <v>46244</v>
      </c>
      <c r="H596" s="11"/>
      <c r="I596" s="11" t="s">
        <v>4060</v>
      </c>
    </row>
    <row r="597" spans="1:9" hidden="1" x14ac:dyDescent="0.25">
      <c r="A597" s="1">
        <v>46245</v>
      </c>
      <c r="B597">
        <v>1007743475</v>
      </c>
      <c r="C597" t="s">
        <v>3284</v>
      </c>
      <c r="D597" s="11" t="s">
        <v>55</v>
      </c>
      <c r="E597" s="11" t="s">
        <v>4047</v>
      </c>
      <c r="F597" s="1">
        <v>46244</v>
      </c>
      <c r="G597" s="1">
        <v>46244</v>
      </c>
      <c r="H597" s="11"/>
      <c r="I597" s="11" t="s">
        <v>4041</v>
      </c>
    </row>
    <row r="598" spans="1:9" hidden="1" x14ac:dyDescent="0.25">
      <c r="A598" s="1">
        <v>46244</v>
      </c>
      <c r="B598">
        <v>1002155665</v>
      </c>
      <c r="C598" t="s">
        <v>3791</v>
      </c>
      <c r="D598" s="11" t="s">
        <v>64</v>
      </c>
      <c r="E598" s="11" t="s">
        <v>4046</v>
      </c>
      <c r="F598" s="1">
        <v>46244</v>
      </c>
      <c r="G598" s="1">
        <v>46245</v>
      </c>
      <c r="H598" s="11"/>
      <c r="I598" s="11" t="s">
        <v>4060</v>
      </c>
    </row>
    <row r="599" spans="1:9" hidden="1" x14ac:dyDescent="0.25">
      <c r="A599" s="1">
        <v>46245</v>
      </c>
      <c r="B599">
        <v>1002155665</v>
      </c>
      <c r="C599" t="s">
        <v>3791</v>
      </c>
      <c r="D599" s="11" t="s">
        <v>64</v>
      </c>
      <c r="E599" s="11" t="s">
        <v>4046</v>
      </c>
      <c r="F599" s="1">
        <v>46244</v>
      </c>
      <c r="G599" s="1">
        <v>46245</v>
      </c>
      <c r="H599" s="11"/>
      <c r="I599" s="11" t="s">
        <v>4060</v>
      </c>
    </row>
    <row r="600" spans="1:9" hidden="1" x14ac:dyDescent="0.25">
      <c r="A600" s="1">
        <v>46244</v>
      </c>
      <c r="B600">
        <v>43616929</v>
      </c>
      <c r="C600" t="s">
        <v>425</v>
      </c>
      <c r="D600" s="11" t="s">
        <v>128</v>
      </c>
      <c r="E600" s="11" t="s">
        <v>4045</v>
      </c>
      <c r="F600" s="1">
        <v>46244</v>
      </c>
      <c r="G600" s="1">
        <v>46244</v>
      </c>
      <c r="H600" s="11"/>
      <c r="I600" s="11" t="s">
        <v>4060</v>
      </c>
    </row>
    <row r="601" spans="1:9" hidden="1" x14ac:dyDescent="0.25">
      <c r="A601" s="1">
        <v>46245</v>
      </c>
      <c r="B601">
        <v>43616929</v>
      </c>
      <c r="C601" t="s">
        <v>425</v>
      </c>
      <c r="D601" s="11" t="s">
        <v>128</v>
      </c>
      <c r="E601" s="11" t="s">
        <v>4045</v>
      </c>
      <c r="F601" s="1">
        <v>46244</v>
      </c>
      <c r="G601" s="1">
        <v>46244</v>
      </c>
      <c r="H601" s="11"/>
      <c r="I601" s="11" t="s">
        <v>4041</v>
      </c>
    </row>
    <row r="602" spans="1:9" hidden="1" x14ac:dyDescent="0.25">
      <c r="A602" s="1">
        <v>46244</v>
      </c>
      <c r="B602">
        <v>1014237413</v>
      </c>
      <c r="C602" t="s">
        <v>845</v>
      </c>
      <c r="D602" s="11" t="s">
        <v>492</v>
      </c>
      <c r="E602" s="11" t="s">
        <v>4045</v>
      </c>
      <c r="F602" s="1">
        <v>46244</v>
      </c>
      <c r="G602" s="1">
        <v>46246</v>
      </c>
      <c r="H602" s="11"/>
      <c r="I602" s="11" t="s">
        <v>327</v>
      </c>
    </row>
    <row r="603" spans="1:9" hidden="1" x14ac:dyDescent="0.25">
      <c r="A603" s="1">
        <v>46245</v>
      </c>
      <c r="B603">
        <v>1014237413</v>
      </c>
      <c r="C603" t="s">
        <v>845</v>
      </c>
      <c r="D603" s="11" t="s">
        <v>492</v>
      </c>
      <c r="E603" s="11" t="s">
        <v>4045</v>
      </c>
      <c r="F603" s="1">
        <v>46244</v>
      </c>
      <c r="G603" s="1">
        <v>46246</v>
      </c>
      <c r="H603" s="11"/>
      <c r="I603" s="11" t="s">
        <v>327</v>
      </c>
    </row>
    <row r="604" spans="1:9" hidden="1" x14ac:dyDescent="0.25">
      <c r="A604" s="1">
        <v>46244</v>
      </c>
      <c r="B604">
        <v>1124014714</v>
      </c>
      <c r="C604" t="s">
        <v>2212</v>
      </c>
      <c r="D604" s="11" t="s">
        <v>421</v>
      </c>
      <c r="E604" s="11" t="s">
        <v>4047</v>
      </c>
      <c r="F604" s="1">
        <v>46244</v>
      </c>
      <c r="G604" s="1">
        <v>46245</v>
      </c>
      <c r="H604" s="11"/>
      <c r="I604" s="11" t="s">
        <v>4060</v>
      </c>
    </row>
    <row r="605" spans="1:9" hidden="1" x14ac:dyDescent="0.25">
      <c r="A605" s="1">
        <v>46245</v>
      </c>
      <c r="B605">
        <v>1124014714</v>
      </c>
      <c r="C605" t="s">
        <v>2212</v>
      </c>
      <c r="D605" s="11" t="s">
        <v>421</v>
      </c>
      <c r="E605" s="11" t="s">
        <v>4047</v>
      </c>
      <c r="F605" s="1">
        <v>46244</v>
      </c>
      <c r="G605" s="1">
        <v>46245</v>
      </c>
      <c r="H605" s="11"/>
      <c r="I605" s="11" t="s">
        <v>4060</v>
      </c>
    </row>
    <row r="606" spans="1:9" hidden="1" x14ac:dyDescent="0.25">
      <c r="A606" s="1">
        <v>46244</v>
      </c>
      <c r="B606">
        <v>1193568408</v>
      </c>
      <c r="C606" t="s">
        <v>448</v>
      </c>
      <c r="D606" s="11" t="s">
        <v>344</v>
      </c>
      <c r="E606" s="11" t="s">
        <v>4056</v>
      </c>
      <c r="F606" s="1">
        <v>46244</v>
      </c>
      <c r="G606" s="1">
        <v>46245</v>
      </c>
      <c r="H606" s="11"/>
      <c r="I606" s="11" t="s">
        <v>4162</v>
      </c>
    </row>
    <row r="607" spans="1:9" hidden="1" x14ac:dyDescent="0.25">
      <c r="A607" s="1">
        <v>46245</v>
      </c>
      <c r="B607">
        <v>1193568408</v>
      </c>
      <c r="C607" t="s">
        <v>448</v>
      </c>
      <c r="D607" s="11" t="s">
        <v>344</v>
      </c>
      <c r="E607" s="11" t="s">
        <v>4056</v>
      </c>
      <c r="F607" s="1">
        <v>46244</v>
      </c>
      <c r="G607" s="1">
        <v>46245</v>
      </c>
      <c r="H607" s="11" t="s">
        <v>3662</v>
      </c>
      <c r="I607" s="11" t="s">
        <v>3663</v>
      </c>
    </row>
    <row r="608" spans="1:9" hidden="1" x14ac:dyDescent="0.25">
      <c r="A608" s="1">
        <v>46244</v>
      </c>
      <c r="B608">
        <v>1007959114</v>
      </c>
      <c r="C608" t="s">
        <v>337</v>
      </c>
      <c r="D608" s="11" t="s">
        <v>39</v>
      </c>
      <c r="E608" s="11" t="s">
        <v>4046</v>
      </c>
      <c r="F608" s="1">
        <v>46244</v>
      </c>
      <c r="G608" s="1">
        <v>46244</v>
      </c>
      <c r="H608" s="11"/>
      <c r="I608" s="11" t="s">
        <v>4060</v>
      </c>
    </row>
    <row r="609" spans="1:9" hidden="1" x14ac:dyDescent="0.25">
      <c r="A609" s="1">
        <v>46245</v>
      </c>
      <c r="B609">
        <v>1007959114</v>
      </c>
      <c r="C609" t="s">
        <v>337</v>
      </c>
      <c r="D609" s="11" t="s">
        <v>39</v>
      </c>
      <c r="E609" s="11" t="s">
        <v>4046</v>
      </c>
      <c r="F609" s="1">
        <v>46244</v>
      </c>
      <c r="G609" s="1">
        <v>46244</v>
      </c>
      <c r="H609" s="11"/>
      <c r="I609" s="11" t="s">
        <v>327</v>
      </c>
    </row>
    <row r="610" spans="1:9" hidden="1" x14ac:dyDescent="0.25">
      <c r="A610" s="1">
        <v>46244</v>
      </c>
      <c r="B610">
        <v>1053853703</v>
      </c>
      <c r="C610" t="s">
        <v>2209</v>
      </c>
      <c r="D610" s="11" t="s">
        <v>619</v>
      </c>
      <c r="E610" s="11" t="s">
        <v>4045</v>
      </c>
      <c r="F610" s="1">
        <v>46244</v>
      </c>
      <c r="G610" s="1">
        <v>46244</v>
      </c>
      <c r="H610" s="11"/>
      <c r="I610" s="11" t="s">
        <v>327</v>
      </c>
    </row>
    <row r="611" spans="1:9" hidden="1" x14ac:dyDescent="0.25">
      <c r="A611" s="1">
        <v>46244</v>
      </c>
      <c r="B611">
        <v>1216726482</v>
      </c>
      <c r="C611" t="s">
        <v>2985</v>
      </c>
      <c r="D611" s="11" t="s">
        <v>634</v>
      </c>
      <c r="E611" s="11" t="s">
        <v>4045</v>
      </c>
      <c r="F611" s="1">
        <v>46244</v>
      </c>
      <c r="G611" s="1">
        <v>46244</v>
      </c>
      <c r="H611" s="11"/>
      <c r="I611" s="11" t="s">
        <v>327</v>
      </c>
    </row>
    <row r="612" spans="1:9" hidden="1" x14ac:dyDescent="0.25">
      <c r="A612" s="1">
        <v>46245</v>
      </c>
      <c r="B612">
        <v>1040047481</v>
      </c>
      <c r="C612" t="s">
        <v>2331</v>
      </c>
      <c r="D612" s="11" t="s">
        <v>272</v>
      </c>
      <c r="E612" s="11" t="s">
        <v>4056</v>
      </c>
      <c r="F612" s="1">
        <v>46242</v>
      </c>
      <c r="G612" s="1">
        <v>46248</v>
      </c>
      <c r="H612" s="11"/>
      <c r="I612" s="11" t="s">
        <v>4041</v>
      </c>
    </row>
    <row r="613" spans="1:9" hidden="1" x14ac:dyDescent="0.25">
      <c r="A613" s="1">
        <v>46245</v>
      </c>
      <c r="B613">
        <v>1000921455</v>
      </c>
      <c r="C613" t="s">
        <v>14</v>
      </c>
      <c r="D613" s="11" t="s">
        <v>15</v>
      </c>
      <c r="E613" s="11" t="s">
        <v>4046</v>
      </c>
      <c r="F613" s="1">
        <v>46242</v>
      </c>
      <c r="G613" s="1">
        <v>46246</v>
      </c>
      <c r="H613" s="11"/>
      <c r="I613" s="11" t="s">
        <v>327</v>
      </c>
    </row>
    <row r="614" spans="1:9" hidden="1" x14ac:dyDescent="0.25">
      <c r="A614" s="1">
        <v>46245</v>
      </c>
      <c r="B614">
        <v>1007842898</v>
      </c>
      <c r="C614" t="s">
        <v>4159</v>
      </c>
      <c r="D614" s="11" t="s">
        <v>421</v>
      </c>
      <c r="E614" s="11" t="s">
        <v>4047</v>
      </c>
      <c r="F614" s="1">
        <v>46244</v>
      </c>
      <c r="G614" s="1">
        <v>46246</v>
      </c>
      <c r="H614" s="11"/>
      <c r="I614" s="11" t="s">
        <v>327</v>
      </c>
    </row>
    <row r="615" spans="1:9" hidden="1" x14ac:dyDescent="0.25">
      <c r="A615" s="1">
        <v>46245</v>
      </c>
      <c r="B615">
        <v>1001851670</v>
      </c>
      <c r="C615" t="s">
        <v>50</v>
      </c>
      <c r="D615" s="11" t="s">
        <v>51</v>
      </c>
      <c r="E615" s="11" t="s">
        <v>4047</v>
      </c>
      <c r="F615" s="1">
        <v>46241</v>
      </c>
      <c r="G615" s="1">
        <v>46366</v>
      </c>
      <c r="H615" s="11" t="s">
        <v>73</v>
      </c>
      <c r="I615" s="11" t="s">
        <v>74</v>
      </c>
    </row>
    <row r="616" spans="1:9" hidden="1" x14ac:dyDescent="0.25">
      <c r="A616" s="1">
        <v>46245</v>
      </c>
      <c r="B616">
        <v>1036965348</v>
      </c>
      <c r="C616" t="s">
        <v>229</v>
      </c>
      <c r="D616" s="11" t="s">
        <v>4078</v>
      </c>
      <c r="E616" s="11" t="s">
        <v>4046</v>
      </c>
      <c r="F616" s="1">
        <v>46245</v>
      </c>
      <c r="G616" s="1">
        <v>46245</v>
      </c>
      <c r="H616" s="11"/>
      <c r="I616" s="11" t="s">
        <v>339</v>
      </c>
    </row>
    <row r="617" spans="1:9" hidden="1" x14ac:dyDescent="0.25">
      <c r="A617" s="1">
        <v>46245</v>
      </c>
      <c r="B617">
        <v>1037671907</v>
      </c>
      <c r="C617" t="s">
        <v>4164</v>
      </c>
      <c r="D617" s="11" t="s">
        <v>82</v>
      </c>
      <c r="E617" s="11" t="s">
        <v>4045</v>
      </c>
      <c r="F617" s="1">
        <v>46245</v>
      </c>
      <c r="G617" s="1">
        <v>46247</v>
      </c>
      <c r="H617" s="11"/>
      <c r="I617" s="11" t="s">
        <v>327</v>
      </c>
    </row>
    <row r="618" spans="1:9" hidden="1" x14ac:dyDescent="0.25">
      <c r="A618" s="1">
        <v>46245</v>
      </c>
      <c r="B618">
        <v>1000662062</v>
      </c>
      <c r="C618" t="s">
        <v>330</v>
      </c>
      <c r="D618" s="11" t="s">
        <v>55</v>
      </c>
      <c r="E618" s="11" t="s">
        <v>4047</v>
      </c>
      <c r="F618" s="1">
        <v>46245</v>
      </c>
      <c r="G618" s="1">
        <v>46249</v>
      </c>
      <c r="H618" s="11"/>
      <c r="I618" s="11" t="s">
        <v>327</v>
      </c>
    </row>
    <row r="619" spans="1:9" hidden="1" x14ac:dyDescent="0.25">
      <c r="A619" s="1">
        <v>46245</v>
      </c>
      <c r="B619">
        <v>1000408752</v>
      </c>
      <c r="C619" t="s">
        <v>3636</v>
      </c>
      <c r="D619" s="11" t="s">
        <v>55</v>
      </c>
      <c r="E619" s="11" t="s">
        <v>4047</v>
      </c>
      <c r="F619" s="1">
        <v>46244</v>
      </c>
      <c r="G619" s="1">
        <v>46246</v>
      </c>
      <c r="H619" s="11"/>
      <c r="I619" s="11" t="s">
        <v>327</v>
      </c>
    </row>
    <row r="620" spans="1:9" hidden="1" x14ac:dyDescent="0.25">
      <c r="A620" s="1">
        <v>46245</v>
      </c>
      <c r="B620">
        <v>1077462479</v>
      </c>
      <c r="C620" t="s">
        <v>4027</v>
      </c>
      <c r="D620" s="11" t="s">
        <v>59</v>
      </c>
      <c r="E620" s="11" t="s">
        <v>4047</v>
      </c>
      <c r="F620" s="1">
        <v>46245</v>
      </c>
      <c r="G620" s="1">
        <v>46247</v>
      </c>
      <c r="H620" s="11"/>
      <c r="I620" s="11" t="s">
        <v>327</v>
      </c>
    </row>
    <row r="621" spans="1:9" hidden="1" x14ac:dyDescent="0.25">
      <c r="A621" s="1">
        <v>46245</v>
      </c>
      <c r="B621">
        <v>1017209928</v>
      </c>
      <c r="C621" t="s">
        <v>1205</v>
      </c>
      <c r="D621" s="11" t="s">
        <v>256</v>
      </c>
      <c r="E621" s="11" t="s">
        <v>4040</v>
      </c>
      <c r="F621" s="1">
        <v>46245</v>
      </c>
      <c r="G621" s="1">
        <v>46246</v>
      </c>
      <c r="H621" s="11"/>
      <c r="I621" s="11" t="s">
        <v>4060</v>
      </c>
    </row>
    <row r="622" spans="1:9" hidden="1" x14ac:dyDescent="0.25">
      <c r="A622" s="1">
        <v>46245</v>
      </c>
      <c r="B622">
        <v>1007508679</v>
      </c>
      <c r="C622" t="s">
        <v>1362</v>
      </c>
      <c r="D622" s="11" t="s">
        <v>51</v>
      </c>
      <c r="E622" s="11" t="s">
        <v>4047</v>
      </c>
      <c r="F622" s="1">
        <v>46245</v>
      </c>
      <c r="G622" s="1">
        <v>46245</v>
      </c>
      <c r="H622" s="11"/>
      <c r="I622" s="11" t="s">
        <v>327</v>
      </c>
    </row>
    <row r="623" spans="1:9" hidden="1" x14ac:dyDescent="0.25">
      <c r="A623" s="1">
        <v>46245</v>
      </c>
      <c r="B623">
        <v>1143360194</v>
      </c>
      <c r="C623" t="s">
        <v>3508</v>
      </c>
      <c r="D623" s="11" t="s">
        <v>64</v>
      </c>
      <c r="E623" s="11" t="s">
        <v>4046</v>
      </c>
      <c r="F623" s="1">
        <v>46245</v>
      </c>
      <c r="G623" s="1">
        <v>46246</v>
      </c>
      <c r="H623" s="11"/>
      <c r="I623" s="11" t="s">
        <v>4060</v>
      </c>
    </row>
    <row r="624" spans="1:9" hidden="1" x14ac:dyDescent="0.25">
      <c r="A624" s="1">
        <v>46245</v>
      </c>
      <c r="B624">
        <v>1001944593</v>
      </c>
      <c r="C624" t="s">
        <v>2629</v>
      </c>
      <c r="D624" s="11" t="s">
        <v>128</v>
      </c>
      <c r="E624" s="11" t="s">
        <v>4045</v>
      </c>
      <c r="F624" s="1">
        <v>46245</v>
      </c>
      <c r="G624" s="1">
        <v>46245</v>
      </c>
      <c r="H624" s="11"/>
      <c r="I624" s="11" t="s">
        <v>4060</v>
      </c>
    </row>
    <row r="625" spans="1:9" hidden="1" x14ac:dyDescent="0.25">
      <c r="A625" s="1">
        <v>46245</v>
      </c>
      <c r="B625">
        <v>1140876076</v>
      </c>
      <c r="C625" t="s">
        <v>1326</v>
      </c>
      <c r="D625" s="11" t="s">
        <v>15</v>
      </c>
      <c r="E625" s="11" t="s">
        <v>4046</v>
      </c>
      <c r="F625" s="1">
        <v>46245</v>
      </c>
      <c r="G625" s="1">
        <v>46246</v>
      </c>
      <c r="H625" s="11"/>
      <c r="I625" s="11" t="s">
        <v>327</v>
      </c>
    </row>
    <row r="626" spans="1:9" hidden="1" x14ac:dyDescent="0.25">
      <c r="A626" s="1">
        <v>46245</v>
      </c>
      <c r="B626">
        <v>1001897056</v>
      </c>
      <c r="C626" t="s">
        <v>334</v>
      </c>
      <c r="D626" s="11" t="s">
        <v>139</v>
      </c>
      <c r="E626" s="11" t="s">
        <v>4040</v>
      </c>
      <c r="F626" s="1">
        <v>46245</v>
      </c>
      <c r="G626" s="1">
        <v>46249</v>
      </c>
      <c r="H626" s="11"/>
      <c r="I626" s="11" t="s">
        <v>4060</v>
      </c>
    </row>
    <row r="627" spans="1:9" hidden="1" x14ac:dyDescent="0.25">
      <c r="A627" s="1">
        <v>46245</v>
      </c>
      <c r="B627">
        <v>1193584838</v>
      </c>
      <c r="C627" t="s">
        <v>3000</v>
      </c>
      <c r="D627" s="11" t="s">
        <v>59</v>
      </c>
      <c r="E627" s="11" t="s">
        <v>4047</v>
      </c>
      <c r="F627" s="1">
        <v>46245</v>
      </c>
      <c r="G627" s="1">
        <v>46247</v>
      </c>
      <c r="H627" s="11"/>
      <c r="I627" s="11" t="s">
        <v>4060</v>
      </c>
    </row>
    <row r="628" spans="1:9" hidden="1" x14ac:dyDescent="0.25">
      <c r="A628" s="1">
        <v>46245</v>
      </c>
      <c r="B628">
        <v>1052974971</v>
      </c>
      <c r="C628" t="s">
        <v>854</v>
      </c>
      <c r="D628" s="11" t="s">
        <v>176</v>
      </c>
      <c r="E628" s="11" t="s">
        <v>4040</v>
      </c>
      <c r="F628" s="1">
        <v>46245</v>
      </c>
      <c r="G628" s="1">
        <v>46245</v>
      </c>
      <c r="H628" s="11"/>
      <c r="I628" s="11" t="s">
        <v>4060</v>
      </c>
    </row>
    <row r="629" spans="1:9" hidden="1" x14ac:dyDescent="0.25">
      <c r="A629" s="1">
        <v>46245</v>
      </c>
      <c r="B629">
        <v>43271257</v>
      </c>
      <c r="C629" t="s">
        <v>1302</v>
      </c>
      <c r="D629" s="11" t="s">
        <v>15</v>
      </c>
      <c r="E629" s="11" t="s">
        <v>4046</v>
      </c>
      <c r="F629" s="1">
        <v>46245</v>
      </c>
      <c r="G629" s="1">
        <v>46246</v>
      </c>
      <c r="H629" s="11"/>
      <c r="I629" s="11" t="s">
        <v>4060</v>
      </c>
    </row>
    <row r="630" spans="1:9" hidden="1" x14ac:dyDescent="0.25">
      <c r="A630" s="1">
        <v>46245</v>
      </c>
      <c r="B630">
        <v>1000416307</v>
      </c>
      <c r="C630" t="s">
        <v>3062</v>
      </c>
      <c r="D630" s="11" t="s">
        <v>132</v>
      </c>
      <c r="E630" s="11" t="s">
        <v>4040</v>
      </c>
      <c r="F630" s="1">
        <v>46245</v>
      </c>
      <c r="G630" s="1">
        <v>46246</v>
      </c>
      <c r="H630" s="11"/>
      <c r="I630" s="11" t="s">
        <v>327</v>
      </c>
    </row>
    <row r="631" spans="1:9" hidden="1" x14ac:dyDescent="0.25">
      <c r="A631" s="1">
        <v>46245</v>
      </c>
      <c r="B631">
        <v>1057608489</v>
      </c>
      <c r="C631" t="s">
        <v>3080</v>
      </c>
      <c r="D631" s="11" t="s">
        <v>132</v>
      </c>
      <c r="E631" s="11" t="s">
        <v>4040</v>
      </c>
      <c r="F631" s="1">
        <v>46245</v>
      </c>
      <c r="G631" s="1">
        <v>46246</v>
      </c>
      <c r="H631" s="11"/>
      <c r="I631" s="11" t="s">
        <v>327</v>
      </c>
    </row>
    <row r="632" spans="1:9" hidden="1" x14ac:dyDescent="0.25">
      <c r="A632" s="1">
        <v>46245</v>
      </c>
      <c r="B632">
        <v>1007223463</v>
      </c>
      <c r="C632" t="s">
        <v>561</v>
      </c>
      <c r="D632" s="11" t="s">
        <v>4078</v>
      </c>
      <c r="E632" s="11" t="s">
        <v>4056</v>
      </c>
      <c r="F632" s="1">
        <v>46245</v>
      </c>
      <c r="G632" s="1">
        <v>46245</v>
      </c>
      <c r="H632" s="11" t="s">
        <v>560</v>
      </c>
      <c r="I632" s="11" t="s">
        <v>561</v>
      </c>
    </row>
    <row r="633" spans="1:9" hidden="1" x14ac:dyDescent="0.25">
      <c r="A633" s="1">
        <v>46245</v>
      </c>
      <c r="B633">
        <v>1020470720</v>
      </c>
      <c r="C633" t="s">
        <v>620</v>
      </c>
      <c r="D633" s="11" t="s">
        <v>619</v>
      </c>
      <c r="E633" s="11" t="s">
        <v>4045</v>
      </c>
      <c r="F633" s="1">
        <v>46245</v>
      </c>
      <c r="G633" s="1">
        <v>46246</v>
      </c>
      <c r="H633" s="11"/>
      <c r="I633" s="11" t="s">
        <v>327</v>
      </c>
    </row>
    <row r="634" spans="1:9" hidden="1" x14ac:dyDescent="0.25">
      <c r="A634" s="1">
        <v>46245</v>
      </c>
      <c r="B634">
        <v>1047503032</v>
      </c>
      <c r="C634" t="s">
        <v>3019</v>
      </c>
      <c r="D634" s="11" t="s">
        <v>162</v>
      </c>
      <c r="E634" s="11" t="s">
        <v>4056</v>
      </c>
      <c r="F634" s="1">
        <v>46245</v>
      </c>
      <c r="G634" s="1">
        <v>46246</v>
      </c>
      <c r="H634" s="11"/>
      <c r="I634" s="11" t="s">
        <v>4060</v>
      </c>
    </row>
    <row r="635" spans="1:9" hidden="1" x14ac:dyDescent="0.25">
      <c r="A635" s="1">
        <v>46245</v>
      </c>
      <c r="B635">
        <v>1143373273</v>
      </c>
      <c r="C635" t="s">
        <v>2037</v>
      </c>
      <c r="D635" s="11" t="s">
        <v>272</v>
      </c>
      <c r="E635" s="11" t="s">
        <v>4056</v>
      </c>
      <c r="F635" s="1">
        <v>46245</v>
      </c>
      <c r="G635" s="1">
        <v>46247</v>
      </c>
      <c r="H635" s="11"/>
      <c r="I635" s="11" t="s">
        <v>4060</v>
      </c>
    </row>
    <row r="636" spans="1:9" hidden="1" x14ac:dyDescent="0.25">
      <c r="A636" s="1">
        <v>46245</v>
      </c>
      <c r="B636">
        <v>1085265026</v>
      </c>
      <c r="C636" t="s">
        <v>91</v>
      </c>
      <c r="D636" s="11" t="s">
        <v>55</v>
      </c>
      <c r="E636" s="11" t="s">
        <v>4047</v>
      </c>
      <c r="F636" s="1">
        <v>46245</v>
      </c>
      <c r="G636" s="1">
        <v>46249</v>
      </c>
      <c r="H636" s="11"/>
      <c r="I636" s="11" t="s">
        <v>327</v>
      </c>
    </row>
    <row r="637" spans="1:9" hidden="1" x14ac:dyDescent="0.25">
      <c r="A637" s="1">
        <v>46245</v>
      </c>
      <c r="B637">
        <v>1044393706</v>
      </c>
      <c r="C637" t="s">
        <v>908</v>
      </c>
      <c r="D637" s="11" t="s">
        <v>128</v>
      </c>
      <c r="E637" s="11" t="s">
        <v>4045</v>
      </c>
      <c r="F637" s="1">
        <v>46245</v>
      </c>
      <c r="G637" s="1">
        <v>46246</v>
      </c>
      <c r="H637" s="11"/>
      <c r="I637" s="11" t="s">
        <v>4060</v>
      </c>
    </row>
    <row r="638" spans="1:9" hidden="1" x14ac:dyDescent="0.25">
      <c r="A638" s="1">
        <v>46245</v>
      </c>
      <c r="B638">
        <v>1037570349</v>
      </c>
      <c r="C638" t="s">
        <v>2818</v>
      </c>
      <c r="D638" s="11" t="s">
        <v>128</v>
      </c>
      <c r="E638" s="11" t="s">
        <v>4045</v>
      </c>
      <c r="F638" s="1">
        <v>46245</v>
      </c>
      <c r="G638" s="1">
        <v>46246</v>
      </c>
      <c r="H638" s="11"/>
      <c r="I638" s="11" t="s">
        <v>4060</v>
      </c>
    </row>
    <row r="639" spans="1:9" hidden="1" x14ac:dyDescent="0.25">
      <c r="A639" s="1">
        <v>46252</v>
      </c>
      <c r="B639">
        <v>1017261828</v>
      </c>
      <c r="C639" t="s">
        <v>210</v>
      </c>
      <c r="D639" s="11" t="s">
        <v>28</v>
      </c>
      <c r="E639" s="11" t="s">
        <v>4046</v>
      </c>
      <c r="F639" s="1">
        <v>46248</v>
      </c>
      <c r="G639" s="1">
        <v>46249</v>
      </c>
      <c r="H639" s="11"/>
      <c r="I639" s="11" t="s">
        <v>4041</v>
      </c>
    </row>
    <row r="640" spans="1:9" hidden="1" x14ac:dyDescent="0.25">
      <c r="A640" s="1">
        <v>46252</v>
      </c>
      <c r="B640">
        <v>1067959066</v>
      </c>
      <c r="C640" t="s">
        <v>3479</v>
      </c>
      <c r="D640" s="11" t="s">
        <v>344</v>
      </c>
      <c r="E640" s="11" t="s">
        <v>4056</v>
      </c>
      <c r="F640" s="1">
        <v>46247</v>
      </c>
      <c r="G640" s="1">
        <v>46248</v>
      </c>
      <c r="H640" s="11"/>
      <c r="I640" s="11" t="s">
        <v>4041</v>
      </c>
    </row>
    <row r="641" spans="1:9" hidden="1" x14ac:dyDescent="0.25">
      <c r="A641" s="1">
        <v>46252</v>
      </c>
      <c r="B641">
        <v>1143397459</v>
      </c>
      <c r="C641" t="s">
        <v>698</v>
      </c>
      <c r="D641" s="11" t="s">
        <v>634</v>
      </c>
      <c r="E641" s="11" t="s">
        <v>4045</v>
      </c>
      <c r="F641" s="1">
        <v>46248</v>
      </c>
      <c r="G641" s="1">
        <v>46249</v>
      </c>
      <c r="H641" s="11"/>
      <c r="I641" s="11" t="s">
        <v>4041</v>
      </c>
    </row>
    <row r="642" spans="1:9" hidden="1" x14ac:dyDescent="0.25">
      <c r="A642" s="1">
        <v>46252</v>
      </c>
      <c r="B642">
        <v>1036633827</v>
      </c>
      <c r="C642" t="s">
        <v>1356</v>
      </c>
      <c r="D642" s="11" t="s">
        <v>15</v>
      </c>
      <c r="E642" s="11" t="s">
        <v>4046</v>
      </c>
      <c r="F642" s="1">
        <v>46249</v>
      </c>
      <c r="G642" s="1">
        <v>46249</v>
      </c>
      <c r="H642" s="11"/>
      <c r="I642" s="11" t="s">
        <v>327</v>
      </c>
    </row>
    <row r="643" spans="1:9" hidden="1" x14ac:dyDescent="0.25">
      <c r="A643" s="1">
        <v>46252</v>
      </c>
      <c r="B643">
        <v>1003382575</v>
      </c>
      <c r="C643" t="s">
        <v>2702</v>
      </c>
      <c r="D643" s="11" t="s">
        <v>124</v>
      </c>
      <c r="E643" s="11" t="s">
        <v>4045</v>
      </c>
      <c r="F643" s="1">
        <v>46248</v>
      </c>
      <c r="G643" s="1">
        <v>46249</v>
      </c>
      <c r="H643" s="11"/>
      <c r="I643" s="11" t="s">
        <v>4041</v>
      </c>
    </row>
    <row r="644" spans="1:9" hidden="1" x14ac:dyDescent="0.25">
      <c r="A644" s="1">
        <v>46252</v>
      </c>
      <c r="B644">
        <v>1193584838</v>
      </c>
      <c r="C644" t="s">
        <v>3000</v>
      </c>
      <c r="D644" s="11" t="s">
        <v>59</v>
      </c>
      <c r="E644" s="11" t="s">
        <v>4047</v>
      </c>
      <c r="F644" s="1">
        <v>46248</v>
      </c>
      <c r="G644" s="1">
        <v>46249</v>
      </c>
      <c r="H644" s="11"/>
      <c r="I644" s="11" t="s">
        <v>4041</v>
      </c>
    </row>
    <row r="645" spans="1:9" hidden="1" x14ac:dyDescent="0.25">
      <c r="A645" s="1">
        <v>46252</v>
      </c>
      <c r="B645">
        <v>1042455156</v>
      </c>
      <c r="C645" t="s">
        <v>1341</v>
      </c>
      <c r="D645" s="11" t="s">
        <v>55</v>
      </c>
      <c r="E645" s="11" t="s">
        <v>4047</v>
      </c>
      <c r="F645" s="1">
        <v>46248</v>
      </c>
      <c r="G645" s="1">
        <v>46249</v>
      </c>
      <c r="H645" s="11"/>
      <c r="I645" s="11" t="s">
        <v>4041</v>
      </c>
    </row>
    <row r="646" spans="1:9" hidden="1" x14ac:dyDescent="0.25">
      <c r="A646" s="1">
        <v>46252</v>
      </c>
      <c r="B646">
        <v>1102808787</v>
      </c>
      <c r="C646" t="s">
        <v>135</v>
      </c>
      <c r="D646" s="11" t="s">
        <v>39</v>
      </c>
      <c r="E646" s="11" t="s">
        <v>4046</v>
      </c>
      <c r="F646" s="1">
        <v>46237</v>
      </c>
      <c r="G646" s="1">
        <v>46276</v>
      </c>
      <c r="H646" s="11" t="s">
        <v>318</v>
      </c>
      <c r="I646" s="11" t="s">
        <v>319</v>
      </c>
    </row>
    <row r="647" spans="1:9" hidden="1" x14ac:dyDescent="0.25">
      <c r="A647" s="1">
        <v>46252</v>
      </c>
      <c r="B647">
        <v>1053860403</v>
      </c>
      <c r="C647" t="s">
        <v>2322</v>
      </c>
      <c r="D647" s="11" t="s">
        <v>272</v>
      </c>
      <c r="E647" s="11" t="s">
        <v>4056</v>
      </c>
      <c r="F647" s="1">
        <v>46247</v>
      </c>
      <c r="G647" s="1">
        <v>46249</v>
      </c>
      <c r="H647" s="11"/>
      <c r="I647" s="11" t="s">
        <v>4041</v>
      </c>
    </row>
    <row r="648" spans="1:9" hidden="1" x14ac:dyDescent="0.25">
      <c r="A648" s="1">
        <v>46252</v>
      </c>
      <c r="B648">
        <v>1036132488</v>
      </c>
      <c r="C648" t="s">
        <v>89</v>
      </c>
      <c r="D648" s="11" t="s">
        <v>59</v>
      </c>
      <c r="E648" s="11" t="s">
        <v>4047</v>
      </c>
      <c r="F648" s="1">
        <v>46248</v>
      </c>
      <c r="G648" s="1">
        <v>46249</v>
      </c>
      <c r="H648" s="11"/>
      <c r="I648" s="11" t="s">
        <v>4041</v>
      </c>
    </row>
    <row r="649" spans="1:9" hidden="1" x14ac:dyDescent="0.25">
      <c r="A649" s="1">
        <v>46252</v>
      </c>
      <c r="B649">
        <v>1152434926</v>
      </c>
      <c r="C649" t="s">
        <v>217</v>
      </c>
      <c r="D649" s="11" t="s">
        <v>59</v>
      </c>
      <c r="E649" s="11" t="s">
        <v>4047</v>
      </c>
      <c r="F649" s="1">
        <v>46247</v>
      </c>
      <c r="G649" s="1">
        <v>46249</v>
      </c>
      <c r="H649" s="11"/>
      <c r="I649" s="11" t="s">
        <v>4041</v>
      </c>
    </row>
    <row r="650" spans="1:9" hidden="1" x14ac:dyDescent="0.25">
      <c r="A650" s="1">
        <v>46252</v>
      </c>
      <c r="B650">
        <v>1045718883</v>
      </c>
      <c r="C650" t="s">
        <v>34</v>
      </c>
      <c r="D650" s="11" t="s">
        <v>15</v>
      </c>
      <c r="E650" s="11" t="s">
        <v>4046</v>
      </c>
      <c r="F650" s="1">
        <v>46245</v>
      </c>
      <c r="G650" s="1">
        <v>46340</v>
      </c>
      <c r="H650" s="11" t="s">
        <v>17</v>
      </c>
      <c r="I650" s="11" t="s">
        <v>18</v>
      </c>
    </row>
    <row r="651" spans="1:9" hidden="1" x14ac:dyDescent="0.25">
      <c r="A651" s="1">
        <v>46252</v>
      </c>
      <c r="B651">
        <v>1035876080</v>
      </c>
      <c r="C651" t="s">
        <v>123</v>
      </c>
      <c r="D651" s="11" t="s">
        <v>124</v>
      </c>
      <c r="E651" s="11" t="s">
        <v>4045</v>
      </c>
      <c r="F651" s="1">
        <v>46246</v>
      </c>
      <c r="G651" s="1">
        <v>46254</v>
      </c>
      <c r="H651" s="11" t="s">
        <v>119</v>
      </c>
      <c r="I651" s="11" t="s">
        <v>120</v>
      </c>
    </row>
    <row r="652" spans="1:9" hidden="1" x14ac:dyDescent="0.25">
      <c r="A652" s="1">
        <v>46252</v>
      </c>
      <c r="B652">
        <v>1085265026</v>
      </c>
      <c r="C652" t="s">
        <v>91</v>
      </c>
      <c r="D652" s="11" t="s">
        <v>55</v>
      </c>
      <c r="E652" s="11" t="s">
        <v>4047</v>
      </c>
      <c r="F652" s="1">
        <v>46245</v>
      </c>
      <c r="G652" s="1">
        <v>46249</v>
      </c>
      <c r="H652" s="11"/>
      <c r="I652" s="11" t="s">
        <v>4041</v>
      </c>
    </row>
    <row r="653" spans="1:9" hidden="1" x14ac:dyDescent="0.25">
      <c r="A653" s="1">
        <v>46252</v>
      </c>
      <c r="B653">
        <v>1000662062</v>
      </c>
      <c r="C653" t="s">
        <v>330</v>
      </c>
      <c r="D653" s="11" t="s">
        <v>55</v>
      </c>
      <c r="E653" s="11" t="s">
        <v>4047</v>
      </c>
      <c r="F653" s="1">
        <v>46245</v>
      </c>
      <c r="G653" s="1">
        <v>46249</v>
      </c>
      <c r="H653" s="11"/>
      <c r="I653" s="11" t="s">
        <v>4041</v>
      </c>
    </row>
    <row r="654" spans="1:9" hidden="1" x14ac:dyDescent="0.25">
      <c r="A654" s="1">
        <v>46252</v>
      </c>
      <c r="B654">
        <v>1037638426</v>
      </c>
      <c r="C654" t="s">
        <v>31</v>
      </c>
      <c r="D654" s="11" t="s">
        <v>28</v>
      </c>
      <c r="E654" s="11" t="s">
        <v>4046</v>
      </c>
      <c r="F654" s="1">
        <v>46249</v>
      </c>
      <c r="G654" s="1">
        <v>46264</v>
      </c>
      <c r="H654" s="11" t="s">
        <v>222</v>
      </c>
      <c r="I654" s="11" t="s">
        <v>223</v>
      </c>
    </row>
    <row r="655" spans="1:9" hidden="1" x14ac:dyDescent="0.25">
      <c r="A655" s="1">
        <v>46252</v>
      </c>
      <c r="B655">
        <v>1082896324</v>
      </c>
      <c r="C655" t="s">
        <v>127</v>
      </c>
      <c r="D655" s="11" t="s">
        <v>128</v>
      </c>
      <c r="E655" s="11" t="s">
        <v>4045</v>
      </c>
      <c r="F655" s="1">
        <v>46242</v>
      </c>
      <c r="G655" s="1">
        <v>46272</v>
      </c>
      <c r="H655" s="11" t="s">
        <v>150</v>
      </c>
      <c r="I655" s="11" t="s">
        <v>151</v>
      </c>
    </row>
    <row r="656" spans="1:9" hidden="1" x14ac:dyDescent="0.25">
      <c r="A656" s="1">
        <v>46252</v>
      </c>
      <c r="B656">
        <v>1015483595</v>
      </c>
      <c r="C656" t="s">
        <v>23</v>
      </c>
      <c r="D656" s="11" t="s">
        <v>15</v>
      </c>
      <c r="E656" s="11" t="s">
        <v>4046</v>
      </c>
      <c r="F656" s="1">
        <v>46244</v>
      </c>
      <c r="G656" s="1">
        <v>46265</v>
      </c>
      <c r="H656" s="11" t="s">
        <v>103</v>
      </c>
      <c r="I656" s="11" t="s">
        <v>104</v>
      </c>
    </row>
    <row r="657" spans="1:9" hidden="1" x14ac:dyDescent="0.25">
      <c r="A657" s="1">
        <v>46252</v>
      </c>
      <c r="B657">
        <v>1001851670</v>
      </c>
      <c r="C657" t="s">
        <v>50</v>
      </c>
      <c r="D657" s="11" t="s">
        <v>51</v>
      </c>
      <c r="E657" s="11" t="s">
        <v>4047</v>
      </c>
      <c r="F657" s="1">
        <v>46241</v>
      </c>
      <c r="G657" s="1">
        <v>46366</v>
      </c>
      <c r="H657" s="11" t="s">
        <v>45</v>
      </c>
      <c r="I657" s="11" t="s">
        <v>46</v>
      </c>
    </row>
    <row r="658" spans="1:9" hidden="1" x14ac:dyDescent="0.25">
      <c r="A658" s="1">
        <v>46252</v>
      </c>
      <c r="B658">
        <v>42141273</v>
      </c>
      <c r="C658" t="s">
        <v>271</v>
      </c>
      <c r="D658" s="11" t="s">
        <v>272</v>
      </c>
      <c r="E658" s="11" t="s">
        <v>4056</v>
      </c>
      <c r="F658" s="1">
        <v>46238</v>
      </c>
      <c r="G658" s="1">
        <v>46295</v>
      </c>
      <c r="H658" s="11" t="s">
        <v>184</v>
      </c>
      <c r="I658" s="11" t="s">
        <v>185</v>
      </c>
    </row>
    <row r="659" spans="1:9" hidden="1" x14ac:dyDescent="0.25">
      <c r="A659" s="1">
        <v>46252</v>
      </c>
      <c r="B659">
        <v>1152221372</v>
      </c>
      <c r="C659" t="s">
        <v>2363</v>
      </c>
      <c r="D659" s="11" t="s">
        <v>139</v>
      </c>
      <c r="E659" s="11" t="s">
        <v>4040</v>
      </c>
      <c r="F659" s="1">
        <v>46230</v>
      </c>
      <c r="G659" s="1">
        <v>46230</v>
      </c>
      <c r="H659" s="11" t="s">
        <v>181</v>
      </c>
      <c r="I659" s="11" t="s">
        <v>182</v>
      </c>
    </row>
    <row r="660" spans="1:9" hidden="1" x14ac:dyDescent="0.25">
      <c r="A660" s="1">
        <v>46252</v>
      </c>
      <c r="B660">
        <v>1017264032</v>
      </c>
      <c r="C660" t="s">
        <v>54</v>
      </c>
      <c r="D660" s="11" t="s">
        <v>55</v>
      </c>
      <c r="E660" s="11" t="s">
        <v>4047</v>
      </c>
      <c r="F660" s="1">
        <v>46229</v>
      </c>
      <c r="G660" s="1">
        <v>46258</v>
      </c>
      <c r="H660" s="11" t="s">
        <v>85</v>
      </c>
      <c r="I660" s="11" t="s">
        <v>86</v>
      </c>
    </row>
    <row r="661" spans="1:9" hidden="1" x14ac:dyDescent="0.25">
      <c r="A661" s="1">
        <v>46252</v>
      </c>
      <c r="B661">
        <v>1037631989</v>
      </c>
      <c r="C661" t="s">
        <v>27</v>
      </c>
      <c r="D661" s="11" t="s">
        <v>28</v>
      </c>
      <c r="E661" s="11" t="s">
        <v>4046</v>
      </c>
      <c r="F661" s="1">
        <v>46226</v>
      </c>
      <c r="G661" s="1">
        <v>46255</v>
      </c>
      <c r="H661" s="11"/>
      <c r="I661" s="11" t="s">
        <v>327</v>
      </c>
    </row>
    <row r="662" spans="1:9" hidden="1" x14ac:dyDescent="0.25">
      <c r="A662" s="1">
        <v>46252</v>
      </c>
      <c r="B662">
        <v>1143414481</v>
      </c>
      <c r="C662" t="s">
        <v>2447</v>
      </c>
      <c r="D662" s="11" t="s">
        <v>28</v>
      </c>
      <c r="E662" s="11" t="s">
        <v>4046</v>
      </c>
      <c r="F662" s="1">
        <v>46247</v>
      </c>
      <c r="G662" s="1">
        <v>46252</v>
      </c>
      <c r="H662" s="11" t="s">
        <v>294</v>
      </c>
      <c r="I662" s="11" t="s">
        <v>295</v>
      </c>
    </row>
    <row r="663" spans="1:9" hidden="1" x14ac:dyDescent="0.25">
      <c r="A663" s="1">
        <v>46252</v>
      </c>
      <c r="B663">
        <v>1037630071</v>
      </c>
      <c r="C663" t="s">
        <v>3579</v>
      </c>
      <c r="D663" s="11" t="s">
        <v>176</v>
      </c>
      <c r="E663" s="11" t="s">
        <v>4040</v>
      </c>
      <c r="F663" s="1">
        <v>46247</v>
      </c>
      <c r="G663" s="1">
        <v>46265</v>
      </c>
      <c r="H663" s="11" t="s">
        <v>251</v>
      </c>
      <c r="I663" s="11" t="s">
        <v>252</v>
      </c>
    </row>
    <row r="664" spans="1:9" hidden="1" x14ac:dyDescent="0.25">
      <c r="A664" s="1">
        <v>46252</v>
      </c>
      <c r="B664">
        <v>1143460426</v>
      </c>
      <c r="C664" t="s">
        <v>4069</v>
      </c>
      <c r="D664" s="11" t="s">
        <v>64</v>
      </c>
      <c r="E664" s="11" t="s">
        <v>4046</v>
      </c>
      <c r="F664" s="1">
        <v>46195</v>
      </c>
      <c r="G664" s="1">
        <v>46198</v>
      </c>
      <c r="H664" s="11" t="s">
        <v>236</v>
      </c>
      <c r="I664" s="11" t="s">
        <v>237</v>
      </c>
    </row>
    <row r="665" spans="1:9" hidden="1" x14ac:dyDescent="0.25">
      <c r="A665" s="1">
        <v>46252</v>
      </c>
      <c r="B665">
        <v>1010108820</v>
      </c>
      <c r="C665" t="s">
        <v>1213</v>
      </c>
      <c r="D665" s="11" t="s">
        <v>421</v>
      </c>
      <c r="E665" s="11" t="s">
        <v>4047</v>
      </c>
      <c r="F665" s="1">
        <v>46248</v>
      </c>
      <c r="G665" s="1">
        <v>46249</v>
      </c>
      <c r="H665" s="11"/>
      <c r="I665" s="11" t="s">
        <v>4041</v>
      </c>
    </row>
    <row r="666" spans="1:9" hidden="1" x14ac:dyDescent="0.25">
      <c r="A666" s="1">
        <v>46252</v>
      </c>
      <c r="B666">
        <v>92541180</v>
      </c>
      <c r="C666" t="s">
        <v>2605</v>
      </c>
      <c r="D666" s="11" t="s">
        <v>128</v>
      </c>
      <c r="E666" s="11" t="s">
        <v>4045</v>
      </c>
      <c r="F666" s="1">
        <v>46247</v>
      </c>
      <c r="H666" s="11"/>
      <c r="I666" s="11" t="s">
        <v>4060</v>
      </c>
    </row>
    <row r="667" spans="1:9" hidden="1" x14ac:dyDescent="0.25">
      <c r="A667" s="1">
        <v>46252</v>
      </c>
      <c r="B667">
        <v>1143403750</v>
      </c>
      <c r="C667" t="s">
        <v>4167</v>
      </c>
      <c r="D667" s="11" t="s">
        <v>492</v>
      </c>
      <c r="E667" s="11" t="s">
        <v>4045</v>
      </c>
      <c r="F667" s="1">
        <v>46247</v>
      </c>
      <c r="G667" s="1">
        <v>46251</v>
      </c>
      <c r="H667" s="11"/>
      <c r="I667" s="11" t="s">
        <v>4041</v>
      </c>
    </row>
    <row r="668" spans="1:9" hidden="1" x14ac:dyDescent="0.25">
      <c r="A668" s="1">
        <v>46252</v>
      </c>
      <c r="B668">
        <v>1001996913</v>
      </c>
      <c r="C668" t="s">
        <v>3174</v>
      </c>
      <c r="D668" s="11" t="s">
        <v>28</v>
      </c>
      <c r="E668" s="11" t="s">
        <v>4046</v>
      </c>
      <c r="F668" s="1">
        <v>46248</v>
      </c>
      <c r="G668" s="1">
        <v>46249</v>
      </c>
      <c r="H668" s="11"/>
      <c r="I668" s="11" t="s">
        <v>4041</v>
      </c>
    </row>
    <row r="669" spans="1:9" hidden="1" x14ac:dyDescent="0.25">
      <c r="A669" s="1">
        <v>46252</v>
      </c>
      <c r="B669">
        <v>73189515</v>
      </c>
      <c r="C669" t="s">
        <v>773</v>
      </c>
      <c r="D669" s="11" t="s">
        <v>272</v>
      </c>
      <c r="E669" s="11" t="s">
        <v>4056</v>
      </c>
      <c r="F669" s="1">
        <v>46248</v>
      </c>
      <c r="G669" s="1">
        <v>46252</v>
      </c>
      <c r="H669" s="11" t="s">
        <v>267</v>
      </c>
      <c r="I669" s="11" t="s">
        <v>268</v>
      </c>
    </row>
    <row r="670" spans="1:9" hidden="1" x14ac:dyDescent="0.25">
      <c r="A670" s="1">
        <v>46252</v>
      </c>
      <c r="B670">
        <v>1140903391</v>
      </c>
      <c r="C670" t="s">
        <v>301</v>
      </c>
      <c r="D670" s="11" t="s">
        <v>39</v>
      </c>
      <c r="E670" s="11" t="s">
        <v>4046</v>
      </c>
      <c r="F670" s="1">
        <v>46252</v>
      </c>
      <c r="G670" s="1">
        <v>46252</v>
      </c>
      <c r="H670" s="11"/>
      <c r="I670" s="11" t="s">
        <v>339</v>
      </c>
    </row>
    <row r="671" spans="1:9" hidden="1" x14ac:dyDescent="0.25">
      <c r="A671" s="1">
        <v>46252</v>
      </c>
      <c r="B671">
        <v>1040755197</v>
      </c>
      <c r="C671" t="s">
        <v>171</v>
      </c>
      <c r="D671" s="11" t="s">
        <v>172</v>
      </c>
      <c r="E671" s="11" t="s">
        <v>4046</v>
      </c>
      <c r="F671" s="1">
        <v>46252</v>
      </c>
      <c r="G671" s="1">
        <v>46262</v>
      </c>
      <c r="H671" s="11"/>
      <c r="I671" s="11" t="s">
        <v>4169</v>
      </c>
    </row>
    <row r="672" spans="1:9" hidden="1" x14ac:dyDescent="0.25">
      <c r="A672" s="1">
        <v>46252</v>
      </c>
      <c r="B672">
        <v>1143405766</v>
      </c>
      <c r="C672" t="s">
        <v>822</v>
      </c>
      <c r="D672" s="11" t="s">
        <v>124</v>
      </c>
      <c r="E672" s="11" t="s">
        <v>4045</v>
      </c>
      <c r="F672" s="1">
        <v>46249</v>
      </c>
      <c r="G672" s="1">
        <v>46249</v>
      </c>
      <c r="H672" s="11"/>
      <c r="I672" s="11" t="s">
        <v>4041</v>
      </c>
    </row>
    <row r="673" spans="1:9" hidden="1" x14ac:dyDescent="0.25">
      <c r="A673" s="1">
        <v>46252</v>
      </c>
      <c r="B673">
        <v>1002155665</v>
      </c>
      <c r="C673" t="s">
        <v>3791</v>
      </c>
      <c r="D673" s="11" t="s">
        <v>64</v>
      </c>
      <c r="E673" s="11" t="s">
        <v>4046</v>
      </c>
      <c r="F673" s="1">
        <v>46249</v>
      </c>
      <c r="G673" s="1">
        <v>46249</v>
      </c>
      <c r="H673" s="11"/>
      <c r="I673" s="11" t="s">
        <v>4041</v>
      </c>
    </row>
    <row r="674" spans="1:9" hidden="1" x14ac:dyDescent="0.25">
      <c r="A674" s="1">
        <v>46252</v>
      </c>
      <c r="B674">
        <v>1140891109</v>
      </c>
      <c r="C674" t="s">
        <v>1287</v>
      </c>
      <c r="D674" s="11" t="s">
        <v>51</v>
      </c>
      <c r="E674" s="11" t="s">
        <v>4047</v>
      </c>
      <c r="F674" s="1">
        <v>46249</v>
      </c>
      <c r="G674" s="1">
        <v>46249</v>
      </c>
      <c r="H674" s="11"/>
      <c r="I674" s="11" t="s">
        <v>4060</v>
      </c>
    </row>
    <row r="675" spans="1:9" hidden="1" x14ac:dyDescent="0.25">
      <c r="A675" s="1">
        <v>46252</v>
      </c>
      <c r="B675">
        <v>1037642818</v>
      </c>
      <c r="C675" t="s">
        <v>3692</v>
      </c>
      <c r="D675" s="11" t="s">
        <v>28</v>
      </c>
      <c r="E675" s="11" t="s">
        <v>4046</v>
      </c>
      <c r="F675" s="1">
        <v>46248</v>
      </c>
      <c r="G675" s="1">
        <v>46249</v>
      </c>
      <c r="H675" s="11"/>
      <c r="I675" s="11" t="s">
        <v>4041</v>
      </c>
    </row>
    <row r="676" spans="1:9" hidden="1" x14ac:dyDescent="0.25">
      <c r="A676" s="1">
        <v>46252</v>
      </c>
      <c r="B676">
        <v>1043006106</v>
      </c>
      <c r="C676" t="s">
        <v>202</v>
      </c>
      <c r="D676" s="11" t="s">
        <v>64</v>
      </c>
      <c r="E676" s="11" t="s">
        <v>4046</v>
      </c>
      <c r="F676" s="1">
        <v>46248</v>
      </c>
      <c r="G676" s="1">
        <v>46277</v>
      </c>
      <c r="H676" s="11" t="s">
        <v>199</v>
      </c>
      <c r="I676" s="11" t="s">
        <v>200</v>
      </c>
    </row>
    <row r="677" spans="1:9" hidden="1" x14ac:dyDescent="0.25">
      <c r="A677" s="1">
        <v>46252</v>
      </c>
      <c r="B677">
        <v>1233343291</v>
      </c>
      <c r="C677" t="s">
        <v>3974</v>
      </c>
      <c r="D677" s="11" t="s">
        <v>143</v>
      </c>
      <c r="E677" s="11" t="s">
        <v>4045</v>
      </c>
      <c r="F677" s="1">
        <v>46249</v>
      </c>
      <c r="G677" s="1">
        <v>46249</v>
      </c>
      <c r="H677" s="11"/>
      <c r="I677" s="11" t="s">
        <v>4041</v>
      </c>
    </row>
    <row r="678" spans="1:9" hidden="1" x14ac:dyDescent="0.25">
      <c r="A678" s="1">
        <v>46252</v>
      </c>
      <c r="B678">
        <v>1003190674</v>
      </c>
      <c r="C678" t="s">
        <v>1950</v>
      </c>
      <c r="D678" s="11" t="s">
        <v>55</v>
      </c>
      <c r="E678" s="11" t="s">
        <v>4047</v>
      </c>
      <c r="F678" s="1">
        <v>46249</v>
      </c>
      <c r="G678" s="1">
        <v>46249</v>
      </c>
      <c r="H678" s="11"/>
      <c r="I678" s="11" t="s">
        <v>4041</v>
      </c>
    </row>
    <row r="679" spans="1:9" hidden="1" x14ac:dyDescent="0.25">
      <c r="A679" s="1">
        <v>46252</v>
      </c>
      <c r="B679">
        <v>1036675646</v>
      </c>
      <c r="C679" t="s">
        <v>957</v>
      </c>
      <c r="D679" s="11" t="s">
        <v>272</v>
      </c>
      <c r="E679" s="11" t="s">
        <v>4056</v>
      </c>
      <c r="F679" s="1">
        <v>46249</v>
      </c>
      <c r="G679" s="1">
        <v>46249</v>
      </c>
      <c r="H679" s="11"/>
      <c r="I679" s="11" t="s">
        <v>4041</v>
      </c>
    </row>
    <row r="680" spans="1:9" hidden="1" x14ac:dyDescent="0.25">
      <c r="A680" s="1">
        <v>46252</v>
      </c>
      <c r="B680">
        <v>1007959114</v>
      </c>
      <c r="C680" t="s">
        <v>337</v>
      </c>
      <c r="D680" s="11" t="s">
        <v>39</v>
      </c>
      <c r="E680" s="11" t="s">
        <v>4046</v>
      </c>
      <c r="F680" s="1">
        <v>46249</v>
      </c>
      <c r="G680" s="1">
        <v>46253</v>
      </c>
      <c r="H680" s="11"/>
      <c r="I680" s="11" t="s">
        <v>4060</v>
      </c>
    </row>
    <row r="681" spans="1:9" hidden="1" x14ac:dyDescent="0.25">
      <c r="A681" s="1">
        <v>46252</v>
      </c>
      <c r="B681">
        <v>1152187746</v>
      </c>
      <c r="C681" t="s">
        <v>4007</v>
      </c>
      <c r="D681" s="11" t="s">
        <v>619</v>
      </c>
      <c r="E681" s="11" t="s">
        <v>4045</v>
      </c>
      <c r="F681" s="1">
        <v>46249</v>
      </c>
      <c r="H681" s="11"/>
      <c r="I681" s="11" t="s">
        <v>4170</v>
      </c>
    </row>
    <row r="682" spans="1:9" hidden="1" x14ac:dyDescent="0.25">
      <c r="A682" s="1">
        <v>46252</v>
      </c>
      <c r="B682">
        <v>1152215751</v>
      </c>
      <c r="C682" t="s">
        <v>2668</v>
      </c>
      <c r="D682" s="11" t="s">
        <v>162</v>
      </c>
      <c r="E682" s="11" t="s">
        <v>4056</v>
      </c>
      <c r="F682" s="1">
        <v>46249</v>
      </c>
      <c r="G682" s="1">
        <v>46249</v>
      </c>
      <c r="H682" s="11"/>
      <c r="I682" s="11" t="s">
        <v>4041</v>
      </c>
    </row>
    <row r="683" spans="1:9" hidden="1" x14ac:dyDescent="0.25">
      <c r="A683" s="1">
        <v>46252</v>
      </c>
      <c r="B683">
        <v>1000395784</v>
      </c>
      <c r="C683" t="s">
        <v>963</v>
      </c>
      <c r="D683" s="11" t="s">
        <v>272</v>
      </c>
      <c r="E683" s="11" t="s">
        <v>4056</v>
      </c>
      <c r="F683" s="1">
        <v>46249</v>
      </c>
      <c r="G683" s="1">
        <v>46249</v>
      </c>
      <c r="H683" s="11"/>
      <c r="I683" s="11" t="s">
        <v>4041</v>
      </c>
    </row>
    <row r="684" spans="1:9" hidden="1" x14ac:dyDescent="0.25">
      <c r="A684" s="1">
        <v>46252</v>
      </c>
      <c r="B684">
        <v>1001014608</v>
      </c>
      <c r="C684" t="s">
        <v>573</v>
      </c>
      <c r="D684" s="11" t="s">
        <v>55</v>
      </c>
      <c r="E684" s="11" t="s">
        <v>4047</v>
      </c>
      <c r="F684" s="1">
        <v>46249</v>
      </c>
      <c r="G684" s="1">
        <v>46249</v>
      </c>
      <c r="H684" s="11"/>
      <c r="I684" s="11" t="s">
        <v>4041</v>
      </c>
    </row>
    <row r="685" spans="1:9" hidden="1" x14ac:dyDescent="0.25">
      <c r="A685" s="1">
        <v>46252</v>
      </c>
      <c r="B685">
        <v>1041149354</v>
      </c>
      <c r="C685" t="s">
        <v>2319</v>
      </c>
      <c r="D685" s="11" t="s">
        <v>55</v>
      </c>
      <c r="E685" s="11" t="s">
        <v>4047</v>
      </c>
      <c r="F685" s="1">
        <v>46249</v>
      </c>
      <c r="G685" s="1">
        <v>46249</v>
      </c>
      <c r="H685" s="11"/>
      <c r="I685" s="11" t="s">
        <v>4041</v>
      </c>
    </row>
    <row r="686" spans="1:9" hidden="1" x14ac:dyDescent="0.25">
      <c r="A686" s="1">
        <v>46252</v>
      </c>
      <c r="B686">
        <v>1152467699</v>
      </c>
      <c r="C686" t="s">
        <v>2793</v>
      </c>
      <c r="D686" s="11" t="s">
        <v>139</v>
      </c>
      <c r="E686" s="11" t="s">
        <v>4040</v>
      </c>
      <c r="F686" s="1">
        <v>46249</v>
      </c>
      <c r="G686" s="1">
        <v>46249</v>
      </c>
      <c r="H686" s="11"/>
      <c r="I686" s="11" t="s">
        <v>4041</v>
      </c>
    </row>
    <row r="687" spans="1:9" hidden="1" x14ac:dyDescent="0.25">
      <c r="A687" s="1">
        <v>46252</v>
      </c>
      <c r="B687">
        <v>1152709914</v>
      </c>
      <c r="C687" t="s">
        <v>3437</v>
      </c>
      <c r="D687" s="11" t="s">
        <v>139</v>
      </c>
      <c r="E687" s="11" t="s">
        <v>4040</v>
      </c>
      <c r="F687" s="1">
        <v>46249</v>
      </c>
      <c r="G687" s="1">
        <v>46249</v>
      </c>
      <c r="H687" s="11"/>
      <c r="I687" s="11" t="s">
        <v>4041</v>
      </c>
    </row>
    <row r="688" spans="1:9" hidden="1" x14ac:dyDescent="0.25">
      <c r="A688" s="1">
        <v>46252</v>
      </c>
      <c r="B688">
        <v>1000049316</v>
      </c>
      <c r="C688" t="s">
        <v>623</v>
      </c>
      <c r="D688" s="11" t="s">
        <v>492</v>
      </c>
      <c r="E688" s="11" t="s">
        <v>4045</v>
      </c>
      <c r="F688" s="1">
        <v>46249</v>
      </c>
      <c r="G688" s="1">
        <v>46249</v>
      </c>
      <c r="H688" s="11"/>
      <c r="I688" s="11" t="s">
        <v>4041</v>
      </c>
    </row>
    <row r="689" spans="1:9" hidden="1" x14ac:dyDescent="0.25">
      <c r="A689" s="1">
        <v>46252</v>
      </c>
      <c r="B689">
        <v>1000204850</v>
      </c>
      <c r="C689" t="s">
        <v>1468</v>
      </c>
      <c r="D689" s="11" t="s">
        <v>245</v>
      </c>
      <c r="E689" s="11" t="s">
        <v>4040</v>
      </c>
      <c r="F689" s="1">
        <v>46249</v>
      </c>
      <c r="G689" s="1">
        <v>46249</v>
      </c>
      <c r="H689" s="11"/>
      <c r="I689" s="11" t="s">
        <v>4041</v>
      </c>
    </row>
    <row r="690" spans="1:9" hidden="1" x14ac:dyDescent="0.25">
      <c r="A690" s="1">
        <v>46252</v>
      </c>
      <c r="B690">
        <v>1001446162</v>
      </c>
      <c r="C690" t="s">
        <v>3663</v>
      </c>
      <c r="D690" s="11" t="s">
        <v>4125</v>
      </c>
      <c r="E690" s="11" t="s">
        <v>4056</v>
      </c>
      <c r="F690" s="1">
        <v>46252</v>
      </c>
      <c r="G690" s="1">
        <v>46252</v>
      </c>
      <c r="H690" s="11"/>
      <c r="I690" s="11" t="s">
        <v>339</v>
      </c>
    </row>
    <row r="691" spans="1:9" hidden="1" x14ac:dyDescent="0.25">
      <c r="A691" s="1">
        <v>46252</v>
      </c>
      <c r="B691">
        <v>43978621</v>
      </c>
      <c r="C691" t="s">
        <v>1600</v>
      </c>
      <c r="D691" s="11" t="s">
        <v>272</v>
      </c>
      <c r="E691" s="11" t="s">
        <v>4056</v>
      </c>
      <c r="F691" s="1">
        <v>46249</v>
      </c>
      <c r="G691" s="1">
        <v>46249</v>
      </c>
      <c r="H691" s="11"/>
      <c r="I691" s="11" t="s">
        <v>4041</v>
      </c>
    </row>
    <row r="692" spans="1:9" hidden="1" x14ac:dyDescent="0.25">
      <c r="A692" s="1">
        <v>46252</v>
      </c>
      <c r="B692">
        <v>52932342</v>
      </c>
      <c r="C692" t="s">
        <v>564</v>
      </c>
      <c r="D692" s="11" t="s">
        <v>421</v>
      </c>
      <c r="E692" s="11" t="s">
        <v>4047</v>
      </c>
      <c r="F692" s="1">
        <v>46252</v>
      </c>
      <c r="G692" s="1">
        <v>46254</v>
      </c>
      <c r="H692" s="11"/>
      <c r="I692" s="11" t="s">
        <v>4171</v>
      </c>
    </row>
    <row r="693" spans="1:9" hidden="1" x14ac:dyDescent="0.25">
      <c r="A693" s="1">
        <v>46252</v>
      </c>
      <c r="B693">
        <v>43453341</v>
      </c>
      <c r="C693" t="s">
        <v>146</v>
      </c>
      <c r="D693" s="11" t="s">
        <v>124</v>
      </c>
      <c r="E693" s="11" t="s">
        <v>4045</v>
      </c>
      <c r="F693" s="1">
        <v>46252</v>
      </c>
      <c r="G693" s="1">
        <v>46253</v>
      </c>
      <c r="H693" s="11"/>
      <c r="I693" s="11" t="s">
        <v>4172</v>
      </c>
    </row>
    <row r="694" spans="1:9" hidden="1" x14ac:dyDescent="0.25">
      <c r="A694" s="1">
        <v>46252</v>
      </c>
      <c r="B694">
        <v>1083048590</v>
      </c>
      <c r="C694" t="s">
        <v>2487</v>
      </c>
      <c r="D694" s="11" t="s">
        <v>28</v>
      </c>
      <c r="E694" s="11" t="s">
        <v>4046</v>
      </c>
      <c r="F694" s="1">
        <v>46252</v>
      </c>
      <c r="G694" s="1">
        <v>46252</v>
      </c>
      <c r="H694" s="11"/>
      <c r="I694" s="11" t="s">
        <v>4060</v>
      </c>
    </row>
    <row r="695" spans="1:9" hidden="1" x14ac:dyDescent="0.25">
      <c r="A695" s="1">
        <v>46252</v>
      </c>
      <c r="B695">
        <v>1193037165</v>
      </c>
      <c r="C695" t="s">
        <v>3800</v>
      </c>
      <c r="D695" s="11" t="s">
        <v>78</v>
      </c>
      <c r="E695" s="11" t="s">
        <v>4046</v>
      </c>
      <c r="F695" s="1">
        <v>46252</v>
      </c>
      <c r="G695" s="1">
        <v>46253</v>
      </c>
      <c r="H695" s="11"/>
      <c r="I695" s="11" t="s">
        <v>4173</v>
      </c>
    </row>
    <row r="696" spans="1:9" hidden="1" x14ac:dyDescent="0.25">
      <c r="A696" s="1">
        <v>46252</v>
      </c>
      <c r="B696">
        <v>1001996913</v>
      </c>
      <c r="C696" t="s">
        <v>3174</v>
      </c>
      <c r="D696" s="11" t="s">
        <v>28</v>
      </c>
      <c r="E696" s="11" t="s">
        <v>4046</v>
      </c>
      <c r="F696" s="1">
        <v>46252</v>
      </c>
      <c r="G696" s="1">
        <v>46254</v>
      </c>
      <c r="H696" s="11"/>
      <c r="I696" s="11" t="s">
        <v>4060</v>
      </c>
    </row>
    <row r="697" spans="1:9" hidden="1" x14ac:dyDescent="0.25">
      <c r="A697" s="1">
        <v>46252</v>
      </c>
      <c r="B697">
        <v>88030132</v>
      </c>
      <c r="C697" t="s">
        <v>1956</v>
      </c>
      <c r="D697" s="11" t="s">
        <v>59</v>
      </c>
      <c r="E697" s="11" t="s">
        <v>4047</v>
      </c>
      <c r="F697" s="1">
        <v>46252</v>
      </c>
      <c r="G697" s="1">
        <v>46253</v>
      </c>
      <c r="H697" s="11"/>
      <c r="I697" s="11" t="s">
        <v>4060</v>
      </c>
    </row>
    <row r="698" spans="1:9" hidden="1" x14ac:dyDescent="0.25">
      <c r="A698" s="1">
        <v>46252</v>
      </c>
      <c r="B698">
        <v>1152467583</v>
      </c>
      <c r="C698" t="s">
        <v>3788</v>
      </c>
      <c r="D698" s="11" t="s">
        <v>68</v>
      </c>
      <c r="E698" s="11" t="s">
        <v>4040</v>
      </c>
      <c r="F698" s="1">
        <v>46252</v>
      </c>
      <c r="G698" s="1">
        <v>46253</v>
      </c>
      <c r="H698" s="11"/>
      <c r="I698" s="11" t="s">
        <v>4060</v>
      </c>
    </row>
    <row r="699" spans="1:9" hidden="1" x14ac:dyDescent="0.25">
      <c r="A699" s="1">
        <v>46252</v>
      </c>
      <c r="B699">
        <v>1002210045</v>
      </c>
      <c r="C699" t="s">
        <v>1815</v>
      </c>
      <c r="D699" s="11" t="s">
        <v>421</v>
      </c>
      <c r="E699" s="11" t="s">
        <v>4047</v>
      </c>
      <c r="F699" s="1">
        <v>46252</v>
      </c>
      <c r="G699" s="1">
        <v>46253</v>
      </c>
      <c r="H699" s="11"/>
      <c r="I699" s="11" t="s">
        <v>327</v>
      </c>
    </row>
    <row r="700" spans="1:9" hidden="1" x14ac:dyDescent="0.25">
      <c r="A700" s="1">
        <v>46252</v>
      </c>
      <c r="B700">
        <v>1143375080</v>
      </c>
      <c r="C700" t="s">
        <v>203</v>
      </c>
      <c r="D700" s="11" t="s">
        <v>44</v>
      </c>
      <c r="E700" s="11" t="s">
        <v>4045</v>
      </c>
      <c r="F700" s="1">
        <v>46252</v>
      </c>
      <c r="H700" s="11" t="s">
        <v>231</v>
      </c>
      <c r="I700" s="11" t="s">
        <v>232</v>
      </c>
    </row>
    <row r="701" spans="1:9" hidden="1" x14ac:dyDescent="0.25">
      <c r="A701" s="1">
        <v>46252</v>
      </c>
      <c r="B701">
        <v>1143267842</v>
      </c>
      <c r="C701" t="s">
        <v>1501</v>
      </c>
      <c r="D701" s="11" t="s">
        <v>128</v>
      </c>
      <c r="E701" s="11" t="s">
        <v>4045</v>
      </c>
      <c r="F701" s="1">
        <v>46252</v>
      </c>
      <c r="G701" s="1">
        <v>46253</v>
      </c>
      <c r="H701" s="11"/>
      <c r="I701" s="11" t="s">
        <v>4060</v>
      </c>
    </row>
    <row r="702" spans="1:9" hidden="1" x14ac:dyDescent="0.25">
      <c r="A702" s="1">
        <v>46252</v>
      </c>
      <c r="B702">
        <v>1152434926</v>
      </c>
      <c r="C702" t="s">
        <v>217</v>
      </c>
      <c r="D702" s="11" t="s">
        <v>59</v>
      </c>
      <c r="E702" s="11" t="s">
        <v>4047</v>
      </c>
      <c r="F702" s="1">
        <v>46252</v>
      </c>
      <c r="G702" s="1">
        <v>46255</v>
      </c>
      <c r="H702" s="11"/>
      <c r="I702" s="11" t="s">
        <v>4060</v>
      </c>
    </row>
    <row r="703" spans="1:9" hidden="1" x14ac:dyDescent="0.25">
      <c r="A703" s="1">
        <v>46252</v>
      </c>
      <c r="B703">
        <v>1214714989</v>
      </c>
      <c r="C703" t="s">
        <v>2191</v>
      </c>
      <c r="D703" s="11" t="s">
        <v>256</v>
      </c>
      <c r="E703" s="11" t="s">
        <v>4040</v>
      </c>
      <c r="F703" s="1">
        <v>46252</v>
      </c>
      <c r="G703" s="1">
        <v>46253</v>
      </c>
      <c r="H703" s="11"/>
      <c r="I703" s="11" t="s">
        <v>4060</v>
      </c>
    </row>
    <row r="704" spans="1:9" hidden="1" x14ac:dyDescent="0.25">
      <c r="A704" s="1">
        <v>46252</v>
      </c>
      <c r="B704">
        <v>1000099010</v>
      </c>
      <c r="C704" t="s">
        <v>660</v>
      </c>
      <c r="D704" s="11" t="s">
        <v>139</v>
      </c>
      <c r="E704" s="11" t="s">
        <v>4040</v>
      </c>
      <c r="F704" s="1">
        <v>46252</v>
      </c>
      <c r="G704" s="1">
        <v>46253</v>
      </c>
      <c r="H704" s="11"/>
      <c r="I704" s="11" t="s">
        <v>4060</v>
      </c>
    </row>
    <row r="705" spans="1:9" hidden="1" x14ac:dyDescent="0.25">
      <c r="A705" s="1">
        <v>46252</v>
      </c>
      <c r="B705">
        <v>1001944593</v>
      </c>
      <c r="C705" t="s">
        <v>2629</v>
      </c>
      <c r="D705" s="11" t="s">
        <v>128</v>
      </c>
      <c r="E705" s="11" t="s">
        <v>4045</v>
      </c>
      <c r="F705" s="1">
        <v>46252</v>
      </c>
      <c r="G705" s="1">
        <v>46252</v>
      </c>
      <c r="H705" s="11"/>
      <c r="I705" s="11" t="s">
        <v>4060</v>
      </c>
    </row>
    <row r="706" spans="1:9" hidden="1" x14ac:dyDescent="0.25">
      <c r="A706" s="1">
        <v>46252</v>
      </c>
      <c r="B706">
        <v>43628997</v>
      </c>
      <c r="C706" t="s">
        <v>3256</v>
      </c>
      <c r="D706" s="11" t="s">
        <v>64</v>
      </c>
      <c r="E706" s="11" t="s">
        <v>4046</v>
      </c>
      <c r="F706" s="1">
        <v>46252</v>
      </c>
      <c r="G706" s="1">
        <v>46253</v>
      </c>
      <c r="H706" s="11"/>
      <c r="I706" s="11" t="s">
        <v>327</v>
      </c>
    </row>
    <row r="707" spans="1:9" hidden="1" x14ac:dyDescent="0.25">
      <c r="A707" s="1">
        <v>46252</v>
      </c>
      <c r="B707">
        <v>1007959114</v>
      </c>
      <c r="C707" t="s">
        <v>337</v>
      </c>
      <c r="D707" s="11" t="s">
        <v>39</v>
      </c>
      <c r="E707" s="11" t="s">
        <v>4046</v>
      </c>
      <c r="F707" s="1">
        <v>46252</v>
      </c>
      <c r="H707" s="11"/>
      <c r="I707" s="11" t="s">
        <v>4060</v>
      </c>
    </row>
    <row r="708" spans="1:9" hidden="1" x14ac:dyDescent="0.25">
      <c r="A708" s="1">
        <v>46252</v>
      </c>
      <c r="B708">
        <v>1000348983</v>
      </c>
      <c r="C708" t="s">
        <v>235</v>
      </c>
      <c r="D708" s="11" t="s">
        <v>4175</v>
      </c>
      <c r="E708" s="11" t="s">
        <v>4056</v>
      </c>
      <c r="F708" s="1">
        <v>46252</v>
      </c>
      <c r="H708" s="11"/>
      <c r="I708" s="11" t="s">
        <v>4176</v>
      </c>
    </row>
    <row r="709" spans="1:9" hidden="1" x14ac:dyDescent="0.25">
      <c r="A709" s="1">
        <v>46252</v>
      </c>
      <c r="B709">
        <v>1037661959</v>
      </c>
      <c r="C709" t="s">
        <v>4080</v>
      </c>
      <c r="D709" s="11" t="s">
        <v>482</v>
      </c>
      <c r="E709" s="11" t="s">
        <v>4040</v>
      </c>
      <c r="F709" s="1">
        <v>46253</v>
      </c>
      <c r="G709" s="1">
        <v>46255</v>
      </c>
      <c r="H709" s="11" t="s">
        <v>261</v>
      </c>
      <c r="I709" s="11" t="s">
        <v>262</v>
      </c>
    </row>
    <row r="710" spans="1:9" hidden="1" x14ac:dyDescent="0.25">
      <c r="A710" s="1">
        <v>46252</v>
      </c>
      <c r="B710">
        <v>1001140238</v>
      </c>
      <c r="C710" t="s">
        <v>74</v>
      </c>
      <c r="D710" s="11" t="s">
        <v>4078</v>
      </c>
      <c r="E710" s="11" t="s">
        <v>4045</v>
      </c>
      <c r="F710" s="1">
        <v>46252</v>
      </c>
      <c r="G710" s="1">
        <v>46252</v>
      </c>
      <c r="H710" s="11"/>
      <c r="I710" s="11" t="s">
        <v>339</v>
      </c>
    </row>
    <row r="711" spans="1:9" hidden="1" x14ac:dyDescent="0.25">
      <c r="A711" s="1">
        <v>46252</v>
      </c>
      <c r="B711">
        <v>1128467297</v>
      </c>
      <c r="C711" t="s">
        <v>3392</v>
      </c>
      <c r="D711" s="11" t="s">
        <v>619</v>
      </c>
      <c r="E711" s="11" t="s">
        <v>4045</v>
      </c>
      <c r="F711" s="1">
        <v>46252</v>
      </c>
      <c r="G711" s="1">
        <v>46253</v>
      </c>
      <c r="H711" s="11"/>
      <c r="I711" s="11" t="s">
        <v>4060</v>
      </c>
    </row>
    <row r="712" spans="1:9" hidden="1" x14ac:dyDescent="0.25">
      <c r="A712" s="1">
        <v>46246</v>
      </c>
      <c r="B712">
        <v>1057608489</v>
      </c>
      <c r="C712" t="s">
        <v>3080</v>
      </c>
      <c r="D712" s="11" t="s">
        <v>132</v>
      </c>
      <c r="E712" s="11" t="s">
        <v>4040</v>
      </c>
      <c r="F712" s="1">
        <v>46245</v>
      </c>
      <c r="G712" s="1">
        <v>46246</v>
      </c>
      <c r="H712" s="11"/>
      <c r="I712" s="11" t="s">
        <v>327</v>
      </c>
    </row>
    <row r="713" spans="1:9" hidden="1" x14ac:dyDescent="0.25">
      <c r="A713" s="1">
        <v>46246</v>
      </c>
      <c r="B713">
        <v>43271257</v>
      </c>
      <c r="C713" t="s">
        <v>1302</v>
      </c>
      <c r="D713" s="11" t="s">
        <v>15</v>
      </c>
      <c r="E713" s="11" t="s">
        <v>4046</v>
      </c>
      <c r="F713" s="1">
        <v>46245</v>
      </c>
      <c r="G713" s="1">
        <v>46246</v>
      </c>
      <c r="H713" s="11"/>
      <c r="I713" s="11" t="s">
        <v>327</v>
      </c>
    </row>
    <row r="714" spans="1:9" hidden="1" x14ac:dyDescent="0.25">
      <c r="A714" s="1">
        <v>46246</v>
      </c>
      <c r="B714">
        <v>1140876076</v>
      </c>
      <c r="C714" t="s">
        <v>1326</v>
      </c>
      <c r="D714" s="11" t="s">
        <v>15</v>
      </c>
      <c r="E714" s="11" t="s">
        <v>4046</v>
      </c>
      <c r="F714" s="1">
        <v>46245</v>
      </c>
      <c r="G714" s="1">
        <v>46246</v>
      </c>
      <c r="H714" s="11"/>
      <c r="I714" s="11" t="s">
        <v>327</v>
      </c>
    </row>
    <row r="715" spans="1:9" hidden="1" x14ac:dyDescent="0.25">
      <c r="A715" s="1">
        <v>46246</v>
      </c>
      <c r="B715">
        <v>1001944593</v>
      </c>
      <c r="C715" t="s">
        <v>2629</v>
      </c>
      <c r="D715" s="11" t="s">
        <v>128</v>
      </c>
      <c r="E715" s="11" t="s">
        <v>4045</v>
      </c>
      <c r="F715" s="1">
        <v>46245</v>
      </c>
      <c r="G715" s="1">
        <v>46245</v>
      </c>
      <c r="H715" s="11"/>
      <c r="I715" s="11" t="s">
        <v>4041</v>
      </c>
    </row>
    <row r="716" spans="1:9" hidden="1" x14ac:dyDescent="0.25">
      <c r="A716" s="1">
        <v>46246</v>
      </c>
      <c r="B716">
        <v>1143360194</v>
      </c>
      <c r="C716" t="s">
        <v>3508</v>
      </c>
      <c r="D716" s="11" t="s">
        <v>64</v>
      </c>
      <c r="E716" s="11" t="s">
        <v>4046</v>
      </c>
      <c r="F716" s="1">
        <v>46245</v>
      </c>
      <c r="G716" s="1">
        <v>46246</v>
      </c>
      <c r="H716" s="11"/>
      <c r="I716" s="11" t="s">
        <v>4060</v>
      </c>
    </row>
    <row r="717" spans="1:9" hidden="1" x14ac:dyDescent="0.25">
      <c r="A717" s="1">
        <v>46246</v>
      </c>
      <c r="B717">
        <v>1000662062</v>
      </c>
      <c r="C717" t="s">
        <v>330</v>
      </c>
      <c r="D717" s="11" t="s">
        <v>55</v>
      </c>
      <c r="E717" s="11" t="s">
        <v>4047</v>
      </c>
      <c r="F717" s="1">
        <v>46245</v>
      </c>
      <c r="G717" s="1">
        <v>46249</v>
      </c>
      <c r="H717" s="11"/>
      <c r="I717" s="11" t="s">
        <v>327</v>
      </c>
    </row>
    <row r="718" spans="1:9" hidden="1" x14ac:dyDescent="0.25">
      <c r="A718" s="1">
        <v>46246</v>
      </c>
      <c r="B718">
        <v>1007508679</v>
      </c>
      <c r="C718" t="s">
        <v>1362</v>
      </c>
      <c r="D718" s="11" t="s">
        <v>51</v>
      </c>
      <c r="E718" s="11" t="s">
        <v>4047</v>
      </c>
      <c r="F718" s="1">
        <v>46245</v>
      </c>
      <c r="G718" s="1">
        <v>46245</v>
      </c>
      <c r="H718" s="11"/>
      <c r="I718" s="11" t="s">
        <v>4041</v>
      </c>
    </row>
    <row r="719" spans="1:9" hidden="1" x14ac:dyDescent="0.25">
      <c r="A719" s="1">
        <v>46246</v>
      </c>
      <c r="B719">
        <v>1017209928</v>
      </c>
      <c r="C719" t="s">
        <v>1205</v>
      </c>
      <c r="D719" s="11" t="s">
        <v>256</v>
      </c>
      <c r="E719" s="11" t="s">
        <v>4040</v>
      </c>
      <c r="F719" s="1">
        <v>46245</v>
      </c>
      <c r="G719" s="1">
        <v>46246</v>
      </c>
      <c r="H719" s="11"/>
      <c r="I719" s="11" t="s">
        <v>327</v>
      </c>
    </row>
    <row r="720" spans="1:9" hidden="1" x14ac:dyDescent="0.25">
      <c r="A720" s="1">
        <v>46246</v>
      </c>
      <c r="B720">
        <v>1002155665</v>
      </c>
      <c r="C720" t="s">
        <v>3791</v>
      </c>
      <c r="D720" s="11" t="s">
        <v>64</v>
      </c>
      <c r="E720" s="11" t="s">
        <v>4046</v>
      </c>
      <c r="F720" s="1">
        <v>46244</v>
      </c>
      <c r="G720" s="1">
        <v>46245</v>
      </c>
      <c r="H720" s="11"/>
      <c r="I720" s="11" t="s">
        <v>4041</v>
      </c>
    </row>
    <row r="721" spans="1:9" hidden="1" x14ac:dyDescent="0.25">
      <c r="A721" s="1">
        <v>46246</v>
      </c>
      <c r="B721">
        <v>1077462479</v>
      </c>
      <c r="C721" t="s">
        <v>4027</v>
      </c>
      <c r="D721" s="11" t="s">
        <v>59</v>
      </c>
      <c r="E721" s="11" t="s">
        <v>4047</v>
      </c>
      <c r="F721" s="1">
        <v>46245</v>
      </c>
      <c r="G721" s="1">
        <v>46247</v>
      </c>
      <c r="H721" s="11"/>
      <c r="I721" s="11" t="s">
        <v>327</v>
      </c>
    </row>
    <row r="722" spans="1:9" hidden="1" x14ac:dyDescent="0.25">
      <c r="A722" s="1">
        <v>46246</v>
      </c>
      <c r="B722">
        <v>1000408752</v>
      </c>
      <c r="C722" t="s">
        <v>3636</v>
      </c>
      <c r="D722" s="11" t="s">
        <v>55</v>
      </c>
      <c r="E722" s="11" t="s">
        <v>4047</v>
      </c>
      <c r="F722" s="1">
        <v>46244</v>
      </c>
      <c r="G722" s="1">
        <v>46246</v>
      </c>
      <c r="H722" s="11"/>
      <c r="I722" s="11" t="s">
        <v>327</v>
      </c>
    </row>
    <row r="723" spans="1:9" hidden="1" x14ac:dyDescent="0.25">
      <c r="A723" s="1">
        <v>46246</v>
      </c>
      <c r="B723">
        <v>1193568408</v>
      </c>
      <c r="C723" t="s">
        <v>448</v>
      </c>
      <c r="D723" s="11" t="s">
        <v>344</v>
      </c>
      <c r="E723" s="11" t="s">
        <v>4056</v>
      </c>
      <c r="F723" s="1">
        <v>46244</v>
      </c>
      <c r="G723" s="1">
        <v>46245</v>
      </c>
      <c r="H723" s="11"/>
      <c r="I723" s="11" t="s">
        <v>4041</v>
      </c>
    </row>
    <row r="724" spans="1:9" hidden="1" x14ac:dyDescent="0.25">
      <c r="A724" s="1">
        <v>46246</v>
      </c>
      <c r="B724">
        <v>1037646627</v>
      </c>
      <c r="C724" t="s">
        <v>3293</v>
      </c>
      <c r="D724" s="11" t="s">
        <v>124</v>
      </c>
      <c r="E724" s="11" t="s">
        <v>4045</v>
      </c>
      <c r="F724" s="1">
        <v>46244</v>
      </c>
      <c r="G724" s="1">
        <v>46245</v>
      </c>
      <c r="H724" s="11"/>
      <c r="I724" s="11" t="s">
        <v>4041</v>
      </c>
    </row>
    <row r="725" spans="1:9" hidden="1" x14ac:dyDescent="0.25">
      <c r="A725" s="1">
        <v>46246</v>
      </c>
      <c r="B725">
        <v>1007959114</v>
      </c>
      <c r="C725" t="s">
        <v>337</v>
      </c>
      <c r="D725" s="11" t="s">
        <v>39</v>
      </c>
      <c r="E725" s="11" t="s">
        <v>4046</v>
      </c>
      <c r="F725" s="1">
        <v>46244</v>
      </c>
      <c r="G725" s="1">
        <v>46244</v>
      </c>
      <c r="H725" s="11"/>
      <c r="I725" s="11" t="s">
        <v>4041</v>
      </c>
    </row>
    <row r="726" spans="1:9" hidden="1" x14ac:dyDescent="0.25">
      <c r="A726" s="1">
        <v>46246</v>
      </c>
      <c r="B726">
        <v>1014237413</v>
      </c>
      <c r="C726" t="s">
        <v>845</v>
      </c>
      <c r="D726" s="11" t="s">
        <v>492</v>
      </c>
      <c r="E726" s="11" t="s">
        <v>4045</v>
      </c>
      <c r="F726" s="1">
        <v>46244</v>
      </c>
      <c r="G726" s="1">
        <v>46246</v>
      </c>
      <c r="H726" s="11"/>
      <c r="I726" s="11" t="s">
        <v>327</v>
      </c>
    </row>
    <row r="727" spans="1:9" hidden="1" x14ac:dyDescent="0.25">
      <c r="A727" s="1">
        <v>46246</v>
      </c>
      <c r="B727">
        <v>1003361835</v>
      </c>
      <c r="C727" t="s">
        <v>878</v>
      </c>
      <c r="D727" s="11" t="s">
        <v>492</v>
      </c>
      <c r="E727" s="11" t="s">
        <v>4045</v>
      </c>
      <c r="F727" s="1">
        <v>46244</v>
      </c>
      <c r="G727" s="1">
        <v>46245</v>
      </c>
      <c r="H727" s="11"/>
      <c r="I727" s="11" t="s">
        <v>4041</v>
      </c>
    </row>
    <row r="728" spans="1:9" hidden="1" x14ac:dyDescent="0.25">
      <c r="A728" s="1">
        <v>46246</v>
      </c>
      <c r="B728">
        <v>1143345388</v>
      </c>
      <c r="C728" t="s">
        <v>3124</v>
      </c>
      <c r="D728" s="11" t="s">
        <v>55</v>
      </c>
      <c r="E728" s="11" t="s">
        <v>4047</v>
      </c>
      <c r="F728" s="1">
        <v>46244</v>
      </c>
      <c r="G728" s="1">
        <v>46245</v>
      </c>
      <c r="H728" s="11"/>
      <c r="I728" s="11" t="s">
        <v>4041</v>
      </c>
    </row>
    <row r="729" spans="1:9" hidden="1" x14ac:dyDescent="0.25">
      <c r="A729" s="1">
        <v>46246</v>
      </c>
      <c r="B729">
        <v>1193370054</v>
      </c>
      <c r="C729" t="s">
        <v>994</v>
      </c>
      <c r="D729" s="11" t="s">
        <v>59</v>
      </c>
      <c r="E729" s="11" t="s">
        <v>4047</v>
      </c>
      <c r="F729" s="1">
        <v>46244</v>
      </c>
      <c r="G729" s="1">
        <v>46244</v>
      </c>
      <c r="H729" s="11"/>
      <c r="I729" s="11" t="s">
        <v>4041</v>
      </c>
    </row>
    <row r="730" spans="1:9" hidden="1" x14ac:dyDescent="0.25">
      <c r="A730" s="1">
        <v>46246</v>
      </c>
      <c r="B730">
        <v>1003033764</v>
      </c>
      <c r="C730" t="s">
        <v>1275</v>
      </c>
      <c r="D730" s="11" t="s">
        <v>124</v>
      </c>
      <c r="E730" s="11" t="s">
        <v>4045</v>
      </c>
      <c r="F730" s="1">
        <v>46244</v>
      </c>
      <c r="G730" s="1">
        <v>46245</v>
      </c>
      <c r="H730" s="11"/>
      <c r="I730" s="11" t="s">
        <v>4041</v>
      </c>
    </row>
    <row r="731" spans="1:9" hidden="1" x14ac:dyDescent="0.25">
      <c r="A731" s="1">
        <v>46246</v>
      </c>
      <c r="B731">
        <v>1000921455</v>
      </c>
      <c r="C731" t="s">
        <v>14</v>
      </c>
      <c r="D731" s="11" t="s">
        <v>15</v>
      </c>
      <c r="E731" s="11" t="s">
        <v>4046</v>
      </c>
      <c r="F731" s="1">
        <v>46242</v>
      </c>
      <c r="G731" s="1">
        <v>46246</v>
      </c>
      <c r="H731" s="11"/>
      <c r="I731" s="11" t="s">
        <v>327</v>
      </c>
    </row>
    <row r="732" spans="1:9" hidden="1" x14ac:dyDescent="0.25">
      <c r="A732" s="1">
        <v>46246</v>
      </c>
      <c r="B732">
        <v>1007842898</v>
      </c>
      <c r="C732" t="s">
        <v>4159</v>
      </c>
      <c r="D732" s="11" t="s">
        <v>421</v>
      </c>
      <c r="E732" s="11" t="s">
        <v>4047</v>
      </c>
      <c r="F732" s="1">
        <v>46244</v>
      </c>
      <c r="G732" s="1">
        <v>46246</v>
      </c>
      <c r="H732" s="11"/>
      <c r="I732" s="11" t="s">
        <v>4041</v>
      </c>
    </row>
    <row r="733" spans="1:9" hidden="1" x14ac:dyDescent="0.25">
      <c r="A733" s="1">
        <v>46246</v>
      </c>
      <c r="B733">
        <v>1082896324</v>
      </c>
      <c r="C733" t="s">
        <v>127</v>
      </c>
      <c r="D733" s="11" t="s">
        <v>128</v>
      </c>
      <c r="E733" s="11" t="s">
        <v>4045</v>
      </c>
      <c r="F733" s="1">
        <v>46242</v>
      </c>
      <c r="G733" s="1">
        <v>46272</v>
      </c>
      <c r="H733" s="11" t="s">
        <v>231</v>
      </c>
      <c r="I733" s="11" t="s">
        <v>232</v>
      </c>
    </row>
    <row r="734" spans="1:9" hidden="1" x14ac:dyDescent="0.25">
      <c r="A734" s="1">
        <v>46246</v>
      </c>
      <c r="B734">
        <v>1045718883</v>
      </c>
      <c r="C734" t="s">
        <v>34</v>
      </c>
      <c r="D734" s="11" t="s">
        <v>15</v>
      </c>
      <c r="E734" s="11" t="s">
        <v>4046</v>
      </c>
      <c r="F734" s="1">
        <v>46240</v>
      </c>
      <c r="G734" s="1">
        <v>46249</v>
      </c>
      <c r="H734" s="11"/>
      <c r="I734" s="11" t="s">
        <v>4041</v>
      </c>
    </row>
    <row r="735" spans="1:9" hidden="1" x14ac:dyDescent="0.25">
      <c r="A735" s="1">
        <v>46246</v>
      </c>
      <c r="B735">
        <v>1042422897</v>
      </c>
      <c r="C735" t="s">
        <v>4100</v>
      </c>
      <c r="D735" s="11" t="s">
        <v>256</v>
      </c>
      <c r="E735" s="11" t="s">
        <v>4040</v>
      </c>
      <c r="F735" s="1">
        <v>46242</v>
      </c>
      <c r="G735" s="1">
        <v>46245</v>
      </c>
      <c r="H735" s="11"/>
      <c r="I735" s="11" t="s">
        <v>4041</v>
      </c>
    </row>
    <row r="736" spans="1:9" hidden="1" x14ac:dyDescent="0.25">
      <c r="A736" s="1">
        <v>46246</v>
      </c>
      <c r="B736">
        <v>1143374438</v>
      </c>
      <c r="C736" t="s">
        <v>154</v>
      </c>
      <c r="D736" s="11" t="s">
        <v>28</v>
      </c>
      <c r="E736" s="11" t="s">
        <v>4046</v>
      </c>
      <c r="F736" s="1">
        <v>46239</v>
      </c>
      <c r="G736" s="1">
        <v>46268</v>
      </c>
      <c r="H736" s="11"/>
      <c r="I736" s="11" t="s">
        <v>327</v>
      </c>
    </row>
    <row r="737" spans="1:9" hidden="1" x14ac:dyDescent="0.25">
      <c r="A737" s="1">
        <v>46246</v>
      </c>
      <c r="B737">
        <v>1015483595</v>
      </c>
      <c r="C737" t="s">
        <v>23</v>
      </c>
      <c r="D737" s="11" t="s">
        <v>15</v>
      </c>
      <c r="E737" s="11" t="s">
        <v>4046</v>
      </c>
      <c r="F737" s="1">
        <v>46244</v>
      </c>
      <c r="G737" s="1">
        <v>46265</v>
      </c>
      <c r="H737" s="11" t="s">
        <v>300</v>
      </c>
      <c r="I737" s="11" t="s">
        <v>301</v>
      </c>
    </row>
    <row r="738" spans="1:9" hidden="1" x14ac:dyDescent="0.25">
      <c r="A738" s="1">
        <v>46246</v>
      </c>
      <c r="B738">
        <v>1001851670</v>
      </c>
      <c r="C738" t="s">
        <v>50</v>
      </c>
      <c r="D738" s="11" t="s">
        <v>51</v>
      </c>
      <c r="E738" s="11" t="s">
        <v>4047</v>
      </c>
      <c r="F738" s="1">
        <v>46241</v>
      </c>
      <c r="G738" s="1">
        <v>46366</v>
      </c>
      <c r="H738" s="11" t="s">
        <v>309</v>
      </c>
      <c r="I738" s="11" t="s">
        <v>310</v>
      </c>
    </row>
    <row r="739" spans="1:9" hidden="1" x14ac:dyDescent="0.25">
      <c r="A739" s="1">
        <v>46246</v>
      </c>
      <c r="B739">
        <v>1067963513</v>
      </c>
      <c r="C739" t="s">
        <v>67</v>
      </c>
      <c r="D739" s="11" t="s">
        <v>68</v>
      </c>
      <c r="E739" s="11" t="s">
        <v>4040</v>
      </c>
      <c r="F739" s="1">
        <v>46240</v>
      </c>
      <c r="G739" s="1">
        <v>46265</v>
      </c>
      <c r="H739" s="11" t="s">
        <v>45</v>
      </c>
      <c r="I739" s="11" t="s">
        <v>46</v>
      </c>
    </row>
    <row r="740" spans="1:9" hidden="1" x14ac:dyDescent="0.25">
      <c r="A740" s="1">
        <v>46246</v>
      </c>
      <c r="B740">
        <v>42141273</v>
      </c>
      <c r="C740" t="s">
        <v>271</v>
      </c>
      <c r="D740" s="11" t="s">
        <v>272</v>
      </c>
      <c r="E740" s="11" t="s">
        <v>4056</v>
      </c>
      <c r="F740" s="1">
        <v>46232</v>
      </c>
      <c r="G740" s="1">
        <v>46261</v>
      </c>
      <c r="H740" s="11" t="s">
        <v>285</v>
      </c>
      <c r="I740" s="11" t="s">
        <v>286</v>
      </c>
    </row>
    <row r="741" spans="1:9" hidden="1" x14ac:dyDescent="0.25">
      <c r="A741" s="1">
        <v>46246</v>
      </c>
      <c r="B741">
        <v>1035876080</v>
      </c>
      <c r="C741" t="s">
        <v>123</v>
      </c>
      <c r="D741" s="11" t="s">
        <v>124</v>
      </c>
      <c r="E741" s="11" t="s">
        <v>4045</v>
      </c>
      <c r="F741" s="1">
        <v>46239</v>
      </c>
      <c r="G741" s="1">
        <v>46245</v>
      </c>
      <c r="H741" s="11"/>
      <c r="I741" s="11" t="s">
        <v>4041</v>
      </c>
    </row>
    <row r="742" spans="1:9" hidden="1" x14ac:dyDescent="0.25">
      <c r="A742" s="1">
        <v>46246</v>
      </c>
      <c r="B742">
        <v>1005424850</v>
      </c>
      <c r="C742" t="s">
        <v>95</v>
      </c>
      <c r="D742" s="11" t="s">
        <v>82</v>
      </c>
      <c r="E742" s="11" t="s">
        <v>4045</v>
      </c>
      <c r="F742" s="1">
        <v>46238</v>
      </c>
      <c r="G742" s="1">
        <v>46262</v>
      </c>
      <c r="H742" s="11"/>
      <c r="I742" s="11" t="s">
        <v>4041</v>
      </c>
    </row>
    <row r="743" spans="1:9" hidden="1" x14ac:dyDescent="0.25">
      <c r="A743" s="1">
        <v>46246</v>
      </c>
      <c r="B743">
        <v>1001137222</v>
      </c>
      <c r="C743" t="s">
        <v>2908</v>
      </c>
      <c r="D743" s="11" t="s">
        <v>102</v>
      </c>
      <c r="E743" s="11" t="s">
        <v>4046</v>
      </c>
      <c r="F743" s="1">
        <v>46246</v>
      </c>
      <c r="G743" s="1">
        <v>46246</v>
      </c>
      <c r="H743" s="11" t="s">
        <v>17</v>
      </c>
      <c r="I743" s="11" t="s">
        <v>18</v>
      </c>
    </row>
    <row r="744" spans="1:9" hidden="1" x14ac:dyDescent="0.25">
      <c r="A744" s="1">
        <v>46246</v>
      </c>
      <c r="B744">
        <v>1152221372</v>
      </c>
      <c r="C744" t="s">
        <v>2363</v>
      </c>
      <c r="D744" s="11" t="s">
        <v>139</v>
      </c>
      <c r="E744" s="11" t="s">
        <v>4040</v>
      </c>
      <c r="F744" s="1">
        <v>46230</v>
      </c>
      <c r="G744" s="1">
        <v>46230</v>
      </c>
      <c r="H744" s="11" t="s">
        <v>119</v>
      </c>
      <c r="I744" s="11" t="s">
        <v>120</v>
      </c>
    </row>
    <row r="745" spans="1:9" hidden="1" x14ac:dyDescent="0.25">
      <c r="A745" s="1">
        <v>46246</v>
      </c>
      <c r="B745">
        <v>1094275204</v>
      </c>
      <c r="C745" t="s">
        <v>1879</v>
      </c>
      <c r="D745" s="11" t="s">
        <v>272</v>
      </c>
      <c r="E745" s="11" t="s">
        <v>4056</v>
      </c>
      <c r="F745" s="1">
        <v>46246</v>
      </c>
      <c r="G745" s="1">
        <v>46246</v>
      </c>
      <c r="H745" s="11" t="s">
        <v>3662</v>
      </c>
      <c r="I745" s="11" t="s">
        <v>3663</v>
      </c>
    </row>
    <row r="746" spans="1:9" hidden="1" x14ac:dyDescent="0.25">
      <c r="A746" s="1">
        <v>46246</v>
      </c>
      <c r="B746">
        <v>1001479648</v>
      </c>
      <c r="C746" t="s">
        <v>2970</v>
      </c>
      <c r="D746" s="11" t="s">
        <v>344</v>
      </c>
      <c r="E746" s="11" t="s">
        <v>4056</v>
      </c>
      <c r="F746" s="1">
        <v>46245</v>
      </c>
      <c r="G746" s="1">
        <v>46245</v>
      </c>
      <c r="H746" s="11"/>
      <c r="I746" s="11" t="s">
        <v>4041</v>
      </c>
    </row>
    <row r="747" spans="1:9" hidden="1" x14ac:dyDescent="0.25">
      <c r="A747" s="1">
        <v>46246</v>
      </c>
      <c r="B747">
        <v>1004960056</v>
      </c>
      <c r="C747" t="s">
        <v>644</v>
      </c>
      <c r="D747" s="11" t="s">
        <v>634</v>
      </c>
      <c r="E747" s="11" t="s">
        <v>4045</v>
      </c>
      <c r="F747" s="1">
        <v>46246</v>
      </c>
      <c r="G747" s="1">
        <v>46247</v>
      </c>
      <c r="H747" s="11" t="s">
        <v>213</v>
      </c>
      <c r="I747" s="11" t="s">
        <v>214</v>
      </c>
    </row>
    <row r="748" spans="1:9" hidden="1" x14ac:dyDescent="0.25">
      <c r="A748" s="1">
        <v>46246</v>
      </c>
      <c r="B748">
        <v>1017264032</v>
      </c>
      <c r="C748" t="s">
        <v>54</v>
      </c>
      <c r="D748" s="11" t="s">
        <v>55</v>
      </c>
      <c r="E748" s="11" t="s">
        <v>4047</v>
      </c>
      <c r="F748" s="1">
        <v>46229</v>
      </c>
      <c r="G748" s="1">
        <v>46258</v>
      </c>
      <c r="H748" s="11"/>
      <c r="I748" s="11" t="s">
        <v>327</v>
      </c>
    </row>
    <row r="749" spans="1:9" hidden="1" x14ac:dyDescent="0.25">
      <c r="A749" s="1">
        <v>46246</v>
      </c>
      <c r="B749">
        <v>1071169507</v>
      </c>
      <c r="C749" t="s">
        <v>161</v>
      </c>
      <c r="D749" s="11" t="s">
        <v>162</v>
      </c>
      <c r="E749" s="11" t="s">
        <v>4056</v>
      </c>
      <c r="F749" s="1">
        <v>46242</v>
      </c>
      <c r="G749" s="1">
        <v>46247</v>
      </c>
      <c r="H749" s="11" t="s">
        <v>163</v>
      </c>
      <c r="I749" s="11" t="s">
        <v>164</v>
      </c>
    </row>
    <row r="750" spans="1:9" hidden="1" x14ac:dyDescent="0.25">
      <c r="A750" s="1">
        <v>46246</v>
      </c>
      <c r="B750">
        <v>1036132488</v>
      </c>
      <c r="C750" t="s">
        <v>89</v>
      </c>
      <c r="D750" s="11" t="s">
        <v>59</v>
      </c>
      <c r="E750" s="11" t="s">
        <v>4047</v>
      </c>
      <c r="F750" s="1">
        <v>46227</v>
      </c>
      <c r="G750" s="1">
        <v>46246</v>
      </c>
      <c r="H750" s="11" t="s">
        <v>85</v>
      </c>
      <c r="I750" s="11" t="s">
        <v>86</v>
      </c>
    </row>
    <row r="751" spans="1:9" hidden="1" x14ac:dyDescent="0.25">
      <c r="A751" s="1">
        <v>46246</v>
      </c>
      <c r="B751">
        <v>43558465</v>
      </c>
      <c r="C751" t="s">
        <v>71</v>
      </c>
      <c r="D751" s="11" t="s">
        <v>55</v>
      </c>
      <c r="E751" s="11" t="s">
        <v>4047</v>
      </c>
      <c r="F751" s="1">
        <v>46226</v>
      </c>
      <c r="G751" s="1">
        <v>46246</v>
      </c>
      <c r="H751" s="11"/>
      <c r="I751" s="11" t="s">
        <v>327</v>
      </c>
    </row>
    <row r="752" spans="1:9" hidden="1" x14ac:dyDescent="0.25">
      <c r="A752" s="1">
        <v>46246</v>
      </c>
      <c r="B752">
        <v>1037631989</v>
      </c>
      <c r="C752" t="s">
        <v>27</v>
      </c>
      <c r="D752" s="11" t="s">
        <v>28</v>
      </c>
      <c r="E752" s="11" t="s">
        <v>4046</v>
      </c>
      <c r="F752" s="1">
        <v>46226</v>
      </c>
      <c r="G752" s="1">
        <v>46255</v>
      </c>
      <c r="H752" s="11"/>
      <c r="I752" s="11" t="s">
        <v>327</v>
      </c>
    </row>
    <row r="753" spans="1:9" hidden="1" x14ac:dyDescent="0.25">
      <c r="A753" s="1">
        <v>46246</v>
      </c>
      <c r="B753">
        <v>1043006106</v>
      </c>
      <c r="C753" t="s">
        <v>202</v>
      </c>
      <c r="D753" s="11" t="s">
        <v>64</v>
      </c>
      <c r="E753" s="11" t="s">
        <v>4046</v>
      </c>
      <c r="F753" s="1">
        <v>46219</v>
      </c>
      <c r="G753" s="1">
        <v>46248</v>
      </c>
      <c r="H753" s="11"/>
      <c r="I753" s="11" t="s">
        <v>327</v>
      </c>
    </row>
    <row r="754" spans="1:9" hidden="1" x14ac:dyDescent="0.25">
      <c r="A754" s="1">
        <v>46246</v>
      </c>
      <c r="B754">
        <v>1037638426</v>
      </c>
      <c r="C754" t="s">
        <v>31</v>
      </c>
      <c r="D754" s="11" t="s">
        <v>28</v>
      </c>
      <c r="E754" s="11" t="s">
        <v>4046</v>
      </c>
      <c r="F754" s="1">
        <v>46230</v>
      </c>
      <c r="G754" s="1">
        <v>46262</v>
      </c>
      <c r="H754" s="11" t="s">
        <v>222</v>
      </c>
      <c r="I754" s="11" t="s">
        <v>223</v>
      </c>
    </row>
    <row r="755" spans="1:9" hidden="1" x14ac:dyDescent="0.25">
      <c r="A755" s="1">
        <v>46246</v>
      </c>
      <c r="B755">
        <v>1121506548</v>
      </c>
      <c r="C755" t="s">
        <v>38</v>
      </c>
      <c r="D755" s="11" t="s">
        <v>39</v>
      </c>
      <c r="E755" s="11" t="s">
        <v>4046</v>
      </c>
      <c r="F755" s="1">
        <v>46217</v>
      </c>
      <c r="G755" s="1">
        <v>46342</v>
      </c>
      <c r="H755" s="11" t="s">
        <v>303</v>
      </c>
      <c r="I755" s="11" t="s">
        <v>304</v>
      </c>
    </row>
    <row r="756" spans="1:9" hidden="1" x14ac:dyDescent="0.25">
      <c r="A756" s="1">
        <v>46246</v>
      </c>
      <c r="B756">
        <v>1143460426</v>
      </c>
      <c r="C756" t="s">
        <v>4069</v>
      </c>
      <c r="D756" s="11" t="s">
        <v>64</v>
      </c>
      <c r="E756" s="11" t="s">
        <v>4046</v>
      </c>
      <c r="F756" s="1">
        <v>46195</v>
      </c>
      <c r="G756" s="1">
        <v>46198</v>
      </c>
      <c r="H756" s="11" t="s">
        <v>236</v>
      </c>
      <c r="I756" s="11" t="s">
        <v>237</v>
      </c>
    </row>
    <row r="757" spans="1:9" hidden="1" x14ac:dyDescent="0.25">
      <c r="A757" s="1">
        <v>46246</v>
      </c>
      <c r="B757">
        <v>1001897056</v>
      </c>
      <c r="C757" t="s">
        <v>334</v>
      </c>
      <c r="D757" s="11" t="s">
        <v>139</v>
      </c>
      <c r="E757" s="11" t="s">
        <v>4040</v>
      </c>
      <c r="F757" s="1">
        <v>46245</v>
      </c>
      <c r="G757" s="1">
        <v>46249</v>
      </c>
      <c r="H757" s="11"/>
      <c r="I757" s="11" t="s">
        <v>327</v>
      </c>
    </row>
    <row r="758" spans="1:9" hidden="1" x14ac:dyDescent="0.25">
      <c r="A758" s="1">
        <v>46246</v>
      </c>
      <c r="B758">
        <v>1098777544</v>
      </c>
      <c r="C758" t="s">
        <v>131</v>
      </c>
      <c r="D758" s="11" t="s">
        <v>132</v>
      </c>
      <c r="E758" s="11" t="s">
        <v>4040</v>
      </c>
      <c r="F758" s="1">
        <v>46217</v>
      </c>
      <c r="G758" s="1">
        <v>46246</v>
      </c>
      <c r="H758" s="11"/>
      <c r="I758" s="11" t="s">
        <v>327</v>
      </c>
    </row>
    <row r="759" spans="1:9" hidden="1" x14ac:dyDescent="0.25">
      <c r="A759" s="1">
        <v>46246</v>
      </c>
      <c r="B759">
        <v>1000416307</v>
      </c>
      <c r="C759" t="s">
        <v>3062</v>
      </c>
      <c r="D759" s="11" t="s">
        <v>132</v>
      </c>
      <c r="E759" s="11" t="s">
        <v>4040</v>
      </c>
      <c r="F759" s="1">
        <v>46245</v>
      </c>
      <c r="G759" s="1">
        <v>46246</v>
      </c>
      <c r="H759" s="11" t="s">
        <v>116</v>
      </c>
      <c r="I759" s="11" t="s">
        <v>117</v>
      </c>
    </row>
    <row r="760" spans="1:9" hidden="1" x14ac:dyDescent="0.25">
      <c r="A760" s="1">
        <v>46246</v>
      </c>
      <c r="B760">
        <v>1052974971</v>
      </c>
      <c r="C760" t="s">
        <v>854</v>
      </c>
      <c r="D760" s="11" t="s">
        <v>176</v>
      </c>
      <c r="E760" s="11" t="s">
        <v>4040</v>
      </c>
      <c r="F760" s="1">
        <v>46245</v>
      </c>
      <c r="G760" s="1">
        <v>46245</v>
      </c>
      <c r="H760" s="11"/>
      <c r="I760" s="11" t="s">
        <v>4041</v>
      </c>
    </row>
    <row r="761" spans="1:9" hidden="1" x14ac:dyDescent="0.25">
      <c r="A761" s="1">
        <v>46246</v>
      </c>
      <c r="B761">
        <v>1124014714</v>
      </c>
      <c r="C761" t="s">
        <v>2212</v>
      </c>
      <c r="D761" s="11" t="s">
        <v>421</v>
      </c>
      <c r="E761" s="11" t="s">
        <v>4047</v>
      </c>
      <c r="F761" s="1">
        <v>46244</v>
      </c>
      <c r="G761" s="1">
        <v>46245</v>
      </c>
      <c r="H761" s="11"/>
      <c r="I761" s="11" t="s">
        <v>4041</v>
      </c>
    </row>
    <row r="762" spans="1:9" hidden="1" x14ac:dyDescent="0.25">
      <c r="A762" s="1">
        <v>46246</v>
      </c>
      <c r="B762">
        <v>1193584838</v>
      </c>
      <c r="C762" t="s">
        <v>3000</v>
      </c>
      <c r="D762" s="11" t="s">
        <v>59</v>
      </c>
      <c r="E762" s="11" t="s">
        <v>4047</v>
      </c>
      <c r="F762" s="1">
        <v>46245</v>
      </c>
      <c r="G762" s="1">
        <v>46247</v>
      </c>
      <c r="H762" s="11"/>
      <c r="I762" s="11" t="s">
        <v>4060</v>
      </c>
    </row>
    <row r="763" spans="1:9" hidden="1" x14ac:dyDescent="0.25">
      <c r="A763" s="1">
        <v>46246</v>
      </c>
      <c r="B763">
        <v>1020470720</v>
      </c>
      <c r="C763" t="s">
        <v>620</v>
      </c>
      <c r="D763" s="11" t="s">
        <v>619</v>
      </c>
      <c r="E763" s="11" t="s">
        <v>4045</v>
      </c>
      <c r="F763" s="1">
        <v>46245</v>
      </c>
      <c r="G763" s="1">
        <v>46246</v>
      </c>
      <c r="H763" s="11"/>
      <c r="I763" s="11" t="s">
        <v>327</v>
      </c>
    </row>
    <row r="764" spans="1:9" hidden="1" x14ac:dyDescent="0.25">
      <c r="A764" s="1">
        <v>46246</v>
      </c>
      <c r="B764">
        <v>1037671907</v>
      </c>
      <c r="C764" t="s">
        <v>4164</v>
      </c>
      <c r="D764" s="11" t="s">
        <v>82</v>
      </c>
      <c r="E764" s="11" t="s">
        <v>4045</v>
      </c>
      <c r="F764" s="1">
        <v>46245</v>
      </c>
      <c r="G764" s="1">
        <v>46247</v>
      </c>
      <c r="H764" s="11"/>
      <c r="I764" s="11" t="s">
        <v>327</v>
      </c>
    </row>
    <row r="765" spans="1:9" hidden="1" x14ac:dyDescent="0.25">
      <c r="A765" s="1">
        <v>46246</v>
      </c>
      <c r="B765">
        <v>1039468657</v>
      </c>
      <c r="C765" t="s">
        <v>2389</v>
      </c>
      <c r="D765" s="11" t="s">
        <v>2069</v>
      </c>
      <c r="E765" s="11" t="s">
        <v>4046</v>
      </c>
      <c r="F765" s="1">
        <v>46244</v>
      </c>
      <c r="G765" s="1">
        <v>46245</v>
      </c>
      <c r="H765" s="11"/>
      <c r="I765" s="11" t="s">
        <v>4041</v>
      </c>
    </row>
    <row r="766" spans="1:9" hidden="1" x14ac:dyDescent="0.25">
      <c r="A766" s="1">
        <v>46246</v>
      </c>
      <c r="B766">
        <v>1102808787</v>
      </c>
      <c r="C766" t="s">
        <v>135</v>
      </c>
      <c r="D766" s="11" t="s">
        <v>39</v>
      </c>
      <c r="E766" s="11" t="s">
        <v>4046</v>
      </c>
      <c r="F766" s="1">
        <v>46237</v>
      </c>
      <c r="G766" s="1">
        <v>46276</v>
      </c>
      <c r="H766" s="11"/>
      <c r="I766" s="11" t="s">
        <v>327</v>
      </c>
    </row>
    <row r="767" spans="1:9" hidden="1" x14ac:dyDescent="0.25">
      <c r="A767" s="1">
        <v>46246</v>
      </c>
      <c r="B767">
        <v>1047503032</v>
      </c>
      <c r="C767" t="s">
        <v>3019</v>
      </c>
      <c r="D767" s="11" t="s">
        <v>162</v>
      </c>
      <c r="E767" s="11" t="s">
        <v>4056</v>
      </c>
      <c r="F767" s="1">
        <v>46245</v>
      </c>
      <c r="G767" s="1">
        <v>46246</v>
      </c>
      <c r="H767" s="11" t="s">
        <v>267</v>
      </c>
      <c r="I767" s="11" t="s">
        <v>268</v>
      </c>
    </row>
    <row r="768" spans="1:9" hidden="1" x14ac:dyDescent="0.25">
      <c r="A768" s="1">
        <v>46246</v>
      </c>
      <c r="B768">
        <v>1143373273</v>
      </c>
      <c r="C768" t="s">
        <v>2037</v>
      </c>
      <c r="D768" s="11" t="s">
        <v>272</v>
      </c>
      <c r="E768" s="11" t="s">
        <v>4056</v>
      </c>
      <c r="F768" s="1">
        <v>46245</v>
      </c>
      <c r="G768" s="1">
        <v>46247</v>
      </c>
      <c r="H768" s="11" t="s">
        <v>184</v>
      </c>
      <c r="I768" s="11" t="s">
        <v>185</v>
      </c>
    </row>
    <row r="769" spans="1:9" hidden="1" x14ac:dyDescent="0.25">
      <c r="A769" s="1">
        <v>46246</v>
      </c>
      <c r="B769">
        <v>1085265026</v>
      </c>
      <c r="C769" t="s">
        <v>91</v>
      </c>
      <c r="D769" s="11" t="s">
        <v>55</v>
      </c>
      <c r="E769" s="11" t="s">
        <v>4047</v>
      </c>
      <c r="F769" s="1">
        <v>46245</v>
      </c>
      <c r="G769" s="1">
        <v>46249</v>
      </c>
      <c r="H769" s="11" t="s">
        <v>199</v>
      </c>
      <c r="I769" s="11" t="s">
        <v>200</v>
      </c>
    </row>
    <row r="770" spans="1:9" hidden="1" x14ac:dyDescent="0.25">
      <c r="A770" s="1">
        <v>46246</v>
      </c>
      <c r="B770">
        <v>1044393706</v>
      </c>
      <c r="C770" t="s">
        <v>908</v>
      </c>
      <c r="D770" s="11" t="s">
        <v>128</v>
      </c>
      <c r="E770" s="11" t="s">
        <v>4045</v>
      </c>
      <c r="F770" s="1">
        <v>46245</v>
      </c>
      <c r="G770" s="1">
        <v>46246</v>
      </c>
      <c r="H770" s="11"/>
      <c r="I770" s="11" t="s">
        <v>327</v>
      </c>
    </row>
    <row r="771" spans="1:9" hidden="1" x14ac:dyDescent="0.25">
      <c r="A771" s="1">
        <v>46246</v>
      </c>
      <c r="B771">
        <v>1037570349</v>
      </c>
      <c r="C771" t="s">
        <v>2818</v>
      </c>
      <c r="D771" s="11" t="s">
        <v>128</v>
      </c>
      <c r="E771" s="11" t="s">
        <v>4045</v>
      </c>
      <c r="F771" s="1">
        <v>46245</v>
      </c>
      <c r="G771" s="1">
        <v>46246</v>
      </c>
      <c r="H771" s="11"/>
      <c r="I771" s="11" t="s">
        <v>4060</v>
      </c>
    </row>
    <row r="772" spans="1:9" hidden="1" x14ac:dyDescent="0.25">
      <c r="A772" s="1">
        <v>46246</v>
      </c>
      <c r="B772">
        <v>1045718883</v>
      </c>
      <c r="C772" t="s">
        <v>34</v>
      </c>
      <c r="D772" s="11" t="s">
        <v>15</v>
      </c>
      <c r="E772" s="11" t="s">
        <v>4046</v>
      </c>
      <c r="F772" s="1">
        <v>46245</v>
      </c>
      <c r="G772" s="1">
        <v>46340</v>
      </c>
      <c r="H772" s="11" t="s">
        <v>150</v>
      </c>
      <c r="I772" s="11" t="s">
        <v>151</v>
      </c>
    </row>
    <row r="773" spans="1:9" hidden="1" x14ac:dyDescent="0.25">
      <c r="A773" s="1">
        <v>46246</v>
      </c>
      <c r="B773">
        <v>1035876080</v>
      </c>
      <c r="C773" t="s">
        <v>123</v>
      </c>
      <c r="D773" s="11" t="s">
        <v>124</v>
      </c>
      <c r="E773" s="11" t="s">
        <v>4045</v>
      </c>
      <c r="F773" s="1">
        <v>46246</v>
      </c>
      <c r="G773" s="1">
        <v>46254</v>
      </c>
      <c r="H773" s="11"/>
      <c r="I773" s="11" t="s">
        <v>327</v>
      </c>
    </row>
    <row r="774" spans="1:9" hidden="1" x14ac:dyDescent="0.25">
      <c r="A774" s="1">
        <v>46246</v>
      </c>
      <c r="B774">
        <v>1094971283</v>
      </c>
      <c r="C774" t="s">
        <v>3374</v>
      </c>
      <c r="D774" s="11" t="s">
        <v>256</v>
      </c>
      <c r="E774" s="11" t="s">
        <v>4040</v>
      </c>
      <c r="F774" s="1">
        <v>46245</v>
      </c>
      <c r="G774" s="1">
        <v>46247</v>
      </c>
      <c r="H774" s="11" t="s">
        <v>181</v>
      </c>
      <c r="I774" s="11" t="s">
        <v>182</v>
      </c>
    </row>
    <row r="775" spans="1:9" hidden="1" x14ac:dyDescent="0.25">
      <c r="A775" s="1">
        <v>46246</v>
      </c>
      <c r="B775">
        <v>1037644923</v>
      </c>
      <c r="C775" t="s">
        <v>2677</v>
      </c>
      <c r="D775" s="11" t="s">
        <v>492</v>
      </c>
      <c r="E775" s="11" t="s">
        <v>4045</v>
      </c>
      <c r="F775" s="1">
        <v>46247</v>
      </c>
      <c r="G775" s="1">
        <v>46247</v>
      </c>
      <c r="H775" s="11"/>
      <c r="I775" s="11" t="s">
        <v>4060</v>
      </c>
    </row>
    <row r="776" spans="1:9" hidden="1" x14ac:dyDescent="0.25">
      <c r="A776" s="1">
        <v>46246</v>
      </c>
      <c r="B776">
        <v>1098686151</v>
      </c>
      <c r="C776" t="s">
        <v>1882</v>
      </c>
      <c r="D776" s="11" t="s">
        <v>51</v>
      </c>
      <c r="E776" s="11" t="s">
        <v>4047</v>
      </c>
      <c r="F776" s="1">
        <v>46246</v>
      </c>
      <c r="G776" s="1">
        <v>46248</v>
      </c>
      <c r="H776" s="11"/>
      <c r="I776" s="11" t="s">
        <v>4060</v>
      </c>
    </row>
    <row r="777" spans="1:9" hidden="1" x14ac:dyDescent="0.25">
      <c r="A777" s="1">
        <v>46246</v>
      </c>
      <c r="B777">
        <v>1143267842</v>
      </c>
      <c r="C777" t="s">
        <v>1501</v>
      </c>
      <c r="D777" s="11" t="s">
        <v>128</v>
      </c>
      <c r="E777" s="11" t="s">
        <v>4045</v>
      </c>
      <c r="F777" s="1">
        <v>46246</v>
      </c>
      <c r="G777" s="1">
        <v>46248</v>
      </c>
      <c r="H777" s="11"/>
      <c r="I777" s="11" t="s">
        <v>4060</v>
      </c>
    </row>
    <row r="778" spans="1:9" hidden="1" x14ac:dyDescent="0.25">
      <c r="A778" s="1">
        <v>46246</v>
      </c>
      <c r="B778">
        <v>1152462704</v>
      </c>
      <c r="C778" t="s">
        <v>746</v>
      </c>
      <c r="D778" s="11" t="s">
        <v>132</v>
      </c>
      <c r="E778" s="11" t="s">
        <v>4040</v>
      </c>
      <c r="F778" s="1">
        <v>46246</v>
      </c>
      <c r="G778" s="1">
        <v>46248</v>
      </c>
      <c r="H778" s="11"/>
      <c r="I778" s="11" t="s">
        <v>4060</v>
      </c>
    </row>
    <row r="779" spans="1:9" hidden="1" x14ac:dyDescent="0.25">
      <c r="A779" s="1">
        <v>46246</v>
      </c>
      <c r="B779">
        <v>1082926383</v>
      </c>
      <c r="C779" t="s">
        <v>663</v>
      </c>
      <c r="D779" s="11" t="s">
        <v>132</v>
      </c>
      <c r="E779" s="11" t="s">
        <v>4040</v>
      </c>
      <c r="F779" s="1">
        <v>46246</v>
      </c>
      <c r="G779" s="1">
        <v>46248</v>
      </c>
      <c r="H779" s="11"/>
      <c r="I779" s="11" t="s">
        <v>327</v>
      </c>
    </row>
    <row r="780" spans="1:9" hidden="1" x14ac:dyDescent="0.25">
      <c r="A780" s="1">
        <v>46246</v>
      </c>
      <c r="B780">
        <v>59310511</v>
      </c>
      <c r="C780" t="s">
        <v>1323</v>
      </c>
      <c r="D780" s="11" t="s">
        <v>64</v>
      </c>
      <c r="E780" s="11" t="s">
        <v>4046</v>
      </c>
      <c r="F780" s="1">
        <v>46246</v>
      </c>
      <c r="G780" s="1">
        <v>46246</v>
      </c>
      <c r="H780" s="11"/>
      <c r="I780" s="11" t="s">
        <v>4060</v>
      </c>
    </row>
    <row r="781" spans="1:9" hidden="1" x14ac:dyDescent="0.25">
      <c r="A781" s="1">
        <v>46246</v>
      </c>
      <c r="B781">
        <v>1000532653</v>
      </c>
      <c r="C781" t="s">
        <v>1187</v>
      </c>
      <c r="D781" s="11" t="s">
        <v>132</v>
      </c>
      <c r="E781" s="11" t="s">
        <v>4040</v>
      </c>
      <c r="F781" s="1">
        <v>46246</v>
      </c>
      <c r="G781" s="1">
        <v>46246</v>
      </c>
      <c r="H781" s="11" t="s">
        <v>73</v>
      </c>
      <c r="I781" s="11" t="s">
        <v>74</v>
      </c>
    </row>
    <row r="782" spans="1:9" hidden="1" x14ac:dyDescent="0.25">
      <c r="A782" s="1">
        <v>46246</v>
      </c>
      <c r="B782">
        <v>43986125</v>
      </c>
      <c r="C782" t="s">
        <v>1299</v>
      </c>
      <c r="D782" s="11" t="s">
        <v>55</v>
      </c>
      <c r="E782" s="11" t="s">
        <v>4047</v>
      </c>
      <c r="F782" s="1">
        <v>46246</v>
      </c>
      <c r="G782" s="1">
        <v>46248</v>
      </c>
      <c r="H782" s="11"/>
      <c r="I782" s="11" t="s">
        <v>4060</v>
      </c>
    </row>
    <row r="783" spans="1:9" hidden="1" x14ac:dyDescent="0.25">
      <c r="A783" s="1">
        <v>46246</v>
      </c>
      <c r="B783">
        <v>1040755197</v>
      </c>
      <c r="C783" t="s">
        <v>171</v>
      </c>
      <c r="D783" s="11" t="s">
        <v>102</v>
      </c>
      <c r="E783" s="11" t="s">
        <v>4046</v>
      </c>
      <c r="F783" s="1">
        <v>46246</v>
      </c>
      <c r="G783" s="1">
        <v>46246</v>
      </c>
      <c r="H783" s="11"/>
      <c r="I783" s="11" t="s">
        <v>4060</v>
      </c>
    </row>
    <row r="784" spans="1:9" hidden="1" x14ac:dyDescent="0.25">
      <c r="A784" s="1">
        <v>46246</v>
      </c>
      <c r="B784">
        <v>1001140238</v>
      </c>
      <c r="C784" t="s">
        <v>74</v>
      </c>
      <c r="D784" s="11" t="s">
        <v>132</v>
      </c>
      <c r="E784" s="11" t="s">
        <v>4040</v>
      </c>
      <c r="F784" s="1">
        <v>46246</v>
      </c>
      <c r="G784" s="1">
        <v>46246</v>
      </c>
      <c r="H784" s="11"/>
      <c r="I784" s="11" t="s">
        <v>339</v>
      </c>
    </row>
    <row r="785" spans="1:9" hidden="1" x14ac:dyDescent="0.25">
      <c r="A785" s="1">
        <v>46247</v>
      </c>
      <c r="B785">
        <v>1098686151</v>
      </c>
      <c r="C785" t="s">
        <v>1882</v>
      </c>
      <c r="D785" s="11" t="s">
        <v>51</v>
      </c>
      <c r="E785" s="11" t="s">
        <v>4047</v>
      </c>
      <c r="F785" s="1">
        <v>46246</v>
      </c>
      <c r="G785" s="1">
        <v>46248</v>
      </c>
      <c r="H785" s="11"/>
      <c r="I785" s="11" t="s">
        <v>4060</v>
      </c>
    </row>
    <row r="786" spans="1:9" hidden="1" x14ac:dyDescent="0.25">
      <c r="A786" s="1">
        <v>46247</v>
      </c>
      <c r="B786">
        <v>1094971283</v>
      </c>
      <c r="C786" t="s">
        <v>3374</v>
      </c>
      <c r="D786" s="11" t="s">
        <v>256</v>
      </c>
      <c r="E786" s="11" t="s">
        <v>4040</v>
      </c>
      <c r="F786" s="1">
        <v>46245</v>
      </c>
      <c r="G786" s="1">
        <v>46247</v>
      </c>
      <c r="H786" s="11"/>
      <c r="I786" s="11" t="s">
        <v>327</v>
      </c>
    </row>
    <row r="787" spans="1:9" hidden="1" x14ac:dyDescent="0.25">
      <c r="A787" s="1">
        <v>46247</v>
      </c>
      <c r="B787">
        <v>1037644923</v>
      </c>
      <c r="C787" t="s">
        <v>2677</v>
      </c>
      <c r="D787" s="11" t="s">
        <v>492</v>
      </c>
      <c r="E787" s="11" t="s">
        <v>4045</v>
      </c>
      <c r="F787" s="1">
        <v>46247</v>
      </c>
      <c r="G787" s="1">
        <v>46247</v>
      </c>
      <c r="H787" s="11"/>
      <c r="I787" s="11" t="s">
        <v>4060</v>
      </c>
    </row>
    <row r="788" spans="1:9" hidden="1" x14ac:dyDescent="0.25">
      <c r="A788" s="1">
        <v>46247</v>
      </c>
      <c r="B788">
        <v>1044393706</v>
      </c>
      <c r="C788" t="s">
        <v>908</v>
      </c>
      <c r="D788" s="11" t="s">
        <v>128</v>
      </c>
      <c r="E788" s="11" t="s">
        <v>4045</v>
      </c>
      <c r="F788" s="1">
        <v>46245</v>
      </c>
      <c r="G788" s="1">
        <v>46246</v>
      </c>
      <c r="H788" s="11"/>
      <c r="I788" s="11" t="s">
        <v>4041</v>
      </c>
    </row>
    <row r="789" spans="1:9" hidden="1" x14ac:dyDescent="0.25">
      <c r="A789" s="1">
        <v>46247</v>
      </c>
      <c r="B789">
        <v>1037570349</v>
      </c>
      <c r="C789" t="s">
        <v>2818</v>
      </c>
      <c r="D789" s="11" t="s">
        <v>128</v>
      </c>
      <c r="E789" s="11" t="s">
        <v>4045</v>
      </c>
      <c r="F789" s="1">
        <v>46245</v>
      </c>
      <c r="G789" s="1">
        <v>46246</v>
      </c>
      <c r="H789" s="11"/>
      <c r="I789" s="11" t="s">
        <v>4041</v>
      </c>
    </row>
    <row r="790" spans="1:9" hidden="1" x14ac:dyDescent="0.25">
      <c r="A790" s="1">
        <v>46247</v>
      </c>
      <c r="B790">
        <v>1035876080</v>
      </c>
      <c r="C790" t="s">
        <v>123</v>
      </c>
      <c r="D790" s="11" t="s">
        <v>124</v>
      </c>
      <c r="E790" s="11" t="s">
        <v>4045</v>
      </c>
      <c r="F790" s="1">
        <v>46246</v>
      </c>
      <c r="G790" s="1">
        <v>46254</v>
      </c>
      <c r="H790" s="11" t="s">
        <v>150</v>
      </c>
      <c r="I790" s="11" t="s">
        <v>151</v>
      </c>
    </row>
    <row r="791" spans="1:9" hidden="1" x14ac:dyDescent="0.25">
      <c r="A791" s="1">
        <v>46247</v>
      </c>
      <c r="B791">
        <v>1085265026</v>
      </c>
      <c r="C791" t="s">
        <v>91</v>
      </c>
      <c r="D791" s="11" t="s">
        <v>55</v>
      </c>
      <c r="E791" s="11" t="s">
        <v>4047</v>
      </c>
      <c r="F791" s="1">
        <v>46245</v>
      </c>
      <c r="G791" s="1">
        <v>46249</v>
      </c>
      <c r="H791" s="11"/>
      <c r="I791" s="11" t="s">
        <v>327</v>
      </c>
    </row>
    <row r="792" spans="1:9" hidden="1" x14ac:dyDescent="0.25">
      <c r="A792" s="1">
        <v>46247</v>
      </c>
      <c r="B792">
        <v>1000416307</v>
      </c>
      <c r="C792" t="s">
        <v>3062</v>
      </c>
      <c r="D792" s="11" t="s">
        <v>132</v>
      </c>
      <c r="E792" s="11" t="s">
        <v>4040</v>
      </c>
      <c r="F792" s="1">
        <v>46245</v>
      </c>
      <c r="G792" s="1">
        <v>46246</v>
      </c>
      <c r="H792" s="11"/>
      <c r="I792" s="11" t="s">
        <v>4041</v>
      </c>
    </row>
    <row r="793" spans="1:9" hidden="1" x14ac:dyDescent="0.25">
      <c r="A793" s="1">
        <v>46247</v>
      </c>
      <c r="B793">
        <v>1047503032</v>
      </c>
      <c r="C793" t="s">
        <v>3019</v>
      </c>
      <c r="D793" s="11" t="s">
        <v>162</v>
      </c>
      <c r="E793" s="11" t="s">
        <v>4056</v>
      </c>
      <c r="F793" s="1">
        <v>46245</v>
      </c>
      <c r="G793" s="1">
        <v>46246</v>
      </c>
      <c r="H793" s="11"/>
      <c r="I793" s="11" t="s">
        <v>4041</v>
      </c>
    </row>
    <row r="794" spans="1:9" hidden="1" x14ac:dyDescent="0.25">
      <c r="A794" s="1">
        <v>46247</v>
      </c>
      <c r="B794">
        <v>1007111078</v>
      </c>
      <c r="C794" t="s">
        <v>3672</v>
      </c>
      <c r="D794" s="11" t="s">
        <v>4175</v>
      </c>
      <c r="E794" s="11" t="s">
        <v>4056</v>
      </c>
      <c r="F794" s="1">
        <v>46247</v>
      </c>
      <c r="G794" s="1">
        <v>46247</v>
      </c>
      <c r="H794" s="11" t="s">
        <v>285</v>
      </c>
      <c r="I794" s="11" t="s">
        <v>286</v>
      </c>
    </row>
    <row r="795" spans="1:9" hidden="1" x14ac:dyDescent="0.25">
      <c r="A795" s="1">
        <v>46247</v>
      </c>
      <c r="B795">
        <v>1020470720</v>
      </c>
      <c r="C795" t="s">
        <v>620</v>
      </c>
      <c r="D795" s="11" t="s">
        <v>619</v>
      </c>
      <c r="E795" s="11" t="s">
        <v>4045</v>
      </c>
      <c r="F795" s="1">
        <v>46245</v>
      </c>
      <c r="G795" s="1">
        <v>46246</v>
      </c>
      <c r="H795" s="11"/>
      <c r="I795" s="11" t="s">
        <v>4041</v>
      </c>
    </row>
    <row r="796" spans="1:9" hidden="1" x14ac:dyDescent="0.25">
      <c r="A796" s="1">
        <v>46247</v>
      </c>
      <c r="B796">
        <v>1057608489</v>
      </c>
      <c r="C796" t="s">
        <v>3080</v>
      </c>
      <c r="D796" s="11" t="s">
        <v>132</v>
      </c>
      <c r="E796" s="11" t="s">
        <v>4040</v>
      </c>
      <c r="F796" s="1">
        <v>46245</v>
      </c>
      <c r="G796" s="1">
        <v>46246</v>
      </c>
      <c r="H796" s="11"/>
      <c r="I796" s="11" t="s">
        <v>4041</v>
      </c>
    </row>
    <row r="797" spans="1:9" hidden="1" x14ac:dyDescent="0.25">
      <c r="A797" s="1">
        <v>46247</v>
      </c>
      <c r="B797">
        <v>43271257</v>
      </c>
      <c r="C797" t="s">
        <v>1302</v>
      </c>
      <c r="D797" s="11" t="s">
        <v>15</v>
      </c>
      <c r="E797" s="11" t="s">
        <v>4046</v>
      </c>
      <c r="F797" s="1">
        <v>46245</v>
      </c>
      <c r="G797" s="1">
        <v>46246</v>
      </c>
      <c r="H797" s="11"/>
      <c r="I797" s="11" t="s">
        <v>4041</v>
      </c>
    </row>
    <row r="798" spans="1:9" hidden="1" x14ac:dyDescent="0.25">
      <c r="A798" s="1">
        <v>46247</v>
      </c>
      <c r="B798">
        <v>1193584838</v>
      </c>
      <c r="C798" t="s">
        <v>3000</v>
      </c>
      <c r="D798" s="11" t="s">
        <v>59</v>
      </c>
      <c r="E798" s="11" t="s">
        <v>4047</v>
      </c>
      <c r="F798" s="1">
        <v>46245</v>
      </c>
      <c r="G798" s="1">
        <v>46247</v>
      </c>
      <c r="H798" s="11"/>
      <c r="I798" s="11" t="s">
        <v>327</v>
      </c>
    </row>
    <row r="799" spans="1:9" hidden="1" x14ac:dyDescent="0.25">
      <c r="A799" s="1">
        <v>46247</v>
      </c>
      <c r="B799">
        <v>1140876076</v>
      </c>
      <c r="C799" t="s">
        <v>1326</v>
      </c>
      <c r="D799" s="11" t="s">
        <v>15</v>
      </c>
      <c r="E799" s="11" t="s">
        <v>4046</v>
      </c>
      <c r="F799" s="1">
        <v>46245</v>
      </c>
      <c r="G799" s="1">
        <v>46246</v>
      </c>
      <c r="H799" s="11"/>
      <c r="I799" s="11" t="s">
        <v>4041</v>
      </c>
    </row>
    <row r="800" spans="1:9" hidden="1" x14ac:dyDescent="0.25">
      <c r="A800" s="1">
        <v>46247</v>
      </c>
      <c r="B800">
        <v>1143360194</v>
      </c>
      <c r="C800" t="s">
        <v>3508</v>
      </c>
      <c r="D800" s="11" t="s">
        <v>64</v>
      </c>
      <c r="E800" s="11" t="s">
        <v>4046</v>
      </c>
      <c r="F800" s="1">
        <v>46245</v>
      </c>
      <c r="G800" s="1">
        <v>46246</v>
      </c>
      <c r="H800" s="11"/>
      <c r="I800" s="11" t="s">
        <v>4041</v>
      </c>
    </row>
    <row r="801" spans="1:9" hidden="1" x14ac:dyDescent="0.25">
      <c r="A801" s="1">
        <v>46247</v>
      </c>
      <c r="B801">
        <v>1017209928</v>
      </c>
      <c r="C801" t="s">
        <v>1205</v>
      </c>
      <c r="D801" s="11" t="s">
        <v>256</v>
      </c>
      <c r="E801" s="11" t="s">
        <v>4040</v>
      </c>
      <c r="F801" s="1">
        <v>46245</v>
      </c>
      <c r="G801" s="1">
        <v>46246</v>
      </c>
      <c r="H801" s="11"/>
      <c r="I801" s="11" t="s">
        <v>4041</v>
      </c>
    </row>
    <row r="802" spans="1:9" hidden="1" x14ac:dyDescent="0.25">
      <c r="A802" s="1">
        <v>46247</v>
      </c>
      <c r="B802">
        <v>1077462479</v>
      </c>
      <c r="C802" t="s">
        <v>4027</v>
      </c>
      <c r="D802" s="11" t="s">
        <v>59</v>
      </c>
      <c r="E802" s="11" t="s">
        <v>4047</v>
      </c>
      <c r="F802" s="1">
        <v>46245</v>
      </c>
      <c r="G802" s="1">
        <v>46247</v>
      </c>
      <c r="H802" s="11" t="s">
        <v>45</v>
      </c>
      <c r="I802" s="11" t="s">
        <v>46</v>
      </c>
    </row>
    <row r="803" spans="1:9" hidden="1" x14ac:dyDescent="0.25">
      <c r="A803" s="1">
        <v>46247</v>
      </c>
      <c r="B803">
        <v>1000408752</v>
      </c>
      <c r="C803" t="s">
        <v>3636</v>
      </c>
      <c r="D803" s="11" t="s">
        <v>55</v>
      </c>
      <c r="E803" s="11" t="s">
        <v>4047</v>
      </c>
      <c r="F803" s="1">
        <v>46244</v>
      </c>
      <c r="G803" s="1">
        <v>46246</v>
      </c>
      <c r="H803" s="11"/>
      <c r="I803" s="11" t="s">
        <v>4041</v>
      </c>
    </row>
    <row r="804" spans="1:9" hidden="1" x14ac:dyDescent="0.25">
      <c r="A804" s="1">
        <v>46247</v>
      </c>
      <c r="B804">
        <v>1014237413</v>
      </c>
      <c r="C804" t="s">
        <v>845</v>
      </c>
      <c r="D804" s="11" t="s">
        <v>492</v>
      </c>
      <c r="E804" s="11" t="s">
        <v>4045</v>
      </c>
      <c r="F804" s="1">
        <v>46244</v>
      </c>
      <c r="G804" s="1">
        <v>46246</v>
      </c>
      <c r="H804" s="11"/>
      <c r="I804" s="11" t="s">
        <v>4041</v>
      </c>
    </row>
    <row r="805" spans="1:9" hidden="1" x14ac:dyDescent="0.25">
      <c r="A805" s="1">
        <v>46247</v>
      </c>
      <c r="B805">
        <v>1000921455</v>
      </c>
      <c r="C805" t="s">
        <v>14</v>
      </c>
      <c r="D805" s="11" t="s">
        <v>15</v>
      </c>
      <c r="E805" s="11" t="s">
        <v>4046</v>
      </c>
      <c r="F805" s="1">
        <v>46242</v>
      </c>
      <c r="G805" s="1">
        <v>46246</v>
      </c>
      <c r="H805" s="11"/>
      <c r="I805" s="11" t="s">
        <v>4041</v>
      </c>
    </row>
    <row r="806" spans="1:9" hidden="1" x14ac:dyDescent="0.25">
      <c r="A806" s="1">
        <v>46247</v>
      </c>
      <c r="B806">
        <v>1143374438</v>
      </c>
      <c r="C806" t="s">
        <v>154</v>
      </c>
      <c r="D806" s="11" t="s">
        <v>28</v>
      </c>
      <c r="E806" s="11" t="s">
        <v>4046</v>
      </c>
      <c r="F806" s="1">
        <v>46239</v>
      </c>
      <c r="G806" s="1">
        <v>46268</v>
      </c>
      <c r="H806" s="11"/>
      <c r="I806" s="11" t="s">
        <v>327</v>
      </c>
    </row>
    <row r="807" spans="1:9" hidden="1" x14ac:dyDescent="0.25">
      <c r="A807" s="1">
        <v>46247</v>
      </c>
      <c r="B807">
        <v>1015483595</v>
      </c>
      <c r="C807" t="s">
        <v>23</v>
      </c>
      <c r="D807" s="11" t="s">
        <v>15</v>
      </c>
      <c r="E807" s="11" t="s">
        <v>4046</v>
      </c>
      <c r="F807" s="1">
        <v>46244</v>
      </c>
      <c r="G807" s="1">
        <v>46265</v>
      </c>
      <c r="H807" s="11" t="s">
        <v>222</v>
      </c>
      <c r="I807" s="11" t="s">
        <v>223</v>
      </c>
    </row>
    <row r="808" spans="1:9" hidden="1" x14ac:dyDescent="0.25">
      <c r="A808" s="1">
        <v>46247</v>
      </c>
      <c r="B808">
        <v>1001851670</v>
      </c>
      <c r="C808" t="s">
        <v>50</v>
      </c>
      <c r="D808" s="11" t="s">
        <v>51</v>
      </c>
      <c r="E808" s="11" t="s">
        <v>4047</v>
      </c>
      <c r="F808" s="1">
        <v>46241</v>
      </c>
      <c r="G808" s="1">
        <v>46366</v>
      </c>
      <c r="H808" s="11" t="s">
        <v>309</v>
      </c>
      <c r="I808" s="11" t="s">
        <v>310</v>
      </c>
    </row>
    <row r="809" spans="1:9" hidden="1" x14ac:dyDescent="0.25">
      <c r="A809" s="1">
        <v>46247</v>
      </c>
      <c r="B809">
        <v>42141273</v>
      </c>
      <c r="C809" t="s">
        <v>271</v>
      </c>
      <c r="D809" s="11" t="s">
        <v>272</v>
      </c>
      <c r="E809" s="11" t="s">
        <v>4056</v>
      </c>
      <c r="F809" s="1">
        <v>46232</v>
      </c>
      <c r="G809" s="1">
        <v>46261</v>
      </c>
      <c r="H809" s="11" t="s">
        <v>184</v>
      </c>
      <c r="I809" s="11" t="s">
        <v>185</v>
      </c>
    </row>
    <row r="810" spans="1:9" hidden="1" x14ac:dyDescent="0.25">
      <c r="A810" s="1">
        <v>46247</v>
      </c>
      <c r="B810">
        <v>1010246557</v>
      </c>
      <c r="C810" t="s">
        <v>3461</v>
      </c>
      <c r="D810" s="11" t="s">
        <v>256</v>
      </c>
      <c r="E810" s="11" t="s">
        <v>4040</v>
      </c>
      <c r="F810" s="1">
        <v>46247</v>
      </c>
      <c r="G810" s="1">
        <v>46247</v>
      </c>
      <c r="H810" s="11" t="s">
        <v>116</v>
      </c>
      <c r="I810" s="11" t="s">
        <v>117</v>
      </c>
    </row>
    <row r="811" spans="1:9" hidden="1" x14ac:dyDescent="0.25">
      <c r="A811" s="1">
        <v>46247</v>
      </c>
      <c r="B811">
        <v>1001137222</v>
      </c>
      <c r="C811" t="s">
        <v>2908</v>
      </c>
      <c r="D811" s="11" t="s">
        <v>102</v>
      </c>
      <c r="E811" s="11" t="s">
        <v>4046</v>
      </c>
      <c r="F811" s="1">
        <v>46246</v>
      </c>
      <c r="G811" s="1">
        <v>46246</v>
      </c>
      <c r="H811" s="11"/>
      <c r="I811" s="11" t="s">
        <v>4041</v>
      </c>
    </row>
    <row r="812" spans="1:9" hidden="1" x14ac:dyDescent="0.25">
      <c r="A812" s="1">
        <v>46247</v>
      </c>
      <c r="B812">
        <v>1152221372</v>
      </c>
      <c r="C812" t="s">
        <v>2363</v>
      </c>
      <c r="D812" s="11" t="s">
        <v>139</v>
      </c>
      <c r="E812" s="11" t="s">
        <v>4040</v>
      </c>
      <c r="F812" s="1">
        <v>46230</v>
      </c>
      <c r="G812" s="1">
        <v>46230</v>
      </c>
      <c r="H812" s="11"/>
      <c r="I812" s="11" t="s">
        <v>327</v>
      </c>
    </row>
    <row r="813" spans="1:9" hidden="1" x14ac:dyDescent="0.25">
      <c r="A813" s="1">
        <v>46247</v>
      </c>
      <c r="B813">
        <v>1094275204</v>
      </c>
      <c r="C813" t="s">
        <v>1879</v>
      </c>
      <c r="D813" s="11" t="s">
        <v>272</v>
      </c>
      <c r="E813" s="11" t="s">
        <v>4056</v>
      </c>
      <c r="F813" s="1">
        <v>46246</v>
      </c>
      <c r="G813" s="1">
        <v>46246</v>
      </c>
      <c r="H813" s="11"/>
      <c r="I813" s="11" t="s">
        <v>4041</v>
      </c>
    </row>
    <row r="814" spans="1:9" hidden="1" x14ac:dyDescent="0.25">
      <c r="A814" s="1">
        <v>46247</v>
      </c>
      <c r="B814">
        <v>1004960056</v>
      </c>
      <c r="C814" t="s">
        <v>644</v>
      </c>
      <c r="D814" s="11" t="s">
        <v>634</v>
      </c>
      <c r="E814" s="11" t="s">
        <v>4045</v>
      </c>
      <c r="F814" s="1">
        <v>46246</v>
      </c>
      <c r="G814" s="1">
        <v>46247</v>
      </c>
      <c r="H814" s="11" t="s">
        <v>199</v>
      </c>
      <c r="I814" s="11" t="s">
        <v>200</v>
      </c>
    </row>
    <row r="815" spans="1:9" hidden="1" x14ac:dyDescent="0.25">
      <c r="A815" s="1">
        <v>46247</v>
      </c>
      <c r="B815">
        <v>1017264032</v>
      </c>
      <c r="C815" t="s">
        <v>54</v>
      </c>
      <c r="D815" s="11" t="s">
        <v>55</v>
      </c>
      <c r="E815" s="11" t="s">
        <v>4047</v>
      </c>
      <c r="F815" s="1">
        <v>46229</v>
      </c>
      <c r="G815" s="1">
        <v>46258</v>
      </c>
      <c r="H815" s="11"/>
      <c r="I815" s="11" t="s">
        <v>327</v>
      </c>
    </row>
    <row r="816" spans="1:9" hidden="1" x14ac:dyDescent="0.25">
      <c r="A816" s="1">
        <v>46247</v>
      </c>
      <c r="B816">
        <v>1000640883</v>
      </c>
      <c r="C816" t="s">
        <v>3269</v>
      </c>
      <c r="D816" s="11" t="s">
        <v>55</v>
      </c>
      <c r="E816" s="11" t="s">
        <v>4047</v>
      </c>
      <c r="F816" s="1">
        <v>46247</v>
      </c>
      <c r="H816" s="11"/>
      <c r="I816" s="11" t="s">
        <v>4084</v>
      </c>
    </row>
    <row r="817" spans="1:9" hidden="1" x14ac:dyDescent="0.25">
      <c r="A817" s="1">
        <v>46247</v>
      </c>
      <c r="B817">
        <v>1071169507</v>
      </c>
      <c r="C817" t="s">
        <v>161</v>
      </c>
      <c r="D817" s="11" t="s">
        <v>162</v>
      </c>
      <c r="E817" s="11" t="s">
        <v>4056</v>
      </c>
      <c r="F817" s="1">
        <v>46242</v>
      </c>
      <c r="G817" s="1">
        <v>46247</v>
      </c>
      <c r="H817" s="11" t="s">
        <v>267</v>
      </c>
      <c r="I817" s="11" t="s">
        <v>268</v>
      </c>
    </row>
    <row r="818" spans="1:9" hidden="1" x14ac:dyDescent="0.25">
      <c r="A818" s="1">
        <v>46247</v>
      </c>
      <c r="B818">
        <v>1036132488</v>
      </c>
      <c r="C818" t="s">
        <v>89</v>
      </c>
      <c r="D818" s="11" t="s">
        <v>59</v>
      </c>
      <c r="E818" s="11" t="s">
        <v>4047</v>
      </c>
      <c r="F818" s="1">
        <v>46227</v>
      </c>
      <c r="G818" s="1">
        <v>46246</v>
      </c>
      <c r="H818" s="11"/>
      <c r="I818" s="11" t="s">
        <v>4041</v>
      </c>
    </row>
    <row r="819" spans="1:9" hidden="1" x14ac:dyDescent="0.25">
      <c r="A819" s="1">
        <v>46247</v>
      </c>
      <c r="B819">
        <v>1037631989</v>
      </c>
      <c r="C819" t="s">
        <v>27</v>
      </c>
      <c r="D819" s="11" t="s">
        <v>28</v>
      </c>
      <c r="E819" s="11" t="s">
        <v>4046</v>
      </c>
      <c r="F819" s="1">
        <v>46226</v>
      </c>
      <c r="G819" s="1">
        <v>46255</v>
      </c>
      <c r="H819" s="11"/>
      <c r="I819" s="11" t="s">
        <v>327</v>
      </c>
    </row>
    <row r="820" spans="1:9" hidden="1" x14ac:dyDescent="0.25">
      <c r="A820" s="1">
        <v>46247</v>
      </c>
      <c r="B820">
        <v>1143414481</v>
      </c>
      <c r="C820" t="s">
        <v>2447</v>
      </c>
      <c r="D820" s="11" t="s">
        <v>28</v>
      </c>
      <c r="E820" s="11" t="s">
        <v>4046</v>
      </c>
      <c r="F820" s="1">
        <v>46247</v>
      </c>
      <c r="G820" s="1">
        <v>46252</v>
      </c>
      <c r="H820" s="11" t="s">
        <v>73</v>
      </c>
      <c r="I820" s="11" t="s">
        <v>74</v>
      </c>
    </row>
    <row r="821" spans="1:9" hidden="1" x14ac:dyDescent="0.25">
      <c r="A821" s="1">
        <v>46247</v>
      </c>
      <c r="B821">
        <v>1043006106</v>
      </c>
      <c r="C821" t="s">
        <v>202</v>
      </c>
      <c r="D821" s="11" t="s">
        <v>64</v>
      </c>
      <c r="E821" s="11" t="s">
        <v>4046</v>
      </c>
      <c r="F821" s="1">
        <v>46219</v>
      </c>
      <c r="G821" s="1">
        <v>46248</v>
      </c>
      <c r="H821" s="11" t="s">
        <v>231</v>
      </c>
      <c r="I821" s="11" t="s">
        <v>232</v>
      </c>
    </row>
    <row r="822" spans="1:9" hidden="1" x14ac:dyDescent="0.25">
      <c r="A822" s="1">
        <v>46247</v>
      </c>
      <c r="B822">
        <v>1037638426</v>
      </c>
      <c r="C822" t="s">
        <v>31</v>
      </c>
      <c r="D822" s="11" t="s">
        <v>28</v>
      </c>
      <c r="E822" s="11" t="s">
        <v>4046</v>
      </c>
      <c r="F822" s="1">
        <v>46230</v>
      </c>
      <c r="G822" s="1">
        <v>46262</v>
      </c>
      <c r="H822" s="11" t="s">
        <v>300</v>
      </c>
      <c r="I822" s="11" t="s">
        <v>301</v>
      </c>
    </row>
    <row r="823" spans="1:9" hidden="1" x14ac:dyDescent="0.25">
      <c r="A823" s="1">
        <v>46247</v>
      </c>
      <c r="B823">
        <v>1121506548</v>
      </c>
      <c r="C823" t="s">
        <v>38</v>
      </c>
      <c r="D823" s="11" t="s">
        <v>39</v>
      </c>
      <c r="E823" s="11" t="s">
        <v>4046</v>
      </c>
      <c r="F823" s="1">
        <v>46217</v>
      </c>
      <c r="G823" s="1">
        <v>46342</v>
      </c>
      <c r="H823" s="11"/>
      <c r="I823" s="11" t="s">
        <v>327</v>
      </c>
    </row>
    <row r="824" spans="1:9" hidden="1" x14ac:dyDescent="0.25">
      <c r="A824" s="1">
        <v>46247</v>
      </c>
      <c r="B824">
        <v>1037630071</v>
      </c>
      <c r="C824" t="s">
        <v>3579</v>
      </c>
      <c r="D824" s="11" t="s">
        <v>176</v>
      </c>
      <c r="E824" s="11" t="s">
        <v>4040</v>
      </c>
      <c r="F824" s="1">
        <v>46247</v>
      </c>
      <c r="G824" s="1">
        <v>46265</v>
      </c>
      <c r="H824" s="11" t="s">
        <v>85</v>
      </c>
      <c r="I824" s="11" t="s">
        <v>86</v>
      </c>
    </row>
    <row r="825" spans="1:9" hidden="1" x14ac:dyDescent="0.25">
      <c r="A825" s="1">
        <v>46247</v>
      </c>
      <c r="B825">
        <v>1143460426</v>
      </c>
      <c r="C825" t="s">
        <v>4069</v>
      </c>
      <c r="D825" s="11" t="s">
        <v>64</v>
      </c>
      <c r="E825" s="11" t="s">
        <v>4046</v>
      </c>
      <c r="F825" s="1">
        <v>46195</v>
      </c>
      <c r="G825" s="1">
        <v>46198</v>
      </c>
      <c r="H825" s="11" t="s">
        <v>236</v>
      </c>
      <c r="I825" s="11" t="s">
        <v>237</v>
      </c>
    </row>
    <row r="826" spans="1:9" hidden="1" x14ac:dyDescent="0.25">
      <c r="A826" s="1">
        <v>46247</v>
      </c>
      <c r="B826">
        <v>1001897056</v>
      </c>
      <c r="C826" t="s">
        <v>334</v>
      </c>
      <c r="D826" s="11" t="s">
        <v>139</v>
      </c>
      <c r="E826" s="11" t="s">
        <v>4040</v>
      </c>
      <c r="F826" s="1">
        <v>46245</v>
      </c>
      <c r="G826" s="1">
        <v>46249</v>
      </c>
      <c r="H826" s="11"/>
      <c r="I826" s="11" t="s">
        <v>327</v>
      </c>
    </row>
    <row r="827" spans="1:9" hidden="1" x14ac:dyDescent="0.25">
      <c r="A827" s="1">
        <v>46247</v>
      </c>
      <c r="B827">
        <v>1098777544</v>
      </c>
      <c r="C827" t="s">
        <v>131</v>
      </c>
      <c r="D827" s="11" t="s">
        <v>132</v>
      </c>
      <c r="E827" s="11" t="s">
        <v>4040</v>
      </c>
      <c r="F827" s="1">
        <v>46217</v>
      </c>
      <c r="G827" s="1">
        <v>46246</v>
      </c>
      <c r="H827" s="11"/>
      <c r="I827" s="11" t="s">
        <v>4041</v>
      </c>
    </row>
    <row r="828" spans="1:9" hidden="1" x14ac:dyDescent="0.25">
      <c r="A828" s="1">
        <v>46247</v>
      </c>
      <c r="B828">
        <v>1152462704</v>
      </c>
      <c r="C828" t="s">
        <v>746</v>
      </c>
      <c r="D828" s="11" t="s">
        <v>132</v>
      </c>
      <c r="E828" s="11" t="s">
        <v>4040</v>
      </c>
      <c r="F828" s="1">
        <v>46246</v>
      </c>
      <c r="G828" s="1">
        <v>46248</v>
      </c>
      <c r="H828" s="11"/>
      <c r="I828" s="11" t="s">
        <v>4060</v>
      </c>
    </row>
    <row r="829" spans="1:9" hidden="1" x14ac:dyDescent="0.25">
      <c r="A829" s="1">
        <v>46247</v>
      </c>
      <c r="B829">
        <v>1082926383</v>
      </c>
      <c r="C829" t="s">
        <v>663</v>
      </c>
      <c r="D829" s="11" t="s">
        <v>132</v>
      </c>
      <c r="E829" s="11" t="s">
        <v>4040</v>
      </c>
      <c r="F829" s="1">
        <v>46246</v>
      </c>
      <c r="G829" s="1">
        <v>46248</v>
      </c>
      <c r="H829" s="11"/>
      <c r="I829" s="11" t="s">
        <v>327</v>
      </c>
    </row>
    <row r="830" spans="1:9" hidden="1" x14ac:dyDescent="0.25">
      <c r="A830" s="1">
        <v>46247</v>
      </c>
      <c r="B830">
        <v>1000662062</v>
      </c>
      <c r="C830" t="s">
        <v>330</v>
      </c>
      <c r="D830" s="11" t="s">
        <v>55</v>
      </c>
      <c r="E830" s="11" t="s">
        <v>4047</v>
      </c>
      <c r="F830" s="1">
        <v>46245</v>
      </c>
      <c r="G830" s="1">
        <v>46249</v>
      </c>
      <c r="H830" s="11"/>
      <c r="I830" s="11" t="s">
        <v>327</v>
      </c>
    </row>
    <row r="831" spans="1:9" hidden="1" x14ac:dyDescent="0.25">
      <c r="A831" s="1">
        <v>46247</v>
      </c>
      <c r="B831">
        <v>43558465</v>
      </c>
      <c r="C831" t="s">
        <v>71</v>
      </c>
      <c r="D831" s="11" t="s">
        <v>55</v>
      </c>
      <c r="E831" s="11" t="s">
        <v>4047</v>
      </c>
      <c r="F831" s="1">
        <v>46226</v>
      </c>
      <c r="G831" s="1">
        <v>46246</v>
      </c>
      <c r="H831" s="11"/>
      <c r="I831" s="11" t="s">
        <v>4041</v>
      </c>
    </row>
    <row r="832" spans="1:9" hidden="1" x14ac:dyDescent="0.25">
      <c r="A832" s="1">
        <v>46247</v>
      </c>
      <c r="B832">
        <v>1082896324</v>
      </c>
      <c r="C832" t="s">
        <v>127</v>
      </c>
      <c r="D832" s="11" t="s">
        <v>128</v>
      </c>
      <c r="E832" s="11" t="s">
        <v>4045</v>
      </c>
      <c r="F832" s="1">
        <v>46242</v>
      </c>
      <c r="G832" s="1">
        <v>46272</v>
      </c>
      <c r="H832" s="11" t="s">
        <v>213</v>
      </c>
      <c r="I832" s="11" t="s">
        <v>214</v>
      </c>
    </row>
    <row r="833" spans="1:9" hidden="1" x14ac:dyDescent="0.25">
      <c r="A833" s="1">
        <v>46247</v>
      </c>
      <c r="B833">
        <v>1143267842</v>
      </c>
      <c r="C833" t="s">
        <v>1501</v>
      </c>
      <c r="D833" s="11" t="s">
        <v>128</v>
      </c>
      <c r="E833" s="11" t="s">
        <v>4045</v>
      </c>
      <c r="F833" s="1">
        <v>46246</v>
      </c>
      <c r="G833" s="1">
        <v>46248</v>
      </c>
      <c r="H833" s="11"/>
      <c r="I833" s="11" t="s">
        <v>4060</v>
      </c>
    </row>
    <row r="834" spans="1:9" hidden="1" x14ac:dyDescent="0.25">
      <c r="A834" s="1">
        <v>46247</v>
      </c>
      <c r="B834">
        <v>1037671907</v>
      </c>
      <c r="C834" t="s">
        <v>4164</v>
      </c>
      <c r="D834" s="11" t="s">
        <v>82</v>
      </c>
      <c r="E834" s="11" t="s">
        <v>4045</v>
      </c>
      <c r="F834" s="1">
        <v>46245</v>
      </c>
      <c r="G834" s="1">
        <v>46247</v>
      </c>
      <c r="H834" s="11"/>
      <c r="I834" s="11" t="s">
        <v>327</v>
      </c>
    </row>
    <row r="835" spans="1:9" hidden="1" x14ac:dyDescent="0.25">
      <c r="A835" s="1">
        <v>46247</v>
      </c>
      <c r="B835">
        <v>1045718883</v>
      </c>
      <c r="C835" t="s">
        <v>34</v>
      </c>
      <c r="D835" s="11" t="s">
        <v>15</v>
      </c>
      <c r="E835" s="11" t="s">
        <v>4046</v>
      </c>
      <c r="F835" s="1">
        <v>46245</v>
      </c>
      <c r="G835" s="1">
        <v>46340</v>
      </c>
      <c r="H835" s="11" t="s">
        <v>17</v>
      </c>
      <c r="I835" s="11" t="s">
        <v>18</v>
      </c>
    </row>
    <row r="836" spans="1:9" hidden="1" x14ac:dyDescent="0.25">
      <c r="A836" s="1">
        <v>46247</v>
      </c>
      <c r="B836">
        <v>1102808787</v>
      </c>
      <c r="C836" t="s">
        <v>135</v>
      </c>
      <c r="D836" s="11" t="s">
        <v>39</v>
      </c>
      <c r="E836" s="11" t="s">
        <v>4046</v>
      </c>
      <c r="F836" s="1">
        <v>46237</v>
      </c>
      <c r="G836" s="1">
        <v>46276</v>
      </c>
      <c r="H836" s="11"/>
      <c r="I836" s="11" t="s">
        <v>327</v>
      </c>
    </row>
    <row r="837" spans="1:9" hidden="1" x14ac:dyDescent="0.25">
      <c r="A837" s="1">
        <v>46247</v>
      </c>
      <c r="B837">
        <v>59310511</v>
      </c>
      <c r="C837" t="s">
        <v>1323</v>
      </c>
      <c r="D837" s="11" t="s">
        <v>64</v>
      </c>
      <c r="E837" s="11" t="s">
        <v>4046</v>
      </c>
      <c r="F837" s="1">
        <v>46246</v>
      </c>
      <c r="G837" s="1">
        <v>46246</v>
      </c>
      <c r="H837" s="11"/>
      <c r="I837" s="11" t="s">
        <v>4041</v>
      </c>
    </row>
    <row r="838" spans="1:9" hidden="1" x14ac:dyDescent="0.25">
      <c r="A838" s="1">
        <v>46247</v>
      </c>
      <c r="B838">
        <v>1005424850</v>
      </c>
      <c r="C838" t="s">
        <v>95</v>
      </c>
      <c r="D838" s="11" t="s">
        <v>82</v>
      </c>
      <c r="E838" s="11" t="s">
        <v>4045</v>
      </c>
      <c r="F838" s="1">
        <v>46247</v>
      </c>
      <c r="G838" s="1">
        <v>46262</v>
      </c>
      <c r="H838" s="11" t="s">
        <v>303</v>
      </c>
      <c r="I838" s="11" t="s">
        <v>304</v>
      </c>
    </row>
    <row r="839" spans="1:9" hidden="1" x14ac:dyDescent="0.25">
      <c r="A839" s="1">
        <v>46247</v>
      </c>
      <c r="B839">
        <v>1036132488</v>
      </c>
      <c r="C839" t="s">
        <v>89</v>
      </c>
      <c r="D839" s="11" t="s">
        <v>59</v>
      </c>
      <c r="E839" s="11" t="s">
        <v>4047</v>
      </c>
      <c r="F839" s="1">
        <v>46247</v>
      </c>
      <c r="G839" s="1">
        <v>46248</v>
      </c>
      <c r="H839" s="11"/>
      <c r="I839" s="11" t="s">
        <v>4060</v>
      </c>
    </row>
    <row r="840" spans="1:9" hidden="1" x14ac:dyDescent="0.25">
      <c r="A840" s="1">
        <v>46247</v>
      </c>
      <c r="B840">
        <v>1143373273</v>
      </c>
      <c r="C840" t="s">
        <v>2037</v>
      </c>
      <c r="D840" s="11" t="s">
        <v>272</v>
      </c>
      <c r="E840" s="11" t="s">
        <v>4056</v>
      </c>
      <c r="F840" s="1">
        <v>46245</v>
      </c>
      <c r="G840" s="1">
        <v>46247</v>
      </c>
      <c r="H840" s="11" t="s">
        <v>3662</v>
      </c>
      <c r="I840" s="11" t="s">
        <v>3663</v>
      </c>
    </row>
    <row r="841" spans="1:9" hidden="1" x14ac:dyDescent="0.25">
      <c r="A841" s="1">
        <v>46247</v>
      </c>
      <c r="B841">
        <v>1000532653</v>
      </c>
      <c r="C841" t="s">
        <v>1187</v>
      </c>
      <c r="D841" s="11" t="s">
        <v>132</v>
      </c>
      <c r="E841" s="11" t="s">
        <v>4040</v>
      </c>
      <c r="F841" s="1">
        <v>46246</v>
      </c>
      <c r="G841" s="1">
        <v>46246</v>
      </c>
      <c r="H841" s="11"/>
      <c r="I841" s="11" t="s">
        <v>4041</v>
      </c>
    </row>
    <row r="842" spans="1:9" hidden="1" x14ac:dyDescent="0.25">
      <c r="A842" s="1">
        <v>46247</v>
      </c>
      <c r="B842">
        <v>43986125</v>
      </c>
      <c r="C842" t="s">
        <v>1299</v>
      </c>
      <c r="D842" s="11" t="s">
        <v>55</v>
      </c>
      <c r="E842" s="11" t="s">
        <v>4047</v>
      </c>
      <c r="F842" s="1">
        <v>46246</v>
      </c>
      <c r="G842" s="1">
        <v>46248</v>
      </c>
      <c r="H842" s="11"/>
      <c r="I842" s="11" t="s">
        <v>327</v>
      </c>
    </row>
    <row r="843" spans="1:9" hidden="1" x14ac:dyDescent="0.25">
      <c r="A843" s="1">
        <v>46247</v>
      </c>
      <c r="B843">
        <v>1040755197</v>
      </c>
      <c r="C843" t="s">
        <v>171</v>
      </c>
      <c r="D843" s="11" t="s">
        <v>102</v>
      </c>
      <c r="E843" s="11" t="s">
        <v>4046</v>
      </c>
      <c r="F843" s="1">
        <v>46246</v>
      </c>
      <c r="G843" s="1">
        <v>46246</v>
      </c>
      <c r="H843" s="11"/>
      <c r="I843" s="11" t="s">
        <v>4041</v>
      </c>
    </row>
    <row r="844" spans="1:9" hidden="1" x14ac:dyDescent="0.25">
      <c r="A844" s="1">
        <v>46247</v>
      </c>
      <c r="B844">
        <v>1152462501</v>
      </c>
      <c r="C844" t="s">
        <v>3056</v>
      </c>
      <c r="D844" s="11" t="s">
        <v>28</v>
      </c>
      <c r="E844" s="11" t="s">
        <v>4046</v>
      </c>
      <c r="F844" s="1">
        <v>46247</v>
      </c>
      <c r="G844" s="1">
        <v>46248</v>
      </c>
      <c r="H844" s="11" t="s">
        <v>119</v>
      </c>
      <c r="I844" s="11" t="s">
        <v>120</v>
      </c>
    </row>
    <row r="845" spans="1:9" hidden="1" x14ac:dyDescent="0.25">
      <c r="A845" s="1">
        <v>46247</v>
      </c>
      <c r="B845">
        <v>1053860403</v>
      </c>
      <c r="C845" t="s">
        <v>2322</v>
      </c>
      <c r="D845" s="11" t="s">
        <v>272</v>
      </c>
      <c r="E845" s="11" t="s">
        <v>4056</v>
      </c>
      <c r="F845" s="1">
        <v>46247</v>
      </c>
      <c r="G845" s="1">
        <v>46249</v>
      </c>
      <c r="H845" s="11" t="s">
        <v>560</v>
      </c>
      <c r="I845" s="11" t="s">
        <v>561</v>
      </c>
    </row>
    <row r="846" spans="1:9" hidden="1" x14ac:dyDescent="0.25">
      <c r="A846" s="1">
        <v>46247</v>
      </c>
      <c r="B846">
        <v>1003459576</v>
      </c>
      <c r="C846" t="s">
        <v>1032</v>
      </c>
      <c r="D846" s="11" t="s">
        <v>59</v>
      </c>
      <c r="E846" s="11" t="s">
        <v>4047</v>
      </c>
      <c r="F846" s="1">
        <v>46247</v>
      </c>
      <c r="G846" s="1">
        <v>46248</v>
      </c>
      <c r="H846" s="11"/>
      <c r="I846" s="11" t="s">
        <v>4060</v>
      </c>
    </row>
    <row r="847" spans="1:9" hidden="1" x14ac:dyDescent="0.25">
      <c r="A847" s="1">
        <v>46247</v>
      </c>
      <c r="B847">
        <v>1000100875</v>
      </c>
      <c r="C847" t="s">
        <v>3648</v>
      </c>
      <c r="D847" s="11" t="s">
        <v>55</v>
      </c>
      <c r="E847" s="11" t="s">
        <v>4047</v>
      </c>
      <c r="F847" s="1">
        <v>46247</v>
      </c>
      <c r="G847" s="1">
        <v>46248</v>
      </c>
      <c r="H847" s="11"/>
      <c r="I847" s="11" t="s">
        <v>4060</v>
      </c>
    </row>
    <row r="848" spans="1:9" hidden="1" x14ac:dyDescent="0.25">
      <c r="A848" s="1">
        <v>46247</v>
      </c>
      <c r="B848">
        <v>1152434926</v>
      </c>
      <c r="C848" t="s">
        <v>217</v>
      </c>
      <c r="D848" s="11" t="s">
        <v>59</v>
      </c>
      <c r="E848" s="11" t="s">
        <v>4047</v>
      </c>
      <c r="F848" s="1">
        <v>46247</v>
      </c>
      <c r="G848" s="1">
        <v>46249</v>
      </c>
      <c r="H848" s="11"/>
      <c r="I848" s="11" t="s">
        <v>327</v>
      </c>
    </row>
    <row r="849" spans="1:9" hidden="1" x14ac:dyDescent="0.25">
      <c r="A849" s="1">
        <v>46247</v>
      </c>
      <c r="B849">
        <v>1052409952</v>
      </c>
      <c r="C849" t="s">
        <v>2406</v>
      </c>
      <c r="D849" s="11" t="s">
        <v>44</v>
      </c>
      <c r="E849" s="11" t="s">
        <v>4045</v>
      </c>
      <c r="F849" s="1">
        <v>46247</v>
      </c>
      <c r="G849" s="1">
        <v>46248</v>
      </c>
      <c r="H849" s="11"/>
      <c r="I849" s="11" t="s">
        <v>4060</v>
      </c>
    </row>
    <row r="850" spans="1:9" hidden="1" x14ac:dyDescent="0.25">
      <c r="A850" s="1">
        <v>46247</v>
      </c>
      <c r="B850">
        <v>1036665065</v>
      </c>
      <c r="C850" t="s">
        <v>3689</v>
      </c>
      <c r="D850" s="11" t="s">
        <v>39</v>
      </c>
      <c r="E850" s="11" t="s">
        <v>4046</v>
      </c>
      <c r="F850" s="1">
        <v>46247</v>
      </c>
      <c r="G850" s="1">
        <v>46248</v>
      </c>
      <c r="H850" s="11"/>
      <c r="I850" s="11" t="s">
        <v>4060</v>
      </c>
    </row>
    <row r="851" spans="1:9" hidden="1" x14ac:dyDescent="0.25">
      <c r="A851" s="1">
        <v>46247</v>
      </c>
      <c r="B851">
        <v>1001013936</v>
      </c>
      <c r="C851" t="s">
        <v>3856</v>
      </c>
      <c r="D851" s="11" t="s">
        <v>28</v>
      </c>
      <c r="E851" s="11" t="s">
        <v>4046</v>
      </c>
      <c r="F851" s="1">
        <v>46247</v>
      </c>
      <c r="G851" s="1">
        <v>46248</v>
      </c>
      <c r="H851" s="11"/>
      <c r="I851" s="11" t="s">
        <v>327</v>
      </c>
    </row>
    <row r="852" spans="1:9" hidden="1" x14ac:dyDescent="0.25">
      <c r="A852" s="1">
        <v>46247</v>
      </c>
      <c r="B852">
        <v>1152436231</v>
      </c>
      <c r="C852" t="s">
        <v>142</v>
      </c>
      <c r="D852" s="11" t="s">
        <v>143</v>
      </c>
      <c r="E852" s="11" t="s">
        <v>4045</v>
      </c>
      <c r="F852" s="1">
        <v>46247</v>
      </c>
      <c r="G852" s="1">
        <v>46248</v>
      </c>
      <c r="H852" s="11"/>
      <c r="I852" s="11" t="s">
        <v>4060</v>
      </c>
    </row>
    <row r="853" spans="1:9" hidden="1" x14ac:dyDescent="0.25">
      <c r="A853" s="1">
        <v>46247</v>
      </c>
      <c r="B853">
        <v>1234090551</v>
      </c>
      <c r="C853" t="s">
        <v>2250</v>
      </c>
      <c r="D853" s="11" t="s">
        <v>162</v>
      </c>
      <c r="E853" s="11" t="s">
        <v>4056</v>
      </c>
      <c r="F853" s="1">
        <v>46247</v>
      </c>
      <c r="G853" s="1">
        <v>46248</v>
      </c>
      <c r="H853" s="11"/>
      <c r="I853" s="11" t="s">
        <v>4060</v>
      </c>
    </row>
    <row r="854" spans="1:9" hidden="1" x14ac:dyDescent="0.25">
      <c r="A854" s="1">
        <v>46247</v>
      </c>
      <c r="B854">
        <v>43453341</v>
      </c>
      <c r="C854" t="s">
        <v>146</v>
      </c>
      <c r="D854" s="11" t="s">
        <v>124</v>
      </c>
      <c r="E854" s="11" t="s">
        <v>4045</v>
      </c>
      <c r="F854" s="1">
        <v>46247</v>
      </c>
      <c r="G854" s="1">
        <v>46248</v>
      </c>
      <c r="H854" s="11"/>
      <c r="I854" s="11" t="s">
        <v>4060</v>
      </c>
    </row>
    <row r="855" spans="1:9" hidden="1" x14ac:dyDescent="0.25">
      <c r="A855" s="1">
        <v>46247</v>
      </c>
      <c r="B855" t="s">
        <v>4181</v>
      </c>
      <c r="C855" t="s">
        <v>4182</v>
      </c>
      <c r="D855" s="11" t="s">
        <v>256</v>
      </c>
      <c r="E855" s="11" t="s">
        <v>4040</v>
      </c>
      <c r="F855" s="1">
        <v>46247</v>
      </c>
      <c r="G855" s="1">
        <v>46248</v>
      </c>
      <c r="H855" s="11"/>
      <c r="I855" s="11" t="s">
        <v>327</v>
      </c>
    </row>
    <row r="856" spans="1:9" hidden="1" x14ac:dyDescent="0.25">
      <c r="A856" s="1">
        <v>46247</v>
      </c>
      <c r="B856">
        <v>1067959066</v>
      </c>
      <c r="C856" t="s">
        <v>3479</v>
      </c>
      <c r="D856" s="11" t="s">
        <v>344</v>
      </c>
      <c r="E856" s="11" t="s">
        <v>4056</v>
      </c>
      <c r="F856" s="1">
        <v>46247</v>
      </c>
      <c r="G856" s="1">
        <v>46248</v>
      </c>
      <c r="H856" s="11"/>
      <c r="I856" s="11" t="s">
        <v>4060</v>
      </c>
    </row>
    <row r="857" spans="1:9" hidden="1" x14ac:dyDescent="0.25">
      <c r="A857" s="1">
        <v>46247</v>
      </c>
      <c r="B857">
        <v>72342968</v>
      </c>
      <c r="C857" t="s">
        <v>380</v>
      </c>
      <c r="D857" s="11" t="s">
        <v>39</v>
      </c>
      <c r="E857" s="11" t="s">
        <v>4046</v>
      </c>
      <c r="F857" s="1">
        <v>46247</v>
      </c>
      <c r="G857" s="1">
        <v>46248</v>
      </c>
      <c r="H857" s="11"/>
      <c r="I857" s="11" t="s">
        <v>327</v>
      </c>
    </row>
    <row r="858" spans="1:9" hidden="1" x14ac:dyDescent="0.25">
      <c r="A858" s="1">
        <v>46247</v>
      </c>
      <c r="B858">
        <v>1037642818</v>
      </c>
      <c r="C858" t="s">
        <v>3692</v>
      </c>
      <c r="D858" s="11" t="s">
        <v>28</v>
      </c>
      <c r="E858" s="11" t="s">
        <v>4046</v>
      </c>
      <c r="F858" s="1">
        <v>46247</v>
      </c>
      <c r="G858" s="1">
        <v>46247</v>
      </c>
      <c r="H858" s="11"/>
      <c r="I858" s="11" t="s">
        <v>327</v>
      </c>
    </row>
    <row r="859" spans="1:9" hidden="1" x14ac:dyDescent="0.25">
      <c r="A859" s="1">
        <v>46247</v>
      </c>
      <c r="B859">
        <v>1143411265</v>
      </c>
      <c r="C859" t="s">
        <v>2355</v>
      </c>
      <c r="D859" s="11" t="s">
        <v>55</v>
      </c>
      <c r="E859" s="11" t="s">
        <v>4047</v>
      </c>
      <c r="F859" s="1">
        <v>46247</v>
      </c>
      <c r="G859" s="1">
        <v>46248</v>
      </c>
      <c r="H859" s="11"/>
      <c r="I859" s="11" t="s">
        <v>4060</v>
      </c>
    </row>
    <row r="860" spans="1:9" hidden="1" x14ac:dyDescent="0.25">
      <c r="A860" s="1">
        <v>46247</v>
      </c>
      <c r="B860">
        <v>1000398069</v>
      </c>
      <c r="C860" t="s">
        <v>3764</v>
      </c>
      <c r="D860" s="11" t="s">
        <v>143</v>
      </c>
      <c r="E860" s="11" t="s">
        <v>4045</v>
      </c>
      <c r="F860" s="1">
        <v>46247</v>
      </c>
      <c r="G860" s="1">
        <v>46248</v>
      </c>
      <c r="H860" s="11"/>
      <c r="I860" s="11" t="s">
        <v>4060</v>
      </c>
    </row>
    <row r="861" spans="1:9" hidden="1" x14ac:dyDescent="0.25">
      <c r="A861" s="1">
        <v>46247</v>
      </c>
      <c r="B861">
        <v>1001140238</v>
      </c>
      <c r="C861" t="s">
        <v>74</v>
      </c>
      <c r="D861" s="11" t="s">
        <v>28</v>
      </c>
      <c r="E861" s="11" t="s">
        <v>4046</v>
      </c>
      <c r="F861" s="1">
        <v>46247</v>
      </c>
      <c r="G861" s="1">
        <v>46247</v>
      </c>
      <c r="H861" s="11"/>
      <c r="I861" s="11" t="s">
        <v>339</v>
      </c>
    </row>
    <row r="862" spans="1:9" hidden="1" x14ac:dyDescent="0.25">
      <c r="A862" s="1">
        <v>46247</v>
      </c>
      <c r="B862">
        <v>52814989</v>
      </c>
      <c r="C862" t="s">
        <v>2478</v>
      </c>
      <c r="D862" s="11" t="s">
        <v>143</v>
      </c>
      <c r="E862" s="11" t="s">
        <v>4045</v>
      </c>
      <c r="F862" s="1">
        <v>46247</v>
      </c>
      <c r="G862" s="1">
        <v>46248</v>
      </c>
      <c r="H862" s="11"/>
      <c r="I862" s="11" t="s">
        <v>4060</v>
      </c>
    </row>
    <row r="863" spans="1:9" hidden="1" x14ac:dyDescent="0.25">
      <c r="A863" s="1">
        <v>46247</v>
      </c>
      <c r="B863">
        <v>1000348983</v>
      </c>
      <c r="C863" t="s">
        <v>235</v>
      </c>
      <c r="D863" s="11" t="s">
        <v>162</v>
      </c>
      <c r="E863" s="11" t="s">
        <v>4056</v>
      </c>
      <c r="F863" s="1">
        <v>46247</v>
      </c>
      <c r="H863" s="11"/>
      <c r="I863" s="11" t="s">
        <v>4085</v>
      </c>
    </row>
    <row r="864" spans="1:9" hidden="1" x14ac:dyDescent="0.25">
      <c r="A864" s="1">
        <v>46248</v>
      </c>
      <c r="B864">
        <v>1001013936</v>
      </c>
      <c r="C864" t="s">
        <v>3856</v>
      </c>
      <c r="D864" s="11" t="s">
        <v>28</v>
      </c>
      <c r="E864" s="11" t="s">
        <v>4046</v>
      </c>
      <c r="F864" s="1">
        <v>46247</v>
      </c>
      <c r="G864" s="1">
        <v>46248</v>
      </c>
      <c r="H864" s="11"/>
      <c r="I864" s="11" t="s">
        <v>327</v>
      </c>
    </row>
    <row r="865" spans="1:9" hidden="1" x14ac:dyDescent="0.25">
      <c r="A865" s="1">
        <v>46248</v>
      </c>
      <c r="B865">
        <v>1234090551</v>
      </c>
      <c r="C865" t="s">
        <v>2250</v>
      </c>
      <c r="D865" s="11" t="s">
        <v>162</v>
      </c>
      <c r="E865" s="11" t="s">
        <v>4056</v>
      </c>
      <c r="F865" s="1">
        <v>46247</v>
      </c>
      <c r="G865" s="1">
        <v>46248</v>
      </c>
      <c r="H865" s="11" t="s">
        <v>285</v>
      </c>
      <c r="I865" s="11" t="s">
        <v>286</v>
      </c>
    </row>
    <row r="866" spans="1:9" hidden="1" x14ac:dyDescent="0.25">
      <c r="A866" s="1">
        <v>46248</v>
      </c>
      <c r="B866">
        <v>1152436231</v>
      </c>
      <c r="C866" t="s">
        <v>142</v>
      </c>
      <c r="D866" s="11" t="s">
        <v>143</v>
      </c>
      <c r="E866" s="11" t="s">
        <v>4045</v>
      </c>
      <c r="F866" s="1">
        <v>46247</v>
      </c>
      <c r="G866" s="1">
        <v>46248</v>
      </c>
      <c r="H866" s="11"/>
      <c r="I866" s="11" t="s">
        <v>327</v>
      </c>
    </row>
    <row r="867" spans="1:9" hidden="1" x14ac:dyDescent="0.25">
      <c r="A867" s="1">
        <v>46248</v>
      </c>
      <c r="B867">
        <v>1036665065</v>
      </c>
      <c r="C867" t="s">
        <v>3689</v>
      </c>
      <c r="D867" s="11" t="s">
        <v>39</v>
      </c>
      <c r="E867" s="11" t="s">
        <v>4046</v>
      </c>
      <c r="F867" s="1">
        <v>46247</v>
      </c>
      <c r="G867" s="1">
        <v>46248</v>
      </c>
      <c r="H867" s="11"/>
      <c r="I867" s="11" t="s">
        <v>327</v>
      </c>
    </row>
    <row r="868" spans="1:9" hidden="1" x14ac:dyDescent="0.25">
      <c r="A868" s="1">
        <v>46248</v>
      </c>
      <c r="B868">
        <v>1052409952</v>
      </c>
      <c r="C868" t="s">
        <v>2406</v>
      </c>
      <c r="D868" s="11" t="s">
        <v>44</v>
      </c>
      <c r="E868" s="11" t="s">
        <v>4045</v>
      </c>
      <c r="F868" s="1">
        <v>46247</v>
      </c>
      <c r="G868" s="1">
        <v>46248</v>
      </c>
      <c r="H868" s="11"/>
      <c r="I868" s="11" t="s">
        <v>327</v>
      </c>
    </row>
    <row r="869" spans="1:9" hidden="1" x14ac:dyDescent="0.25">
      <c r="A869" s="1">
        <v>46248</v>
      </c>
      <c r="B869">
        <v>1152434926</v>
      </c>
      <c r="C869" t="s">
        <v>217</v>
      </c>
      <c r="D869" s="11" t="s">
        <v>59</v>
      </c>
      <c r="E869" s="11" t="s">
        <v>4047</v>
      </c>
      <c r="F869" s="1">
        <v>46247</v>
      </c>
      <c r="G869" s="1">
        <v>46249</v>
      </c>
      <c r="H869" s="11"/>
      <c r="I869" s="11" t="s">
        <v>327</v>
      </c>
    </row>
    <row r="870" spans="1:9" hidden="1" x14ac:dyDescent="0.25">
      <c r="A870" s="1">
        <v>46248</v>
      </c>
      <c r="B870">
        <v>1000100875</v>
      </c>
      <c r="C870" t="s">
        <v>3648</v>
      </c>
      <c r="D870" s="11" t="s">
        <v>55</v>
      </c>
      <c r="E870" s="11" t="s">
        <v>4047</v>
      </c>
      <c r="F870" s="1">
        <v>46247</v>
      </c>
      <c r="G870" s="1">
        <v>46248</v>
      </c>
      <c r="H870" s="11"/>
      <c r="I870" s="11" t="s">
        <v>327</v>
      </c>
    </row>
    <row r="871" spans="1:9" hidden="1" x14ac:dyDescent="0.25">
      <c r="A871" s="1">
        <v>46248</v>
      </c>
      <c r="B871">
        <v>1003459576</v>
      </c>
      <c r="C871" t="s">
        <v>1032</v>
      </c>
      <c r="D871" s="11" t="s">
        <v>59</v>
      </c>
      <c r="E871" s="11" t="s">
        <v>4047</v>
      </c>
      <c r="F871" s="1">
        <v>46247</v>
      </c>
      <c r="G871" s="1">
        <v>46248</v>
      </c>
      <c r="H871" s="11"/>
      <c r="I871" s="11" t="s">
        <v>327</v>
      </c>
    </row>
    <row r="872" spans="1:9" hidden="1" x14ac:dyDescent="0.25">
      <c r="A872" s="1">
        <v>46248</v>
      </c>
      <c r="B872">
        <v>1036132488</v>
      </c>
      <c r="C872" t="s">
        <v>89</v>
      </c>
      <c r="D872" s="11" t="s">
        <v>59</v>
      </c>
      <c r="E872" s="11" t="s">
        <v>4047</v>
      </c>
      <c r="F872" s="1">
        <v>46247</v>
      </c>
      <c r="G872" s="1">
        <v>46248</v>
      </c>
      <c r="H872" s="11" t="s">
        <v>119</v>
      </c>
      <c r="I872" s="11" t="s">
        <v>120</v>
      </c>
    </row>
    <row r="873" spans="1:9" hidden="1" x14ac:dyDescent="0.25">
      <c r="A873" s="1">
        <v>46248</v>
      </c>
      <c r="B873">
        <v>1152462501</v>
      </c>
      <c r="C873" t="s">
        <v>3056</v>
      </c>
      <c r="D873" s="11" t="s">
        <v>28</v>
      </c>
      <c r="E873" s="11" t="s">
        <v>4046</v>
      </c>
      <c r="F873" s="1">
        <v>46247</v>
      </c>
      <c r="G873" s="1">
        <v>46248</v>
      </c>
      <c r="H873" s="11" t="s">
        <v>231</v>
      </c>
      <c r="I873" s="11" t="s">
        <v>232</v>
      </c>
    </row>
    <row r="874" spans="1:9" hidden="1" x14ac:dyDescent="0.25">
      <c r="A874" s="1">
        <v>46248</v>
      </c>
      <c r="B874">
        <v>1040755197</v>
      </c>
      <c r="C874" t="s">
        <v>171</v>
      </c>
      <c r="D874" s="11" t="s">
        <v>102</v>
      </c>
      <c r="E874" s="11" t="s">
        <v>4046</v>
      </c>
      <c r="F874" s="1">
        <v>46246</v>
      </c>
      <c r="G874" s="1">
        <v>46246</v>
      </c>
      <c r="H874" s="11"/>
      <c r="I874" s="11" t="s">
        <v>4041</v>
      </c>
    </row>
    <row r="875" spans="1:9" hidden="1" x14ac:dyDescent="0.25">
      <c r="A875" s="1">
        <v>46248</v>
      </c>
      <c r="B875">
        <v>43986125</v>
      </c>
      <c r="C875" t="s">
        <v>1299</v>
      </c>
      <c r="D875" s="11" t="s">
        <v>55</v>
      </c>
      <c r="E875" s="11" t="s">
        <v>4047</v>
      </c>
      <c r="F875" s="1">
        <v>46246</v>
      </c>
      <c r="G875" s="1">
        <v>46248</v>
      </c>
      <c r="H875" s="11" t="s">
        <v>181</v>
      </c>
      <c r="I875" s="11" t="s">
        <v>182</v>
      </c>
    </row>
    <row r="876" spans="1:9" hidden="1" x14ac:dyDescent="0.25">
      <c r="A876" s="1">
        <v>46248</v>
      </c>
      <c r="B876">
        <v>1143373273</v>
      </c>
      <c r="C876" t="s">
        <v>2037</v>
      </c>
      <c r="D876" s="11" t="s">
        <v>272</v>
      </c>
      <c r="E876" s="11" t="s">
        <v>4056</v>
      </c>
      <c r="F876" s="1">
        <v>46245</v>
      </c>
      <c r="G876" s="1">
        <v>46247</v>
      </c>
      <c r="H876" s="11"/>
      <c r="I876" s="11" t="s">
        <v>4041</v>
      </c>
    </row>
    <row r="877" spans="1:9" hidden="1" x14ac:dyDescent="0.25">
      <c r="A877" s="1">
        <v>46248</v>
      </c>
      <c r="B877">
        <v>1143267842</v>
      </c>
      <c r="C877" t="s">
        <v>1501</v>
      </c>
      <c r="D877" s="11" t="s">
        <v>128</v>
      </c>
      <c r="E877" s="11" t="s">
        <v>4045</v>
      </c>
      <c r="F877" s="1">
        <v>46246</v>
      </c>
      <c r="G877" s="1">
        <v>46248</v>
      </c>
      <c r="H877" s="11" t="s">
        <v>199</v>
      </c>
      <c r="I877" s="11" t="s">
        <v>200</v>
      </c>
    </row>
    <row r="878" spans="1:9" hidden="1" x14ac:dyDescent="0.25">
      <c r="A878" s="1">
        <v>46248</v>
      </c>
      <c r="B878">
        <v>1082926383</v>
      </c>
      <c r="C878" t="s">
        <v>663</v>
      </c>
      <c r="D878" s="11" t="s">
        <v>132</v>
      </c>
      <c r="E878" s="11" t="s">
        <v>4040</v>
      </c>
      <c r="F878" s="1">
        <v>46246</v>
      </c>
      <c r="G878" s="1">
        <v>46248</v>
      </c>
      <c r="H878" s="11" t="s">
        <v>309</v>
      </c>
      <c r="I878" s="11" t="s">
        <v>310</v>
      </c>
    </row>
    <row r="879" spans="1:9" hidden="1" x14ac:dyDescent="0.25">
      <c r="A879" s="1">
        <v>46248</v>
      </c>
      <c r="B879">
        <v>1098686151</v>
      </c>
      <c r="C879" t="s">
        <v>1882</v>
      </c>
      <c r="D879" s="11" t="s">
        <v>51</v>
      </c>
      <c r="E879" s="11" t="s">
        <v>4047</v>
      </c>
      <c r="F879" s="1">
        <v>46246</v>
      </c>
      <c r="G879" s="1">
        <v>46248</v>
      </c>
      <c r="H879" s="11"/>
      <c r="I879" s="11" t="s">
        <v>327</v>
      </c>
    </row>
    <row r="880" spans="1:9" hidden="1" x14ac:dyDescent="0.25">
      <c r="A880" s="1">
        <v>46248</v>
      </c>
      <c r="B880">
        <v>1094971283</v>
      </c>
      <c r="C880" t="s">
        <v>3374</v>
      </c>
      <c r="D880" s="11" t="s">
        <v>256</v>
      </c>
      <c r="E880" s="11" t="s">
        <v>4040</v>
      </c>
      <c r="F880" s="1">
        <v>46245</v>
      </c>
      <c r="G880" s="1">
        <v>46247</v>
      </c>
      <c r="H880" s="11"/>
      <c r="I880" s="11" t="s">
        <v>4041</v>
      </c>
    </row>
    <row r="881" spans="1:9" hidden="1" x14ac:dyDescent="0.25">
      <c r="A881" s="1">
        <v>46248</v>
      </c>
      <c r="B881">
        <v>1037644923</v>
      </c>
      <c r="C881" t="s">
        <v>2677</v>
      </c>
      <c r="D881" s="11" t="s">
        <v>492</v>
      </c>
      <c r="E881" s="11" t="s">
        <v>4045</v>
      </c>
      <c r="F881" s="1">
        <v>46247</v>
      </c>
      <c r="G881" s="1">
        <v>46247</v>
      </c>
      <c r="H881" s="11"/>
      <c r="I881" s="11" t="s">
        <v>4041</v>
      </c>
    </row>
    <row r="882" spans="1:9" hidden="1" x14ac:dyDescent="0.25">
      <c r="A882" s="1">
        <v>46248</v>
      </c>
      <c r="B882">
        <v>1035876080</v>
      </c>
      <c r="C882" t="s">
        <v>123</v>
      </c>
      <c r="D882" s="11" t="s">
        <v>124</v>
      </c>
      <c r="E882" s="11" t="s">
        <v>4045</v>
      </c>
      <c r="F882" s="1">
        <v>46246</v>
      </c>
      <c r="G882" s="1">
        <v>46254</v>
      </c>
      <c r="H882" s="11" t="s">
        <v>213</v>
      </c>
      <c r="I882" s="11" t="s">
        <v>214</v>
      </c>
    </row>
    <row r="883" spans="1:9" hidden="1" x14ac:dyDescent="0.25">
      <c r="A883" s="1">
        <v>46248</v>
      </c>
      <c r="B883">
        <v>1085265026</v>
      </c>
      <c r="C883" t="s">
        <v>91</v>
      </c>
      <c r="D883" s="11" t="s">
        <v>55</v>
      </c>
      <c r="E883" s="11" t="s">
        <v>4047</v>
      </c>
      <c r="F883" s="1">
        <v>46245</v>
      </c>
      <c r="G883" s="1">
        <v>46249</v>
      </c>
      <c r="H883" s="11" t="s">
        <v>85</v>
      </c>
      <c r="I883" s="11" t="s">
        <v>86</v>
      </c>
    </row>
    <row r="884" spans="1:9" hidden="1" x14ac:dyDescent="0.25">
      <c r="A884" s="1">
        <v>46248</v>
      </c>
      <c r="B884">
        <v>1193584838</v>
      </c>
      <c r="C884" t="s">
        <v>3000</v>
      </c>
      <c r="D884" s="11" t="s">
        <v>59</v>
      </c>
      <c r="E884" s="11" t="s">
        <v>4047</v>
      </c>
      <c r="F884" s="1">
        <v>46245</v>
      </c>
      <c r="G884" s="1">
        <v>46247</v>
      </c>
      <c r="H884" s="11"/>
      <c r="I884" s="11" t="s">
        <v>4041</v>
      </c>
    </row>
    <row r="885" spans="1:9" hidden="1" x14ac:dyDescent="0.25">
      <c r="A885" s="1">
        <v>46248</v>
      </c>
      <c r="B885">
        <v>1000662062</v>
      </c>
      <c r="C885" t="s">
        <v>330</v>
      </c>
      <c r="D885" s="11" t="s">
        <v>55</v>
      </c>
      <c r="E885" s="11" t="s">
        <v>4047</v>
      </c>
      <c r="F885" s="1">
        <v>46245</v>
      </c>
      <c r="G885" s="1">
        <v>46249</v>
      </c>
      <c r="H885" s="11"/>
      <c r="I885" s="11" t="s">
        <v>327</v>
      </c>
    </row>
    <row r="886" spans="1:9" hidden="1" x14ac:dyDescent="0.25">
      <c r="A886" s="1">
        <v>46248</v>
      </c>
      <c r="B886">
        <v>1077462479</v>
      </c>
      <c r="C886" t="s">
        <v>4027</v>
      </c>
      <c r="D886" s="11" t="s">
        <v>59</v>
      </c>
      <c r="E886" s="11" t="s">
        <v>4047</v>
      </c>
      <c r="F886" s="1">
        <v>46245</v>
      </c>
      <c r="G886" s="1">
        <v>46247</v>
      </c>
      <c r="H886" s="11"/>
      <c r="I886" s="11" t="s">
        <v>4041</v>
      </c>
    </row>
    <row r="887" spans="1:9" hidden="1" x14ac:dyDescent="0.25">
      <c r="A887" s="1">
        <v>46248</v>
      </c>
      <c r="B887">
        <v>1037638426</v>
      </c>
      <c r="C887" t="s">
        <v>31</v>
      </c>
      <c r="D887" s="11" t="s">
        <v>28</v>
      </c>
      <c r="E887" s="11" t="s">
        <v>4046</v>
      </c>
      <c r="F887" s="1">
        <v>46230</v>
      </c>
      <c r="G887" s="1">
        <v>46262</v>
      </c>
      <c r="H887" s="11" t="s">
        <v>222</v>
      </c>
      <c r="I887" s="11" t="s">
        <v>223</v>
      </c>
    </row>
    <row r="888" spans="1:9" hidden="1" x14ac:dyDescent="0.25">
      <c r="A888" s="1">
        <v>46248</v>
      </c>
      <c r="B888">
        <v>1082896324</v>
      </c>
      <c r="C888" t="s">
        <v>127</v>
      </c>
      <c r="D888" s="11" t="s">
        <v>128</v>
      </c>
      <c r="E888" s="11" t="s">
        <v>4045</v>
      </c>
      <c r="F888" s="1">
        <v>46242</v>
      </c>
      <c r="G888" s="1">
        <v>46272</v>
      </c>
      <c r="H888" s="11"/>
      <c r="I888" s="11" t="s">
        <v>327</v>
      </c>
    </row>
    <row r="889" spans="1:9" hidden="1" x14ac:dyDescent="0.25">
      <c r="A889" s="1">
        <v>46248</v>
      </c>
      <c r="B889">
        <v>1143374438</v>
      </c>
      <c r="C889" t="s">
        <v>154</v>
      </c>
      <c r="D889" s="11" t="s">
        <v>28</v>
      </c>
      <c r="E889" s="11" t="s">
        <v>4046</v>
      </c>
      <c r="F889" s="1">
        <v>46239</v>
      </c>
      <c r="G889" s="1">
        <v>46268</v>
      </c>
      <c r="H889" s="11"/>
      <c r="I889" s="11" t="s">
        <v>327</v>
      </c>
    </row>
    <row r="890" spans="1:9" hidden="1" x14ac:dyDescent="0.25">
      <c r="A890" s="1">
        <v>46248</v>
      </c>
      <c r="B890">
        <v>1015483595</v>
      </c>
      <c r="C890" t="s">
        <v>23</v>
      </c>
      <c r="D890" s="11" t="s">
        <v>15</v>
      </c>
      <c r="E890" s="11" t="s">
        <v>4046</v>
      </c>
      <c r="F890" s="1">
        <v>46244</v>
      </c>
      <c r="G890" s="1">
        <v>46265</v>
      </c>
      <c r="H890" s="11" t="s">
        <v>17</v>
      </c>
      <c r="I890" s="11" t="s">
        <v>18</v>
      </c>
    </row>
    <row r="891" spans="1:9" hidden="1" x14ac:dyDescent="0.25">
      <c r="A891" s="1">
        <v>46248</v>
      </c>
      <c r="B891">
        <v>1001851670</v>
      </c>
      <c r="C891" t="s">
        <v>50</v>
      </c>
      <c r="D891" s="11" t="s">
        <v>51</v>
      </c>
      <c r="E891" s="11" t="s">
        <v>4047</v>
      </c>
      <c r="F891" s="1">
        <v>46241</v>
      </c>
      <c r="G891" s="1">
        <v>46366</v>
      </c>
      <c r="H891" s="11" t="s">
        <v>73</v>
      </c>
      <c r="I891" s="11" t="s">
        <v>74</v>
      </c>
    </row>
    <row r="892" spans="1:9" hidden="1" x14ac:dyDescent="0.25">
      <c r="A892" s="1">
        <v>46248</v>
      </c>
      <c r="B892">
        <v>1005424850</v>
      </c>
      <c r="C892" t="s">
        <v>95</v>
      </c>
      <c r="D892" s="11" t="s">
        <v>82</v>
      </c>
      <c r="E892" s="11" t="s">
        <v>4045</v>
      </c>
      <c r="F892" s="1">
        <v>46247</v>
      </c>
      <c r="G892" s="1">
        <v>46262</v>
      </c>
      <c r="H892" s="11" t="s">
        <v>303</v>
      </c>
      <c r="I892" s="11" t="s">
        <v>304</v>
      </c>
    </row>
    <row r="893" spans="1:9" hidden="1" x14ac:dyDescent="0.25">
      <c r="A893" s="1">
        <v>46248</v>
      </c>
      <c r="B893">
        <v>42141273</v>
      </c>
      <c r="C893" t="s">
        <v>271</v>
      </c>
      <c r="D893" s="11" t="s">
        <v>272</v>
      </c>
      <c r="E893" s="11" t="s">
        <v>4056</v>
      </c>
      <c r="F893" s="1">
        <v>46232</v>
      </c>
      <c r="G893" s="1">
        <v>46261</v>
      </c>
      <c r="H893" s="11"/>
      <c r="I893" s="11" t="s">
        <v>327</v>
      </c>
    </row>
    <row r="894" spans="1:9" hidden="1" x14ac:dyDescent="0.25">
      <c r="A894" s="1">
        <v>46248</v>
      </c>
      <c r="B894">
        <v>1037671907</v>
      </c>
      <c r="C894" t="s">
        <v>4164</v>
      </c>
      <c r="D894" s="11" t="s">
        <v>82</v>
      </c>
      <c r="E894" s="11" t="s">
        <v>4045</v>
      </c>
      <c r="F894" s="1">
        <v>46245</v>
      </c>
      <c r="G894" s="1">
        <v>46247</v>
      </c>
      <c r="H894" s="11"/>
      <c r="I894" s="11" t="s">
        <v>4041</v>
      </c>
    </row>
    <row r="895" spans="1:9" hidden="1" x14ac:dyDescent="0.25">
      <c r="A895" s="1">
        <v>46248</v>
      </c>
      <c r="B895">
        <v>1010246557</v>
      </c>
      <c r="C895" t="s">
        <v>3461</v>
      </c>
      <c r="D895" s="11" t="s">
        <v>256</v>
      </c>
      <c r="E895" s="11" t="s">
        <v>4040</v>
      </c>
      <c r="F895" s="1">
        <v>46247</v>
      </c>
      <c r="G895" s="1">
        <v>46247</v>
      </c>
      <c r="H895" s="11"/>
      <c r="I895" s="11" t="s">
        <v>4041</v>
      </c>
    </row>
    <row r="896" spans="1:9" hidden="1" x14ac:dyDescent="0.25">
      <c r="A896" s="1">
        <v>46248</v>
      </c>
      <c r="B896">
        <v>1152221372</v>
      </c>
      <c r="C896" t="s">
        <v>2363</v>
      </c>
      <c r="D896" s="11" t="s">
        <v>139</v>
      </c>
      <c r="E896" s="11" t="s">
        <v>4040</v>
      </c>
      <c r="F896" s="1">
        <v>46230</v>
      </c>
      <c r="G896" s="1">
        <v>46230</v>
      </c>
      <c r="H896" s="11" t="s">
        <v>116</v>
      </c>
      <c r="I896" s="11" t="s">
        <v>117</v>
      </c>
    </row>
    <row r="897" spans="1:9" hidden="1" x14ac:dyDescent="0.25">
      <c r="A897" s="1">
        <v>46248</v>
      </c>
      <c r="B897">
        <v>1004960056</v>
      </c>
      <c r="C897" t="s">
        <v>644</v>
      </c>
      <c r="D897" s="11" t="s">
        <v>634</v>
      </c>
      <c r="E897" s="11" t="s">
        <v>4045</v>
      </c>
      <c r="F897" s="1">
        <v>46246</v>
      </c>
      <c r="G897" s="1">
        <v>46247</v>
      </c>
      <c r="H897" s="11"/>
      <c r="I897" s="11" t="s">
        <v>4041</v>
      </c>
    </row>
    <row r="898" spans="1:9" hidden="1" x14ac:dyDescent="0.25">
      <c r="A898" s="1">
        <v>46248</v>
      </c>
      <c r="B898">
        <v>1017264032</v>
      </c>
      <c r="C898" t="s">
        <v>54</v>
      </c>
      <c r="D898" s="11" t="s">
        <v>55</v>
      </c>
      <c r="E898" s="11" t="s">
        <v>4047</v>
      </c>
      <c r="F898" s="1">
        <v>46229</v>
      </c>
      <c r="G898" s="1">
        <v>46258</v>
      </c>
      <c r="H898" s="11"/>
      <c r="I898" s="11" t="s">
        <v>327</v>
      </c>
    </row>
    <row r="899" spans="1:9" hidden="1" x14ac:dyDescent="0.25">
      <c r="A899" s="1">
        <v>46248</v>
      </c>
      <c r="B899">
        <v>1000640883</v>
      </c>
      <c r="C899" t="s">
        <v>3269</v>
      </c>
      <c r="D899" s="11" t="s">
        <v>55</v>
      </c>
      <c r="E899" s="11" t="s">
        <v>4047</v>
      </c>
      <c r="F899" s="1">
        <v>46247</v>
      </c>
      <c r="H899" s="11"/>
      <c r="I899" s="11" t="s">
        <v>4084</v>
      </c>
    </row>
    <row r="900" spans="1:9" hidden="1" x14ac:dyDescent="0.25">
      <c r="A900" s="1">
        <v>46248</v>
      </c>
      <c r="B900">
        <v>1037631989</v>
      </c>
      <c r="C900" t="s">
        <v>27</v>
      </c>
      <c r="D900" s="11" t="s">
        <v>28</v>
      </c>
      <c r="E900" s="11" t="s">
        <v>4046</v>
      </c>
      <c r="F900" s="1">
        <v>46226</v>
      </c>
      <c r="G900" s="1">
        <v>46255</v>
      </c>
      <c r="H900" s="11"/>
      <c r="I900" s="11" t="s">
        <v>327</v>
      </c>
    </row>
    <row r="901" spans="1:9" hidden="1" x14ac:dyDescent="0.25">
      <c r="A901" s="1">
        <v>46248</v>
      </c>
      <c r="B901">
        <v>1143414481</v>
      </c>
      <c r="C901" t="s">
        <v>2447</v>
      </c>
      <c r="D901" s="11" t="s">
        <v>28</v>
      </c>
      <c r="E901" s="11" t="s">
        <v>4046</v>
      </c>
      <c r="F901" s="1">
        <v>46247</v>
      </c>
      <c r="G901" s="1">
        <v>46252</v>
      </c>
      <c r="H901" s="11"/>
      <c r="I901" s="11" t="s">
        <v>327</v>
      </c>
    </row>
    <row r="902" spans="1:9" hidden="1" x14ac:dyDescent="0.25">
      <c r="A902" s="1">
        <v>46248</v>
      </c>
      <c r="B902">
        <v>1043006106</v>
      </c>
      <c r="C902" t="s">
        <v>202</v>
      </c>
      <c r="D902" s="11" t="s">
        <v>64</v>
      </c>
      <c r="E902" s="11" t="s">
        <v>4046</v>
      </c>
      <c r="F902" s="1">
        <v>46219</v>
      </c>
      <c r="G902" s="1">
        <v>46248</v>
      </c>
      <c r="H902" s="11"/>
      <c r="I902" s="11" t="s">
        <v>327</v>
      </c>
    </row>
    <row r="903" spans="1:9" hidden="1" x14ac:dyDescent="0.25">
      <c r="A903" s="1">
        <v>46248</v>
      </c>
      <c r="B903">
        <v>1121506548</v>
      </c>
      <c r="C903" t="s">
        <v>38</v>
      </c>
      <c r="D903" s="11" t="s">
        <v>39</v>
      </c>
      <c r="E903" s="11" t="s">
        <v>4046</v>
      </c>
      <c r="F903" s="1">
        <v>46217</v>
      </c>
      <c r="G903" s="1">
        <v>46342</v>
      </c>
      <c r="H903" s="11" t="s">
        <v>300</v>
      </c>
      <c r="I903" s="11" t="s">
        <v>301</v>
      </c>
    </row>
    <row r="904" spans="1:9" hidden="1" x14ac:dyDescent="0.25">
      <c r="A904" s="1">
        <v>46248</v>
      </c>
      <c r="B904">
        <v>1037630071</v>
      </c>
      <c r="C904" t="s">
        <v>3579</v>
      </c>
      <c r="D904" s="11" t="s">
        <v>176</v>
      </c>
      <c r="E904" s="11" t="s">
        <v>4040</v>
      </c>
      <c r="F904" s="1">
        <v>46247</v>
      </c>
      <c r="G904" s="1">
        <v>46265</v>
      </c>
      <c r="H904" s="11" t="s">
        <v>45</v>
      </c>
      <c r="I904" s="11" t="s">
        <v>46</v>
      </c>
    </row>
    <row r="905" spans="1:9" hidden="1" x14ac:dyDescent="0.25">
      <c r="A905" s="1">
        <v>46248</v>
      </c>
      <c r="B905">
        <v>1143460426</v>
      </c>
      <c r="C905" t="s">
        <v>4069</v>
      </c>
      <c r="D905" s="11" t="s">
        <v>64</v>
      </c>
      <c r="E905" s="11" t="s">
        <v>4046</v>
      </c>
      <c r="F905" s="1">
        <v>46195</v>
      </c>
      <c r="G905" s="1">
        <v>46198</v>
      </c>
      <c r="H905" s="11" t="s">
        <v>236</v>
      </c>
      <c r="I905" s="11" t="s">
        <v>237</v>
      </c>
    </row>
    <row r="906" spans="1:9" hidden="1" x14ac:dyDescent="0.25">
      <c r="A906" s="1">
        <v>46248</v>
      </c>
      <c r="B906">
        <v>1001897056</v>
      </c>
      <c r="C906" t="s">
        <v>334</v>
      </c>
      <c r="D906" s="11" t="s">
        <v>139</v>
      </c>
      <c r="E906" s="11" t="s">
        <v>4040</v>
      </c>
      <c r="F906" s="1">
        <v>46245</v>
      </c>
      <c r="G906" s="1">
        <v>46249</v>
      </c>
      <c r="H906" s="11"/>
      <c r="I906" s="11" t="s">
        <v>327</v>
      </c>
    </row>
    <row r="907" spans="1:9" hidden="1" x14ac:dyDescent="0.25">
      <c r="A907" s="1">
        <v>46248</v>
      </c>
      <c r="B907">
        <v>1152462704</v>
      </c>
      <c r="C907" t="s">
        <v>746</v>
      </c>
      <c r="D907" s="11" t="s">
        <v>132</v>
      </c>
      <c r="E907" s="11" t="s">
        <v>4040</v>
      </c>
      <c r="F907" s="1">
        <v>46246</v>
      </c>
      <c r="G907" s="1">
        <v>46248</v>
      </c>
      <c r="H907" s="11"/>
      <c r="I907" s="11" t="s">
        <v>4060</v>
      </c>
    </row>
    <row r="908" spans="1:9" hidden="1" x14ac:dyDescent="0.25">
      <c r="A908" s="1">
        <v>46248</v>
      </c>
      <c r="B908">
        <v>1045718883</v>
      </c>
      <c r="C908" t="s">
        <v>34</v>
      </c>
      <c r="D908" s="11" t="s">
        <v>15</v>
      </c>
      <c r="E908" s="11" t="s">
        <v>4046</v>
      </c>
      <c r="F908" s="1">
        <v>46245</v>
      </c>
      <c r="G908" s="1">
        <v>46340</v>
      </c>
      <c r="H908" s="11" t="s">
        <v>150</v>
      </c>
      <c r="I908" s="11" t="s">
        <v>151</v>
      </c>
    </row>
    <row r="909" spans="1:9" hidden="1" x14ac:dyDescent="0.25">
      <c r="A909" s="1">
        <v>46248</v>
      </c>
      <c r="B909">
        <v>1102808787</v>
      </c>
      <c r="C909" t="s">
        <v>135</v>
      </c>
      <c r="D909" s="11" t="s">
        <v>39</v>
      </c>
      <c r="E909" s="11" t="s">
        <v>4046</v>
      </c>
      <c r="F909" s="1">
        <v>46237</v>
      </c>
      <c r="G909" s="1">
        <v>46276</v>
      </c>
      <c r="H909" s="11"/>
      <c r="I909" s="11" t="s">
        <v>327</v>
      </c>
    </row>
    <row r="910" spans="1:9" hidden="1" x14ac:dyDescent="0.25">
      <c r="A910" s="1">
        <v>46248</v>
      </c>
      <c r="B910">
        <v>1007111078</v>
      </c>
      <c r="C910" t="s">
        <v>3672</v>
      </c>
      <c r="D910" s="11" t="s">
        <v>4175</v>
      </c>
      <c r="E910" s="11" t="s">
        <v>4056</v>
      </c>
      <c r="F910" s="1">
        <v>46247</v>
      </c>
      <c r="G910" s="1">
        <v>46247</v>
      </c>
      <c r="H910" s="11"/>
      <c r="I910" s="11" t="s">
        <v>4041</v>
      </c>
    </row>
    <row r="911" spans="1:9" hidden="1" x14ac:dyDescent="0.25">
      <c r="A911" s="1">
        <v>46248</v>
      </c>
      <c r="B911">
        <v>1053860403</v>
      </c>
      <c r="C911" t="s">
        <v>2322</v>
      </c>
      <c r="D911" s="11" t="s">
        <v>272</v>
      </c>
      <c r="E911" s="11" t="s">
        <v>4056</v>
      </c>
      <c r="F911" s="1">
        <v>46247</v>
      </c>
      <c r="G911" s="1">
        <v>46249</v>
      </c>
      <c r="H911" s="11" t="s">
        <v>184</v>
      </c>
      <c r="I911" s="11" t="s">
        <v>185</v>
      </c>
    </row>
    <row r="912" spans="1:9" hidden="1" x14ac:dyDescent="0.25">
      <c r="A912" s="1">
        <v>46248</v>
      </c>
      <c r="B912">
        <v>1001369228</v>
      </c>
      <c r="C912" t="s">
        <v>164</v>
      </c>
      <c r="D912" s="11" t="s">
        <v>4078</v>
      </c>
      <c r="E912" s="11" t="s">
        <v>4056</v>
      </c>
      <c r="F912" s="1">
        <v>46248</v>
      </c>
      <c r="G912" s="1">
        <v>46248</v>
      </c>
      <c r="H912" s="11"/>
      <c r="I912" s="11" t="s">
        <v>339</v>
      </c>
    </row>
    <row r="913" spans="1:9" hidden="1" x14ac:dyDescent="0.25">
      <c r="A913" s="1">
        <v>46248</v>
      </c>
      <c r="B913">
        <v>1036965348</v>
      </c>
      <c r="C913" t="s">
        <v>229</v>
      </c>
      <c r="D913" s="11" t="s">
        <v>4078</v>
      </c>
      <c r="E913" s="11" t="s">
        <v>4046</v>
      </c>
      <c r="F913" s="1">
        <v>46248</v>
      </c>
      <c r="G913" s="1">
        <v>46248</v>
      </c>
      <c r="H913" s="11"/>
      <c r="I913" s="11" t="s">
        <v>339</v>
      </c>
    </row>
    <row r="914" spans="1:9" hidden="1" x14ac:dyDescent="0.25">
      <c r="A914" s="1">
        <v>46248</v>
      </c>
      <c r="B914">
        <v>43453341</v>
      </c>
      <c r="C914" t="s">
        <v>146</v>
      </c>
      <c r="D914" s="11" t="s">
        <v>124</v>
      </c>
      <c r="E914" s="11" t="s">
        <v>4045</v>
      </c>
      <c r="F914" s="1">
        <v>46247</v>
      </c>
      <c r="G914" s="1">
        <v>46248</v>
      </c>
      <c r="H914" s="11"/>
      <c r="I914" s="11" t="s">
        <v>327</v>
      </c>
    </row>
    <row r="915" spans="1:9" hidden="1" x14ac:dyDescent="0.25">
      <c r="A915" s="1">
        <v>46248</v>
      </c>
      <c r="B915" t="s">
        <v>4181</v>
      </c>
      <c r="C915" t="s">
        <v>4182</v>
      </c>
      <c r="D915" s="11" t="s">
        <v>256</v>
      </c>
      <c r="E915" s="11" t="s">
        <v>4040</v>
      </c>
      <c r="F915" s="1">
        <v>46247</v>
      </c>
      <c r="G915" s="1">
        <v>46248</v>
      </c>
      <c r="H915" s="11"/>
      <c r="I915" s="11" t="s">
        <v>327</v>
      </c>
    </row>
    <row r="916" spans="1:9" hidden="1" x14ac:dyDescent="0.25">
      <c r="A916" s="1">
        <v>46248</v>
      </c>
      <c r="B916">
        <v>1001446162</v>
      </c>
      <c r="C916" t="s">
        <v>3663</v>
      </c>
      <c r="D916" s="11" t="s">
        <v>4125</v>
      </c>
      <c r="E916" s="11" t="s">
        <v>4056</v>
      </c>
      <c r="F916" s="1">
        <v>46248</v>
      </c>
      <c r="G916" s="1">
        <v>46248</v>
      </c>
      <c r="H916" s="11"/>
      <c r="I916" s="11" t="s">
        <v>339</v>
      </c>
    </row>
    <row r="917" spans="1:9" hidden="1" x14ac:dyDescent="0.25">
      <c r="A917" s="1">
        <v>46248</v>
      </c>
      <c r="B917">
        <v>1067959066</v>
      </c>
      <c r="C917" t="s">
        <v>3479</v>
      </c>
      <c r="D917" s="11" t="s">
        <v>344</v>
      </c>
      <c r="E917" s="11" t="s">
        <v>4056</v>
      </c>
      <c r="F917" s="1">
        <v>46247</v>
      </c>
      <c r="G917" s="1">
        <v>46248</v>
      </c>
      <c r="H917" s="11"/>
      <c r="I917" s="11" t="s">
        <v>4184</v>
      </c>
    </row>
    <row r="918" spans="1:9" hidden="1" x14ac:dyDescent="0.25">
      <c r="A918" s="1">
        <v>46248</v>
      </c>
      <c r="B918">
        <v>72342968</v>
      </c>
      <c r="C918" t="s">
        <v>380</v>
      </c>
      <c r="D918" s="11" t="s">
        <v>39</v>
      </c>
      <c r="E918" s="11" t="s">
        <v>4046</v>
      </c>
      <c r="F918" s="1">
        <v>46247</v>
      </c>
      <c r="G918" s="1">
        <v>46248</v>
      </c>
      <c r="H918" s="11"/>
      <c r="I918" s="11" t="s">
        <v>327</v>
      </c>
    </row>
    <row r="919" spans="1:9" hidden="1" x14ac:dyDescent="0.25">
      <c r="A919" s="1">
        <v>46248</v>
      </c>
      <c r="B919">
        <v>1037642818</v>
      </c>
      <c r="C919" t="s">
        <v>3692</v>
      </c>
      <c r="D919" s="11" t="s">
        <v>28</v>
      </c>
      <c r="E919" s="11" t="s">
        <v>4046</v>
      </c>
      <c r="F919" s="1">
        <v>46247</v>
      </c>
      <c r="G919" s="1">
        <v>46247</v>
      </c>
      <c r="H919" s="11"/>
      <c r="I919" s="11" t="s">
        <v>4041</v>
      </c>
    </row>
    <row r="920" spans="1:9" hidden="1" x14ac:dyDescent="0.25">
      <c r="A920" s="1">
        <v>46248</v>
      </c>
      <c r="B920">
        <v>1143411265</v>
      </c>
      <c r="C920" t="s">
        <v>2355</v>
      </c>
      <c r="D920" s="11" t="s">
        <v>55</v>
      </c>
      <c r="E920" s="11" t="s">
        <v>4047</v>
      </c>
      <c r="F920" s="1">
        <v>46247</v>
      </c>
      <c r="G920" s="1">
        <v>46248</v>
      </c>
      <c r="H920" s="11"/>
      <c r="I920" s="11" t="s">
        <v>4060</v>
      </c>
    </row>
    <row r="921" spans="1:9" hidden="1" x14ac:dyDescent="0.25">
      <c r="A921" s="1">
        <v>46248</v>
      </c>
      <c r="B921">
        <v>73189515</v>
      </c>
      <c r="C921" t="s">
        <v>773</v>
      </c>
      <c r="D921" s="11" t="s">
        <v>272</v>
      </c>
      <c r="E921" s="11" t="s">
        <v>4056</v>
      </c>
      <c r="F921" s="1">
        <v>46248</v>
      </c>
      <c r="G921" s="1">
        <v>46252</v>
      </c>
      <c r="H921" s="11" t="s">
        <v>560</v>
      </c>
      <c r="I921" s="11" t="s">
        <v>561</v>
      </c>
    </row>
    <row r="922" spans="1:9" hidden="1" x14ac:dyDescent="0.25">
      <c r="A922" s="1">
        <v>46248</v>
      </c>
      <c r="B922">
        <v>1010108820</v>
      </c>
      <c r="C922" t="s">
        <v>1213</v>
      </c>
      <c r="D922" s="11" t="s">
        <v>421</v>
      </c>
      <c r="E922" s="11" t="s">
        <v>4047</v>
      </c>
      <c r="F922" s="1">
        <v>46248</v>
      </c>
      <c r="G922" s="1">
        <v>46249</v>
      </c>
      <c r="H922" s="11"/>
      <c r="I922" s="11" t="s">
        <v>4060</v>
      </c>
    </row>
    <row r="923" spans="1:9" hidden="1" x14ac:dyDescent="0.25">
      <c r="A923" s="1">
        <v>46248</v>
      </c>
      <c r="B923">
        <v>1000398069</v>
      </c>
      <c r="C923" t="s">
        <v>3764</v>
      </c>
      <c r="D923" s="11" t="s">
        <v>143</v>
      </c>
      <c r="E923" s="11" t="s">
        <v>4045</v>
      </c>
      <c r="F923" s="1">
        <v>46247</v>
      </c>
      <c r="G923" s="1">
        <v>46248</v>
      </c>
      <c r="H923" s="11"/>
      <c r="I923" s="11" t="s">
        <v>327</v>
      </c>
    </row>
    <row r="924" spans="1:9" hidden="1" x14ac:dyDescent="0.25">
      <c r="A924" s="1">
        <v>46248</v>
      </c>
      <c r="B924">
        <v>1017267159</v>
      </c>
      <c r="C924" t="s">
        <v>1908</v>
      </c>
      <c r="D924" s="11" t="s">
        <v>44</v>
      </c>
      <c r="E924" s="11" t="s">
        <v>4045</v>
      </c>
      <c r="F924" s="1">
        <v>46248</v>
      </c>
      <c r="G924" s="1">
        <v>46248</v>
      </c>
      <c r="H924" s="11"/>
      <c r="I924" s="11" t="s">
        <v>327</v>
      </c>
    </row>
    <row r="925" spans="1:9" hidden="1" x14ac:dyDescent="0.25">
      <c r="A925" s="1">
        <v>46248</v>
      </c>
      <c r="B925">
        <v>1143403750</v>
      </c>
      <c r="C925" t="s">
        <v>4167</v>
      </c>
      <c r="D925" s="11" t="s">
        <v>492</v>
      </c>
      <c r="E925" s="11" t="s">
        <v>4045</v>
      </c>
      <c r="F925" s="1">
        <v>46248</v>
      </c>
      <c r="G925" s="1">
        <v>46251</v>
      </c>
      <c r="H925" s="11"/>
      <c r="I925" s="11" t="s">
        <v>327</v>
      </c>
    </row>
    <row r="926" spans="1:9" hidden="1" x14ac:dyDescent="0.25">
      <c r="A926" s="1">
        <v>46248</v>
      </c>
      <c r="B926">
        <v>1002159701</v>
      </c>
      <c r="C926" t="s">
        <v>1272</v>
      </c>
      <c r="D926" s="11" t="s">
        <v>245</v>
      </c>
      <c r="E926" s="11" t="s">
        <v>4040</v>
      </c>
      <c r="F926" s="1">
        <v>46248</v>
      </c>
      <c r="G926" s="1">
        <v>46248</v>
      </c>
      <c r="H926" s="11"/>
      <c r="I926" s="11" t="s">
        <v>327</v>
      </c>
    </row>
    <row r="927" spans="1:9" hidden="1" x14ac:dyDescent="0.25">
      <c r="A927" s="1">
        <v>46248</v>
      </c>
      <c r="B927">
        <v>1000348983</v>
      </c>
      <c r="C927" t="s">
        <v>235</v>
      </c>
      <c r="D927" s="11" t="s">
        <v>162</v>
      </c>
      <c r="E927" s="11" t="s">
        <v>4056</v>
      </c>
      <c r="F927" s="1">
        <v>46247</v>
      </c>
      <c r="H927" s="11"/>
      <c r="I927" s="11" t="s">
        <v>4084</v>
      </c>
    </row>
    <row r="928" spans="1:9" hidden="1" x14ac:dyDescent="0.25">
      <c r="A928" s="1">
        <v>46248</v>
      </c>
      <c r="B928">
        <v>52814989</v>
      </c>
      <c r="C928" t="s">
        <v>2478</v>
      </c>
      <c r="D928" s="11" t="s">
        <v>143</v>
      </c>
      <c r="E928" s="11" t="s">
        <v>4045</v>
      </c>
      <c r="F928" s="1">
        <v>46247</v>
      </c>
      <c r="G928" s="1">
        <v>46248</v>
      </c>
      <c r="H928" s="11"/>
      <c r="I928" s="11" t="s">
        <v>4060</v>
      </c>
    </row>
    <row r="929" spans="1:9" hidden="1" x14ac:dyDescent="0.25">
      <c r="A929" s="1">
        <v>46248</v>
      </c>
      <c r="B929">
        <v>1018484929</v>
      </c>
      <c r="C929" t="s">
        <v>2450</v>
      </c>
      <c r="D929" s="11" t="s">
        <v>68</v>
      </c>
      <c r="E929" s="11" t="s">
        <v>4040</v>
      </c>
      <c r="F929" s="1">
        <v>46248</v>
      </c>
      <c r="G929" s="1">
        <v>46248</v>
      </c>
      <c r="H929" s="11"/>
      <c r="I929" s="11" t="s">
        <v>327</v>
      </c>
    </row>
    <row r="930" spans="1:9" hidden="1" x14ac:dyDescent="0.25">
      <c r="A930" s="1">
        <v>46248</v>
      </c>
      <c r="B930">
        <v>1042455156</v>
      </c>
      <c r="C930" t="s">
        <v>1341</v>
      </c>
      <c r="D930" s="11" t="s">
        <v>55</v>
      </c>
      <c r="E930" s="11" t="s">
        <v>4047</v>
      </c>
      <c r="F930" s="1">
        <v>46248</v>
      </c>
      <c r="G930" s="1">
        <v>46249</v>
      </c>
      <c r="H930" s="11"/>
      <c r="I930" s="11" t="s">
        <v>327</v>
      </c>
    </row>
    <row r="931" spans="1:9" hidden="1" x14ac:dyDescent="0.25">
      <c r="A931" s="1">
        <v>46248</v>
      </c>
      <c r="B931">
        <v>1193584838</v>
      </c>
      <c r="C931" t="s">
        <v>3000</v>
      </c>
      <c r="D931" s="11" t="s">
        <v>59</v>
      </c>
      <c r="E931" s="11" t="s">
        <v>4047</v>
      </c>
      <c r="F931" s="1">
        <v>46248</v>
      </c>
      <c r="G931" s="1">
        <v>46249</v>
      </c>
      <c r="H931" s="11"/>
      <c r="I931" s="11" t="s">
        <v>4060</v>
      </c>
    </row>
    <row r="932" spans="1:9" hidden="1" x14ac:dyDescent="0.25">
      <c r="A932" s="1">
        <v>46248</v>
      </c>
      <c r="B932">
        <v>1003382575</v>
      </c>
      <c r="C932" t="s">
        <v>2702</v>
      </c>
      <c r="D932" s="11" t="s">
        <v>124</v>
      </c>
      <c r="E932" s="11" t="s">
        <v>4045</v>
      </c>
      <c r="F932" s="1">
        <v>46248</v>
      </c>
      <c r="G932" s="1">
        <v>46249</v>
      </c>
      <c r="H932" s="11"/>
      <c r="I932" s="11" t="s">
        <v>327</v>
      </c>
    </row>
    <row r="933" spans="1:9" hidden="1" x14ac:dyDescent="0.25">
      <c r="A933" s="1">
        <v>46248</v>
      </c>
      <c r="B933">
        <v>1143397459</v>
      </c>
      <c r="C933" t="s">
        <v>698</v>
      </c>
      <c r="D933" s="11" t="s">
        <v>634</v>
      </c>
      <c r="E933" s="11" t="s">
        <v>4045</v>
      </c>
      <c r="F933" s="1">
        <v>46248</v>
      </c>
      <c r="G933" s="1">
        <v>46249</v>
      </c>
      <c r="H933" s="11"/>
      <c r="I933" s="11" t="s">
        <v>327</v>
      </c>
    </row>
    <row r="934" spans="1:9" hidden="1" x14ac:dyDescent="0.25">
      <c r="A934" s="1">
        <v>46248</v>
      </c>
      <c r="B934">
        <v>1020482893</v>
      </c>
      <c r="C934" t="s">
        <v>2366</v>
      </c>
      <c r="D934" s="11" t="s">
        <v>132</v>
      </c>
      <c r="E934" s="11" t="s">
        <v>4040</v>
      </c>
      <c r="F934" s="1">
        <v>46248</v>
      </c>
      <c r="G934" s="1">
        <v>46248</v>
      </c>
      <c r="H934" s="11"/>
      <c r="I934" s="11" t="s">
        <v>327</v>
      </c>
    </row>
    <row r="935" spans="1:9" hidden="1" x14ac:dyDescent="0.25">
      <c r="A935" s="1">
        <v>46248</v>
      </c>
      <c r="B935">
        <v>1001996913</v>
      </c>
      <c r="C935" t="s">
        <v>3174</v>
      </c>
      <c r="D935" s="11" t="s">
        <v>28</v>
      </c>
      <c r="E935" s="11" t="s">
        <v>4046</v>
      </c>
      <c r="F935" s="1">
        <v>46248</v>
      </c>
      <c r="G935" s="1">
        <v>46249</v>
      </c>
      <c r="H935" s="11"/>
      <c r="I935" s="11" t="s">
        <v>4060</v>
      </c>
    </row>
    <row r="936" spans="1:9" hidden="1" x14ac:dyDescent="0.25">
      <c r="A936" s="1">
        <v>46248</v>
      </c>
      <c r="B936">
        <v>1017261828</v>
      </c>
      <c r="C936" t="s">
        <v>210</v>
      </c>
      <c r="D936" s="11" t="s">
        <v>28</v>
      </c>
      <c r="E936" s="11" t="s">
        <v>4046</v>
      </c>
      <c r="F936" s="1">
        <v>46248</v>
      </c>
      <c r="G936" s="1">
        <v>46249</v>
      </c>
      <c r="H936" s="11"/>
      <c r="I936" s="11" t="s">
        <v>327</v>
      </c>
    </row>
    <row r="937" spans="1:9" hidden="1" x14ac:dyDescent="0.25">
      <c r="A937" s="1">
        <v>46248</v>
      </c>
      <c r="B937">
        <v>1007223463</v>
      </c>
      <c r="C937" t="s">
        <v>561</v>
      </c>
      <c r="D937" s="11" t="s">
        <v>272</v>
      </c>
      <c r="E937" s="11" t="s">
        <v>4056</v>
      </c>
      <c r="F937" s="1">
        <v>46248</v>
      </c>
      <c r="G937" s="1">
        <v>46248</v>
      </c>
      <c r="H937" s="11"/>
      <c r="I937" s="11" t="s">
        <v>339</v>
      </c>
    </row>
    <row r="938" spans="1:9" hidden="1" x14ac:dyDescent="0.25">
      <c r="A938" s="1">
        <v>46249</v>
      </c>
      <c r="B938">
        <v>1020482893</v>
      </c>
      <c r="C938" t="s">
        <v>4186</v>
      </c>
      <c r="D938" s="11" t="s">
        <v>132</v>
      </c>
      <c r="E938" s="11" t="s">
        <v>4040</v>
      </c>
      <c r="F938" s="1">
        <v>46248</v>
      </c>
      <c r="G938" s="1">
        <v>46248</v>
      </c>
      <c r="H938" s="11"/>
      <c r="I938" s="11" t="s">
        <v>4041</v>
      </c>
    </row>
    <row r="939" spans="1:9" hidden="1" x14ac:dyDescent="0.25">
      <c r="A939" s="1">
        <v>46249</v>
      </c>
      <c r="B939">
        <v>1003382575</v>
      </c>
      <c r="C939" t="s">
        <v>4187</v>
      </c>
      <c r="D939" s="11" t="s">
        <v>124</v>
      </c>
      <c r="E939" s="11" t="s">
        <v>4045</v>
      </c>
      <c r="F939" s="1">
        <v>46248</v>
      </c>
      <c r="G939" s="1">
        <v>46249</v>
      </c>
      <c r="H939" s="11" t="s">
        <v>251</v>
      </c>
      <c r="I939" s="11" t="s">
        <v>252</v>
      </c>
    </row>
    <row r="940" spans="1:9" hidden="1" x14ac:dyDescent="0.25">
      <c r="A940" s="1">
        <v>46249</v>
      </c>
      <c r="B940">
        <v>1193584838</v>
      </c>
      <c r="C940" t="s">
        <v>4109</v>
      </c>
      <c r="D940" s="11" t="s">
        <v>59</v>
      </c>
      <c r="E940" s="11" t="s">
        <v>4047</v>
      </c>
      <c r="F940" s="1">
        <v>46248</v>
      </c>
      <c r="G940" s="1">
        <v>46249</v>
      </c>
      <c r="H940" s="11"/>
      <c r="I940" s="11" t="s">
        <v>4060</v>
      </c>
    </row>
    <row r="941" spans="1:9" hidden="1" x14ac:dyDescent="0.25">
      <c r="A941" s="1">
        <v>46249</v>
      </c>
      <c r="B941">
        <v>52814989</v>
      </c>
      <c r="C941" t="s">
        <v>2478</v>
      </c>
      <c r="D941" s="11" t="s">
        <v>143</v>
      </c>
      <c r="E941" s="11" t="s">
        <v>4045</v>
      </c>
      <c r="F941" s="1">
        <v>46247</v>
      </c>
      <c r="G941" s="1">
        <v>46248</v>
      </c>
      <c r="H941" s="11"/>
      <c r="I941" s="11" t="s">
        <v>4041</v>
      </c>
    </row>
    <row r="942" spans="1:9" hidden="1" x14ac:dyDescent="0.25">
      <c r="A942" s="1">
        <v>46249</v>
      </c>
      <c r="B942">
        <v>1042455156</v>
      </c>
      <c r="C942" t="s">
        <v>1341</v>
      </c>
      <c r="D942" s="11" t="s">
        <v>55</v>
      </c>
      <c r="E942" s="11" t="s">
        <v>4047</v>
      </c>
      <c r="F942" s="1">
        <v>46248</v>
      </c>
      <c r="G942" s="1">
        <v>46249</v>
      </c>
      <c r="H942" s="11"/>
      <c r="I942" s="11" t="s">
        <v>327</v>
      </c>
    </row>
    <row r="943" spans="1:9" hidden="1" x14ac:dyDescent="0.25">
      <c r="A943" s="1">
        <v>46249</v>
      </c>
      <c r="B943">
        <v>1017267159</v>
      </c>
      <c r="C943" t="s">
        <v>1908</v>
      </c>
      <c r="D943" s="11" t="s">
        <v>44</v>
      </c>
      <c r="E943" s="11" t="s">
        <v>4045</v>
      </c>
      <c r="F943" s="1">
        <v>46248</v>
      </c>
      <c r="G943" s="1">
        <v>46248</v>
      </c>
      <c r="H943" s="11"/>
      <c r="I943" s="11" t="s">
        <v>4041</v>
      </c>
    </row>
    <row r="944" spans="1:9" hidden="1" x14ac:dyDescent="0.25">
      <c r="A944" s="1">
        <v>46249</v>
      </c>
      <c r="B944">
        <v>1000398069</v>
      </c>
      <c r="C944" t="s">
        <v>3764</v>
      </c>
      <c r="D944" s="11" t="s">
        <v>143</v>
      </c>
      <c r="E944" s="11" t="s">
        <v>4045</v>
      </c>
      <c r="F944" s="1">
        <v>46247</v>
      </c>
      <c r="G944" s="1">
        <v>46248</v>
      </c>
      <c r="H944" s="11"/>
      <c r="I944" s="11" t="s">
        <v>4041</v>
      </c>
    </row>
    <row r="945" spans="1:9" hidden="1" x14ac:dyDescent="0.25">
      <c r="A945" s="1">
        <v>46249</v>
      </c>
      <c r="B945">
        <v>1143411265</v>
      </c>
      <c r="C945" t="s">
        <v>2355</v>
      </c>
      <c r="D945" s="11" t="s">
        <v>55</v>
      </c>
      <c r="E945" s="11" t="s">
        <v>4047</v>
      </c>
      <c r="F945" s="1">
        <v>46247</v>
      </c>
      <c r="G945" s="1">
        <v>46248</v>
      </c>
      <c r="H945" s="11"/>
      <c r="I945" s="11" t="s">
        <v>4041</v>
      </c>
    </row>
    <row r="946" spans="1:9" hidden="1" x14ac:dyDescent="0.25">
      <c r="A946" s="1">
        <v>46249</v>
      </c>
      <c r="B946">
        <v>1002159701</v>
      </c>
      <c r="C946" t="s">
        <v>4188</v>
      </c>
      <c r="D946" s="11" t="s">
        <v>245</v>
      </c>
      <c r="E946" s="11" t="s">
        <v>4040</v>
      </c>
      <c r="F946" s="1">
        <v>46248</v>
      </c>
      <c r="G946" s="1">
        <v>46248</v>
      </c>
      <c r="H946" s="11"/>
      <c r="I946" s="11" t="s">
        <v>4041</v>
      </c>
    </row>
    <row r="947" spans="1:9" hidden="1" x14ac:dyDescent="0.25">
      <c r="A947" s="1">
        <v>46249</v>
      </c>
      <c r="B947">
        <v>1102808787</v>
      </c>
      <c r="C947" t="s">
        <v>135</v>
      </c>
      <c r="D947" s="11" t="s">
        <v>39</v>
      </c>
      <c r="E947" s="11" t="s">
        <v>4046</v>
      </c>
      <c r="F947" s="1">
        <v>46237</v>
      </c>
      <c r="G947" s="1">
        <v>46276</v>
      </c>
      <c r="H947" s="11"/>
      <c r="I947" s="11" t="s">
        <v>327</v>
      </c>
    </row>
    <row r="948" spans="1:9" hidden="1" x14ac:dyDescent="0.25">
      <c r="A948" s="1">
        <v>46249</v>
      </c>
      <c r="B948">
        <v>1053860403</v>
      </c>
      <c r="C948" t="s">
        <v>4189</v>
      </c>
      <c r="D948" s="11" t="s">
        <v>272</v>
      </c>
      <c r="E948" s="11" t="s">
        <v>4056</v>
      </c>
      <c r="F948" s="1">
        <v>46247</v>
      </c>
      <c r="G948" s="1">
        <v>46249</v>
      </c>
      <c r="H948" s="11"/>
      <c r="I948" s="11" t="s">
        <v>327</v>
      </c>
    </row>
    <row r="949" spans="1:9" hidden="1" x14ac:dyDescent="0.25">
      <c r="A949" s="1">
        <v>46249</v>
      </c>
      <c r="B949">
        <v>72342968</v>
      </c>
      <c r="C949" t="s">
        <v>4190</v>
      </c>
      <c r="D949" s="11" t="s">
        <v>39</v>
      </c>
      <c r="E949" s="11" t="s">
        <v>4046</v>
      </c>
      <c r="F949" s="1">
        <v>46247</v>
      </c>
      <c r="G949" s="1">
        <v>46248</v>
      </c>
      <c r="H949" s="11"/>
      <c r="I949" s="11" t="s">
        <v>4041</v>
      </c>
    </row>
    <row r="950" spans="1:9" hidden="1" x14ac:dyDescent="0.25">
      <c r="A950" s="1">
        <v>46249</v>
      </c>
      <c r="B950">
        <v>1037573035</v>
      </c>
      <c r="C950" t="s">
        <v>4024</v>
      </c>
      <c r="D950" s="11" t="s">
        <v>256</v>
      </c>
      <c r="E950" s="11" t="s">
        <v>4040</v>
      </c>
      <c r="F950" s="1">
        <v>46247</v>
      </c>
      <c r="G950" s="1">
        <v>46248</v>
      </c>
      <c r="H950" s="11"/>
      <c r="I950" s="11" t="s">
        <v>4041</v>
      </c>
    </row>
    <row r="951" spans="1:9" hidden="1" x14ac:dyDescent="0.25">
      <c r="A951" s="1">
        <v>46249</v>
      </c>
      <c r="B951">
        <v>43453341</v>
      </c>
      <c r="C951" t="s">
        <v>146</v>
      </c>
      <c r="D951" s="11" t="s">
        <v>124</v>
      </c>
      <c r="E951" s="11" t="s">
        <v>4045</v>
      </c>
      <c r="F951" s="1">
        <v>46247</v>
      </c>
      <c r="G951" s="1">
        <v>46248</v>
      </c>
      <c r="H951" s="11"/>
      <c r="I951" s="11" t="s">
        <v>4041</v>
      </c>
    </row>
    <row r="952" spans="1:9" hidden="1" x14ac:dyDescent="0.25">
      <c r="A952" s="1">
        <v>46249</v>
      </c>
      <c r="B952">
        <v>1036132488</v>
      </c>
      <c r="C952" t="s">
        <v>58</v>
      </c>
      <c r="D952" s="11" t="s">
        <v>59</v>
      </c>
      <c r="E952" s="11" t="s">
        <v>4047</v>
      </c>
      <c r="F952" s="1">
        <v>46247</v>
      </c>
      <c r="G952" s="1">
        <v>46248</v>
      </c>
      <c r="H952" s="11"/>
      <c r="I952" s="11" t="s">
        <v>4041</v>
      </c>
    </row>
    <row r="953" spans="1:9" hidden="1" x14ac:dyDescent="0.25">
      <c r="A953" s="1">
        <v>46249</v>
      </c>
      <c r="B953">
        <v>1001013936</v>
      </c>
      <c r="C953" t="s">
        <v>4191</v>
      </c>
      <c r="D953" s="11" t="s">
        <v>28</v>
      </c>
      <c r="E953" s="11" t="s">
        <v>4046</v>
      </c>
      <c r="F953" s="1">
        <v>46247</v>
      </c>
      <c r="G953" s="1">
        <v>46248</v>
      </c>
      <c r="H953" s="11"/>
      <c r="I953" s="11" t="s">
        <v>4041</v>
      </c>
    </row>
    <row r="954" spans="1:9" hidden="1" x14ac:dyDescent="0.25">
      <c r="A954" s="1">
        <v>46249</v>
      </c>
      <c r="B954">
        <v>1234090551</v>
      </c>
      <c r="C954" t="s">
        <v>2250</v>
      </c>
      <c r="D954" s="11" t="s">
        <v>162</v>
      </c>
      <c r="E954" s="11" t="s">
        <v>4056</v>
      </c>
      <c r="F954" s="1">
        <v>46247</v>
      </c>
      <c r="G954" s="1">
        <v>46248</v>
      </c>
      <c r="H954" s="11"/>
      <c r="I954" s="11" t="s">
        <v>4041</v>
      </c>
    </row>
    <row r="955" spans="1:9" hidden="1" x14ac:dyDescent="0.25">
      <c r="A955" s="1">
        <v>46249</v>
      </c>
      <c r="B955">
        <v>1152436231</v>
      </c>
      <c r="C955" t="s">
        <v>142</v>
      </c>
      <c r="D955" s="11" t="s">
        <v>143</v>
      </c>
      <c r="E955" s="11" t="s">
        <v>4045</v>
      </c>
      <c r="F955" s="1">
        <v>46247</v>
      </c>
      <c r="G955" s="1">
        <v>46248</v>
      </c>
      <c r="H955" s="11"/>
      <c r="I955" s="11" t="s">
        <v>4041</v>
      </c>
    </row>
    <row r="956" spans="1:9" hidden="1" x14ac:dyDescent="0.25">
      <c r="A956" s="1">
        <v>46249</v>
      </c>
      <c r="B956">
        <v>1036665065</v>
      </c>
      <c r="C956" t="s">
        <v>3689</v>
      </c>
      <c r="D956" s="11" t="s">
        <v>39</v>
      </c>
      <c r="E956" s="11" t="s">
        <v>4046</v>
      </c>
      <c r="F956" s="1">
        <v>46247</v>
      </c>
      <c r="G956" s="1">
        <v>46248</v>
      </c>
      <c r="H956" s="11"/>
      <c r="I956" s="11" t="s">
        <v>4041</v>
      </c>
    </row>
    <row r="957" spans="1:9" hidden="1" x14ac:dyDescent="0.25">
      <c r="A957" s="1">
        <v>46249</v>
      </c>
      <c r="B957">
        <v>1052409952</v>
      </c>
      <c r="C957" t="s">
        <v>4192</v>
      </c>
      <c r="D957" s="11" t="s">
        <v>44</v>
      </c>
      <c r="E957" s="11" t="s">
        <v>4045</v>
      </c>
      <c r="F957" s="1">
        <v>46247</v>
      </c>
      <c r="G957" s="1">
        <v>46248</v>
      </c>
      <c r="H957" s="11"/>
      <c r="I957" s="11" t="s">
        <v>4041</v>
      </c>
    </row>
    <row r="958" spans="1:9" hidden="1" x14ac:dyDescent="0.25">
      <c r="A958" s="1">
        <v>46249</v>
      </c>
      <c r="B958">
        <v>1152434926</v>
      </c>
      <c r="C958" t="s">
        <v>217</v>
      </c>
      <c r="D958" s="11" t="s">
        <v>59</v>
      </c>
      <c r="E958" s="11" t="s">
        <v>4047</v>
      </c>
      <c r="F958" s="1">
        <v>46247</v>
      </c>
      <c r="G958" s="1">
        <v>46249</v>
      </c>
      <c r="H958" s="11" t="s">
        <v>150</v>
      </c>
      <c r="I958" s="11" t="s">
        <v>151</v>
      </c>
    </row>
    <row r="959" spans="1:9" hidden="1" x14ac:dyDescent="0.25">
      <c r="A959" s="1">
        <v>46249</v>
      </c>
      <c r="B959">
        <v>43986125</v>
      </c>
      <c r="C959" t="s">
        <v>1299</v>
      </c>
      <c r="D959" s="11" t="s">
        <v>55</v>
      </c>
      <c r="E959" s="11" t="s">
        <v>4047</v>
      </c>
      <c r="F959" s="1">
        <v>46246</v>
      </c>
      <c r="G959" s="1">
        <v>46248</v>
      </c>
      <c r="H959" s="11"/>
      <c r="I959" s="11" t="s">
        <v>4041</v>
      </c>
    </row>
    <row r="960" spans="1:9" hidden="1" x14ac:dyDescent="0.25">
      <c r="A960" s="1">
        <v>46249</v>
      </c>
      <c r="B960">
        <v>1000100875</v>
      </c>
      <c r="C960" t="s">
        <v>3648</v>
      </c>
      <c r="D960" s="11" t="s">
        <v>55</v>
      </c>
      <c r="E960" s="11" t="s">
        <v>4047</v>
      </c>
      <c r="F960" s="1">
        <v>46247</v>
      </c>
      <c r="G960" s="1">
        <v>46248</v>
      </c>
      <c r="H960" s="11"/>
      <c r="I960" s="11" t="s">
        <v>4041</v>
      </c>
    </row>
    <row r="961" spans="1:9" hidden="1" x14ac:dyDescent="0.25">
      <c r="A961" s="1">
        <v>46249</v>
      </c>
      <c r="B961">
        <v>1003459576</v>
      </c>
      <c r="C961" t="s">
        <v>1032</v>
      </c>
      <c r="D961" s="11" t="s">
        <v>59</v>
      </c>
      <c r="E961" s="11" t="s">
        <v>4047</v>
      </c>
      <c r="F961" s="1">
        <v>46246</v>
      </c>
      <c r="G961" s="1">
        <v>46248</v>
      </c>
      <c r="H961" s="11"/>
      <c r="I961" s="11" t="s">
        <v>4041</v>
      </c>
    </row>
    <row r="962" spans="1:9" hidden="1" x14ac:dyDescent="0.25">
      <c r="A962" s="1">
        <v>46249</v>
      </c>
      <c r="B962">
        <v>1152462501</v>
      </c>
      <c r="C962" t="s">
        <v>3056</v>
      </c>
      <c r="D962" s="11" t="s">
        <v>28</v>
      </c>
      <c r="E962" s="11" t="s">
        <v>4046</v>
      </c>
      <c r="F962" s="1">
        <v>46247</v>
      </c>
      <c r="G962" s="1">
        <v>46248</v>
      </c>
      <c r="H962" s="11"/>
      <c r="I962" s="11" t="s">
        <v>4041</v>
      </c>
    </row>
    <row r="963" spans="1:9" hidden="1" x14ac:dyDescent="0.25">
      <c r="A963" s="1">
        <v>46249</v>
      </c>
      <c r="B963">
        <v>1143267842</v>
      </c>
      <c r="C963" t="s">
        <v>1501</v>
      </c>
      <c r="D963" s="11" t="s">
        <v>128</v>
      </c>
      <c r="E963" s="11" t="s">
        <v>4045</v>
      </c>
      <c r="F963" s="1">
        <v>46246</v>
      </c>
      <c r="G963" s="1">
        <v>46248</v>
      </c>
      <c r="H963" s="11"/>
      <c r="I963" s="11" t="s">
        <v>4041</v>
      </c>
    </row>
    <row r="964" spans="1:9" hidden="1" x14ac:dyDescent="0.25">
      <c r="A964" s="1">
        <v>46249</v>
      </c>
      <c r="B964">
        <v>1082926383</v>
      </c>
      <c r="C964" t="s">
        <v>663</v>
      </c>
      <c r="D964" s="11" t="s">
        <v>132</v>
      </c>
      <c r="E964" s="11" t="s">
        <v>4040</v>
      </c>
      <c r="F964" s="1">
        <v>46246</v>
      </c>
      <c r="G964" s="1">
        <v>46248</v>
      </c>
      <c r="H964" s="11"/>
      <c r="I964" s="11" t="s">
        <v>4041</v>
      </c>
    </row>
    <row r="965" spans="1:9" hidden="1" x14ac:dyDescent="0.25">
      <c r="A965" s="1">
        <v>46249</v>
      </c>
      <c r="B965">
        <v>1098686151</v>
      </c>
      <c r="C965" t="s">
        <v>4194</v>
      </c>
      <c r="D965" s="11" t="s">
        <v>51</v>
      </c>
      <c r="E965" s="11" t="s">
        <v>4047</v>
      </c>
      <c r="F965" s="1">
        <v>46246</v>
      </c>
      <c r="G965" s="1">
        <v>46248</v>
      </c>
      <c r="H965" s="11"/>
      <c r="I965" s="11" t="s">
        <v>4041</v>
      </c>
    </row>
    <row r="966" spans="1:9" hidden="1" x14ac:dyDescent="0.25">
      <c r="A966" s="1">
        <v>46249</v>
      </c>
      <c r="B966">
        <v>1035876080</v>
      </c>
      <c r="C966" t="s">
        <v>123</v>
      </c>
      <c r="D966" s="11" t="s">
        <v>124</v>
      </c>
      <c r="E966" s="11" t="s">
        <v>4045</v>
      </c>
      <c r="F966" s="1">
        <v>46246</v>
      </c>
      <c r="G966" s="1">
        <v>46254</v>
      </c>
      <c r="H966" s="11" t="s">
        <v>213</v>
      </c>
      <c r="I966" s="11" t="s">
        <v>214</v>
      </c>
    </row>
    <row r="967" spans="1:9" hidden="1" x14ac:dyDescent="0.25">
      <c r="A967" s="1">
        <v>46249</v>
      </c>
      <c r="B967">
        <v>1001897056</v>
      </c>
      <c r="C967" t="s">
        <v>334</v>
      </c>
      <c r="D967" s="11" t="s">
        <v>139</v>
      </c>
      <c r="E967" s="11" t="s">
        <v>4040</v>
      </c>
      <c r="F967" s="1">
        <v>46245</v>
      </c>
      <c r="G967" s="1">
        <v>46249</v>
      </c>
      <c r="H967" s="11"/>
      <c r="I967" s="11" t="s">
        <v>4041</v>
      </c>
    </row>
    <row r="968" spans="1:9" hidden="1" x14ac:dyDescent="0.25">
      <c r="A968" s="1">
        <v>46249</v>
      </c>
      <c r="B968">
        <v>1037638426</v>
      </c>
      <c r="C968" t="s">
        <v>61</v>
      </c>
      <c r="D968" s="11" t="s">
        <v>28</v>
      </c>
      <c r="E968" s="11" t="s">
        <v>4046</v>
      </c>
      <c r="F968" s="1">
        <v>46249</v>
      </c>
      <c r="G968" s="1">
        <v>46264</v>
      </c>
      <c r="H968" s="11" t="s">
        <v>300</v>
      </c>
      <c r="I968" s="11" t="s">
        <v>301</v>
      </c>
    </row>
    <row r="969" spans="1:9" hidden="1" x14ac:dyDescent="0.25">
      <c r="A969" s="1">
        <v>46249</v>
      </c>
      <c r="B969">
        <v>1143374438</v>
      </c>
      <c r="C969" t="s">
        <v>154</v>
      </c>
      <c r="D969" s="11" t="s">
        <v>28</v>
      </c>
      <c r="E969" s="11" t="s">
        <v>4046</v>
      </c>
      <c r="F969" s="1">
        <v>46239</v>
      </c>
      <c r="G969" s="1">
        <v>46268</v>
      </c>
      <c r="H969" s="11"/>
      <c r="I969" s="11" t="s">
        <v>4041</v>
      </c>
    </row>
    <row r="970" spans="1:9" hidden="1" x14ac:dyDescent="0.25">
      <c r="A970" s="1">
        <v>46249</v>
      </c>
      <c r="B970">
        <v>1067963513</v>
      </c>
      <c r="C970" t="s">
        <v>84</v>
      </c>
      <c r="D970" s="11" t="s">
        <v>68</v>
      </c>
      <c r="E970" s="11" t="s">
        <v>4040</v>
      </c>
      <c r="F970" s="1">
        <v>46240</v>
      </c>
      <c r="G970" s="1">
        <v>46265</v>
      </c>
      <c r="H970" s="11"/>
      <c r="I970" s="11" t="s">
        <v>4041</v>
      </c>
    </row>
    <row r="971" spans="1:9" hidden="1" x14ac:dyDescent="0.25">
      <c r="A971" s="1">
        <v>46249</v>
      </c>
      <c r="B971">
        <v>1005424850</v>
      </c>
      <c r="C971" t="s">
        <v>95</v>
      </c>
      <c r="D971" s="11" t="s">
        <v>82</v>
      </c>
      <c r="E971" s="11" t="s">
        <v>4045</v>
      </c>
      <c r="F971" s="1">
        <v>46238</v>
      </c>
      <c r="G971" s="1">
        <v>46262</v>
      </c>
      <c r="H971" s="11"/>
      <c r="I971" s="11" t="s">
        <v>4195</v>
      </c>
    </row>
    <row r="972" spans="1:9" hidden="1" x14ac:dyDescent="0.25">
      <c r="A972" s="1">
        <v>46249</v>
      </c>
      <c r="B972">
        <v>1152221372</v>
      </c>
      <c r="C972" t="s">
        <v>4072</v>
      </c>
      <c r="D972" s="11" t="s">
        <v>139</v>
      </c>
      <c r="E972" s="11" t="s">
        <v>4040</v>
      </c>
      <c r="F972" s="1">
        <v>46230</v>
      </c>
      <c r="G972" s="1">
        <v>46230</v>
      </c>
      <c r="H972" s="11" t="s">
        <v>181</v>
      </c>
      <c r="I972" s="11" t="s">
        <v>182</v>
      </c>
    </row>
    <row r="973" spans="1:9" hidden="1" x14ac:dyDescent="0.25">
      <c r="A973" s="1">
        <v>46249</v>
      </c>
      <c r="B973">
        <v>1017264032</v>
      </c>
      <c r="C973" t="s">
        <v>88</v>
      </c>
      <c r="D973" s="11" t="s">
        <v>55</v>
      </c>
      <c r="E973" s="11" t="s">
        <v>4047</v>
      </c>
      <c r="F973" s="1">
        <v>46229</v>
      </c>
      <c r="G973" s="1">
        <v>46258</v>
      </c>
      <c r="H973" s="11" t="s">
        <v>85</v>
      </c>
      <c r="I973" s="11" t="s">
        <v>86</v>
      </c>
    </row>
    <row r="974" spans="1:9" hidden="1" x14ac:dyDescent="0.25">
      <c r="A974" s="1">
        <v>46249</v>
      </c>
      <c r="B974">
        <v>1037631989</v>
      </c>
      <c r="C974" t="s">
        <v>27</v>
      </c>
      <c r="D974" s="11" t="s">
        <v>28</v>
      </c>
      <c r="E974" s="11" t="s">
        <v>4046</v>
      </c>
      <c r="F974" s="1">
        <v>46226</v>
      </c>
      <c r="G974" s="1">
        <v>46255</v>
      </c>
      <c r="H974" s="11" t="s">
        <v>199</v>
      </c>
      <c r="I974" s="11" t="s">
        <v>200</v>
      </c>
    </row>
    <row r="975" spans="1:9" hidden="1" x14ac:dyDescent="0.25">
      <c r="A975" s="1">
        <v>46249</v>
      </c>
      <c r="B975">
        <v>1043006106</v>
      </c>
      <c r="C975" t="s">
        <v>63</v>
      </c>
      <c r="D975" s="11" t="s">
        <v>64</v>
      </c>
      <c r="E975" s="11" t="s">
        <v>4046</v>
      </c>
      <c r="F975" s="1">
        <v>46219</v>
      </c>
      <c r="G975" s="1">
        <v>46248</v>
      </c>
      <c r="H975" s="11" t="s">
        <v>236</v>
      </c>
      <c r="I975" s="11" t="s">
        <v>237</v>
      </c>
    </row>
    <row r="976" spans="1:9" hidden="1" x14ac:dyDescent="0.25">
      <c r="A976" s="1">
        <v>46249</v>
      </c>
      <c r="B976">
        <v>1121506548</v>
      </c>
      <c r="C976" t="s">
        <v>38</v>
      </c>
      <c r="D976" s="11" t="s">
        <v>39</v>
      </c>
      <c r="E976" s="11" t="s">
        <v>4046</v>
      </c>
      <c r="F976" s="1">
        <v>46217</v>
      </c>
      <c r="G976" s="1">
        <v>46342</v>
      </c>
      <c r="H976" s="11"/>
      <c r="I976" s="11" t="s">
        <v>4041</v>
      </c>
    </row>
    <row r="977" spans="1:9" hidden="1" x14ac:dyDescent="0.25">
      <c r="A977" s="1">
        <v>46249</v>
      </c>
      <c r="B977">
        <v>1037630071</v>
      </c>
      <c r="C977" t="s">
        <v>4196</v>
      </c>
      <c r="D977" s="11" t="s">
        <v>176</v>
      </c>
      <c r="E977" s="11" t="s">
        <v>4040</v>
      </c>
      <c r="F977" s="1">
        <v>46247</v>
      </c>
      <c r="G977" s="1">
        <v>46265</v>
      </c>
      <c r="H977" s="11" t="s">
        <v>303</v>
      </c>
      <c r="I977" s="11" t="s">
        <v>304</v>
      </c>
    </row>
    <row r="978" spans="1:9" hidden="1" x14ac:dyDescent="0.25">
      <c r="A978" s="1">
        <v>46249</v>
      </c>
      <c r="B978">
        <v>1036633827</v>
      </c>
      <c r="C978" t="s">
        <v>1356</v>
      </c>
      <c r="D978" s="11" t="s">
        <v>15</v>
      </c>
      <c r="E978" s="11" t="s">
        <v>4046</v>
      </c>
      <c r="F978" s="1">
        <v>46249</v>
      </c>
      <c r="G978" s="1">
        <v>46249</v>
      </c>
      <c r="H978" s="11"/>
      <c r="I978" s="11" t="s">
        <v>4060</v>
      </c>
    </row>
    <row r="979" spans="1:9" hidden="1" x14ac:dyDescent="0.25">
      <c r="A979" s="1">
        <v>46249</v>
      </c>
      <c r="B979">
        <v>1010108820</v>
      </c>
      <c r="C979" t="s">
        <v>1213</v>
      </c>
      <c r="D979" s="11" t="s">
        <v>421</v>
      </c>
      <c r="E979" s="11" t="s">
        <v>4047</v>
      </c>
      <c r="F979" s="1">
        <v>46248</v>
      </c>
      <c r="G979" s="1">
        <v>46249</v>
      </c>
      <c r="H979" s="11"/>
      <c r="I979" s="11" t="s">
        <v>4060</v>
      </c>
    </row>
    <row r="980" spans="1:9" hidden="1" x14ac:dyDescent="0.25">
      <c r="A980" s="1">
        <v>46249</v>
      </c>
      <c r="B980">
        <v>1000662062</v>
      </c>
      <c r="C980" t="s">
        <v>330</v>
      </c>
      <c r="D980" s="11" t="s">
        <v>55</v>
      </c>
      <c r="E980" s="11" t="s">
        <v>4047</v>
      </c>
      <c r="F980" s="1">
        <v>46245</v>
      </c>
      <c r="G980" s="1">
        <v>46249</v>
      </c>
      <c r="H980" s="11"/>
      <c r="I980" s="11" t="s">
        <v>327</v>
      </c>
    </row>
    <row r="981" spans="1:9" hidden="1" x14ac:dyDescent="0.25">
      <c r="A981" s="1">
        <v>46249</v>
      </c>
      <c r="B981">
        <v>1018484929</v>
      </c>
      <c r="C981" t="s">
        <v>2450</v>
      </c>
      <c r="D981" s="11" t="s">
        <v>68</v>
      </c>
      <c r="E981" s="11" t="s">
        <v>4040</v>
      </c>
      <c r="F981" s="1">
        <v>46248</v>
      </c>
      <c r="G981" s="1">
        <v>46248</v>
      </c>
      <c r="H981" s="11"/>
      <c r="I981" s="11" t="s">
        <v>4041</v>
      </c>
    </row>
    <row r="982" spans="1:9" hidden="1" x14ac:dyDescent="0.25">
      <c r="A982" s="1">
        <v>46249</v>
      </c>
      <c r="B982">
        <v>1152462704</v>
      </c>
      <c r="C982" t="s">
        <v>746</v>
      </c>
      <c r="D982" s="11" t="s">
        <v>132</v>
      </c>
      <c r="E982" s="11" t="s">
        <v>4040</v>
      </c>
      <c r="F982" s="1">
        <v>46246</v>
      </c>
      <c r="G982" s="1">
        <v>46248</v>
      </c>
      <c r="H982" s="11"/>
      <c r="I982" s="11" t="s">
        <v>4041</v>
      </c>
    </row>
    <row r="983" spans="1:9" hidden="1" x14ac:dyDescent="0.25">
      <c r="A983" s="1">
        <v>46249</v>
      </c>
      <c r="B983">
        <v>1143397459</v>
      </c>
      <c r="C983" t="s">
        <v>698</v>
      </c>
      <c r="D983" s="11" t="s">
        <v>634</v>
      </c>
      <c r="E983" s="11" t="s">
        <v>4045</v>
      </c>
      <c r="F983" s="1">
        <v>46248</v>
      </c>
      <c r="G983" s="1">
        <v>46249</v>
      </c>
      <c r="H983" s="11"/>
      <c r="I983" s="11" t="s">
        <v>327</v>
      </c>
    </row>
    <row r="984" spans="1:9" hidden="1" x14ac:dyDescent="0.25">
      <c r="A984" s="1">
        <v>46249</v>
      </c>
      <c r="B984">
        <v>73189515</v>
      </c>
      <c r="C984" t="s">
        <v>773</v>
      </c>
      <c r="D984" s="11" t="s">
        <v>272</v>
      </c>
      <c r="E984" s="11" t="s">
        <v>4056</v>
      </c>
      <c r="F984" s="1">
        <v>46248</v>
      </c>
      <c r="G984" s="1">
        <v>46252</v>
      </c>
      <c r="H984" s="11" t="s">
        <v>560</v>
      </c>
      <c r="I984" s="11" t="s">
        <v>561</v>
      </c>
    </row>
    <row r="985" spans="1:9" hidden="1" x14ac:dyDescent="0.25">
      <c r="A985" s="1">
        <v>46249</v>
      </c>
      <c r="B985">
        <v>1000348983</v>
      </c>
      <c r="C985" t="s">
        <v>235</v>
      </c>
      <c r="D985" s="11" t="s">
        <v>162</v>
      </c>
      <c r="E985" s="11" t="s">
        <v>4056</v>
      </c>
      <c r="F985" s="1">
        <v>46247</v>
      </c>
      <c r="H985" s="11"/>
      <c r="I985" s="11" t="s">
        <v>4084</v>
      </c>
    </row>
    <row r="986" spans="1:9" hidden="1" x14ac:dyDescent="0.25">
      <c r="A986" s="1">
        <v>46249</v>
      </c>
      <c r="B986">
        <v>1067959066</v>
      </c>
      <c r="C986" t="s">
        <v>3479</v>
      </c>
      <c r="D986" s="11" t="s">
        <v>344</v>
      </c>
      <c r="E986" s="11" t="s">
        <v>4056</v>
      </c>
      <c r="F986" s="1">
        <v>46247</v>
      </c>
      <c r="G986" s="1">
        <v>46248</v>
      </c>
      <c r="H986" s="11"/>
      <c r="I986" s="11" t="s">
        <v>4041</v>
      </c>
    </row>
    <row r="987" spans="1:9" hidden="1" x14ac:dyDescent="0.25">
      <c r="A987" s="1">
        <v>46249</v>
      </c>
      <c r="B987">
        <v>92541180</v>
      </c>
      <c r="C987" t="s">
        <v>2605</v>
      </c>
      <c r="D987" s="11" t="s">
        <v>128</v>
      </c>
      <c r="E987" s="11" t="s">
        <v>4045</v>
      </c>
      <c r="F987" s="1">
        <v>46247</v>
      </c>
      <c r="H987" s="11"/>
      <c r="I987" s="11" t="s">
        <v>4060</v>
      </c>
    </row>
    <row r="988" spans="1:9" hidden="1" x14ac:dyDescent="0.25">
      <c r="A988" s="1">
        <v>46249</v>
      </c>
      <c r="B988">
        <v>43978621</v>
      </c>
      <c r="C988" t="s">
        <v>1600</v>
      </c>
      <c r="D988" s="11" t="s">
        <v>272</v>
      </c>
      <c r="E988" s="11" t="s">
        <v>4056</v>
      </c>
      <c r="F988" s="1">
        <v>46248</v>
      </c>
      <c r="H988" s="11"/>
      <c r="I988" s="11" t="s">
        <v>4162</v>
      </c>
    </row>
    <row r="989" spans="1:9" hidden="1" x14ac:dyDescent="0.25">
      <c r="A989" s="1">
        <v>46249</v>
      </c>
      <c r="B989">
        <v>1143405766</v>
      </c>
      <c r="C989" t="s">
        <v>822</v>
      </c>
      <c r="D989" s="11" t="s">
        <v>124</v>
      </c>
      <c r="E989" s="11" t="s">
        <v>4045</v>
      </c>
      <c r="F989" s="1">
        <v>46249</v>
      </c>
      <c r="G989" s="1">
        <v>46249</v>
      </c>
      <c r="H989" s="11"/>
      <c r="I989" s="11" t="s">
        <v>327</v>
      </c>
    </row>
    <row r="990" spans="1:9" hidden="1" x14ac:dyDescent="0.25">
      <c r="A990" s="1">
        <v>46249</v>
      </c>
      <c r="B990">
        <v>1002155665</v>
      </c>
      <c r="C990" t="s">
        <v>3791</v>
      </c>
      <c r="D990" s="11" t="s">
        <v>64</v>
      </c>
      <c r="E990" s="11" t="s">
        <v>4046</v>
      </c>
      <c r="F990" s="1">
        <v>46249</v>
      </c>
      <c r="G990" s="1">
        <v>46249</v>
      </c>
      <c r="H990" s="11"/>
      <c r="I990" s="11" t="s">
        <v>327</v>
      </c>
    </row>
    <row r="991" spans="1:9" hidden="1" x14ac:dyDescent="0.25">
      <c r="A991" s="1">
        <v>46249</v>
      </c>
      <c r="B991">
        <v>1140891109</v>
      </c>
      <c r="C991" t="s">
        <v>1287</v>
      </c>
      <c r="D991" s="11" t="s">
        <v>51</v>
      </c>
      <c r="E991" s="11" t="s">
        <v>4047</v>
      </c>
      <c r="F991" s="1">
        <v>46249</v>
      </c>
      <c r="G991" s="1">
        <v>46249</v>
      </c>
      <c r="H991" s="11"/>
      <c r="I991" s="11" t="s">
        <v>4060</v>
      </c>
    </row>
    <row r="992" spans="1:9" hidden="1" x14ac:dyDescent="0.25">
      <c r="A992" s="1">
        <v>46249</v>
      </c>
      <c r="B992">
        <v>1152467699</v>
      </c>
      <c r="C992" t="s">
        <v>2793</v>
      </c>
      <c r="D992" s="11" t="s">
        <v>139</v>
      </c>
      <c r="E992" s="11" t="s">
        <v>4040</v>
      </c>
      <c r="F992" s="1">
        <v>46249</v>
      </c>
      <c r="G992" s="1">
        <v>46249</v>
      </c>
      <c r="H992" s="11"/>
      <c r="I992" s="11" t="s">
        <v>4060</v>
      </c>
    </row>
    <row r="993" spans="1:9" hidden="1" x14ac:dyDescent="0.25">
      <c r="A993" s="1">
        <v>46249</v>
      </c>
      <c r="B993">
        <v>1037642818</v>
      </c>
      <c r="C993" t="s">
        <v>3692</v>
      </c>
      <c r="D993" s="11" t="s">
        <v>28</v>
      </c>
      <c r="E993" s="11" t="s">
        <v>4046</v>
      </c>
      <c r="F993" s="1">
        <v>46248</v>
      </c>
      <c r="G993" s="1">
        <v>46249</v>
      </c>
      <c r="H993" s="11"/>
      <c r="I993" s="11" t="s">
        <v>4060</v>
      </c>
    </row>
    <row r="994" spans="1:9" hidden="1" x14ac:dyDescent="0.25">
      <c r="A994" s="1">
        <v>46249</v>
      </c>
      <c r="B994">
        <v>1000204850</v>
      </c>
      <c r="C994" t="s">
        <v>1468</v>
      </c>
      <c r="D994" s="11" t="s">
        <v>245</v>
      </c>
      <c r="E994" s="11" t="s">
        <v>4040</v>
      </c>
      <c r="F994" s="1">
        <v>46249</v>
      </c>
      <c r="G994" s="1">
        <v>46249</v>
      </c>
      <c r="H994" s="11"/>
      <c r="I994" s="11" t="s">
        <v>4060</v>
      </c>
    </row>
    <row r="995" spans="1:9" hidden="1" x14ac:dyDescent="0.25">
      <c r="A995" s="1">
        <v>46249</v>
      </c>
      <c r="B995">
        <v>1043006106</v>
      </c>
      <c r="C995" t="s">
        <v>202</v>
      </c>
      <c r="D995" s="11" t="s">
        <v>64</v>
      </c>
      <c r="E995" s="11" t="s">
        <v>4046</v>
      </c>
      <c r="F995" s="1">
        <v>46248</v>
      </c>
      <c r="G995" s="1">
        <v>46277</v>
      </c>
      <c r="H995" s="11"/>
      <c r="I995" s="11" t="s">
        <v>327</v>
      </c>
    </row>
    <row r="996" spans="1:9" hidden="1" x14ac:dyDescent="0.25">
      <c r="A996" s="1">
        <v>46249</v>
      </c>
      <c r="B996">
        <v>1233343291</v>
      </c>
      <c r="C996" t="s">
        <v>3974</v>
      </c>
      <c r="D996" s="11" t="s">
        <v>143</v>
      </c>
      <c r="E996" s="11" t="s">
        <v>4045</v>
      </c>
      <c r="F996" s="1">
        <v>46249</v>
      </c>
      <c r="G996" s="1">
        <v>46249</v>
      </c>
      <c r="H996" s="11"/>
      <c r="I996" s="11" t="s">
        <v>4060</v>
      </c>
    </row>
    <row r="997" spans="1:9" hidden="1" x14ac:dyDescent="0.25">
      <c r="A997" s="1">
        <v>46249</v>
      </c>
      <c r="B997">
        <v>1003190674</v>
      </c>
      <c r="C997" t="s">
        <v>1950</v>
      </c>
      <c r="D997" s="11" t="s">
        <v>55</v>
      </c>
      <c r="E997" s="11" t="s">
        <v>4047</v>
      </c>
      <c r="F997" s="1">
        <v>46249</v>
      </c>
      <c r="G997" s="1">
        <v>46249</v>
      </c>
      <c r="H997" s="11"/>
      <c r="I997" s="11" t="s">
        <v>327</v>
      </c>
    </row>
    <row r="998" spans="1:9" hidden="1" x14ac:dyDescent="0.25">
      <c r="A998" s="1">
        <v>46249</v>
      </c>
      <c r="B998">
        <v>1036675646</v>
      </c>
      <c r="C998" t="s">
        <v>957</v>
      </c>
      <c r="D998" s="11" t="s">
        <v>272</v>
      </c>
      <c r="E998" s="11" t="s">
        <v>4056</v>
      </c>
      <c r="F998" s="1">
        <v>46249</v>
      </c>
      <c r="G998" s="1">
        <v>46249</v>
      </c>
      <c r="H998" s="11"/>
      <c r="I998" s="11" t="s">
        <v>4060</v>
      </c>
    </row>
    <row r="999" spans="1:9" hidden="1" x14ac:dyDescent="0.25">
      <c r="A999" s="1">
        <v>46249</v>
      </c>
      <c r="B999">
        <v>1007959114</v>
      </c>
      <c r="C999" t="s">
        <v>337</v>
      </c>
      <c r="D999" s="11" t="s">
        <v>39</v>
      </c>
      <c r="E999" s="11" t="s">
        <v>4046</v>
      </c>
      <c r="F999" s="1">
        <v>46249</v>
      </c>
      <c r="G999" s="1">
        <v>46253</v>
      </c>
      <c r="H999" s="11"/>
      <c r="I999" s="11" t="s">
        <v>4060</v>
      </c>
    </row>
    <row r="1000" spans="1:9" hidden="1" x14ac:dyDescent="0.25">
      <c r="A1000" s="1">
        <v>46249</v>
      </c>
      <c r="B1000">
        <v>1152187746</v>
      </c>
      <c r="C1000" t="s">
        <v>4007</v>
      </c>
      <c r="D1000" s="11" t="s">
        <v>619</v>
      </c>
      <c r="E1000" s="11" t="s">
        <v>4045</v>
      </c>
      <c r="F1000" s="1">
        <v>46249</v>
      </c>
      <c r="H1000" s="11"/>
      <c r="I1000" s="11" t="s">
        <v>4060</v>
      </c>
    </row>
    <row r="1001" spans="1:9" hidden="1" x14ac:dyDescent="0.25">
      <c r="A1001" s="1">
        <v>46249</v>
      </c>
      <c r="B1001">
        <v>1152215751</v>
      </c>
      <c r="C1001" t="s">
        <v>2668</v>
      </c>
      <c r="D1001" s="11" t="s">
        <v>162</v>
      </c>
      <c r="E1001" s="11" t="s">
        <v>4056</v>
      </c>
      <c r="F1001" s="1">
        <v>46249</v>
      </c>
      <c r="G1001" s="1">
        <v>46249</v>
      </c>
      <c r="H1001" s="11"/>
      <c r="I1001" s="11" t="s">
        <v>4060</v>
      </c>
    </row>
    <row r="1002" spans="1:9" hidden="1" x14ac:dyDescent="0.25">
      <c r="A1002" s="1">
        <v>46249</v>
      </c>
      <c r="B1002">
        <v>1000395784</v>
      </c>
      <c r="C1002" t="s">
        <v>963</v>
      </c>
      <c r="D1002" s="11" t="s">
        <v>272</v>
      </c>
      <c r="E1002" s="11" t="s">
        <v>4056</v>
      </c>
      <c r="F1002" s="1">
        <v>46249</v>
      </c>
      <c r="G1002" s="1">
        <v>46249</v>
      </c>
      <c r="H1002" s="11"/>
      <c r="I1002" s="11" t="s">
        <v>4060</v>
      </c>
    </row>
    <row r="1003" spans="1:9" hidden="1" x14ac:dyDescent="0.25">
      <c r="A1003" s="1">
        <v>46249</v>
      </c>
      <c r="B1003">
        <v>1041149354</v>
      </c>
      <c r="C1003" t="s">
        <v>2319</v>
      </c>
      <c r="D1003" s="11" t="s">
        <v>55</v>
      </c>
      <c r="E1003" s="11" t="s">
        <v>4040</v>
      </c>
      <c r="F1003" s="1">
        <v>46249</v>
      </c>
      <c r="G1003" s="1">
        <v>46249</v>
      </c>
      <c r="H1003" s="11"/>
      <c r="I1003" s="11" t="s">
        <v>4060</v>
      </c>
    </row>
    <row r="1004" spans="1:9" hidden="1" x14ac:dyDescent="0.25">
      <c r="A1004" s="1">
        <v>46249</v>
      </c>
      <c r="B1004">
        <v>1152709914</v>
      </c>
      <c r="C1004" t="s">
        <v>3437</v>
      </c>
      <c r="D1004" s="11" t="s">
        <v>139</v>
      </c>
      <c r="E1004" s="11" t="s">
        <v>4040</v>
      </c>
      <c r="F1004" s="1">
        <v>46249</v>
      </c>
      <c r="G1004" s="1">
        <v>46249</v>
      </c>
      <c r="H1004" s="11"/>
      <c r="I1004" s="11" t="s">
        <v>4060</v>
      </c>
    </row>
    <row r="1005" spans="1:9" hidden="1" x14ac:dyDescent="0.25">
      <c r="A1005" s="1">
        <v>46249</v>
      </c>
      <c r="B1005">
        <v>1152467699</v>
      </c>
      <c r="C1005" t="s">
        <v>2793</v>
      </c>
      <c r="D1005" s="11" t="s">
        <v>139</v>
      </c>
      <c r="E1005" s="11" t="s">
        <v>4040</v>
      </c>
      <c r="F1005" s="1">
        <v>46249</v>
      </c>
      <c r="G1005" s="1">
        <v>46249</v>
      </c>
      <c r="H1005" s="11"/>
      <c r="I1005" s="11" t="s">
        <v>4060</v>
      </c>
    </row>
    <row r="1006" spans="1:9" hidden="1" x14ac:dyDescent="0.25">
      <c r="A1006" s="1">
        <v>46249</v>
      </c>
      <c r="B1006">
        <v>1000049316</v>
      </c>
      <c r="C1006" t="s">
        <v>623</v>
      </c>
      <c r="D1006" s="11" t="s">
        <v>492</v>
      </c>
      <c r="E1006" s="11" t="s">
        <v>4045</v>
      </c>
      <c r="F1006" s="1">
        <v>46249</v>
      </c>
      <c r="G1006" s="1">
        <v>46249</v>
      </c>
      <c r="H1006" s="11"/>
      <c r="I1006" s="11" t="s">
        <v>4060</v>
      </c>
    </row>
    <row r="1007" spans="1:9" hidden="1" x14ac:dyDescent="0.25">
      <c r="A1007" s="1">
        <v>46249</v>
      </c>
      <c r="B1007">
        <v>1000204850</v>
      </c>
      <c r="C1007" t="s">
        <v>1468</v>
      </c>
      <c r="D1007" s="11" t="s">
        <v>245</v>
      </c>
      <c r="E1007" s="11" t="s">
        <v>4040</v>
      </c>
      <c r="F1007" s="1">
        <v>46249</v>
      </c>
      <c r="G1007" s="1">
        <v>46249</v>
      </c>
      <c r="H1007" s="11"/>
      <c r="I1007" s="11" t="s">
        <v>4041</v>
      </c>
    </row>
    <row r="1008" spans="1:9" hidden="1" x14ac:dyDescent="0.25">
      <c r="A1008" s="1">
        <v>46249</v>
      </c>
      <c r="B1008">
        <v>43978621</v>
      </c>
      <c r="C1008" t="s">
        <v>1600</v>
      </c>
      <c r="D1008" s="11" t="s">
        <v>272</v>
      </c>
      <c r="E1008" s="11" t="s">
        <v>4056</v>
      </c>
      <c r="F1008" s="1">
        <v>46249</v>
      </c>
      <c r="G1008" s="1">
        <v>46249</v>
      </c>
      <c r="H1008" s="11"/>
      <c r="I1008" s="11" t="s">
        <v>4041</v>
      </c>
    </row>
    <row r="1009" spans="1:9" hidden="1" x14ac:dyDescent="0.25">
      <c r="A1009" s="1">
        <v>46249</v>
      </c>
      <c r="B1009">
        <v>1037659560</v>
      </c>
      <c r="C1009" t="s">
        <v>4200</v>
      </c>
      <c r="D1009" s="11" t="s">
        <v>28</v>
      </c>
      <c r="E1009" s="11" t="s">
        <v>4046</v>
      </c>
      <c r="F1009" s="1">
        <v>46249</v>
      </c>
      <c r="G1009" s="1">
        <v>46249</v>
      </c>
      <c r="H1009" s="11"/>
      <c r="I1009" s="11" t="s">
        <v>327</v>
      </c>
    </row>
    <row r="1010" spans="1:9" hidden="1" x14ac:dyDescent="0.25">
      <c r="A1010" s="1">
        <v>46253</v>
      </c>
      <c r="B1010">
        <v>1001944593</v>
      </c>
      <c r="C1010" t="s">
        <v>2629</v>
      </c>
      <c r="D1010" s="11" t="s">
        <v>128</v>
      </c>
      <c r="E1010" s="11" t="s">
        <v>4045</v>
      </c>
      <c r="F1010" s="1">
        <v>46252</v>
      </c>
      <c r="G1010" s="1">
        <v>46252</v>
      </c>
      <c r="H1010" s="11"/>
      <c r="I1010" s="11" t="s">
        <v>4060</v>
      </c>
    </row>
    <row r="1011" spans="1:9" hidden="1" x14ac:dyDescent="0.25">
      <c r="A1011" s="1">
        <v>46253</v>
      </c>
      <c r="B1011">
        <v>1214714989</v>
      </c>
      <c r="C1011" t="s">
        <v>2191</v>
      </c>
      <c r="D1011" s="11" t="s">
        <v>256</v>
      </c>
      <c r="E1011" s="11" t="s">
        <v>4040</v>
      </c>
      <c r="F1011" s="1">
        <v>46252</v>
      </c>
      <c r="G1011" s="1">
        <v>46253</v>
      </c>
      <c r="H1011" s="11"/>
      <c r="I1011" s="11" t="s">
        <v>327</v>
      </c>
    </row>
    <row r="1012" spans="1:9" hidden="1" x14ac:dyDescent="0.25">
      <c r="A1012" s="1">
        <v>46253</v>
      </c>
      <c r="B1012">
        <v>1143267842</v>
      </c>
      <c r="C1012" t="s">
        <v>1501</v>
      </c>
      <c r="D1012" s="11" t="s">
        <v>128</v>
      </c>
      <c r="E1012" s="11" t="s">
        <v>4045</v>
      </c>
      <c r="F1012" s="1">
        <v>46252</v>
      </c>
      <c r="G1012" s="1">
        <v>46253</v>
      </c>
      <c r="H1012" s="11" t="s">
        <v>103</v>
      </c>
      <c r="I1012" s="11" t="s">
        <v>104</v>
      </c>
    </row>
    <row r="1013" spans="1:9" hidden="1" x14ac:dyDescent="0.25">
      <c r="A1013" s="1">
        <v>46253</v>
      </c>
      <c r="B1013">
        <v>1152467583</v>
      </c>
      <c r="C1013" t="s">
        <v>3788</v>
      </c>
      <c r="D1013" s="11" t="s">
        <v>68</v>
      </c>
      <c r="E1013" s="11" t="s">
        <v>4040</v>
      </c>
      <c r="F1013" s="1">
        <v>46252</v>
      </c>
      <c r="G1013" s="1">
        <v>46253</v>
      </c>
      <c r="H1013" s="11" t="s">
        <v>240</v>
      </c>
      <c r="I1013" s="11" t="s">
        <v>241</v>
      </c>
    </row>
    <row r="1014" spans="1:9" hidden="1" x14ac:dyDescent="0.25">
      <c r="A1014" s="1">
        <v>46253</v>
      </c>
      <c r="B1014">
        <v>88030132</v>
      </c>
      <c r="C1014" t="s">
        <v>1956</v>
      </c>
      <c r="D1014" s="11" t="s">
        <v>59</v>
      </c>
      <c r="E1014" s="11" t="s">
        <v>4047</v>
      </c>
      <c r="F1014" s="1">
        <v>46252</v>
      </c>
      <c r="G1014" s="1">
        <v>46253</v>
      </c>
      <c r="H1014" s="11"/>
      <c r="I1014" s="11" t="s">
        <v>327</v>
      </c>
    </row>
    <row r="1015" spans="1:9" hidden="1" x14ac:dyDescent="0.25">
      <c r="A1015" s="1">
        <v>46253</v>
      </c>
      <c r="B1015">
        <v>1001996913</v>
      </c>
      <c r="C1015" t="s">
        <v>3174</v>
      </c>
      <c r="D1015" s="11" t="s">
        <v>28</v>
      </c>
      <c r="E1015" s="11" t="s">
        <v>4046</v>
      </c>
      <c r="F1015" s="1">
        <v>46252</v>
      </c>
      <c r="G1015" s="1">
        <v>46254</v>
      </c>
      <c r="H1015" s="11"/>
      <c r="I1015" s="11" t="s">
        <v>4060</v>
      </c>
    </row>
    <row r="1016" spans="1:9" hidden="1" x14ac:dyDescent="0.25">
      <c r="A1016" s="1">
        <v>46253</v>
      </c>
      <c r="B1016">
        <v>1193037165</v>
      </c>
      <c r="C1016" t="s">
        <v>3800</v>
      </c>
      <c r="D1016" s="11" t="s">
        <v>78</v>
      </c>
      <c r="E1016" s="11" t="s">
        <v>4046</v>
      </c>
      <c r="F1016" s="1">
        <v>46252</v>
      </c>
      <c r="G1016" s="1">
        <v>46253</v>
      </c>
      <c r="H1016" s="11"/>
      <c r="I1016" s="11" t="s">
        <v>327</v>
      </c>
    </row>
    <row r="1017" spans="1:9" hidden="1" x14ac:dyDescent="0.25">
      <c r="A1017" s="1">
        <v>46253</v>
      </c>
      <c r="B1017">
        <v>1083048590</v>
      </c>
      <c r="C1017" t="s">
        <v>2487</v>
      </c>
      <c r="D1017" s="11" t="s">
        <v>28</v>
      </c>
      <c r="E1017" s="11" t="s">
        <v>4046</v>
      </c>
      <c r="F1017" s="1">
        <v>46252</v>
      </c>
      <c r="G1017" s="1">
        <v>46252</v>
      </c>
      <c r="H1017" s="11"/>
      <c r="I1017" s="11" t="s">
        <v>4041</v>
      </c>
    </row>
    <row r="1018" spans="1:9" hidden="1" x14ac:dyDescent="0.25">
      <c r="A1018" s="1">
        <v>46253</v>
      </c>
      <c r="B1018">
        <v>1152187746</v>
      </c>
      <c r="C1018" t="s">
        <v>4007</v>
      </c>
      <c r="D1018" s="11" t="s">
        <v>619</v>
      </c>
      <c r="E1018" s="11" t="s">
        <v>4045</v>
      </c>
      <c r="F1018" s="1">
        <v>46252</v>
      </c>
      <c r="G1018" s="1">
        <v>46252</v>
      </c>
      <c r="H1018" s="11"/>
      <c r="I1018" s="11" t="s">
        <v>4041</v>
      </c>
    </row>
    <row r="1019" spans="1:9" hidden="1" x14ac:dyDescent="0.25">
      <c r="A1019" s="1">
        <v>46253</v>
      </c>
      <c r="B1019">
        <v>43453341</v>
      </c>
      <c r="C1019" t="s">
        <v>146</v>
      </c>
      <c r="D1019" s="11" t="s">
        <v>124</v>
      </c>
      <c r="E1019" s="11" t="s">
        <v>4045</v>
      </c>
      <c r="F1019" s="1">
        <v>46252</v>
      </c>
      <c r="G1019" s="1">
        <v>46253</v>
      </c>
      <c r="H1019" s="11" t="s">
        <v>150</v>
      </c>
      <c r="I1019" s="11" t="s">
        <v>151</v>
      </c>
    </row>
    <row r="1020" spans="1:9" hidden="1" x14ac:dyDescent="0.25">
      <c r="A1020" s="1">
        <v>46253</v>
      </c>
      <c r="B1020">
        <v>1045718883</v>
      </c>
      <c r="C1020" t="s">
        <v>34</v>
      </c>
      <c r="D1020" s="11" t="s">
        <v>15</v>
      </c>
      <c r="E1020" s="11" t="s">
        <v>4046</v>
      </c>
      <c r="F1020" s="1">
        <v>46244</v>
      </c>
      <c r="G1020" s="1">
        <v>46393</v>
      </c>
      <c r="H1020" s="11" t="s">
        <v>294</v>
      </c>
      <c r="I1020" s="11" t="s">
        <v>295</v>
      </c>
    </row>
    <row r="1021" spans="1:9" hidden="1" x14ac:dyDescent="0.25">
      <c r="A1021" s="1">
        <v>46253</v>
      </c>
      <c r="B1021">
        <v>1007959114</v>
      </c>
      <c r="C1021" t="s">
        <v>337</v>
      </c>
      <c r="D1021" s="11" t="s">
        <v>39</v>
      </c>
      <c r="E1021" s="11" t="s">
        <v>4046</v>
      </c>
      <c r="F1021" s="1">
        <v>46249</v>
      </c>
      <c r="G1021" s="1">
        <v>46253</v>
      </c>
      <c r="H1021" s="11"/>
      <c r="I1021" s="11" t="s">
        <v>327</v>
      </c>
    </row>
    <row r="1022" spans="1:9" hidden="1" x14ac:dyDescent="0.25">
      <c r="A1022" s="1">
        <v>46253</v>
      </c>
      <c r="B1022">
        <v>1043006106</v>
      </c>
      <c r="C1022" t="s">
        <v>202</v>
      </c>
      <c r="D1022" s="11" t="s">
        <v>64</v>
      </c>
      <c r="E1022" s="11" t="s">
        <v>4046</v>
      </c>
      <c r="F1022" s="1">
        <v>46249</v>
      </c>
      <c r="G1022" s="1">
        <v>46278</v>
      </c>
      <c r="H1022" s="11" t="s">
        <v>222</v>
      </c>
      <c r="I1022" s="11" t="s">
        <v>223</v>
      </c>
    </row>
    <row r="1023" spans="1:9" hidden="1" x14ac:dyDescent="0.25">
      <c r="A1023" s="1">
        <v>46253</v>
      </c>
      <c r="B1023">
        <v>1040755197</v>
      </c>
      <c r="C1023" t="s">
        <v>171</v>
      </c>
      <c r="D1023" s="11" t="s">
        <v>172</v>
      </c>
      <c r="E1023" s="11" t="s">
        <v>4046</v>
      </c>
      <c r="F1023" s="1">
        <v>46252</v>
      </c>
      <c r="G1023" s="1">
        <v>46262</v>
      </c>
      <c r="H1023" s="11" t="s">
        <v>199</v>
      </c>
      <c r="I1023" s="11" t="s">
        <v>200</v>
      </c>
    </row>
    <row r="1024" spans="1:9" hidden="1" x14ac:dyDescent="0.25">
      <c r="A1024" s="1">
        <v>46253</v>
      </c>
      <c r="B1024">
        <v>1140891109</v>
      </c>
      <c r="C1024" t="s">
        <v>1287</v>
      </c>
      <c r="D1024" s="11" t="s">
        <v>51</v>
      </c>
      <c r="E1024" s="11" t="s">
        <v>4047</v>
      </c>
      <c r="F1024" s="1">
        <v>46249</v>
      </c>
      <c r="G1024" s="1">
        <v>46249</v>
      </c>
      <c r="H1024" s="11"/>
      <c r="I1024" s="11" t="s">
        <v>4041</v>
      </c>
    </row>
    <row r="1025" spans="1:9" hidden="1" x14ac:dyDescent="0.25">
      <c r="A1025" s="1">
        <v>46253</v>
      </c>
      <c r="B1025">
        <v>1102808787</v>
      </c>
      <c r="C1025" t="s">
        <v>135</v>
      </c>
      <c r="D1025" s="11" t="s">
        <v>39</v>
      </c>
      <c r="E1025" s="11" t="s">
        <v>4046</v>
      </c>
      <c r="F1025" s="1">
        <v>46237</v>
      </c>
      <c r="G1025" s="1">
        <v>46276</v>
      </c>
      <c r="H1025" s="11"/>
      <c r="I1025" s="11" t="s">
        <v>327</v>
      </c>
    </row>
    <row r="1026" spans="1:9" hidden="1" x14ac:dyDescent="0.25">
      <c r="A1026" s="1">
        <v>46253</v>
      </c>
      <c r="B1026">
        <v>1001479648</v>
      </c>
      <c r="C1026" t="s">
        <v>2970</v>
      </c>
      <c r="D1026" s="11" t="s">
        <v>414</v>
      </c>
      <c r="E1026" s="11" t="s">
        <v>4056</v>
      </c>
      <c r="F1026" s="1">
        <v>46253</v>
      </c>
      <c r="G1026" s="1">
        <v>46253</v>
      </c>
      <c r="H1026" s="11" t="s">
        <v>184</v>
      </c>
      <c r="I1026" s="11" t="s">
        <v>185</v>
      </c>
    </row>
    <row r="1027" spans="1:9" hidden="1" x14ac:dyDescent="0.25">
      <c r="A1027" s="1">
        <v>46253</v>
      </c>
      <c r="B1027">
        <v>1035876080</v>
      </c>
      <c r="C1027" t="s">
        <v>123</v>
      </c>
      <c r="D1027" s="11" t="s">
        <v>124</v>
      </c>
      <c r="E1027" s="11" t="s">
        <v>4045</v>
      </c>
      <c r="F1027" s="1">
        <v>46246</v>
      </c>
      <c r="G1027" s="1">
        <v>46254</v>
      </c>
      <c r="H1027" s="11" t="s">
        <v>303</v>
      </c>
      <c r="I1027" s="11" t="s">
        <v>304</v>
      </c>
    </row>
    <row r="1028" spans="1:9" hidden="1" x14ac:dyDescent="0.25">
      <c r="A1028" s="1">
        <v>46253</v>
      </c>
      <c r="B1028">
        <v>1037638426</v>
      </c>
      <c r="C1028" t="s">
        <v>31</v>
      </c>
      <c r="D1028" s="11" t="s">
        <v>28</v>
      </c>
      <c r="E1028" s="11" t="s">
        <v>4046</v>
      </c>
      <c r="F1028" s="1">
        <v>46249</v>
      </c>
      <c r="G1028" s="1">
        <v>46264</v>
      </c>
      <c r="H1028" s="11" t="s">
        <v>17</v>
      </c>
      <c r="I1028" s="11" t="s">
        <v>18</v>
      </c>
    </row>
    <row r="1029" spans="1:9" hidden="1" x14ac:dyDescent="0.25">
      <c r="A1029" s="1">
        <v>46253</v>
      </c>
      <c r="B1029">
        <v>1082896324</v>
      </c>
      <c r="C1029" t="s">
        <v>127</v>
      </c>
      <c r="D1029" s="11" t="s">
        <v>128</v>
      </c>
      <c r="E1029" s="11" t="s">
        <v>4045</v>
      </c>
      <c r="F1029" s="1">
        <v>46242</v>
      </c>
      <c r="G1029" s="1">
        <v>46272</v>
      </c>
      <c r="H1029" s="11" t="s">
        <v>167</v>
      </c>
      <c r="I1029" s="11" t="s">
        <v>168</v>
      </c>
    </row>
    <row r="1030" spans="1:9" hidden="1" x14ac:dyDescent="0.25">
      <c r="A1030" s="1">
        <v>46253</v>
      </c>
      <c r="B1030">
        <v>1017270214</v>
      </c>
      <c r="C1030" t="s">
        <v>1016</v>
      </c>
      <c r="D1030" s="11" t="s">
        <v>139</v>
      </c>
      <c r="E1030" s="11" t="s">
        <v>4040</v>
      </c>
      <c r="F1030" s="1">
        <v>46253</v>
      </c>
      <c r="G1030" s="1">
        <v>46255</v>
      </c>
      <c r="H1030" s="11" t="s">
        <v>85</v>
      </c>
      <c r="I1030" s="11" t="s">
        <v>86</v>
      </c>
    </row>
    <row r="1031" spans="1:9" hidden="1" x14ac:dyDescent="0.25">
      <c r="A1031" s="1">
        <v>46253</v>
      </c>
      <c r="B1031">
        <v>1015483595</v>
      </c>
      <c r="C1031" t="s">
        <v>23</v>
      </c>
      <c r="D1031" s="11" t="s">
        <v>15</v>
      </c>
      <c r="E1031" s="11" t="s">
        <v>4046</v>
      </c>
      <c r="F1031" s="1">
        <v>46244</v>
      </c>
      <c r="G1031" s="1">
        <v>46265</v>
      </c>
      <c r="H1031" s="11" t="s">
        <v>300</v>
      </c>
      <c r="I1031" s="11" t="s">
        <v>301</v>
      </c>
    </row>
    <row r="1032" spans="1:9" hidden="1" x14ac:dyDescent="0.25">
      <c r="A1032" s="1">
        <v>46253</v>
      </c>
      <c r="B1032">
        <v>1235045754</v>
      </c>
      <c r="C1032" t="s">
        <v>2420</v>
      </c>
      <c r="D1032" s="11" t="s">
        <v>421</v>
      </c>
      <c r="E1032" s="11" t="s">
        <v>4047</v>
      </c>
      <c r="F1032" s="1">
        <v>46253</v>
      </c>
      <c r="G1032" s="1">
        <v>46253</v>
      </c>
      <c r="H1032" s="11" t="s">
        <v>196</v>
      </c>
      <c r="I1032" s="11" t="s">
        <v>197</v>
      </c>
    </row>
    <row r="1033" spans="1:9" hidden="1" x14ac:dyDescent="0.25">
      <c r="A1033" s="1">
        <v>46253</v>
      </c>
      <c r="B1033">
        <v>1001851670</v>
      </c>
      <c r="C1033" t="s">
        <v>50</v>
      </c>
      <c r="D1033" s="11" t="s">
        <v>51</v>
      </c>
      <c r="E1033" s="11" t="s">
        <v>4047</v>
      </c>
      <c r="F1033" s="1">
        <v>46241</v>
      </c>
      <c r="G1033" s="1">
        <v>46366</v>
      </c>
      <c r="H1033" s="11" t="s">
        <v>4202</v>
      </c>
      <c r="I1033" s="11" t="s">
        <v>340</v>
      </c>
    </row>
    <row r="1034" spans="1:9" hidden="1" x14ac:dyDescent="0.25">
      <c r="A1034" s="1">
        <v>46253</v>
      </c>
      <c r="B1034">
        <v>1152221372</v>
      </c>
      <c r="C1034" t="s">
        <v>2363</v>
      </c>
      <c r="D1034" s="11" t="s">
        <v>139</v>
      </c>
      <c r="E1034" s="11" t="s">
        <v>4040</v>
      </c>
      <c r="F1034" s="1">
        <v>46230</v>
      </c>
      <c r="G1034" s="1">
        <v>46230</v>
      </c>
      <c r="H1034" s="11" t="s">
        <v>45</v>
      </c>
      <c r="I1034" s="11" t="s">
        <v>46</v>
      </c>
    </row>
    <row r="1035" spans="1:9" hidden="1" x14ac:dyDescent="0.25">
      <c r="A1035" s="1">
        <v>46253</v>
      </c>
      <c r="B1035">
        <v>1152439743</v>
      </c>
      <c r="C1035" t="s">
        <v>2079</v>
      </c>
      <c r="D1035" s="11" t="s">
        <v>245</v>
      </c>
      <c r="E1035" s="11" t="s">
        <v>4040</v>
      </c>
      <c r="F1035" s="1">
        <v>46253</v>
      </c>
      <c r="G1035" s="1">
        <v>46253</v>
      </c>
      <c r="H1035" s="11" t="s">
        <v>251</v>
      </c>
      <c r="I1035" s="11" t="s">
        <v>252</v>
      </c>
    </row>
    <row r="1036" spans="1:9" hidden="1" x14ac:dyDescent="0.25">
      <c r="A1036" s="1">
        <v>46253</v>
      </c>
      <c r="B1036">
        <v>1017264032</v>
      </c>
      <c r="C1036" t="s">
        <v>54</v>
      </c>
      <c r="D1036" s="11" t="s">
        <v>55</v>
      </c>
      <c r="E1036" s="11" t="s">
        <v>4047</v>
      </c>
      <c r="F1036" s="1">
        <v>46229</v>
      </c>
      <c r="G1036" s="1">
        <v>46258</v>
      </c>
      <c r="H1036" s="11" t="s">
        <v>261</v>
      </c>
      <c r="I1036" s="11" t="s">
        <v>262</v>
      </c>
    </row>
    <row r="1037" spans="1:9" hidden="1" x14ac:dyDescent="0.25">
      <c r="A1037" s="1">
        <v>46253</v>
      </c>
      <c r="B1037">
        <v>1037631989</v>
      </c>
      <c r="C1037" t="s">
        <v>27</v>
      </c>
      <c r="D1037" s="11" t="s">
        <v>28</v>
      </c>
      <c r="E1037" s="11" t="s">
        <v>4046</v>
      </c>
      <c r="F1037" s="1">
        <v>46226</v>
      </c>
      <c r="G1037" s="1">
        <v>46255</v>
      </c>
      <c r="H1037" s="11"/>
      <c r="I1037" s="11" t="s">
        <v>327</v>
      </c>
    </row>
    <row r="1038" spans="1:9" hidden="1" x14ac:dyDescent="0.25">
      <c r="A1038" s="1">
        <v>46253</v>
      </c>
      <c r="B1038">
        <v>1143414481</v>
      </c>
      <c r="C1038" t="s">
        <v>2447</v>
      </c>
      <c r="D1038" s="11" t="s">
        <v>28</v>
      </c>
      <c r="E1038" s="11" t="s">
        <v>4046</v>
      </c>
      <c r="F1038" s="1">
        <v>46247</v>
      </c>
      <c r="G1038" s="1">
        <v>46252</v>
      </c>
      <c r="H1038" s="11"/>
      <c r="I1038" s="11" t="s">
        <v>4041</v>
      </c>
    </row>
    <row r="1039" spans="1:9" hidden="1" x14ac:dyDescent="0.25">
      <c r="A1039" s="1">
        <v>46253</v>
      </c>
      <c r="B1039">
        <v>1037630071</v>
      </c>
      <c r="C1039" t="s">
        <v>3579</v>
      </c>
      <c r="D1039" s="11" t="s">
        <v>176</v>
      </c>
      <c r="E1039" s="11" t="s">
        <v>4040</v>
      </c>
      <c r="F1039" s="1">
        <v>46247</v>
      </c>
      <c r="G1039" s="1">
        <v>46265</v>
      </c>
      <c r="H1039" s="11" t="s">
        <v>181</v>
      </c>
      <c r="I1039" s="11" t="s">
        <v>182</v>
      </c>
    </row>
    <row r="1040" spans="1:9" hidden="1" x14ac:dyDescent="0.25">
      <c r="A1040" s="1">
        <v>46253</v>
      </c>
      <c r="B1040">
        <v>1143460426</v>
      </c>
      <c r="C1040" t="s">
        <v>4069</v>
      </c>
      <c r="D1040" s="11" t="s">
        <v>64</v>
      </c>
      <c r="E1040" s="11" t="s">
        <v>4046</v>
      </c>
      <c r="F1040" s="1">
        <v>46195</v>
      </c>
      <c r="G1040" s="1">
        <v>46198</v>
      </c>
      <c r="H1040" s="11" t="s">
        <v>236</v>
      </c>
      <c r="I1040" s="11" t="s">
        <v>237</v>
      </c>
    </row>
    <row r="1041" spans="1:9" hidden="1" x14ac:dyDescent="0.25">
      <c r="A1041" s="1">
        <v>46253</v>
      </c>
      <c r="B1041">
        <v>1000099010</v>
      </c>
      <c r="C1041" t="s">
        <v>660</v>
      </c>
      <c r="D1041" s="11" t="s">
        <v>139</v>
      </c>
      <c r="E1041" s="11" t="s">
        <v>4040</v>
      </c>
      <c r="F1041" s="1">
        <v>46252</v>
      </c>
      <c r="G1041" s="1">
        <v>46253</v>
      </c>
      <c r="H1041" s="11"/>
      <c r="I1041" s="11" t="s">
        <v>4060</v>
      </c>
    </row>
    <row r="1042" spans="1:9" hidden="1" x14ac:dyDescent="0.25">
      <c r="A1042" s="1">
        <v>46253</v>
      </c>
      <c r="B1042">
        <v>52932342</v>
      </c>
      <c r="C1042" t="s">
        <v>564</v>
      </c>
      <c r="D1042" s="11" t="s">
        <v>421</v>
      </c>
      <c r="E1042" s="11" t="s">
        <v>4047</v>
      </c>
      <c r="F1042" s="1">
        <v>46252</v>
      </c>
      <c r="G1042" s="1">
        <v>46254</v>
      </c>
      <c r="H1042" s="11"/>
      <c r="I1042" s="11" t="s">
        <v>327</v>
      </c>
    </row>
    <row r="1043" spans="1:9" hidden="1" x14ac:dyDescent="0.25">
      <c r="A1043" s="1">
        <v>46253</v>
      </c>
      <c r="B1043">
        <v>1152434926</v>
      </c>
      <c r="C1043" t="s">
        <v>217</v>
      </c>
      <c r="D1043" s="11" t="s">
        <v>59</v>
      </c>
      <c r="E1043" s="11" t="s">
        <v>4047</v>
      </c>
      <c r="F1043" s="1">
        <v>46252</v>
      </c>
      <c r="G1043" s="1">
        <v>46255</v>
      </c>
      <c r="H1043" s="11" t="s">
        <v>213</v>
      </c>
      <c r="I1043" s="11" t="s">
        <v>214</v>
      </c>
    </row>
    <row r="1044" spans="1:9" hidden="1" x14ac:dyDescent="0.25">
      <c r="A1044" s="1">
        <v>46253</v>
      </c>
      <c r="B1044">
        <v>1143375080</v>
      </c>
      <c r="C1044" t="s">
        <v>203</v>
      </c>
      <c r="D1044" s="11" t="s">
        <v>44</v>
      </c>
      <c r="E1044" s="11" t="s">
        <v>4045</v>
      </c>
      <c r="F1044" s="1">
        <v>46252</v>
      </c>
      <c r="H1044" s="11" t="s">
        <v>119</v>
      </c>
      <c r="I1044" s="11" t="s">
        <v>120</v>
      </c>
    </row>
    <row r="1045" spans="1:9" hidden="1" x14ac:dyDescent="0.25">
      <c r="A1045" s="1">
        <v>46253</v>
      </c>
      <c r="B1045">
        <v>1036633827</v>
      </c>
      <c r="C1045" t="s">
        <v>1356</v>
      </c>
      <c r="D1045" s="11" t="s">
        <v>15</v>
      </c>
      <c r="E1045" s="11" t="s">
        <v>4046</v>
      </c>
      <c r="F1045" s="1">
        <v>46249</v>
      </c>
      <c r="G1045" s="1">
        <v>46249</v>
      </c>
      <c r="H1045" s="11"/>
      <c r="I1045" s="11" t="s">
        <v>4041</v>
      </c>
    </row>
    <row r="1046" spans="1:9" hidden="1" x14ac:dyDescent="0.25">
      <c r="A1046" s="1">
        <v>46253</v>
      </c>
      <c r="B1046">
        <v>43628997</v>
      </c>
      <c r="C1046" t="s">
        <v>3256</v>
      </c>
      <c r="D1046" s="11" t="s">
        <v>64</v>
      </c>
      <c r="E1046" s="11" t="s">
        <v>4046</v>
      </c>
      <c r="F1046" s="1">
        <v>46252</v>
      </c>
      <c r="G1046" s="1">
        <v>46253</v>
      </c>
      <c r="H1046" s="11" t="s">
        <v>318</v>
      </c>
      <c r="I1046" s="11" t="s">
        <v>319</v>
      </c>
    </row>
    <row r="1047" spans="1:9" hidden="1" x14ac:dyDescent="0.25">
      <c r="A1047" s="1">
        <v>46253</v>
      </c>
      <c r="B1047">
        <v>42141273</v>
      </c>
      <c r="C1047" t="s">
        <v>271</v>
      </c>
      <c r="D1047" s="11" t="s">
        <v>272</v>
      </c>
      <c r="E1047" s="11" t="s">
        <v>4056</v>
      </c>
      <c r="F1047" s="1">
        <v>46238</v>
      </c>
      <c r="G1047" s="1">
        <v>46295</v>
      </c>
      <c r="H1047" s="11" t="s">
        <v>285</v>
      </c>
      <c r="I1047" s="11" t="s">
        <v>286</v>
      </c>
    </row>
    <row r="1048" spans="1:9" hidden="1" x14ac:dyDescent="0.25">
      <c r="A1048" s="1">
        <v>46253</v>
      </c>
      <c r="B1048">
        <v>73189515</v>
      </c>
      <c r="C1048" t="s">
        <v>773</v>
      </c>
      <c r="D1048" s="11" t="s">
        <v>272</v>
      </c>
      <c r="E1048" s="11" t="s">
        <v>4056</v>
      </c>
      <c r="F1048" s="1">
        <v>46248</v>
      </c>
      <c r="G1048" s="1">
        <v>46252</v>
      </c>
      <c r="H1048" s="11"/>
      <c r="I1048" s="11" t="s">
        <v>4041</v>
      </c>
    </row>
    <row r="1049" spans="1:9" hidden="1" x14ac:dyDescent="0.25">
      <c r="A1049" s="1">
        <v>46253</v>
      </c>
      <c r="B1049">
        <v>1000348983</v>
      </c>
      <c r="C1049" t="s">
        <v>235</v>
      </c>
      <c r="D1049" s="11" t="s">
        <v>162</v>
      </c>
      <c r="E1049" s="11" t="s">
        <v>4056</v>
      </c>
      <c r="F1049" s="1">
        <v>46251</v>
      </c>
      <c r="G1049" s="1">
        <v>46255</v>
      </c>
      <c r="H1049" s="11" t="s">
        <v>267</v>
      </c>
      <c r="I1049" s="11" t="s">
        <v>268</v>
      </c>
    </row>
    <row r="1050" spans="1:9" hidden="1" x14ac:dyDescent="0.25">
      <c r="A1050" s="1">
        <v>46253</v>
      </c>
      <c r="B1050">
        <v>1037661959</v>
      </c>
      <c r="C1050" t="s">
        <v>4080</v>
      </c>
      <c r="D1050" s="11" t="s">
        <v>482</v>
      </c>
      <c r="E1050" s="11" t="s">
        <v>4040</v>
      </c>
      <c r="F1050" s="1">
        <v>46253</v>
      </c>
      <c r="G1050" s="1">
        <v>46255</v>
      </c>
      <c r="H1050" s="11" t="s">
        <v>231</v>
      </c>
      <c r="I1050" s="11" t="s">
        <v>232</v>
      </c>
    </row>
    <row r="1051" spans="1:9" hidden="1" x14ac:dyDescent="0.25">
      <c r="A1051" s="1">
        <v>46253</v>
      </c>
      <c r="B1051">
        <v>1002210045</v>
      </c>
      <c r="C1051" t="s">
        <v>1815</v>
      </c>
      <c r="D1051" s="11" t="s">
        <v>421</v>
      </c>
      <c r="E1051" s="11" t="s">
        <v>4047</v>
      </c>
      <c r="F1051" s="1">
        <v>46252</v>
      </c>
      <c r="G1051" s="1">
        <v>46253</v>
      </c>
      <c r="H1051" s="11"/>
      <c r="I1051" s="11" t="s">
        <v>327</v>
      </c>
    </row>
    <row r="1052" spans="1:9" hidden="1" x14ac:dyDescent="0.25">
      <c r="A1052" s="1">
        <v>46253</v>
      </c>
      <c r="B1052">
        <v>1193512212</v>
      </c>
      <c r="C1052" t="s">
        <v>2155</v>
      </c>
      <c r="D1052" s="11" t="s">
        <v>256</v>
      </c>
      <c r="E1052" s="11" t="s">
        <v>4040</v>
      </c>
      <c r="F1052" s="1">
        <v>46252</v>
      </c>
      <c r="G1052" s="1">
        <v>46253</v>
      </c>
      <c r="H1052" s="11" t="s">
        <v>306</v>
      </c>
      <c r="I1052" s="11" t="s">
        <v>307</v>
      </c>
    </row>
    <row r="1053" spans="1:9" hidden="1" x14ac:dyDescent="0.25">
      <c r="A1053" s="1">
        <v>46253</v>
      </c>
      <c r="B1053">
        <v>1090420169</v>
      </c>
      <c r="C1053" t="s">
        <v>1658</v>
      </c>
      <c r="D1053" s="11" t="s">
        <v>51</v>
      </c>
      <c r="E1053" s="11" t="s">
        <v>4047</v>
      </c>
      <c r="F1053" s="1">
        <v>46253</v>
      </c>
      <c r="G1053" s="1">
        <v>46253</v>
      </c>
      <c r="H1053" s="11" t="s">
        <v>73</v>
      </c>
      <c r="I1053" s="11" t="s">
        <v>74</v>
      </c>
    </row>
    <row r="1054" spans="1:9" hidden="1" x14ac:dyDescent="0.25">
      <c r="A1054" s="1">
        <v>46253</v>
      </c>
      <c r="B1054">
        <v>1128467297</v>
      </c>
      <c r="C1054" t="s">
        <v>3392</v>
      </c>
      <c r="D1054" s="11" t="s">
        <v>619</v>
      </c>
      <c r="E1054" s="11" t="s">
        <v>4045</v>
      </c>
      <c r="F1054" s="1">
        <v>46252</v>
      </c>
      <c r="G1054" s="1">
        <v>46253</v>
      </c>
      <c r="H1054" s="11"/>
      <c r="I1054" s="11" t="s">
        <v>327</v>
      </c>
    </row>
    <row r="1055" spans="1:9" hidden="1" x14ac:dyDescent="0.25">
      <c r="A1055" s="1">
        <v>46253</v>
      </c>
      <c r="B1055">
        <v>1038412205</v>
      </c>
      <c r="C1055" t="s">
        <v>2848</v>
      </c>
      <c r="D1055" s="11" t="s">
        <v>482</v>
      </c>
      <c r="E1055" s="11" t="s">
        <v>4040</v>
      </c>
      <c r="F1055" s="1">
        <v>46252</v>
      </c>
      <c r="G1055" s="1">
        <v>46253</v>
      </c>
      <c r="H1055" s="11" t="s">
        <v>3427</v>
      </c>
      <c r="I1055" s="11" t="s">
        <v>4203</v>
      </c>
    </row>
    <row r="1056" spans="1:9" hidden="1" x14ac:dyDescent="0.25">
      <c r="A1056" s="1">
        <v>46253</v>
      </c>
      <c r="B1056">
        <v>1096223065</v>
      </c>
      <c r="C1056" t="s">
        <v>3428</v>
      </c>
      <c r="D1056" s="11" t="s">
        <v>59</v>
      </c>
      <c r="E1056" s="11" t="s">
        <v>4047</v>
      </c>
      <c r="F1056" s="1">
        <v>46253</v>
      </c>
      <c r="G1056" s="1">
        <v>46265</v>
      </c>
      <c r="H1056" s="11"/>
      <c r="I1056" s="11" t="s">
        <v>327</v>
      </c>
    </row>
    <row r="1057" spans="1:9" hidden="1" x14ac:dyDescent="0.25">
      <c r="A1057" s="1">
        <v>46253</v>
      </c>
      <c r="B1057">
        <v>1020414545</v>
      </c>
      <c r="C1057" t="s">
        <v>2893</v>
      </c>
      <c r="D1057" s="11" t="s">
        <v>256</v>
      </c>
      <c r="E1057" s="11" t="s">
        <v>4040</v>
      </c>
      <c r="F1057" s="1">
        <v>46253</v>
      </c>
      <c r="G1057" s="1">
        <v>46254</v>
      </c>
      <c r="H1057" s="11"/>
      <c r="I1057" s="11" t="s">
        <v>4060</v>
      </c>
    </row>
    <row r="1058" spans="1:9" hidden="1" x14ac:dyDescent="0.25">
      <c r="A1058" s="1">
        <v>46253</v>
      </c>
      <c r="B1058">
        <v>32299090</v>
      </c>
      <c r="C1058" t="s">
        <v>3249</v>
      </c>
      <c r="D1058" s="11" t="s">
        <v>55</v>
      </c>
      <c r="E1058" s="11" t="s">
        <v>4047</v>
      </c>
      <c r="F1058" s="1">
        <v>46253</v>
      </c>
      <c r="G1058" s="1">
        <v>46255</v>
      </c>
      <c r="H1058" s="11"/>
      <c r="I1058" s="11" t="s">
        <v>327</v>
      </c>
    </row>
    <row r="1059" spans="1:9" hidden="1" x14ac:dyDescent="0.25">
      <c r="A1059" s="1">
        <v>46253</v>
      </c>
      <c r="B1059">
        <v>1098774597</v>
      </c>
      <c r="C1059" t="s">
        <v>1745</v>
      </c>
      <c r="D1059" s="11" t="s">
        <v>132</v>
      </c>
      <c r="E1059" s="11" t="s">
        <v>4040</v>
      </c>
      <c r="F1059" s="1">
        <v>46253</v>
      </c>
      <c r="G1059" s="1">
        <v>46255</v>
      </c>
      <c r="H1059" s="11"/>
      <c r="I1059" s="11" t="s">
        <v>4060</v>
      </c>
    </row>
    <row r="1060" spans="1:9" hidden="1" x14ac:dyDescent="0.25">
      <c r="A1060" s="1">
        <v>46253</v>
      </c>
      <c r="B1060">
        <v>1000921684</v>
      </c>
      <c r="C1060" t="s">
        <v>558</v>
      </c>
      <c r="D1060" s="11" t="s">
        <v>15</v>
      </c>
      <c r="E1060" s="11" t="s">
        <v>4046</v>
      </c>
      <c r="F1060" s="1">
        <v>46253</v>
      </c>
      <c r="G1060" s="1">
        <v>46253</v>
      </c>
      <c r="H1060" s="11"/>
      <c r="I1060" s="11" t="s">
        <v>327</v>
      </c>
    </row>
    <row r="1061" spans="1:9" hidden="1" x14ac:dyDescent="0.25">
      <c r="A1061" s="1">
        <v>46253</v>
      </c>
      <c r="B1061">
        <v>1002029407</v>
      </c>
      <c r="C1061" t="s">
        <v>101</v>
      </c>
      <c r="D1061" s="11" t="s">
        <v>102</v>
      </c>
      <c r="E1061" s="11" t="s">
        <v>4046</v>
      </c>
      <c r="F1061" s="1">
        <v>46253</v>
      </c>
      <c r="G1061" s="1">
        <v>46256</v>
      </c>
      <c r="H1061" s="11"/>
      <c r="I1061" s="11" t="s">
        <v>327</v>
      </c>
    </row>
    <row r="1062" spans="1:9" hidden="1" x14ac:dyDescent="0.25">
      <c r="A1062" s="1">
        <v>46253</v>
      </c>
      <c r="B1062">
        <v>1037668455</v>
      </c>
      <c r="C1062" t="s">
        <v>3013</v>
      </c>
      <c r="D1062" s="11" t="s">
        <v>78</v>
      </c>
      <c r="E1062" s="11" t="s">
        <v>4046</v>
      </c>
      <c r="F1062" s="1">
        <v>46253</v>
      </c>
      <c r="G1062" s="1">
        <v>46254</v>
      </c>
      <c r="H1062" s="11"/>
      <c r="I1062" s="11" t="s">
        <v>4060</v>
      </c>
    </row>
    <row r="1063" spans="1:9" hidden="1" x14ac:dyDescent="0.25">
      <c r="A1063" s="1">
        <v>46253</v>
      </c>
      <c r="B1063">
        <v>1036683729</v>
      </c>
      <c r="C1063" t="s">
        <v>954</v>
      </c>
      <c r="D1063" s="11" t="s">
        <v>82</v>
      </c>
      <c r="E1063" s="11" t="s">
        <v>4045</v>
      </c>
      <c r="F1063" s="1">
        <v>46253</v>
      </c>
      <c r="G1063" s="1">
        <v>46255</v>
      </c>
      <c r="H1063" s="11"/>
      <c r="I1063" s="11" t="s">
        <v>4060</v>
      </c>
    </row>
    <row r="1064" spans="1:9" hidden="1" x14ac:dyDescent="0.25">
      <c r="A1064" s="1">
        <v>46253</v>
      </c>
      <c r="B1064">
        <v>1035436500</v>
      </c>
      <c r="C1064" t="s">
        <v>2991</v>
      </c>
      <c r="D1064" s="11" t="s">
        <v>482</v>
      </c>
      <c r="E1064" s="11" t="s">
        <v>4040</v>
      </c>
      <c r="F1064" s="1">
        <v>46253</v>
      </c>
      <c r="G1064" s="1">
        <v>46253</v>
      </c>
      <c r="H1064" s="11"/>
      <c r="I1064" s="11" t="s">
        <v>327</v>
      </c>
    </row>
    <row r="1065" spans="1:9" hidden="1" x14ac:dyDescent="0.25">
      <c r="A1065" s="1">
        <v>46253</v>
      </c>
      <c r="B1065">
        <v>1042065946</v>
      </c>
      <c r="C1065" t="s">
        <v>732</v>
      </c>
      <c r="D1065" s="11" t="s">
        <v>128</v>
      </c>
      <c r="E1065" s="11" t="s">
        <v>4045</v>
      </c>
      <c r="F1065" s="1">
        <v>46253</v>
      </c>
      <c r="G1065" s="1">
        <v>46253</v>
      </c>
      <c r="H1065" s="11"/>
      <c r="I1065" s="11" t="s">
        <v>327</v>
      </c>
    </row>
    <row r="1066" spans="1:9" hidden="1" x14ac:dyDescent="0.25">
      <c r="A1066" s="1">
        <v>46253</v>
      </c>
      <c r="B1066">
        <v>1143374524</v>
      </c>
      <c r="C1066" t="s">
        <v>2755</v>
      </c>
      <c r="D1066" s="11" t="s">
        <v>51</v>
      </c>
      <c r="E1066" s="11" t="s">
        <v>4047</v>
      </c>
      <c r="F1066" s="1">
        <v>46253</v>
      </c>
      <c r="G1066" s="1">
        <v>46255</v>
      </c>
      <c r="H1066" s="11"/>
      <c r="I1066" s="11" t="s">
        <v>327</v>
      </c>
    </row>
    <row r="1067" spans="1:9" hidden="1" x14ac:dyDescent="0.25">
      <c r="A1067" s="1">
        <v>46254</v>
      </c>
      <c r="B1067">
        <v>1152467583</v>
      </c>
      <c r="C1067" t="s">
        <v>3788</v>
      </c>
      <c r="D1067" s="11" t="s">
        <v>68</v>
      </c>
      <c r="E1067" s="11" t="s">
        <v>4040</v>
      </c>
      <c r="F1067" s="1">
        <v>46252</v>
      </c>
      <c r="G1067" s="1">
        <v>46253</v>
      </c>
      <c r="H1067" s="11"/>
      <c r="I1067" s="11" t="s">
        <v>4041</v>
      </c>
    </row>
    <row r="1068" spans="1:9" hidden="1" x14ac:dyDescent="0.25">
      <c r="A1068" s="1">
        <v>46254</v>
      </c>
      <c r="B1068">
        <v>1038412205</v>
      </c>
      <c r="C1068" t="s">
        <v>2848</v>
      </c>
      <c r="D1068" s="11" t="s">
        <v>482</v>
      </c>
      <c r="E1068" s="11" t="s">
        <v>4040</v>
      </c>
      <c r="F1068" s="1">
        <v>46252</v>
      </c>
      <c r="G1068" s="1">
        <v>46253</v>
      </c>
      <c r="H1068" s="11"/>
      <c r="I1068" s="11" t="s">
        <v>4041</v>
      </c>
    </row>
    <row r="1069" spans="1:9" hidden="1" x14ac:dyDescent="0.25">
      <c r="A1069" s="1">
        <v>46254</v>
      </c>
      <c r="B1069">
        <v>1000099010</v>
      </c>
      <c r="C1069" t="s">
        <v>660</v>
      </c>
      <c r="D1069" s="11" t="s">
        <v>139</v>
      </c>
      <c r="E1069" s="11" t="s">
        <v>4040</v>
      </c>
      <c r="F1069" s="1">
        <v>46252</v>
      </c>
      <c r="G1069" s="1">
        <v>46253</v>
      </c>
      <c r="H1069" s="11"/>
      <c r="I1069" s="11" t="s">
        <v>4060</v>
      </c>
    </row>
    <row r="1070" spans="1:9" hidden="1" x14ac:dyDescent="0.25">
      <c r="A1070" s="1">
        <v>46254</v>
      </c>
      <c r="B1070">
        <v>1037661959</v>
      </c>
      <c r="C1070" t="s">
        <v>4080</v>
      </c>
      <c r="D1070" s="11" t="s">
        <v>482</v>
      </c>
      <c r="E1070" s="11" t="s">
        <v>4040</v>
      </c>
      <c r="F1070" s="1">
        <v>46253</v>
      </c>
      <c r="G1070" s="1">
        <v>46255</v>
      </c>
      <c r="H1070" s="11" t="s">
        <v>251</v>
      </c>
      <c r="I1070" s="11" t="s">
        <v>252</v>
      </c>
    </row>
    <row r="1071" spans="1:9" hidden="1" x14ac:dyDescent="0.25">
      <c r="A1071" s="1">
        <v>46254</v>
      </c>
      <c r="B1071">
        <v>1128467297</v>
      </c>
      <c r="C1071" t="s">
        <v>3392</v>
      </c>
      <c r="D1071" s="11" t="s">
        <v>619</v>
      </c>
      <c r="E1071" s="11" t="s">
        <v>4045</v>
      </c>
      <c r="F1071" s="1">
        <v>46252</v>
      </c>
      <c r="G1071" s="1">
        <v>46253</v>
      </c>
      <c r="H1071" s="11"/>
      <c r="I1071" s="11" t="s">
        <v>4041</v>
      </c>
    </row>
    <row r="1072" spans="1:9" hidden="1" x14ac:dyDescent="0.25">
      <c r="A1072" s="1">
        <v>46254</v>
      </c>
      <c r="B1072">
        <v>1090420169</v>
      </c>
      <c r="C1072" t="s">
        <v>1658</v>
      </c>
      <c r="D1072" s="11" t="s">
        <v>51</v>
      </c>
      <c r="E1072" s="11" t="s">
        <v>4047</v>
      </c>
      <c r="F1072" s="1">
        <v>46253</v>
      </c>
      <c r="G1072" s="1">
        <v>46253</v>
      </c>
      <c r="H1072" s="11"/>
      <c r="I1072" s="11" t="s">
        <v>4041</v>
      </c>
    </row>
    <row r="1073" spans="1:9" hidden="1" x14ac:dyDescent="0.25">
      <c r="A1073" s="1">
        <v>46254</v>
      </c>
      <c r="B1073">
        <v>1152434926</v>
      </c>
      <c r="C1073" t="s">
        <v>217</v>
      </c>
      <c r="D1073" s="11" t="s">
        <v>59</v>
      </c>
      <c r="E1073" s="11" t="s">
        <v>4047</v>
      </c>
      <c r="F1073" s="1">
        <v>46252</v>
      </c>
      <c r="G1073" s="1">
        <v>46255</v>
      </c>
      <c r="H1073" s="11"/>
      <c r="I1073" s="11" t="s">
        <v>327</v>
      </c>
    </row>
    <row r="1074" spans="1:9" hidden="1" x14ac:dyDescent="0.25">
      <c r="A1074" s="1">
        <v>46254</v>
      </c>
      <c r="B1074">
        <v>1143375080</v>
      </c>
      <c r="C1074" t="s">
        <v>203</v>
      </c>
      <c r="D1074" s="11" t="s">
        <v>44</v>
      </c>
      <c r="E1074" s="11" t="s">
        <v>4045</v>
      </c>
      <c r="F1074" s="1">
        <v>46249</v>
      </c>
      <c r="H1074" s="11" t="s">
        <v>306</v>
      </c>
      <c r="I1074" s="11" t="s">
        <v>307</v>
      </c>
    </row>
    <row r="1075" spans="1:9" hidden="1" x14ac:dyDescent="0.25">
      <c r="A1075" s="1">
        <v>46254</v>
      </c>
      <c r="B1075">
        <v>43628997</v>
      </c>
      <c r="C1075" t="s">
        <v>3256</v>
      </c>
      <c r="D1075" s="11" t="s">
        <v>64</v>
      </c>
      <c r="E1075" s="11" t="s">
        <v>4046</v>
      </c>
      <c r="F1075" s="1">
        <v>46252</v>
      </c>
      <c r="G1075" s="1">
        <v>46253</v>
      </c>
      <c r="H1075" s="11"/>
      <c r="I1075" s="11" t="s">
        <v>4041</v>
      </c>
    </row>
    <row r="1076" spans="1:9" hidden="1" x14ac:dyDescent="0.25">
      <c r="A1076" s="1">
        <v>46254</v>
      </c>
      <c r="B1076">
        <v>1002210045</v>
      </c>
      <c r="C1076" t="s">
        <v>1815</v>
      </c>
      <c r="D1076" s="11" t="s">
        <v>421</v>
      </c>
      <c r="E1076" s="11" t="s">
        <v>4047</v>
      </c>
      <c r="F1076" s="1">
        <v>46252</v>
      </c>
      <c r="G1076" s="1">
        <v>46253</v>
      </c>
      <c r="H1076" s="11"/>
      <c r="I1076" s="11" t="s">
        <v>4041</v>
      </c>
    </row>
    <row r="1077" spans="1:9" hidden="1" x14ac:dyDescent="0.25">
      <c r="A1077" s="1">
        <v>46254</v>
      </c>
      <c r="B1077">
        <v>1001944593</v>
      </c>
      <c r="C1077" t="s">
        <v>2629</v>
      </c>
      <c r="D1077" s="11" t="s">
        <v>128</v>
      </c>
      <c r="E1077" s="11" t="s">
        <v>4045</v>
      </c>
      <c r="F1077" s="1">
        <v>46252</v>
      </c>
      <c r="G1077" s="1">
        <v>46252</v>
      </c>
      <c r="H1077" s="11"/>
      <c r="I1077" s="11" t="s">
        <v>4041</v>
      </c>
    </row>
    <row r="1078" spans="1:9" hidden="1" x14ac:dyDescent="0.25">
      <c r="A1078" s="1">
        <v>46254</v>
      </c>
      <c r="B1078">
        <v>1214714989</v>
      </c>
      <c r="C1078" t="s">
        <v>2191</v>
      </c>
      <c r="D1078" s="11" t="s">
        <v>256</v>
      </c>
      <c r="E1078" s="11" t="s">
        <v>4040</v>
      </c>
      <c r="F1078" s="1">
        <v>46252</v>
      </c>
      <c r="G1078" s="1">
        <v>46253</v>
      </c>
      <c r="H1078" s="11"/>
      <c r="I1078" s="11" t="s">
        <v>4041</v>
      </c>
    </row>
    <row r="1079" spans="1:9" hidden="1" x14ac:dyDescent="0.25">
      <c r="A1079" s="1">
        <v>46254</v>
      </c>
      <c r="B1079">
        <v>1143267842</v>
      </c>
      <c r="C1079" t="s">
        <v>1501</v>
      </c>
      <c r="D1079" s="11" t="s">
        <v>128</v>
      </c>
      <c r="E1079" s="11" t="s">
        <v>4045</v>
      </c>
      <c r="F1079" s="1">
        <v>46252</v>
      </c>
      <c r="G1079" s="1">
        <v>46253</v>
      </c>
      <c r="H1079" s="11"/>
      <c r="I1079" s="11" t="s">
        <v>4041</v>
      </c>
    </row>
    <row r="1080" spans="1:9" hidden="1" x14ac:dyDescent="0.25">
      <c r="A1080" s="1">
        <v>46254</v>
      </c>
      <c r="B1080">
        <v>88030132</v>
      </c>
      <c r="C1080" t="s">
        <v>1956</v>
      </c>
      <c r="D1080" s="11" t="s">
        <v>59</v>
      </c>
      <c r="E1080" s="11" t="s">
        <v>4047</v>
      </c>
      <c r="F1080" s="1">
        <v>46252</v>
      </c>
      <c r="G1080" s="1">
        <v>46253</v>
      </c>
      <c r="H1080" s="11"/>
      <c r="I1080" s="11" t="s">
        <v>4041</v>
      </c>
    </row>
    <row r="1081" spans="1:9" hidden="1" x14ac:dyDescent="0.25">
      <c r="A1081" s="1">
        <v>46254</v>
      </c>
      <c r="B1081">
        <v>1001996913</v>
      </c>
      <c r="C1081" t="s">
        <v>3174</v>
      </c>
      <c r="D1081" s="11" t="s">
        <v>28</v>
      </c>
      <c r="E1081" s="11" t="s">
        <v>4046</v>
      </c>
      <c r="F1081" s="1">
        <v>46252</v>
      </c>
      <c r="G1081" s="1">
        <v>46254</v>
      </c>
      <c r="H1081" s="11" t="s">
        <v>240</v>
      </c>
      <c r="I1081" s="11" t="s">
        <v>241</v>
      </c>
    </row>
    <row r="1082" spans="1:9" hidden="1" x14ac:dyDescent="0.25">
      <c r="A1082" s="1">
        <v>46254</v>
      </c>
      <c r="B1082">
        <v>1193037165</v>
      </c>
      <c r="C1082" t="s">
        <v>3800</v>
      </c>
      <c r="D1082" s="11" t="s">
        <v>78</v>
      </c>
      <c r="E1082" s="11" t="s">
        <v>4046</v>
      </c>
      <c r="F1082" s="1">
        <v>46252</v>
      </c>
      <c r="G1082" s="1">
        <v>46253</v>
      </c>
      <c r="H1082" s="11"/>
      <c r="I1082" s="11" t="s">
        <v>4041</v>
      </c>
    </row>
    <row r="1083" spans="1:9" hidden="1" x14ac:dyDescent="0.25">
      <c r="A1083" s="1">
        <v>46254</v>
      </c>
      <c r="B1083">
        <v>43453341</v>
      </c>
      <c r="C1083" t="s">
        <v>146</v>
      </c>
      <c r="D1083" s="11" t="s">
        <v>124</v>
      </c>
      <c r="E1083" s="11" t="s">
        <v>4045</v>
      </c>
      <c r="F1083" s="1">
        <v>46252</v>
      </c>
      <c r="G1083" s="1">
        <v>46253</v>
      </c>
      <c r="H1083" s="11"/>
      <c r="I1083" s="11" t="s">
        <v>4041</v>
      </c>
    </row>
    <row r="1084" spans="1:9" hidden="1" x14ac:dyDescent="0.25">
      <c r="A1084" s="1">
        <v>46254</v>
      </c>
      <c r="B1084">
        <v>1045718883</v>
      </c>
      <c r="C1084" t="s">
        <v>34</v>
      </c>
      <c r="D1084" s="11" t="s">
        <v>15</v>
      </c>
      <c r="E1084" s="11" t="s">
        <v>4046</v>
      </c>
      <c r="F1084" s="1">
        <v>46244</v>
      </c>
      <c r="G1084" s="1">
        <v>46393</v>
      </c>
      <c r="H1084" s="11" t="s">
        <v>17</v>
      </c>
      <c r="I1084" s="11" t="s">
        <v>18</v>
      </c>
    </row>
    <row r="1085" spans="1:9" hidden="1" x14ac:dyDescent="0.25">
      <c r="A1085" s="1">
        <v>46254</v>
      </c>
      <c r="B1085">
        <v>1007959114</v>
      </c>
      <c r="C1085" t="s">
        <v>337</v>
      </c>
      <c r="D1085" s="11" t="s">
        <v>39</v>
      </c>
      <c r="E1085" s="11" t="s">
        <v>4046</v>
      </c>
      <c r="F1085" s="1">
        <v>46249</v>
      </c>
      <c r="G1085" s="1">
        <v>46253</v>
      </c>
      <c r="H1085" s="11"/>
      <c r="I1085" s="11" t="s">
        <v>4041</v>
      </c>
    </row>
    <row r="1086" spans="1:9" hidden="1" x14ac:dyDescent="0.25">
      <c r="A1086" s="1">
        <v>46254</v>
      </c>
      <c r="B1086">
        <v>1043006106</v>
      </c>
      <c r="C1086" t="s">
        <v>202</v>
      </c>
      <c r="D1086" s="11" t="s">
        <v>64</v>
      </c>
      <c r="E1086" s="11" t="s">
        <v>4046</v>
      </c>
      <c r="F1086" s="1">
        <v>46249</v>
      </c>
      <c r="G1086" s="1">
        <v>46278</v>
      </c>
      <c r="H1086" s="11"/>
      <c r="I1086" s="11" t="s">
        <v>327</v>
      </c>
    </row>
    <row r="1087" spans="1:9" hidden="1" x14ac:dyDescent="0.25">
      <c r="A1087" s="1">
        <v>46254</v>
      </c>
      <c r="B1087">
        <v>1040755197</v>
      </c>
      <c r="C1087" t="s">
        <v>171</v>
      </c>
      <c r="D1087" s="11" t="s">
        <v>172</v>
      </c>
      <c r="E1087" s="11" t="s">
        <v>4046</v>
      </c>
      <c r="F1087" s="1">
        <v>46252</v>
      </c>
      <c r="G1087" s="1">
        <v>46262</v>
      </c>
      <c r="H1087" s="11" t="s">
        <v>199</v>
      </c>
      <c r="I1087" s="11" t="s">
        <v>200</v>
      </c>
    </row>
    <row r="1088" spans="1:9" hidden="1" x14ac:dyDescent="0.25">
      <c r="A1088" s="1">
        <v>46254</v>
      </c>
      <c r="B1088">
        <v>1102808787</v>
      </c>
      <c r="C1088" t="s">
        <v>135</v>
      </c>
      <c r="D1088" s="11" t="s">
        <v>39</v>
      </c>
      <c r="E1088" s="11" t="s">
        <v>4046</v>
      </c>
      <c r="F1088" s="1">
        <v>46237</v>
      </c>
      <c r="G1088" s="1">
        <v>46276</v>
      </c>
      <c r="H1088" s="11" t="s">
        <v>222</v>
      </c>
      <c r="I1088" s="11" t="s">
        <v>223</v>
      </c>
    </row>
    <row r="1089" spans="1:9" hidden="1" x14ac:dyDescent="0.25">
      <c r="A1089" s="1">
        <v>46254</v>
      </c>
      <c r="B1089">
        <v>1001479648</v>
      </c>
      <c r="C1089" t="s">
        <v>2970</v>
      </c>
      <c r="D1089" s="11" t="s">
        <v>414</v>
      </c>
      <c r="E1089" s="11" t="s">
        <v>4056</v>
      </c>
      <c r="F1089" s="1">
        <v>46253</v>
      </c>
      <c r="G1089" s="1">
        <v>46253</v>
      </c>
      <c r="H1089" s="11"/>
      <c r="I1089" s="11" t="s">
        <v>4041</v>
      </c>
    </row>
    <row r="1090" spans="1:9" hidden="1" x14ac:dyDescent="0.25">
      <c r="A1090" s="1">
        <v>46254</v>
      </c>
      <c r="B1090">
        <v>1035876080</v>
      </c>
      <c r="C1090" t="s">
        <v>123</v>
      </c>
      <c r="D1090" s="11" t="s">
        <v>124</v>
      </c>
      <c r="E1090" s="11" t="s">
        <v>4045</v>
      </c>
      <c r="F1090" s="1">
        <v>46246</v>
      </c>
      <c r="G1090" s="1">
        <v>46254</v>
      </c>
      <c r="H1090" s="11" t="s">
        <v>167</v>
      </c>
      <c r="I1090" s="11" t="s">
        <v>168</v>
      </c>
    </row>
    <row r="1091" spans="1:9" hidden="1" x14ac:dyDescent="0.25">
      <c r="A1091" s="1">
        <v>46254</v>
      </c>
      <c r="B1091">
        <v>1037638426</v>
      </c>
      <c r="C1091" t="s">
        <v>31</v>
      </c>
      <c r="D1091" s="11" t="s">
        <v>28</v>
      </c>
      <c r="E1091" s="11" t="s">
        <v>4046</v>
      </c>
      <c r="F1091" s="1">
        <v>46249</v>
      </c>
      <c r="G1091" s="1">
        <v>46264</v>
      </c>
      <c r="H1091" s="11" t="s">
        <v>236</v>
      </c>
      <c r="I1091" s="11" t="s">
        <v>237</v>
      </c>
    </row>
    <row r="1092" spans="1:9" hidden="1" x14ac:dyDescent="0.25">
      <c r="A1092" s="1">
        <v>46254</v>
      </c>
      <c r="B1092">
        <v>1082896324</v>
      </c>
      <c r="C1092" t="s">
        <v>127</v>
      </c>
      <c r="D1092" s="11" t="s">
        <v>128</v>
      </c>
      <c r="E1092" s="11" t="s">
        <v>4045</v>
      </c>
      <c r="F1092" s="1">
        <v>46242</v>
      </c>
      <c r="G1092" s="1">
        <v>46272</v>
      </c>
      <c r="H1092" s="11" t="s">
        <v>119</v>
      </c>
      <c r="I1092" s="11" t="s">
        <v>120</v>
      </c>
    </row>
    <row r="1093" spans="1:9" hidden="1" x14ac:dyDescent="0.25">
      <c r="A1093" s="1">
        <v>46254</v>
      </c>
      <c r="B1093">
        <v>1017270214</v>
      </c>
      <c r="C1093" t="s">
        <v>1016</v>
      </c>
      <c r="D1093" s="11" t="s">
        <v>139</v>
      </c>
      <c r="E1093" s="11" t="s">
        <v>4040</v>
      </c>
      <c r="F1093" s="1">
        <v>46253</v>
      </c>
      <c r="G1093" s="1">
        <v>46255</v>
      </c>
      <c r="H1093" s="11" t="s">
        <v>85</v>
      </c>
      <c r="I1093" s="11" t="s">
        <v>86</v>
      </c>
    </row>
    <row r="1094" spans="1:9" hidden="1" x14ac:dyDescent="0.25">
      <c r="A1094" s="1">
        <v>46254</v>
      </c>
      <c r="B1094">
        <v>1015483595</v>
      </c>
      <c r="C1094" t="s">
        <v>23</v>
      </c>
      <c r="D1094" s="11" t="s">
        <v>15</v>
      </c>
      <c r="E1094" s="11" t="s">
        <v>4046</v>
      </c>
      <c r="F1094" s="1">
        <v>46244</v>
      </c>
      <c r="G1094" s="1">
        <v>46265</v>
      </c>
      <c r="H1094" s="11" t="s">
        <v>294</v>
      </c>
      <c r="I1094" s="11" t="s">
        <v>295</v>
      </c>
    </row>
    <row r="1095" spans="1:9" hidden="1" x14ac:dyDescent="0.25">
      <c r="A1095" s="1">
        <v>46254</v>
      </c>
      <c r="B1095">
        <v>1235045754</v>
      </c>
      <c r="C1095" t="s">
        <v>2420</v>
      </c>
      <c r="D1095" s="11" t="s">
        <v>421</v>
      </c>
      <c r="E1095" s="11" t="s">
        <v>4047</v>
      </c>
      <c r="F1095" s="1">
        <v>46253</v>
      </c>
      <c r="G1095" s="1">
        <v>46253</v>
      </c>
      <c r="H1095" s="11"/>
      <c r="I1095" s="11" t="s">
        <v>4041</v>
      </c>
    </row>
    <row r="1096" spans="1:9" hidden="1" x14ac:dyDescent="0.25">
      <c r="A1096" s="1">
        <v>46254</v>
      </c>
      <c r="B1096">
        <v>1001851670</v>
      </c>
      <c r="C1096" t="s">
        <v>50</v>
      </c>
      <c r="D1096" s="11" t="s">
        <v>51</v>
      </c>
      <c r="E1096" s="11" t="s">
        <v>4047</v>
      </c>
      <c r="F1096" s="1">
        <v>46241</v>
      </c>
      <c r="G1096" s="1">
        <v>46366</v>
      </c>
      <c r="H1096" s="11" t="s">
        <v>4202</v>
      </c>
      <c r="I1096" s="11" t="s">
        <v>340</v>
      </c>
    </row>
    <row r="1097" spans="1:9" hidden="1" x14ac:dyDescent="0.25">
      <c r="A1097" s="1">
        <v>46254</v>
      </c>
      <c r="B1097">
        <v>42141273</v>
      </c>
      <c r="C1097" t="s">
        <v>271</v>
      </c>
      <c r="D1097" s="11" t="s">
        <v>272</v>
      </c>
      <c r="E1097" s="11" t="s">
        <v>4056</v>
      </c>
      <c r="F1097" s="1">
        <v>46238</v>
      </c>
      <c r="G1097" s="1">
        <v>46295</v>
      </c>
      <c r="H1097" s="11" t="s">
        <v>184</v>
      </c>
      <c r="I1097" s="11" t="s">
        <v>185</v>
      </c>
    </row>
    <row r="1098" spans="1:9" hidden="1" x14ac:dyDescent="0.25">
      <c r="A1098" s="1">
        <v>46254</v>
      </c>
      <c r="B1098">
        <v>1005424850</v>
      </c>
      <c r="C1098" t="s">
        <v>95</v>
      </c>
      <c r="D1098" s="11" t="s">
        <v>82</v>
      </c>
      <c r="E1098" s="11" t="s">
        <v>4045</v>
      </c>
      <c r="F1098" s="1">
        <v>46254</v>
      </c>
      <c r="G1098" s="1">
        <v>46255</v>
      </c>
      <c r="H1098" s="11" t="s">
        <v>303</v>
      </c>
      <c r="I1098" s="11" t="s">
        <v>304</v>
      </c>
    </row>
    <row r="1099" spans="1:9" hidden="1" x14ac:dyDescent="0.25">
      <c r="A1099" s="1">
        <v>46254</v>
      </c>
      <c r="B1099">
        <v>1152221372</v>
      </c>
      <c r="C1099" t="s">
        <v>2363</v>
      </c>
      <c r="D1099" s="11" t="s">
        <v>139</v>
      </c>
      <c r="E1099" s="11" t="s">
        <v>4040</v>
      </c>
      <c r="F1099" s="1">
        <v>46230</v>
      </c>
      <c r="G1099" s="1">
        <v>46230</v>
      </c>
      <c r="H1099" s="11" t="s">
        <v>213</v>
      </c>
      <c r="I1099" s="11" t="s">
        <v>214</v>
      </c>
    </row>
    <row r="1100" spans="1:9" hidden="1" x14ac:dyDescent="0.25">
      <c r="A1100" s="1">
        <v>46254</v>
      </c>
      <c r="B1100">
        <v>1152439743</v>
      </c>
      <c r="C1100" t="s">
        <v>2079</v>
      </c>
      <c r="D1100" s="11" t="s">
        <v>245</v>
      </c>
      <c r="E1100" s="11" t="s">
        <v>4040</v>
      </c>
      <c r="F1100" s="1">
        <v>46253</v>
      </c>
      <c r="G1100" s="1">
        <v>46253</v>
      </c>
      <c r="H1100" s="11"/>
      <c r="I1100" s="11" t="s">
        <v>4041</v>
      </c>
    </row>
    <row r="1101" spans="1:9" hidden="1" x14ac:dyDescent="0.25">
      <c r="A1101" s="1">
        <v>46254</v>
      </c>
      <c r="B1101">
        <v>1017264032</v>
      </c>
      <c r="C1101" t="s">
        <v>54</v>
      </c>
      <c r="D1101" s="11" t="s">
        <v>55</v>
      </c>
      <c r="E1101" s="11" t="s">
        <v>4047</v>
      </c>
      <c r="F1101" s="1">
        <v>46229</v>
      </c>
      <c r="G1101" s="1">
        <v>46258</v>
      </c>
      <c r="H1101" s="11"/>
      <c r="I1101" s="11" t="s">
        <v>327</v>
      </c>
    </row>
    <row r="1102" spans="1:9" hidden="1" x14ac:dyDescent="0.25">
      <c r="A1102" s="1">
        <v>46254</v>
      </c>
      <c r="B1102">
        <v>1037631989</v>
      </c>
      <c r="C1102" t="s">
        <v>27</v>
      </c>
      <c r="D1102" s="11" t="s">
        <v>28</v>
      </c>
      <c r="E1102" s="11" t="s">
        <v>4046</v>
      </c>
      <c r="F1102" s="1">
        <v>46226</v>
      </c>
      <c r="G1102" s="1">
        <v>46255</v>
      </c>
      <c r="H1102" s="11"/>
      <c r="I1102" s="11" t="s">
        <v>327</v>
      </c>
    </row>
    <row r="1103" spans="1:9" hidden="1" x14ac:dyDescent="0.25">
      <c r="A1103" s="1">
        <v>46254</v>
      </c>
      <c r="B1103">
        <v>1037630071</v>
      </c>
      <c r="C1103" t="s">
        <v>3579</v>
      </c>
      <c r="D1103" s="11" t="s">
        <v>176</v>
      </c>
      <c r="E1103" s="11" t="s">
        <v>4040</v>
      </c>
      <c r="F1103" s="1">
        <v>46247</v>
      </c>
      <c r="G1103" s="1">
        <v>46265</v>
      </c>
      <c r="H1103" s="11" t="s">
        <v>196</v>
      </c>
      <c r="I1103" s="11" t="s">
        <v>197</v>
      </c>
    </row>
    <row r="1104" spans="1:9" hidden="1" x14ac:dyDescent="0.25">
      <c r="A1104" s="1">
        <v>46254</v>
      </c>
      <c r="B1104">
        <v>1143460426</v>
      </c>
      <c r="C1104" t="s">
        <v>4069</v>
      </c>
      <c r="D1104" s="11" t="s">
        <v>64</v>
      </c>
      <c r="E1104" s="11" t="s">
        <v>4046</v>
      </c>
      <c r="F1104" s="1">
        <v>46195</v>
      </c>
      <c r="G1104" s="1">
        <v>46198</v>
      </c>
      <c r="H1104" s="11" t="s">
        <v>300</v>
      </c>
      <c r="I1104" s="11" t="s">
        <v>301</v>
      </c>
    </row>
    <row r="1105" spans="1:9" hidden="1" x14ac:dyDescent="0.25">
      <c r="A1105" s="1">
        <v>46254</v>
      </c>
      <c r="B1105">
        <v>1193512212</v>
      </c>
      <c r="C1105" t="s">
        <v>2155</v>
      </c>
      <c r="D1105" s="11" t="s">
        <v>256</v>
      </c>
      <c r="E1105" s="11" t="s">
        <v>4040</v>
      </c>
      <c r="F1105" s="1">
        <v>46252</v>
      </c>
      <c r="G1105" s="1">
        <v>46253</v>
      </c>
      <c r="H1105" s="11"/>
      <c r="I1105" s="11" t="s">
        <v>4041</v>
      </c>
    </row>
    <row r="1106" spans="1:9" hidden="1" x14ac:dyDescent="0.25">
      <c r="A1106" s="1">
        <v>46254</v>
      </c>
      <c r="B1106">
        <v>1020414545</v>
      </c>
      <c r="C1106" t="s">
        <v>2893</v>
      </c>
      <c r="D1106" s="11" t="s">
        <v>256</v>
      </c>
      <c r="E1106" s="11" t="s">
        <v>4040</v>
      </c>
      <c r="F1106" s="1">
        <v>46253</v>
      </c>
      <c r="G1106" s="1">
        <v>46254</v>
      </c>
      <c r="H1106" s="11" t="s">
        <v>261</v>
      </c>
      <c r="I1106" s="11" t="s">
        <v>262</v>
      </c>
    </row>
    <row r="1107" spans="1:9" hidden="1" x14ac:dyDescent="0.25">
      <c r="A1107" s="1">
        <v>46254</v>
      </c>
      <c r="B1107">
        <v>1098774597</v>
      </c>
      <c r="C1107" t="s">
        <v>1745</v>
      </c>
      <c r="D1107" s="11" t="s">
        <v>132</v>
      </c>
      <c r="E1107" s="11" t="s">
        <v>4040</v>
      </c>
      <c r="F1107" s="1">
        <v>46253</v>
      </c>
      <c r="G1107" s="1">
        <v>46255</v>
      </c>
      <c r="H1107" s="11" t="s">
        <v>150</v>
      </c>
      <c r="I1107" s="11" t="s">
        <v>151</v>
      </c>
    </row>
    <row r="1108" spans="1:9" hidden="1" x14ac:dyDescent="0.25">
      <c r="A1108" s="1">
        <v>46254</v>
      </c>
      <c r="B1108">
        <v>1140891109</v>
      </c>
      <c r="C1108" t="s">
        <v>1287</v>
      </c>
      <c r="D1108" s="11" t="s">
        <v>51</v>
      </c>
      <c r="E1108" s="11" t="s">
        <v>4047</v>
      </c>
      <c r="F1108" s="1">
        <v>46254</v>
      </c>
      <c r="G1108" s="1">
        <v>46254</v>
      </c>
      <c r="H1108" s="11" t="s">
        <v>73</v>
      </c>
      <c r="I1108" s="11" t="s">
        <v>74</v>
      </c>
    </row>
    <row r="1109" spans="1:9" hidden="1" x14ac:dyDescent="0.25">
      <c r="A1109" s="1">
        <v>46254</v>
      </c>
      <c r="B1109">
        <v>52932342</v>
      </c>
      <c r="C1109" t="s">
        <v>564</v>
      </c>
      <c r="D1109" s="11" t="s">
        <v>421</v>
      </c>
      <c r="E1109" s="11" t="s">
        <v>4047</v>
      </c>
      <c r="F1109" s="1">
        <v>46252</v>
      </c>
      <c r="G1109" s="1">
        <v>46254</v>
      </c>
      <c r="H1109" s="11" t="s">
        <v>231</v>
      </c>
      <c r="I1109" s="11" t="s">
        <v>232</v>
      </c>
    </row>
    <row r="1110" spans="1:9" hidden="1" x14ac:dyDescent="0.25">
      <c r="A1110" s="1">
        <v>46254</v>
      </c>
      <c r="B1110">
        <v>1096223065</v>
      </c>
      <c r="C1110" t="s">
        <v>3428</v>
      </c>
      <c r="D1110" s="11" t="s">
        <v>59</v>
      </c>
      <c r="E1110" s="11" t="s">
        <v>4047</v>
      </c>
      <c r="F1110" s="1">
        <v>46253</v>
      </c>
      <c r="G1110" s="1">
        <v>46265</v>
      </c>
      <c r="H1110" s="11" t="s">
        <v>181</v>
      </c>
      <c r="I1110" s="11" t="s">
        <v>182</v>
      </c>
    </row>
    <row r="1111" spans="1:9" hidden="1" x14ac:dyDescent="0.25">
      <c r="A1111" s="1">
        <v>46254</v>
      </c>
      <c r="B1111">
        <v>32299090</v>
      </c>
      <c r="C1111" t="s">
        <v>3249</v>
      </c>
      <c r="D1111" s="11" t="s">
        <v>55</v>
      </c>
      <c r="E1111" s="11" t="s">
        <v>4047</v>
      </c>
      <c r="F1111" s="1">
        <v>46253</v>
      </c>
      <c r="G1111" s="1">
        <v>46255</v>
      </c>
      <c r="H1111" s="11" t="s">
        <v>45</v>
      </c>
      <c r="I1111" s="11" t="s">
        <v>46</v>
      </c>
    </row>
    <row r="1112" spans="1:9" hidden="1" x14ac:dyDescent="0.25">
      <c r="A1112" s="1">
        <v>46254</v>
      </c>
      <c r="B1112">
        <v>1000921684</v>
      </c>
      <c r="C1112" t="s">
        <v>558</v>
      </c>
      <c r="D1112" s="11" t="s">
        <v>15</v>
      </c>
      <c r="E1112" s="11" t="s">
        <v>4046</v>
      </c>
      <c r="F1112" s="1">
        <v>46253</v>
      </c>
      <c r="G1112" s="1">
        <v>46253</v>
      </c>
      <c r="H1112" s="11"/>
      <c r="I1112" s="11" t="s">
        <v>4041</v>
      </c>
    </row>
    <row r="1113" spans="1:9" hidden="1" x14ac:dyDescent="0.25">
      <c r="A1113" s="1">
        <v>46254</v>
      </c>
      <c r="B1113">
        <v>1037668455</v>
      </c>
      <c r="C1113" t="s">
        <v>3013</v>
      </c>
      <c r="D1113" s="11" t="s">
        <v>78</v>
      </c>
      <c r="E1113" s="11" t="s">
        <v>4046</v>
      </c>
      <c r="F1113" s="1">
        <v>46253</v>
      </c>
      <c r="G1113" s="1">
        <v>46254</v>
      </c>
      <c r="H1113" s="11"/>
      <c r="I1113" s="11" t="s">
        <v>327</v>
      </c>
    </row>
    <row r="1114" spans="1:9" hidden="1" x14ac:dyDescent="0.25">
      <c r="A1114" s="1">
        <v>46254</v>
      </c>
      <c r="B1114">
        <v>1002029407</v>
      </c>
      <c r="C1114" t="s">
        <v>101</v>
      </c>
      <c r="D1114" s="11" t="s">
        <v>102</v>
      </c>
      <c r="E1114" s="11" t="s">
        <v>4046</v>
      </c>
      <c r="F1114" s="1">
        <v>46253</v>
      </c>
      <c r="G1114" s="1">
        <v>46256</v>
      </c>
      <c r="H1114" s="11" t="s">
        <v>103</v>
      </c>
      <c r="I1114" s="11" t="s">
        <v>104</v>
      </c>
    </row>
    <row r="1115" spans="1:9" hidden="1" x14ac:dyDescent="0.25">
      <c r="A1115" s="1">
        <v>46254</v>
      </c>
      <c r="B1115">
        <v>1000348983</v>
      </c>
      <c r="C1115" t="s">
        <v>235</v>
      </c>
      <c r="D1115" s="11" t="s">
        <v>162</v>
      </c>
      <c r="E1115" s="11" t="s">
        <v>4056</v>
      </c>
      <c r="F1115" s="1">
        <v>46251</v>
      </c>
      <c r="G1115" s="1">
        <v>46255</v>
      </c>
      <c r="H1115" s="11" t="s">
        <v>285</v>
      </c>
      <c r="I1115" s="11" t="s">
        <v>286</v>
      </c>
    </row>
    <row r="1116" spans="1:9" hidden="1" x14ac:dyDescent="0.25">
      <c r="A1116" s="1">
        <v>46254</v>
      </c>
      <c r="B1116">
        <v>1036683729</v>
      </c>
      <c r="C1116" t="s">
        <v>954</v>
      </c>
      <c r="D1116" s="11" t="s">
        <v>82</v>
      </c>
      <c r="E1116" s="11" t="s">
        <v>4045</v>
      </c>
      <c r="F1116" s="1">
        <v>46253</v>
      </c>
      <c r="G1116" s="1">
        <v>46255</v>
      </c>
      <c r="H1116" s="11" t="s">
        <v>318</v>
      </c>
      <c r="I1116" s="11" t="s">
        <v>319</v>
      </c>
    </row>
    <row r="1117" spans="1:9" hidden="1" x14ac:dyDescent="0.25">
      <c r="A1117" s="1">
        <v>46254</v>
      </c>
      <c r="B1117">
        <v>1035436500</v>
      </c>
      <c r="C1117" t="s">
        <v>2991</v>
      </c>
      <c r="D1117" s="11" t="s">
        <v>482</v>
      </c>
      <c r="E1117" s="11" t="s">
        <v>4040</v>
      </c>
      <c r="F1117" s="1">
        <v>46253</v>
      </c>
      <c r="G1117" s="1">
        <v>46253</v>
      </c>
      <c r="H1117" s="11"/>
      <c r="I1117" s="11" t="s">
        <v>4041</v>
      </c>
    </row>
    <row r="1118" spans="1:9" hidden="1" x14ac:dyDescent="0.25">
      <c r="A1118" s="1">
        <v>46254</v>
      </c>
      <c r="B1118">
        <v>1042065946</v>
      </c>
      <c r="C1118" t="s">
        <v>732</v>
      </c>
      <c r="D1118" s="11" t="s">
        <v>128</v>
      </c>
      <c r="E1118" s="11" t="s">
        <v>4045</v>
      </c>
      <c r="F1118" s="1">
        <v>46253</v>
      </c>
      <c r="G1118" s="1">
        <v>46253</v>
      </c>
      <c r="H1118" s="11"/>
      <c r="I1118" s="11" t="s">
        <v>4041</v>
      </c>
    </row>
    <row r="1119" spans="1:9" hidden="1" x14ac:dyDescent="0.25">
      <c r="A1119" s="1">
        <v>46254</v>
      </c>
      <c r="B1119">
        <v>1143374524</v>
      </c>
      <c r="C1119" t="s">
        <v>2755</v>
      </c>
      <c r="D1119" s="11" t="s">
        <v>51</v>
      </c>
      <c r="E1119" s="11" t="s">
        <v>4047</v>
      </c>
      <c r="F1119" s="1">
        <v>46253</v>
      </c>
      <c r="G1119" s="1">
        <v>46255</v>
      </c>
      <c r="H1119" s="11"/>
      <c r="I1119" s="11" t="s">
        <v>327</v>
      </c>
    </row>
    <row r="1120" spans="1:9" hidden="1" x14ac:dyDescent="0.25">
      <c r="A1120" s="1">
        <v>46254</v>
      </c>
      <c r="B1120">
        <v>1007959114</v>
      </c>
      <c r="C1120" t="s">
        <v>337</v>
      </c>
      <c r="D1120" s="11" t="s">
        <v>39</v>
      </c>
      <c r="E1120" s="11" t="s">
        <v>4046</v>
      </c>
      <c r="F1120" s="1">
        <v>46254</v>
      </c>
      <c r="G1120" s="1">
        <v>46255</v>
      </c>
      <c r="H1120" s="11"/>
      <c r="I1120" s="11" t="s">
        <v>327</v>
      </c>
    </row>
    <row r="1121" spans="1:9" hidden="1" x14ac:dyDescent="0.25">
      <c r="A1121" s="1">
        <v>46254</v>
      </c>
      <c r="B1121">
        <v>1152198083</v>
      </c>
      <c r="C1121" t="s">
        <v>2010</v>
      </c>
      <c r="D1121" s="11" t="s">
        <v>421</v>
      </c>
      <c r="E1121" s="11" t="s">
        <v>4047</v>
      </c>
      <c r="F1121" s="1">
        <v>46254</v>
      </c>
      <c r="G1121" s="1">
        <v>46255</v>
      </c>
      <c r="H1121" s="11"/>
      <c r="I1121" s="11" t="s">
        <v>327</v>
      </c>
    </row>
    <row r="1122" spans="1:9" hidden="1" x14ac:dyDescent="0.25">
      <c r="A1122" s="1">
        <v>46254</v>
      </c>
      <c r="B1122">
        <v>1001782820</v>
      </c>
      <c r="C1122" t="s">
        <v>2956</v>
      </c>
      <c r="D1122" s="11" t="s">
        <v>28</v>
      </c>
      <c r="E1122" s="11" t="s">
        <v>4046</v>
      </c>
      <c r="F1122" s="1">
        <v>46254</v>
      </c>
      <c r="G1122" s="1">
        <v>46255</v>
      </c>
      <c r="H1122" s="11"/>
      <c r="I1122" s="11" t="s">
        <v>327</v>
      </c>
    </row>
    <row r="1123" spans="1:9" hidden="1" x14ac:dyDescent="0.25">
      <c r="A1123" s="1">
        <v>46254</v>
      </c>
      <c r="B1123">
        <v>33204315</v>
      </c>
      <c r="C1123" t="s">
        <v>585</v>
      </c>
      <c r="D1123" s="11" t="s">
        <v>162</v>
      </c>
      <c r="E1123" s="11" t="s">
        <v>4056</v>
      </c>
      <c r="F1123" s="1">
        <v>46254</v>
      </c>
      <c r="G1123" s="1">
        <v>46255</v>
      </c>
      <c r="H1123" s="11" t="s">
        <v>163</v>
      </c>
      <c r="I1123" s="11" t="s">
        <v>164</v>
      </c>
    </row>
    <row r="1124" spans="1:9" hidden="1" x14ac:dyDescent="0.25">
      <c r="A1124" s="1">
        <v>46254</v>
      </c>
      <c r="B1124">
        <v>1003033764</v>
      </c>
      <c r="C1124" t="s">
        <v>1275</v>
      </c>
      <c r="D1124" s="11" t="s">
        <v>124</v>
      </c>
      <c r="E1124" s="11" t="s">
        <v>4045</v>
      </c>
      <c r="F1124" s="1">
        <v>46254</v>
      </c>
      <c r="G1124" s="1">
        <v>46255</v>
      </c>
      <c r="H1124" s="11"/>
      <c r="I1124" s="11" t="s">
        <v>4060</v>
      </c>
    </row>
    <row r="1125" spans="1:9" hidden="1" x14ac:dyDescent="0.25">
      <c r="A1125" s="1">
        <v>46254</v>
      </c>
      <c r="B1125">
        <v>1017235294</v>
      </c>
      <c r="C1125" t="s">
        <v>1069</v>
      </c>
      <c r="D1125" s="11" t="s">
        <v>55</v>
      </c>
      <c r="E1125" s="11" t="s">
        <v>4047</v>
      </c>
      <c r="F1125" s="1">
        <v>46254</v>
      </c>
      <c r="G1125" s="1">
        <v>46255</v>
      </c>
      <c r="H1125" s="11"/>
      <c r="I1125" s="11" t="s">
        <v>4060</v>
      </c>
    </row>
    <row r="1126" spans="1:9" hidden="1" x14ac:dyDescent="0.25">
      <c r="A1126" s="1">
        <v>46254</v>
      </c>
      <c r="B1126">
        <v>43453341</v>
      </c>
      <c r="C1126" t="s">
        <v>146</v>
      </c>
      <c r="D1126" s="11" t="s">
        <v>124</v>
      </c>
      <c r="E1126" s="11" t="s">
        <v>4045</v>
      </c>
      <c r="F1126" s="1">
        <v>46254</v>
      </c>
      <c r="G1126" s="1">
        <v>46268</v>
      </c>
      <c r="H1126" s="11"/>
      <c r="I1126" s="11" t="s">
        <v>327</v>
      </c>
    </row>
    <row r="1127" spans="1:9" hidden="1" x14ac:dyDescent="0.25">
      <c r="A1127" s="1">
        <v>46254</v>
      </c>
      <c r="B1127">
        <v>1085308661</v>
      </c>
      <c r="C1127" t="s">
        <v>2194</v>
      </c>
      <c r="D1127" s="11" t="s">
        <v>39</v>
      </c>
      <c r="E1127" s="11" t="s">
        <v>4046</v>
      </c>
      <c r="F1127" s="1">
        <v>46254</v>
      </c>
      <c r="G1127" s="1">
        <v>46255</v>
      </c>
      <c r="H1127" s="11"/>
      <c r="I1127" s="11" t="s">
        <v>4060</v>
      </c>
    </row>
    <row r="1128" spans="1:9" hidden="1" x14ac:dyDescent="0.25">
      <c r="A1128" s="1">
        <v>46254</v>
      </c>
      <c r="B1128">
        <v>1035442374</v>
      </c>
      <c r="C1128" t="s">
        <v>2935</v>
      </c>
      <c r="D1128" s="11" t="s">
        <v>172</v>
      </c>
      <c r="E1128" s="11" t="s">
        <v>4046</v>
      </c>
      <c r="F1128" s="1">
        <v>46254</v>
      </c>
      <c r="G1128" s="1">
        <v>46255</v>
      </c>
      <c r="H1128" s="11"/>
      <c r="I1128" s="11" t="s">
        <v>4060</v>
      </c>
    </row>
    <row r="1129" spans="1:9" hidden="1" x14ac:dyDescent="0.25">
      <c r="A1129" s="1">
        <v>46254</v>
      </c>
      <c r="B1129">
        <v>1005989838</v>
      </c>
      <c r="C1129" t="s">
        <v>3630</v>
      </c>
      <c r="D1129" s="11" t="s">
        <v>132</v>
      </c>
      <c r="E1129" s="11" t="s">
        <v>4040</v>
      </c>
      <c r="F1129" s="1">
        <v>46254</v>
      </c>
      <c r="H1129" s="11"/>
      <c r="I1129" s="11" t="s">
        <v>4060</v>
      </c>
    </row>
    <row r="1130" spans="1:9" hidden="1" x14ac:dyDescent="0.25">
      <c r="A1130" s="1">
        <v>46254</v>
      </c>
      <c r="B1130">
        <v>1037646403</v>
      </c>
      <c r="C1130" t="s">
        <v>4205</v>
      </c>
      <c r="D1130" s="11" t="s">
        <v>128</v>
      </c>
      <c r="E1130" s="11" t="s">
        <v>4045</v>
      </c>
      <c r="F1130" s="1">
        <v>46254</v>
      </c>
      <c r="H1130" s="11"/>
      <c r="I1130" s="11" t="s">
        <v>4060</v>
      </c>
    </row>
    <row r="1131" spans="1:9" hidden="1" x14ac:dyDescent="0.25">
      <c r="A1131" s="1">
        <v>46254</v>
      </c>
      <c r="B1131">
        <v>1143338188</v>
      </c>
      <c r="C1131" t="s">
        <v>3315</v>
      </c>
      <c r="D1131" s="11" t="s">
        <v>482</v>
      </c>
      <c r="E1131" s="11" t="s">
        <v>4040</v>
      </c>
      <c r="F1131" s="1">
        <v>46253</v>
      </c>
      <c r="G1131" s="1">
        <v>46254</v>
      </c>
      <c r="H1131" s="11"/>
      <c r="I1131" s="11" t="s">
        <v>327</v>
      </c>
    </row>
    <row r="1132" spans="1:9" hidden="1" x14ac:dyDescent="0.25">
      <c r="A1132" s="1">
        <v>46254</v>
      </c>
      <c r="B1132">
        <v>1152472382</v>
      </c>
      <c r="C1132" t="s">
        <v>869</v>
      </c>
      <c r="D1132" s="11" t="s">
        <v>492</v>
      </c>
      <c r="E1132" s="11" t="s">
        <v>4045</v>
      </c>
      <c r="F1132" s="1">
        <v>46254</v>
      </c>
      <c r="G1132" s="1">
        <v>46255</v>
      </c>
      <c r="H1132" s="11"/>
      <c r="I1132" s="11" t="s">
        <v>4060</v>
      </c>
    </row>
    <row r="1133" spans="1:9" hidden="1" x14ac:dyDescent="0.25">
      <c r="A1133" s="1">
        <v>46255</v>
      </c>
      <c r="B1133">
        <v>1085308661</v>
      </c>
      <c r="C1133" t="s">
        <v>2194</v>
      </c>
      <c r="D1133" s="11" t="s">
        <v>39</v>
      </c>
      <c r="E1133" s="11" t="s">
        <v>4046</v>
      </c>
      <c r="F1133" s="1">
        <v>46254</v>
      </c>
      <c r="G1133" s="1">
        <v>46255</v>
      </c>
      <c r="H1133" s="11"/>
      <c r="I1133" s="11" t="s">
        <v>327</v>
      </c>
    </row>
    <row r="1134" spans="1:9" hidden="1" x14ac:dyDescent="0.25">
      <c r="A1134" s="1">
        <v>46255</v>
      </c>
      <c r="B1134">
        <v>1017235294</v>
      </c>
      <c r="C1134" t="s">
        <v>1069</v>
      </c>
      <c r="D1134" s="11" t="s">
        <v>55</v>
      </c>
      <c r="E1134" s="11" t="s">
        <v>4047</v>
      </c>
      <c r="F1134" s="1">
        <v>46254</v>
      </c>
      <c r="G1134" s="1">
        <v>46255</v>
      </c>
      <c r="H1134" s="11"/>
      <c r="I1134" s="11" t="s">
        <v>4060</v>
      </c>
    </row>
    <row r="1135" spans="1:9" hidden="1" x14ac:dyDescent="0.25">
      <c r="A1135" s="1">
        <v>46255</v>
      </c>
      <c r="B1135">
        <v>1003033764</v>
      </c>
      <c r="C1135" t="s">
        <v>1275</v>
      </c>
      <c r="D1135" s="11" t="s">
        <v>124</v>
      </c>
      <c r="E1135" s="11" t="s">
        <v>4045</v>
      </c>
      <c r="F1135" s="1">
        <v>46254</v>
      </c>
      <c r="G1135" s="1">
        <v>46255</v>
      </c>
      <c r="H1135" s="11"/>
      <c r="I1135" s="11" t="s">
        <v>4060</v>
      </c>
    </row>
    <row r="1136" spans="1:9" hidden="1" x14ac:dyDescent="0.25">
      <c r="A1136" s="1">
        <v>46255</v>
      </c>
      <c r="B1136">
        <v>33204315</v>
      </c>
      <c r="C1136" t="s">
        <v>585</v>
      </c>
      <c r="D1136" s="11" t="s">
        <v>162</v>
      </c>
      <c r="E1136" s="11" t="s">
        <v>4056</v>
      </c>
      <c r="F1136" s="1">
        <v>46254</v>
      </c>
      <c r="G1136" s="1">
        <v>46255</v>
      </c>
      <c r="H1136" s="11" t="s">
        <v>184</v>
      </c>
      <c r="I1136" s="11" t="s">
        <v>185</v>
      </c>
    </row>
    <row r="1137" spans="1:9" hidden="1" x14ac:dyDescent="0.25">
      <c r="A1137" s="1">
        <v>46255</v>
      </c>
      <c r="B1137">
        <v>1152198083</v>
      </c>
      <c r="C1137" t="s">
        <v>2010</v>
      </c>
      <c r="D1137" s="11" t="s">
        <v>421</v>
      </c>
      <c r="E1137" s="11" t="s">
        <v>4047</v>
      </c>
      <c r="F1137" s="1">
        <v>46254</v>
      </c>
      <c r="G1137" s="1">
        <v>46255</v>
      </c>
      <c r="H1137" s="11" t="s">
        <v>318</v>
      </c>
      <c r="I1137" s="11" t="s">
        <v>319</v>
      </c>
    </row>
    <row r="1138" spans="1:9" hidden="1" x14ac:dyDescent="0.25">
      <c r="A1138" s="1">
        <v>46255</v>
      </c>
      <c r="B1138">
        <v>1096223065</v>
      </c>
      <c r="C1138" t="s">
        <v>3428</v>
      </c>
      <c r="D1138" s="11" t="s">
        <v>59</v>
      </c>
      <c r="E1138" s="11" t="s">
        <v>4047</v>
      </c>
      <c r="F1138" s="1">
        <v>46253</v>
      </c>
      <c r="G1138" s="1">
        <v>46265</v>
      </c>
      <c r="H1138" s="11"/>
      <c r="I1138" s="11" t="s">
        <v>327</v>
      </c>
    </row>
    <row r="1139" spans="1:9" hidden="1" x14ac:dyDescent="0.25">
      <c r="A1139" s="1">
        <v>46255</v>
      </c>
      <c r="B1139">
        <v>1007959114</v>
      </c>
      <c r="C1139" t="s">
        <v>337</v>
      </c>
      <c r="D1139" s="11" t="s">
        <v>39</v>
      </c>
      <c r="E1139" s="11" t="s">
        <v>4046</v>
      </c>
      <c r="F1139" s="1">
        <v>46254</v>
      </c>
      <c r="G1139" s="1">
        <v>46255</v>
      </c>
      <c r="H1139" s="11" t="s">
        <v>196</v>
      </c>
      <c r="I1139" s="11" t="s">
        <v>197</v>
      </c>
    </row>
    <row r="1140" spans="1:9" hidden="1" x14ac:dyDescent="0.25">
      <c r="A1140" s="1">
        <v>46255</v>
      </c>
      <c r="B1140">
        <v>1036683729</v>
      </c>
      <c r="C1140" t="s">
        <v>954</v>
      </c>
      <c r="D1140" s="11" t="s">
        <v>82</v>
      </c>
      <c r="E1140" s="11" t="s">
        <v>4045</v>
      </c>
      <c r="F1140" s="1">
        <v>46253</v>
      </c>
      <c r="G1140" s="1">
        <v>46255</v>
      </c>
      <c r="H1140" s="11"/>
      <c r="I1140" s="11" t="s">
        <v>327</v>
      </c>
    </row>
    <row r="1141" spans="1:9" hidden="1" x14ac:dyDescent="0.25">
      <c r="A1141" s="1">
        <v>46255</v>
      </c>
      <c r="B1141">
        <v>1037668455</v>
      </c>
      <c r="C1141" t="s">
        <v>3013</v>
      </c>
      <c r="D1141" s="11" t="s">
        <v>78</v>
      </c>
      <c r="E1141" s="11" t="s">
        <v>4046</v>
      </c>
      <c r="F1141" s="1">
        <v>46253</v>
      </c>
      <c r="G1141" s="1">
        <v>46254</v>
      </c>
      <c r="H1141" s="11"/>
      <c r="I1141" s="11" t="s">
        <v>4041</v>
      </c>
    </row>
    <row r="1142" spans="1:9" hidden="1" x14ac:dyDescent="0.25">
      <c r="A1142" s="1">
        <v>46255</v>
      </c>
      <c r="B1142">
        <v>1002029407</v>
      </c>
      <c r="C1142" t="s">
        <v>101</v>
      </c>
      <c r="D1142" s="11" t="s">
        <v>102</v>
      </c>
      <c r="E1142" s="11" t="s">
        <v>4046</v>
      </c>
      <c r="F1142" s="1">
        <v>46253</v>
      </c>
      <c r="G1142" s="1">
        <v>46256</v>
      </c>
      <c r="H1142" s="11"/>
      <c r="I1142" s="11" t="s">
        <v>327</v>
      </c>
    </row>
    <row r="1143" spans="1:9" hidden="1" x14ac:dyDescent="0.25">
      <c r="A1143" s="1">
        <v>46255</v>
      </c>
      <c r="B1143">
        <v>1045718883</v>
      </c>
      <c r="C1143" t="s">
        <v>34</v>
      </c>
      <c r="D1143" s="11" t="s">
        <v>15</v>
      </c>
      <c r="E1143" s="11" t="s">
        <v>4046</v>
      </c>
      <c r="F1143" s="1">
        <v>46244</v>
      </c>
      <c r="G1143" s="1">
        <v>46393</v>
      </c>
      <c r="H1143" s="11" t="s">
        <v>222</v>
      </c>
      <c r="I1143" s="11" t="s">
        <v>223</v>
      </c>
    </row>
    <row r="1144" spans="1:9" hidden="1" x14ac:dyDescent="0.25">
      <c r="A1144" s="1">
        <v>46255</v>
      </c>
      <c r="B1144">
        <v>1015483595</v>
      </c>
      <c r="C1144" t="s">
        <v>23</v>
      </c>
      <c r="D1144" s="11" t="s">
        <v>15</v>
      </c>
      <c r="E1144" s="11" t="s">
        <v>4046</v>
      </c>
      <c r="F1144" s="1">
        <v>46244</v>
      </c>
      <c r="G1144" s="1">
        <v>46265</v>
      </c>
      <c r="H1144" s="11" t="s">
        <v>17</v>
      </c>
      <c r="I1144" s="11" t="s">
        <v>18</v>
      </c>
    </row>
    <row r="1145" spans="1:9" hidden="1" x14ac:dyDescent="0.25">
      <c r="A1145" s="1">
        <v>46255</v>
      </c>
      <c r="B1145">
        <v>1098774597</v>
      </c>
      <c r="C1145" t="s">
        <v>1745</v>
      </c>
      <c r="D1145" s="11" t="s">
        <v>132</v>
      </c>
      <c r="E1145" s="11" t="s">
        <v>4040</v>
      </c>
      <c r="F1145" s="1">
        <v>46253</v>
      </c>
      <c r="G1145" s="1">
        <v>46255</v>
      </c>
      <c r="H1145" s="11" t="s">
        <v>213</v>
      </c>
      <c r="I1145" s="11" t="s">
        <v>214</v>
      </c>
    </row>
    <row r="1146" spans="1:9" hidden="1" x14ac:dyDescent="0.25">
      <c r="A1146" s="1">
        <v>46255</v>
      </c>
      <c r="B1146">
        <v>1037661959</v>
      </c>
      <c r="C1146" t="s">
        <v>4080</v>
      </c>
      <c r="D1146" s="11" t="s">
        <v>482</v>
      </c>
      <c r="E1146" s="11" t="s">
        <v>4040</v>
      </c>
      <c r="F1146" s="1">
        <v>46253</v>
      </c>
      <c r="G1146" s="1">
        <v>46255</v>
      </c>
      <c r="H1146" s="11" t="s">
        <v>261</v>
      </c>
      <c r="I1146" s="11" t="s">
        <v>262</v>
      </c>
    </row>
    <row r="1147" spans="1:9" hidden="1" x14ac:dyDescent="0.25">
      <c r="A1147" s="1">
        <v>46255</v>
      </c>
      <c r="B1147">
        <v>1152434926</v>
      </c>
      <c r="C1147" t="s">
        <v>217</v>
      </c>
      <c r="D1147" s="11" t="s">
        <v>59</v>
      </c>
      <c r="E1147" s="11" t="s">
        <v>4047</v>
      </c>
      <c r="F1147" s="1">
        <v>46252</v>
      </c>
      <c r="G1147" s="1">
        <v>46255</v>
      </c>
      <c r="H1147" s="11"/>
      <c r="I1147" s="11" t="s">
        <v>327</v>
      </c>
    </row>
    <row r="1148" spans="1:9" hidden="1" x14ac:dyDescent="0.25">
      <c r="A1148" s="1">
        <v>46255</v>
      </c>
      <c r="B1148">
        <v>1007334260</v>
      </c>
      <c r="C1148" t="s">
        <v>4207</v>
      </c>
      <c r="D1148" s="11" t="s">
        <v>344</v>
      </c>
      <c r="E1148" s="11" t="s">
        <v>4056</v>
      </c>
      <c r="F1148" s="1">
        <v>46255</v>
      </c>
      <c r="G1148" s="1">
        <v>46259</v>
      </c>
      <c r="H1148" s="11" t="s">
        <v>285</v>
      </c>
      <c r="I1148" s="11" t="s">
        <v>286</v>
      </c>
    </row>
    <row r="1149" spans="1:9" hidden="1" x14ac:dyDescent="0.25">
      <c r="A1149" s="1">
        <v>46255</v>
      </c>
      <c r="B1149">
        <v>1143375080</v>
      </c>
      <c r="C1149" t="s">
        <v>203</v>
      </c>
      <c r="D1149" s="11" t="s">
        <v>44</v>
      </c>
      <c r="E1149" s="11" t="s">
        <v>4045</v>
      </c>
      <c r="F1149" s="1">
        <v>46249</v>
      </c>
      <c r="H1149" s="11" t="s">
        <v>199</v>
      </c>
      <c r="I1149" s="11" t="s">
        <v>200</v>
      </c>
    </row>
    <row r="1150" spans="1:9" hidden="1" x14ac:dyDescent="0.25">
      <c r="A1150" s="1">
        <v>46255</v>
      </c>
      <c r="B1150">
        <v>1043006106</v>
      </c>
      <c r="C1150" t="s">
        <v>202</v>
      </c>
      <c r="D1150" s="11" t="s">
        <v>64</v>
      </c>
      <c r="E1150" s="11" t="s">
        <v>4046</v>
      </c>
      <c r="F1150" s="1">
        <v>46249</v>
      </c>
      <c r="G1150" s="1">
        <v>46278</v>
      </c>
      <c r="H1150" s="11"/>
      <c r="I1150" s="11" t="s">
        <v>327</v>
      </c>
    </row>
    <row r="1151" spans="1:9" hidden="1" x14ac:dyDescent="0.25">
      <c r="A1151" s="1">
        <v>46255</v>
      </c>
      <c r="B1151">
        <v>1040755197</v>
      </c>
      <c r="C1151" t="s">
        <v>171</v>
      </c>
      <c r="D1151" s="11" t="s">
        <v>172</v>
      </c>
      <c r="E1151" s="11" t="s">
        <v>4046</v>
      </c>
      <c r="F1151" s="1">
        <v>46252</v>
      </c>
      <c r="G1151" s="1">
        <v>46262</v>
      </c>
      <c r="H1151" s="11" t="s">
        <v>167</v>
      </c>
      <c r="I1151" s="11" t="s">
        <v>168</v>
      </c>
    </row>
    <row r="1152" spans="1:9" hidden="1" x14ac:dyDescent="0.25">
      <c r="A1152" s="1">
        <v>46255</v>
      </c>
      <c r="B1152">
        <v>1102808787</v>
      </c>
      <c r="C1152" t="s">
        <v>135</v>
      </c>
      <c r="D1152" s="11" t="s">
        <v>39</v>
      </c>
      <c r="E1152" s="11" t="s">
        <v>4046</v>
      </c>
      <c r="F1152" s="1">
        <v>46237</v>
      </c>
      <c r="G1152" s="1">
        <v>46276</v>
      </c>
      <c r="H1152" s="11"/>
      <c r="I1152" s="11" t="s">
        <v>327</v>
      </c>
    </row>
    <row r="1153" spans="1:9" hidden="1" x14ac:dyDescent="0.25">
      <c r="A1153" s="1">
        <v>46255</v>
      </c>
      <c r="B1153">
        <v>1035876080</v>
      </c>
      <c r="C1153" t="s">
        <v>123</v>
      </c>
      <c r="D1153" s="11" t="s">
        <v>124</v>
      </c>
      <c r="E1153" s="11" t="s">
        <v>4045</v>
      </c>
      <c r="F1153" s="1">
        <v>46246</v>
      </c>
      <c r="G1153" s="1">
        <v>46254</v>
      </c>
      <c r="H1153" s="11"/>
      <c r="I1153" s="11" t="s">
        <v>4041</v>
      </c>
    </row>
    <row r="1154" spans="1:9" hidden="1" x14ac:dyDescent="0.25">
      <c r="A1154" s="1">
        <v>46255</v>
      </c>
      <c r="B1154">
        <v>1082896324</v>
      </c>
      <c r="C1154" t="s">
        <v>127</v>
      </c>
      <c r="D1154" s="11" t="s">
        <v>128</v>
      </c>
      <c r="E1154" s="11" t="s">
        <v>4045</v>
      </c>
      <c r="F1154" s="1">
        <v>46242</v>
      </c>
      <c r="G1154" s="1">
        <v>46272</v>
      </c>
      <c r="H1154" s="11" t="s">
        <v>240</v>
      </c>
      <c r="I1154" s="11" t="s">
        <v>241</v>
      </c>
    </row>
    <row r="1155" spans="1:9" hidden="1" x14ac:dyDescent="0.25">
      <c r="A1155" s="1">
        <v>46255</v>
      </c>
      <c r="B1155">
        <v>1001851670</v>
      </c>
      <c r="C1155" t="s">
        <v>50</v>
      </c>
      <c r="D1155" s="11" t="s">
        <v>51</v>
      </c>
      <c r="E1155" s="11" t="s">
        <v>4047</v>
      </c>
      <c r="F1155" s="1">
        <v>46241</v>
      </c>
      <c r="G1155" s="1">
        <v>46366</v>
      </c>
      <c r="H1155" s="11" t="s">
        <v>85</v>
      </c>
      <c r="I1155" s="11" t="s">
        <v>86</v>
      </c>
    </row>
    <row r="1156" spans="1:9" hidden="1" x14ac:dyDescent="0.25">
      <c r="A1156" s="1">
        <v>46255</v>
      </c>
      <c r="B1156">
        <v>1140891109</v>
      </c>
      <c r="C1156" t="s">
        <v>1287</v>
      </c>
      <c r="D1156" s="11" t="s">
        <v>51</v>
      </c>
      <c r="E1156" s="11" t="s">
        <v>4047</v>
      </c>
      <c r="F1156" s="1">
        <v>46254</v>
      </c>
      <c r="G1156" s="1">
        <v>46254</v>
      </c>
      <c r="H1156" s="11"/>
      <c r="I1156" s="11" t="s">
        <v>4041</v>
      </c>
    </row>
    <row r="1157" spans="1:9" hidden="1" x14ac:dyDescent="0.25">
      <c r="A1157" s="1">
        <v>46255</v>
      </c>
      <c r="B1157">
        <v>42141273</v>
      </c>
      <c r="C1157" t="s">
        <v>271</v>
      </c>
      <c r="D1157" s="11" t="s">
        <v>272</v>
      </c>
      <c r="E1157" s="11" t="s">
        <v>4056</v>
      </c>
      <c r="F1157" s="1">
        <v>46238</v>
      </c>
      <c r="G1157" s="1">
        <v>46295</v>
      </c>
      <c r="H1157" s="11" t="s">
        <v>560</v>
      </c>
      <c r="I1157" s="11" t="s">
        <v>561</v>
      </c>
    </row>
    <row r="1158" spans="1:9" hidden="1" x14ac:dyDescent="0.25">
      <c r="A1158" s="1">
        <v>46255</v>
      </c>
      <c r="B1158">
        <v>1005424850</v>
      </c>
      <c r="C1158" t="s">
        <v>95</v>
      </c>
      <c r="D1158" s="11" t="s">
        <v>82</v>
      </c>
      <c r="E1158" s="11" t="s">
        <v>4045</v>
      </c>
      <c r="F1158" s="1">
        <v>46254</v>
      </c>
      <c r="G1158" s="1">
        <v>46255</v>
      </c>
      <c r="H1158" s="11"/>
      <c r="I1158" s="11" t="s">
        <v>4208</v>
      </c>
    </row>
    <row r="1159" spans="1:9" hidden="1" x14ac:dyDescent="0.25">
      <c r="A1159" s="1">
        <v>46255</v>
      </c>
      <c r="B1159">
        <v>1152221372</v>
      </c>
      <c r="C1159" t="s">
        <v>2363</v>
      </c>
      <c r="D1159" s="11" t="s">
        <v>139</v>
      </c>
      <c r="E1159" s="11" t="s">
        <v>4040</v>
      </c>
      <c r="F1159" s="1">
        <v>46230</v>
      </c>
      <c r="G1159" s="1">
        <v>46230</v>
      </c>
      <c r="H1159" s="11"/>
      <c r="I1159" s="11" t="s">
        <v>327</v>
      </c>
    </row>
    <row r="1160" spans="1:9" hidden="1" x14ac:dyDescent="0.25">
      <c r="A1160" s="1">
        <v>46255</v>
      </c>
      <c r="B1160">
        <v>1017264032</v>
      </c>
      <c r="C1160" t="s">
        <v>54</v>
      </c>
      <c r="D1160" s="11" t="s">
        <v>55</v>
      </c>
      <c r="E1160" s="11" t="s">
        <v>4047</v>
      </c>
      <c r="F1160" s="1">
        <v>46229</v>
      </c>
      <c r="G1160" s="1">
        <v>46258</v>
      </c>
      <c r="H1160" s="11" t="s">
        <v>119</v>
      </c>
      <c r="I1160" s="11" t="s">
        <v>120</v>
      </c>
    </row>
    <row r="1161" spans="1:9" hidden="1" x14ac:dyDescent="0.25">
      <c r="A1161" s="1">
        <v>46255</v>
      </c>
      <c r="B1161">
        <v>1037630071</v>
      </c>
      <c r="C1161" t="s">
        <v>3579</v>
      </c>
      <c r="D1161" s="11" t="s">
        <v>176</v>
      </c>
      <c r="E1161" s="11" t="s">
        <v>4040</v>
      </c>
      <c r="F1161" s="1">
        <v>46247</v>
      </c>
      <c r="G1161" s="1">
        <v>46265</v>
      </c>
      <c r="H1161" s="11" t="s">
        <v>251</v>
      </c>
      <c r="I1161" s="11" t="s">
        <v>252</v>
      </c>
    </row>
    <row r="1162" spans="1:9" hidden="1" x14ac:dyDescent="0.25">
      <c r="A1162" s="1">
        <v>46255</v>
      </c>
      <c r="B1162">
        <v>1143460426</v>
      </c>
      <c r="C1162" t="s">
        <v>4069</v>
      </c>
      <c r="D1162" s="11" t="s">
        <v>64</v>
      </c>
      <c r="E1162" s="11" t="s">
        <v>4046</v>
      </c>
      <c r="F1162" s="1">
        <v>46195</v>
      </c>
      <c r="G1162" s="1">
        <v>46198</v>
      </c>
      <c r="H1162" s="11" t="s">
        <v>231</v>
      </c>
      <c r="I1162" s="11" t="s">
        <v>232</v>
      </c>
    </row>
    <row r="1163" spans="1:9" hidden="1" x14ac:dyDescent="0.25">
      <c r="A1163" s="1">
        <v>46255</v>
      </c>
      <c r="B1163">
        <v>32299090</v>
      </c>
      <c r="C1163" t="s">
        <v>3249</v>
      </c>
      <c r="D1163" s="11" t="s">
        <v>55</v>
      </c>
      <c r="E1163" s="11" t="s">
        <v>4047</v>
      </c>
      <c r="F1163" s="1">
        <v>46253</v>
      </c>
      <c r="G1163" s="1">
        <v>46255</v>
      </c>
      <c r="H1163" s="11" t="s">
        <v>306</v>
      </c>
      <c r="I1163" s="11" t="s">
        <v>307</v>
      </c>
    </row>
    <row r="1164" spans="1:9" hidden="1" x14ac:dyDescent="0.25">
      <c r="A1164" s="1">
        <v>46255</v>
      </c>
      <c r="B1164">
        <v>1143374524</v>
      </c>
      <c r="C1164" t="s">
        <v>2755</v>
      </c>
      <c r="D1164" s="11" t="s">
        <v>51</v>
      </c>
      <c r="E1164" s="11" t="s">
        <v>4047</v>
      </c>
      <c r="F1164" s="1">
        <v>46253</v>
      </c>
      <c r="G1164" s="1">
        <v>46255</v>
      </c>
      <c r="H1164" s="11"/>
      <c r="I1164" s="11" t="s">
        <v>327</v>
      </c>
    </row>
    <row r="1165" spans="1:9" hidden="1" x14ac:dyDescent="0.25">
      <c r="A1165" s="1">
        <v>46255</v>
      </c>
      <c r="B1165">
        <v>1020414545</v>
      </c>
      <c r="C1165" t="s">
        <v>2893</v>
      </c>
      <c r="D1165" s="11" t="s">
        <v>256</v>
      </c>
      <c r="E1165" s="11" t="s">
        <v>4040</v>
      </c>
      <c r="F1165" s="1">
        <v>46253</v>
      </c>
      <c r="G1165" s="1">
        <v>46254</v>
      </c>
      <c r="H1165" s="11"/>
      <c r="I1165" s="11" t="s">
        <v>4041</v>
      </c>
    </row>
    <row r="1166" spans="1:9" hidden="1" x14ac:dyDescent="0.25">
      <c r="A1166" s="1">
        <v>46255</v>
      </c>
      <c r="B1166">
        <v>1005989838</v>
      </c>
      <c r="C1166" t="s">
        <v>3630</v>
      </c>
      <c r="D1166" s="11" t="s">
        <v>132</v>
      </c>
      <c r="E1166" s="11" t="s">
        <v>4040</v>
      </c>
      <c r="F1166" s="1">
        <v>46254</v>
      </c>
      <c r="H1166" s="11"/>
      <c r="I1166" s="11" t="s">
        <v>4084</v>
      </c>
    </row>
    <row r="1167" spans="1:9" hidden="1" x14ac:dyDescent="0.25">
      <c r="A1167" s="1">
        <v>46255</v>
      </c>
      <c r="B1167">
        <v>1000099010</v>
      </c>
      <c r="C1167" t="s">
        <v>660</v>
      </c>
      <c r="D1167" s="11" t="s">
        <v>139</v>
      </c>
      <c r="E1167" s="11" t="s">
        <v>4040</v>
      </c>
      <c r="F1167" s="1">
        <v>46252</v>
      </c>
      <c r="G1167" s="1">
        <v>46253</v>
      </c>
      <c r="H1167" s="11"/>
      <c r="I1167" s="11" t="s">
        <v>4041</v>
      </c>
    </row>
    <row r="1168" spans="1:9" hidden="1" x14ac:dyDescent="0.25">
      <c r="A1168" s="1">
        <v>46255</v>
      </c>
      <c r="B1168">
        <v>1017270214</v>
      </c>
      <c r="C1168" t="s">
        <v>1016</v>
      </c>
      <c r="D1168" s="11" t="s">
        <v>139</v>
      </c>
      <c r="E1168" s="11" t="s">
        <v>4040</v>
      </c>
      <c r="F1168" s="1">
        <v>46253</v>
      </c>
      <c r="G1168" s="1">
        <v>46255</v>
      </c>
      <c r="H1168" s="11" t="s">
        <v>294</v>
      </c>
      <c r="I1168" s="11" t="s">
        <v>295</v>
      </c>
    </row>
    <row r="1169" spans="1:9" hidden="1" x14ac:dyDescent="0.25">
      <c r="A1169" s="1">
        <v>46255</v>
      </c>
      <c r="B1169">
        <v>43453341</v>
      </c>
      <c r="C1169" t="s">
        <v>146</v>
      </c>
      <c r="D1169" s="11" t="s">
        <v>124</v>
      </c>
      <c r="E1169" s="11" t="s">
        <v>4045</v>
      </c>
      <c r="F1169" s="1">
        <v>46254</v>
      </c>
      <c r="G1169" s="1">
        <v>46268</v>
      </c>
      <c r="H1169" s="11" t="s">
        <v>150</v>
      </c>
      <c r="I1169" s="11" t="s">
        <v>151</v>
      </c>
    </row>
    <row r="1170" spans="1:9" hidden="1" x14ac:dyDescent="0.25">
      <c r="A1170" s="1">
        <v>46255</v>
      </c>
      <c r="B1170">
        <v>1037646403</v>
      </c>
      <c r="C1170" t="s">
        <v>4205</v>
      </c>
      <c r="D1170" s="11" t="s">
        <v>128</v>
      </c>
      <c r="E1170" s="11" t="s">
        <v>4045</v>
      </c>
      <c r="F1170" s="1">
        <v>46254</v>
      </c>
      <c r="H1170" s="11"/>
      <c r="I1170" s="11" t="s">
        <v>4060</v>
      </c>
    </row>
    <row r="1171" spans="1:9" hidden="1" x14ac:dyDescent="0.25">
      <c r="A1171" s="1">
        <v>46255</v>
      </c>
      <c r="B1171">
        <v>1000348983</v>
      </c>
      <c r="C1171" t="s">
        <v>235</v>
      </c>
      <c r="D1171" s="11" t="s">
        <v>162</v>
      </c>
      <c r="E1171" s="11" t="s">
        <v>4056</v>
      </c>
      <c r="F1171" s="1">
        <v>46251</v>
      </c>
      <c r="G1171" s="1">
        <v>46255</v>
      </c>
      <c r="H1171" s="11" t="s">
        <v>236</v>
      </c>
      <c r="I1171" s="11" t="s">
        <v>237</v>
      </c>
    </row>
    <row r="1172" spans="1:9" hidden="1" x14ac:dyDescent="0.25">
      <c r="A1172" s="1">
        <v>46255</v>
      </c>
      <c r="B1172">
        <v>1001996913</v>
      </c>
      <c r="C1172" t="s">
        <v>3174</v>
      </c>
      <c r="D1172" s="11" t="s">
        <v>28</v>
      </c>
      <c r="E1172" s="11" t="s">
        <v>4046</v>
      </c>
      <c r="F1172" s="1">
        <v>46252</v>
      </c>
      <c r="G1172" s="1">
        <v>46254</v>
      </c>
      <c r="H1172" s="11"/>
      <c r="I1172" s="11" t="s">
        <v>4041</v>
      </c>
    </row>
    <row r="1173" spans="1:9" hidden="1" x14ac:dyDescent="0.25">
      <c r="A1173" s="1">
        <v>46255</v>
      </c>
      <c r="B1173">
        <v>1037638426</v>
      </c>
      <c r="C1173" t="s">
        <v>31</v>
      </c>
      <c r="D1173" s="11" t="s">
        <v>28</v>
      </c>
      <c r="E1173" s="11" t="s">
        <v>4046</v>
      </c>
      <c r="F1173" s="1">
        <v>46249</v>
      </c>
      <c r="G1173" s="1">
        <v>46264</v>
      </c>
      <c r="H1173" s="11" t="s">
        <v>103</v>
      </c>
      <c r="I1173" s="11" t="s">
        <v>104</v>
      </c>
    </row>
    <row r="1174" spans="1:9" hidden="1" x14ac:dyDescent="0.25">
      <c r="A1174" s="1">
        <v>46255</v>
      </c>
      <c r="B1174">
        <v>1037631989</v>
      </c>
      <c r="C1174" t="s">
        <v>27</v>
      </c>
      <c r="D1174" s="11" t="s">
        <v>28</v>
      </c>
      <c r="E1174" s="11" t="s">
        <v>4046</v>
      </c>
      <c r="F1174" s="1">
        <v>46226</v>
      </c>
      <c r="G1174" s="1">
        <v>46255</v>
      </c>
      <c r="H1174" s="11"/>
      <c r="I1174" s="11" t="s">
        <v>327</v>
      </c>
    </row>
    <row r="1175" spans="1:9" hidden="1" x14ac:dyDescent="0.25">
      <c r="A1175" s="1">
        <v>46255</v>
      </c>
      <c r="B1175">
        <v>1001782820</v>
      </c>
      <c r="C1175" t="s">
        <v>2956</v>
      </c>
      <c r="D1175" s="11" t="s">
        <v>28</v>
      </c>
      <c r="E1175" s="11" t="s">
        <v>4046</v>
      </c>
      <c r="F1175" s="1">
        <v>46254</v>
      </c>
      <c r="G1175" s="1">
        <v>46255</v>
      </c>
      <c r="H1175" s="11" t="s">
        <v>73</v>
      </c>
      <c r="I1175" s="11" t="s">
        <v>74</v>
      </c>
    </row>
    <row r="1176" spans="1:9" hidden="1" x14ac:dyDescent="0.25">
      <c r="A1176" s="1">
        <v>46255</v>
      </c>
      <c r="B1176">
        <v>1035442374</v>
      </c>
      <c r="C1176" t="s">
        <v>2935</v>
      </c>
      <c r="D1176" s="11" t="s">
        <v>172</v>
      </c>
      <c r="E1176" s="11" t="s">
        <v>4046</v>
      </c>
      <c r="F1176" s="1">
        <v>46254</v>
      </c>
      <c r="G1176" s="1">
        <v>46255</v>
      </c>
      <c r="H1176" s="11"/>
      <c r="I1176" s="11" t="s">
        <v>4060</v>
      </c>
    </row>
    <row r="1177" spans="1:9" hidden="1" x14ac:dyDescent="0.25">
      <c r="A1177" s="1">
        <v>46255</v>
      </c>
      <c r="B1177">
        <v>1001446162</v>
      </c>
      <c r="C1177" t="s">
        <v>3663</v>
      </c>
      <c r="D1177" s="11" t="s">
        <v>4125</v>
      </c>
      <c r="E1177" s="11" t="s">
        <v>4056</v>
      </c>
      <c r="F1177" s="1">
        <v>46255</v>
      </c>
      <c r="G1177" s="1">
        <v>46255</v>
      </c>
      <c r="H1177" s="11"/>
      <c r="I1177" s="11" t="s">
        <v>339</v>
      </c>
    </row>
    <row r="1178" spans="1:9" hidden="1" x14ac:dyDescent="0.25">
      <c r="A1178" s="1">
        <v>46255</v>
      </c>
      <c r="B1178">
        <v>1152472382</v>
      </c>
      <c r="C1178" t="s">
        <v>869</v>
      </c>
      <c r="D1178" s="11" t="s">
        <v>492</v>
      </c>
      <c r="E1178" s="11" t="s">
        <v>4045</v>
      </c>
      <c r="F1178" s="1">
        <v>46254</v>
      </c>
      <c r="G1178" s="1">
        <v>46255</v>
      </c>
      <c r="H1178" s="11"/>
      <c r="I1178" s="11" t="s">
        <v>4060</v>
      </c>
    </row>
    <row r="1179" spans="1:9" hidden="1" x14ac:dyDescent="0.25">
      <c r="A1179" s="1">
        <v>46255</v>
      </c>
      <c r="B1179">
        <v>1001995700</v>
      </c>
      <c r="C1179" t="s">
        <v>2173</v>
      </c>
      <c r="D1179" s="11" t="s">
        <v>59</v>
      </c>
      <c r="E1179" s="11" t="s">
        <v>4047</v>
      </c>
      <c r="F1179" s="1">
        <v>46254</v>
      </c>
      <c r="G1179" s="1">
        <v>46254</v>
      </c>
      <c r="H1179" s="11"/>
      <c r="I1179" s="11" t="s">
        <v>4041</v>
      </c>
    </row>
    <row r="1180" spans="1:9" hidden="1" x14ac:dyDescent="0.25">
      <c r="A1180" s="1">
        <v>46255</v>
      </c>
      <c r="B1180">
        <v>1035876080</v>
      </c>
      <c r="C1180" t="s">
        <v>123</v>
      </c>
      <c r="D1180" s="11" t="s">
        <v>124</v>
      </c>
      <c r="E1180" s="11" t="s">
        <v>4045</v>
      </c>
      <c r="F1180" s="1">
        <v>46254</v>
      </c>
      <c r="H1180" s="11" t="s">
        <v>300</v>
      </c>
      <c r="I1180" s="11" t="s">
        <v>301</v>
      </c>
    </row>
    <row r="1181" spans="1:9" hidden="1" x14ac:dyDescent="0.25">
      <c r="A1181" s="1">
        <v>46255</v>
      </c>
      <c r="B1181">
        <v>73189515</v>
      </c>
      <c r="C1181" t="s">
        <v>773</v>
      </c>
      <c r="D1181" s="11" t="s">
        <v>272</v>
      </c>
      <c r="E1181" s="11" t="s">
        <v>4056</v>
      </c>
      <c r="F1181" s="1">
        <v>46255</v>
      </c>
      <c r="G1181" s="1">
        <v>46255</v>
      </c>
      <c r="H1181" s="11" t="s">
        <v>267</v>
      </c>
      <c r="I1181" s="11" t="s">
        <v>268</v>
      </c>
    </row>
    <row r="1182" spans="1:9" hidden="1" x14ac:dyDescent="0.25">
      <c r="A1182" s="1">
        <v>46255</v>
      </c>
      <c r="B1182">
        <v>1004463773</v>
      </c>
      <c r="C1182" t="s">
        <v>3213</v>
      </c>
      <c r="D1182" s="11" t="s">
        <v>176</v>
      </c>
      <c r="E1182" s="11" t="s">
        <v>4040</v>
      </c>
      <c r="F1182" s="1">
        <v>46255</v>
      </c>
      <c r="G1182" s="1">
        <v>46256</v>
      </c>
      <c r="H1182" s="11"/>
      <c r="I1182" s="11" t="s">
        <v>4210</v>
      </c>
    </row>
    <row r="1183" spans="1:9" hidden="1" x14ac:dyDescent="0.25">
      <c r="A1183" s="1">
        <v>46255</v>
      </c>
      <c r="B1183">
        <v>1037485093</v>
      </c>
      <c r="C1183" t="s">
        <v>4211</v>
      </c>
      <c r="D1183" s="11" t="s">
        <v>344</v>
      </c>
      <c r="E1183" s="11" t="s">
        <v>4056</v>
      </c>
      <c r="F1183" s="1">
        <v>46255</v>
      </c>
      <c r="G1183" s="1">
        <v>46258</v>
      </c>
      <c r="H1183" s="11"/>
      <c r="I1183" s="11" t="s">
        <v>327</v>
      </c>
    </row>
    <row r="1184" spans="1:9" hidden="1" x14ac:dyDescent="0.25">
      <c r="A1184" s="1">
        <v>46255</v>
      </c>
      <c r="B1184">
        <v>1235257142</v>
      </c>
      <c r="C1184" t="s">
        <v>1774</v>
      </c>
      <c r="D1184" s="11" t="s">
        <v>44</v>
      </c>
      <c r="E1184" s="11" t="s">
        <v>4045</v>
      </c>
      <c r="F1184" s="1">
        <v>46255</v>
      </c>
      <c r="G1184" s="1">
        <v>46256</v>
      </c>
      <c r="H1184" s="11"/>
      <c r="I1184" s="11" t="s">
        <v>327</v>
      </c>
    </row>
    <row r="1185" spans="1:9" hidden="1" x14ac:dyDescent="0.25">
      <c r="A1185" s="1">
        <v>46255</v>
      </c>
      <c r="B1185">
        <v>1065647062</v>
      </c>
      <c r="C1185" t="s">
        <v>415</v>
      </c>
      <c r="D1185" s="11" t="s">
        <v>414</v>
      </c>
      <c r="E1185" s="11" t="s">
        <v>4056</v>
      </c>
      <c r="F1185" s="1">
        <v>46255</v>
      </c>
      <c r="G1185" s="1">
        <v>46255</v>
      </c>
      <c r="H1185" s="11" t="s">
        <v>163</v>
      </c>
      <c r="I1185" s="11" t="s">
        <v>164</v>
      </c>
    </row>
    <row r="1186" spans="1:9" hidden="1" x14ac:dyDescent="0.25">
      <c r="A1186" s="1">
        <v>46255</v>
      </c>
      <c r="B1186">
        <v>1020414545</v>
      </c>
      <c r="C1186" t="s">
        <v>2893</v>
      </c>
      <c r="D1186" s="11" t="s">
        <v>256</v>
      </c>
      <c r="E1186" s="11" t="s">
        <v>4040</v>
      </c>
      <c r="F1186" s="1">
        <v>46255</v>
      </c>
      <c r="G1186" s="1">
        <v>46256</v>
      </c>
      <c r="H1186" s="11"/>
      <c r="I1186" s="11" t="s">
        <v>4060</v>
      </c>
    </row>
    <row r="1187" spans="1:9" hidden="1" x14ac:dyDescent="0.25">
      <c r="A1187" s="1">
        <v>46255</v>
      </c>
      <c r="B1187">
        <v>1034296571</v>
      </c>
      <c r="C1187" t="s">
        <v>1706</v>
      </c>
      <c r="D1187" s="11" t="s">
        <v>128</v>
      </c>
      <c r="E1187" s="11" t="s">
        <v>4045</v>
      </c>
      <c r="F1187" s="1">
        <v>46255</v>
      </c>
      <c r="G1187" s="1">
        <v>46256</v>
      </c>
      <c r="H1187" s="11"/>
      <c r="I1187" s="11" t="s">
        <v>4060</v>
      </c>
    </row>
    <row r="1188" spans="1:9" hidden="1" x14ac:dyDescent="0.25">
      <c r="A1188" s="1">
        <v>46255</v>
      </c>
      <c r="B1188">
        <v>1001013936</v>
      </c>
      <c r="C1188" t="s">
        <v>3856</v>
      </c>
      <c r="D1188" s="11" t="s">
        <v>28</v>
      </c>
      <c r="E1188" s="11" t="s">
        <v>4046</v>
      </c>
      <c r="F1188" s="1">
        <v>46255</v>
      </c>
      <c r="G1188" s="1">
        <v>46255</v>
      </c>
      <c r="H1188" s="11"/>
      <c r="I1188" s="11" t="s">
        <v>327</v>
      </c>
    </row>
    <row r="1189" spans="1:9" hidden="1" x14ac:dyDescent="0.25">
      <c r="A1189" s="1">
        <v>46255</v>
      </c>
      <c r="B1189">
        <v>1017255237</v>
      </c>
      <c r="C1189" t="s">
        <v>548</v>
      </c>
      <c r="D1189" s="11" t="s">
        <v>78</v>
      </c>
      <c r="E1189" s="11" t="s">
        <v>4046</v>
      </c>
      <c r="F1189" s="1">
        <v>46255</v>
      </c>
      <c r="G1189" s="1">
        <v>46256</v>
      </c>
      <c r="H1189" s="11"/>
      <c r="I1189" s="11" t="s">
        <v>327</v>
      </c>
    </row>
    <row r="1190" spans="1:9" hidden="1" x14ac:dyDescent="0.25">
      <c r="A1190" s="1">
        <v>46255</v>
      </c>
      <c r="B1190">
        <v>1007624721</v>
      </c>
      <c r="C1190" t="s">
        <v>2274</v>
      </c>
      <c r="D1190" s="11" t="s">
        <v>39</v>
      </c>
      <c r="E1190" s="11" t="s">
        <v>4046</v>
      </c>
      <c r="F1190" s="1">
        <v>46255</v>
      </c>
      <c r="G1190" s="1">
        <v>46256</v>
      </c>
      <c r="H1190" s="11"/>
      <c r="I1190" s="11" t="s">
        <v>327</v>
      </c>
    </row>
    <row r="1191" spans="1:9" hidden="1" x14ac:dyDescent="0.25">
      <c r="A1191" s="1">
        <v>46255</v>
      </c>
      <c r="B1191">
        <v>1036618989</v>
      </c>
      <c r="C1191" t="s">
        <v>3854</v>
      </c>
      <c r="D1191" s="11" t="s">
        <v>82</v>
      </c>
      <c r="E1191" s="11" t="s">
        <v>4045</v>
      </c>
      <c r="F1191" s="1">
        <v>46255</v>
      </c>
      <c r="G1191" s="1">
        <v>46258</v>
      </c>
      <c r="H1191" s="11"/>
      <c r="I1191" s="11" t="s">
        <v>4060</v>
      </c>
    </row>
    <row r="1192" spans="1:9" hidden="1" x14ac:dyDescent="0.25">
      <c r="A1192" s="1">
        <v>46255</v>
      </c>
      <c r="B1192">
        <v>1007600707</v>
      </c>
      <c r="C1192" t="s">
        <v>2394</v>
      </c>
      <c r="D1192" s="11" t="s">
        <v>256</v>
      </c>
      <c r="E1192" s="11" t="s">
        <v>4040</v>
      </c>
      <c r="F1192" s="1">
        <v>46255</v>
      </c>
      <c r="G1192" s="1">
        <v>46256</v>
      </c>
      <c r="H1192" s="11"/>
      <c r="I1192" s="11" t="s">
        <v>327</v>
      </c>
    </row>
    <row r="1193" spans="1:9" hidden="1" x14ac:dyDescent="0.25">
      <c r="A1193" s="1">
        <v>46255</v>
      </c>
      <c r="B1193">
        <v>1007240267</v>
      </c>
      <c r="C1193" t="s">
        <v>2313</v>
      </c>
      <c r="D1193" s="11" t="s">
        <v>245</v>
      </c>
      <c r="E1193" s="11" t="s">
        <v>4040</v>
      </c>
      <c r="F1193" s="1">
        <v>46255</v>
      </c>
      <c r="G1193" s="1">
        <v>46255</v>
      </c>
      <c r="H1193" s="11"/>
      <c r="I1193" s="11" t="s">
        <v>4060</v>
      </c>
    </row>
    <row r="1194" spans="1:9" hidden="1" x14ac:dyDescent="0.25">
      <c r="A1194" s="1">
        <v>46255</v>
      </c>
      <c r="B1194">
        <v>45547324</v>
      </c>
      <c r="C1194" t="s">
        <v>3312</v>
      </c>
      <c r="D1194" s="11" t="s">
        <v>162</v>
      </c>
      <c r="E1194" s="11" t="s">
        <v>4056</v>
      </c>
      <c r="F1194" s="1">
        <v>46255</v>
      </c>
      <c r="G1194" s="1">
        <v>46256</v>
      </c>
      <c r="H1194" s="11"/>
      <c r="I1194" s="11" t="s">
        <v>4060</v>
      </c>
    </row>
    <row r="1195" spans="1:9" hidden="1" x14ac:dyDescent="0.25">
      <c r="A1195" s="1">
        <v>46255</v>
      </c>
      <c r="B1195">
        <v>1143166984</v>
      </c>
      <c r="C1195" t="s">
        <v>2638</v>
      </c>
      <c r="D1195" s="11" t="s">
        <v>272</v>
      </c>
      <c r="E1195" s="11" t="s">
        <v>4056</v>
      </c>
      <c r="F1195" s="1">
        <v>46255</v>
      </c>
      <c r="G1195" s="1">
        <v>46256</v>
      </c>
      <c r="H1195" s="11"/>
      <c r="I1195" s="11" t="s">
        <v>4060</v>
      </c>
    </row>
    <row r="1196" spans="1:9" hidden="1" x14ac:dyDescent="0.25">
      <c r="A1196" s="1">
        <v>46255</v>
      </c>
      <c r="B1196">
        <v>1013660730</v>
      </c>
      <c r="C1196" t="s">
        <v>1199</v>
      </c>
      <c r="D1196" s="11" t="s">
        <v>143</v>
      </c>
      <c r="E1196" s="11" t="s">
        <v>4045</v>
      </c>
      <c r="F1196" s="1">
        <v>46255</v>
      </c>
      <c r="G1196" s="1">
        <v>46256</v>
      </c>
      <c r="H1196" s="11"/>
      <c r="I1196" s="11" t="s">
        <v>4060</v>
      </c>
    </row>
    <row r="1197" spans="1:9" hidden="1" x14ac:dyDescent="0.25">
      <c r="A1197" s="1">
        <v>46255</v>
      </c>
      <c r="B1197">
        <v>1001852351</v>
      </c>
      <c r="C1197" t="s">
        <v>2238</v>
      </c>
      <c r="D1197" s="11" t="s">
        <v>39</v>
      </c>
      <c r="E1197" s="11" t="s">
        <v>4046</v>
      </c>
      <c r="F1197" s="1">
        <v>46255</v>
      </c>
      <c r="G1197" s="1">
        <v>46256</v>
      </c>
      <c r="H1197" s="11"/>
      <c r="I1197" s="11" t="s">
        <v>4060</v>
      </c>
    </row>
    <row r="1198" spans="1:9" hidden="1" x14ac:dyDescent="0.25">
      <c r="A1198" s="1">
        <v>46255</v>
      </c>
      <c r="B1198">
        <v>1100955074</v>
      </c>
      <c r="C1198" t="s">
        <v>1582</v>
      </c>
      <c r="D1198" s="11" t="s">
        <v>102</v>
      </c>
      <c r="E1198" s="11" t="s">
        <v>4046</v>
      </c>
      <c r="F1198" s="1">
        <v>46255</v>
      </c>
      <c r="G1198" s="1">
        <v>46255</v>
      </c>
      <c r="H1198" s="11"/>
      <c r="I1198" s="11" t="s">
        <v>327</v>
      </c>
    </row>
    <row r="1199" spans="1:9" hidden="1" x14ac:dyDescent="0.25">
      <c r="A1199" s="1">
        <v>46255</v>
      </c>
      <c r="B1199">
        <v>1098765922</v>
      </c>
      <c r="C1199" t="s">
        <v>3654</v>
      </c>
      <c r="D1199" s="11" t="s">
        <v>51</v>
      </c>
      <c r="E1199" s="11" t="s">
        <v>4047</v>
      </c>
      <c r="F1199" s="1">
        <v>46255</v>
      </c>
      <c r="G1199" s="1">
        <v>46256</v>
      </c>
      <c r="H1199" s="11"/>
      <c r="I1199" s="11" t="s">
        <v>4060</v>
      </c>
    </row>
    <row r="1200" spans="1:9" hidden="1" x14ac:dyDescent="0.25">
      <c r="A1200" s="1">
        <v>46255</v>
      </c>
      <c r="B1200">
        <v>1001445343</v>
      </c>
      <c r="C1200" t="s">
        <v>1432</v>
      </c>
      <c r="D1200" s="11" t="s">
        <v>344</v>
      </c>
      <c r="E1200" s="11" t="s">
        <v>4056</v>
      </c>
      <c r="F1200" s="1">
        <v>46255</v>
      </c>
      <c r="H1200" s="11"/>
      <c r="I1200" s="11" t="s">
        <v>4060</v>
      </c>
    </row>
    <row r="1201" spans="1:9" hidden="1" x14ac:dyDescent="0.25">
      <c r="A1201" s="1">
        <v>46255</v>
      </c>
      <c r="B1201">
        <v>1041901478</v>
      </c>
      <c r="C1201" t="s">
        <v>405</v>
      </c>
      <c r="D1201" s="11" t="s">
        <v>256</v>
      </c>
      <c r="E1201" s="11" t="s">
        <v>4040</v>
      </c>
      <c r="F1201" s="1">
        <v>46255</v>
      </c>
      <c r="G1201" s="1">
        <v>46256</v>
      </c>
      <c r="H1201" s="11"/>
      <c r="I1201" s="11" t="s">
        <v>4060</v>
      </c>
    </row>
    <row r="1202" spans="1:9" hidden="1" x14ac:dyDescent="0.25">
      <c r="A1202" s="1">
        <v>46255</v>
      </c>
      <c r="B1202">
        <v>1117545007</v>
      </c>
      <c r="C1202" t="s">
        <v>2375</v>
      </c>
      <c r="D1202" s="11" t="s">
        <v>139</v>
      </c>
      <c r="E1202" s="11" t="s">
        <v>4040</v>
      </c>
      <c r="F1202" s="1">
        <v>46255</v>
      </c>
      <c r="G1202" s="1">
        <v>46255</v>
      </c>
      <c r="H1202" s="11"/>
      <c r="I1202" s="11" t="s">
        <v>4060</v>
      </c>
    </row>
    <row r="1203" spans="1:9" hidden="1" x14ac:dyDescent="0.25">
      <c r="A1203" s="1">
        <v>46255</v>
      </c>
      <c r="B1203">
        <v>1001140238</v>
      </c>
      <c r="C1203" t="s">
        <v>74</v>
      </c>
      <c r="D1203" s="11" t="s">
        <v>4078</v>
      </c>
      <c r="E1203" s="11" t="s">
        <v>4045</v>
      </c>
      <c r="F1203" s="1">
        <v>46255</v>
      </c>
      <c r="G1203" s="1">
        <v>46255</v>
      </c>
      <c r="H1203" s="11"/>
      <c r="I1203" s="11" t="s">
        <v>339</v>
      </c>
    </row>
    <row r="1204" spans="1:9" hidden="1" x14ac:dyDescent="0.25">
      <c r="A1204" s="1">
        <v>46256</v>
      </c>
      <c r="B1204">
        <v>1007240267</v>
      </c>
      <c r="C1204" t="s">
        <v>2313</v>
      </c>
      <c r="D1204" s="11" t="s">
        <v>245</v>
      </c>
      <c r="E1204" s="11" t="s">
        <v>4040</v>
      </c>
      <c r="F1204" s="1">
        <v>46255</v>
      </c>
      <c r="G1204" s="1">
        <v>46255</v>
      </c>
      <c r="H1204" s="11"/>
      <c r="I1204" s="11" t="s">
        <v>4041</v>
      </c>
    </row>
    <row r="1205" spans="1:9" hidden="1" x14ac:dyDescent="0.25">
      <c r="A1205" s="1">
        <v>46256</v>
      </c>
      <c r="B1205">
        <v>1065647062</v>
      </c>
      <c r="C1205" t="s">
        <v>415</v>
      </c>
      <c r="D1205" s="11" t="s">
        <v>414</v>
      </c>
      <c r="E1205" s="11" t="s">
        <v>4056</v>
      </c>
      <c r="F1205" s="1">
        <v>46255</v>
      </c>
      <c r="G1205" s="1">
        <v>46255</v>
      </c>
      <c r="H1205" s="11"/>
      <c r="I1205" s="11" t="s">
        <v>4041</v>
      </c>
    </row>
    <row r="1206" spans="1:9" hidden="1" x14ac:dyDescent="0.25">
      <c r="A1206" s="1">
        <v>46256</v>
      </c>
      <c r="B1206">
        <v>1235257142</v>
      </c>
      <c r="C1206" t="s">
        <v>1774</v>
      </c>
      <c r="D1206" s="11" t="s">
        <v>44</v>
      </c>
      <c r="E1206" s="11" t="s">
        <v>4045</v>
      </c>
      <c r="F1206" s="1">
        <v>46255</v>
      </c>
      <c r="G1206" s="1">
        <v>46256</v>
      </c>
      <c r="H1206" s="11"/>
      <c r="I1206" s="11" t="s">
        <v>327</v>
      </c>
    </row>
    <row r="1207" spans="1:9" hidden="1" x14ac:dyDescent="0.25">
      <c r="A1207" s="1">
        <v>46256</v>
      </c>
      <c r="B1207">
        <v>33204315</v>
      </c>
      <c r="C1207" t="s">
        <v>585</v>
      </c>
      <c r="D1207" s="11" t="s">
        <v>162</v>
      </c>
      <c r="E1207" s="11" t="s">
        <v>4056</v>
      </c>
      <c r="F1207" s="1">
        <v>46254</v>
      </c>
      <c r="G1207" s="1">
        <v>46255</v>
      </c>
      <c r="H1207" s="11"/>
      <c r="I1207" s="11" t="s">
        <v>4041</v>
      </c>
    </row>
    <row r="1208" spans="1:9" hidden="1" x14ac:dyDescent="0.25">
      <c r="A1208" s="1">
        <v>46256</v>
      </c>
      <c r="B1208">
        <v>1152198083</v>
      </c>
      <c r="C1208" t="s">
        <v>2010</v>
      </c>
      <c r="D1208" s="11" t="s">
        <v>421</v>
      </c>
      <c r="E1208" s="11" t="s">
        <v>4047</v>
      </c>
      <c r="F1208" s="1">
        <v>46254</v>
      </c>
      <c r="G1208" s="1">
        <v>46255</v>
      </c>
      <c r="H1208" s="11"/>
      <c r="I1208" s="11" t="s">
        <v>4041</v>
      </c>
    </row>
    <row r="1209" spans="1:9" hidden="1" x14ac:dyDescent="0.25">
      <c r="A1209" s="1">
        <v>46256</v>
      </c>
      <c r="B1209">
        <v>1096223065</v>
      </c>
      <c r="C1209" t="s">
        <v>3428</v>
      </c>
      <c r="D1209" s="11" t="s">
        <v>59</v>
      </c>
      <c r="E1209" s="11" t="s">
        <v>4047</v>
      </c>
      <c r="F1209" s="1">
        <v>46253</v>
      </c>
      <c r="G1209" s="1">
        <v>46265</v>
      </c>
      <c r="H1209" s="11" t="s">
        <v>45</v>
      </c>
      <c r="I1209" s="11" t="s">
        <v>46</v>
      </c>
    </row>
    <row r="1210" spans="1:9" hidden="1" x14ac:dyDescent="0.25">
      <c r="A1210" s="1">
        <v>46256</v>
      </c>
      <c r="B1210">
        <v>1036683729</v>
      </c>
      <c r="C1210" t="s">
        <v>954</v>
      </c>
      <c r="D1210" s="11" t="s">
        <v>82</v>
      </c>
      <c r="E1210" s="11" t="s">
        <v>4045</v>
      </c>
      <c r="F1210" s="1">
        <v>46253</v>
      </c>
      <c r="G1210" s="1">
        <v>46255</v>
      </c>
      <c r="H1210" s="11"/>
      <c r="I1210" s="11" t="s">
        <v>4041</v>
      </c>
    </row>
    <row r="1211" spans="1:9" hidden="1" x14ac:dyDescent="0.25">
      <c r="A1211" s="1">
        <v>46256</v>
      </c>
      <c r="B1211">
        <v>1002029407</v>
      </c>
      <c r="C1211" t="s">
        <v>101</v>
      </c>
      <c r="D1211" s="11" t="s">
        <v>102</v>
      </c>
      <c r="E1211" s="11" t="s">
        <v>4046</v>
      </c>
      <c r="F1211" s="1">
        <v>46253</v>
      </c>
      <c r="G1211" s="1">
        <v>46256</v>
      </c>
      <c r="H1211" s="11" t="s">
        <v>231</v>
      </c>
      <c r="I1211" s="11" t="s">
        <v>232</v>
      </c>
    </row>
    <row r="1212" spans="1:9" hidden="1" x14ac:dyDescent="0.25">
      <c r="A1212" s="1">
        <v>46256</v>
      </c>
      <c r="B1212">
        <v>1000348983</v>
      </c>
      <c r="C1212" t="s">
        <v>235</v>
      </c>
      <c r="D1212" s="11" t="s">
        <v>162</v>
      </c>
      <c r="E1212" s="11" t="s">
        <v>4056</v>
      </c>
      <c r="F1212" s="1">
        <v>46251</v>
      </c>
      <c r="G1212" s="1">
        <v>46255</v>
      </c>
      <c r="H1212" s="11"/>
      <c r="I1212" s="11" t="s">
        <v>4041</v>
      </c>
    </row>
    <row r="1213" spans="1:9" hidden="1" x14ac:dyDescent="0.25">
      <c r="A1213" s="1">
        <v>46256</v>
      </c>
      <c r="B1213">
        <v>1098774597</v>
      </c>
      <c r="C1213" t="s">
        <v>1745</v>
      </c>
      <c r="D1213" s="11" t="s">
        <v>132</v>
      </c>
      <c r="E1213" s="11" t="s">
        <v>4040</v>
      </c>
      <c r="F1213" s="1">
        <v>46253</v>
      </c>
      <c r="G1213" s="1">
        <v>46255</v>
      </c>
      <c r="H1213" s="11"/>
      <c r="I1213" s="11" t="s">
        <v>4041</v>
      </c>
    </row>
    <row r="1214" spans="1:9" hidden="1" x14ac:dyDescent="0.25">
      <c r="A1214" s="1">
        <v>46256</v>
      </c>
      <c r="B1214">
        <v>32299090</v>
      </c>
      <c r="C1214" t="s">
        <v>3249</v>
      </c>
      <c r="D1214" s="11" t="s">
        <v>55</v>
      </c>
      <c r="E1214" s="11" t="s">
        <v>4047</v>
      </c>
      <c r="F1214" s="1">
        <v>46253</v>
      </c>
      <c r="G1214" s="1">
        <v>46255</v>
      </c>
      <c r="H1214" s="11"/>
      <c r="I1214" s="11" t="s">
        <v>4041</v>
      </c>
    </row>
    <row r="1215" spans="1:9" hidden="1" x14ac:dyDescent="0.25">
      <c r="A1215" s="1">
        <v>46256</v>
      </c>
      <c r="B1215">
        <v>1037661959</v>
      </c>
      <c r="C1215" t="s">
        <v>4080</v>
      </c>
      <c r="D1215" s="11" t="s">
        <v>482</v>
      </c>
      <c r="E1215" s="11" t="s">
        <v>4040</v>
      </c>
      <c r="F1215" s="1">
        <v>46253</v>
      </c>
      <c r="G1215" s="1">
        <v>46255</v>
      </c>
      <c r="H1215" s="11"/>
      <c r="I1215" s="11" t="s">
        <v>4041</v>
      </c>
    </row>
    <row r="1216" spans="1:9" hidden="1" x14ac:dyDescent="0.25">
      <c r="A1216" s="1">
        <v>46256</v>
      </c>
      <c r="B1216">
        <v>1152434926</v>
      </c>
      <c r="C1216" t="s">
        <v>217</v>
      </c>
      <c r="D1216" s="11" t="s">
        <v>59</v>
      </c>
      <c r="E1216" s="11" t="s">
        <v>4047</v>
      </c>
      <c r="F1216" s="1">
        <v>46252</v>
      </c>
      <c r="G1216" s="1">
        <v>46255</v>
      </c>
      <c r="H1216" s="11"/>
      <c r="I1216" s="11" t="s">
        <v>4041</v>
      </c>
    </row>
    <row r="1217" spans="1:9" hidden="1" x14ac:dyDescent="0.25">
      <c r="A1217" s="1">
        <v>46256</v>
      </c>
      <c r="B1217">
        <v>1045718883</v>
      </c>
      <c r="C1217" t="s">
        <v>34</v>
      </c>
      <c r="D1217" s="11" t="s">
        <v>15</v>
      </c>
      <c r="E1217" s="11" t="s">
        <v>4046</v>
      </c>
      <c r="F1217" s="1">
        <v>46244</v>
      </c>
      <c r="G1217" s="1">
        <v>46393</v>
      </c>
      <c r="H1217" s="11" t="s">
        <v>318</v>
      </c>
      <c r="I1217" s="11" t="s">
        <v>319</v>
      </c>
    </row>
    <row r="1218" spans="1:9" hidden="1" x14ac:dyDescent="0.25">
      <c r="A1218" s="1">
        <v>46256</v>
      </c>
      <c r="B1218">
        <v>1040755197</v>
      </c>
      <c r="C1218" t="s">
        <v>171</v>
      </c>
      <c r="D1218" s="11" t="s">
        <v>172</v>
      </c>
      <c r="E1218" s="11" t="s">
        <v>4046</v>
      </c>
      <c r="F1218" s="1">
        <v>46252</v>
      </c>
      <c r="G1218" s="1">
        <v>46262</v>
      </c>
      <c r="H1218" s="11" t="s">
        <v>222</v>
      </c>
      <c r="I1218" s="11" t="s">
        <v>223</v>
      </c>
    </row>
    <row r="1219" spans="1:9" hidden="1" x14ac:dyDescent="0.25">
      <c r="A1219" s="1">
        <v>46256</v>
      </c>
      <c r="B1219">
        <v>1143374524</v>
      </c>
      <c r="C1219" t="s">
        <v>2755</v>
      </c>
      <c r="D1219" s="11" t="s">
        <v>51</v>
      </c>
      <c r="E1219" s="11" t="s">
        <v>4047</v>
      </c>
      <c r="F1219" s="1">
        <v>46253</v>
      </c>
      <c r="G1219" s="1">
        <v>46255</v>
      </c>
      <c r="H1219" s="11"/>
      <c r="I1219" s="11" t="s">
        <v>4041</v>
      </c>
    </row>
    <row r="1220" spans="1:9" hidden="1" x14ac:dyDescent="0.25">
      <c r="A1220" s="1">
        <v>46256</v>
      </c>
      <c r="B1220">
        <v>1015483595</v>
      </c>
      <c r="C1220" t="s">
        <v>23</v>
      </c>
      <c r="D1220" s="11" t="s">
        <v>15</v>
      </c>
      <c r="E1220" s="11" t="s">
        <v>4046</v>
      </c>
      <c r="F1220" s="1">
        <v>46244</v>
      </c>
      <c r="G1220" s="1">
        <v>46265</v>
      </c>
      <c r="H1220" s="11" t="s">
        <v>17</v>
      </c>
      <c r="I1220" s="11" t="s">
        <v>18</v>
      </c>
    </row>
    <row r="1221" spans="1:9" hidden="1" x14ac:dyDescent="0.25">
      <c r="A1221" s="1">
        <v>46256</v>
      </c>
      <c r="B1221">
        <v>1001851670</v>
      </c>
      <c r="C1221" t="s">
        <v>50</v>
      </c>
      <c r="D1221" s="11" t="s">
        <v>51</v>
      </c>
      <c r="E1221" s="11" t="s">
        <v>4047</v>
      </c>
      <c r="F1221" s="1">
        <v>46241</v>
      </c>
      <c r="G1221" s="1">
        <v>46366</v>
      </c>
      <c r="H1221" s="11" t="s">
        <v>73</v>
      </c>
      <c r="I1221" s="11" t="s">
        <v>74</v>
      </c>
    </row>
    <row r="1222" spans="1:9" hidden="1" x14ac:dyDescent="0.25">
      <c r="A1222" s="1">
        <v>46256</v>
      </c>
      <c r="B1222">
        <v>1017235294</v>
      </c>
      <c r="C1222" t="s">
        <v>1069</v>
      </c>
      <c r="D1222" s="11" t="s">
        <v>55</v>
      </c>
      <c r="E1222" s="11" t="s">
        <v>4047</v>
      </c>
      <c r="F1222" s="1">
        <v>46254</v>
      </c>
      <c r="G1222" s="1">
        <v>46255</v>
      </c>
      <c r="H1222" s="11"/>
      <c r="I1222" s="11" t="s">
        <v>4041</v>
      </c>
    </row>
    <row r="1223" spans="1:9" hidden="1" x14ac:dyDescent="0.25">
      <c r="A1223" s="1">
        <v>46256</v>
      </c>
      <c r="B1223">
        <v>1020414545</v>
      </c>
      <c r="C1223" t="s">
        <v>2893</v>
      </c>
      <c r="D1223" s="11" t="s">
        <v>256</v>
      </c>
      <c r="E1223" s="11" t="s">
        <v>4040</v>
      </c>
      <c r="F1223" s="1">
        <v>46255</v>
      </c>
      <c r="G1223" s="1">
        <v>46256</v>
      </c>
      <c r="H1223" s="11" t="s">
        <v>103</v>
      </c>
      <c r="I1223" s="11" t="s">
        <v>104</v>
      </c>
    </row>
    <row r="1224" spans="1:9" hidden="1" x14ac:dyDescent="0.25">
      <c r="A1224" s="1">
        <v>46256</v>
      </c>
      <c r="B1224">
        <v>1007600707</v>
      </c>
      <c r="C1224" t="s">
        <v>2394</v>
      </c>
      <c r="D1224" s="11" t="s">
        <v>256</v>
      </c>
      <c r="E1224" s="11" t="s">
        <v>4040</v>
      </c>
      <c r="F1224" s="1">
        <v>46255</v>
      </c>
      <c r="G1224" s="1">
        <v>46256</v>
      </c>
      <c r="H1224" s="11"/>
      <c r="I1224" s="11" t="s">
        <v>327</v>
      </c>
    </row>
    <row r="1225" spans="1:9" hidden="1" x14ac:dyDescent="0.25">
      <c r="A1225" s="1">
        <v>46256</v>
      </c>
      <c r="B1225">
        <v>1017270214</v>
      </c>
      <c r="C1225" t="s">
        <v>1016</v>
      </c>
      <c r="D1225" s="11" t="s">
        <v>139</v>
      </c>
      <c r="E1225" s="11" t="s">
        <v>4040</v>
      </c>
      <c r="F1225" s="1">
        <v>46253</v>
      </c>
      <c r="G1225" s="1">
        <v>46255</v>
      </c>
      <c r="H1225" s="11"/>
      <c r="I1225" s="11" t="s">
        <v>4041</v>
      </c>
    </row>
    <row r="1226" spans="1:9" hidden="1" x14ac:dyDescent="0.25">
      <c r="A1226" s="1">
        <v>46256</v>
      </c>
      <c r="B1226">
        <v>1004463773</v>
      </c>
      <c r="C1226" t="s">
        <v>3213</v>
      </c>
      <c r="D1226" s="11" t="s">
        <v>176</v>
      </c>
      <c r="E1226" s="11" t="s">
        <v>4040</v>
      </c>
      <c r="F1226" s="1">
        <v>46255</v>
      </c>
      <c r="G1226" s="1">
        <v>46256</v>
      </c>
      <c r="H1226" s="11" t="s">
        <v>181</v>
      </c>
      <c r="I1226" s="11" t="s">
        <v>182</v>
      </c>
    </row>
    <row r="1227" spans="1:9" hidden="1" x14ac:dyDescent="0.25">
      <c r="A1227" s="1">
        <v>46256</v>
      </c>
      <c r="B1227">
        <v>1003033764</v>
      </c>
      <c r="C1227" t="s">
        <v>1275</v>
      </c>
      <c r="D1227" s="11" t="s">
        <v>124</v>
      </c>
      <c r="E1227" s="11" t="s">
        <v>4045</v>
      </c>
      <c r="F1227" s="1">
        <v>46254</v>
      </c>
      <c r="G1227" s="1">
        <v>46255</v>
      </c>
      <c r="H1227" s="11"/>
      <c r="I1227" s="11" t="s">
        <v>4041</v>
      </c>
    </row>
    <row r="1228" spans="1:9" hidden="1" x14ac:dyDescent="0.25">
      <c r="A1228" s="1">
        <v>46256</v>
      </c>
      <c r="B1228">
        <v>43453341</v>
      </c>
      <c r="C1228" t="s">
        <v>146</v>
      </c>
      <c r="D1228" s="11" t="s">
        <v>124</v>
      </c>
      <c r="E1228" s="11" t="s">
        <v>4045</v>
      </c>
      <c r="F1228" s="1">
        <v>46254</v>
      </c>
      <c r="G1228" s="1">
        <v>46268</v>
      </c>
      <c r="H1228" s="11" t="s">
        <v>119</v>
      </c>
      <c r="I1228" s="11" t="s">
        <v>120</v>
      </c>
    </row>
    <row r="1229" spans="1:9" hidden="1" x14ac:dyDescent="0.25">
      <c r="A1229" s="1">
        <v>46256</v>
      </c>
      <c r="B1229">
        <v>1013660730</v>
      </c>
      <c r="C1229" t="s">
        <v>1199</v>
      </c>
      <c r="D1229" s="11" t="s">
        <v>143</v>
      </c>
      <c r="E1229" s="11" t="s">
        <v>4045</v>
      </c>
      <c r="F1229" s="1">
        <v>46255</v>
      </c>
      <c r="G1229" s="1">
        <v>46256</v>
      </c>
      <c r="H1229" s="11"/>
      <c r="I1229" s="11" t="s">
        <v>327</v>
      </c>
    </row>
    <row r="1230" spans="1:9" hidden="1" x14ac:dyDescent="0.25">
      <c r="A1230" s="1">
        <v>46256</v>
      </c>
      <c r="B1230">
        <v>1094243332</v>
      </c>
      <c r="C1230" t="s">
        <v>3386</v>
      </c>
      <c r="D1230" s="11" t="s">
        <v>15</v>
      </c>
      <c r="E1230" s="11" t="s">
        <v>4046</v>
      </c>
      <c r="F1230" s="1">
        <v>46256</v>
      </c>
      <c r="G1230" s="1">
        <v>46256</v>
      </c>
      <c r="H1230" s="11"/>
      <c r="I1230" s="11" t="s">
        <v>327</v>
      </c>
    </row>
    <row r="1231" spans="1:9" hidden="1" x14ac:dyDescent="0.25">
      <c r="A1231" s="1">
        <v>46256</v>
      </c>
      <c r="B1231">
        <v>1037646403</v>
      </c>
      <c r="C1231" t="s">
        <v>4205</v>
      </c>
      <c r="D1231" s="11" t="s">
        <v>128</v>
      </c>
      <c r="E1231" s="11" t="s">
        <v>4045</v>
      </c>
      <c r="F1231" s="1">
        <v>46255</v>
      </c>
      <c r="G1231" s="1">
        <v>46255</v>
      </c>
      <c r="H1231" s="11"/>
      <c r="I1231" s="11" t="s">
        <v>4041</v>
      </c>
    </row>
    <row r="1232" spans="1:9" hidden="1" x14ac:dyDescent="0.25">
      <c r="A1232" s="1">
        <v>46256</v>
      </c>
      <c r="B1232">
        <v>1034296571</v>
      </c>
      <c r="C1232" t="s">
        <v>1706</v>
      </c>
      <c r="D1232" s="11" t="s">
        <v>128</v>
      </c>
      <c r="E1232" s="11" t="s">
        <v>4045</v>
      </c>
      <c r="F1232" s="1">
        <v>46255</v>
      </c>
      <c r="G1232" s="1">
        <v>46256</v>
      </c>
      <c r="H1232" s="11"/>
      <c r="I1232" s="11" t="s">
        <v>327</v>
      </c>
    </row>
    <row r="1233" spans="1:9" hidden="1" x14ac:dyDescent="0.25">
      <c r="A1233" s="1">
        <v>46256</v>
      </c>
      <c r="B1233">
        <v>1152472382</v>
      </c>
      <c r="C1233" t="s">
        <v>869</v>
      </c>
      <c r="D1233" s="11" t="s">
        <v>492</v>
      </c>
      <c r="E1233" s="11" t="s">
        <v>4045</v>
      </c>
      <c r="F1233" s="1">
        <v>46254</v>
      </c>
      <c r="G1233" s="1">
        <v>46255</v>
      </c>
      <c r="H1233" s="11"/>
      <c r="I1233" s="11" t="s">
        <v>4041</v>
      </c>
    </row>
    <row r="1234" spans="1:9" hidden="1" x14ac:dyDescent="0.25">
      <c r="A1234" s="1">
        <v>46256</v>
      </c>
      <c r="B1234">
        <v>1036618989</v>
      </c>
      <c r="C1234" t="s">
        <v>3854</v>
      </c>
      <c r="D1234" s="11" t="s">
        <v>82</v>
      </c>
      <c r="E1234" s="11" t="s">
        <v>4045</v>
      </c>
      <c r="F1234" s="1">
        <v>46255</v>
      </c>
      <c r="G1234" s="1">
        <v>46258</v>
      </c>
      <c r="H1234" s="11"/>
      <c r="I1234" s="11" t="s">
        <v>4060</v>
      </c>
    </row>
    <row r="1235" spans="1:9" hidden="1" x14ac:dyDescent="0.25">
      <c r="A1235" s="1">
        <v>46256</v>
      </c>
      <c r="B1235">
        <v>73189515</v>
      </c>
      <c r="C1235" t="s">
        <v>773</v>
      </c>
      <c r="D1235" s="11" t="s">
        <v>272</v>
      </c>
      <c r="E1235" s="11" t="s">
        <v>4056</v>
      </c>
      <c r="F1235" s="1">
        <v>46255</v>
      </c>
      <c r="G1235" s="1">
        <v>46255</v>
      </c>
      <c r="H1235" s="11"/>
      <c r="I1235" s="11" t="s">
        <v>4041</v>
      </c>
    </row>
    <row r="1236" spans="1:9" hidden="1" x14ac:dyDescent="0.25">
      <c r="A1236" s="1">
        <v>46256</v>
      </c>
      <c r="B1236">
        <v>1143166984</v>
      </c>
      <c r="C1236" t="s">
        <v>2638</v>
      </c>
      <c r="D1236" s="11" t="s">
        <v>272</v>
      </c>
      <c r="E1236" s="11" t="s">
        <v>4056</v>
      </c>
      <c r="F1236" s="1">
        <v>46255</v>
      </c>
      <c r="G1236" s="1">
        <v>46256</v>
      </c>
      <c r="H1236" s="11" t="s">
        <v>267</v>
      </c>
      <c r="I1236" s="11" t="s">
        <v>268</v>
      </c>
    </row>
    <row r="1237" spans="1:9" hidden="1" x14ac:dyDescent="0.25">
      <c r="A1237" s="1">
        <v>46256</v>
      </c>
      <c r="B1237">
        <v>45547324</v>
      </c>
      <c r="C1237" t="s">
        <v>3312</v>
      </c>
      <c r="D1237" s="11" t="s">
        <v>162</v>
      </c>
      <c r="E1237" s="11" t="s">
        <v>4056</v>
      </c>
      <c r="F1237" s="1">
        <v>46255</v>
      </c>
      <c r="G1237" s="1">
        <v>46256</v>
      </c>
      <c r="H1237" s="11" t="s">
        <v>3662</v>
      </c>
      <c r="I1237" s="11" t="s">
        <v>3663</v>
      </c>
    </row>
    <row r="1238" spans="1:9" hidden="1" x14ac:dyDescent="0.25">
      <c r="A1238" s="1">
        <v>46256</v>
      </c>
      <c r="B1238">
        <v>1017255237</v>
      </c>
      <c r="C1238" t="s">
        <v>548</v>
      </c>
      <c r="D1238" s="11" t="s">
        <v>78</v>
      </c>
      <c r="E1238" s="11" t="s">
        <v>4046</v>
      </c>
      <c r="F1238" s="1">
        <v>46255</v>
      </c>
      <c r="G1238" s="1">
        <v>46256</v>
      </c>
      <c r="H1238" s="11"/>
      <c r="I1238" s="11" t="s">
        <v>327</v>
      </c>
    </row>
    <row r="1239" spans="1:9" hidden="1" x14ac:dyDescent="0.25">
      <c r="A1239" s="1">
        <v>46256</v>
      </c>
      <c r="B1239">
        <v>1037631989</v>
      </c>
      <c r="C1239" t="s">
        <v>27</v>
      </c>
      <c r="D1239" s="11" t="s">
        <v>28</v>
      </c>
      <c r="E1239" s="11" t="s">
        <v>4046</v>
      </c>
      <c r="F1239" s="1">
        <v>46226</v>
      </c>
      <c r="G1239" s="1">
        <v>46255</v>
      </c>
      <c r="H1239" s="11"/>
      <c r="I1239" s="11" t="s">
        <v>4041</v>
      </c>
    </row>
    <row r="1240" spans="1:9" hidden="1" x14ac:dyDescent="0.25">
      <c r="A1240" s="1">
        <v>46256</v>
      </c>
      <c r="B1240">
        <v>1001782820</v>
      </c>
      <c r="C1240" t="s">
        <v>2956</v>
      </c>
      <c r="D1240" s="11" t="s">
        <v>28</v>
      </c>
      <c r="E1240" s="11" t="s">
        <v>4046</v>
      </c>
      <c r="F1240" s="1">
        <v>46254</v>
      </c>
      <c r="G1240" s="1">
        <v>46255</v>
      </c>
      <c r="H1240" s="11"/>
      <c r="I1240" s="11" t="s">
        <v>4041</v>
      </c>
    </row>
    <row r="1241" spans="1:9" hidden="1" x14ac:dyDescent="0.25">
      <c r="A1241" s="1">
        <v>46256</v>
      </c>
      <c r="B1241">
        <v>1001013936</v>
      </c>
      <c r="C1241" t="s">
        <v>3856</v>
      </c>
      <c r="D1241" s="11" t="s">
        <v>28</v>
      </c>
      <c r="E1241" s="11" t="s">
        <v>4046</v>
      </c>
      <c r="F1241" s="1">
        <v>46255</v>
      </c>
      <c r="G1241" s="1">
        <v>46255</v>
      </c>
      <c r="H1241" s="11"/>
      <c r="I1241" s="11" t="s">
        <v>4041</v>
      </c>
    </row>
    <row r="1242" spans="1:9" hidden="1" x14ac:dyDescent="0.25">
      <c r="A1242" s="1">
        <v>46256</v>
      </c>
      <c r="B1242">
        <v>1035442374</v>
      </c>
      <c r="C1242" t="s">
        <v>2935</v>
      </c>
      <c r="D1242" s="11" t="s">
        <v>172</v>
      </c>
      <c r="E1242" s="11" t="s">
        <v>4046</v>
      </c>
      <c r="F1242" s="1">
        <v>46254</v>
      </c>
      <c r="G1242" s="1">
        <v>46255</v>
      </c>
      <c r="H1242" s="11"/>
      <c r="I1242" s="11" t="s">
        <v>4060</v>
      </c>
    </row>
    <row r="1243" spans="1:9" hidden="1" x14ac:dyDescent="0.25">
      <c r="A1243" s="1">
        <v>46256</v>
      </c>
      <c r="B1243">
        <v>1085308661</v>
      </c>
      <c r="C1243" t="s">
        <v>2194</v>
      </c>
      <c r="D1243" s="11" t="s">
        <v>39</v>
      </c>
      <c r="E1243" s="11" t="s">
        <v>4046</v>
      </c>
      <c r="F1243" s="1">
        <v>46254</v>
      </c>
      <c r="G1243" s="1">
        <v>46255</v>
      </c>
      <c r="H1243" s="11"/>
      <c r="I1243" s="11" t="s">
        <v>4041</v>
      </c>
    </row>
    <row r="1244" spans="1:9" hidden="1" x14ac:dyDescent="0.25">
      <c r="A1244" s="1">
        <v>46256</v>
      </c>
      <c r="B1244">
        <v>1007959114</v>
      </c>
      <c r="C1244" t="s">
        <v>337</v>
      </c>
      <c r="D1244" s="11" t="s">
        <v>39</v>
      </c>
      <c r="E1244" s="11" t="s">
        <v>4046</v>
      </c>
      <c r="F1244" s="1">
        <v>46254</v>
      </c>
      <c r="G1244" s="1">
        <v>46255</v>
      </c>
      <c r="H1244" s="11"/>
      <c r="I1244" s="11" t="s">
        <v>4041</v>
      </c>
    </row>
    <row r="1245" spans="1:9" hidden="1" x14ac:dyDescent="0.25">
      <c r="A1245" s="1">
        <v>46256</v>
      </c>
      <c r="B1245">
        <v>1143460426</v>
      </c>
      <c r="C1245" t="s">
        <v>4069</v>
      </c>
      <c r="D1245" s="11" t="s">
        <v>64</v>
      </c>
      <c r="E1245" s="11" t="s">
        <v>4046</v>
      </c>
      <c r="F1245" s="1">
        <v>46195</v>
      </c>
      <c r="G1245" s="1">
        <v>46198</v>
      </c>
      <c r="H1245" s="11" t="s">
        <v>196</v>
      </c>
      <c r="I1245" s="11" t="s">
        <v>197</v>
      </c>
    </row>
    <row r="1246" spans="1:9" hidden="1" x14ac:dyDescent="0.25">
      <c r="A1246" s="1">
        <v>46256</v>
      </c>
      <c r="B1246">
        <v>1007624721</v>
      </c>
      <c r="C1246" t="s">
        <v>2274</v>
      </c>
      <c r="D1246" s="11" t="s">
        <v>39</v>
      </c>
      <c r="E1246" s="11" t="s">
        <v>4046</v>
      </c>
      <c r="F1246" s="1">
        <v>46255</v>
      </c>
      <c r="G1246" s="1">
        <v>46256</v>
      </c>
      <c r="H1246" s="11" t="s">
        <v>294</v>
      </c>
      <c r="I1246" s="11" t="s">
        <v>295</v>
      </c>
    </row>
    <row r="1247" spans="1:9" hidden="1" x14ac:dyDescent="0.25">
      <c r="A1247" s="1">
        <v>46256</v>
      </c>
      <c r="B1247">
        <v>1036671586</v>
      </c>
      <c r="C1247" t="s">
        <v>3573</v>
      </c>
      <c r="D1247" s="11" t="s">
        <v>139</v>
      </c>
      <c r="E1247" s="11" t="s">
        <v>4040</v>
      </c>
      <c r="F1247" s="1">
        <v>46256</v>
      </c>
      <c r="G1247" s="1">
        <v>46256</v>
      </c>
      <c r="H1247" s="11"/>
      <c r="I1247" s="11" t="s">
        <v>327</v>
      </c>
    </row>
    <row r="1248" spans="1:9" hidden="1" x14ac:dyDescent="0.25">
      <c r="A1248" s="1">
        <v>46256</v>
      </c>
      <c r="B1248">
        <v>1001445343</v>
      </c>
      <c r="C1248" t="s">
        <v>1432</v>
      </c>
      <c r="D1248" s="11" t="s">
        <v>344</v>
      </c>
      <c r="E1248" s="11" t="s">
        <v>4056</v>
      </c>
      <c r="F1248" s="1">
        <v>46256</v>
      </c>
      <c r="G1248" s="1">
        <v>46256</v>
      </c>
      <c r="H1248" s="11"/>
      <c r="I1248" s="11" t="s">
        <v>4041</v>
      </c>
    </row>
    <row r="1249" spans="1:9" hidden="1" x14ac:dyDescent="0.25">
      <c r="A1249" s="1">
        <v>46256</v>
      </c>
      <c r="B1249">
        <v>1001852351</v>
      </c>
      <c r="C1249" t="s">
        <v>2238</v>
      </c>
      <c r="D1249" s="11" t="s">
        <v>39</v>
      </c>
      <c r="E1249" s="11" t="s">
        <v>4046</v>
      </c>
      <c r="F1249" s="1">
        <v>46255</v>
      </c>
      <c r="G1249" s="1">
        <v>46256</v>
      </c>
      <c r="H1249" s="11"/>
      <c r="I1249" s="11" t="s">
        <v>327</v>
      </c>
    </row>
    <row r="1250" spans="1:9" hidden="1" x14ac:dyDescent="0.25">
      <c r="A1250" s="1">
        <v>46256</v>
      </c>
      <c r="B1250">
        <v>1100955074</v>
      </c>
      <c r="C1250" t="s">
        <v>1582</v>
      </c>
      <c r="D1250" s="11" t="s">
        <v>102</v>
      </c>
      <c r="E1250" s="11" t="s">
        <v>4046</v>
      </c>
      <c r="F1250" s="1">
        <v>46255</v>
      </c>
      <c r="G1250" s="1">
        <v>46255</v>
      </c>
      <c r="H1250" s="11"/>
      <c r="I1250" s="11" t="s">
        <v>4041</v>
      </c>
    </row>
    <row r="1251" spans="1:9" hidden="1" x14ac:dyDescent="0.25">
      <c r="A1251" s="1">
        <v>46256</v>
      </c>
      <c r="B1251">
        <v>1098765922</v>
      </c>
      <c r="C1251" t="s">
        <v>3654</v>
      </c>
      <c r="D1251" s="11" t="s">
        <v>51</v>
      </c>
      <c r="E1251" s="11" t="s">
        <v>4047</v>
      </c>
      <c r="F1251" s="1">
        <v>46255</v>
      </c>
      <c r="G1251" s="1">
        <v>46256</v>
      </c>
      <c r="H1251" s="11"/>
      <c r="I1251" s="11" t="s">
        <v>327</v>
      </c>
    </row>
    <row r="1252" spans="1:9" hidden="1" x14ac:dyDescent="0.25">
      <c r="A1252" s="1">
        <v>46256</v>
      </c>
      <c r="B1252">
        <v>1017259589</v>
      </c>
      <c r="C1252" t="s">
        <v>4213</v>
      </c>
      <c r="D1252" s="11" t="s">
        <v>82</v>
      </c>
      <c r="E1252" s="11" t="s">
        <v>4045</v>
      </c>
      <c r="F1252" s="1">
        <v>46255</v>
      </c>
      <c r="H1252" s="11"/>
      <c r="I1252" s="11" t="s">
        <v>4084</v>
      </c>
    </row>
    <row r="1253" spans="1:9" hidden="1" x14ac:dyDescent="0.25">
      <c r="A1253" s="1">
        <v>46256</v>
      </c>
      <c r="B1253">
        <v>1041901478</v>
      </c>
      <c r="C1253" t="s">
        <v>405</v>
      </c>
      <c r="D1253" s="11" t="s">
        <v>256</v>
      </c>
      <c r="E1253" s="11" t="s">
        <v>4040</v>
      </c>
      <c r="F1253" s="1">
        <v>46255</v>
      </c>
      <c r="G1253" s="1">
        <v>46256</v>
      </c>
      <c r="H1253" s="11" t="s">
        <v>167</v>
      </c>
      <c r="I1253" s="11" t="s">
        <v>168</v>
      </c>
    </row>
    <row r="1254" spans="1:9" hidden="1" x14ac:dyDescent="0.25">
      <c r="A1254" s="1">
        <v>46256</v>
      </c>
      <c r="B1254">
        <v>1080901556</v>
      </c>
      <c r="C1254" t="s">
        <v>3928</v>
      </c>
      <c r="D1254" s="11" t="s">
        <v>256</v>
      </c>
      <c r="E1254" s="11" t="s">
        <v>4040</v>
      </c>
      <c r="F1254" s="1">
        <v>46255</v>
      </c>
      <c r="G1254" s="1">
        <v>46256</v>
      </c>
      <c r="H1254" s="11"/>
      <c r="I1254" s="11" t="s">
        <v>4060</v>
      </c>
    </row>
    <row r="1255" spans="1:9" hidden="1" x14ac:dyDescent="0.25">
      <c r="A1255" s="1">
        <v>46256</v>
      </c>
      <c r="B1255">
        <v>1117545007</v>
      </c>
      <c r="C1255" t="s">
        <v>2375</v>
      </c>
      <c r="D1255" s="11" t="s">
        <v>139</v>
      </c>
      <c r="E1255" s="11" t="s">
        <v>4040</v>
      </c>
      <c r="F1255" s="1">
        <v>46255</v>
      </c>
      <c r="G1255" s="1">
        <v>46255</v>
      </c>
      <c r="H1255" s="11"/>
      <c r="I1255" s="11" t="s">
        <v>4041</v>
      </c>
    </row>
    <row r="1256" spans="1:9" hidden="1" x14ac:dyDescent="0.25">
      <c r="A1256" s="1">
        <v>46256</v>
      </c>
      <c r="B1256">
        <v>1152470285</v>
      </c>
      <c r="C1256" t="s">
        <v>3594</v>
      </c>
      <c r="D1256" s="11" t="s">
        <v>82</v>
      </c>
      <c r="E1256" s="11" t="s">
        <v>4045</v>
      </c>
      <c r="F1256" s="1">
        <v>46256</v>
      </c>
      <c r="G1256" s="1">
        <v>46256</v>
      </c>
      <c r="H1256" s="11"/>
      <c r="I1256" s="11" t="s">
        <v>327</v>
      </c>
    </row>
    <row r="1257" spans="1:9" hidden="1" x14ac:dyDescent="0.25">
      <c r="A1257" s="1">
        <v>46256</v>
      </c>
      <c r="B1257">
        <v>1038408808</v>
      </c>
      <c r="C1257" t="s">
        <v>483</v>
      </c>
      <c r="D1257" s="11" t="s">
        <v>482</v>
      </c>
      <c r="E1257" s="11" t="s">
        <v>4040</v>
      </c>
      <c r="F1257" s="1">
        <v>46255</v>
      </c>
      <c r="G1257" s="1">
        <v>46256</v>
      </c>
      <c r="H1257" s="11"/>
      <c r="I1257" s="11" t="s">
        <v>4060</v>
      </c>
    </row>
    <row r="1258" spans="1:9" hidden="1" x14ac:dyDescent="0.25">
      <c r="A1258" s="1">
        <v>46256</v>
      </c>
      <c r="B1258">
        <v>1001995700</v>
      </c>
      <c r="C1258" t="s">
        <v>2173</v>
      </c>
      <c r="D1258" s="11" t="s">
        <v>59</v>
      </c>
      <c r="E1258" s="11" t="s">
        <v>4047</v>
      </c>
      <c r="F1258" s="1">
        <v>46255</v>
      </c>
      <c r="G1258" s="1">
        <v>46255</v>
      </c>
      <c r="H1258" s="11"/>
      <c r="I1258" s="11" t="s">
        <v>4041</v>
      </c>
    </row>
    <row r="1259" spans="1:9" hidden="1" x14ac:dyDescent="0.25">
      <c r="A1259" s="1">
        <v>46256</v>
      </c>
      <c r="B1259">
        <v>1037570349</v>
      </c>
      <c r="C1259" t="s">
        <v>2818</v>
      </c>
      <c r="D1259" s="11" t="s">
        <v>128</v>
      </c>
      <c r="E1259" s="11" t="s">
        <v>4045</v>
      </c>
      <c r="F1259" s="1">
        <v>46256</v>
      </c>
      <c r="G1259" s="1">
        <v>46256</v>
      </c>
      <c r="H1259" s="11"/>
      <c r="I1259" s="11" t="s">
        <v>327</v>
      </c>
    </row>
    <row r="1260" spans="1:9" hidden="1" x14ac:dyDescent="0.25">
      <c r="A1260" s="1">
        <v>46256</v>
      </c>
      <c r="B1260">
        <v>1050965861</v>
      </c>
      <c r="C1260" t="s">
        <v>3321</v>
      </c>
      <c r="D1260" s="11" t="s">
        <v>132</v>
      </c>
      <c r="E1260" s="11" t="s">
        <v>4040</v>
      </c>
      <c r="F1260" s="1">
        <v>46256</v>
      </c>
      <c r="G1260" s="1">
        <v>46256</v>
      </c>
      <c r="H1260" s="11"/>
      <c r="I1260" s="11" t="s">
        <v>4060</v>
      </c>
    </row>
    <row r="1261" spans="1:9" hidden="1" x14ac:dyDescent="0.25">
      <c r="A1261" s="1">
        <v>46256</v>
      </c>
      <c r="B1261">
        <v>1216726482</v>
      </c>
      <c r="C1261" t="s">
        <v>2985</v>
      </c>
      <c r="D1261" s="11" t="s">
        <v>634</v>
      </c>
      <c r="E1261" s="11" t="s">
        <v>4045</v>
      </c>
      <c r="F1261" s="1">
        <v>46256</v>
      </c>
      <c r="G1261" s="1">
        <v>46256</v>
      </c>
      <c r="H1261" s="11"/>
      <c r="I1261" s="11" t="s">
        <v>327</v>
      </c>
    </row>
    <row r="1262" spans="1:9" hidden="1" x14ac:dyDescent="0.25">
      <c r="A1262" s="1">
        <v>46256</v>
      </c>
      <c r="B1262">
        <v>1037644923</v>
      </c>
      <c r="C1262" t="s">
        <v>2677</v>
      </c>
      <c r="D1262" s="11" t="s">
        <v>492</v>
      </c>
      <c r="E1262" s="11" t="s">
        <v>4045</v>
      </c>
      <c r="F1262" s="1">
        <v>46258</v>
      </c>
      <c r="G1262" s="1">
        <v>46260</v>
      </c>
      <c r="H1262" s="11"/>
      <c r="I1262" s="11" t="s">
        <v>4060</v>
      </c>
    </row>
    <row r="1263" spans="1:9" hidden="1" x14ac:dyDescent="0.25">
      <c r="A1263" s="1">
        <v>46256</v>
      </c>
      <c r="B1263">
        <v>1096250605</v>
      </c>
      <c r="C1263" t="s">
        <v>2417</v>
      </c>
      <c r="D1263" s="11" t="s">
        <v>39</v>
      </c>
      <c r="E1263" s="11" t="s">
        <v>4046</v>
      </c>
      <c r="F1263" s="1">
        <v>46256</v>
      </c>
      <c r="G1263" s="1">
        <v>46256</v>
      </c>
      <c r="H1263" s="11"/>
      <c r="I1263" s="11" t="s">
        <v>327</v>
      </c>
    </row>
    <row r="1264" spans="1:9" hidden="1" x14ac:dyDescent="0.25">
      <c r="A1264" s="1">
        <v>46256</v>
      </c>
      <c r="B1264">
        <v>1045695688</v>
      </c>
      <c r="C1264" t="s">
        <v>1876</v>
      </c>
      <c r="D1264" s="11" t="s">
        <v>55</v>
      </c>
      <c r="E1264" s="11" t="s">
        <v>4047</v>
      </c>
      <c r="F1264" s="1">
        <v>46256</v>
      </c>
      <c r="G1264" s="1">
        <v>46256</v>
      </c>
      <c r="H1264" s="11"/>
      <c r="I1264" s="11" t="s">
        <v>4041</v>
      </c>
    </row>
    <row r="1265" spans="1:9" hidden="1" x14ac:dyDescent="0.25">
      <c r="A1265" s="1">
        <v>46256</v>
      </c>
      <c r="B1265">
        <v>1000549306</v>
      </c>
      <c r="C1265" t="s">
        <v>1001</v>
      </c>
      <c r="D1265" s="11" t="s">
        <v>64</v>
      </c>
      <c r="E1265" s="11" t="s">
        <v>4046</v>
      </c>
      <c r="F1265" s="1">
        <v>46256</v>
      </c>
      <c r="G1265" s="1">
        <v>46256</v>
      </c>
      <c r="H1265" s="11"/>
      <c r="I1265" s="11" t="s">
        <v>4060</v>
      </c>
    </row>
    <row r="1266" spans="1:9" hidden="1" x14ac:dyDescent="0.25">
      <c r="A1266" s="1">
        <v>46256</v>
      </c>
      <c r="B1266">
        <v>1214714989</v>
      </c>
      <c r="C1266" t="s">
        <v>2191</v>
      </c>
      <c r="D1266" s="11" t="s">
        <v>256</v>
      </c>
      <c r="E1266" s="11" t="s">
        <v>4040</v>
      </c>
      <c r="F1266" s="1">
        <v>46256</v>
      </c>
      <c r="G1266" s="1">
        <v>46256</v>
      </c>
      <c r="H1266" s="11"/>
      <c r="I1266" s="11" t="s">
        <v>4060</v>
      </c>
    </row>
    <row r="1267" spans="1:9" hidden="1" x14ac:dyDescent="0.25">
      <c r="A1267" s="1">
        <v>46256</v>
      </c>
      <c r="B1267">
        <v>1001445343</v>
      </c>
      <c r="C1267" t="s">
        <v>1432</v>
      </c>
      <c r="D1267" s="11" t="s">
        <v>344</v>
      </c>
      <c r="E1267" s="11" t="s">
        <v>4056</v>
      </c>
      <c r="F1267" s="1">
        <v>46256</v>
      </c>
      <c r="G1267" s="1">
        <v>46256</v>
      </c>
      <c r="H1267" s="11"/>
      <c r="I1267" s="11" t="s">
        <v>4214</v>
      </c>
    </row>
    <row r="1268" spans="1:9" hidden="1" x14ac:dyDescent="0.25">
      <c r="A1268" s="1">
        <v>46256</v>
      </c>
      <c r="B1268">
        <v>1083037694</v>
      </c>
      <c r="C1268" t="s">
        <v>1591</v>
      </c>
      <c r="D1268" s="11" t="s">
        <v>15</v>
      </c>
      <c r="E1268" s="11" t="s">
        <v>4046</v>
      </c>
      <c r="F1268" s="1">
        <v>46256</v>
      </c>
      <c r="G1268" s="1">
        <v>46256</v>
      </c>
      <c r="H1268" s="11"/>
      <c r="I1268" s="11" t="s">
        <v>4060</v>
      </c>
    </row>
    <row r="1269" spans="1:9" hidden="1" x14ac:dyDescent="0.25">
      <c r="A1269" s="1">
        <v>46256</v>
      </c>
      <c r="B1269">
        <v>1036965348</v>
      </c>
      <c r="C1269" t="s">
        <v>229</v>
      </c>
      <c r="D1269" s="11" t="s">
        <v>4078</v>
      </c>
      <c r="E1269" s="11" t="s">
        <v>4046</v>
      </c>
      <c r="F1269" s="1">
        <v>46256</v>
      </c>
      <c r="G1269" s="1">
        <v>46256</v>
      </c>
      <c r="H1269" s="11"/>
      <c r="I1269" s="11" t="s">
        <v>339</v>
      </c>
    </row>
    <row r="1270" spans="1:9" hidden="1" x14ac:dyDescent="0.25">
      <c r="A1270" s="1">
        <v>46256</v>
      </c>
      <c r="B1270">
        <v>1001369228</v>
      </c>
      <c r="C1270" t="s">
        <v>164</v>
      </c>
      <c r="D1270" s="11" t="s">
        <v>4078</v>
      </c>
      <c r="E1270" s="11" t="s">
        <v>4056</v>
      </c>
      <c r="F1270" s="1">
        <v>46256</v>
      </c>
      <c r="G1270" s="1">
        <v>46256</v>
      </c>
      <c r="H1270" s="11"/>
      <c r="I1270" s="11" t="s">
        <v>339</v>
      </c>
    </row>
    <row r="1271" spans="1:9" hidden="1" x14ac:dyDescent="0.25">
      <c r="A1271" s="1">
        <v>46258</v>
      </c>
      <c r="B1271">
        <v>1214714989</v>
      </c>
      <c r="C1271" t="s">
        <v>4216</v>
      </c>
      <c r="D1271" s="11" t="s">
        <v>256</v>
      </c>
      <c r="E1271" s="11" t="s">
        <v>4040</v>
      </c>
      <c r="F1271" s="1">
        <v>46256</v>
      </c>
      <c r="G1271" s="1">
        <v>46256</v>
      </c>
      <c r="H1271" s="11"/>
      <c r="I1271" s="11" t="s">
        <v>4041</v>
      </c>
    </row>
    <row r="1272" spans="1:9" hidden="1" x14ac:dyDescent="0.25">
      <c r="A1272" s="1">
        <v>46258</v>
      </c>
      <c r="B1272">
        <v>1004463773</v>
      </c>
      <c r="C1272" t="s">
        <v>3213</v>
      </c>
      <c r="D1272" s="11" t="s">
        <v>176</v>
      </c>
      <c r="E1272" s="11" t="s">
        <v>4040</v>
      </c>
      <c r="F1272" s="1">
        <v>46255</v>
      </c>
      <c r="G1272" s="1">
        <v>46256</v>
      </c>
      <c r="H1272" s="11"/>
      <c r="I1272" s="11" t="s">
        <v>4041</v>
      </c>
    </row>
    <row r="1273" spans="1:9" hidden="1" x14ac:dyDescent="0.25">
      <c r="A1273" s="1">
        <v>46258</v>
      </c>
      <c r="B1273">
        <v>1045695688</v>
      </c>
      <c r="C1273" t="s">
        <v>1876</v>
      </c>
      <c r="D1273" s="11" t="s">
        <v>55</v>
      </c>
      <c r="E1273" s="11" t="s">
        <v>4047</v>
      </c>
      <c r="F1273" s="1">
        <v>46256</v>
      </c>
      <c r="G1273" s="1">
        <v>46256</v>
      </c>
      <c r="H1273" s="11"/>
      <c r="I1273" s="11" t="s">
        <v>4041</v>
      </c>
    </row>
    <row r="1274" spans="1:9" hidden="1" x14ac:dyDescent="0.25">
      <c r="A1274" s="1">
        <v>46258</v>
      </c>
      <c r="B1274">
        <v>1096250605</v>
      </c>
      <c r="C1274" t="s">
        <v>2417</v>
      </c>
      <c r="D1274" s="11" t="s">
        <v>39</v>
      </c>
      <c r="E1274" s="11" t="s">
        <v>4046</v>
      </c>
      <c r="F1274" s="1">
        <v>46256</v>
      </c>
      <c r="G1274" s="1">
        <v>46256</v>
      </c>
      <c r="H1274" s="11"/>
      <c r="I1274" s="11" t="s">
        <v>4041</v>
      </c>
    </row>
    <row r="1275" spans="1:9" hidden="1" x14ac:dyDescent="0.25">
      <c r="A1275" s="1">
        <v>46258</v>
      </c>
      <c r="B1275">
        <v>1216726482</v>
      </c>
      <c r="C1275" t="s">
        <v>4217</v>
      </c>
      <c r="D1275" s="11" t="s">
        <v>634</v>
      </c>
      <c r="E1275" s="11" t="s">
        <v>4045</v>
      </c>
      <c r="F1275" s="1">
        <v>46256</v>
      </c>
      <c r="G1275" s="1">
        <v>46256</v>
      </c>
      <c r="H1275" s="11"/>
      <c r="I1275" s="11" t="s">
        <v>4041</v>
      </c>
    </row>
    <row r="1276" spans="1:9" hidden="1" x14ac:dyDescent="0.25">
      <c r="A1276" s="1">
        <v>46258</v>
      </c>
      <c r="B1276">
        <v>1037644923</v>
      </c>
      <c r="C1276" t="s">
        <v>4218</v>
      </c>
      <c r="D1276" s="11" t="s">
        <v>492</v>
      </c>
      <c r="E1276" s="11" t="s">
        <v>4045</v>
      </c>
      <c r="F1276" s="1">
        <v>46258</v>
      </c>
      <c r="G1276" s="1">
        <v>46260</v>
      </c>
      <c r="H1276" s="11"/>
      <c r="I1276" s="11" t="s">
        <v>4219</v>
      </c>
    </row>
    <row r="1277" spans="1:9" hidden="1" x14ac:dyDescent="0.25">
      <c r="A1277" s="1">
        <v>46258</v>
      </c>
      <c r="B1277">
        <v>45547324</v>
      </c>
      <c r="C1277" t="s">
        <v>4220</v>
      </c>
      <c r="D1277" s="11" t="s">
        <v>162</v>
      </c>
      <c r="E1277" s="11" t="s">
        <v>4056</v>
      </c>
      <c r="F1277" s="1">
        <v>46255</v>
      </c>
      <c r="G1277" s="1">
        <v>46256</v>
      </c>
      <c r="H1277" s="11"/>
      <c r="I1277" s="11" t="s">
        <v>4041</v>
      </c>
    </row>
    <row r="1278" spans="1:9" hidden="1" x14ac:dyDescent="0.25">
      <c r="A1278" s="1">
        <v>46258</v>
      </c>
      <c r="B1278">
        <v>1050965861</v>
      </c>
      <c r="C1278" t="s">
        <v>4221</v>
      </c>
      <c r="D1278" s="11" t="s">
        <v>132</v>
      </c>
      <c r="E1278" s="11" t="s">
        <v>4040</v>
      </c>
      <c r="F1278" s="1">
        <v>46256</v>
      </c>
      <c r="G1278" s="1">
        <v>46256</v>
      </c>
      <c r="H1278" s="11"/>
      <c r="I1278" s="11" t="s">
        <v>4041</v>
      </c>
    </row>
    <row r="1279" spans="1:9" hidden="1" x14ac:dyDescent="0.25">
      <c r="A1279" s="1">
        <v>46258</v>
      </c>
      <c r="B1279">
        <v>1037570349</v>
      </c>
      <c r="C1279" t="s">
        <v>4222</v>
      </c>
      <c r="D1279" s="11" t="s">
        <v>128</v>
      </c>
      <c r="E1279" s="11" t="s">
        <v>4045</v>
      </c>
      <c r="F1279" s="1">
        <v>46256</v>
      </c>
      <c r="G1279" s="1">
        <v>46256</v>
      </c>
      <c r="H1279" s="11"/>
      <c r="I1279" s="11" t="s">
        <v>4041</v>
      </c>
    </row>
    <row r="1280" spans="1:9" hidden="1" x14ac:dyDescent="0.25">
      <c r="A1280" s="1">
        <v>46258</v>
      </c>
      <c r="B1280">
        <v>1098765922</v>
      </c>
      <c r="C1280" t="s">
        <v>3654</v>
      </c>
      <c r="D1280" s="11" t="s">
        <v>51</v>
      </c>
      <c r="E1280" s="11" t="s">
        <v>4047</v>
      </c>
      <c r="F1280" s="1">
        <v>46255</v>
      </c>
      <c r="G1280" s="1">
        <v>46256</v>
      </c>
      <c r="H1280" s="11"/>
      <c r="I1280" s="11" t="s">
        <v>4041</v>
      </c>
    </row>
    <row r="1281" spans="1:9" hidden="1" x14ac:dyDescent="0.25">
      <c r="A1281" s="1">
        <v>46258</v>
      </c>
      <c r="B1281">
        <v>1152470285</v>
      </c>
      <c r="C1281" t="s">
        <v>4126</v>
      </c>
      <c r="D1281" s="11" t="s">
        <v>82</v>
      </c>
      <c r="E1281" s="11" t="s">
        <v>4045</v>
      </c>
      <c r="F1281" s="1">
        <v>46256</v>
      </c>
      <c r="G1281" s="1">
        <v>46256</v>
      </c>
      <c r="H1281" s="11"/>
      <c r="I1281" s="11" t="s">
        <v>4041</v>
      </c>
    </row>
    <row r="1282" spans="1:9" hidden="1" x14ac:dyDescent="0.25">
      <c r="A1282" s="1">
        <v>46258</v>
      </c>
      <c r="B1282">
        <v>1001852351</v>
      </c>
      <c r="C1282" t="s">
        <v>2238</v>
      </c>
      <c r="D1282" s="11" t="s">
        <v>39</v>
      </c>
      <c r="E1282" s="11" t="s">
        <v>4046</v>
      </c>
      <c r="F1282" s="1">
        <v>46255</v>
      </c>
      <c r="G1282" s="1">
        <v>46256</v>
      </c>
      <c r="H1282" s="11"/>
      <c r="I1282" s="11" t="s">
        <v>4041</v>
      </c>
    </row>
    <row r="1283" spans="1:9" hidden="1" x14ac:dyDescent="0.25">
      <c r="A1283" s="1">
        <v>46258</v>
      </c>
      <c r="B1283">
        <v>1041901478</v>
      </c>
      <c r="C1283" t="s">
        <v>405</v>
      </c>
      <c r="D1283" s="11" t="s">
        <v>256</v>
      </c>
      <c r="E1283" s="11" t="s">
        <v>4040</v>
      </c>
      <c r="F1283" s="1">
        <v>46255</v>
      </c>
      <c r="G1283" s="1">
        <v>46256</v>
      </c>
      <c r="H1283" s="11"/>
      <c r="I1283" s="11" t="s">
        <v>4041</v>
      </c>
    </row>
    <row r="1284" spans="1:9" hidden="1" x14ac:dyDescent="0.25">
      <c r="A1284" s="1">
        <v>46258</v>
      </c>
      <c r="B1284">
        <v>1080901556</v>
      </c>
      <c r="C1284" t="s">
        <v>4223</v>
      </c>
      <c r="D1284" s="11" t="s">
        <v>256</v>
      </c>
      <c r="E1284" s="11" t="s">
        <v>4040</v>
      </c>
      <c r="F1284" s="1">
        <v>46255</v>
      </c>
      <c r="G1284" s="1">
        <v>46256</v>
      </c>
      <c r="H1284" s="11"/>
      <c r="I1284" s="11" t="s">
        <v>4041</v>
      </c>
    </row>
    <row r="1285" spans="1:9" hidden="1" x14ac:dyDescent="0.25">
      <c r="A1285" s="1">
        <v>46258</v>
      </c>
      <c r="B1285">
        <v>1143166984</v>
      </c>
      <c r="C1285" t="s">
        <v>4224</v>
      </c>
      <c r="D1285" s="11" t="s">
        <v>272</v>
      </c>
      <c r="E1285" s="11" t="s">
        <v>4056</v>
      </c>
      <c r="F1285" s="1">
        <v>46255</v>
      </c>
      <c r="G1285" s="1">
        <v>46256</v>
      </c>
      <c r="H1285" s="11"/>
      <c r="I1285" s="11" t="s">
        <v>4041</v>
      </c>
    </row>
    <row r="1286" spans="1:9" hidden="1" x14ac:dyDescent="0.25">
      <c r="A1286" s="1">
        <v>46258</v>
      </c>
      <c r="B1286">
        <v>1036671586</v>
      </c>
      <c r="C1286" t="s">
        <v>4225</v>
      </c>
      <c r="D1286" s="11" t="s">
        <v>139</v>
      </c>
      <c r="E1286" s="11" t="s">
        <v>4040</v>
      </c>
      <c r="F1286" s="1">
        <v>46256</v>
      </c>
      <c r="G1286" s="1">
        <v>46256</v>
      </c>
      <c r="H1286" s="11"/>
      <c r="I1286" s="11" t="s">
        <v>4041</v>
      </c>
    </row>
    <row r="1287" spans="1:9" hidden="1" x14ac:dyDescent="0.25">
      <c r="A1287" s="1">
        <v>46258</v>
      </c>
      <c r="B1287">
        <v>1094243332</v>
      </c>
      <c r="C1287" t="s">
        <v>3386</v>
      </c>
      <c r="D1287" s="11" t="s">
        <v>15</v>
      </c>
      <c r="E1287" s="11" t="s">
        <v>4046</v>
      </c>
      <c r="F1287" s="1">
        <v>46256</v>
      </c>
      <c r="G1287" s="1">
        <v>46256</v>
      </c>
      <c r="H1287" s="11"/>
      <c r="I1287" s="11" t="s">
        <v>4041</v>
      </c>
    </row>
    <row r="1288" spans="1:9" hidden="1" x14ac:dyDescent="0.25">
      <c r="A1288" s="1">
        <v>46258</v>
      </c>
      <c r="B1288">
        <v>1007240267</v>
      </c>
      <c r="C1288" t="s">
        <v>2313</v>
      </c>
      <c r="D1288" s="11" t="s">
        <v>245</v>
      </c>
      <c r="E1288" s="11" t="s">
        <v>4040</v>
      </c>
      <c r="F1288" s="1">
        <v>46255</v>
      </c>
      <c r="G1288" s="1">
        <v>46255</v>
      </c>
      <c r="H1288" s="11"/>
      <c r="I1288" s="11" t="s">
        <v>4041</v>
      </c>
    </row>
    <row r="1289" spans="1:9" hidden="1" x14ac:dyDescent="0.25">
      <c r="A1289" s="1">
        <v>46258</v>
      </c>
      <c r="B1289">
        <v>1007600707</v>
      </c>
      <c r="C1289" t="s">
        <v>4226</v>
      </c>
      <c r="D1289" s="11" t="s">
        <v>256</v>
      </c>
      <c r="E1289" s="11" t="s">
        <v>4040</v>
      </c>
      <c r="F1289" s="1">
        <v>46255</v>
      </c>
      <c r="G1289" s="1">
        <v>46256</v>
      </c>
      <c r="H1289" s="11"/>
      <c r="I1289" s="11" t="s">
        <v>4041</v>
      </c>
    </row>
    <row r="1290" spans="1:9" hidden="1" x14ac:dyDescent="0.25">
      <c r="A1290" s="1">
        <v>46258</v>
      </c>
      <c r="B1290">
        <v>1013660730</v>
      </c>
      <c r="C1290" t="s">
        <v>1199</v>
      </c>
      <c r="D1290" s="11" t="s">
        <v>143</v>
      </c>
      <c r="E1290" s="11" t="s">
        <v>4045</v>
      </c>
      <c r="F1290" s="1">
        <v>46255</v>
      </c>
      <c r="G1290" s="1">
        <v>46256</v>
      </c>
      <c r="H1290" s="11"/>
      <c r="I1290" s="11" t="s">
        <v>4041</v>
      </c>
    </row>
    <row r="1291" spans="1:9" hidden="1" x14ac:dyDescent="0.25">
      <c r="A1291" s="1">
        <v>46258</v>
      </c>
      <c r="B1291">
        <v>1036618989</v>
      </c>
      <c r="C1291" t="s">
        <v>81</v>
      </c>
      <c r="D1291" s="11" t="s">
        <v>82</v>
      </c>
      <c r="E1291" s="11" t="s">
        <v>4045</v>
      </c>
      <c r="F1291" s="1">
        <v>46255</v>
      </c>
      <c r="G1291" s="1">
        <v>46258</v>
      </c>
      <c r="H1291" s="11"/>
      <c r="I1291" s="11" t="s">
        <v>4041</v>
      </c>
    </row>
    <row r="1292" spans="1:9" hidden="1" x14ac:dyDescent="0.25">
      <c r="A1292" s="1">
        <v>46258</v>
      </c>
      <c r="B1292">
        <v>1017255237</v>
      </c>
      <c r="C1292" t="s">
        <v>4227</v>
      </c>
      <c r="D1292" s="11" t="s">
        <v>78</v>
      </c>
      <c r="E1292" s="11" t="s">
        <v>4046</v>
      </c>
      <c r="F1292" s="1">
        <v>46255</v>
      </c>
      <c r="G1292" s="1">
        <v>46256</v>
      </c>
      <c r="H1292" s="11"/>
      <c r="I1292" s="11" t="s">
        <v>4041</v>
      </c>
    </row>
    <row r="1293" spans="1:9" hidden="1" x14ac:dyDescent="0.25">
      <c r="A1293" s="1">
        <v>46258</v>
      </c>
      <c r="B1293">
        <v>1020414545</v>
      </c>
      <c r="C1293" t="s">
        <v>4228</v>
      </c>
      <c r="D1293" s="11" t="s">
        <v>256</v>
      </c>
      <c r="E1293" s="11" t="s">
        <v>4040</v>
      </c>
      <c r="F1293" s="1">
        <v>46255</v>
      </c>
      <c r="G1293" s="1">
        <v>46256</v>
      </c>
      <c r="H1293" s="11"/>
      <c r="I1293" s="11" t="s">
        <v>4041</v>
      </c>
    </row>
    <row r="1294" spans="1:9" hidden="1" x14ac:dyDescent="0.25">
      <c r="A1294" s="1">
        <v>46258</v>
      </c>
      <c r="B1294">
        <v>1034296571</v>
      </c>
      <c r="C1294" t="s">
        <v>4229</v>
      </c>
      <c r="D1294" s="11" t="s">
        <v>128</v>
      </c>
      <c r="E1294" s="11" t="s">
        <v>4045</v>
      </c>
      <c r="F1294" s="1">
        <v>46255</v>
      </c>
      <c r="G1294" s="1">
        <v>46256</v>
      </c>
      <c r="H1294" s="11"/>
      <c r="I1294" s="11" t="s">
        <v>4041</v>
      </c>
    </row>
    <row r="1295" spans="1:9" hidden="1" x14ac:dyDescent="0.25">
      <c r="A1295" s="1">
        <v>46258</v>
      </c>
      <c r="B1295">
        <v>1037485093</v>
      </c>
      <c r="C1295" t="s">
        <v>4211</v>
      </c>
      <c r="D1295" s="11" t="s">
        <v>344</v>
      </c>
      <c r="E1295" s="11" t="s">
        <v>4056</v>
      </c>
      <c r="F1295" s="1">
        <v>46255</v>
      </c>
      <c r="G1295" s="1">
        <v>46258</v>
      </c>
      <c r="H1295" s="11"/>
      <c r="I1295" s="11" t="s">
        <v>4041</v>
      </c>
    </row>
    <row r="1296" spans="1:9" hidden="1" x14ac:dyDescent="0.25">
      <c r="A1296" s="1">
        <v>46258</v>
      </c>
      <c r="B1296">
        <v>1235257142</v>
      </c>
      <c r="C1296" t="s">
        <v>1774</v>
      </c>
      <c r="D1296" s="11" t="s">
        <v>44</v>
      </c>
      <c r="E1296" s="11" t="s">
        <v>4045</v>
      </c>
      <c r="F1296" s="1">
        <v>46255</v>
      </c>
      <c r="G1296" s="1">
        <v>46256</v>
      </c>
      <c r="H1296" s="11"/>
      <c r="I1296" s="11" t="s">
        <v>4041</v>
      </c>
    </row>
    <row r="1297" spans="1:9" hidden="1" x14ac:dyDescent="0.25">
      <c r="A1297" s="1">
        <v>46258</v>
      </c>
      <c r="B1297">
        <v>1043006106</v>
      </c>
      <c r="C1297" t="s">
        <v>63</v>
      </c>
      <c r="D1297" s="11" t="s">
        <v>64</v>
      </c>
      <c r="E1297" s="11" t="s">
        <v>4046</v>
      </c>
      <c r="F1297" s="1">
        <v>46249</v>
      </c>
      <c r="G1297" s="1">
        <v>46278</v>
      </c>
      <c r="H1297" s="11" t="s">
        <v>196</v>
      </c>
      <c r="I1297" s="11" t="s">
        <v>197</v>
      </c>
    </row>
    <row r="1298" spans="1:9" hidden="1" x14ac:dyDescent="0.25">
      <c r="A1298" s="1">
        <v>46258</v>
      </c>
      <c r="B1298">
        <v>1096223065</v>
      </c>
      <c r="C1298" t="s">
        <v>3428</v>
      </c>
      <c r="D1298" s="11" t="s">
        <v>59</v>
      </c>
      <c r="E1298" s="11" t="s">
        <v>4047</v>
      </c>
      <c r="F1298" s="1">
        <v>46253</v>
      </c>
      <c r="G1298" s="1">
        <v>46265</v>
      </c>
      <c r="H1298" s="11" t="s">
        <v>85</v>
      </c>
      <c r="I1298" s="11" t="s">
        <v>86</v>
      </c>
    </row>
    <row r="1299" spans="1:9" hidden="1" x14ac:dyDescent="0.25">
      <c r="A1299" s="1">
        <v>46258</v>
      </c>
      <c r="B1299">
        <v>1002029407</v>
      </c>
      <c r="C1299" t="s">
        <v>4230</v>
      </c>
      <c r="D1299" s="11" t="s">
        <v>102</v>
      </c>
      <c r="E1299" s="11" t="s">
        <v>4046</v>
      </c>
      <c r="F1299" s="1">
        <v>46253</v>
      </c>
      <c r="G1299" s="1">
        <v>46256</v>
      </c>
      <c r="H1299" s="11"/>
      <c r="I1299" s="11" t="s">
        <v>4041</v>
      </c>
    </row>
    <row r="1300" spans="1:9" hidden="1" x14ac:dyDescent="0.25">
      <c r="A1300" s="1">
        <v>46258</v>
      </c>
      <c r="B1300">
        <v>1007334260</v>
      </c>
      <c r="C1300" t="s">
        <v>4207</v>
      </c>
      <c r="D1300" s="11" t="s">
        <v>344</v>
      </c>
      <c r="E1300" s="11" t="s">
        <v>4056</v>
      </c>
      <c r="F1300" s="1">
        <v>46255</v>
      </c>
      <c r="G1300" s="1">
        <v>46259</v>
      </c>
      <c r="H1300" s="11" t="s">
        <v>560</v>
      </c>
      <c r="I1300" s="11" t="s">
        <v>561</v>
      </c>
    </row>
    <row r="1301" spans="1:9" hidden="1" x14ac:dyDescent="0.25">
      <c r="A1301" s="1">
        <v>46258</v>
      </c>
      <c r="B1301">
        <v>1143375080</v>
      </c>
      <c r="C1301" t="s">
        <v>157</v>
      </c>
      <c r="D1301" s="11" t="s">
        <v>44</v>
      </c>
      <c r="E1301" s="11" t="s">
        <v>4045</v>
      </c>
      <c r="F1301" s="1">
        <v>46249</v>
      </c>
      <c r="H1301" s="11" t="s">
        <v>150</v>
      </c>
      <c r="I1301" s="11" t="s">
        <v>151</v>
      </c>
    </row>
    <row r="1302" spans="1:9" hidden="1" x14ac:dyDescent="0.25">
      <c r="A1302" s="1">
        <v>46258</v>
      </c>
      <c r="B1302">
        <v>1045718883</v>
      </c>
      <c r="C1302" t="s">
        <v>34</v>
      </c>
      <c r="D1302" s="11" t="s">
        <v>15</v>
      </c>
      <c r="E1302" s="11" t="s">
        <v>4046</v>
      </c>
      <c r="F1302" s="1">
        <v>46244</v>
      </c>
      <c r="G1302" s="1">
        <v>46393</v>
      </c>
      <c r="H1302" s="11" t="s">
        <v>103</v>
      </c>
      <c r="I1302" s="11" t="s">
        <v>104</v>
      </c>
    </row>
    <row r="1303" spans="1:9" hidden="1" x14ac:dyDescent="0.25">
      <c r="A1303" s="1">
        <v>46258</v>
      </c>
      <c r="B1303">
        <v>1040755197</v>
      </c>
      <c r="C1303" t="s">
        <v>171</v>
      </c>
      <c r="D1303" s="11" t="s">
        <v>172</v>
      </c>
      <c r="E1303" s="11" t="s">
        <v>4046</v>
      </c>
      <c r="F1303" s="1">
        <v>46252</v>
      </c>
      <c r="G1303" s="1">
        <v>46262</v>
      </c>
      <c r="H1303" s="11" t="s">
        <v>303</v>
      </c>
      <c r="I1303" s="11" t="s">
        <v>304</v>
      </c>
    </row>
    <row r="1304" spans="1:9" hidden="1" x14ac:dyDescent="0.25">
      <c r="A1304" s="1">
        <v>46258</v>
      </c>
      <c r="B1304">
        <v>1102808787</v>
      </c>
      <c r="C1304" t="s">
        <v>135</v>
      </c>
      <c r="D1304" s="11" t="s">
        <v>39</v>
      </c>
      <c r="E1304" s="11" t="s">
        <v>4046</v>
      </c>
      <c r="F1304" s="1">
        <v>46237</v>
      </c>
      <c r="G1304" s="1">
        <v>46276</v>
      </c>
      <c r="H1304" s="11" t="s">
        <v>119</v>
      </c>
      <c r="I1304" s="11" t="s">
        <v>120</v>
      </c>
    </row>
    <row r="1305" spans="1:9" hidden="1" x14ac:dyDescent="0.25">
      <c r="A1305" s="1">
        <v>46258</v>
      </c>
      <c r="B1305">
        <v>1082896324</v>
      </c>
      <c r="C1305" t="s">
        <v>127</v>
      </c>
      <c r="D1305" s="11" t="s">
        <v>128</v>
      </c>
      <c r="E1305" s="11" t="s">
        <v>4045</v>
      </c>
      <c r="F1305" s="1">
        <v>46242</v>
      </c>
      <c r="G1305" s="1">
        <v>46272</v>
      </c>
      <c r="H1305" s="11" t="s">
        <v>181</v>
      </c>
      <c r="I1305" s="11" t="s">
        <v>182</v>
      </c>
    </row>
    <row r="1306" spans="1:9" hidden="1" x14ac:dyDescent="0.25">
      <c r="A1306" s="1">
        <v>46258</v>
      </c>
      <c r="B1306">
        <v>1015483595</v>
      </c>
      <c r="C1306" t="s">
        <v>23</v>
      </c>
      <c r="D1306" s="11" t="s">
        <v>15</v>
      </c>
      <c r="E1306" s="11" t="s">
        <v>4046</v>
      </c>
      <c r="F1306" s="1">
        <v>46244</v>
      </c>
      <c r="G1306" s="1">
        <v>46265</v>
      </c>
      <c r="H1306" s="11" t="s">
        <v>294</v>
      </c>
      <c r="I1306" s="11" t="s">
        <v>295</v>
      </c>
    </row>
    <row r="1307" spans="1:9" hidden="1" x14ac:dyDescent="0.25">
      <c r="A1307" s="1">
        <v>46258</v>
      </c>
      <c r="B1307">
        <v>1001851670</v>
      </c>
      <c r="C1307" t="s">
        <v>50</v>
      </c>
      <c r="D1307" s="11" t="s">
        <v>51</v>
      </c>
      <c r="E1307" s="11" t="s">
        <v>4047</v>
      </c>
      <c r="F1307" s="1">
        <v>46241</v>
      </c>
      <c r="G1307" s="1">
        <v>46366</v>
      </c>
      <c r="H1307" s="11" t="s">
        <v>261</v>
      </c>
      <c r="I1307" s="11" t="s">
        <v>262</v>
      </c>
    </row>
    <row r="1308" spans="1:9" hidden="1" x14ac:dyDescent="0.25">
      <c r="A1308" s="1">
        <v>46258</v>
      </c>
      <c r="B1308">
        <v>1000415206</v>
      </c>
      <c r="C1308" t="s">
        <v>325</v>
      </c>
      <c r="D1308" s="11" t="s">
        <v>128</v>
      </c>
      <c r="E1308" s="11" t="s">
        <v>4045</v>
      </c>
      <c r="F1308" s="1">
        <v>46258</v>
      </c>
      <c r="G1308" s="1">
        <v>46262</v>
      </c>
      <c r="H1308" s="11"/>
      <c r="I1308" s="11" t="s">
        <v>327</v>
      </c>
    </row>
    <row r="1309" spans="1:9" hidden="1" x14ac:dyDescent="0.25">
      <c r="A1309" s="1">
        <v>46258</v>
      </c>
      <c r="B1309">
        <v>42141273</v>
      </c>
      <c r="C1309" t="s">
        <v>271</v>
      </c>
      <c r="D1309" s="11" t="s">
        <v>272</v>
      </c>
      <c r="E1309" s="11" t="s">
        <v>4056</v>
      </c>
      <c r="F1309" s="1">
        <v>46238</v>
      </c>
      <c r="G1309" s="1">
        <v>46295</v>
      </c>
      <c r="H1309" s="11" t="s">
        <v>236</v>
      </c>
      <c r="I1309" s="11" t="s">
        <v>237</v>
      </c>
    </row>
    <row r="1310" spans="1:9" hidden="1" x14ac:dyDescent="0.25">
      <c r="A1310" s="1">
        <v>46258</v>
      </c>
      <c r="B1310">
        <v>1152221372</v>
      </c>
      <c r="C1310" t="s">
        <v>4072</v>
      </c>
      <c r="D1310" s="11" t="s">
        <v>139</v>
      </c>
      <c r="E1310" s="11" t="s">
        <v>4040</v>
      </c>
      <c r="F1310" s="1">
        <v>46230</v>
      </c>
      <c r="G1310" s="1">
        <v>46230</v>
      </c>
      <c r="H1310" s="11" t="s">
        <v>45</v>
      </c>
      <c r="I1310" s="11" t="s">
        <v>46</v>
      </c>
    </row>
    <row r="1311" spans="1:9" hidden="1" x14ac:dyDescent="0.25">
      <c r="A1311" s="1">
        <v>46258</v>
      </c>
      <c r="B1311">
        <v>1017264032</v>
      </c>
      <c r="C1311" t="s">
        <v>88</v>
      </c>
      <c r="D1311" s="11" t="s">
        <v>55</v>
      </c>
      <c r="E1311" s="11" t="s">
        <v>4047</v>
      </c>
      <c r="F1311" s="1">
        <v>46229</v>
      </c>
      <c r="G1311" s="1">
        <v>46258</v>
      </c>
      <c r="H1311" s="11" t="s">
        <v>213</v>
      </c>
      <c r="I1311" s="11" t="s">
        <v>214</v>
      </c>
    </row>
    <row r="1312" spans="1:9" hidden="1" x14ac:dyDescent="0.25">
      <c r="A1312" s="1">
        <v>46258</v>
      </c>
      <c r="B1312">
        <v>1037630071</v>
      </c>
      <c r="C1312" t="s">
        <v>3579</v>
      </c>
      <c r="D1312" s="11" t="s">
        <v>176</v>
      </c>
      <c r="E1312" s="11" t="s">
        <v>4040</v>
      </c>
      <c r="F1312" s="1">
        <v>46247</v>
      </c>
      <c r="G1312" s="1">
        <v>46265</v>
      </c>
      <c r="H1312" s="11" t="s">
        <v>282</v>
      </c>
      <c r="I1312" s="11" t="s">
        <v>283</v>
      </c>
    </row>
    <row r="1313" spans="1:9" hidden="1" x14ac:dyDescent="0.25">
      <c r="A1313" s="1">
        <v>46258</v>
      </c>
      <c r="B1313">
        <v>1143460426</v>
      </c>
      <c r="C1313" t="s">
        <v>4069</v>
      </c>
      <c r="D1313" s="11" t="s">
        <v>64</v>
      </c>
      <c r="E1313" s="11" t="s">
        <v>4046</v>
      </c>
      <c r="F1313" s="1">
        <v>46195</v>
      </c>
      <c r="G1313" s="1">
        <v>46198</v>
      </c>
      <c r="H1313" s="11" t="s">
        <v>222</v>
      </c>
      <c r="I1313" s="11" t="s">
        <v>223</v>
      </c>
    </row>
    <row r="1314" spans="1:9" hidden="1" x14ac:dyDescent="0.25">
      <c r="A1314" s="1">
        <v>46258</v>
      </c>
      <c r="B1314">
        <v>1038408808</v>
      </c>
      <c r="C1314" t="s">
        <v>483</v>
      </c>
      <c r="D1314" s="11" t="s">
        <v>482</v>
      </c>
      <c r="E1314" s="11" t="s">
        <v>4040</v>
      </c>
      <c r="F1314" s="1">
        <v>46255</v>
      </c>
      <c r="G1314" s="1">
        <v>46256</v>
      </c>
      <c r="H1314" s="11"/>
      <c r="I1314" s="11" t="s">
        <v>4041</v>
      </c>
    </row>
    <row r="1315" spans="1:9" hidden="1" x14ac:dyDescent="0.25">
      <c r="A1315" s="1">
        <v>46258</v>
      </c>
      <c r="B1315">
        <v>1117545007</v>
      </c>
      <c r="C1315" t="s">
        <v>2375</v>
      </c>
      <c r="D1315" s="11" t="s">
        <v>139</v>
      </c>
      <c r="E1315" s="11" t="s">
        <v>4040</v>
      </c>
      <c r="F1315" s="1">
        <v>46255</v>
      </c>
      <c r="G1315" s="1">
        <v>46255</v>
      </c>
      <c r="H1315" s="11"/>
      <c r="I1315" s="11" t="s">
        <v>4041</v>
      </c>
    </row>
    <row r="1316" spans="1:9" hidden="1" x14ac:dyDescent="0.25">
      <c r="A1316" s="1">
        <v>46258</v>
      </c>
      <c r="B1316">
        <v>43453341</v>
      </c>
      <c r="C1316" t="s">
        <v>146</v>
      </c>
      <c r="D1316" s="11" t="s">
        <v>124</v>
      </c>
      <c r="E1316" s="11" t="s">
        <v>4045</v>
      </c>
      <c r="F1316" s="1">
        <v>46254</v>
      </c>
      <c r="G1316" s="1">
        <v>46268</v>
      </c>
      <c r="H1316" s="11" t="s">
        <v>231</v>
      </c>
      <c r="I1316" s="11" t="s">
        <v>232</v>
      </c>
    </row>
    <row r="1317" spans="1:9" hidden="1" x14ac:dyDescent="0.25">
      <c r="A1317" s="1">
        <v>46258</v>
      </c>
      <c r="B1317">
        <v>1035876080</v>
      </c>
      <c r="C1317" t="s">
        <v>123</v>
      </c>
      <c r="D1317" s="11" t="s">
        <v>124</v>
      </c>
      <c r="E1317" s="11" t="s">
        <v>4045</v>
      </c>
      <c r="F1317" s="1">
        <v>46254</v>
      </c>
      <c r="H1317" s="11" t="s">
        <v>240</v>
      </c>
      <c r="I1317" s="11" t="s">
        <v>241</v>
      </c>
    </row>
    <row r="1318" spans="1:9" hidden="1" x14ac:dyDescent="0.25">
      <c r="A1318" s="1">
        <v>46258</v>
      </c>
      <c r="B1318">
        <v>1001445343</v>
      </c>
      <c r="C1318" t="s">
        <v>1432</v>
      </c>
      <c r="D1318" s="11" t="s">
        <v>344</v>
      </c>
      <c r="E1318" s="11" t="s">
        <v>4056</v>
      </c>
      <c r="F1318" s="1">
        <v>46256</v>
      </c>
      <c r="G1318" s="1">
        <v>46256</v>
      </c>
      <c r="H1318" s="11"/>
      <c r="I1318" s="11" t="s">
        <v>4041</v>
      </c>
    </row>
    <row r="1319" spans="1:9" hidden="1" x14ac:dyDescent="0.25">
      <c r="A1319" s="1">
        <v>46258</v>
      </c>
      <c r="B1319">
        <v>1083037694</v>
      </c>
      <c r="C1319" t="s">
        <v>1591</v>
      </c>
      <c r="D1319" s="11" t="s">
        <v>15</v>
      </c>
      <c r="E1319" s="11" t="s">
        <v>4046</v>
      </c>
      <c r="F1319" s="1">
        <v>46256</v>
      </c>
      <c r="G1319" s="1">
        <v>46256</v>
      </c>
      <c r="H1319" s="11"/>
      <c r="I1319" s="11" t="s">
        <v>4041</v>
      </c>
    </row>
    <row r="1320" spans="1:9" hidden="1" x14ac:dyDescent="0.25">
      <c r="A1320" s="1">
        <v>46258</v>
      </c>
      <c r="B1320">
        <v>1000098388</v>
      </c>
      <c r="C1320" t="s">
        <v>4231</v>
      </c>
      <c r="D1320" s="11" t="s">
        <v>28</v>
      </c>
      <c r="E1320" s="11" t="s">
        <v>4046</v>
      </c>
      <c r="F1320" s="1">
        <v>46258</v>
      </c>
      <c r="G1320" s="1">
        <v>46260</v>
      </c>
      <c r="H1320" s="11" t="s">
        <v>300</v>
      </c>
      <c r="I1320" s="11" t="s">
        <v>301</v>
      </c>
    </row>
    <row r="1321" spans="1:9" hidden="1" x14ac:dyDescent="0.25">
      <c r="A1321" s="1">
        <v>46258</v>
      </c>
      <c r="B1321">
        <v>1037638426</v>
      </c>
      <c r="C1321" t="s">
        <v>31</v>
      </c>
      <c r="D1321" s="11" t="s">
        <v>28</v>
      </c>
      <c r="E1321" s="11" t="s">
        <v>4046</v>
      </c>
      <c r="F1321" s="1">
        <v>46249</v>
      </c>
      <c r="G1321" s="1">
        <v>46264</v>
      </c>
      <c r="H1321" s="11" t="s">
        <v>251</v>
      </c>
      <c r="I1321" s="11" t="s">
        <v>252</v>
      </c>
    </row>
    <row r="1322" spans="1:9" hidden="1" x14ac:dyDescent="0.25">
      <c r="A1322" s="1">
        <v>46258</v>
      </c>
      <c r="B1322">
        <v>1035442374</v>
      </c>
      <c r="C1322" t="s">
        <v>2935</v>
      </c>
      <c r="D1322" s="11" t="s">
        <v>172</v>
      </c>
      <c r="E1322" s="11" t="s">
        <v>4046</v>
      </c>
      <c r="F1322" s="1">
        <v>46254</v>
      </c>
      <c r="G1322" s="1">
        <v>46255</v>
      </c>
      <c r="H1322" s="11"/>
      <c r="I1322" s="11" t="s">
        <v>4041</v>
      </c>
    </row>
    <row r="1323" spans="1:9" hidden="1" x14ac:dyDescent="0.25">
      <c r="A1323" s="1">
        <v>46258</v>
      </c>
      <c r="B1323">
        <v>1007624721</v>
      </c>
      <c r="C1323" t="s">
        <v>2274</v>
      </c>
      <c r="D1323" s="11" t="s">
        <v>39</v>
      </c>
      <c r="E1323" s="11" t="s">
        <v>4046</v>
      </c>
      <c r="F1323" s="1">
        <v>46255</v>
      </c>
      <c r="G1323" s="1">
        <v>46256</v>
      </c>
      <c r="H1323" s="11"/>
      <c r="I1323" s="11" t="s">
        <v>4041</v>
      </c>
    </row>
    <row r="1324" spans="1:9" hidden="1" x14ac:dyDescent="0.25">
      <c r="A1324" s="1">
        <v>46258</v>
      </c>
      <c r="B1324">
        <v>1000549306</v>
      </c>
      <c r="C1324" t="s">
        <v>1001</v>
      </c>
      <c r="D1324" s="11" t="s">
        <v>64</v>
      </c>
      <c r="E1324" s="11" t="s">
        <v>4046</v>
      </c>
      <c r="F1324" s="1">
        <v>46256</v>
      </c>
      <c r="G1324" s="1">
        <v>46256</v>
      </c>
      <c r="H1324" s="11"/>
      <c r="I1324" s="11" t="s">
        <v>4041</v>
      </c>
    </row>
    <row r="1325" spans="1:9" hidden="1" x14ac:dyDescent="0.25">
      <c r="A1325" s="1">
        <v>46258</v>
      </c>
      <c r="B1325">
        <v>1036965348</v>
      </c>
      <c r="C1325" t="s">
        <v>229</v>
      </c>
      <c r="D1325" s="11" t="s">
        <v>4078</v>
      </c>
      <c r="E1325" s="11" t="s">
        <v>4046</v>
      </c>
      <c r="F1325" s="1">
        <v>46258</v>
      </c>
      <c r="G1325" s="1">
        <v>46258</v>
      </c>
      <c r="H1325" s="11"/>
      <c r="I1325" s="11" t="s">
        <v>339</v>
      </c>
    </row>
    <row r="1326" spans="1:9" hidden="1" x14ac:dyDescent="0.25">
      <c r="A1326" s="1">
        <v>46258</v>
      </c>
      <c r="B1326">
        <v>1116283658</v>
      </c>
      <c r="C1326" t="s">
        <v>283</v>
      </c>
      <c r="D1326" s="11" t="s">
        <v>256</v>
      </c>
      <c r="E1326" s="11" t="s">
        <v>4040</v>
      </c>
      <c r="F1326" s="1">
        <v>46258</v>
      </c>
      <c r="G1326" s="1">
        <v>46265</v>
      </c>
      <c r="H1326" s="11" t="s">
        <v>1427</v>
      </c>
      <c r="I1326" s="11" t="s">
        <v>1428</v>
      </c>
    </row>
    <row r="1327" spans="1:9" hidden="1" x14ac:dyDescent="0.25">
      <c r="A1327" s="1">
        <v>46258</v>
      </c>
      <c r="B1327">
        <v>1001446162</v>
      </c>
      <c r="C1327" t="s">
        <v>3663</v>
      </c>
      <c r="D1327" s="11" t="s">
        <v>4125</v>
      </c>
      <c r="E1327" s="11" t="s">
        <v>4056</v>
      </c>
      <c r="F1327" s="1">
        <v>46258</v>
      </c>
      <c r="G1327" s="1">
        <v>46258</v>
      </c>
      <c r="H1327" s="11"/>
      <c r="I1327" s="11" t="s">
        <v>339</v>
      </c>
    </row>
    <row r="1328" spans="1:9" hidden="1" x14ac:dyDescent="0.25">
      <c r="A1328" s="1">
        <v>46258</v>
      </c>
      <c r="B1328">
        <v>1005605946</v>
      </c>
      <c r="C1328" t="s">
        <v>185</v>
      </c>
      <c r="D1328" s="11" t="s">
        <v>344</v>
      </c>
      <c r="E1328" s="11" t="s">
        <v>4056</v>
      </c>
      <c r="F1328" s="1">
        <v>46258</v>
      </c>
      <c r="G1328" s="1">
        <v>46258</v>
      </c>
      <c r="H1328" s="11"/>
      <c r="I1328" s="11" t="s">
        <v>339</v>
      </c>
    </row>
    <row r="1329" spans="1:9" hidden="1" x14ac:dyDescent="0.25">
      <c r="A1329" s="1">
        <v>46258</v>
      </c>
      <c r="B1329">
        <v>1152446353</v>
      </c>
      <c r="C1329" t="s">
        <v>205</v>
      </c>
      <c r="D1329" s="11" t="s">
        <v>51</v>
      </c>
      <c r="E1329" s="11" t="s">
        <v>4047</v>
      </c>
      <c r="F1329" s="1">
        <v>46258</v>
      </c>
      <c r="G1329" s="1">
        <v>46262</v>
      </c>
      <c r="H1329" s="11" t="s">
        <v>199</v>
      </c>
      <c r="I1329" s="11" t="s">
        <v>200</v>
      </c>
    </row>
    <row r="1330" spans="1:9" hidden="1" x14ac:dyDescent="0.25">
      <c r="A1330" s="1">
        <v>46258</v>
      </c>
      <c r="B1330">
        <v>1037631989</v>
      </c>
      <c r="C1330" t="s">
        <v>27</v>
      </c>
      <c r="D1330" s="11" t="s">
        <v>28</v>
      </c>
      <c r="E1330" s="11" t="s">
        <v>4046</v>
      </c>
      <c r="F1330" s="1">
        <v>46258</v>
      </c>
      <c r="G1330" s="1">
        <v>46285</v>
      </c>
      <c r="H1330" s="11"/>
      <c r="I1330" s="11" t="s">
        <v>4060</v>
      </c>
    </row>
    <row r="1331" spans="1:9" hidden="1" x14ac:dyDescent="0.25">
      <c r="A1331" s="1">
        <v>46258</v>
      </c>
      <c r="B1331">
        <v>1080901556</v>
      </c>
      <c r="C1331" t="s">
        <v>4223</v>
      </c>
      <c r="D1331" s="11" t="s">
        <v>256</v>
      </c>
      <c r="E1331" s="11" t="s">
        <v>4040</v>
      </c>
      <c r="F1331" s="1">
        <v>46258</v>
      </c>
      <c r="G1331" s="1">
        <v>46259</v>
      </c>
      <c r="H1331" s="11" t="s">
        <v>167</v>
      </c>
      <c r="I1331" s="11" t="s">
        <v>168</v>
      </c>
    </row>
    <row r="1332" spans="1:9" hidden="1" x14ac:dyDescent="0.25">
      <c r="A1332" s="1">
        <v>46258</v>
      </c>
      <c r="B1332">
        <v>1003045926</v>
      </c>
      <c r="C1332" t="s">
        <v>2063</v>
      </c>
      <c r="D1332" s="11" t="s">
        <v>124</v>
      </c>
      <c r="E1332" s="11" t="s">
        <v>4045</v>
      </c>
      <c r="F1332" s="1">
        <v>46258</v>
      </c>
      <c r="G1332" s="1">
        <v>46262</v>
      </c>
      <c r="H1332" s="11"/>
      <c r="I1332" s="11" t="s">
        <v>4060</v>
      </c>
    </row>
    <row r="1333" spans="1:9" hidden="1" x14ac:dyDescent="0.25">
      <c r="A1333" s="1">
        <v>46258</v>
      </c>
      <c r="B1333">
        <v>1152471758</v>
      </c>
      <c r="C1333" t="s">
        <v>3840</v>
      </c>
      <c r="D1333" s="11" t="s">
        <v>245</v>
      </c>
      <c r="E1333" s="11" t="s">
        <v>4040</v>
      </c>
      <c r="F1333" s="1">
        <v>46258</v>
      </c>
      <c r="G1333" s="1">
        <v>46259</v>
      </c>
      <c r="H1333" s="11"/>
      <c r="I1333" s="11" t="s">
        <v>4060</v>
      </c>
    </row>
    <row r="1334" spans="1:9" hidden="1" x14ac:dyDescent="0.25">
      <c r="A1334" s="1">
        <v>46258</v>
      </c>
      <c r="B1334">
        <v>1067859397</v>
      </c>
      <c r="C1334" t="s">
        <v>1628</v>
      </c>
      <c r="D1334" s="11" t="s">
        <v>421</v>
      </c>
      <c r="E1334" s="11" t="s">
        <v>4047</v>
      </c>
      <c r="F1334" s="1">
        <v>46258</v>
      </c>
      <c r="G1334" s="1">
        <v>46258</v>
      </c>
      <c r="H1334" s="11"/>
      <c r="I1334" s="11" t="s">
        <v>4060</v>
      </c>
    </row>
    <row r="1335" spans="1:9" hidden="1" x14ac:dyDescent="0.25">
      <c r="A1335" s="1">
        <v>46258</v>
      </c>
      <c r="B1335">
        <v>1001013936</v>
      </c>
      <c r="C1335" t="s">
        <v>3856</v>
      </c>
      <c r="D1335" s="11" t="s">
        <v>28</v>
      </c>
      <c r="E1335" s="11" t="s">
        <v>4046</v>
      </c>
      <c r="F1335" s="1">
        <v>46258</v>
      </c>
      <c r="G1335" s="1">
        <v>46258</v>
      </c>
      <c r="H1335" s="11"/>
      <c r="I1335" s="11" t="s">
        <v>327</v>
      </c>
    </row>
    <row r="1336" spans="1:9" hidden="1" x14ac:dyDescent="0.25">
      <c r="A1336" s="1">
        <v>46258</v>
      </c>
      <c r="B1336">
        <v>1037653415</v>
      </c>
      <c r="C1336" t="s">
        <v>2337</v>
      </c>
      <c r="D1336" s="11" t="s">
        <v>102</v>
      </c>
      <c r="E1336" s="11" t="s">
        <v>4046</v>
      </c>
      <c r="F1336" s="1">
        <v>46258</v>
      </c>
      <c r="G1336" s="1">
        <v>46259</v>
      </c>
      <c r="H1336" s="11"/>
      <c r="I1336" s="11" t="s">
        <v>327</v>
      </c>
    </row>
    <row r="1337" spans="1:9" hidden="1" x14ac:dyDescent="0.25">
      <c r="A1337" s="1">
        <v>46258</v>
      </c>
      <c r="B1337">
        <v>1000944725</v>
      </c>
      <c r="C1337" t="s">
        <v>3007</v>
      </c>
      <c r="D1337" s="11" t="s">
        <v>78</v>
      </c>
      <c r="E1337" s="11" t="s">
        <v>4046</v>
      </c>
      <c r="F1337" s="1">
        <v>46258</v>
      </c>
      <c r="G1337" s="1">
        <v>46267</v>
      </c>
      <c r="H1337" s="11"/>
      <c r="I1337" s="11" t="s">
        <v>4060</v>
      </c>
    </row>
    <row r="1338" spans="1:9" hidden="1" x14ac:dyDescent="0.25">
      <c r="A1338" s="1">
        <v>46258</v>
      </c>
      <c r="B1338">
        <v>1007959114</v>
      </c>
      <c r="C1338" t="s">
        <v>337</v>
      </c>
      <c r="D1338" s="11" t="s">
        <v>39</v>
      </c>
      <c r="E1338" s="11" t="s">
        <v>4046</v>
      </c>
      <c r="F1338" s="1">
        <v>46258</v>
      </c>
      <c r="G1338" s="1">
        <v>46260</v>
      </c>
      <c r="H1338" s="11"/>
      <c r="I1338" s="11" t="s">
        <v>4232</v>
      </c>
    </row>
    <row r="1339" spans="1:9" hidden="1" x14ac:dyDescent="0.25">
      <c r="A1339" s="1">
        <v>46258</v>
      </c>
      <c r="B1339">
        <v>1001003778</v>
      </c>
      <c r="C1339" t="s">
        <v>1959</v>
      </c>
      <c r="D1339" s="11" t="s">
        <v>492</v>
      </c>
      <c r="E1339" s="11" t="s">
        <v>4045</v>
      </c>
      <c r="F1339" s="1">
        <v>46258</v>
      </c>
      <c r="G1339" s="1">
        <v>46259</v>
      </c>
      <c r="H1339" s="11"/>
      <c r="I1339" s="11" t="s">
        <v>327</v>
      </c>
    </row>
    <row r="1340" spans="1:9" hidden="1" x14ac:dyDescent="0.25">
      <c r="A1340" s="1">
        <v>46258</v>
      </c>
      <c r="B1340">
        <v>1067959066</v>
      </c>
      <c r="C1340" t="s">
        <v>3479</v>
      </c>
      <c r="D1340" s="11" t="s">
        <v>344</v>
      </c>
      <c r="E1340" s="11" t="s">
        <v>4056</v>
      </c>
      <c r="F1340" s="1">
        <v>46258</v>
      </c>
      <c r="G1340" s="1">
        <v>46259</v>
      </c>
      <c r="H1340" s="11"/>
      <c r="I1340" s="11" t="s">
        <v>4060</v>
      </c>
    </row>
    <row r="1341" spans="1:9" hidden="1" x14ac:dyDescent="0.25">
      <c r="A1341" s="1">
        <v>46258</v>
      </c>
      <c r="B1341">
        <v>1143880690</v>
      </c>
      <c r="C1341" t="s">
        <v>307</v>
      </c>
      <c r="D1341" s="11" t="s">
        <v>4078</v>
      </c>
      <c r="E1341" s="11"/>
      <c r="F1341" s="1">
        <v>46258</v>
      </c>
      <c r="H1341" s="11"/>
      <c r="I1341" s="11" t="s">
        <v>4247</v>
      </c>
    </row>
    <row r="1342" spans="1:9" hidden="1" x14ac:dyDescent="0.25">
      <c r="A1342" s="1">
        <v>46258</v>
      </c>
      <c r="B1342">
        <v>1002059980</v>
      </c>
      <c r="C1342" t="s">
        <v>1392</v>
      </c>
      <c r="D1342" s="11" t="s">
        <v>132</v>
      </c>
      <c r="E1342" s="11" t="s">
        <v>4040</v>
      </c>
      <c r="F1342" s="1">
        <v>46258</v>
      </c>
      <c r="G1342" s="1">
        <v>46259</v>
      </c>
      <c r="H1342" s="11"/>
      <c r="I1342" s="11" t="s">
        <v>4060</v>
      </c>
    </row>
    <row r="1343" spans="1:9" hidden="1" x14ac:dyDescent="0.25">
      <c r="A1343" s="1">
        <v>46258</v>
      </c>
      <c r="B1343">
        <v>1235539927</v>
      </c>
      <c r="C1343" t="s">
        <v>2591</v>
      </c>
      <c r="D1343" s="11" t="s">
        <v>132</v>
      </c>
      <c r="E1343" s="11" t="s">
        <v>4040</v>
      </c>
      <c r="F1343" s="1">
        <v>46258</v>
      </c>
      <c r="G1343" s="1">
        <v>46260</v>
      </c>
      <c r="H1343" s="11"/>
      <c r="I1343" s="11" t="s">
        <v>4060</v>
      </c>
    </row>
    <row r="1344" spans="1:9" hidden="1" x14ac:dyDescent="0.25">
      <c r="A1344" s="1">
        <v>46258</v>
      </c>
      <c r="B1344">
        <v>1096223065</v>
      </c>
      <c r="C1344" t="s">
        <v>3428</v>
      </c>
      <c r="D1344" s="11" t="s">
        <v>55</v>
      </c>
      <c r="E1344" s="11" t="s">
        <v>4047</v>
      </c>
      <c r="F1344" s="1">
        <v>46258</v>
      </c>
      <c r="H1344" s="11"/>
      <c r="I1344" s="11" t="s">
        <v>4060</v>
      </c>
    </row>
    <row r="1345" spans="1:9" hidden="1" x14ac:dyDescent="0.25">
      <c r="A1345" s="1">
        <v>46258</v>
      </c>
      <c r="B1345">
        <v>1034296571</v>
      </c>
      <c r="C1345" t="s">
        <v>4234</v>
      </c>
      <c r="D1345" s="11" t="s">
        <v>128</v>
      </c>
      <c r="E1345" s="11" t="s">
        <v>4045</v>
      </c>
      <c r="F1345" s="1">
        <v>46258</v>
      </c>
      <c r="G1345" s="1">
        <v>46260</v>
      </c>
      <c r="H1345" s="11"/>
      <c r="I1345" s="11" t="s">
        <v>4060</v>
      </c>
    </row>
    <row r="1346" spans="1:9" hidden="1" x14ac:dyDescent="0.25">
      <c r="A1346" s="1">
        <v>46258</v>
      </c>
      <c r="B1346">
        <v>1152709914</v>
      </c>
      <c r="C1346" t="s">
        <v>3437</v>
      </c>
      <c r="D1346" s="11" t="s">
        <v>139</v>
      </c>
      <c r="E1346" s="11" t="s">
        <v>4040</v>
      </c>
      <c r="F1346" s="1">
        <v>46258</v>
      </c>
      <c r="G1346" s="1">
        <v>46259</v>
      </c>
      <c r="H1346" s="11"/>
      <c r="I1346" s="11" t="s">
        <v>4235</v>
      </c>
    </row>
    <row r="1347" spans="1:9" hidden="1" x14ac:dyDescent="0.25">
      <c r="A1347" s="1">
        <v>46258</v>
      </c>
      <c r="B1347">
        <v>1099551759</v>
      </c>
      <c r="C1347" t="s">
        <v>3053</v>
      </c>
      <c r="D1347" s="11" t="s">
        <v>64</v>
      </c>
      <c r="E1347" s="11" t="s">
        <v>4046</v>
      </c>
      <c r="F1347" s="1">
        <v>46258</v>
      </c>
      <c r="G1347" s="1">
        <v>46258</v>
      </c>
      <c r="H1347" s="11"/>
      <c r="I1347" s="11" t="s">
        <v>4060</v>
      </c>
    </row>
    <row r="1348" spans="1:9" hidden="1" x14ac:dyDescent="0.25">
      <c r="A1348" s="1">
        <v>46258</v>
      </c>
      <c r="B1348">
        <v>1152434926</v>
      </c>
      <c r="C1348" t="s">
        <v>217</v>
      </c>
      <c r="D1348" s="11" t="s">
        <v>59</v>
      </c>
      <c r="E1348" s="11" t="s">
        <v>4047</v>
      </c>
      <c r="F1348" s="1">
        <v>46258</v>
      </c>
      <c r="G1348" s="1">
        <v>46263</v>
      </c>
      <c r="H1348" s="11"/>
      <c r="I1348" s="11" t="s">
        <v>4060</v>
      </c>
    </row>
    <row r="1349" spans="1:9" hidden="1" x14ac:dyDescent="0.25">
      <c r="A1349" s="1">
        <v>46258</v>
      </c>
      <c r="B1349">
        <v>1152226738</v>
      </c>
      <c r="C1349" t="s">
        <v>138</v>
      </c>
      <c r="D1349" s="11" t="s">
        <v>139</v>
      </c>
      <c r="E1349" s="11" t="s">
        <v>4040</v>
      </c>
      <c r="F1349" s="1">
        <v>46258</v>
      </c>
      <c r="G1349" s="1">
        <v>46258</v>
      </c>
      <c r="H1349" s="11"/>
      <c r="I1349" s="11" t="s">
        <v>4060</v>
      </c>
    </row>
    <row r="1350" spans="1:9" hidden="1" x14ac:dyDescent="0.25">
      <c r="A1350" s="1">
        <v>46258</v>
      </c>
      <c r="B1350">
        <v>1003305205</v>
      </c>
      <c r="C1350" t="s">
        <v>1398</v>
      </c>
      <c r="D1350" s="11" t="s">
        <v>162</v>
      </c>
      <c r="E1350" s="11" t="s">
        <v>4056</v>
      </c>
      <c r="F1350" s="1">
        <v>46258</v>
      </c>
      <c r="G1350" s="1">
        <v>46260</v>
      </c>
      <c r="H1350" s="11"/>
      <c r="I1350" s="11" t="s">
        <v>4236</v>
      </c>
    </row>
    <row r="1351" spans="1:9" hidden="1" x14ac:dyDescent="0.25">
      <c r="A1351" s="1">
        <v>46258</v>
      </c>
      <c r="B1351">
        <v>1067864151</v>
      </c>
      <c r="C1351" t="s">
        <v>1809</v>
      </c>
      <c r="D1351" s="11" t="s">
        <v>256</v>
      </c>
      <c r="E1351" s="11" t="s">
        <v>4040</v>
      </c>
      <c r="F1351" s="1">
        <v>46258</v>
      </c>
      <c r="G1351" s="1">
        <v>46260</v>
      </c>
      <c r="H1351" s="11"/>
      <c r="I1351" s="11" t="s">
        <v>4060</v>
      </c>
    </row>
    <row r="1352" spans="1:9" hidden="1" x14ac:dyDescent="0.25">
      <c r="A1352" s="1">
        <v>46259</v>
      </c>
      <c r="B1352">
        <v>1002059980</v>
      </c>
      <c r="C1352" t="s">
        <v>1392</v>
      </c>
      <c r="D1352" s="11" t="s">
        <v>132</v>
      </c>
      <c r="E1352" s="11" t="s">
        <v>4040</v>
      </c>
      <c r="F1352" s="1">
        <v>46258</v>
      </c>
      <c r="G1352" s="1">
        <v>46259</v>
      </c>
      <c r="H1352" s="11"/>
      <c r="I1352" s="11" t="s">
        <v>327</v>
      </c>
    </row>
    <row r="1353" spans="1:9" hidden="1" x14ac:dyDescent="0.25">
      <c r="A1353" s="1">
        <v>46259</v>
      </c>
      <c r="B1353">
        <v>1007959114</v>
      </c>
      <c r="C1353" t="s">
        <v>4154</v>
      </c>
      <c r="D1353" s="11" t="s">
        <v>39</v>
      </c>
      <c r="E1353" s="11" t="s">
        <v>4046</v>
      </c>
      <c r="F1353" s="1">
        <v>46258</v>
      </c>
      <c r="G1353" s="1">
        <v>46260</v>
      </c>
      <c r="H1353" s="11"/>
      <c r="I1353" s="11" t="s">
        <v>327</v>
      </c>
    </row>
    <row r="1354" spans="1:9" hidden="1" x14ac:dyDescent="0.25">
      <c r="A1354" s="1">
        <v>46259</v>
      </c>
      <c r="B1354">
        <v>1152471758</v>
      </c>
      <c r="C1354" t="s">
        <v>3840</v>
      </c>
      <c r="D1354" s="11" t="s">
        <v>245</v>
      </c>
      <c r="E1354" s="11" t="s">
        <v>4040</v>
      </c>
      <c r="F1354" s="1">
        <v>46258</v>
      </c>
      <c r="G1354" s="1">
        <v>46259</v>
      </c>
      <c r="H1354" s="11"/>
      <c r="I1354" s="11" t="s">
        <v>327</v>
      </c>
    </row>
    <row r="1355" spans="1:9" hidden="1" x14ac:dyDescent="0.25">
      <c r="A1355" s="1">
        <v>46259</v>
      </c>
      <c r="B1355">
        <v>1001013936</v>
      </c>
      <c r="C1355" t="s">
        <v>4191</v>
      </c>
      <c r="D1355" s="11" t="s">
        <v>28</v>
      </c>
      <c r="E1355" s="11" t="s">
        <v>4046</v>
      </c>
      <c r="F1355" s="1">
        <v>46258</v>
      </c>
      <c r="G1355" s="1">
        <v>46258</v>
      </c>
      <c r="H1355" s="11"/>
      <c r="I1355" s="11" t="s">
        <v>4041</v>
      </c>
    </row>
    <row r="1356" spans="1:9" hidden="1" x14ac:dyDescent="0.25">
      <c r="A1356" s="1">
        <v>46259</v>
      </c>
      <c r="B1356">
        <v>1067859397</v>
      </c>
      <c r="C1356" t="s">
        <v>1628</v>
      </c>
      <c r="D1356" s="11" t="s">
        <v>421</v>
      </c>
      <c r="E1356" s="11" t="s">
        <v>4047</v>
      </c>
      <c r="F1356" s="1">
        <v>46258</v>
      </c>
      <c r="G1356" s="1">
        <v>46258</v>
      </c>
      <c r="H1356" s="11"/>
      <c r="I1356" s="11" t="s">
        <v>327</v>
      </c>
    </row>
    <row r="1357" spans="1:9" hidden="1" x14ac:dyDescent="0.25">
      <c r="A1357" s="1">
        <v>46259</v>
      </c>
      <c r="B1357">
        <v>1116283658</v>
      </c>
      <c r="C1357" t="s">
        <v>283</v>
      </c>
      <c r="D1357" s="11" t="s">
        <v>256</v>
      </c>
      <c r="E1357" s="11" t="s">
        <v>4040</v>
      </c>
      <c r="F1357" s="1">
        <v>46258</v>
      </c>
      <c r="G1357" s="1">
        <v>46265</v>
      </c>
      <c r="H1357" s="11" t="s">
        <v>181</v>
      </c>
      <c r="I1357" s="11" t="s">
        <v>182</v>
      </c>
    </row>
    <row r="1358" spans="1:9" hidden="1" x14ac:dyDescent="0.25">
      <c r="A1358" s="1">
        <v>46259</v>
      </c>
      <c r="B1358">
        <v>1000098388</v>
      </c>
      <c r="C1358" t="s">
        <v>4231</v>
      </c>
      <c r="D1358" s="11" t="s">
        <v>28</v>
      </c>
      <c r="E1358" s="11" t="s">
        <v>4046</v>
      </c>
      <c r="F1358" s="1">
        <v>46258</v>
      </c>
      <c r="G1358" s="1">
        <v>46260</v>
      </c>
      <c r="H1358" s="11" t="s">
        <v>236</v>
      </c>
      <c r="I1358" s="11" t="s">
        <v>237</v>
      </c>
    </row>
    <row r="1359" spans="1:9" hidden="1" x14ac:dyDescent="0.25">
      <c r="A1359" s="1">
        <v>46259</v>
      </c>
      <c r="B1359">
        <v>1037644923</v>
      </c>
      <c r="C1359" t="s">
        <v>4218</v>
      </c>
      <c r="D1359" s="11" t="s">
        <v>492</v>
      </c>
      <c r="E1359" s="11" t="s">
        <v>4045</v>
      </c>
      <c r="F1359" s="1">
        <v>46258</v>
      </c>
      <c r="G1359" s="1">
        <v>46260</v>
      </c>
      <c r="H1359" s="11"/>
      <c r="I1359" s="11" t="s">
        <v>4060</v>
      </c>
    </row>
    <row r="1360" spans="1:9" hidden="1" x14ac:dyDescent="0.25">
      <c r="A1360" s="1">
        <v>46259</v>
      </c>
      <c r="B1360">
        <v>1036618989</v>
      </c>
      <c r="C1360" t="s">
        <v>81</v>
      </c>
      <c r="D1360" s="11" t="s">
        <v>82</v>
      </c>
      <c r="E1360" s="11" t="s">
        <v>4045</v>
      </c>
      <c r="F1360" s="1">
        <v>46255</v>
      </c>
      <c r="G1360" s="1">
        <v>46258</v>
      </c>
      <c r="H1360" s="11"/>
      <c r="I1360" s="11" t="s">
        <v>4041</v>
      </c>
    </row>
    <row r="1361" spans="1:9" hidden="1" x14ac:dyDescent="0.25">
      <c r="A1361" s="1">
        <v>46259</v>
      </c>
      <c r="B1361">
        <v>1043006106</v>
      </c>
      <c r="C1361" t="s">
        <v>63</v>
      </c>
      <c r="D1361" s="11" t="s">
        <v>64</v>
      </c>
      <c r="E1361" s="11" t="s">
        <v>4046</v>
      </c>
      <c r="F1361" s="1">
        <v>46249</v>
      </c>
      <c r="G1361" s="1">
        <v>46278</v>
      </c>
      <c r="H1361" s="11" t="s">
        <v>318</v>
      </c>
      <c r="I1361" s="11" t="s">
        <v>319</v>
      </c>
    </row>
    <row r="1362" spans="1:9" hidden="1" x14ac:dyDescent="0.25">
      <c r="A1362" s="1">
        <v>46259</v>
      </c>
      <c r="B1362">
        <v>1096223065</v>
      </c>
      <c r="C1362" t="s">
        <v>3428</v>
      </c>
      <c r="D1362" s="11" t="s">
        <v>59</v>
      </c>
      <c r="E1362" s="11" t="s">
        <v>4047</v>
      </c>
      <c r="F1362" s="1">
        <v>46253</v>
      </c>
      <c r="G1362" s="1">
        <v>46265</v>
      </c>
      <c r="H1362" s="11" t="s">
        <v>85</v>
      </c>
      <c r="I1362" s="11" t="s">
        <v>86</v>
      </c>
    </row>
    <row r="1363" spans="1:9" hidden="1" x14ac:dyDescent="0.25">
      <c r="A1363" s="1">
        <v>46259</v>
      </c>
      <c r="B1363">
        <v>1036670630</v>
      </c>
      <c r="C1363" t="s">
        <v>4146</v>
      </c>
      <c r="D1363" s="11" t="s">
        <v>51</v>
      </c>
      <c r="E1363" s="11" t="s">
        <v>4040</v>
      </c>
      <c r="F1363" s="1">
        <v>46259</v>
      </c>
      <c r="G1363" s="1">
        <v>46259</v>
      </c>
      <c r="H1363" s="11"/>
      <c r="I1363" s="11" t="s">
        <v>327</v>
      </c>
    </row>
    <row r="1364" spans="1:9" hidden="1" x14ac:dyDescent="0.25">
      <c r="A1364" s="1">
        <v>46259</v>
      </c>
      <c r="B1364">
        <v>1007334260</v>
      </c>
      <c r="C1364" t="s">
        <v>4207</v>
      </c>
      <c r="D1364" s="11" t="s">
        <v>344</v>
      </c>
      <c r="E1364" s="11" t="s">
        <v>4056</v>
      </c>
      <c r="F1364" s="1">
        <v>46255</v>
      </c>
      <c r="G1364" s="1">
        <v>46259</v>
      </c>
      <c r="H1364" s="11" t="s">
        <v>560</v>
      </c>
      <c r="I1364" s="11" t="s">
        <v>561</v>
      </c>
    </row>
    <row r="1365" spans="1:9" hidden="1" x14ac:dyDescent="0.25">
      <c r="A1365" s="1">
        <v>46259</v>
      </c>
      <c r="B1365">
        <v>1143375080</v>
      </c>
      <c r="C1365" t="s">
        <v>157</v>
      </c>
      <c r="D1365" s="11" t="s">
        <v>44</v>
      </c>
      <c r="E1365" s="11" t="s">
        <v>4045</v>
      </c>
      <c r="F1365" s="1">
        <v>46250</v>
      </c>
      <c r="G1365" s="1">
        <v>46257</v>
      </c>
      <c r="H1365" s="11"/>
      <c r="I1365" s="11" t="s">
        <v>4041</v>
      </c>
    </row>
    <row r="1366" spans="1:9" hidden="1" x14ac:dyDescent="0.25">
      <c r="A1366" s="1">
        <v>46259</v>
      </c>
      <c r="B1366">
        <v>1040755197</v>
      </c>
      <c r="C1366" t="s">
        <v>171</v>
      </c>
      <c r="D1366" s="11" t="s">
        <v>172</v>
      </c>
      <c r="E1366" s="11" t="s">
        <v>4046</v>
      </c>
      <c r="F1366" s="1">
        <v>46252</v>
      </c>
      <c r="G1366" s="1">
        <v>46262</v>
      </c>
      <c r="H1366" s="11" t="s">
        <v>294</v>
      </c>
      <c r="I1366" s="11" t="s">
        <v>295</v>
      </c>
    </row>
    <row r="1367" spans="1:9" hidden="1" x14ac:dyDescent="0.25">
      <c r="A1367" s="1">
        <v>46259</v>
      </c>
      <c r="B1367">
        <v>1102808787</v>
      </c>
      <c r="C1367" t="s">
        <v>135</v>
      </c>
      <c r="D1367" s="11" t="s">
        <v>39</v>
      </c>
      <c r="E1367" s="11" t="s">
        <v>4046</v>
      </c>
      <c r="F1367" s="1">
        <v>46245</v>
      </c>
      <c r="G1367" s="1">
        <v>46276</v>
      </c>
      <c r="H1367" s="11"/>
      <c r="I1367" s="11" t="s">
        <v>327</v>
      </c>
    </row>
    <row r="1368" spans="1:9" hidden="1" x14ac:dyDescent="0.25">
      <c r="A1368" s="1">
        <v>46259</v>
      </c>
      <c r="B1368">
        <v>1082896324</v>
      </c>
      <c r="C1368" t="s">
        <v>127</v>
      </c>
      <c r="D1368" s="11" t="s">
        <v>128</v>
      </c>
      <c r="E1368" s="11" t="s">
        <v>4045</v>
      </c>
      <c r="F1368" s="1">
        <v>46242</v>
      </c>
      <c r="G1368" s="1">
        <v>46272</v>
      </c>
      <c r="H1368" s="11"/>
      <c r="I1368" s="11" t="s">
        <v>327</v>
      </c>
    </row>
    <row r="1369" spans="1:9" hidden="1" x14ac:dyDescent="0.25">
      <c r="A1369" s="1">
        <v>46259</v>
      </c>
      <c r="B1369">
        <v>1152446353</v>
      </c>
      <c r="C1369" t="s">
        <v>205</v>
      </c>
      <c r="D1369" s="11" t="s">
        <v>51</v>
      </c>
      <c r="E1369" s="11" t="s">
        <v>4047</v>
      </c>
      <c r="F1369" s="1">
        <v>46258</v>
      </c>
      <c r="G1369" s="1">
        <v>46262</v>
      </c>
      <c r="H1369" s="11" t="s">
        <v>261</v>
      </c>
      <c r="I1369" s="11" t="s">
        <v>262</v>
      </c>
    </row>
    <row r="1370" spans="1:9" hidden="1" x14ac:dyDescent="0.25">
      <c r="A1370" s="1">
        <v>46259</v>
      </c>
      <c r="B1370">
        <v>1015483595</v>
      </c>
      <c r="C1370" t="s">
        <v>221</v>
      </c>
      <c r="D1370" s="11" t="s">
        <v>15</v>
      </c>
      <c r="E1370" s="11" t="s">
        <v>4046</v>
      </c>
      <c r="F1370" s="1">
        <v>46244</v>
      </c>
      <c r="G1370" s="1">
        <v>46265</v>
      </c>
      <c r="H1370" s="11" t="s">
        <v>251</v>
      </c>
      <c r="I1370" s="11" t="s">
        <v>252</v>
      </c>
    </row>
    <row r="1371" spans="1:9" hidden="1" x14ac:dyDescent="0.25">
      <c r="A1371" s="1">
        <v>46259</v>
      </c>
      <c r="B1371">
        <v>1001851670</v>
      </c>
      <c r="C1371" t="s">
        <v>50</v>
      </c>
      <c r="D1371" s="11" t="s">
        <v>51</v>
      </c>
      <c r="E1371" s="11" t="s">
        <v>4047</v>
      </c>
      <c r="F1371" s="1">
        <v>46241</v>
      </c>
      <c r="G1371" s="1">
        <v>46366</v>
      </c>
      <c r="H1371" s="11"/>
      <c r="I1371" s="11" t="s">
        <v>327</v>
      </c>
    </row>
    <row r="1372" spans="1:9" hidden="1" x14ac:dyDescent="0.25">
      <c r="A1372" s="1">
        <v>46259</v>
      </c>
      <c r="B1372">
        <v>1000415206</v>
      </c>
      <c r="C1372" t="s">
        <v>325</v>
      </c>
      <c r="D1372" s="11" t="s">
        <v>128</v>
      </c>
      <c r="E1372" s="11" t="s">
        <v>4045</v>
      </c>
      <c r="F1372" s="1">
        <v>46258</v>
      </c>
      <c r="G1372" s="1">
        <v>46262</v>
      </c>
      <c r="H1372" s="11" t="s">
        <v>45</v>
      </c>
      <c r="I1372" s="11" t="s">
        <v>46</v>
      </c>
    </row>
    <row r="1373" spans="1:9" hidden="1" x14ac:dyDescent="0.25">
      <c r="A1373" s="1">
        <v>46259</v>
      </c>
      <c r="B1373">
        <v>42141273</v>
      </c>
      <c r="C1373" t="s">
        <v>271</v>
      </c>
      <c r="D1373" s="11" t="s">
        <v>272</v>
      </c>
      <c r="E1373" s="11" t="s">
        <v>4056</v>
      </c>
      <c r="F1373" s="1">
        <v>46238</v>
      </c>
      <c r="G1373" s="1">
        <v>46295</v>
      </c>
      <c r="H1373" s="11" t="s">
        <v>184</v>
      </c>
      <c r="I1373" s="11" t="s">
        <v>185</v>
      </c>
    </row>
    <row r="1374" spans="1:9" hidden="1" x14ac:dyDescent="0.25">
      <c r="A1374" s="1">
        <v>46259</v>
      </c>
      <c r="B1374">
        <v>1152221372</v>
      </c>
      <c r="C1374" t="s">
        <v>4072</v>
      </c>
      <c r="D1374" s="11" t="s">
        <v>139</v>
      </c>
      <c r="E1374" s="11" t="s">
        <v>4040</v>
      </c>
      <c r="F1374" s="1">
        <v>46230</v>
      </c>
      <c r="G1374" s="1">
        <v>46230</v>
      </c>
      <c r="H1374" s="11"/>
      <c r="I1374" s="11" t="s">
        <v>327</v>
      </c>
    </row>
    <row r="1375" spans="1:9" hidden="1" x14ac:dyDescent="0.25">
      <c r="A1375" s="1">
        <v>46259</v>
      </c>
      <c r="B1375">
        <v>1017264032</v>
      </c>
      <c r="C1375" t="s">
        <v>88</v>
      </c>
      <c r="D1375" s="11" t="s">
        <v>55</v>
      </c>
      <c r="E1375" s="11" t="s">
        <v>4047</v>
      </c>
      <c r="F1375" s="1">
        <v>46229</v>
      </c>
      <c r="G1375" s="1">
        <v>46258</v>
      </c>
      <c r="H1375" s="11" t="s">
        <v>150</v>
      </c>
      <c r="I1375" s="11" t="s">
        <v>151</v>
      </c>
    </row>
    <row r="1376" spans="1:9" hidden="1" x14ac:dyDescent="0.25">
      <c r="A1376" s="1">
        <v>46259</v>
      </c>
      <c r="B1376">
        <v>1037630071</v>
      </c>
      <c r="C1376" t="s">
        <v>4196</v>
      </c>
      <c r="D1376" s="11" t="s">
        <v>176</v>
      </c>
      <c r="E1376" s="11" t="s">
        <v>4040</v>
      </c>
      <c r="F1376" s="1">
        <v>46247</v>
      </c>
      <c r="G1376" s="1">
        <v>46265</v>
      </c>
      <c r="H1376" s="11" t="s">
        <v>199</v>
      </c>
      <c r="I1376" s="11" t="s">
        <v>200</v>
      </c>
    </row>
    <row r="1377" spans="1:9" hidden="1" x14ac:dyDescent="0.25">
      <c r="A1377" s="1">
        <v>46259</v>
      </c>
      <c r="B1377">
        <v>1143460426</v>
      </c>
      <c r="C1377" t="s">
        <v>4069</v>
      </c>
      <c r="D1377" s="11" t="s">
        <v>64</v>
      </c>
      <c r="E1377" s="11" t="s">
        <v>4046</v>
      </c>
      <c r="F1377" s="1">
        <v>46195</v>
      </c>
      <c r="G1377" s="1">
        <v>46198</v>
      </c>
      <c r="H1377" s="11" t="s">
        <v>103</v>
      </c>
      <c r="I1377" s="11" t="s">
        <v>104</v>
      </c>
    </row>
    <row r="1378" spans="1:9" hidden="1" x14ac:dyDescent="0.25">
      <c r="A1378" s="1">
        <v>46259</v>
      </c>
      <c r="B1378">
        <v>1080901556</v>
      </c>
      <c r="C1378" t="s">
        <v>4223</v>
      </c>
      <c r="D1378" s="11" t="s">
        <v>256</v>
      </c>
      <c r="E1378" s="11" t="s">
        <v>4040</v>
      </c>
      <c r="F1378" s="1">
        <v>46258</v>
      </c>
      <c r="G1378" s="1">
        <v>46259</v>
      </c>
      <c r="H1378" s="11"/>
      <c r="I1378" s="11" t="s">
        <v>4041</v>
      </c>
    </row>
    <row r="1379" spans="1:9" hidden="1" x14ac:dyDescent="0.25">
      <c r="A1379" s="1">
        <v>46259</v>
      </c>
      <c r="B1379">
        <v>1235539927</v>
      </c>
      <c r="C1379" t="s">
        <v>2591</v>
      </c>
      <c r="D1379" s="11" t="s">
        <v>132</v>
      </c>
      <c r="E1379" s="11" t="s">
        <v>4040</v>
      </c>
      <c r="F1379" s="1">
        <v>46258</v>
      </c>
      <c r="G1379" s="1">
        <v>46260</v>
      </c>
      <c r="H1379" s="11" t="s">
        <v>167</v>
      </c>
      <c r="I1379" s="11" t="s">
        <v>168</v>
      </c>
    </row>
    <row r="1380" spans="1:9" hidden="1" x14ac:dyDescent="0.25">
      <c r="A1380" s="1">
        <v>46259</v>
      </c>
      <c r="B1380">
        <v>43453341</v>
      </c>
      <c r="C1380" t="s">
        <v>146</v>
      </c>
      <c r="D1380" s="11" t="s">
        <v>124</v>
      </c>
      <c r="E1380" s="11" t="s">
        <v>4045</v>
      </c>
      <c r="F1380" s="1">
        <v>46254</v>
      </c>
      <c r="G1380" s="1">
        <v>46268</v>
      </c>
      <c r="H1380" s="11" t="s">
        <v>240</v>
      </c>
      <c r="I1380" s="11" t="s">
        <v>241</v>
      </c>
    </row>
    <row r="1381" spans="1:9" hidden="1" x14ac:dyDescent="0.25">
      <c r="A1381" s="1">
        <v>46259</v>
      </c>
      <c r="B1381">
        <v>1035876080</v>
      </c>
      <c r="C1381" t="s">
        <v>123</v>
      </c>
      <c r="D1381" s="11" t="s">
        <v>124</v>
      </c>
      <c r="E1381" s="11" t="s">
        <v>4045</v>
      </c>
      <c r="F1381" s="1">
        <v>46254</v>
      </c>
      <c r="H1381" s="11" t="s">
        <v>1427</v>
      </c>
      <c r="I1381" s="11" t="s">
        <v>1428</v>
      </c>
    </row>
    <row r="1382" spans="1:9" hidden="1" x14ac:dyDescent="0.25">
      <c r="A1382" s="1">
        <v>46259</v>
      </c>
      <c r="B1382">
        <v>1001003778</v>
      </c>
      <c r="C1382" t="s">
        <v>1959</v>
      </c>
      <c r="D1382" s="11" t="s">
        <v>492</v>
      </c>
      <c r="E1382" s="11" t="s">
        <v>4045</v>
      </c>
      <c r="F1382" s="1">
        <v>46258</v>
      </c>
      <c r="G1382" s="1">
        <v>46259</v>
      </c>
      <c r="H1382" s="11" t="s">
        <v>213</v>
      </c>
      <c r="I1382" s="11" t="s">
        <v>214</v>
      </c>
    </row>
    <row r="1383" spans="1:9" hidden="1" x14ac:dyDescent="0.25">
      <c r="A1383" s="1">
        <v>46259</v>
      </c>
      <c r="B1383">
        <v>1001445343</v>
      </c>
      <c r="C1383" t="s">
        <v>1432</v>
      </c>
      <c r="D1383" s="11" t="s">
        <v>344</v>
      </c>
      <c r="E1383" s="11" t="s">
        <v>4056</v>
      </c>
      <c r="F1383" s="1">
        <v>46256</v>
      </c>
      <c r="G1383" s="1">
        <v>46256</v>
      </c>
      <c r="H1383" s="11"/>
      <c r="I1383" s="11" t="s">
        <v>4041</v>
      </c>
    </row>
    <row r="1384" spans="1:9" hidden="1" x14ac:dyDescent="0.25">
      <c r="A1384" s="1">
        <v>46259</v>
      </c>
      <c r="B1384">
        <v>1067959066</v>
      </c>
      <c r="C1384" t="s">
        <v>3479</v>
      </c>
      <c r="D1384" s="11" t="s">
        <v>344</v>
      </c>
      <c r="E1384" s="11" t="s">
        <v>4056</v>
      </c>
      <c r="F1384" s="1">
        <v>46258</v>
      </c>
      <c r="G1384" s="1">
        <v>46259</v>
      </c>
      <c r="H1384" s="11" t="s">
        <v>3662</v>
      </c>
      <c r="I1384" s="11" t="s">
        <v>3663</v>
      </c>
    </row>
    <row r="1385" spans="1:9" hidden="1" x14ac:dyDescent="0.25">
      <c r="A1385" s="1">
        <v>46259</v>
      </c>
      <c r="B1385">
        <v>1045718883</v>
      </c>
      <c r="C1385" t="s">
        <v>34</v>
      </c>
      <c r="D1385" s="11" t="s">
        <v>15</v>
      </c>
      <c r="E1385" s="11" t="s">
        <v>4046</v>
      </c>
      <c r="F1385" s="1">
        <v>46244</v>
      </c>
      <c r="G1385" s="1">
        <v>46393</v>
      </c>
      <c r="H1385" s="11" t="s">
        <v>17</v>
      </c>
      <c r="I1385" s="11" t="s">
        <v>18</v>
      </c>
    </row>
    <row r="1386" spans="1:9" hidden="1" x14ac:dyDescent="0.25">
      <c r="A1386" s="1">
        <v>46259</v>
      </c>
      <c r="B1386">
        <v>1000944725</v>
      </c>
      <c r="C1386" t="s">
        <v>3007</v>
      </c>
      <c r="D1386" s="11" t="s">
        <v>78</v>
      </c>
      <c r="E1386" s="11" t="s">
        <v>4046</v>
      </c>
      <c r="F1386" s="1">
        <v>46258</v>
      </c>
      <c r="G1386" s="1">
        <v>46267</v>
      </c>
      <c r="H1386" s="11"/>
      <c r="I1386" s="11" t="s">
        <v>327</v>
      </c>
    </row>
    <row r="1387" spans="1:9" hidden="1" x14ac:dyDescent="0.25">
      <c r="A1387" s="1">
        <v>46259</v>
      </c>
      <c r="B1387">
        <v>1037638426</v>
      </c>
      <c r="C1387" t="s">
        <v>31</v>
      </c>
      <c r="D1387" s="11" t="s">
        <v>28</v>
      </c>
      <c r="E1387" s="11" t="s">
        <v>4046</v>
      </c>
      <c r="F1387" s="1">
        <v>46249</v>
      </c>
      <c r="G1387" s="1">
        <v>46264</v>
      </c>
      <c r="H1387" s="11" t="s">
        <v>300</v>
      </c>
      <c r="I1387" s="11" t="s">
        <v>301</v>
      </c>
    </row>
    <row r="1388" spans="1:9" hidden="1" x14ac:dyDescent="0.25">
      <c r="A1388" s="1">
        <v>46259</v>
      </c>
      <c r="B1388">
        <v>1037631989</v>
      </c>
      <c r="C1388" t="s">
        <v>27</v>
      </c>
      <c r="D1388" s="11" t="s">
        <v>28</v>
      </c>
      <c r="E1388" s="11" t="s">
        <v>4046</v>
      </c>
      <c r="F1388" s="1">
        <v>46258</v>
      </c>
      <c r="G1388" s="1">
        <v>46285</v>
      </c>
      <c r="H1388" s="11"/>
      <c r="I1388" s="11" t="s">
        <v>4060</v>
      </c>
    </row>
    <row r="1389" spans="1:9" hidden="1" x14ac:dyDescent="0.25">
      <c r="A1389" s="1">
        <v>46259</v>
      </c>
      <c r="B1389">
        <v>1037653415</v>
      </c>
      <c r="C1389" t="s">
        <v>2337</v>
      </c>
      <c r="D1389" s="11" t="s">
        <v>102</v>
      </c>
      <c r="E1389" s="11" t="s">
        <v>4046</v>
      </c>
      <c r="F1389" s="1">
        <v>46258</v>
      </c>
      <c r="G1389" s="1">
        <v>46259</v>
      </c>
      <c r="H1389" s="11"/>
      <c r="I1389" s="11" t="s">
        <v>327</v>
      </c>
    </row>
    <row r="1390" spans="1:9" hidden="1" x14ac:dyDescent="0.25">
      <c r="A1390" s="1">
        <v>46259</v>
      </c>
      <c r="B1390">
        <v>1034296571</v>
      </c>
      <c r="C1390" t="s">
        <v>4234</v>
      </c>
      <c r="D1390" s="11" t="s">
        <v>128</v>
      </c>
      <c r="E1390" s="11" t="s">
        <v>4045</v>
      </c>
      <c r="F1390" s="1">
        <v>46258</v>
      </c>
      <c r="G1390" s="1">
        <v>46260</v>
      </c>
      <c r="H1390" s="11"/>
      <c r="I1390" s="11" t="s">
        <v>327</v>
      </c>
    </row>
    <row r="1391" spans="1:9" hidden="1" x14ac:dyDescent="0.25">
      <c r="A1391" s="1">
        <v>46259</v>
      </c>
      <c r="B1391">
        <v>1096223065</v>
      </c>
      <c r="C1391" t="s">
        <v>3428</v>
      </c>
      <c r="D1391" s="11" t="s">
        <v>55</v>
      </c>
      <c r="E1391" s="11" t="s">
        <v>4047</v>
      </c>
      <c r="F1391" s="1">
        <v>46256</v>
      </c>
      <c r="G1391" s="1">
        <v>46263</v>
      </c>
      <c r="H1391" s="11"/>
      <c r="I1391" s="11" t="s">
        <v>4060</v>
      </c>
    </row>
    <row r="1392" spans="1:9" hidden="1" x14ac:dyDescent="0.25">
      <c r="A1392" s="1">
        <v>46259</v>
      </c>
      <c r="B1392">
        <v>1152709914</v>
      </c>
      <c r="C1392" t="s">
        <v>3437</v>
      </c>
      <c r="D1392" s="11" t="s">
        <v>139</v>
      </c>
      <c r="E1392" s="11" t="s">
        <v>4040</v>
      </c>
      <c r="F1392" s="1">
        <v>46258</v>
      </c>
      <c r="G1392" s="1">
        <v>46259</v>
      </c>
      <c r="H1392" s="11" t="s">
        <v>119</v>
      </c>
      <c r="I1392" s="11" t="s">
        <v>120</v>
      </c>
    </row>
    <row r="1393" spans="1:9" hidden="1" x14ac:dyDescent="0.25">
      <c r="A1393" s="1">
        <v>46259</v>
      </c>
      <c r="B1393">
        <v>1099551759</v>
      </c>
      <c r="C1393" t="s">
        <v>3053</v>
      </c>
      <c r="D1393" s="11" t="s">
        <v>64</v>
      </c>
      <c r="E1393" s="11" t="s">
        <v>4046</v>
      </c>
      <c r="F1393" s="1">
        <v>46258</v>
      </c>
      <c r="G1393" s="1">
        <v>46258</v>
      </c>
      <c r="H1393" s="11"/>
      <c r="I1393" s="11" t="s">
        <v>4041</v>
      </c>
    </row>
    <row r="1394" spans="1:9" hidden="1" x14ac:dyDescent="0.25">
      <c r="A1394" s="1">
        <v>46259</v>
      </c>
      <c r="B1394">
        <v>1152434926</v>
      </c>
      <c r="C1394" t="s">
        <v>217</v>
      </c>
      <c r="D1394" s="11" t="s">
        <v>59</v>
      </c>
      <c r="E1394" s="11" t="s">
        <v>4047</v>
      </c>
      <c r="F1394" s="1">
        <v>46258</v>
      </c>
      <c r="G1394" s="1">
        <v>46263</v>
      </c>
      <c r="H1394" s="11"/>
      <c r="I1394" s="11" t="s">
        <v>327</v>
      </c>
    </row>
    <row r="1395" spans="1:9" hidden="1" x14ac:dyDescent="0.25">
      <c r="A1395" s="1">
        <v>46259</v>
      </c>
      <c r="B1395">
        <v>1037645530</v>
      </c>
      <c r="C1395" t="s">
        <v>1736</v>
      </c>
      <c r="D1395" s="11" t="s">
        <v>82</v>
      </c>
      <c r="E1395" s="11" t="s">
        <v>4045</v>
      </c>
      <c r="F1395" s="1">
        <v>46259</v>
      </c>
      <c r="G1395" s="1">
        <v>46259</v>
      </c>
      <c r="H1395" s="11" t="s">
        <v>73</v>
      </c>
      <c r="I1395" s="11" t="s">
        <v>74</v>
      </c>
    </row>
    <row r="1396" spans="1:9" hidden="1" x14ac:dyDescent="0.25">
      <c r="A1396" s="1">
        <v>46259</v>
      </c>
      <c r="B1396">
        <v>1036965348</v>
      </c>
      <c r="C1396" t="s">
        <v>229</v>
      </c>
      <c r="D1396" s="11" t="s">
        <v>4078</v>
      </c>
      <c r="E1396" s="11" t="s">
        <v>4046</v>
      </c>
      <c r="F1396" s="1">
        <v>46259</v>
      </c>
      <c r="G1396" s="1">
        <v>46259</v>
      </c>
      <c r="H1396" s="11" t="s">
        <v>228</v>
      </c>
      <c r="I1396" s="11" t="s">
        <v>229</v>
      </c>
    </row>
    <row r="1397" spans="1:9" hidden="1" x14ac:dyDescent="0.25">
      <c r="A1397" s="1">
        <v>46259</v>
      </c>
      <c r="B1397">
        <v>1152226738</v>
      </c>
      <c r="C1397" t="s">
        <v>138</v>
      </c>
      <c r="D1397" s="11" t="s">
        <v>139</v>
      </c>
      <c r="E1397" s="11" t="s">
        <v>4040</v>
      </c>
      <c r="F1397" s="1">
        <v>46258</v>
      </c>
      <c r="G1397" s="1">
        <v>46258</v>
      </c>
      <c r="H1397" s="11"/>
      <c r="I1397" s="11" t="s">
        <v>4041</v>
      </c>
    </row>
    <row r="1398" spans="1:9" hidden="1" x14ac:dyDescent="0.25">
      <c r="A1398" s="1">
        <v>46259</v>
      </c>
      <c r="B1398">
        <v>1003305205</v>
      </c>
      <c r="C1398" t="s">
        <v>1398</v>
      </c>
      <c r="D1398" s="11" t="s">
        <v>162</v>
      </c>
      <c r="E1398" s="11" t="s">
        <v>4056</v>
      </c>
      <c r="F1398" s="1">
        <v>46258</v>
      </c>
      <c r="G1398" s="1">
        <v>46260</v>
      </c>
      <c r="H1398" s="11"/>
      <c r="I1398" s="11" t="s">
        <v>4162</v>
      </c>
    </row>
    <row r="1399" spans="1:9" hidden="1" x14ac:dyDescent="0.25">
      <c r="A1399" s="1">
        <v>46259</v>
      </c>
      <c r="B1399">
        <v>1067864151</v>
      </c>
      <c r="C1399" t="s">
        <v>1809</v>
      </c>
      <c r="D1399" s="11" t="s">
        <v>256</v>
      </c>
      <c r="E1399" s="11" t="s">
        <v>4040</v>
      </c>
      <c r="F1399" s="1">
        <v>46258</v>
      </c>
      <c r="G1399" s="1">
        <v>46260</v>
      </c>
      <c r="H1399" s="11"/>
      <c r="I1399" s="11" t="s">
        <v>327</v>
      </c>
    </row>
    <row r="1400" spans="1:9" hidden="1" x14ac:dyDescent="0.25">
      <c r="A1400" s="1">
        <v>46259</v>
      </c>
      <c r="B1400">
        <v>1143388920</v>
      </c>
      <c r="C1400" t="s">
        <v>304</v>
      </c>
      <c r="D1400" s="11" t="s">
        <v>82</v>
      </c>
      <c r="E1400" s="11" t="s">
        <v>4045</v>
      </c>
      <c r="F1400" s="1">
        <v>46259</v>
      </c>
      <c r="G1400" s="1">
        <v>46259</v>
      </c>
      <c r="H1400" s="11" t="s">
        <v>303</v>
      </c>
      <c r="I1400" s="11" t="s">
        <v>304</v>
      </c>
    </row>
    <row r="1401" spans="1:9" hidden="1" x14ac:dyDescent="0.25">
      <c r="A1401" s="1">
        <v>46259</v>
      </c>
      <c r="B1401">
        <v>1032488873</v>
      </c>
      <c r="C1401" t="s">
        <v>3639</v>
      </c>
      <c r="D1401" s="11" t="s">
        <v>55</v>
      </c>
      <c r="E1401" s="11" t="s">
        <v>4047</v>
      </c>
      <c r="F1401" s="1">
        <v>46258</v>
      </c>
      <c r="H1401" s="11"/>
      <c r="I1401" s="11" t="s">
        <v>4060</v>
      </c>
    </row>
    <row r="1402" spans="1:9" hidden="1" x14ac:dyDescent="0.25">
      <c r="A1402" s="1">
        <v>46259</v>
      </c>
      <c r="B1402">
        <v>1003045926</v>
      </c>
      <c r="C1402" t="s">
        <v>2063</v>
      </c>
      <c r="D1402" s="11" t="s">
        <v>124</v>
      </c>
      <c r="E1402" s="11" t="s">
        <v>4045</v>
      </c>
      <c r="F1402" s="1">
        <v>46258</v>
      </c>
      <c r="G1402" s="1">
        <v>46262</v>
      </c>
      <c r="H1402" s="11"/>
      <c r="I1402" s="11" t="s">
        <v>327</v>
      </c>
    </row>
    <row r="1403" spans="1:9" hidden="1" x14ac:dyDescent="0.25">
      <c r="A1403" s="1">
        <v>46259</v>
      </c>
      <c r="B1403">
        <v>1017255988</v>
      </c>
      <c r="C1403" t="s">
        <v>2923</v>
      </c>
      <c r="D1403" s="11" t="s">
        <v>124</v>
      </c>
      <c r="E1403" s="11" t="s">
        <v>4045</v>
      </c>
      <c r="F1403" s="1">
        <v>46258</v>
      </c>
      <c r="G1403" s="1">
        <v>46258</v>
      </c>
      <c r="H1403" s="11"/>
      <c r="I1403" s="11" t="s">
        <v>4041</v>
      </c>
    </row>
    <row r="1404" spans="1:9" hidden="1" x14ac:dyDescent="0.25">
      <c r="A1404" s="1">
        <v>46259</v>
      </c>
      <c r="B1404">
        <v>1143375080</v>
      </c>
      <c r="C1404" t="s">
        <v>157</v>
      </c>
      <c r="D1404" s="11" t="s">
        <v>44</v>
      </c>
      <c r="E1404" s="11" t="s">
        <v>4045</v>
      </c>
      <c r="F1404" s="1">
        <v>46258</v>
      </c>
      <c r="G1404" s="1">
        <v>46287</v>
      </c>
      <c r="H1404" s="11" t="s">
        <v>196</v>
      </c>
      <c r="I1404" s="11" t="s">
        <v>197</v>
      </c>
    </row>
    <row r="1405" spans="1:9" hidden="1" x14ac:dyDescent="0.25">
      <c r="A1405" s="1">
        <v>46259</v>
      </c>
      <c r="B1405">
        <v>1116283658</v>
      </c>
      <c r="C1405" t="s">
        <v>283</v>
      </c>
      <c r="D1405" s="11" t="s">
        <v>4078</v>
      </c>
      <c r="E1405" s="11" t="s">
        <v>4040</v>
      </c>
      <c r="F1405" s="1">
        <v>46259</v>
      </c>
      <c r="G1405" s="1">
        <v>46259</v>
      </c>
      <c r="H1405" s="11" t="s">
        <v>282</v>
      </c>
      <c r="I1405" s="11" t="s">
        <v>283</v>
      </c>
    </row>
    <row r="1406" spans="1:9" hidden="1" x14ac:dyDescent="0.25">
      <c r="A1406" s="1">
        <v>46259</v>
      </c>
      <c r="B1406">
        <v>1143373273</v>
      </c>
      <c r="C1406" t="s">
        <v>2037</v>
      </c>
      <c r="D1406" s="11" t="s">
        <v>272</v>
      </c>
      <c r="E1406" s="11" t="s">
        <v>4056</v>
      </c>
      <c r="F1406" s="1">
        <v>46259</v>
      </c>
      <c r="G1406" s="1">
        <v>46266</v>
      </c>
      <c r="H1406" s="11"/>
      <c r="I1406" s="11" t="s">
        <v>4176</v>
      </c>
    </row>
    <row r="1407" spans="1:9" hidden="1" x14ac:dyDescent="0.25">
      <c r="A1407" s="1">
        <v>46259</v>
      </c>
      <c r="B1407">
        <v>1143880690</v>
      </c>
      <c r="C1407" t="s">
        <v>4238</v>
      </c>
      <c r="D1407" s="11" t="s">
        <v>4078</v>
      </c>
      <c r="E1407" s="11" t="s">
        <v>4045</v>
      </c>
      <c r="F1407" s="1">
        <v>46257</v>
      </c>
      <c r="H1407" s="11" t="s">
        <v>306</v>
      </c>
      <c r="I1407" s="11" t="s">
        <v>307</v>
      </c>
    </row>
    <row r="1408" spans="1:9" hidden="1" x14ac:dyDescent="0.25">
      <c r="A1408" s="1">
        <v>46259</v>
      </c>
      <c r="B1408">
        <v>50927877</v>
      </c>
      <c r="C1408" t="s">
        <v>1709</v>
      </c>
      <c r="D1408" s="11" t="s">
        <v>176</v>
      </c>
      <c r="E1408" s="11" t="s">
        <v>4040</v>
      </c>
      <c r="F1408" s="1">
        <v>46259</v>
      </c>
      <c r="G1408" s="1">
        <v>46259</v>
      </c>
      <c r="H1408" s="11"/>
      <c r="I1408" s="11" t="s">
        <v>327</v>
      </c>
    </row>
    <row r="1409" spans="1:9" hidden="1" x14ac:dyDescent="0.25">
      <c r="A1409" s="1">
        <v>46259</v>
      </c>
      <c r="B1409">
        <v>1140902203</v>
      </c>
      <c r="C1409" t="s">
        <v>648</v>
      </c>
      <c r="D1409" s="11" t="s">
        <v>272</v>
      </c>
      <c r="E1409" s="11" t="s">
        <v>4056</v>
      </c>
      <c r="H1409" s="11"/>
      <c r="I1409" s="11" t="s">
        <v>4310</v>
      </c>
    </row>
    <row r="1410" spans="1:9" hidden="1" x14ac:dyDescent="0.25">
      <c r="A1410" s="1">
        <v>46259</v>
      </c>
      <c r="B1410">
        <v>1081916952</v>
      </c>
      <c r="C1410" t="s">
        <v>2540</v>
      </c>
      <c r="D1410" s="11" t="s">
        <v>124</v>
      </c>
      <c r="E1410" s="11" t="s">
        <v>4045</v>
      </c>
      <c r="F1410" s="1">
        <v>46259</v>
      </c>
      <c r="G1410" s="1">
        <v>46259</v>
      </c>
      <c r="H1410" s="11"/>
      <c r="I1410" s="11" t="s">
        <v>4060</v>
      </c>
    </row>
    <row r="1411" spans="1:9" hidden="1" x14ac:dyDescent="0.25">
      <c r="A1411" s="1">
        <v>46259</v>
      </c>
      <c r="B1411">
        <v>1152210115</v>
      </c>
      <c r="C1411" t="s">
        <v>2821</v>
      </c>
      <c r="D1411" s="11" t="s">
        <v>619</v>
      </c>
      <c r="E1411" s="11" t="s">
        <v>4045</v>
      </c>
      <c r="F1411" s="1">
        <v>46259</v>
      </c>
      <c r="G1411" s="1">
        <v>46259</v>
      </c>
      <c r="H1411" s="11"/>
      <c r="I1411" s="11" t="s">
        <v>327</v>
      </c>
    </row>
    <row r="1412" spans="1:9" hidden="1" x14ac:dyDescent="0.25">
      <c r="A1412" s="1">
        <v>46259</v>
      </c>
      <c r="B1412">
        <v>1036624789</v>
      </c>
      <c r="C1412" t="s">
        <v>223</v>
      </c>
      <c r="D1412" s="11" t="s">
        <v>4078</v>
      </c>
      <c r="E1412" s="11" t="s">
        <v>4046</v>
      </c>
      <c r="F1412" s="1">
        <v>46259</v>
      </c>
      <c r="H1412" s="11" t="s">
        <v>222</v>
      </c>
      <c r="I1412" s="11" t="s">
        <v>223</v>
      </c>
    </row>
    <row r="1413" spans="1:9" hidden="1" x14ac:dyDescent="0.25">
      <c r="A1413" s="1">
        <v>46259</v>
      </c>
      <c r="B1413">
        <v>1143406315</v>
      </c>
      <c r="C1413" t="s">
        <v>735</v>
      </c>
      <c r="D1413" s="11" t="s">
        <v>272</v>
      </c>
      <c r="E1413" s="11" t="s">
        <v>4056</v>
      </c>
      <c r="F1413" s="1">
        <v>46259</v>
      </c>
      <c r="G1413" s="1">
        <v>46260</v>
      </c>
      <c r="H1413" s="11"/>
      <c r="I1413" s="11" t="s">
        <v>4060</v>
      </c>
    </row>
    <row r="1414" spans="1:9" hidden="1" x14ac:dyDescent="0.25">
      <c r="A1414" s="1">
        <v>46259</v>
      </c>
      <c r="B1414">
        <v>1001996913</v>
      </c>
      <c r="C1414" t="s">
        <v>3174</v>
      </c>
      <c r="D1414" s="11" t="s">
        <v>28</v>
      </c>
      <c r="E1414" s="11" t="s">
        <v>4046</v>
      </c>
      <c r="F1414" s="1">
        <v>46259</v>
      </c>
      <c r="G1414" s="1">
        <v>46259</v>
      </c>
      <c r="H1414" s="11"/>
      <c r="I1414" s="11" t="s">
        <v>4060</v>
      </c>
    </row>
    <row r="1415" spans="1:9" hidden="1" x14ac:dyDescent="0.25">
      <c r="A1415" s="1">
        <v>46259</v>
      </c>
      <c r="B1415">
        <v>1010135017</v>
      </c>
      <c r="C1415" t="s">
        <v>1311</v>
      </c>
      <c r="D1415" s="11" t="s">
        <v>256</v>
      </c>
      <c r="E1415" s="11" t="s">
        <v>4040</v>
      </c>
      <c r="F1415" s="1">
        <v>46259</v>
      </c>
      <c r="G1415" s="1">
        <v>46261</v>
      </c>
      <c r="H1415" s="11"/>
      <c r="I1415" s="11" t="s">
        <v>4060</v>
      </c>
    </row>
    <row r="1416" spans="1:9" hidden="1" x14ac:dyDescent="0.25">
      <c r="A1416" s="1">
        <v>46259</v>
      </c>
      <c r="B1416">
        <v>1017254059</v>
      </c>
      <c r="C1416" t="s">
        <v>2878</v>
      </c>
      <c r="D1416" s="11" t="s">
        <v>132</v>
      </c>
      <c r="E1416" s="11" t="s">
        <v>4040</v>
      </c>
      <c r="F1416" s="1">
        <v>46259</v>
      </c>
      <c r="G1416" s="1">
        <v>46260</v>
      </c>
      <c r="H1416" s="11"/>
      <c r="I1416" s="11" t="s">
        <v>4060</v>
      </c>
    </row>
    <row r="1417" spans="1:9" hidden="1" x14ac:dyDescent="0.25">
      <c r="A1417" s="1">
        <v>46259</v>
      </c>
      <c r="B1417">
        <v>1000439437</v>
      </c>
      <c r="C1417" t="s">
        <v>451</v>
      </c>
      <c r="D1417" s="11" t="s">
        <v>139</v>
      </c>
      <c r="E1417" s="11" t="s">
        <v>4040</v>
      </c>
      <c r="F1417" s="1">
        <v>46259</v>
      </c>
      <c r="G1417" s="1">
        <v>46260</v>
      </c>
      <c r="H1417" s="11"/>
      <c r="I1417" s="11" t="s">
        <v>4060</v>
      </c>
    </row>
    <row r="1418" spans="1:9" hidden="1" x14ac:dyDescent="0.25">
      <c r="A1418" s="1">
        <v>46259</v>
      </c>
      <c r="B1418">
        <v>1038408808</v>
      </c>
      <c r="C1418" t="s">
        <v>483</v>
      </c>
      <c r="D1418" s="11" t="s">
        <v>482</v>
      </c>
      <c r="E1418" s="11" t="s">
        <v>4040</v>
      </c>
      <c r="F1418" s="1">
        <v>46259</v>
      </c>
      <c r="G1418" s="1">
        <v>46262</v>
      </c>
      <c r="H1418" s="11"/>
      <c r="I1418" s="11" t="s">
        <v>327</v>
      </c>
    </row>
    <row r="1419" spans="1:9" hidden="1" x14ac:dyDescent="0.25">
      <c r="A1419" s="1">
        <v>46259</v>
      </c>
      <c r="B1419">
        <v>1083048590</v>
      </c>
      <c r="C1419" t="s">
        <v>2487</v>
      </c>
      <c r="D1419" s="11" t="s">
        <v>28</v>
      </c>
      <c r="E1419" s="11" t="s">
        <v>4046</v>
      </c>
      <c r="F1419" s="1">
        <v>46259</v>
      </c>
      <c r="G1419" s="1">
        <v>46260</v>
      </c>
      <c r="H1419" s="11"/>
      <c r="I1419" s="11" t="s">
        <v>327</v>
      </c>
    </row>
    <row r="1420" spans="1:9" hidden="1" x14ac:dyDescent="0.25">
      <c r="A1420" s="1">
        <v>46259</v>
      </c>
      <c r="B1420">
        <v>1020476544</v>
      </c>
      <c r="C1420" t="s">
        <v>473</v>
      </c>
      <c r="D1420" s="11" t="s">
        <v>256</v>
      </c>
      <c r="E1420" s="11" t="s">
        <v>4040</v>
      </c>
      <c r="F1420" s="1">
        <v>46259</v>
      </c>
      <c r="G1420" s="1">
        <v>46259</v>
      </c>
      <c r="H1420" s="11"/>
      <c r="I1420" s="11" t="s">
        <v>4060</v>
      </c>
    </row>
    <row r="1421" spans="1:9" hidden="1" x14ac:dyDescent="0.25">
      <c r="A1421" s="1">
        <v>46259</v>
      </c>
      <c r="B1421">
        <v>1017238267</v>
      </c>
      <c r="C1421" t="s">
        <v>2537</v>
      </c>
      <c r="D1421" s="11" t="s">
        <v>55</v>
      </c>
      <c r="E1421" s="11" t="s">
        <v>4047</v>
      </c>
      <c r="F1421" s="1">
        <v>46259</v>
      </c>
      <c r="G1421" s="1">
        <v>46261</v>
      </c>
      <c r="H1421" s="11"/>
      <c r="I1421" s="11" t="s">
        <v>4060</v>
      </c>
    </row>
    <row r="1422" spans="1:9" hidden="1" x14ac:dyDescent="0.25">
      <c r="A1422" s="1">
        <v>46259</v>
      </c>
      <c r="B1422">
        <v>1017277147</v>
      </c>
      <c r="C1422" t="s">
        <v>214</v>
      </c>
      <c r="D1422" s="11" t="s">
        <v>4078</v>
      </c>
      <c r="E1422" s="11" t="s">
        <v>4045</v>
      </c>
      <c r="F1422" s="1">
        <v>46259</v>
      </c>
      <c r="G1422" s="1">
        <v>46259</v>
      </c>
      <c r="H1422" s="11"/>
      <c r="I1422" s="11" t="s">
        <v>339</v>
      </c>
    </row>
    <row r="1423" spans="1:9" hidden="1" x14ac:dyDescent="0.25">
      <c r="A1423" s="1">
        <v>46259</v>
      </c>
      <c r="B1423">
        <v>1001140238</v>
      </c>
      <c r="C1423" t="s">
        <v>74</v>
      </c>
      <c r="D1423" s="11" t="s">
        <v>4078</v>
      </c>
      <c r="E1423" s="11" t="s">
        <v>4045</v>
      </c>
      <c r="F1423" s="1">
        <v>46259</v>
      </c>
      <c r="G1423" s="1">
        <v>46259</v>
      </c>
      <c r="H1423" s="11"/>
      <c r="I1423" s="11" t="s">
        <v>339</v>
      </c>
    </row>
    <row r="1424" spans="1:9" hidden="1" x14ac:dyDescent="0.25">
      <c r="A1424" s="1">
        <v>46260</v>
      </c>
      <c r="B1424">
        <v>1067959066</v>
      </c>
      <c r="C1424" t="s">
        <v>3479</v>
      </c>
      <c r="D1424" s="11" t="s">
        <v>344</v>
      </c>
      <c r="E1424" s="11" t="s">
        <v>4056</v>
      </c>
      <c r="F1424" s="1">
        <v>46258</v>
      </c>
      <c r="G1424" s="1">
        <v>46259</v>
      </c>
      <c r="H1424" s="11"/>
      <c r="I1424" s="11" t="s">
        <v>4041</v>
      </c>
    </row>
    <row r="1425" spans="1:9" hidden="1" x14ac:dyDescent="0.25">
      <c r="A1425" s="1">
        <v>46260</v>
      </c>
      <c r="B1425">
        <v>1001996913</v>
      </c>
      <c r="C1425" t="s">
        <v>3174</v>
      </c>
      <c r="D1425" s="11" t="s">
        <v>28</v>
      </c>
      <c r="E1425" s="11" t="s">
        <v>4046</v>
      </c>
      <c r="F1425" s="1">
        <v>46259</v>
      </c>
      <c r="G1425" s="1">
        <v>46259</v>
      </c>
      <c r="H1425" s="11"/>
      <c r="I1425" s="11" t="s">
        <v>4060</v>
      </c>
    </row>
    <row r="1426" spans="1:9" hidden="1" x14ac:dyDescent="0.25">
      <c r="A1426" s="1">
        <v>46260</v>
      </c>
      <c r="B1426">
        <v>43271257</v>
      </c>
      <c r="C1426" t="s">
        <v>4113</v>
      </c>
      <c r="D1426" s="11" t="s">
        <v>15</v>
      </c>
      <c r="E1426" s="11" t="s">
        <v>4046</v>
      </c>
      <c r="F1426" s="1">
        <v>46259</v>
      </c>
      <c r="G1426" s="1">
        <v>46259</v>
      </c>
      <c r="H1426" s="11"/>
      <c r="I1426" s="11" t="s">
        <v>4041</v>
      </c>
    </row>
    <row r="1427" spans="1:9" hidden="1" x14ac:dyDescent="0.25">
      <c r="A1427" s="1">
        <v>46260</v>
      </c>
      <c r="B1427">
        <v>1081916952</v>
      </c>
      <c r="C1427" t="s">
        <v>2540</v>
      </c>
      <c r="D1427" s="11" t="s">
        <v>124</v>
      </c>
      <c r="E1427" s="11" t="s">
        <v>4045</v>
      </c>
      <c r="F1427" s="1">
        <v>46259</v>
      </c>
      <c r="G1427" s="1">
        <v>46259</v>
      </c>
      <c r="H1427" s="11"/>
      <c r="I1427" s="11" t="s">
        <v>4041</v>
      </c>
    </row>
    <row r="1428" spans="1:9" hidden="1" x14ac:dyDescent="0.25">
      <c r="A1428" s="1">
        <v>46260</v>
      </c>
      <c r="B1428">
        <v>1032488873</v>
      </c>
      <c r="C1428" t="s">
        <v>4240</v>
      </c>
      <c r="D1428" s="11" t="s">
        <v>55</v>
      </c>
      <c r="E1428" s="11" t="s">
        <v>4047</v>
      </c>
      <c r="F1428" s="1">
        <v>46259</v>
      </c>
      <c r="G1428" s="1">
        <v>46263</v>
      </c>
      <c r="H1428" s="11" t="s">
        <v>73</v>
      </c>
      <c r="I1428" s="11" t="s">
        <v>74</v>
      </c>
    </row>
    <row r="1429" spans="1:9" hidden="1" x14ac:dyDescent="0.25">
      <c r="A1429" s="1">
        <v>46260</v>
      </c>
      <c r="B1429">
        <v>1152210115</v>
      </c>
      <c r="C1429" t="s">
        <v>2821</v>
      </c>
      <c r="D1429" s="11" t="s">
        <v>619</v>
      </c>
      <c r="E1429" s="11" t="s">
        <v>4045</v>
      </c>
      <c r="F1429" s="1">
        <v>46259</v>
      </c>
      <c r="G1429" s="1">
        <v>46259</v>
      </c>
      <c r="H1429" s="11"/>
      <c r="I1429" s="11" t="s">
        <v>4041</v>
      </c>
    </row>
    <row r="1430" spans="1:9" hidden="1" x14ac:dyDescent="0.25">
      <c r="A1430" s="1">
        <v>46260</v>
      </c>
      <c r="B1430">
        <v>1140902203</v>
      </c>
      <c r="C1430" t="s">
        <v>648</v>
      </c>
      <c r="D1430" s="11" t="s">
        <v>4241</v>
      </c>
      <c r="E1430" s="11" t="s">
        <v>4056</v>
      </c>
      <c r="F1430" s="1">
        <v>46259</v>
      </c>
      <c r="G1430" s="1">
        <v>46259</v>
      </c>
      <c r="H1430" s="11"/>
      <c r="I1430" s="11" t="s">
        <v>4041</v>
      </c>
    </row>
    <row r="1431" spans="1:9" hidden="1" x14ac:dyDescent="0.25">
      <c r="A1431" s="1">
        <v>46260</v>
      </c>
      <c r="B1431">
        <v>50927877</v>
      </c>
      <c r="C1431" t="s">
        <v>4242</v>
      </c>
      <c r="D1431" s="11" t="s">
        <v>176</v>
      </c>
      <c r="E1431" s="11" t="s">
        <v>4040</v>
      </c>
      <c r="F1431" s="1">
        <v>46259</v>
      </c>
      <c r="G1431" s="1">
        <v>46259</v>
      </c>
      <c r="H1431" s="11"/>
      <c r="I1431" s="11" t="s">
        <v>4041</v>
      </c>
    </row>
    <row r="1432" spans="1:9" hidden="1" x14ac:dyDescent="0.25">
      <c r="A1432" s="1">
        <v>46260</v>
      </c>
      <c r="B1432">
        <v>1095832090</v>
      </c>
      <c r="C1432" t="s">
        <v>4243</v>
      </c>
      <c r="D1432" s="11" t="s">
        <v>55</v>
      </c>
      <c r="E1432" s="11" t="s">
        <v>4047</v>
      </c>
      <c r="G1432" s="1">
        <v>46259</v>
      </c>
      <c r="H1432" s="11"/>
      <c r="I1432" s="11" t="s">
        <v>4041</v>
      </c>
    </row>
    <row r="1433" spans="1:9" hidden="1" x14ac:dyDescent="0.25">
      <c r="A1433" s="1">
        <v>46260</v>
      </c>
      <c r="B1433">
        <v>1067864151</v>
      </c>
      <c r="C1433" t="s">
        <v>1809</v>
      </c>
      <c r="D1433" s="11" t="s">
        <v>256</v>
      </c>
      <c r="E1433" s="11" t="s">
        <v>4040</v>
      </c>
      <c r="F1433" s="1">
        <v>46258</v>
      </c>
      <c r="G1433" s="1">
        <v>46260</v>
      </c>
      <c r="H1433" s="11"/>
      <c r="I1433" s="11" t="s">
        <v>327</v>
      </c>
    </row>
    <row r="1434" spans="1:9" hidden="1" x14ac:dyDescent="0.25">
      <c r="A1434" s="1">
        <v>46260</v>
      </c>
      <c r="B1434">
        <v>1037645530</v>
      </c>
      <c r="C1434" t="s">
        <v>1736</v>
      </c>
      <c r="D1434" s="11" t="s">
        <v>78</v>
      </c>
      <c r="E1434" s="11" t="s">
        <v>4046</v>
      </c>
      <c r="F1434" s="1">
        <v>46259</v>
      </c>
      <c r="G1434" s="1">
        <v>46259</v>
      </c>
      <c r="H1434" s="11"/>
      <c r="I1434" s="11" t="s">
        <v>4041</v>
      </c>
    </row>
    <row r="1435" spans="1:9" hidden="1" x14ac:dyDescent="0.25">
      <c r="A1435" s="1">
        <v>46260</v>
      </c>
      <c r="B1435">
        <v>1235539927</v>
      </c>
      <c r="C1435" t="s">
        <v>2591</v>
      </c>
      <c r="D1435" s="11" t="s">
        <v>132</v>
      </c>
      <c r="E1435" s="11" t="s">
        <v>4040</v>
      </c>
      <c r="F1435" s="1">
        <v>46258</v>
      </c>
      <c r="G1435" s="1">
        <v>46260</v>
      </c>
      <c r="H1435" s="11"/>
      <c r="I1435" s="11" t="s">
        <v>327</v>
      </c>
    </row>
    <row r="1436" spans="1:9" hidden="1" x14ac:dyDescent="0.25">
      <c r="A1436" s="1">
        <v>46260</v>
      </c>
      <c r="B1436">
        <v>1143267842</v>
      </c>
      <c r="C1436" t="s">
        <v>1501</v>
      </c>
      <c r="D1436" s="11" t="s">
        <v>128</v>
      </c>
      <c r="E1436" s="11" t="s">
        <v>4045</v>
      </c>
      <c r="F1436" s="1">
        <v>46260</v>
      </c>
      <c r="G1436" s="1">
        <v>46262</v>
      </c>
      <c r="H1436" s="11"/>
      <c r="I1436" s="11" t="s">
        <v>327</v>
      </c>
    </row>
    <row r="1437" spans="1:9" hidden="1" x14ac:dyDescent="0.25">
      <c r="A1437" s="1">
        <v>46260</v>
      </c>
      <c r="B1437">
        <v>1037653415</v>
      </c>
      <c r="C1437" t="s">
        <v>2337</v>
      </c>
      <c r="D1437" s="11" t="s">
        <v>102</v>
      </c>
      <c r="E1437" s="11" t="s">
        <v>4046</v>
      </c>
      <c r="F1437" s="1">
        <v>46258</v>
      </c>
      <c r="G1437" s="1">
        <v>46259</v>
      </c>
      <c r="H1437" s="11"/>
      <c r="I1437" s="11" t="s">
        <v>4041</v>
      </c>
    </row>
    <row r="1438" spans="1:9" hidden="1" x14ac:dyDescent="0.25">
      <c r="A1438" s="1">
        <v>46260</v>
      </c>
      <c r="B1438">
        <v>1003305205</v>
      </c>
      <c r="C1438" t="s">
        <v>1398</v>
      </c>
      <c r="D1438" s="11" t="s">
        <v>162</v>
      </c>
      <c r="E1438" s="11" t="s">
        <v>4056</v>
      </c>
      <c r="F1438" s="1">
        <v>46258</v>
      </c>
      <c r="G1438" s="1">
        <v>46260</v>
      </c>
      <c r="H1438" s="11"/>
      <c r="I1438" s="11" t="s">
        <v>4041</v>
      </c>
    </row>
    <row r="1439" spans="1:9" hidden="1" x14ac:dyDescent="0.25">
      <c r="A1439" s="1">
        <v>46260</v>
      </c>
      <c r="B1439">
        <v>1001003778</v>
      </c>
      <c r="C1439" t="s">
        <v>1959</v>
      </c>
      <c r="D1439" s="11" t="s">
        <v>492</v>
      </c>
      <c r="E1439" s="11" t="s">
        <v>4045</v>
      </c>
      <c r="F1439" s="1">
        <v>46258</v>
      </c>
      <c r="G1439" s="1">
        <v>46259</v>
      </c>
      <c r="H1439" s="11"/>
      <c r="I1439" s="11" t="s">
        <v>4041</v>
      </c>
    </row>
    <row r="1440" spans="1:9" hidden="1" x14ac:dyDescent="0.25">
      <c r="A1440" s="1">
        <v>46260</v>
      </c>
      <c r="B1440">
        <v>1152709914</v>
      </c>
      <c r="C1440" t="s">
        <v>3437</v>
      </c>
      <c r="D1440" s="11" t="s">
        <v>139</v>
      </c>
      <c r="E1440" s="11" t="s">
        <v>4040</v>
      </c>
      <c r="F1440" s="1">
        <v>46258</v>
      </c>
      <c r="G1440" s="1">
        <v>46259</v>
      </c>
      <c r="H1440" s="11"/>
      <c r="I1440" s="11" t="s">
        <v>4041</v>
      </c>
    </row>
    <row r="1441" spans="1:9" hidden="1" x14ac:dyDescent="0.25">
      <c r="A1441" s="1">
        <v>46260</v>
      </c>
      <c r="B1441">
        <v>1152434926</v>
      </c>
      <c r="C1441" t="s">
        <v>217</v>
      </c>
      <c r="D1441" s="11" t="s">
        <v>59</v>
      </c>
      <c r="E1441" s="11" t="s">
        <v>4047</v>
      </c>
      <c r="F1441" s="1">
        <v>46258</v>
      </c>
      <c r="G1441" s="1">
        <v>46263</v>
      </c>
      <c r="H1441" s="11"/>
      <c r="I1441" s="11" t="s">
        <v>327</v>
      </c>
    </row>
    <row r="1442" spans="1:9" hidden="1" x14ac:dyDescent="0.25">
      <c r="A1442" s="1">
        <v>46260</v>
      </c>
      <c r="B1442">
        <v>1099551759</v>
      </c>
      <c r="C1442" t="s">
        <v>4244</v>
      </c>
      <c r="D1442" s="11" t="s">
        <v>64</v>
      </c>
      <c r="E1442" s="11" t="s">
        <v>4046</v>
      </c>
      <c r="F1442" s="1">
        <v>46258</v>
      </c>
      <c r="G1442" s="1">
        <v>46258</v>
      </c>
      <c r="H1442" s="11"/>
      <c r="I1442" s="11" t="s">
        <v>4041</v>
      </c>
    </row>
    <row r="1443" spans="1:9" hidden="1" x14ac:dyDescent="0.25">
      <c r="A1443" s="1">
        <v>46260</v>
      </c>
      <c r="B1443">
        <v>1034296571</v>
      </c>
      <c r="C1443" t="s">
        <v>4229</v>
      </c>
      <c r="D1443" s="11" t="s">
        <v>128</v>
      </c>
      <c r="E1443" s="11" t="s">
        <v>4045</v>
      </c>
      <c r="F1443" s="1">
        <v>46258</v>
      </c>
      <c r="G1443" s="1">
        <v>46260</v>
      </c>
      <c r="H1443" s="11"/>
      <c r="I1443" s="11" t="s">
        <v>327</v>
      </c>
    </row>
    <row r="1444" spans="1:9" hidden="1" x14ac:dyDescent="0.25">
      <c r="A1444" s="1">
        <v>46260</v>
      </c>
      <c r="B1444">
        <v>1143880690</v>
      </c>
      <c r="C1444" t="s">
        <v>4238</v>
      </c>
      <c r="D1444" s="11" t="s">
        <v>4078</v>
      </c>
      <c r="E1444" s="11" t="s">
        <v>4045</v>
      </c>
      <c r="F1444" s="1">
        <v>46258</v>
      </c>
      <c r="H1444" s="11" t="s">
        <v>306</v>
      </c>
      <c r="I1444" s="11" t="s">
        <v>307</v>
      </c>
    </row>
    <row r="1445" spans="1:9" hidden="1" x14ac:dyDescent="0.25">
      <c r="A1445" s="1">
        <v>46260</v>
      </c>
      <c r="B1445">
        <v>1007959114</v>
      </c>
      <c r="C1445" t="s">
        <v>4154</v>
      </c>
      <c r="D1445" s="11" t="s">
        <v>39</v>
      </c>
      <c r="E1445" s="11" t="s">
        <v>4046</v>
      </c>
      <c r="F1445" s="1">
        <v>46258</v>
      </c>
      <c r="G1445" s="1">
        <v>46260</v>
      </c>
      <c r="H1445" s="11"/>
      <c r="I1445" s="11" t="s">
        <v>327</v>
      </c>
    </row>
    <row r="1446" spans="1:9" hidden="1" x14ac:dyDescent="0.25">
      <c r="A1446" s="1">
        <v>46260</v>
      </c>
      <c r="B1446">
        <v>1152471758</v>
      </c>
      <c r="C1446" t="s">
        <v>3840</v>
      </c>
      <c r="D1446" s="11" t="s">
        <v>245</v>
      </c>
      <c r="E1446" s="11" t="s">
        <v>4040</v>
      </c>
      <c r="F1446" s="1">
        <v>46258</v>
      </c>
      <c r="G1446" s="1">
        <v>46259</v>
      </c>
      <c r="H1446" s="11"/>
      <c r="I1446" s="11" t="s">
        <v>4041</v>
      </c>
    </row>
    <row r="1447" spans="1:9" hidden="1" x14ac:dyDescent="0.25">
      <c r="A1447" s="1">
        <v>46260</v>
      </c>
      <c r="B1447">
        <v>1067859397</v>
      </c>
      <c r="C1447" t="s">
        <v>1628</v>
      </c>
      <c r="D1447" s="11" t="s">
        <v>421</v>
      </c>
      <c r="E1447" s="11" t="s">
        <v>4047</v>
      </c>
      <c r="F1447" s="1">
        <v>46258</v>
      </c>
      <c r="G1447" s="1">
        <v>46258</v>
      </c>
      <c r="H1447" s="11"/>
      <c r="I1447" s="11" t="s">
        <v>4041</v>
      </c>
    </row>
    <row r="1448" spans="1:9" hidden="1" x14ac:dyDescent="0.25">
      <c r="A1448" s="1">
        <v>46260</v>
      </c>
      <c r="B1448">
        <v>1000098388</v>
      </c>
      <c r="C1448" t="s">
        <v>4231</v>
      </c>
      <c r="D1448" s="11" t="s">
        <v>28</v>
      </c>
      <c r="E1448" s="11" t="s">
        <v>4046</v>
      </c>
      <c r="F1448" s="1">
        <v>46258</v>
      </c>
      <c r="G1448" s="1">
        <v>46260</v>
      </c>
      <c r="H1448" s="11"/>
      <c r="I1448" s="11" t="s">
        <v>327</v>
      </c>
    </row>
    <row r="1449" spans="1:9" hidden="1" x14ac:dyDescent="0.25">
      <c r="A1449" s="1">
        <v>46260</v>
      </c>
      <c r="B1449">
        <v>1037644923</v>
      </c>
      <c r="C1449" t="s">
        <v>4218</v>
      </c>
      <c r="D1449" s="11" t="s">
        <v>492</v>
      </c>
      <c r="E1449" s="11" t="s">
        <v>4045</v>
      </c>
      <c r="F1449" s="1">
        <v>46258</v>
      </c>
      <c r="G1449" s="1">
        <v>46260</v>
      </c>
      <c r="H1449" s="11"/>
      <c r="I1449" s="11" t="s">
        <v>327</v>
      </c>
    </row>
    <row r="1450" spans="1:9" hidden="1" x14ac:dyDescent="0.25">
      <c r="A1450" s="1">
        <v>46260</v>
      </c>
      <c r="B1450">
        <v>1096223065</v>
      </c>
      <c r="C1450" t="s">
        <v>3428</v>
      </c>
      <c r="D1450" s="11" t="s">
        <v>59</v>
      </c>
      <c r="E1450" s="11" t="s">
        <v>4047</v>
      </c>
      <c r="F1450" s="1">
        <v>46253</v>
      </c>
      <c r="G1450" s="1">
        <v>46265</v>
      </c>
      <c r="H1450" s="11" t="s">
        <v>85</v>
      </c>
      <c r="I1450" s="11" t="s">
        <v>86</v>
      </c>
    </row>
    <row r="1451" spans="1:9" hidden="1" x14ac:dyDescent="0.25">
      <c r="A1451" s="1">
        <v>46260</v>
      </c>
      <c r="B1451">
        <v>1017236556</v>
      </c>
      <c r="C1451" t="s">
        <v>4245</v>
      </c>
      <c r="D1451" s="11" t="s">
        <v>51</v>
      </c>
      <c r="E1451" s="11" t="s">
        <v>4047</v>
      </c>
      <c r="F1451" s="1">
        <v>46260</v>
      </c>
      <c r="G1451" s="1">
        <v>46260</v>
      </c>
      <c r="H1451" s="11" t="s">
        <v>1427</v>
      </c>
      <c r="I1451" s="11" t="s">
        <v>1428</v>
      </c>
    </row>
    <row r="1452" spans="1:9" hidden="1" x14ac:dyDescent="0.25">
      <c r="A1452" s="1">
        <v>46260</v>
      </c>
      <c r="B1452">
        <v>1036670630</v>
      </c>
      <c r="C1452" t="s">
        <v>4146</v>
      </c>
      <c r="D1452" s="11" t="s">
        <v>51</v>
      </c>
      <c r="E1452" s="11" t="s">
        <v>4047</v>
      </c>
      <c r="F1452" s="1">
        <v>46259</v>
      </c>
      <c r="G1452" s="1">
        <v>46259</v>
      </c>
      <c r="H1452" s="11"/>
      <c r="I1452" s="11" t="s">
        <v>4041</v>
      </c>
    </row>
    <row r="1453" spans="1:9" hidden="1" x14ac:dyDescent="0.25">
      <c r="A1453" s="1">
        <v>46260</v>
      </c>
      <c r="B1453">
        <v>1007334260</v>
      </c>
      <c r="C1453" t="s">
        <v>4207</v>
      </c>
      <c r="D1453" s="11" t="s">
        <v>344</v>
      </c>
      <c r="E1453" s="11" t="s">
        <v>4056</v>
      </c>
      <c r="F1453" s="1">
        <v>46255</v>
      </c>
      <c r="G1453" s="1">
        <v>46259</v>
      </c>
      <c r="H1453" s="11"/>
      <c r="I1453" s="11" t="s">
        <v>4041</v>
      </c>
    </row>
    <row r="1454" spans="1:9" hidden="1" x14ac:dyDescent="0.25">
      <c r="A1454" s="1">
        <v>46260</v>
      </c>
      <c r="B1454">
        <v>1043006106</v>
      </c>
      <c r="C1454" t="s">
        <v>63</v>
      </c>
      <c r="D1454" s="11" t="s">
        <v>64</v>
      </c>
      <c r="E1454" s="11" t="s">
        <v>4046</v>
      </c>
      <c r="F1454" s="1">
        <v>46249</v>
      </c>
      <c r="G1454" s="1">
        <v>46278</v>
      </c>
      <c r="H1454" s="11" t="s">
        <v>199</v>
      </c>
      <c r="I1454" s="11" t="s">
        <v>200</v>
      </c>
    </row>
    <row r="1455" spans="1:9" hidden="1" x14ac:dyDescent="0.25">
      <c r="A1455" s="1">
        <v>46260</v>
      </c>
      <c r="B1455">
        <v>1040755197</v>
      </c>
      <c r="C1455" t="s">
        <v>171</v>
      </c>
      <c r="D1455" s="11" t="s">
        <v>172</v>
      </c>
      <c r="E1455" s="11" t="s">
        <v>4046</v>
      </c>
      <c r="F1455" s="1">
        <v>46252</v>
      </c>
      <c r="G1455" s="1">
        <v>46262</v>
      </c>
      <c r="H1455" s="11" t="s">
        <v>236</v>
      </c>
      <c r="I1455" s="11" t="s">
        <v>237</v>
      </c>
    </row>
    <row r="1456" spans="1:9" hidden="1" x14ac:dyDescent="0.25">
      <c r="A1456" s="1">
        <v>46260</v>
      </c>
      <c r="B1456">
        <v>1102808787</v>
      </c>
      <c r="C1456" t="s">
        <v>135</v>
      </c>
      <c r="D1456" s="11" t="s">
        <v>39</v>
      </c>
      <c r="E1456" s="11" t="s">
        <v>4046</v>
      </c>
      <c r="F1456" s="1">
        <v>46245</v>
      </c>
      <c r="G1456" s="1">
        <v>46276</v>
      </c>
      <c r="H1456" s="11"/>
      <c r="I1456" s="11" t="s">
        <v>327</v>
      </c>
    </row>
    <row r="1457" spans="1:9" hidden="1" x14ac:dyDescent="0.25">
      <c r="A1457" s="1">
        <v>46260</v>
      </c>
      <c r="B1457">
        <v>1082896324</v>
      </c>
      <c r="C1457" t="s">
        <v>127</v>
      </c>
      <c r="D1457" s="11" t="s">
        <v>128</v>
      </c>
      <c r="E1457" s="11" t="s">
        <v>4045</v>
      </c>
      <c r="F1457" s="1">
        <v>46242</v>
      </c>
      <c r="G1457" s="1">
        <v>46272</v>
      </c>
      <c r="H1457" s="11"/>
      <c r="I1457" s="11" t="s">
        <v>327</v>
      </c>
    </row>
    <row r="1458" spans="1:9" hidden="1" x14ac:dyDescent="0.25">
      <c r="A1458" s="1">
        <v>46260</v>
      </c>
      <c r="B1458">
        <v>1152446353</v>
      </c>
      <c r="C1458" t="s">
        <v>205</v>
      </c>
      <c r="D1458" s="11" t="s">
        <v>51</v>
      </c>
      <c r="E1458" s="11" t="s">
        <v>4047</v>
      </c>
      <c r="F1458" s="1">
        <v>46236</v>
      </c>
      <c r="G1458" s="1">
        <v>46262</v>
      </c>
      <c r="H1458" s="11" t="s">
        <v>251</v>
      </c>
      <c r="I1458" s="11" t="s">
        <v>252</v>
      </c>
    </row>
    <row r="1459" spans="1:9" hidden="1" x14ac:dyDescent="0.25">
      <c r="A1459" s="1">
        <v>46260</v>
      </c>
      <c r="B1459">
        <v>1015483595</v>
      </c>
      <c r="C1459" t="s">
        <v>221</v>
      </c>
      <c r="D1459" s="11" t="s">
        <v>15</v>
      </c>
      <c r="E1459" s="11" t="s">
        <v>4046</v>
      </c>
      <c r="F1459" s="1">
        <v>46244</v>
      </c>
      <c r="G1459" s="1">
        <v>46265</v>
      </c>
      <c r="H1459" s="11" t="s">
        <v>103</v>
      </c>
      <c r="I1459" s="11" t="s">
        <v>104</v>
      </c>
    </row>
    <row r="1460" spans="1:9" hidden="1" x14ac:dyDescent="0.25">
      <c r="A1460" s="1">
        <v>46260</v>
      </c>
      <c r="B1460">
        <v>1001851670</v>
      </c>
      <c r="C1460" t="s">
        <v>50</v>
      </c>
      <c r="D1460" s="11" t="s">
        <v>51</v>
      </c>
      <c r="E1460" s="11" t="s">
        <v>4047</v>
      </c>
      <c r="F1460" s="1">
        <v>46241</v>
      </c>
      <c r="G1460" s="1">
        <v>46366</v>
      </c>
      <c r="H1460" s="11" t="s">
        <v>261</v>
      </c>
      <c r="I1460" s="11" t="s">
        <v>262</v>
      </c>
    </row>
    <row r="1461" spans="1:9" hidden="1" x14ac:dyDescent="0.25">
      <c r="A1461" s="1">
        <v>46260</v>
      </c>
      <c r="B1461">
        <v>1000415206</v>
      </c>
      <c r="C1461" t="s">
        <v>325</v>
      </c>
      <c r="D1461" s="11" t="s">
        <v>82</v>
      </c>
      <c r="E1461" s="11" t="s">
        <v>4045</v>
      </c>
      <c r="F1461" s="1">
        <v>46258</v>
      </c>
      <c r="G1461" s="1">
        <v>46262</v>
      </c>
      <c r="H1461" s="11" t="s">
        <v>303</v>
      </c>
      <c r="I1461" s="11" t="s">
        <v>304</v>
      </c>
    </row>
    <row r="1462" spans="1:9" hidden="1" x14ac:dyDescent="0.25">
      <c r="A1462" s="1">
        <v>46260</v>
      </c>
      <c r="B1462">
        <v>42141273</v>
      </c>
      <c r="C1462" t="s">
        <v>271</v>
      </c>
      <c r="D1462" s="11" t="s">
        <v>272</v>
      </c>
      <c r="E1462" s="11" t="s">
        <v>4056</v>
      </c>
      <c r="F1462" s="1">
        <v>46238</v>
      </c>
      <c r="G1462" s="1">
        <v>46295</v>
      </c>
      <c r="H1462" s="11" t="s">
        <v>184</v>
      </c>
      <c r="I1462" s="11" t="s">
        <v>185</v>
      </c>
    </row>
    <row r="1463" spans="1:9" hidden="1" x14ac:dyDescent="0.25">
      <c r="A1463" s="1">
        <v>46260</v>
      </c>
      <c r="B1463">
        <v>1152221372</v>
      </c>
      <c r="C1463" t="s">
        <v>4072</v>
      </c>
      <c r="D1463" s="11" t="s">
        <v>139</v>
      </c>
      <c r="E1463" s="11" t="s">
        <v>4040</v>
      </c>
      <c r="F1463" s="1">
        <v>46230</v>
      </c>
      <c r="G1463" s="1">
        <v>46230</v>
      </c>
      <c r="H1463" s="11"/>
      <c r="I1463" s="11" t="s">
        <v>327</v>
      </c>
    </row>
    <row r="1464" spans="1:9" hidden="1" x14ac:dyDescent="0.25">
      <c r="A1464" s="1">
        <v>46260</v>
      </c>
      <c r="B1464">
        <v>1017264032</v>
      </c>
      <c r="C1464" t="s">
        <v>88</v>
      </c>
      <c r="D1464" s="11" t="s">
        <v>55</v>
      </c>
      <c r="E1464" s="11" t="s">
        <v>4047</v>
      </c>
      <c r="F1464" s="1">
        <v>46229</v>
      </c>
      <c r="G1464" s="1">
        <v>46258</v>
      </c>
      <c r="H1464" s="11"/>
      <c r="I1464" s="11" t="s">
        <v>4041</v>
      </c>
    </row>
    <row r="1465" spans="1:9" hidden="1" x14ac:dyDescent="0.25">
      <c r="A1465" s="1">
        <v>46260</v>
      </c>
      <c r="B1465">
        <v>1000294973</v>
      </c>
      <c r="C1465" t="s">
        <v>1266</v>
      </c>
      <c r="D1465" s="11" t="s">
        <v>15</v>
      </c>
      <c r="E1465" s="11" t="s">
        <v>4046</v>
      </c>
      <c r="F1465" s="1">
        <v>46260</v>
      </c>
      <c r="G1465" s="1">
        <v>46262</v>
      </c>
      <c r="H1465" s="11" t="s">
        <v>17</v>
      </c>
      <c r="I1465" s="11" t="s">
        <v>18</v>
      </c>
    </row>
    <row r="1466" spans="1:9" hidden="1" x14ac:dyDescent="0.25">
      <c r="A1466" s="1">
        <v>46260</v>
      </c>
      <c r="B1466">
        <v>1143460426</v>
      </c>
      <c r="C1466" t="s">
        <v>4069</v>
      </c>
      <c r="D1466" s="11" t="s">
        <v>64</v>
      </c>
      <c r="E1466" s="11" t="s">
        <v>4046</v>
      </c>
      <c r="F1466" s="1">
        <v>46195</v>
      </c>
      <c r="G1466" s="1">
        <v>46198</v>
      </c>
      <c r="H1466" s="11"/>
      <c r="I1466" s="11" t="s">
        <v>327</v>
      </c>
    </row>
    <row r="1467" spans="1:9" hidden="1" x14ac:dyDescent="0.25">
      <c r="A1467" s="1">
        <v>46260</v>
      </c>
      <c r="B1467">
        <v>1096223065</v>
      </c>
      <c r="C1467" t="s">
        <v>3428</v>
      </c>
      <c r="D1467" s="11" t="s">
        <v>55</v>
      </c>
      <c r="E1467" s="11" t="s">
        <v>4047</v>
      </c>
      <c r="F1467" s="1">
        <v>46256</v>
      </c>
      <c r="G1467" s="1">
        <v>46263</v>
      </c>
      <c r="H1467" s="11"/>
      <c r="I1467" s="11" t="s">
        <v>327</v>
      </c>
    </row>
    <row r="1468" spans="1:9" hidden="1" x14ac:dyDescent="0.25">
      <c r="A1468" s="1">
        <v>46260</v>
      </c>
      <c r="B1468">
        <v>1045718883</v>
      </c>
      <c r="C1468" t="s">
        <v>34</v>
      </c>
      <c r="D1468" s="11" t="s">
        <v>15</v>
      </c>
      <c r="E1468" s="11" t="s">
        <v>4046</v>
      </c>
      <c r="F1468" s="1">
        <v>46244</v>
      </c>
      <c r="G1468" s="1">
        <v>46393</v>
      </c>
      <c r="H1468" s="11" t="s">
        <v>318</v>
      </c>
      <c r="I1468" s="11" t="s">
        <v>319</v>
      </c>
    </row>
    <row r="1469" spans="1:9" hidden="1" x14ac:dyDescent="0.25">
      <c r="A1469" s="1">
        <v>46260</v>
      </c>
      <c r="B1469">
        <v>1000944725</v>
      </c>
      <c r="C1469" t="s">
        <v>3007</v>
      </c>
      <c r="D1469" s="11" t="s">
        <v>78</v>
      </c>
      <c r="E1469" s="11" t="s">
        <v>4046</v>
      </c>
      <c r="F1469" s="1">
        <v>46258</v>
      </c>
      <c r="G1469" s="1">
        <v>46267</v>
      </c>
      <c r="H1469" s="11" t="s">
        <v>240</v>
      </c>
      <c r="I1469" s="11" t="s">
        <v>241</v>
      </c>
    </row>
    <row r="1470" spans="1:9" hidden="1" x14ac:dyDescent="0.25">
      <c r="A1470" s="1">
        <v>46260</v>
      </c>
      <c r="B1470">
        <v>1037638426</v>
      </c>
      <c r="C1470" t="s">
        <v>31</v>
      </c>
      <c r="D1470" s="11" t="s">
        <v>28</v>
      </c>
      <c r="E1470" s="11" t="s">
        <v>4046</v>
      </c>
      <c r="F1470" s="1">
        <v>46249</v>
      </c>
      <c r="G1470" s="1">
        <v>46264</v>
      </c>
      <c r="H1470" s="11" t="s">
        <v>300</v>
      </c>
      <c r="I1470" s="11" t="s">
        <v>301</v>
      </c>
    </row>
    <row r="1471" spans="1:9" hidden="1" x14ac:dyDescent="0.25">
      <c r="A1471" s="1">
        <v>46260</v>
      </c>
      <c r="B1471">
        <v>1037631989</v>
      </c>
      <c r="C1471" t="s">
        <v>27</v>
      </c>
      <c r="D1471" s="11" t="s">
        <v>28</v>
      </c>
      <c r="E1471" s="11" t="s">
        <v>4046</v>
      </c>
      <c r="F1471" s="1">
        <v>46256</v>
      </c>
      <c r="G1471" s="1">
        <v>46285</v>
      </c>
      <c r="H1471" s="11"/>
      <c r="I1471" s="11" t="s">
        <v>327</v>
      </c>
    </row>
    <row r="1472" spans="1:9" hidden="1" x14ac:dyDescent="0.25">
      <c r="A1472" s="1">
        <v>46260</v>
      </c>
      <c r="B1472">
        <v>1017254059</v>
      </c>
      <c r="C1472" t="s">
        <v>2878</v>
      </c>
      <c r="D1472" s="11" t="s">
        <v>132</v>
      </c>
      <c r="E1472" s="11" t="s">
        <v>4040</v>
      </c>
      <c r="F1472" s="1">
        <v>46259</v>
      </c>
      <c r="G1472" s="1">
        <v>46260</v>
      </c>
      <c r="H1472" s="11" t="s">
        <v>119</v>
      </c>
      <c r="I1472" s="11" t="s">
        <v>120</v>
      </c>
    </row>
    <row r="1473" spans="1:9" hidden="1" x14ac:dyDescent="0.25">
      <c r="A1473" s="1">
        <v>46260</v>
      </c>
      <c r="B1473">
        <v>1116283658</v>
      </c>
      <c r="C1473" t="s">
        <v>283</v>
      </c>
      <c r="D1473" s="11" t="s">
        <v>256</v>
      </c>
      <c r="E1473" s="11" t="s">
        <v>4040</v>
      </c>
      <c r="F1473" s="1">
        <v>46258</v>
      </c>
      <c r="G1473" s="1">
        <v>46265</v>
      </c>
      <c r="H1473" s="11" t="s">
        <v>181</v>
      </c>
      <c r="I1473" s="11" t="s">
        <v>182</v>
      </c>
    </row>
    <row r="1474" spans="1:9" hidden="1" x14ac:dyDescent="0.25">
      <c r="A1474" s="1">
        <v>46260</v>
      </c>
      <c r="B1474">
        <v>1010135017</v>
      </c>
      <c r="C1474" t="s">
        <v>1311</v>
      </c>
      <c r="D1474" s="11" t="s">
        <v>256</v>
      </c>
      <c r="E1474" s="11" t="s">
        <v>4040</v>
      </c>
      <c r="F1474" s="1">
        <v>46259</v>
      </c>
      <c r="G1474" s="1">
        <v>46261</v>
      </c>
      <c r="H1474" s="11"/>
      <c r="I1474" s="11" t="s">
        <v>327</v>
      </c>
    </row>
    <row r="1475" spans="1:9" hidden="1" x14ac:dyDescent="0.25">
      <c r="A1475" s="1">
        <v>46260</v>
      </c>
      <c r="B1475">
        <v>1002059980</v>
      </c>
      <c r="C1475" t="s">
        <v>1392</v>
      </c>
      <c r="D1475" s="11" t="s">
        <v>132</v>
      </c>
      <c r="E1475" s="11" t="s">
        <v>4040</v>
      </c>
      <c r="F1475" s="1">
        <v>46258</v>
      </c>
      <c r="G1475" s="1">
        <v>46259</v>
      </c>
      <c r="H1475" s="11"/>
      <c r="I1475" s="11" t="s">
        <v>4041</v>
      </c>
    </row>
    <row r="1476" spans="1:9" hidden="1" x14ac:dyDescent="0.25">
      <c r="A1476" s="1">
        <v>46260</v>
      </c>
      <c r="B1476">
        <v>43453341</v>
      </c>
      <c r="C1476" t="s">
        <v>146</v>
      </c>
      <c r="D1476" s="11" t="s">
        <v>124</v>
      </c>
      <c r="E1476" s="11" t="s">
        <v>4045</v>
      </c>
      <c r="F1476" s="1">
        <v>46254</v>
      </c>
      <c r="G1476" s="1">
        <v>46268</v>
      </c>
      <c r="H1476" s="11"/>
      <c r="I1476" s="11" t="s">
        <v>327</v>
      </c>
    </row>
    <row r="1477" spans="1:9" hidden="1" x14ac:dyDescent="0.25">
      <c r="A1477" s="1">
        <v>46260</v>
      </c>
      <c r="B1477">
        <v>1035876080</v>
      </c>
      <c r="C1477" t="s">
        <v>123</v>
      </c>
      <c r="D1477" s="11" t="s">
        <v>124</v>
      </c>
      <c r="E1477" s="11" t="s">
        <v>4045</v>
      </c>
      <c r="F1477" s="1">
        <v>46254</v>
      </c>
      <c r="H1477" s="11" t="s">
        <v>196</v>
      </c>
      <c r="I1477" s="11" t="s">
        <v>197</v>
      </c>
    </row>
    <row r="1478" spans="1:9" hidden="1" x14ac:dyDescent="0.25">
      <c r="A1478" s="1">
        <v>46260</v>
      </c>
      <c r="B1478">
        <v>1003045926</v>
      </c>
      <c r="C1478" t="s">
        <v>2063</v>
      </c>
      <c r="D1478" s="11" t="s">
        <v>124</v>
      </c>
      <c r="E1478" s="11" t="s">
        <v>4045</v>
      </c>
      <c r="F1478" s="1">
        <v>46258</v>
      </c>
      <c r="G1478" s="1">
        <v>46262</v>
      </c>
      <c r="H1478" s="11"/>
      <c r="I1478" s="11" t="s">
        <v>327</v>
      </c>
    </row>
    <row r="1479" spans="1:9" hidden="1" x14ac:dyDescent="0.25">
      <c r="A1479" s="1">
        <v>46260</v>
      </c>
      <c r="B1479">
        <v>1017255988</v>
      </c>
      <c r="C1479" t="s">
        <v>2923</v>
      </c>
      <c r="D1479" s="11" t="s">
        <v>124</v>
      </c>
      <c r="E1479" s="11" t="s">
        <v>4045</v>
      </c>
      <c r="F1479" s="1">
        <v>46258</v>
      </c>
      <c r="G1479" s="1">
        <v>46258</v>
      </c>
      <c r="H1479" s="11"/>
      <c r="I1479" s="11" t="s">
        <v>4041</v>
      </c>
    </row>
    <row r="1480" spans="1:9" hidden="1" x14ac:dyDescent="0.25">
      <c r="A1480" s="1">
        <v>46260</v>
      </c>
      <c r="B1480">
        <v>1143375080</v>
      </c>
      <c r="C1480" t="s">
        <v>157</v>
      </c>
      <c r="D1480" s="11" t="s">
        <v>44</v>
      </c>
      <c r="E1480" s="11" t="s">
        <v>4045</v>
      </c>
      <c r="F1480" s="1">
        <v>46258</v>
      </c>
      <c r="G1480" s="1">
        <v>46287</v>
      </c>
      <c r="H1480" s="11" t="s">
        <v>167</v>
      </c>
      <c r="I1480" s="11" t="s">
        <v>168</v>
      </c>
    </row>
    <row r="1481" spans="1:9" hidden="1" x14ac:dyDescent="0.25">
      <c r="A1481" s="1">
        <v>46260</v>
      </c>
      <c r="B1481">
        <v>1143373273</v>
      </c>
      <c r="C1481" t="s">
        <v>2037</v>
      </c>
      <c r="D1481" s="11" t="s">
        <v>272</v>
      </c>
      <c r="E1481" s="11" t="s">
        <v>4056</v>
      </c>
      <c r="F1481" s="1">
        <v>46259</v>
      </c>
      <c r="G1481" s="1">
        <v>46266</v>
      </c>
      <c r="H1481" s="11" t="s">
        <v>285</v>
      </c>
      <c r="I1481" s="11" t="s">
        <v>286</v>
      </c>
    </row>
    <row r="1482" spans="1:9" hidden="1" x14ac:dyDescent="0.25">
      <c r="A1482" s="1">
        <v>46260</v>
      </c>
      <c r="B1482">
        <v>1143406315</v>
      </c>
      <c r="C1482" t="s">
        <v>735</v>
      </c>
      <c r="D1482" s="11" t="s">
        <v>272</v>
      </c>
      <c r="E1482" s="11" t="s">
        <v>4056</v>
      </c>
      <c r="F1482" s="1">
        <v>46259</v>
      </c>
      <c r="G1482" s="1">
        <v>46260</v>
      </c>
      <c r="H1482" s="11" t="s">
        <v>560</v>
      </c>
      <c r="I1482" s="11" t="s">
        <v>561</v>
      </c>
    </row>
    <row r="1483" spans="1:9" hidden="1" x14ac:dyDescent="0.25">
      <c r="A1483" s="1">
        <v>46260</v>
      </c>
      <c r="B1483">
        <v>1000439437</v>
      </c>
      <c r="C1483" t="s">
        <v>451</v>
      </c>
      <c r="D1483" s="11" t="s">
        <v>139</v>
      </c>
      <c r="E1483" s="11" t="s">
        <v>4040</v>
      </c>
      <c r="F1483" s="1">
        <v>46259</v>
      </c>
      <c r="G1483" s="1">
        <v>46260</v>
      </c>
      <c r="H1483" s="11" t="s">
        <v>294</v>
      </c>
      <c r="I1483" s="11" t="s">
        <v>295</v>
      </c>
    </row>
    <row r="1484" spans="1:9" hidden="1" x14ac:dyDescent="0.25">
      <c r="A1484" s="1">
        <v>46260</v>
      </c>
      <c r="B1484">
        <v>1038408808</v>
      </c>
      <c r="C1484" t="s">
        <v>483</v>
      </c>
      <c r="D1484" s="11" t="s">
        <v>482</v>
      </c>
      <c r="E1484" s="11" t="s">
        <v>4040</v>
      </c>
      <c r="F1484" s="1">
        <v>46259</v>
      </c>
      <c r="G1484" s="1">
        <v>46262</v>
      </c>
      <c r="H1484" s="11"/>
      <c r="I1484" s="11" t="s">
        <v>327</v>
      </c>
    </row>
    <row r="1485" spans="1:9" hidden="1" x14ac:dyDescent="0.25">
      <c r="A1485" s="1">
        <v>46260</v>
      </c>
      <c r="B1485">
        <v>1083048590</v>
      </c>
      <c r="C1485" t="s">
        <v>2487</v>
      </c>
      <c r="D1485" s="11" t="s">
        <v>28</v>
      </c>
      <c r="E1485" s="11" t="s">
        <v>4046</v>
      </c>
      <c r="F1485" s="1">
        <v>46259</v>
      </c>
      <c r="G1485" s="1">
        <v>46260</v>
      </c>
      <c r="H1485" s="11" t="s">
        <v>150</v>
      </c>
      <c r="I1485" s="11" t="s">
        <v>151</v>
      </c>
    </row>
    <row r="1486" spans="1:9" hidden="1" x14ac:dyDescent="0.25">
      <c r="A1486" s="1">
        <v>46260</v>
      </c>
      <c r="B1486">
        <v>1000416383</v>
      </c>
      <c r="C1486" t="s">
        <v>1245</v>
      </c>
      <c r="D1486" s="11" t="s">
        <v>172</v>
      </c>
      <c r="E1486" s="11" t="s">
        <v>4046</v>
      </c>
      <c r="F1486" s="1">
        <v>46260</v>
      </c>
      <c r="G1486" s="1">
        <v>46260</v>
      </c>
      <c r="H1486" s="11" t="s">
        <v>231</v>
      </c>
      <c r="I1486" s="11" t="s">
        <v>232</v>
      </c>
    </row>
    <row r="1487" spans="1:9" hidden="1" x14ac:dyDescent="0.25">
      <c r="A1487" s="1">
        <v>46260</v>
      </c>
      <c r="B1487">
        <v>1020476544</v>
      </c>
      <c r="C1487" t="s">
        <v>473</v>
      </c>
      <c r="D1487" s="11" t="s">
        <v>256</v>
      </c>
      <c r="E1487" s="11" t="s">
        <v>4040</v>
      </c>
      <c r="F1487" s="1">
        <v>46259</v>
      </c>
      <c r="G1487" s="1">
        <v>46259</v>
      </c>
      <c r="H1487" s="11"/>
      <c r="I1487" s="11" t="s">
        <v>4060</v>
      </c>
    </row>
    <row r="1488" spans="1:9" hidden="1" x14ac:dyDescent="0.25">
      <c r="A1488" s="1">
        <v>46260</v>
      </c>
      <c r="B1488">
        <v>1017238267</v>
      </c>
      <c r="C1488" t="s">
        <v>2537</v>
      </c>
      <c r="D1488" s="11" t="s">
        <v>55</v>
      </c>
      <c r="E1488" s="11" t="s">
        <v>4047</v>
      </c>
      <c r="F1488" s="1">
        <v>46259</v>
      </c>
      <c r="G1488" s="1">
        <v>46261</v>
      </c>
      <c r="H1488" s="11"/>
      <c r="I1488" s="11" t="s">
        <v>327</v>
      </c>
    </row>
    <row r="1489" spans="1:9" hidden="1" x14ac:dyDescent="0.25">
      <c r="A1489" s="1">
        <v>46260</v>
      </c>
      <c r="B1489">
        <v>1017264032</v>
      </c>
      <c r="C1489" t="s">
        <v>88</v>
      </c>
      <c r="D1489" s="11" t="s">
        <v>55</v>
      </c>
      <c r="E1489" s="11" t="s">
        <v>4047</v>
      </c>
      <c r="F1489" s="1">
        <v>46259</v>
      </c>
      <c r="G1489" s="1">
        <v>46265</v>
      </c>
      <c r="H1489" s="11"/>
      <c r="I1489" s="11" t="s">
        <v>327</v>
      </c>
    </row>
    <row r="1490" spans="1:9" hidden="1" x14ac:dyDescent="0.25">
      <c r="A1490" s="1">
        <v>46260</v>
      </c>
      <c r="B1490">
        <v>1116283658</v>
      </c>
      <c r="C1490" t="s">
        <v>283</v>
      </c>
      <c r="D1490" s="11" t="s">
        <v>4078</v>
      </c>
      <c r="E1490" s="11" t="s">
        <v>4040</v>
      </c>
      <c r="F1490" s="1">
        <v>46260</v>
      </c>
      <c r="G1490" s="1">
        <v>46260</v>
      </c>
      <c r="H1490" s="11" t="s">
        <v>282</v>
      </c>
      <c r="I1490" s="11" t="s">
        <v>283</v>
      </c>
    </row>
    <row r="1491" spans="1:9" hidden="1" x14ac:dyDescent="0.25">
      <c r="A1491" s="1">
        <v>46260</v>
      </c>
      <c r="B1491">
        <v>1037662189</v>
      </c>
      <c r="C1491" t="s">
        <v>3657</v>
      </c>
      <c r="D1491" s="11" t="s">
        <v>68</v>
      </c>
      <c r="E1491" s="11" t="s">
        <v>4040</v>
      </c>
      <c r="F1491" s="1">
        <v>46260</v>
      </c>
      <c r="G1491" s="1">
        <v>46260</v>
      </c>
      <c r="H1491" s="11" t="s">
        <v>213</v>
      </c>
      <c r="I1491" s="11" t="s">
        <v>214</v>
      </c>
    </row>
    <row r="1492" spans="1:9" hidden="1" x14ac:dyDescent="0.25">
      <c r="A1492" s="1">
        <v>46260</v>
      </c>
      <c r="B1492">
        <v>1015483595</v>
      </c>
      <c r="C1492" t="s">
        <v>23</v>
      </c>
      <c r="D1492" s="11" t="s">
        <v>421</v>
      </c>
      <c r="E1492" s="11" t="s">
        <v>4047</v>
      </c>
      <c r="F1492" s="1">
        <v>46260</v>
      </c>
      <c r="G1492" s="1">
        <v>46260</v>
      </c>
      <c r="H1492" s="11"/>
      <c r="I1492" s="11" t="s">
        <v>327</v>
      </c>
    </row>
    <row r="1493" spans="1:9" hidden="1" x14ac:dyDescent="0.25">
      <c r="A1493" s="1">
        <v>46260</v>
      </c>
      <c r="B1493">
        <v>1037630071</v>
      </c>
      <c r="C1493" t="s">
        <v>4196</v>
      </c>
      <c r="D1493" s="11" t="s">
        <v>176</v>
      </c>
      <c r="E1493" s="11" t="s">
        <v>4040</v>
      </c>
      <c r="F1493" s="1">
        <v>46247</v>
      </c>
      <c r="G1493" s="1">
        <v>46265</v>
      </c>
      <c r="H1493" s="11" t="s">
        <v>45</v>
      </c>
      <c r="I1493" s="11" t="s">
        <v>46</v>
      </c>
    </row>
    <row r="1494" spans="1:9" hidden="1" x14ac:dyDescent="0.25">
      <c r="A1494" s="1">
        <v>46260</v>
      </c>
      <c r="B1494">
        <v>1047475415</v>
      </c>
      <c r="C1494" t="s">
        <v>582</v>
      </c>
      <c r="D1494" s="11" t="s">
        <v>15</v>
      </c>
      <c r="E1494" s="11" t="s">
        <v>4046</v>
      </c>
      <c r="F1494" s="1">
        <v>46260</v>
      </c>
      <c r="G1494" s="1">
        <v>46260</v>
      </c>
      <c r="H1494" s="11"/>
      <c r="I1494" s="11" t="s">
        <v>327</v>
      </c>
    </row>
    <row r="1495" spans="1:9" hidden="1" x14ac:dyDescent="0.25">
      <c r="A1495" s="1">
        <v>46260</v>
      </c>
      <c r="B1495">
        <v>1037660327</v>
      </c>
      <c r="C1495" t="s">
        <v>486</v>
      </c>
      <c r="D1495" s="11" t="s">
        <v>68</v>
      </c>
      <c r="E1495" s="11" t="s">
        <v>4040</v>
      </c>
      <c r="F1495" s="1">
        <v>46260</v>
      </c>
      <c r="G1495" s="1">
        <v>46260</v>
      </c>
      <c r="H1495" s="11"/>
      <c r="I1495" s="11" t="s">
        <v>4060</v>
      </c>
    </row>
    <row r="1496" spans="1:9" hidden="1" x14ac:dyDescent="0.25">
      <c r="A1496" s="1">
        <v>46260</v>
      </c>
      <c r="B1496">
        <v>1010149319</v>
      </c>
      <c r="C1496" t="s">
        <v>3177</v>
      </c>
      <c r="D1496" s="11" t="s">
        <v>59</v>
      </c>
      <c r="E1496" s="11" t="s">
        <v>4047</v>
      </c>
      <c r="F1496" s="1">
        <v>46260</v>
      </c>
      <c r="G1496" s="1">
        <v>46260</v>
      </c>
      <c r="H1496" s="11"/>
      <c r="I1496" s="11" t="s">
        <v>4309</v>
      </c>
    </row>
    <row r="1497" spans="1:9" hidden="1" x14ac:dyDescent="0.25">
      <c r="A1497" s="1">
        <v>46260</v>
      </c>
      <c r="B1497">
        <v>1103099277</v>
      </c>
      <c r="C1497" t="s">
        <v>2594</v>
      </c>
      <c r="D1497" s="11" t="s">
        <v>78</v>
      </c>
      <c r="E1497" s="11" t="s">
        <v>4046</v>
      </c>
      <c r="F1497" s="1">
        <v>46260</v>
      </c>
      <c r="G1497" s="1">
        <v>46262</v>
      </c>
      <c r="H1497" s="11"/>
      <c r="I1497" s="11" t="s">
        <v>327</v>
      </c>
    </row>
    <row r="1498" spans="1:9" hidden="1" x14ac:dyDescent="0.25">
      <c r="A1498" s="1">
        <v>46260</v>
      </c>
      <c r="B1498">
        <v>1107046318</v>
      </c>
      <c r="C1498" t="s">
        <v>268</v>
      </c>
      <c r="D1498" s="11" t="s">
        <v>4078</v>
      </c>
      <c r="E1498" s="11" t="s">
        <v>4056</v>
      </c>
      <c r="F1498" s="1">
        <v>46260</v>
      </c>
      <c r="G1498" s="1">
        <v>46260</v>
      </c>
      <c r="H1498" s="11"/>
      <c r="I1498" s="11" t="s">
        <v>339</v>
      </c>
    </row>
    <row r="1499" spans="1:9" hidden="1" x14ac:dyDescent="0.25">
      <c r="A1499" s="1">
        <v>46261</v>
      </c>
      <c r="B1499">
        <v>1010149319</v>
      </c>
      <c r="C1499" t="s">
        <v>3177</v>
      </c>
      <c r="D1499" s="11" t="s">
        <v>59</v>
      </c>
      <c r="E1499" s="11" t="s">
        <v>4047</v>
      </c>
      <c r="F1499" s="1">
        <v>46259</v>
      </c>
      <c r="G1499" s="1">
        <v>46259</v>
      </c>
      <c r="H1499" s="11"/>
      <c r="I1499" s="11" t="s">
        <v>4041</v>
      </c>
    </row>
    <row r="1500" spans="1:9" hidden="1" x14ac:dyDescent="0.25">
      <c r="A1500" s="1">
        <v>46261</v>
      </c>
      <c r="B1500">
        <v>1037660327</v>
      </c>
      <c r="C1500" t="s">
        <v>4302</v>
      </c>
      <c r="D1500" s="11" t="s">
        <v>68</v>
      </c>
      <c r="E1500" s="11" t="s">
        <v>4040</v>
      </c>
      <c r="F1500" s="1">
        <v>46260</v>
      </c>
      <c r="G1500" s="1">
        <v>46260</v>
      </c>
      <c r="H1500" s="11"/>
      <c r="I1500" s="11" t="s">
        <v>327</v>
      </c>
    </row>
    <row r="1501" spans="1:9" hidden="1" x14ac:dyDescent="0.25">
      <c r="A1501" s="1">
        <v>46261</v>
      </c>
      <c r="B1501">
        <v>1047475415</v>
      </c>
      <c r="C1501" t="s">
        <v>582</v>
      </c>
      <c r="D1501" s="11" t="s">
        <v>15</v>
      </c>
      <c r="E1501" s="11" t="s">
        <v>4046</v>
      </c>
      <c r="F1501" s="1">
        <v>46260</v>
      </c>
      <c r="G1501" s="1">
        <v>46260</v>
      </c>
      <c r="H1501" s="11"/>
      <c r="I1501" s="11" t="s">
        <v>4041</v>
      </c>
    </row>
    <row r="1502" spans="1:9" hidden="1" x14ac:dyDescent="0.25">
      <c r="A1502" s="1">
        <v>46261</v>
      </c>
      <c r="B1502">
        <v>1015483595</v>
      </c>
      <c r="C1502" t="s">
        <v>221</v>
      </c>
      <c r="D1502" s="11" t="s">
        <v>15</v>
      </c>
      <c r="E1502" s="11" t="s">
        <v>4046</v>
      </c>
      <c r="F1502" s="1">
        <v>46244</v>
      </c>
      <c r="G1502" s="1">
        <v>46265</v>
      </c>
      <c r="H1502" s="11" t="s">
        <v>103</v>
      </c>
      <c r="I1502" s="11" t="s">
        <v>104</v>
      </c>
    </row>
    <row r="1503" spans="1:9" hidden="1" x14ac:dyDescent="0.25">
      <c r="A1503" s="1">
        <v>46261</v>
      </c>
      <c r="B1503">
        <v>1143406315</v>
      </c>
      <c r="C1503" t="s">
        <v>735</v>
      </c>
      <c r="D1503" s="11" t="s">
        <v>272</v>
      </c>
      <c r="E1503" s="11" t="s">
        <v>4056</v>
      </c>
      <c r="F1503" s="1">
        <v>46259</v>
      </c>
      <c r="G1503" s="1">
        <v>46260</v>
      </c>
      <c r="H1503" s="11"/>
      <c r="I1503" s="11" t="s">
        <v>4041</v>
      </c>
    </row>
    <row r="1504" spans="1:9" hidden="1" x14ac:dyDescent="0.25">
      <c r="A1504" s="1">
        <v>46261</v>
      </c>
      <c r="B1504">
        <v>1010135017</v>
      </c>
      <c r="C1504" t="s">
        <v>1311</v>
      </c>
      <c r="D1504" s="11" t="s">
        <v>256</v>
      </c>
      <c r="E1504" s="11" t="s">
        <v>4040</v>
      </c>
      <c r="F1504" s="1">
        <v>46259</v>
      </c>
      <c r="G1504" s="1">
        <v>46261</v>
      </c>
      <c r="H1504" s="11"/>
      <c r="I1504" s="11" t="s">
        <v>327</v>
      </c>
    </row>
    <row r="1505" spans="1:9" hidden="1" x14ac:dyDescent="0.25">
      <c r="A1505" s="1">
        <v>46261</v>
      </c>
      <c r="B1505">
        <v>1017238267</v>
      </c>
      <c r="C1505" t="s">
        <v>2537</v>
      </c>
      <c r="D1505" s="11" t="s">
        <v>55</v>
      </c>
      <c r="E1505" s="11" t="s">
        <v>4047</v>
      </c>
      <c r="F1505" s="1">
        <v>46259</v>
      </c>
      <c r="G1505" s="1">
        <v>46261</v>
      </c>
      <c r="H1505" s="11" t="s">
        <v>199</v>
      </c>
      <c r="I1505" s="11" t="s">
        <v>200</v>
      </c>
    </row>
    <row r="1506" spans="1:9" hidden="1" x14ac:dyDescent="0.25">
      <c r="A1506" s="1">
        <v>46261</v>
      </c>
      <c r="B1506">
        <v>1000439437</v>
      </c>
      <c r="C1506" t="s">
        <v>451</v>
      </c>
      <c r="D1506" s="11" t="s">
        <v>139</v>
      </c>
      <c r="E1506" s="11" t="s">
        <v>4040</v>
      </c>
      <c r="F1506" s="1">
        <v>46259</v>
      </c>
      <c r="G1506" s="1">
        <v>46260</v>
      </c>
      <c r="H1506" s="11"/>
      <c r="I1506" s="11" t="s">
        <v>4041</v>
      </c>
    </row>
    <row r="1507" spans="1:9" hidden="1" x14ac:dyDescent="0.25">
      <c r="A1507" s="1">
        <v>46261</v>
      </c>
      <c r="B1507">
        <v>1003045926</v>
      </c>
      <c r="C1507" t="s">
        <v>2063</v>
      </c>
      <c r="D1507" s="11" t="s">
        <v>124</v>
      </c>
      <c r="E1507" s="11" t="s">
        <v>4045</v>
      </c>
      <c r="F1507" s="1">
        <v>46258</v>
      </c>
      <c r="G1507" s="1">
        <v>46262</v>
      </c>
      <c r="H1507" s="11"/>
      <c r="I1507" s="11" t="s">
        <v>327</v>
      </c>
    </row>
    <row r="1508" spans="1:9" hidden="1" x14ac:dyDescent="0.25">
      <c r="A1508" s="1">
        <v>46261</v>
      </c>
      <c r="B1508">
        <v>1083048590</v>
      </c>
      <c r="C1508" t="s">
        <v>4303</v>
      </c>
      <c r="D1508" s="11" t="s">
        <v>28</v>
      </c>
      <c r="E1508" s="11" t="s">
        <v>4046</v>
      </c>
      <c r="F1508" s="1">
        <v>46259</v>
      </c>
      <c r="G1508" s="1">
        <v>46260</v>
      </c>
      <c r="H1508" s="11"/>
      <c r="I1508" s="11" t="s">
        <v>4041</v>
      </c>
    </row>
    <row r="1509" spans="1:9" hidden="1" x14ac:dyDescent="0.25">
      <c r="A1509" s="1">
        <v>46261</v>
      </c>
      <c r="B1509">
        <v>1143375080</v>
      </c>
      <c r="C1509" t="s">
        <v>157</v>
      </c>
      <c r="D1509" s="11" t="s">
        <v>44</v>
      </c>
      <c r="E1509" s="11" t="s">
        <v>4045</v>
      </c>
      <c r="F1509" s="1">
        <v>46258</v>
      </c>
      <c r="G1509" s="1">
        <v>46287</v>
      </c>
      <c r="H1509" s="11" t="s">
        <v>240</v>
      </c>
      <c r="I1509" s="11" t="s">
        <v>241</v>
      </c>
    </row>
    <row r="1510" spans="1:9" hidden="1" x14ac:dyDescent="0.25">
      <c r="A1510" s="1">
        <v>46261</v>
      </c>
      <c r="B1510">
        <v>1037631989</v>
      </c>
      <c r="C1510" t="s">
        <v>27</v>
      </c>
      <c r="D1510" s="11" t="s">
        <v>28</v>
      </c>
      <c r="E1510" s="11" t="s">
        <v>4046</v>
      </c>
      <c r="F1510" s="1">
        <v>46256</v>
      </c>
      <c r="G1510" s="1">
        <v>46285</v>
      </c>
      <c r="H1510" s="11"/>
      <c r="I1510" s="11" t="s">
        <v>327</v>
      </c>
    </row>
    <row r="1511" spans="1:9" hidden="1" x14ac:dyDescent="0.25">
      <c r="A1511" s="1">
        <v>46261</v>
      </c>
      <c r="B1511">
        <v>1001996913</v>
      </c>
      <c r="C1511" t="s">
        <v>3174</v>
      </c>
      <c r="D1511" s="11" t="s">
        <v>28</v>
      </c>
      <c r="E1511" s="11" t="s">
        <v>4046</v>
      </c>
      <c r="F1511" s="1">
        <v>46259</v>
      </c>
      <c r="G1511" s="1">
        <v>46259</v>
      </c>
      <c r="H1511" s="11"/>
      <c r="I1511" s="11" t="s">
        <v>4041</v>
      </c>
    </row>
    <row r="1512" spans="1:9" hidden="1" x14ac:dyDescent="0.25">
      <c r="A1512" s="1">
        <v>46261</v>
      </c>
      <c r="B1512">
        <v>1032488873</v>
      </c>
      <c r="C1512" t="s">
        <v>4240</v>
      </c>
      <c r="D1512" s="11" t="s">
        <v>55</v>
      </c>
      <c r="E1512" s="11" t="s">
        <v>4047</v>
      </c>
      <c r="F1512" s="1">
        <v>46259</v>
      </c>
      <c r="G1512" s="1">
        <v>46263</v>
      </c>
      <c r="H1512" s="11"/>
      <c r="I1512" s="11" t="s">
        <v>327</v>
      </c>
    </row>
    <row r="1513" spans="1:9" hidden="1" x14ac:dyDescent="0.25">
      <c r="A1513" s="1">
        <v>46261</v>
      </c>
      <c r="B1513">
        <v>1067864151</v>
      </c>
      <c r="C1513" t="s">
        <v>1809</v>
      </c>
      <c r="D1513" s="11" t="s">
        <v>256</v>
      </c>
      <c r="E1513" s="11" t="s">
        <v>4040</v>
      </c>
      <c r="F1513" s="1">
        <v>46258</v>
      </c>
      <c r="G1513" s="1">
        <v>46260</v>
      </c>
      <c r="H1513" s="11"/>
      <c r="I1513" s="11" t="s">
        <v>4041</v>
      </c>
    </row>
    <row r="1514" spans="1:9" hidden="1" x14ac:dyDescent="0.25">
      <c r="A1514" s="1">
        <v>46261</v>
      </c>
      <c r="B1514">
        <v>1017264032</v>
      </c>
      <c r="C1514" t="s">
        <v>88</v>
      </c>
      <c r="D1514" s="11" t="s">
        <v>55</v>
      </c>
      <c r="E1514" s="11" t="s">
        <v>4047</v>
      </c>
      <c r="F1514" s="1">
        <v>46259</v>
      </c>
      <c r="G1514" s="1">
        <v>46265</v>
      </c>
      <c r="H1514" s="11" t="s">
        <v>213</v>
      </c>
      <c r="I1514" s="11" t="s">
        <v>214</v>
      </c>
    </row>
    <row r="1515" spans="1:9" hidden="1" x14ac:dyDescent="0.25">
      <c r="A1515" s="1">
        <v>46261</v>
      </c>
      <c r="B1515">
        <v>1235539927</v>
      </c>
      <c r="C1515" t="s">
        <v>2591</v>
      </c>
      <c r="D1515" s="11" t="s">
        <v>132</v>
      </c>
      <c r="E1515" s="11" t="s">
        <v>4040</v>
      </c>
      <c r="F1515" s="1">
        <v>46258</v>
      </c>
      <c r="G1515" s="1">
        <v>46260</v>
      </c>
      <c r="H1515" s="11"/>
      <c r="I1515" s="11" t="s">
        <v>4041</v>
      </c>
    </row>
    <row r="1516" spans="1:9" hidden="1" x14ac:dyDescent="0.25">
      <c r="A1516" s="1">
        <v>46261</v>
      </c>
      <c r="B1516">
        <v>1143267842</v>
      </c>
      <c r="C1516" t="s">
        <v>1501</v>
      </c>
      <c r="D1516" s="11" t="s">
        <v>128</v>
      </c>
      <c r="E1516" s="11" t="s">
        <v>4045</v>
      </c>
      <c r="F1516" s="1">
        <v>46260</v>
      </c>
      <c r="G1516" s="1">
        <v>46262</v>
      </c>
      <c r="H1516" s="11" t="s">
        <v>119</v>
      </c>
      <c r="I1516" s="11" t="s">
        <v>120</v>
      </c>
    </row>
    <row r="1517" spans="1:9" hidden="1" x14ac:dyDescent="0.25">
      <c r="A1517" s="1">
        <v>46261</v>
      </c>
      <c r="B1517">
        <v>1000294973</v>
      </c>
      <c r="C1517" t="s">
        <v>1266</v>
      </c>
      <c r="D1517" s="11" t="s">
        <v>15</v>
      </c>
      <c r="E1517" s="11" t="s">
        <v>4046</v>
      </c>
      <c r="F1517" s="1">
        <v>46260</v>
      </c>
      <c r="G1517" s="1">
        <v>46262</v>
      </c>
      <c r="H1517" s="11" t="s">
        <v>300</v>
      </c>
      <c r="I1517" s="11" t="s">
        <v>301</v>
      </c>
    </row>
    <row r="1518" spans="1:9" hidden="1" x14ac:dyDescent="0.25">
      <c r="A1518" s="1">
        <v>46261</v>
      </c>
      <c r="B1518">
        <v>1152434926</v>
      </c>
      <c r="C1518" t="s">
        <v>217</v>
      </c>
      <c r="D1518" s="11" t="s">
        <v>59</v>
      </c>
      <c r="E1518" s="11" t="s">
        <v>4047</v>
      </c>
      <c r="F1518" s="1">
        <v>46258</v>
      </c>
      <c r="G1518" s="1">
        <v>46263</v>
      </c>
      <c r="H1518" s="11"/>
      <c r="I1518" s="11" t="s">
        <v>327</v>
      </c>
    </row>
    <row r="1519" spans="1:9" hidden="1" x14ac:dyDescent="0.25">
      <c r="A1519" s="1">
        <v>46261</v>
      </c>
      <c r="B1519">
        <v>1034296571</v>
      </c>
      <c r="C1519" t="s">
        <v>4229</v>
      </c>
      <c r="D1519" s="11" t="s">
        <v>128</v>
      </c>
      <c r="E1519" s="11" t="s">
        <v>4045</v>
      </c>
      <c r="F1519" s="1">
        <v>46258</v>
      </c>
      <c r="G1519" s="1">
        <v>46260</v>
      </c>
      <c r="H1519" s="11"/>
      <c r="I1519" s="11" t="s">
        <v>4041</v>
      </c>
    </row>
    <row r="1520" spans="1:9" hidden="1" x14ac:dyDescent="0.25">
      <c r="A1520" s="1">
        <v>46261</v>
      </c>
      <c r="B1520">
        <v>1007959114</v>
      </c>
      <c r="C1520" t="s">
        <v>4154</v>
      </c>
      <c r="D1520" s="11" t="s">
        <v>39</v>
      </c>
      <c r="E1520" s="11" t="s">
        <v>4046</v>
      </c>
      <c r="F1520" s="1">
        <v>46258</v>
      </c>
      <c r="G1520" s="1">
        <v>46260</v>
      </c>
      <c r="H1520" s="11"/>
      <c r="I1520" s="11" t="s">
        <v>4041</v>
      </c>
    </row>
    <row r="1521" spans="1:9" hidden="1" x14ac:dyDescent="0.25">
      <c r="A1521" s="1">
        <v>46261</v>
      </c>
      <c r="B1521">
        <v>1000098388</v>
      </c>
      <c r="C1521" t="s">
        <v>4231</v>
      </c>
      <c r="D1521" s="11" t="s">
        <v>28</v>
      </c>
      <c r="E1521" s="11" t="s">
        <v>4046</v>
      </c>
      <c r="F1521" s="1">
        <v>46258</v>
      </c>
      <c r="G1521" s="1">
        <v>46260</v>
      </c>
      <c r="H1521" s="11"/>
      <c r="I1521" s="11" t="s">
        <v>4041</v>
      </c>
    </row>
    <row r="1522" spans="1:9" hidden="1" x14ac:dyDescent="0.25">
      <c r="A1522" s="1">
        <v>46261</v>
      </c>
      <c r="B1522">
        <v>1037644923</v>
      </c>
      <c r="C1522" t="s">
        <v>4218</v>
      </c>
      <c r="D1522" s="11" t="s">
        <v>492</v>
      </c>
      <c r="E1522" s="11" t="s">
        <v>4045</v>
      </c>
      <c r="F1522" s="1">
        <v>46258</v>
      </c>
      <c r="G1522" s="1">
        <v>46260</v>
      </c>
      <c r="H1522" s="11"/>
      <c r="I1522" s="11" t="s">
        <v>4041</v>
      </c>
    </row>
    <row r="1523" spans="1:9" hidden="1" x14ac:dyDescent="0.25">
      <c r="A1523" s="1">
        <v>46261</v>
      </c>
      <c r="B1523">
        <v>71317684</v>
      </c>
      <c r="C1523" t="s">
        <v>4304</v>
      </c>
      <c r="D1523" s="11" t="s">
        <v>44</v>
      </c>
      <c r="E1523" s="11" t="s">
        <v>4045</v>
      </c>
      <c r="F1523" s="1">
        <v>46261</v>
      </c>
      <c r="G1523" s="1">
        <v>46261</v>
      </c>
      <c r="H1523" s="11"/>
      <c r="I1523" s="11" t="s">
        <v>327</v>
      </c>
    </row>
    <row r="1524" spans="1:9" hidden="1" x14ac:dyDescent="0.25">
      <c r="A1524" s="1">
        <v>46261</v>
      </c>
      <c r="B1524">
        <v>1096223065</v>
      </c>
      <c r="C1524" t="s">
        <v>3428</v>
      </c>
      <c r="D1524" s="11" t="s">
        <v>59</v>
      </c>
      <c r="E1524" s="11" t="s">
        <v>4047</v>
      </c>
      <c r="F1524" s="1">
        <v>46253</v>
      </c>
      <c r="G1524" s="1">
        <v>46265</v>
      </c>
      <c r="H1524" s="11" t="s">
        <v>196</v>
      </c>
      <c r="I1524" s="11" t="s">
        <v>197</v>
      </c>
    </row>
    <row r="1525" spans="1:9" hidden="1" x14ac:dyDescent="0.25">
      <c r="A1525" s="1">
        <v>46261</v>
      </c>
      <c r="B1525">
        <v>1102878409</v>
      </c>
      <c r="C1525" t="s">
        <v>479</v>
      </c>
      <c r="D1525" s="11" t="s">
        <v>51</v>
      </c>
      <c r="E1525" s="11" t="s">
        <v>4047</v>
      </c>
      <c r="F1525" s="1">
        <v>46261</v>
      </c>
      <c r="G1525" s="1">
        <v>46261</v>
      </c>
      <c r="H1525" s="11" t="s">
        <v>85</v>
      </c>
      <c r="I1525" s="11" t="s">
        <v>86</v>
      </c>
    </row>
    <row r="1526" spans="1:9" hidden="1" x14ac:dyDescent="0.25">
      <c r="A1526" s="1">
        <v>46261</v>
      </c>
      <c r="B1526">
        <v>1043006106</v>
      </c>
      <c r="C1526" t="s">
        <v>63</v>
      </c>
      <c r="D1526" s="11" t="s">
        <v>64</v>
      </c>
      <c r="E1526" s="11" t="s">
        <v>4046</v>
      </c>
      <c r="F1526" s="1">
        <v>46249</v>
      </c>
      <c r="G1526" s="1">
        <v>46278</v>
      </c>
      <c r="H1526" s="11" t="s">
        <v>282</v>
      </c>
      <c r="I1526" s="11" t="s">
        <v>283</v>
      </c>
    </row>
    <row r="1527" spans="1:9" hidden="1" x14ac:dyDescent="0.25">
      <c r="A1527" s="1">
        <v>46261</v>
      </c>
      <c r="B1527">
        <v>1040755197</v>
      </c>
      <c r="C1527" t="s">
        <v>171</v>
      </c>
      <c r="D1527" s="11" t="s">
        <v>172</v>
      </c>
      <c r="E1527" s="11" t="s">
        <v>4046</v>
      </c>
      <c r="F1527" s="1">
        <v>46252</v>
      </c>
      <c r="G1527" s="1">
        <v>46262</v>
      </c>
      <c r="H1527" s="11" t="s">
        <v>236</v>
      </c>
      <c r="I1527" s="11" t="s">
        <v>237</v>
      </c>
    </row>
    <row r="1528" spans="1:9" hidden="1" x14ac:dyDescent="0.25">
      <c r="A1528" s="1">
        <v>46261</v>
      </c>
      <c r="B1528">
        <v>1102808787</v>
      </c>
      <c r="C1528" t="s">
        <v>135</v>
      </c>
      <c r="D1528" s="11" t="s">
        <v>39</v>
      </c>
      <c r="E1528" s="11" t="s">
        <v>4046</v>
      </c>
      <c r="F1528" s="1">
        <v>46245</v>
      </c>
      <c r="G1528" s="1">
        <v>46276</v>
      </c>
      <c r="H1528" s="11"/>
      <c r="I1528" s="11" t="s">
        <v>327</v>
      </c>
    </row>
    <row r="1529" spans="1:9" hidden="1" x14ac:dyDescent="0.25">
      <c r="A1529" s="1">
        <v>46261</v>
      </c>
      <c r="B1529">
        <v>1082896324</v>
      </c>
      <c r="C1529" t="s">
        <v>127</v>
      </c>
      <c r="D1529" s="11" t="s">
        <v>128</v>
      </c>
      <c r="E1529" s="11" t="s">
        <v>4045</v>
      </c>
      <c r="F1529" s="1">
        <v>46242</v>
      </c>
      <c r="G1529" s="1">
        <v>46272</v>
      </c>
      <c r="H1529" s="11"/>
      <c r="I1529" s="11" t="s">
        <v>327</v>
      </c>
    </row>
    <row r="1530" spans="1:9" hidden="1" x14ac:dyDescent="0.25">
      <c r="A1530" s="1">
        <v>46261</v>
      </c>
      <c r="B1530">
        <v>1152446353</v>
      </c>
      <c r="C1530" t="s">
        <v>205</v>
      </c>
      <c r="D1530" s="11" t="s">
        <v>51</v>
      </c>
      <c r="E1530" s="11" t="s">
        <v>4047</v>
      </c>
      <c r="F1530" s="1">
        <v>46236</v>
      </c>
      <c r="G1530" s="1">
        <v>46262</v>
      </c>
      <c r="H1530" s="11" t="s">
        <v>261</v>
      </c>
      <c r="I1530" s="11" t="s">
        <v>262</v>
      </c>
    </row>
    <row r="1531" spans="1:9" hidden="1" x14ac:dyDescent="0.25">
      <c r="A1531" s="1">
        <v>46261</v>
      </c>
      <c r="B1531">
        <v>1001851670</v>
      </c>
      <c r="C1531" t="s">
        <v>50</v>
      </c>
      <c r="D1531" s="11" t="s">
        <v>51</v>
      </c>
      <c r="E1531" s="11" t="s">
        <v>4047</v>
      </c>
      <c r="F1531" s="1">
        <v>46241</v>
      </c>
      <c r="G1531" s="1">
        <v>46366</v>
      </c>
      <c r="H1531" s="11"/>
      <c r="I1531" s="11" t="s">
        <v>327</v>
      </c>
    </row>
    <row r="1532" spans="1:9" hidden="1" x14ac:dyDescent="0.25">
      <c r="A1532" s="1">
        <v>46261</v>
      </c>
      <c r="B1532">
        <v>1000415206</v>
      </c>
      <c r="C1532" t="s">
        <v>325</v>
      </c>
      <c r="D1532" s="11" t="s">
        <v>82</v>
      </c>
      <c r="E1532" s="11" t="s">
        <v>4045</v>
      </c>
      <c r="F1532" s="1">
        <v>46258</v>
      </c>
      <c r="G1532" s="1">
        <v>46262</v>
      </c>
      <c r="H1532" s="11" t="s">
        <v>231</v>
      </c>
      <c r="I1532" s="11" t="s">
        <v>232</v>
      </c>
    </row>
    <row r="1533" spans="1:9" hidden="1" x14ac:dyDescent="0.25">
      <c r="A1533" s="1">
        <v>46261</v>
      </c>
      <c r="B1533">
        <v>42141273</v>
      </c>
      <c r="C1533" t="s">
        <v>271</v>
      </c>
      <c r="D1533" s="11" t="s">
        <v>272</v>
      </c>
      <c r="E1533" s="11" t="s">
        <v>4056</v>
      </c>
      <c r="F1533" s="1">
        <v>46238</v>
      </c>
      <c r="G1533" s="1">
        <v>46295</v>
      </c>
      <c r="H1533" s="11" t="s">
        <v>163</v>
      </c>
      <c r="I1533" s="11" t="s">
        <v>164</v>
      </c>
    </row>
    <row r="1534" spans="1:9" hidden="1" x14ac:dyDescent="0.25">
      <c r="A1534" s="1">
        <v>46261</v>
      </c>
      <c r="B1534">
        <v>1005424850</v>
      </c>
      <c r="C1534" t="s">
        <v>95</v>
      </c>
      <c r="D1534" s="11" t="s">
        <v>82</v>
      </c>
      <c r="E1534" s="11" t="s">
        <v>4045</v>
      </c>
      <c r="F1534" s="1">
        <v>46261</v>
      </c>
      <c r="G1534" s="1">
        <v>46262</v>
      </c>
      <c r="H1534" s="11" t="s">
        <v>303</v>
      </c>
      <c r="I1534" s="11" t="s">
        <v>304</v>
      </c>
    </row>
    <row r="1535" spans="1:9" hidden="1" x14ac:dyDescent="0.25">
      <c r="A1535" s="1">
        <v>46261</v>
      </c>
      <c r="B1535">
        <v>1152221372</v>
      </c>
      <c r="C1535" t="s">
        <v>4072</v>
      </c>
      <c r="D1535" s="11" t="s">
        <v>139</v>
      </c>
      <c r="E1535" s="11" t="s">
        <v>4040</v>
      </c>
      <c r="F1535" s="1">
        <v>46230</v>
      </c>
      <c r="G1535" s="1">
        <v>46230</v>
      </c>
      <c r="H1535" s="11"/>
      <c r="I1535" s="11" t="s">
        <v>327</v>
      </c>
    </row>
    <row r="1536" spans="1:9" hidden="1" x14ac:dyDescent="0.25">
      <c r="A1536" s="1">
        <v>46261</v>
      </c>
      <c r="B1536">
        <v>1037630071</v>
      </c>
      <c r="C1536" t="s">
        <v>4196</v>
      </c>
      <c r="D1536" s="11" t="s">
        <v>176</v>
      </c>
      <c r="E1536" s="11" t="s">
        <v>4040</v>
      </c>
      <c r="F1536" s="1">
        <v>46247</v>
      </c>
      <c r="G1536" s="1">
        <v>46265</v>
      </c>
      <c r="H1536" s="11" t="s">
        <v>251</v>
      </c>
      <c r="I1536" s="11" t="s">
        <v>252</v>
      </c>
    </row>
    <row r="1537" spans="1:9" hidden="1" x14ac:dyDescent="0.25">
      <c r="A1537" s="1">
        <v>46261</v>
      </c>
      <c r="B1537">
        <v>1143460426</v>
      </c>
      <c r="C1537" t="s">
        <v>4069</v>
      </c>
      <c r="D1537" s="11" t="s">
        <v>64</v>
      </c>
      <c r="E1537" s="11" t="s">
        <v>4046</v>
      </c>
      <c r="F1537" s="1">
        <v>46195</v>
      </c>
      <c r="G1537" s="1">
        <v>46198</v>
      </c>
      <c r="H1537" s="11"/>
      <c r="I1537" s="11" t="s">
        <v>327</v>
      </c>
    </row>
    <row r="1538" spans="1:9" hidden="1" x14ac:dyDescent="0.25">
      <c r="A1538" s="1">
        <v>46261</v>
      </c>
      <c r="B1538">
        <v>1017236556</v>
      </c>
      <c r="C1538" t="s">
        <v>4245</v>
      </c>
      <c r="D1538" s="11" t="s">
        <v>51</v>
      </c>
      <c r="E1538" s="11" t="s">
        <v>4047</v>
      </c>
      <c r="F1538" s="1">
        <v>46260</v>
      </c>
      <c r="G1538" s="1">
        <v>46260</v>
      </c>
      <c r="H1538" s="11"/>
      <c r="I1538" s="11" t="s">
        <v>4041</v>
      </c>
    </row>
    <row r="1539" spans="1:9" hidden="1" x14ac:dyDescent="0.25">
      <c r="A1539" s="1">
        <v>46261</v>
      </c>
      <c r="B1539">
        <v>1015483595</v>
      </c>
      <c r="C1539" t="s">
        <v>23</v>
      </c>
      <c r="D1539" s="11" t="s">
        <v>421</v>
      </c>
      <c r="E1539" s="11" t="s">
        <v>4047</v>
      </c>
      <c r="F1539" s="1">
        <v>46260</v>
      </c>
      <c r="G1539" s="1">
        <v>46260</v>
      </c>
      <c r="H1539" s="11"/>
      <c r="I1539" s="11" t="s">
        <v>4041</v>
      </c>
    </row>
    <row r="1540" spans="1:9" hidden="1" x14ac:dyDescent="0.25">
      <c r="A1540" s="1">
        <v>46261</v>
      </c>
      <c r="B1540">
        <v>1096223065</v>
      </c>
      <c r="C1540" t="s">
        <v>3428</v>
      </c>
      <c r="D1540" s="11" t="s">
        <v>55</v>
      </c>
      <c r="E1540" s="11" t="s">
        <v>4047</v>
      </c>
      <c r="F1540" s="1">
        <v>46256</v>
      </c>
      <c r="G1540" s="1">
        <v>46263</v>
      </c>
      <c r="H1540" s="11"/>
      <c r="I1540" s="11" t="s">
        <v>327</v>
      </c>
    </row>
    <row r="1541" spans="1:9" hidden="1" x14ac:dyDescent="0.25">
      <c r="A1541" s="1">
        <v>46261</v>
      </c>
      <c r="B1541">
        <v>1116283658</v>
      </c>
      <c r="C1541" t="s">
        <v>283</v>
      </c>
      <c r="D1541" s="11" t="s">
        <v>256</v>
      </c>
      <c r="E1541" s="11" t="s">
        <v>4040</v>
      </c>
      <c r="F1541" s="1">
        <v>46258</v>
      </c>
      <c r="G1541" s="1">
        <v>46265</v>
      </c>
      <c r="H1541" s="11" t="s">
        <v>294</v>
      </c>
      <c r="I1541" s="11" t="s">
        <v>295</v>
      </c>
    </row>
    <row r="1542" spans="1:9" hidden="1" x14ac:dyDescent="0.25">
      <c r="A1542" s="1">
        <v>46261</v>
      </c>
      <c r="B1542">
        <v>1020476544</v>
      </c>
      <c r="C1542" t="s">
        <v>473</v>
      </c>
      <c r="D1542" s="11" t="s">
        <v>256</v>
      </c>
      <c r="E1542" s="11" t="s">
        <v>4040</v>
      </c>
      <c r="F1542" s="1">
        <v>46259</v>
      </c>
      <c r="G1542" s="1">
        <v>46259</v>
      </c>
      <c r="H1542" s="11"/>
      <c r="I1542" s="11" t="s">
        <v>4041</v>
      </c>
    </row>
    <row r="1543" spans="1:9" hidden="1" x14ac:dyDescent="0.25">
      <c r="A1543" s="1">
        <v>46261</v>
      </c>
      <c r="B1543">
        <v>1017254059</v>
      </c>
      <c r="C1543" t="s">
        <v>2878</v>
      </c>
      <c r="D1543" s="11" t="s">
        <v>132</v>
      </c>
      <c r="E1543" s="11" t="s">
        <v>4040</v>
      </c>
      <c r="F1543" s="1">
        <v>46259</v>
      </c>
      <c r="G1543" s="1">
        <v>46260</v>
      </c>
      <c r="H1543" s="11"/>
      <c r="I1543" s="11" t="s">
        <v>4041</v>
      </c>
    </row>
    <row r="1544" spans="1:9" hidden="1" x14ac:dyDescent="0.25">
      <c r="A1544" s="1">
        <v>46261</v>
      </c>
      <c r="B1544">
        <v>1038408808</v>
      </c>
      <c r="C1544" t="s">
        <v>483</v>
      </c>
      <c r="D1544" s="11" t="s">
        <v>482</v>
      </c>
      <c r="E1544" s="11" t="s">
        <v>4040</v>
      </c>
      <c r="F1544" s="1">
        <v>46259</v>
      </c>
      <c r="G1544" s="1">
        <v>46262</v>
      </c>
      <c r="H1544" s="11"/>
      <c r="I1544" s="11" t="s">
        <v>327</v>
      </c>
    </row>
    <row r="1545" spans="1:9" hidden="1" x14ac:dyDescent="0.25">
      <c r="A1545" s="1">
        <v>46261</v>
      </c>
      <c r="B1545">
        <v>1037662189</v>
      </c>
      <c r="C1545" t="s">
        <v>3657</v>
      </c>
      <c r="D1545" s="11" t="s">
        <v>68</v>
      </c>
      <c r="E1545" s="11" t="s">
        <v>4040</v>
      </c>
      <c r="F1545" s="1">
        <v>46260</v>
      </c>
      <c r="G1545" s="1">
        <v>46260</v>
      </c>
      <c r="H1545" s="11" t="s">
        <v>181</v>
      </c>
      <c r="I1545" s="11" t="s">
        <v>182</v>
      </c>
    </row>
    <row r="1546" spans="1:9" hidden="1" x14ac:dyDescent="0.25">
      <c r="A1546" s="1">
        <v>46261</v>
      </c>
      <c r="B1546">
        <v>43453341</v>
      </c>
      <c r="C1546" t="s">
        <v>146</v>
      </c>
      <c r="D1546" s="11" t="s">
        <v>124</v>
      </c>
      <c r="E1546" s="11" t="s">
        <v>4045</v>
      </c>
      <c r="F1546" s="1">
        <v>46254</v>
      </c>
      <c r="G1546" s="1">
        <v>46268</v>
      </c>
      <c r="H1546" s="11" t="s">
        <v>150</v>
      </c>
      <c r="I1546" s="11" t="s">
        <v>151</v>
      </c>
    </row>
    <row r="1547" spans="1:9" hidden="1" x14ac:dyDescent="0.25">
      <c r="A1547" s="1">
        <v>46261</v>
      </c>
      <c r="B1547">
        <v>1035876080</v>
      </c>
      <c r="C1547" t="s">
        <v>123</v>
      </c>
      <c r="D1547" s="11" t="s">
        <v>124</v>
      </c>
      <c r="E1547" s="11" t="s">
        <v>4045</v>
      </c>
      <c r="F1547" s="1">
        <v>46254</v>
      </c>
      <c r="H1547" s="11" t="s">
        <v>73</v>
      </c>
      <c r="I1547" s="11" t="s">
        <v>74</v>
      </c>
    </row>
    <row r="1548" spans="1:9" hidden="1" x14ac:dyDescent="0.25">
      <c r="A1548" s="1">
        <v>46261</v>
      </c>
      <c r="B1548">
        <v>1001999023</v>
      </c>
      <c r="C1548" t="s">
        <v>149</v>
      </c>
      <c r="D1548" s="11" t="s">
        <v>492</v>
      </c>
      <c r="E1548" s="11" t="s">
        <v>4045</v>
      </c>
      <c r="F1548" s="1">
        <v>46260</v>
      </c>
      <c r="G1548" s="1">
        <v>46262</v>
      </c>
      <c r="H1548" s="11"/>
      <c r="I1548" s="11" t="s">
        <v>4041</v>
      </c>
    </row>
    <row r="1549" spans="1:9" hidden="1" x14ac:dyDescent="0.25">
      <c r="A1549" s="1">
        <v>46261</v>
      </c>
      <c r="B1549">
        <v>1143373273</v>
      </c>
      <c r="C1549" t="s">
        <v>2037</v>
      </c>
      <c r="D1549" s="11" t="s">
        <v>272</v>
      </c>
      <c r="E1549" s="11" t="s">
        <v>4056</v>
      </c>
      <c r="F1549" s="1">
        <v>46259</v>
      </c>
      <c r="G1549" s="1">
        <v>46266</v>
      </c>
      <c r="H1549" s="11" t="s">
        <v>3662</v>
      </c>
      <c r="I1549" s="11" t="s">
        <v>3663</v>
      </c>
    </row>
    <row r="1550" spans="1:9" hidden="1" x14ac:dyDescent="0.25">
      <c r="A1550" s="1">
        <v>46261</v>
      </c>
      <c r="B1550">
        <v>1045718883</v>
      </c>
      <c r="C1550" t="s">
        <v>34</v>
      </c>
      <c r="D1550" s="11" t="s">
        <v>15</v>
      </c>
      <c r="E1550" s="11" t="s">
        <v>4046</v>
      </c>
      <c r="F1550" s="1">
        <v>46244</v>
      </c>
      <c r="G1550" s="1">
        <v>46393</v>
      </c>
      <c r="H1550" s="11"/>
      <c r="I1550" s="11" t="s">
        <v>327</v>
      </c>
    </row>
    <row r="1551" spans="1:9" hidden="1" x14ac:dyDescent="0.25">
      <c r="A1551" s="1">
        <v>46261</v>
      </c>
      <c r="B1551">
        <v>1000944725</v>
      </c>
      <c r="C1551" t="s">
        <v>3007</v>
      </c>
      <c r="D1551" s="11" t="s">
        <v>78</v>
      </c>
      <c r="E1551" s="11" t="s">
        <v>4046</v>
      </c>
      <c r="F1551" s="1">
        <v>46258</v>
      </c>
      <c r="G1551" s="1">
        <v>46267</v>
      </c>
      <c r="H1551" s="11" t="s">
        <v>17</v>
      </c>
      <c r="I1551" s="11" t="s">
        <v>18</v>
      </c>
    </row>
    <row r="1552" spans="1:9" hidden="1" x14ac:dyDescent="0.25">
      <c r="A1552" s="1">
        <v>46261</v>
      </c>
      <c r="B1552">
        <v>1000416383</v>
      </c>
      <c r="C1552" t="s">
        <v>1245</v>
      </c>
      <c r="D1552" s="11" t="s">
        <v>172</v>
      </c>
      <c r="E1552" s="11" t="s">
        <v>4046</v>
      </c>
      <c r="F1552" s="1">
        <v>46260</v>
      </c>
      <c r="G1552" s="1">
        <v>46260</v>
      </c>
      <c r="H1552" s="11"/>
      <c r="I1552" s="11" t="s">
        <v>4041</v>
      </c>
    </row>
    <row r="1553" spans="1:9" hidden="1" x14ac:dyDescent="0.25">
      <c r="A1553" s="1">
        <v>46261</v>
      </c>
      <c r="B1553">
        <v>1003930736</v>
      </c>
      <c r="C1553" t="s">
        <v>2543</v>
      </c>
      <c r="D1553" s="11" t="s">
        <v>51</v>
      </c>
      <c r="E1553" s="11" t="s">
        <v>4047</v>
      </c>
      <c r="F1553" s="1">
        <v>46261</v>
      </c>
      <c r="G1553" s="1">
        <v>46262</v>
      </c>
      <c r="H1553" s="11"/>
      <c r="I1553" s="11" t="s">
        <v>4060</v>
      </c>
    </row>
    <row r="1554" spans="1:9" hidden="1" x14ac:dyDescent="0.25">
      <c r="A1554" s="1">
        <v>46261</v>
      </c>
      <c r="B1554">
        <v>1007959114</v>
      </c>
      <c r="C1554" t="s">
        <v>4154</v>
      </c>
      <c r="D1554" s="11" t="s">
        <v>39</v>
      </c>
      <c r="E1554" s="11" t="s">
        <v>4046</v>
      </c>
      <c r="F1554" s="1">
        <v>46261</v>
      </c>
      <c r="G1554" s="1">
        <v>46265</v>
      </c>
      <c r="H1554" s="11"/>
      <c r="I1554" s="11" t="s">
        <v>4060</v>
      </c>
    </row>
    <row r="1555" spans="1:9" hidden="1" x14ac:dyDescent="0.25">
      <c r="A1555" s="1">
        <v>46261</v>
      </c>
      <c r="B1555">
        <v>1192904075</v>
      </c>
      <c r="C1555" t="s">
        <v>3776</v>
      </c>
      <c r="D1555" s="11" t="s">
        <v>256</v>
      </c>
      <c r="E1555" s="11" t="s">
        <v>4040</v>
      </c>
      <c r="F1555" s="1">
        <v>46261</v>
      </c>
      <c r="G1555" s="1">
        <v>46261</v>
      </c>
      <c r="H1555" s="11" t="s">
        <v>167</v>
      </c>
      <c r="I1555" s="11" t="s">
        <v>168</v>
      </c>
    </row>
    <row r="1556" spans="1:9" hidden="1" x14ac:dyDescent="0.25">
      <c r="A1556" s="1">
        <v>46261</v>
      </c>
      <c r="B1556">
        <v>1010149319</v>
      </c>
      <c r="C1556" t="s">
        <v>3177</v>
      </c>
      <c r="D1556" s="11" t="s">
        <v>59</v>
      </c>
      <c r="E1556" s="11" t="s">
        <v>4047</v>
      </c>
      <c r="F1556" s="1">
        <v>46260</v>
      </c>
      <c r="G1556" s="1">
        <v>46260</v>
      </c>
      <c r="H1556" s="11"/>
      <c r="I1556" s="11" t="s">
        <v>4041</v>
      </c>
    </row>
    <row r="1557" spans="1:9" hidden="1" x14ac:dyDescent="0.25">
      <c r="A1557" s="1">
        <v>46261</v>
      </c>
      <c r="B1557">
        <v>1103099277</v>
      </c>
      <c r="C1557" t="s">
        <v>2594</v>
      </c>
      <c r="D1557" s="11" t="s">
        <v>78</v>
      </c>
      <c r="E1557" s="11" t="s">
        <v>4046</v>
      </c>
      <c r="F1557" s="1">
        <v>46260</v>
      </c>
      <c r="G1557" s="1">
        <v>46262</v>
      </c>
      <c r="H1557" s="11"/>
      <c r="I1557" s="11" t="s">
        <v>327</v>
      </c>
    </row>
    <row r="1558" spans="1:9" hidden="1" x14ac:dyDescent="0.25">
      <c r="A1558" s="1">
        <v>46261</v>
      </c>
      <c r="B1558">
        <v>1067864151</v>
      </c>
      <c r="C1558" t="s">
        <v>1809</v>
      </c>
      <c r="D1558" s="11" t="s">
        <v>256</v>
      </c>
      <c r="E1558" s="11" t="s">
        <v>4040</v>
      </c>
      <c r="F1558" s="1">
        <v>46261</v>
      </c>
      <c r="G1558" s="1">
        <v>46268</v>
      </c>
      <c r="H1558" s="11"/>
      <c r="I1558" s="11" t="s">
        <v>327</v>
      </c>
    </row>
    <row r="1559" spans="1:9" hidden="1" x14ac:dyDescent="0.25">
      <c r="A1559" s="1">
        <v>46261</v>
      </c>
      <c r="B1559">
        <v>1037638426</v>
      </c>
      <c r="C1559" t="s">
        <v>31</v>
      </c>
      <c r="D1559" s="11" t="s">
        <v>28</v>
      </c>
      <c r="E1559" s="11" t="s">
        <v>4046</v>
      </c>
      <c r="F1559" s="1">
        <v>46249</v>
      </c>
      <c r="G1559" s="1">
        <v>46264</v>
      </c>
      <c r="H1559" s="11" t="s">
        <v>318</v>
      </c>
      <c r="I1559" s="11" t="s">
        <v>319</v>
      </c>
    </row>
    <row r="1560" spans="1:9" hidden="1" x14ac:dyDescent="0.25">
      <c r="A1560" s="1">
        <v>46261</v>
      </c>
      <c r="B1560">
        <v>1002208089</v>
      </c>
      <c r="C1560" t="s">
        <v>3350</v>
      </c>
      <c r="D1560" s="11" t="s">
        <v>162</v>
      </c>
      <c r="E1560" s="11" t="s">
        <v>4056</v>
      </c>
      <c r="F1560" s="1">
        <v>46261</v>
      </c>
      <c r="G1560" s="1">
        <v>46262</v>
      </c>
      <c r="H1560" s="11" t="s">
        <v>184</v>
      </c>
      <c r="I1560" s="11" t="s">
        <v>185</v>
      </c>
    </row>
    <row r="1561" spans="1:9" hidden="1" x14ac:dyDescent="0.25">
      <c r="A1561" s="1">
        <v>46261</v>
      </c>
      <c r="B1561">
        <v>1067959066</v>
      </c>
      <c r="C1561" t="s">
        <v>3479</v>
      </c>
      <c r="D1561" s="11" t="s">
        <v>344</v>
      </c>
      <c r="E1561" s="11" t="s">
        <v>4056</v>
      </c>
      <c r="F1561" s="1">
        <v>46260</v>
      </c>
      <c r="H1561" s="11"/>
      <c r="I1561" s="11" t="s">
        <v>327</v>
      </c>
    </row>
    <row r="1562" spans="1:9" hidden="1" x14ac:dyDescent="0.25">
      <c r="A1562" s="1">
        <v>46261</v>
      </c>
      <c r="B1562">
        <v>50927877</v>
      </c>
      <c r="C1562" t="s">
        <v>1709</v>
      </c>
      <c r="D1562" s="11" t="s">
        <v>176</v>
      </c>
      <c r="E1562" s="11" t="s">
        <v>4040</v>
      </c>
      <c r="F1562" s="1">
        <v>46261</v>
      </c>
      <c r="G1562" s="1">
        <v>46261</v>
      </c>
      <c r="H1562" s="11" t="s">
        <v>45</v>
      </c>
      <c r="I1562" s="11" t="s">
        <v>46</v>
      </c>
    </row>
    <row r="1563" spans="1:9" hidden="1" x14ac:dyDescent="0.25">
      <c r="A1563" s="1">
        <v>46261</v>
      </c>
      <c r="B1563">
        <v>1000416307</v>
      </c>
      <c r="C1563" t="s">
        <v>3062</v>
      </c>
      <c r="D1563" s="11" t="s">
        <v>132</v>
      </c>
      <c r="E1563" s="11" t="s">
        <v>4040</v>
      </c>
      <c r="F1563" s="1">
        <v>46261</v>
      </c>
      <c r="G1563" s="1">
        <v>46263</v>
      </c>
      <c r="H1563" s="11"/>
      <c r="I1563" s="11" t="s">
        <v>327</v>
      </c>
    </row>
    <row r="1564" spans="1:9" hidden="1" x14ac:dyDescent="0.25">
      <c r="A1564" s="1">
        <v>46261</v>
      </c>
      <c r="B1564">
        <v>1017232013</v>
      </c>
      <c r="C1564" t="s">
        <v>2334</v>
      </c>
      <c r="D1564" s="11" t="s">
        <v>28</v>
      </c>
      <c r="E1564" s="11" t="s">
        <v>4046</v>
      </c>
      <c r="F1564" s="1">
        <v>46260</v>
      </c>
      <c r="G1564" s="1">
        <v>46262</v>
      </c>
      <c r="H1564" s="11"/>
      <c r="I1564" s="11" t="s">
        <v>327</v>
      </c>
    </row>
    <row r="1565" spans="1:9" hidden="1" x14ac:dyDescent="0.25">
      <c r="A1565" s="1">
        <v>46261</v>
      </c>
      <c r="B1565">
        <v>1152187746</v>
      </c>
      <c r="C1565" t="s">
        <v>4007</v>
      </c>
      <c r="D1565" s="11" t="s">
        <v>619</v>
      </c>
      <c r="E1565" s="11" t="s">
        <v>4045</v>
      </c>
      <c r="F1565" s="1">
        <v>46261</v>
      </c>
      <c r="G1565" s="1">
        <v>46263</v>
      </c>
      <c r="H1565" s="11" t="s">
        <v>222</v>
      </c>
      <c r="I1565" s="11" t="s">
        <v>223</v>
      </c>
    </row>
    <row r="1566" spans="1:9" hidden="1" x14ac:dyDescent="0.25">
      <c r="A1566" s="1">
        <v>46261</v>
      </c>
      <c r="B1566">
        <v>1083048455</v>
      </c>
      <c r="C1566" t="s">
        <v>2787</v>
      </c>
      <c r="D1566" s="11" t="s">
        <v>256</v>
      </c>
      <c r="E1566" s="11" t="s">
        <v>4040</v>
      </c>
      <c r="F1566" s="1">
        <v>46261</v>
      </c>
      <c r="G1566" s="1">
        <v>46262</v>
      </c>
      <c r="H1566" s="11"/>
      <c r="I1566" s="11" t="s">
        <v>4060</v>
      </c>
    </row>
    <row r="1567" spans="1:9" hidden="1" x14ac:dyDescent="0.25">
      <c r="A1567" s="1">
        <v>46261</v>
      </c>
      <c r="B1567">
        <v>1107046318</v>
      </c>
      <c r="C1567" t="s">
        <v>268</v>
      </c>
      <c r="D1567" s="11" t="s">
        <v>4078</v>
      </c>
      <c r="E1567" s="11" t="s">
        <v>4056</v>
      </c>
      <c r="F1567" s="1">
        <v>46261</v>
      </c>
      <c r="G1567" s="1">
        <v>46261</v>
      </c>
      <c r="H1567" s="11" t="s">
        <v>267</v>
      </c>
      <c r="I1567" s="11" t="s">
        <v>268</v>
      </c>
    </row>
    <row r="1568" spans="1:9" hidden="1" x14ac:dyDescent="0.25">
      <c r="A1568" s="1">
        <v>46261</v>
      </c>
      <c r="B1568">
        <v>42161723</v>
      </c>
      <c r="C1568" t="s">
        <v>2232</v>
      </c>
      <c r="D1568" s="11" t="s">
        <v>256</v>
      </c>
      <c r="E1568" s="11" t="s">
        <v>4040</v>
      </c>
      <c r="F1568" s="1">
        <v>46261</v>
      </c>
      <c r="G1568" s="1">
        <v>46262</v>
      </c>
      <c r="H1568" s="11"/>
      <c r="I1568" s="11" t="s">
        <v>4060</v>
      </c>
    </row>
    <row r="1569" spans="1:9" hidden="1" x14ac:dyDescent="0.25">
      <c r="A1569" s="1">
        <v>46261</v>
      </c>
      <c r="B1569">
        <v>1152456771</v>
      </c>
      <c r="C1569" t="s">
        <v>2914</v>
      </c>
      <c r="D1569" s="11" t="s">
        <v>51</v>
      </c>
      <c r="E1569" s="11" t="s">
        <v>4047</v>
      </c>
      <c r="F1569" s="1">
        <v>46261</v>
      </c>
      <c r="H1569" s="11"/>
      <c r="I1569" s="11" t="s">
        <v>4060</v>
      </c>
    </row>
    <row r="1570" spans="1:9" hidden="1" x14ac:dyDescent="0.25">
      <c r="A1570" s="1">
        <v>46261</v>
      </c>
      <c r="B1570">
        <v>1017271052</v>
      </c>
      <c r="C1570" t="s">
        <v>489</v>
      </c>
      <c r="D1570" s="11" t="s">
        <v>4312</v>
      </c>
      <c r="E1570" s="11" t="s">
        <v>4047</v>
      </c>
      <c r="F1570" s="1">
        <v>46261</v>
      </c>
      <c r="G1570" s="1">
        <v>46262</v>
      </c>
      <c r="H1570" s="11"/>
      <c r="I1570" s="11" t="s">
        <v>4060</v>
      </c>
    </row>
    <row r="1571" spans="1:9" hidden="1" x14ac:dyDescent="0.25">
      <c r="A1571" s="1">
        <v>46261</v>
      </c>
      <c r="B1571">
        <v>1095832090</v>
      </c>
      <c r="C1571" t="s">
        <v>1441</v>
      </c>
      <c r="D1571" s="11" t="s">
        <v>55</v>
      </c>
      <c r="E1571" s="11" t="s">
        <v>4047</v>
      </c>
      <c r="F1571" s="1">
        <v>46260</v>
      </c>
      <c r="G1571" s="1">
        <v>46274</v>
      </c>
      <c r="H1571" s="11"/>
      <c r="I1571" s="11" t="s">
        <v>327</v>
      </c>
    </row>
    <row r="1572" spans="1:9" hidden="1" x14ac:dyDescent="0.25">
      <c r="A1572" s="1">
        <v>46261</v>
      </c>
      <c r="B1572">
        <v>1143168832</v>
      </c>
      <c r="C1572" t="s">
        <v>1965</v>
      </c>
      <c r="D1572" s="11" t="s">
        <v>82</v>
      </c>
      <c r="E1572" s="11" t="s">
        <v>4045</v>
      </c>
      <c r="F1572" s="1">
        <v>46261</v>
      </c>
      <c r="G1572" s="1">
        <v>46262</v>
      </c>
      <c r="H1572" s="11"/>
      <c r="I1572" s="11" t="s">
        <v>4060</v>
      </c>
    </row>
    <row r="1573" spans="1:9" hidden="1" x14ac:dyDescent="0.25">
      <c r="A1573" s="1">
        <v>46261</v>
      </c>
      <c r="B1573">
        <v>1128272024</v>
      </c>
      <c r="C1573" t="s">
        <v>1101</v>
      </c>
      <c r="D1573" s="11" t="s">
        <v>124</v>
      </c>
      <c r="E1573" s="11" t="s">
        <v>4045</v>
      </c>
      <c r="F1573" s="1">
        <v>46261</v>
      </c>
      <c r="G1573" s="1">
        <v>46262</v>
      </c>
      <c r="H1573" s="11"/>
      <c r="I1573" s="11" t="s">
        <v>4060</v>
      </c>
    </row>
    <row r="1574" spans="1:9" hidden="1" x14ac:dyDescent="0.25">
      <c r="A1574" s="1">
        <v>46261</v>
      </c>
      <c r="B1574">
        <v>1020475954</v>
      </c>
      <c r="C1574" t="s">
        <v>3934</v>
      </c>
      <c r="D1574" s="11" t="s">
        <v>68</v>
      </c>
      <c r="E1574" s="11" t="s">
        <v>4040</v>
      </c>
      <c r="F1574" s="1">
        <v>46261</v>
      </c>
      <c r="G1574" s="1">
        <v>46262</v>
      </c>
      <c r="H1574" s="11"/>
      <c r="I1574" s="11" t="s">
        <v>327</v>
      </c>
    </row>
    <row r="1575" spans="1:9" hidden="1" x14ac:dyDescent="0.25">
      <c r="A1575" s="1">
        <v>46261</v>
      </c>
      <c r="B1575">
        <v>1037608343</v>
      </c>
      <c r="C1575" t="s">
        <v>3077</v>
      </c>
      <c r="D1575" s="11" t="s">
        <v>39</v>
      </c>
      <c r="E1575" s="11" t="s">
        <v>4046</v>
      </c>
      <c r="F1575" s="1">
        <v>46261</v>
      </c>
      <c r="G1575" s="1">
        <v>46265</v>
      </c>
      <c r="H1575" s="11"/>
      <c r="I1575" s="11" t="s">
        <v>327</v>
      </c>
    </row>
    <row r="1576" spans="1:9" hidden="1" x14ac:dyDescent="0.25">
      <c r="A1576" s="1">
        <v>46261</v>
      </c>
      <c r="B1576">
        <v>1127339766</v>
      </c>
      <c r="C1576" t="s">
        <v>3262</v>
      </c>
      <c r="D1576" s="11" t="s">
        <v>39</v>
      </c>
      <c r="E1576" s="11" t="s">
        <v>4046</v>
      </c>
      <c r="F1576" s="1">
        <v>46261</v>
      </c>
      <c r="G1576" s="1">
        <v>46261</v>
      </c>
      <c r="H1576" s="11"/>
      <c r="I1576" s="11" t="s">
        <v>327</v>
      </c>
    </row>
    <row r="1577" spans="1:9" hidden="1" x14ac:dyDescent="0.25">
      <c r="A1577" s="1">
        <v>46261</v>
      </c>
      <c r="B1577">
        <v>1002248662</v>
      </c>
      <c r="C1577" t="s">
        <v>4322</v>
      </c>
      <c r="D1577" s="11" t="s">
        <v>55</v>
      </c>
      <c r="E1577" s="11" t="s">
        <v>4047</v>
      </c>
      <c r="F1577" s="1">
        <v>46261</v>
      </c>
      <c r="G1577" s="1">
        <v>46263</v>
      </c>
      <c r="H1577" s="11"/>
      <c r="I1577" s="11" t="s">
        <v>327</v>
      </c>
    </row>
    <row r="1578" spans="1:9" hidden="1" x14ac:dyDescent="0.25">
      <c r="A1578" s="1">
        <v>46261</v>
      </c>
      <c r="B1578">
        <v>1143880690</v>
      </c>
      <c r="C1578" t="s">
        <v>4238</v>
      </c>
      <c r="D1578" s="11" t="s">
        <v>4078</v>
      </c>
      <c r="E1578" s="11" t="s">
        <v>4045</v>
      </c>
      <c r="F1578" s="1">
        <v>46258</v>
      </c>
      <c r="H1578" s="11" t="s">
        <v>306</v>
      </c>
      <c r="I1578" s="11" t="s">
        <v>307</v>
      </c>
    </row>
    <row r="1579" spans="1:9" hidden="1" x14ac:dyDescent="0.25">
      <c r="A1579" s="1">
        <v>46261</v>
      </c>
      <c r="B1579">
        <v>1193454765</v>
      </c>
      <c r="C1579" t="s">
        <v>1428</v>
      </c>
      <c r="D1579" s="11" t="s">
        <v>4078</v>
      </c>
      <c r="E1579" s="11" t="s">
        <v>4040</v>
      </c>
      <c r="F1579" s="1">
        <v>46261</v>
      </c>
      <c r="G1579" s="1">
        <v>46261</v>
      </c>
      <c r="H1579" s="11"/>
      <c r="I1579" s="11" t="s">
        <v>339</v>
      </c>
    </row>
    <row r="1580" spans="1:9" hidden="1" x14ac:dyDescent="0.25">
      <c r="A1580" s="1">
        <v>46262</v>
      </c>
      <c r="B1580">
        <v>1128272024</v>
      </c>
      <c r="C1580" t="s">
        <v>1101</v>
      </c>
      <c r="D1580" s="11" t="s">
        <v>124</v>
      </c>
      <c r="E1580" s="11" t="s">
        <v>4045</v>
      </c>
      <c r="F1580" s="1">
        <v>46261</v>
      </c>
      <c r="G1580" s="1">
        <v>46262</v>
      </c>
      <c r="H1580" s="11"/>
      <c r="I1580" s="11" t="s">
        <v>327</v>
      </c>
    </row>
    <row r="1581" spans="1:9" hidden="1" x14ac:dyDescent="0.25">
      <c r="A1581" s="1">
        <v>46262</v>
      </c>
      <c r="B1581">
        <v>42161723</v>
      </c>
      <c r="C1581" t="s">
        <v>4315</v>
      </c>
      <c r="D1581" s="11" t="s">
        <v>256</v>
      </c>
      <c r="E1581" s="11" t="s">
        <v>4040</v>
      </c>
      <c r="F1581" s="1">
        <v>46261</v>
      </c>
      <c r="G1581" s="1">
        <v>46262</v>
      </c>
      <c r="H1581" s="11"/>
      <c r="I1581" s="11" t="s">
        <v>327</v>
      </c>
    </row>
    <row r="1582" spans="1:9" hidden="1" x14ac:dyDescent="0.25">
      <c r="A1582" s="1">
        <v>46262</v>
      </c>
      <c r="B1582">
        <v>1143168832</v>
      </c>
      <c r="C1582" t="s">
        <v>1965</v>
      </c>
      <c r="D1582" s="11" t="s">
        <v>82</v>
      </c>
      <c r="E1582" s="11" t="s">
        <v>4045</v>
      </c>
      <c r="F1582" s="1">
        <v>46261</v>
      </c>
      <c r="G1582" s="1">
        <v>46262</v>
      </c>
      <c r="H1582" s="11"/>
      <c r="I1582" s="11" t="s">
        <v>327</v>
      </c>
    </row>
    <row r="1583" spans="1:9" hidden="1" x14ac:dyDescent="0.25">
      <c r="A1583" s="1">
        <v>46262</v>
      </c>
      <c r="B1583">
        <v>1095832090</v>
      </c>
      <c r="C1583" t="s">
        <v>4243</v>
      </c>
      <c r="D1583" s="11" t="s">
        <v>55</v>
      </c>
      <c r="E1583" s="11" t="s">
        <v>4047</v>
      </c>
      <c r="F1583" s="1">
        <v>46260</v>
      </c>
      <c r="G1583" s="1">
        <v>46274</v>
      </c>
      <c r="H1583" s="11"/>
      <c r="I1583" s="11" t="s">
        <v>327</v>
      </c>
    </row>
    <row r="1584" spans="1:9" hidden="1" x14ac:dyDescent="0.25">
      <c r="A1584" s="1">
        <v>46262</v>
      </c>
      <c r="B1584">
        <v>1002208089</v>
      </c>
      <c r="C1584" t="s">
        <v>3350</v>
      </c>
      <c r="D1584" s="11" t="s">
        <v>162</v>
      </c>
      <c r="E1584" s="11" t="s">
        <v>4056</v>
      </c>
      <c r="F1584" s="1">
        <v>46261</v>
      </c>
      <c r="G1584" s="1">
        <v>46262</v>
      </c>
      <c r="H1584" s="11" t="s">
        <v>267</v>
      </c>
      <c r="I1584" s="11" t="s">
        <v>268</v>
      </c>
    </row>
    <row r="1585" spans="1:9" hidden="1" x14ac:dyDescent="0.25">
      <c r="A1585" s="1">
        <v>46262</v>
      </c>
      <c r="B1585">
        <v>1000416307</v>
      </c>
      <c r="C1585" t="s">
        <v>3062</v>
      </c>
      <c r="D1585" s="11" t="s">
        <v>132</v>
      </c>
      <c r="E1585" s="11" t="s">
        <v>4040</v>
      </c>
      <c r="F1585" s="1">
        <v>46261</v>
      </c>
      <c r="G1585" s="1">
        <v>46263</v>
      </c>
      <c r="H1585" s="11"/>
      <c r="I1585" s="11" t="s">
        <v>327</v>
      </c>
    </row>
    <row r="1586" spans="1:9" hidden="1" x14ac:dyDescent="0.25">
      <c r="A1586" s="1">
        <v>46262</v>
      </c>
      <c r="B1586">
        <v>1067959066</v>
      </c>
      <c r="C1586" t="s">
        <v>3479</v>
      </c>
      <c r="D1586" s="11" t="s">
        <v>344</v>
      </c>
      <c r="E1586" s="11" t="s">
        <v>4056</v>
      </c>
      <c r="F1586" s="1">
        <v>46261</v>
      </c>
      <c r="G1586" s="1">
        <v>46295</v>
      </c>
      <c r="H1586" s="11" t="s">
        <v>285</v>
      </c>
      <c r="I1586" s="11" t="s">
        <v>286</v>
      </c>
    </row>
    <row r="1587" spans="1:9" hidden="1" x14ac:dyDescent="0.25">
      <c r="A1587" s="1">
        <v>46262</v>
      </c>
      <c r="B1587">
        <v>1017232013</v>
      </c>
      <c r="C1587" t="s">
        <v>4317</v>
      </c>
      <c r="D1587" s="11" t="s">
        <v>28</v>
      </c>
      <c r="E1587" s="11" t="s">
        <v>4046</v>
      </c>
      <c r="F1587" s="1">
        <v>46260</v>
      </c>
      <c r="G1587" s="1">
        <v>46262</v>
      </c>
      <c r="H1587" s="11"/>
      <c r="I1587" s="11" t="s">
        <v>327</v>
      </c>
    </row>
    <row r="1588" spans="1:9" hidden="1" x14ac:dyDescent="0.25">
      <c r="A1588" s="1">
        <v>46262</v>
      </c>
      <c r="B1588">
        <v>1143267842</v>
      </c>
      <c r="C1588" t="s">
        <v>1501</v>
      </c>
      <c r="D1588" s="11" t="s">
        <v>128</v>
      </c>
      <c r="E1588" s="11" t="s">
        <v>4045</v>
      </c>
      <c r="F1588" s="1">
        <v>46260</v>
      </c>
      <c r="G1588" s="1">
        <v>46262</v>
      </c>
      <c r="H1588" s="11" t="s">
        <v>196</v>
      </c>
      <c r="I1588" s="11" t="s">
        <v>197</v>
      </c>
    </row>
    <row r="1589" spans="1:9" hidden="1" x14ac:dyDescent="0.25">
      <c r="A1589" s="1">
        <v>46262</v>
      </c>
      <c r="B1589">
        <v>1067864151</v>
      </c>
      <c r="C1589" t="s">
        <v>1809</v>
      </c>
      <c r="D1589" s="11" t="s">
        <v>256</v>
      </c>
      <c r="E1589" s="11" t="s">
        <v>4040</v>
      </c>
      <c r="F1589" s="1">
        <v>46261</v>
      </c>
      <c r="G1589" s="1">
        <v>46268</v>
      </c>
      <c r="H1589" s="11"/>
      <c r="I1589" s="11" t="s">
        <v>327</v>
      </c>
    </row>
    <row r="1590" spans="1:9" hidden="1" x14ac:dyDescent="0.25">
      <c r="A1590" s="1">
        <v>46262</v>
      </c>
      <c r="B1590">
        <v>1143373273</v>
      </c>
      <c r="C1590" t="s">
        <v>2037</v>
      </c>
      <c r="D1590" s="11" t="s">
        <v>272</v>
      </c>
      <c r="E1590" s="11" t="s">
        <v>4056</v>
      </c>
      <c r="F1590" s="1">
        <v>46259</v>
      </c>
      <c r="G1590" s="1">
        <v>46266</v>
      </c>
      <c r="H1590" s="11" t="s">
        <v>163</v>
      </c>
      <c r="I1590" s="11" t="s">
        <v>164</v>
      </c>
    </row>
    <row r="1591" spans="1:9" hidden="1" x14ac:dyDescent="0.25">
      <c r="A1591" s="1">
        <v>46262</v>
      </c>
      <c r="B1591">
        <v>1007959114</v>
      </c>
      <c r="C1591" t="s">
        <v>4154</v>
      </c>
      <c r="D1591" s="11" t="s">
        <v>39</v>
      </c>
      <c r="E1591" s="11" t="s">
        <v>4046</v>
      </c>
      <c r="F1591" s="1">
        <v>46261</v>
      </c>
      <c r="G1591" s="1">
        <v>46265</v>
      </c>
      <c r="H1591" s="11"/>
      <c r="I1591" s="11" t="s">
        <v>327</v>
      </c>
    </row>
    <row r="1592" spans="1:9" hidden="1" x14ac:dyDescent="0.25">
      <c r="A1592" s="1">
        <v>46262</v>
      </c>
      <c r="B1592">
        <v>1003930736</v>
      </c>
      <c r="C1592" t="s">
        <v>4319</v>
      </c>
      <c r="D1592" s="11" t="s">
        <v>51</v>
      </c>
      <c r="E1592" s="11" t="s">
        <v>4047</v>
      </c>
      <c r="F1592" s="1">
        <v>46261</v>
      </c>
      <c r="G1592" s="1">
        <v>46262</v>
      </c>
      <c r="H1592" s="11"/>
      <c r="I1592" s="11" t="s">
        <v>327</v>
      </c>
    </row>
    <row r="1593" spans="1:9" hidden="1" x14ac:dyDescent="0.25">
      <c r="A1593" s="1">
        <v>46262</v>
      </c>
      <c r="B1593">
        <v>1037660327</v>
      </c>
      <c r="C1593" t="s">
        <v>4302</v>
      </c>
      <c r="D1593" s="11" t="s">
        <v>68</v>
      </c>
      <c r="E1593" s="11" t="s">
        <v>4040</v>
      </c>
      <c r="F1593" s="1">
        <v>46260</v>
      </c>
      <c r="G1593" s="1">
        <v>46260</v>
      </c>
      <c r="H1593" s="11"/>
      <c r="I1593" s="11" t="s">
        <v>4041</v>
      </c>
    </row>
    <row r="1594" spans="1:9" hidden="1" x14ac:dyDescent="0.25">
      <c r="A1594" s="1">
        <v>46262</v>
      </c>
      <c r="B1594">
        <v>1015483595</v>
      </c>
      <c r="C1594" t="s">
        <v>221</v>
      </c>
      <c r="D1594" s="11" t="s">
        <v>15</v>
      </c>
      <c r="E1594" s="11" t="s">
        <v>4046</v>
      </c>
      <c r="F1594" s="1">
        <v>46244</v>
      </c>
      <c r="G1594" s="1">
        <v>46265</v>
      </c>
      <c r="H1594" s="11" t="s">
        <v>318</v>
      </c>
      <c r="I1594" s="11" t="s">
        <v>319</v>
      </c>
    </row>
    <row r="1595" spans="1:9" hidden="1" x14ac:dyDescent="0.25">
      <c r="A1595" s="1">
        <v>46262</v>
      </c>
      <c r="B1595">
        <v>1037662189</v>
      </c>
      <c r="C1595" t="s">
        <v>3657</v>
      </c>
      <c r="D1595" s="11" t="s">
        <v>68</v>
      </c>
      <c r="E1595" s="11" t="s">
        <v>4040</v>
      </c>
      <c r="F1595" s="1">
        <v>46260</v>
      </c>
      <c r="G1595" s="1">
        <v>46260</v>
      </c>
      <c r="H1595" s="11"/>
      <c r="I1595" s="11" t="s">
        <v>327</v>
      </c>
    </row>
    <row r="1596" spans="1:9" hidden="1" x14ac:dyDescent="0.25">
      <c r="A1596" s="1">
        <v>46262</v>
      </c>
      <c r="B1596">
        <v>1017238267</v>
      </c>
      <c r="C1596" t="s">
        <v>2537</v>
      </c>
      <c r="D1596" s="11" t="s">
        <v>55</v>
      </c>
      <c r="E1596" s="11" t="s">
        <v>4047</v>
      </c>
      <c r="F1596" s="1">
        <v>46259</v>
      </c>
      <c r="G1596" s="1">
        <v>46261</v>
      </c>
      <c r="H1596" s="11"/>
      <c r="I1596" s="11" t="s">
        <v>4041</v>
      </c>
    </row>
    <row r="1597" spans="1:9" hidden="1" x14ac:dyDescent="0.25">
      <c r="A1597" s="1">
        <v>46262</v>
      </c>
      <c r="B1597">
        <v>1003045926</v>
      </c>
      <c r="C1597" t="s">
        <v>2063</v>
      </c>
      <c r="D1597" s="11" t="s">
        <v>124</v>
      </c>
      <c r="E1597" s="11" t="s">
        <v>4045</v>
      </c>
      <c r="F1597" s="1">
        <v>46258</v>
      </c>
      <c r="G1597" s="1">
        <v>46262</v>
      </c>
      <c r="H1597" s="11"/>
      <c r="I1597" s="11" t="s">
        <v>327</v>
      </c>
    </row>
    <row r="1598" spans="1:9" hidden="1" x14ac:dyDescent="0.25">
      <c r="A1598" s="1">
        <v>46262</v>
      </c>
      <c r="B1598">
        <v>1010135017</v>
      </c>
      <c r="C1598" t="s">
        <v>1311</v>
      </c>
      <c r="D1598" s="11" t="s">
        <v>256</v>
      </c>
      <c r="E1598" s="11" t="s">
        <v>4040</v>
      </c>
      <c r="F1598" s="1">
        <v>46259</v>
      </c>
      <c r="G1598" s="1">
        <v>46261</v>
      </c>
      <c r="H1598" s="11"/>
      <c r="I1598" s="11" t="s">
        <v>4041</v>
      </c>
    </row>
    <row r="1599" spans="1:9" hidden="1" x14ac:dyDescent="0.25">
      <c r="A1599" s="1">
        <v>46262</v>
      </c>
      <c r="B1599">
        <v>1143375080</v>
      </c>
      <c r="C1599" t="s">
        <v>157</v>
      </c>
      <c r="D1599" s="11" t="s">
        <v>44</v>
      </c>
      <c r="E1599" s="11" t="s">
        <v>4045</v>
      </c>
      <c r="F1599" s="1">
        <v>46258</v>
      </c>
      <c r="G1599" s="1">
        <v>46287</v>
      </c>
      <c r="H1599" s="11" t="s">
        <v>240</v>
      </c>
      <c r="I1599" s="11" t="s">
        <v>241</v>
      </c>
    </row>
    <row r="1600" spans="1:9" hidden="1" x14ac:dyDescent="0.25">
      <c r="A1600" s="1">
        <v>46262</v>
      </c>
      <c r="B1600">
        <v>1037631989</v>
      </c>
      <c r="C1600" t="s">
        <v>27</v>
      </c>
      <c r="D1600" s="11" t="s">
        <v>28</v>
      </c>
      <c r="E1600" s="11" t="s">
        <v>4046</v>
      </c>
      <c r="F1600" s="1">
        <v>46256</v>
      </c>
      <c r="G1600" s="1">
        <v>46285</v>
      </c>
      <c r="H1600" s="11"/>
      <c r="I1600" s="11" t="s">
        <v>327</v>
      </c>
    </row>
    <row r="1601" spans="1:9" hidden="1" x14ac:dyDescent="0.25">
      <c r="A1601" s="1">
        <v>46262</v>
      </c>
      <c r="B1601">
        <v>1032488873</v>
      </c>
      <c r="C1601" t="s">
        <v>4240</v>
      </c>
      <c r="D1601" s="11" t="s">
        <v>55</v>
      </c>
      <c r="E1601" s="11" t="s">
        <v>4047</v>
      </c>
      <c r="F1601" s="1">
        <v>46259</v>
      </c>
      <c r="G1601" s="1">
        <v>46263</v>
      </c>
      <c r="H1601" s="11" t="s">
        <v>150</v>
      </c>
      <c r="I1601" s="11" t="s">
        <v>151</v>
      </c>
    </row>
    <row r="1602" spans="1:9" hidden="1" x14ac:dyDescent="0.25">
      <c r="A1602" s="1">
        <v>46262</v>
      </c>
      <c r="B1602">
        <v>1017264032</v>
      </c>
      <c r="C1602" t="s">
        <v>88</v>
      </c>
      <c r="D1602" s="11" t="s">
        <v>55</v>
      </c>
      <c r="E1602" s="11" t="s">
        <v>4047</v>
      </c>
      <c r="F1602" s="1">
        <v>46259</v>
      </c>
      <c r="G1602" s="1">
        <v>46265</v>
      </c>
      <c r="H1602" s="11" t="s">
        <v>213</v>
      </c>
      <c r="I1602" s="11" t="s">
        <v>214</v>
      </c>
    </row>
    <row r="1603" spans="1:9" hidden="1" x14ac:dyDescent="0.25">
      <c r="A1603" s="1">
        <v>46262</v>
      </c>
      <c r="B1603">
        <v>1000294973</v>
      </c>
      <c r="C1603" t="s">
        <v>1266</v>
      </c>
      <c r="D1603" s="11" t="s">
        <v>15</v>
      </c>
      <c r="E1603" s="11" t="s">
        <v>4046</v>
      </c>
      <c r="F1603" s="1">
        <v>46260</v>
      </c>
      <c r="G1603" s="1">
        <v>46262</v>
      </c>
      <c r="H1603" s="11" t="s">
        <v>103</v>
      </c>
      <c r="I1603" s="11" t="s">
        <v>104</v>
      </c>
    </row>
    <row r="1604" spans="1:9" hidden="1" x14ac:dyDescent="0.25">
      <c r="A1604" s="1">
        <v>46262</v>
      </c>
      <c r="B1604">
        <v>1152434926</v>
      </c>
      <c r="C1604" t="s">
        <v>217</v>
      </c>
      <c r="D1604" s="11" t="s">
        <v>59</v>
      </c>
      <c r="E1604" s="11" t="s">
        <v>4047</v>
      </c>
      <c r="F1604" s="1">
        <v>46258</v>
      </c>
      <c r="G1604" s="1">
        <v>46263</v>
      </c>
      <c r="H1604" s="11"/>
      <c r="I1604" s="11" t="s">
        <v>327</v>
      </c>
    </row>
    <row r="1605" spans="1:9" hidden="1" x14ac:dyDescent="0.25">
      <c r="A1605" s="1">
        <v>46262</v>
      </c>
      <c r="B1605">
        <v>71317684</v>
      </c>
      <c r="C1605" t="s">
        <v>4304</v>
      </c>
      <c r="D1605" s="11" t="s">
        <v>44</v>
      </c>
      <c r="E1605" s="11" t="s">
        <v>4045</v>
      </c>
      <c r="F1605" s="1">
        <v>46261</v>
      </c>
      <c r="G1605" s="1">
        <v>46261</v>
      </c>
      <c r="H1605" s="11"/>
      <c r="I1605" s="11" t="s">
        <v>4041</v>
      </c>
    </row>
    <row r="1606" spans="1:9" hidden="1" x14ac:dyDescent="0.25">
      <c r="A1606" s="1">
        <v>46262</v>
      </c>
      <c r="B1606">
        <v>1096223065</v>
      </c>
      <c r="C1606" t="s">
        <v>3428</v>
      </c>
      <c r="D1606" s="11" t="s">
        <v>59</v>
      </c>
      <c r="E1606" s="11" t="s">
        <v>4047</v>
      </c>
      <c r="F1606" s="1">
        <v>46253</v>
      </c>
      <c r="G1606" s="1">
        <v>46265</v>
      </c>
      <c r="H1606" s="11" t="s">
        <v>251</v>
      </c>
      <c r="I1606" s="11" t="s">
        <v>252</v>
      </c>
    </row>
    <row r="1607" spans="1:9" hidden="1" x14ac:dyDescent="0.25">
      <c r="A1607" s="1">
        <v>46262</v>
      </c>
      <c r="B1607">
        <v>1102878409</v>
      </c>
      <c r="C1607" t="s">
        <v>479</v>
      </c>
      <c r="D1607" s="11" t="s">
        <v>51</v>
      </c>
      <c r="E1607" s="11" t="s">
        <v>4047</v>
      </c>
      <c r="F1607" s="1">
        <v>46261</v>
      </c>
      <c r="G1607" s="1">
        <v>46261</v>
      </c>
      <c r="H1607" s="11"/>
      <c r="I1607" s="11" t="s">
        <v>4041</v>
      </c>
    </row>
    <row r="1608" spans="1:9" hidden="1" x14ac:dyDescent="0.25">
      <c r="A1608" s="1">
        <v>46262</v>
      </c>
      <c r="B1608">
        <v>1045718883</v>
      </c>
      <c r="C1608" t="s">
        <v>34</v>
      </c>
      <c r="D1608" s="11" t="s">
        <v>15</v>
      </c>
      <c r="E1608" s="11" t="s">
        <v>4046</v>
      </c>
      <c r="F1608" s="1">
        <v>46244</v>
      </c>
      <c r="G1608" s="1">
        <v>46393</v>
      </c>
      <c r="H1608" s="11"/>
      <c r="I1608" s="11" t="s">
        <v>327</v>
      </c>
    </row>
    <row r="1609" spans="1:9" hidden="1" x14ac:dyDescent="0.25">
      <c r="A1609" s="1">
        <v>46262</v>
      </c>
      <c r="B1609">
        <v>1043006106</v>
      </c>
      <c r="C1609" t="s">
        <v>63</v>
      </c>
      <c r="D1609" s="11" t="s">
        <v>64</v>
      </c>
      <c r="E1609" s="11" t="s">
        <v>4046</v>
      </c>
      <c r="F1609" s="1">
        <v>46249</v>
      </c>
      <c r="G1609" s="1">
        <v>46278</v>
      </c>
      <c r="H1609" s="11"/>
      <c r="I1609" s="11" t="s">
        <v>327</v>
      </c>
    </row>
    <row r="1610" spans="1:9" hidden="1" x14ac:dyDescent="0.25">
      <c r="A1610" s="1">
        <v>46262</v>
      </c>
      <c r="B1610">
        <v>1040755197</v>
      </c>
      <c r="C1610" t="s">
        <v>171</v>
      </c>
      <c r="D1610" s="11" t="s">
        <v>102</v>
      </c>
      <c r="E1610" s="11" t="s">
        <v>4046</v>
      </c>
      <c r="F1610" s="1">
        <v>46252</v>
      </c>
      <c r="G1610" s="1">
        <v>46262</v>
      </c>
      <c r="H1610" s="11" t="s">
        <v>222</v>
      </c>
      <c r="I1610" s="11" t="s">
        <v>223</v>
      </c>
    </row>
    <row r="1611" spans="1:9" hidden="1" x14ac:dyDescent="0.25">
      <c r="A1611" s="1">
        <v>46262</v>
      </c>
      <c r="B1611">
        <v>1102808787</v>
      </c>
      <c r="C1611" t="s">
        <v>135</v>
      </c>
      <c r="D1611" s="11" t="s">
        <v>39</v>
      </c>
      <c r="E1611" s="11" t="s">
        <v>4046</v>
      </c>
      <c r="F1611" s="1">
        <v>46245</v>
      </c>
      <c r="G1611" s="1">
        <v>46276</v>
      </c>
      <c r="H1611" s="11"/>
      <c r="I1611" s="11" t="s">
        <v>327</v>
      </c>
    </row>
    <row r="1612" spans="1:9" hidden="1" x14ac:dyDescent="0.25">
      <c r="A1612" s="1">
        <v>46262</v>
      </c>
      <c r="B1612">
        <v>1037638426</v>
      </c>
      <c r="C1612" t="s">
        <v>61</v>
      </c>
      <c r="D1612" s="11" t="s">
        <v>28</v>
      </c>
      <c r="E1612" s="11" t="s">
        <v>4046</v>
      </c>
      <c r="F1612" s="1">
        <v>46249</v>
      </c>
      <c r="G1612" s="1">
        <v>46264</v>
      </c>
      <c r="H1612" s="11" t="s">
        <v>300</v>
      </c>
      <c r="I1612" s="11" t="s">
        <v>301</v>
      </c>
    </row>
    <row r="1613" spans="1:9" hidden="1" x14ac:dyDescent="0.25">
      <c r="A1613" s="1">
        <v>46262</v>
      </c>
      <c r="B1613">
        <v>1082896324</v>
      </c>
      <c r="C1613" t="s">
        <v>127</v>
      </c>
      <c r="D1613" s="11" t="s">
        <v>128</v>
      </c>
      <c r="E1613" s="11" t="s">
        <v>4045</v>
      </c>
      <c r="F1613" s="1">
        <v>46242</v>
      </c>
      <c r="G1613" s="1">
        <v>46272</v>
      </c>
      <c r="H1613" s="11"/>
      <c r="I1613" s="11" t="s">
        <v>327</v>
      </c>
    </row>
    <row r="1614" spans="1:9" hidden="1" x14ac:dyDescent="0.25">
      <c r="A1614" s="1">
        <v>46262</v>
      </c>
      <c r="B1614">
        <v>1152446353</v>
      </c>
      <c r="C1614" t="s">
        <v>205</v>
      </c>
      <c r="D1614" s="11" t="s">
        <v>51</v>
      </c>
      <c r="E1614" s="11" t="s">
        <v>4047</v>
      </c>
      <c r="F1614" s="1">
        <v>46236</v>
      </c>
      <c r="G1614" s="1">
        <v>46262</v>
      </c>
      <c r="H1614" s="11" t="s">
        <v>85</v>
      </c>
      <c r="I1614" s="11" t="s">
        <v>86</v>
      </c>
    </row>
    <row r="1615" spans="1:9" hidden="1" x14ac:dyDescent="0.25">
      <c r="A1615" s="1">
        <v>46262</v>
      </c>
      <c r="B1615">
        <v>1000944725</v>
      </c>
      <c r="C1615" t="s">
        <v>3007</v>
      </c>
      <c r="D1615" s="11" t="s">
        <v>78</v>
      </c>
      <c r="E1615" s="11" t="s">
        <v>4046</v>
      </c>
      <c r="F1615" s="1">
        <v>46258</v>
      </c>
      <c r="G1615" s="1">
        <v>46267</v>
      </c>
      <c r="H1615" s="11"/>
      <c r="I1615" s="11" t="s">
        <v>327</v>
      </c>
    </row>
    <row r="1616" spans="1:9" hidden="1" x14ac:dyDescent="0.25">
      <c r="A1616" s="1">
        <v>46262</v>
      </c>
      <c r="B1616">
        <v>1001851670</v>
      </c>
      <c r="C1616" t="s">
        <v>50</v>
      </c>
      <c r="D1616" s="11" t="s">
        <v>51</v>
      </c>
      <c r="E1616" s="11" t="s">
        <v>4047</v>
      </c>
      <c r="F1616" s="1">
        <v>46241</v>
      </c>
      <c r="G1616" s="1">
        <v>46366</v>
      </c>
      <c r="H1616" s="11"/>
      <c r="I1616" s="11" t="s">
        <v>327</v>
      </c>
    </row>
    <row r="1617" spans="1:9" hidden="1" x14ac:dyDescent="0.25">
      <c r="A1617" s="1">
        <v>46262</v>
      </c>
      <c r="B1617">
        <v>1000415206</v>
      </c>
      <c r="C1617" t="s">
        <v>325</v>
      </c>
      <c r="D1617" s="11" t="s">
        <v>82</v>
      </c>
      <c r="E1617" s="11" t="s">
        <v>4045</v>
      </c>
      <c r="F1617" s="1">
        <v>46258</v>
      </c>
      <c r="G1617" s="1">
        <v>46262</v>
      </c>
      <c r="H1617" s="11" t="s">
        <v>231</v>
      </c>
      <c r="I1617" s="11" t="s">
        <v>232</v>
      </c>
    </row>
    <row r="1618" spans="1:9" hidden="1" x14ac:dyDescent="0.25">
      <c r="A1618" s="1">
        <v>46262</v>
      </c>
      <c r="B1618">
        <v>42141273</v>
      </c>
      <c r="C1618" t="s">
        <v>271</v>
      </c>
      <c r="D1618" s="11" t="s">
        <v>272</v>
      </c>
      <c r="E1618" s="11" t="s">
        <v>4056</v>
      </c>
      <c r="F1618" s="1">
        <v>46238</v>
      </c>
      <c r="G1618" s="1">
        <v>46295</v>
      </c>
      <c r="H1618" s="11" t="s">
        <v>184</v>
      </c>
      <c r="I1618" s="11" t="s">
        <v>185</v>
      </c>
    </row>
    <row r="1619" spans="1:9" hidden="1" x14ac:dyDescent="0.25">
      <c r="A1619" s="1">
        <v>46262</v>
      </c>
      <c r="B1619">
        <v>1005424850</v>
      </c>
      <c r="C1619" t="s">
        <v>95</v>
      </c>
      <c r="D1619" s="11" t="s">
        <v>82</v>
      </c>
      <c r="E1619" s="11" t="s">
        <v>4045</v>
      </c>
      <c r="F1619" s="1">
        <v>46261</v>
      </c>
      <c r="G1619" s="1">
        <v>46262</v>
      </c>
      <c r="H1619" s="11" t="s">
        <v>303</v>
      </c>
      <c r="I1619" s="11" t="s">
        <v>304</v>
      </c>
    </row>
    <row r="1620" spans="1:9" hidden="1" x14ac:dyDescent="0.25">
      <c r="A1620" s="1">
        <v>46262</v>
      </c>
      <c r="B1620">
        <v>1152221372</v>
      </c>
      <c r="C1620" t="s">
        <v>4072</v>
      </c>
      <c r="D1620" s="11" t="s">
        <v>139</v>
      </c>
      <c r="E1620" s="11" t="s">
        <v>4040</v>
      </c>
      <c r="F1620" s="1">
        <v>46230</v>
      </c>
      <c r="G1620" s="1">
        <v>46230</v>
      </c>
      <c r="H1620" s="11"/>
      <c r="I1620" s="11" t="s">
        <v>327</v>
      </c>
    </row>
    <row r="1621" spans="1:9" hidden="1" x14ac:dyDescent="0.25">
      <c r="A1621" s="1">
        <v>46262</v>
      </c>
      <c r="B1621">
        <v>1037630071</v>
      </c>
      <c r="C1621" t="s">
        <v>4196</v>
      </c>
      <c r="D1621" s="11" t="s">
        <v>176</v>
      </c>
      <c r="E1621" s="11" t="s">
        <v>4040</v>
      </c>
      <c r="F1621" s="1">
        <v>46247</v>
      </c>
      <c r="G1621" s="1">
        <v>46265</v>
      </c>
      <c r="H1621" s="11" t="s">
        <v>294</v>
      </c>
      <c r="I1621" s="11" t="s">
        <v>295</v>
      </c>
    </row>
    <row r="1622" spans="1:9" hidden="1" x14ac:dyDescent="0.25">
      <c r="A1622" s="1">
        <v>46262</v>
      </c>
      <c r="B1622">
        <v>1143460426</v>
      </c>
      <c r="C1622" t="s">
        <v>4069</v>
      </c>
      <c r="D1622" s="11" t="s">
        <v>64</v>
      </c>
      <c r="E1622" s="11" t="s">
        <v>4046</v>
      </c>
      <c r="F1622" s="1">
        <v>46195</v>
      </c>
      <c r="G1622" s="1">
        <v>46198</v>
      </c>
      <c r="H1622" s="11" t="s">
        <v>236</v>
      </c>
      <c r="I1622" s="11" t="s">
        <v>237</v>
      </c>
    </row>
    <row r="1623" spans="1:9" hidden="1" x14ac:dyDescent="0.25">
      <c r="A1623" s="1">
        <v>46262</v>
      </c>
      <c r="B1623">
        <v>1152456771</v>
      </c>
      <c r="C1623" t="s">
        <v>2914</v>
      </c>
      <c r="D1623" s="11" t="s">
        <v>51</v>
      </c>
      <c r="E1623" s="11" t="s">
        <v>4047</v>
      </c>
      <c r="F1623" s="1">
        <v>46261</v>
      </c>
      <c r="H1623" s="11"/>
      <c r="I1623" s="11" t="s">
        <v>4060</v>
      </c>
    </row>
    <row r="1624" spans="1:9" hidden="1" x14ac:dyDescent="0.25">
      <c r="A1624" s="1">
        <v>46262</v>
      </c>
      <c r="B1624">
        <v>1037608343</v>
      </c>
      <c r="C1624" t="s">
        <v>3077</v>
      </c>
      <c r="D1624" s="11" t="s">
        <v>39</v>
      </c>
      <c r="E1624" s="11" t="s">
        <v>4046</v>
      </c>
      <c r="F1624" s="1">
        <v>46261</v>
      </c>
      <c r="G1624" s="1">
        <v>46265</v>
      </c>
      <c r="H1624" s="11"/>
      <c r="I1624" s="11" t="s">
        <v>327</v>
      </c>
    </row>
    <row r="1625" spans="1:9" hidden="1" x14ac:dyDescent="0.25">
      <c r="A1625" s="1">
        <v>46262</v>
      </c>
      <c r="B1625">
        <v>1127339766</v>
      </c>
      <c r="C1625" t="s">
        <v>3262</v>
      </c>
      <c r="D1625" s="11" t="s">
        <v>39</v>
      </c>
      <c r="E1625" s="11" t="s">
        <v>4046</v>
      </c>
      <c r="F1625" s="1">
        <v>46261</v>
      </c>
      <c r="G1625" s="1">
        <v>46261</v>
      </c>
      <c r="H1625" s="11"/>
      <c r="I1625" s="11" t="s">
        <v>4041</v>
      </c>
    </row>
    <row r="1626" spans="1:9" hidden="1" x14ac:dyDescent="0.25">
      <c r="A1626" s="1">
        <v>46262</v>
      </c>
      <c r="B1626">
        <v>1017271052</v>
      </c>
      <c r="C1626" t="s">
        <v>489</v>
      </c>
      <c r="D1626" s="11" t="s">
        <v>55</v>
      </c>
      <c r="E1626" s="11" t="s">
        <v>4047</v>
      </c>
      <c r="F1626" s="1">
        <v>46261</v>
      </c>
      <c r="G1626" s="1">
        <v>46262</v>
      </c>
      <c r="H1626" s="11"/>
      <c r="I1626" s="11" t="s">
        <v>4060</v>
      </c>
    </row>
    <row r="1627" spans="1:9" hidden="1" x14ac:dyDescent="0.25">
      <c r="A1627" s="1">
        <v>46262</v>
      </c>
      <c r="B1627">
        <v>1096223065</v>
      </c>
      <c r="C1627" t="s">
        <v>3428</v>
      </c>
      <c r="D1627" s="11" t="s">
        <v>55</v>
      </c>
      <c r="E1627" s="11" t="s">
        <v>4047</v>
      </c>
      <c r="F1627" s="1">
        <v>46256</v>
      </c>
      <c r="G1627" s="1">
        <v>46263</v>
      </c>
      <c r="H1627" s="11"/>
      <c r="I1627" s="11" t="s">
        <v>327</v>
      </c>
    </row>
    <row r="1628" spans="1:9" hidden="1" x14ac:dyDescent="0.25">
      <c r="A1628" s="1">
        <v>46262</v>
      </c>
      <c r="B1628">
        <v>1002248662</v>
      </c>
      <c r="C1628" t="s">
        <v>4322</v>
      </c>
      <c r="D1628" s="11" t="s">
        <v>55</v>
      </c>
      <c r="E1628" s="11" t="s">
        <v>4047</v>
      </c>
      <c r="F1628" s="1">
        <v>46261</v>
      </c>
      <c r="G1628" s="1">
        <v>46263</v>
      </c>
      <c r="H1628" s="11"/>
      <c r="I1628" s="11" t="s">
        <v>327</v>
      </c>
    </row>
    <row r="1629" spans="1:9" hidden="1" x14ac:dyDescent="0.25">
      <c r="A1629" s="1">
        <v>46262</v>
      </c>
      <c r="B1629">
        <v>1116283658</v>
      </c>
      <c r="C1629" t="s">
        <v>283</v>
      </c>
      <c r="D1629" s="11" t="s">
        <v>256</v>
      </c>
      <c r="E1629" s="11" t="s">
        <v>4040</v>
      </c>
      <c r="F1629" s="1">
        <v>46258</v>
      </c>
      <c r="G1629" s="1">
        <v>46265</v>
      </c>
      <c r="H1629" s="11"/>
      <c r="I1629" s="11" t="s">
        <v>327</v>
      </c>
    </row>
    <row r="1630" spans="1:9" hidden="1" x14ac:dyDescent="0.25">
      <c r="A1630" s="1">
        <v>46262</v>
      </c>
      <c r="B1630">
        <v>1083048455</v>
      </c>
      <c r="C1630" t="s">
        <v>2787</v>
      </c>
      <c r="D1630" s="11" t="s">
        <v>256</v>
      </c>
      <c r="E1630" s="11" t="s">
        <v>4040</v>
      </c>
      <c r="F1630" s="1">
        <v>46261</v>
      </c>
      <c r="G1630" s="1">
        <v>46262</v>
      </c>
      <c r="H1630" s="11"/>
      <c r="I1630" s="11" t="s">
        <v>327</v>
      </c>
    </row>
    <row r="1631" spans="1:9" hidden="1" x14ac:dyDescent="0.25">
      <c r="A1631" s="1">
        <v>46262</v>
      </c>
      <c r="B1631">
        <v>1192904075</v>
      </c>
      <c r="C1631" t="s">
        <v>3776</v>
      </c>
      <c r="D1631" s="11" t="s">
        <v>256</v>
      </c>
      <c r="E1631" s="11" t="s">
        <v>4040</v>
      </c>
      <c r="F1631" s="1">
        <v>46261</v>
      </c>
      <c r="G1631" s="1">
        <v>46261</v>
      </c>
      <c r="H1631" s="11"/>
      <c r="I1631" s="11" t="s">
        <v>4041</v>
      </c>
    </row>
    <row r="1632" spans="1:9" hidden="1" x14ac:dyDescent="0.25">
      <c r="A1632" s="1">
        <v>46262</v>
      </c>
      <c r="B1632">
        <v>1038408808</v>
      </c>
      <c r="C1632" t="s">
        <v>483</v>
      </c>
      <c r="D1632" s="11" t="s">
        <v>482</v>
      </c>
      <c r="E1632" s="11" t="s">
        <v>4040</v>
      </c>
      <c r="F1632" s="1">
        <v>46259</v>
      </c>
      <c r="G1632" s="1">
        <v>46262</v>
      </c>
      <c r="H1632" s="11" t="s">
        <v>167</v>
      </c>
      <c r="I1632" s="11" t="s">
        <v>168</v>
      </c>
    </row>
    <row r="1633" spans="1:9" hidden="1" x14ac:dyDescent="0.25">
      <c r="A1633" s="1">
        <v>46262</v>
      </c>
      <c r="B1633">
        <v>1020475954</v>
      </c>
      <c r="C1633" t="s">
        <v>3934</v>
      </c>
      <c r="D1633" s="11" t="s">
        <v>68</v>
      </c>
      <c r="E1633" s="11" t="s">
        <v>4040</v>
      </c>
      <c r="F1633" s="1">
        <v>46261</v>
      </c>
      <c r="G1633" s="1">
        <v>46262</v>
      </c>
      <c r="H1633" s="11" t="s">
        <v>119</v>
      </c>
      <c r="I1633" s="11" t="s">
        <v>120</v>
      </c>
    </row>
    <row r="1634" spans="1:9" hidden="1" x14ac:dyDescent="0.25">
      <c r="A1634" s="1">
        <v>46262</v>
      </c>
      <c r="B1634">
        <v>50927877</v>
      </c>
      <c r="C1634" t="s">
        <v>1709</v>
      </c>
      <c r="D1634" s="11" t="s">
        <v>176</v>
      </c>
      <c r="E1634" s="11" t="s">
        <v>4040</v>
      </c>
      <c r="F1634" s="1">
        <v>46261</v>
      </c>
      <c r="G1634" s="1">
        <v>46261</v>
      </c>
      <c r="H1634" s="11"/>
      <c r="I1634" s="11" t="s">
        <v>4041</v>
      </c>
    </row>
    <row r="1635" spans="1:9" hidden="1" x14ac:dyDescent="0.25">
      <c r="A1635" s="1">
        <v>46262</v>
      </c>
      <c r="B1635">
        <v>43453341</v>
      </c>
      <c r="C1635" t="s">
        <v>146</v>
      </c>
      <c r="D1635" s="11" t="s">
        <v>124</v>
      </c>
      <c r="E1635" s="11" t="s">
        <v>4045</v>
      </c>
      <c r="F1635" s="1">
        <v>46254</v>
      </c>
      <c r="G1635" s="1">
        <v>46268</v>
      </c>
      <c r="H1635" s="11"/>
      <c r="I1635" s="11" t="s">
        <v>327</v>
      </c>
    </row>
    <row r="1636" spans="1:9" hidden="1" x14ac:dyDescent="0.25">
      <c r="A1636" s="1">
        <v>46262</v>
      </c>
      <c r="B1636">
        <v>1035876080</v>
      </c>
      <c r="C1636" t="s">
        <v>123</v>
      </c>
      <c r="D1636" s="11" t="s">
        <v>124</v>
      </c>
      <c r="E1636" s="11" t="s">
        <v>4045</v>
      </c>
      <c r="F1636" s="1">
        <v>46254</v>
      </c>
      <c r="H1636" s="11" t="s">
        <v>73</v>
      </c>
      <c r="I1636" s="11" t="s">
        <v>74</v>
      </c>
    </row>
    <row r="1637" spans="1:9" hidden="1" x14ac:dyDescent="0.25">
      <c r="A1637" s="1">
        <v>46262</v>
      </c>
      <c r="B1637">
        <v>1152187746</v>
      </c>
      <c r="C1637" t="s">
        <v>4007</v>
      </c>
      <c r="D1637" s="11" t="s">
        <v>619</v>
      </c>
      <c r="E1637" s="11" t="s">
        <v>4045</v>
      </c>
      <c r="F1637" s="1">
        <v>46261</v>
      </c>
      <c r="G1637" s="1">
        <v>46263</v>
      </c>
      <c r="H1637" s="11" t="s">
        <v>199</v>
      </c>
      <c r="I1637" s="11" t="s">
        <v>200</v>
      </c>
    </row>
    <row r="1638" spans="1:9" hidden="1" x14ac:dyDescent="0.25">
      <c r="A1638" s="1">
        <v>46262</v>
      </c>
      <c r="B1638">
        <v>1001446162</v>
      </c>
      <c r="C1638" t="s">
        <v>3663</v>
      </c>
      <c r="D1638" s="11" t="s">
        <v>4078</v>
      </c>
      <c r="E1638" s="11" t="s">
        <v>4056</v>
      </c>
      <c r="F1638" s="1">
        <v>46262</v>
      </c>
      <c r="G1638" s="1">
        <v>46262</v>
      </c>
      <c r="H1638" s="11" t="s">
        <v>3662</v>
      </c>
      <c r="I1638" s="11" t="s">
        <v>3663</v>
      </c>
    </row>
    <row r="1639" spans="1:9" hidden="1" x14ac:dyDescent="0.25">
      <c r="A1639" s="1">
        <v>46262</v>
      </c>
      <c r="B1639">
        <v>1103099277</v>
      </c>
      <c r="C1639" t="s">
        <v>2594</v>
      </c>
      <c r="D1639" s="11" t="s">
        <v>78</v>
      </c>
      <c r="E1639" s="11" t="s">
        <v>4046</v>
      </c>
      <c r="F1639" s="1">
        <v>46260</v>
      </c>
      <c r="G1639" s="1">
        <v>46262</v>
      </c>
      <c r="H1639" s="11"/>
      <c r="I1639" s="11" t="s">
        <v>327</v>
      </c>
    </row>
    <row r="1640" spans="1:9" hidden="1" x14ac:dyDescent="0.25">
      <c r="A1640" s="1">
        <v>46262</v>
      </c>
      <c r="B1640">
        <v>39192742</v>
      </c>
      <c r="C1640" t="s">
        <v>2632</v>
      </c>
      <c r="D1640" s="11" t="s">
        <v>272</v>
      </c>
      <c r="E1640" s="11" t="s">
        <v>4056</v>
      </c>
      <c r="F1640" s="1">
        <v>46262</v>
      </c>
      <c r="H1640" s="11"/>
      <c r="I1640" s="11" t="s">
        <v>4324</v>
      </c>
    </row>
    <row r="1641" spans="1:9" hidden="1" x14ac:dyDescent="0.25">
      <c r="A1641" s="1">
        <v>46262</v>
      </c>
      <c r="B1641">
        <v>1016090631</v>
      </c>
      <c r="C1641" t="s">
        <v>2866</v>
      </c>
      <c r="D1641" s="11" t="s">
        <v>55</v>
      </c>
      <c r="E1641" s="11" t="s">
        <v>4047</v>
      </c>
      <c r="F1641" s="1">
        <v>46261</v>
      </c>
      <c r="G1641" s="1">
        <v>46263</v>
      </c>
      <c r="H1641" s="11"/>
      <c r="I1641" s="11" t="s">
        <v>327</v>
      </c>
    </row>
    <row r="1642" spans="1:9" hidden="1" x14ac:dyDescent="0.25">
      <c r="A1642" s="1">
        <v>46262</v>
      </c>
      <c r="B1642">
        <v>1193537573</v>
      </c>
      <c r="C1642" t="s">
        <v>431</v>
      </c>
      <c r="D1642" s="11" t="s">
        <v>245</v>
      </c>
      <c r="E1642" s="11" t="s">
        <v>4040</v>
      </c>
      <c r="F1642" s="1">
        <v>46261</v>
      </c>
      <c r="G1642" s="1">
        <v>46261</v>
      </c>
      <c r="H1642" s="11"/>
      <c r="I1642" s="11" t="s">
        <v>4060</v>
      </c>
    </row>
    <row r="1643" spans="1:9" hidden="1" x14ac:dyDescent="0.25">
      <c r="A1643" s="1">
        <v>46262</v>
      </c>
      <c r="B1643">
        <v>1077458502</v>
      </c>
      <c r="C1643" t="s">
        <v>1623</v>
      </c>
      <c r="D1643" s="11" t="s">
        <v>128</v>
      </c>
      <c r="E1643" s="11" t="s">
        <v>4045</v>
      </c>
      <c r="F1643" s="1">
        <v>46261</v>
      </c>
      <c r="G1643" s="1">
        <v>46263</v>
      </c>
      <c r="H1643" s="11"/>
      <c r="I1643" s="11" t="s">
        <v>327</v>
      </c>
    </row>
    <row r="1644" spans="1:9" hidden="1" x14ac:dyDescent="0.25">
      <c r="A1644" s="1">
        <v>46262</v>
      </c>
      <c r="B1644">
        <v>1005582317</v>
      </c>
      <c r="C1644" t="s">
        <v>2959</v>
      </c>
      <c r="D1644" s="11" t="s">
        <v>28</v>
      </c>
      <c r="E1644" s="11" t="s">
        <v>4046</v>
      </c>
      <c r="F1644" s="1">
        <v>46262</v>
      </c>
      <c r="G1644" s="1">
        <v>46263</v>
      </c>
      <c r="H1644" s="11"/>
      <c r="I1644" s="11" t="s">
        <v>327</v>
      </c>
    </row>
    <row r="1645" spans="1:9" hidden="1" x14ac:dyDescent="0.25">
      <c r="A1645" s="1">
        <v>46262</v>
      </c>
      <c r="B1645">
        <v>1100694689</v>
      </c>
      <c r="C1645" t="s">
        <v>262</v>
      </c>
      <c r="D1645" s="11" t="s">
        <v>4078</v>
      </c>
      <c r="E1645" s="11" t="s">
        <v>4047</v>
      </c>
      <c r="F1645" s="1">
        <v>46262</v>
      </c>
      <c r="G1645" s="1">
        <v>46262</v>
      </c>
      <c r="H1645" s="11" t="s">
        <v>261</v>
      </c>
      <c r="I1645" s="11" t="s">
        <v>262</v>
      </c>
    </row>
    <row r="1646" spans="1:9" hidden="1" x14ac:dyDescent="0.25">
      <c r="A1646" s="1">
        <v>46262</v>
      </c>
      <c r="B1646">
        <v>1037645925</v>
      </c>
      <c r="C1646" t="s">
        <v>926</v>
      </c>
      <c r="D1646" s="11" t="s">
        <v>28</v>
      </c>
      <c r="E1646" s="11" t="s">
        <v>4046</v>
      </c>
      <c r="F1646" s="1">
        <v>46262</v>
      </c>
      <c r="G1646" s="1">
        <v>46262</v>
      </c>
      <c r="H1646" s="11"/>
      <c r="I1646" s="11" t="s">
        <v>327</v>
      </c>
    </row>
    <row r="1647" spans="1:9" hidden="1" x14ac:dyDescent="0.25">
      <c r="A1647" s="1">
        <v>46262</v>
      </c>
      <c r="B1647">
        <v>1047509880</v>
      </c>
      <c r="C1647" t="s">
        <v>3290</v>
      </c>
      <c r="D1647" s="11" t="s">
        <v>28</v>
      </c>
      <c r="E1647" s="11" t="s">
        <v>4046</v>
      </c>
      <c r="F1647" s="1">
        <v>46262</v>
      </c>
      <c r="G1647" s="1">
        <v>46263</v>
      </c>
      <c r="H1647" s="11" t="s">
        <v>181</v>
      </c>
      <c r="I1647" s="11" t="s">
        <v>182</v>
      </c>
    </row>
    <row r="1648" spans="1:9" hidden="1" x14ac:dyDescent="0.25">
      <c r="A1648" s="1">
        <v>46262</v>
      </c>
      <c r="B1648">
        <v>57418917</v>
      </c>
      <c r="C1648" t="s">
        <v>4329</v>
      </c>
      <c r="D1648" s="11" t="s">
        <v>28</v>
      </c>
      <c r="E1648" s="11" t="s">
        <v>4046</v>
      </c>
      <c r="F1648" s="1">
        <v>46262</v>
      </c>
      <c r="G1648" s="1">
        <v>46262</v>
      </c>
      <c r="H1648" s="11"/>
      <c r="I1648" s="11" t="s">
        <v>327</v>
      </c>
    </row>
    <row r="1649" spans="1:9" hidden="1" x14ac:dyDescent="0.25">
      <c r="A1649" s="1">
        <v>46262</v>
      </c>
      <c r="B1649">
        <v>1152462501</v>
      </c>
      <c r="C1649" t="s">
        <v>3056</v>
      </c>
      <c r="D1649" s="11" t="s">
        <v>28</v>
      </c>
      <c r="E1649" s="11" t="s">
        <v>4046</v>
      </c>
      <c r="F1649" s="1">
        <v>46262</v>
      </c>
      <c r="G1649" s="1">
        <v>46262</v>
      </c>
      <c r="H1649" s="11"/>
      <c r="I1649" s="11" t="s">
        <v>327</v>
      </c>
    </row>
    <row r="1650" spans="1:9" hidden="1" x14ac:dyDescent="0.25">
      <c r="A1650" s="1">
        <v>46263</v>
      </c>
      <c r="B1650">
        <v>1152462501</v>
      </c>
      <c r="C1650" t="s">
        <v>3056</v>
      </c>
      <c r="D1650" s="11" t="s">
        <v>78</v>
      </c>
      <c r="E1650" s="11" t="s">
        <v>4046</v>
      </c>
      <c r="F1650" s="1">
        <v>46262</v>
      </c>
      <c r="G1650" s="1">
        <v>46262</v>
      </c>
      <c r="H1650" s="11"/>
      <c r="I1650" s="11" t="s">
        <v>339</v>
      </c>
    </row>
    <row r="1651" spans="1:9" hidden="1" x14ac:dyDescent="0.25">
      <c r="A1651" s="1">
        <v>46263</v>
      </c>
      <c r="B1651">
        <v>1016090631</v>
      </c>
      <c r="C1651" t="s">
        <v>2866</v>
      </c>
      <c r="D1651" s="11" t="s">
        <v>55</v>
      </c>
      <c r="E1651" s="11" t="s">
        <v>4047</v>
      </c>
      <c r="F1651" s="1">
        <v>46261</v>
      </c>
      <c r="G1651" s="1">
        <v>46263</v>
      </c>
      <c r="H1651" s="11"/>
      <c r="I1651" s="11" t="s">
        <v>339</v>
      </c>
    </row>
    <row r="1652" spans="1:9" hidden="1" x14ac:dyDescent="0.25">
      <c r="A1652" s="1">
        <v>46263</v>
      </c>
      <c r="B1652">
        <v>1047509880</v>
      </c>
      <c r="C1652" t="s">
        <v>3290</v>
      </c>
      <c r="D1652" s="11" t="s">
        <v>28</v>
      </c>
      <c r="E1652" s="11" t="s">
        <v>4046</v>
      </c>
      <c r="F1652" s="1">
        <v>46262</v>
      </c>
      <c r="G1652" s="1">
        <v>46263</v>
      </c>
      <c r="H1652" s="11"/>
      <c r="I1652" s="11" t="s">
        <v>339</v>
      </c>
    </row>
    <row r="1653" spans="1:9" hidden="1" x14ac:dyDescent="0.25">
      <c r="A1653" s="1">
        <v>46263</v>
      </c>
      <c r="B1653">
        <v>1037645925</v>
      </c>
      <c r="C1653" t="s">
        <v>926</v>
      </c>
      <c r="D1653" s="11" t="s">
        <v>28</v>
      </c>
      <c r="E1653" s="11" t="s">
        <v>4046</v>
      </c>
      <c r="F1653" s="1">
        <v>46262</v>
      </c>
      <c r="G1653" s="1">
        <v>46262</v>
      </c>
      <c r="H1653" s="11"/>
      <c r="I1653" s="11" t="s">
        <v>339</v>
      </c>
    </row>
    <row r="1654" spans="1:9" hidden="1" x14ac:dyDescent="0.25">
      <c r="A1654" s="1">
        <v>46263</v>
      </c>
      <c r="B1654">
        <v>1005582317</v>
      </c>
      <c r="C1654" t="s">
        <v>4331</v>
      </c>
      <c r="D1654" s="11" t="s">
        <v>28</v>
      </c>
      <c r="E1654" s="11" t="s">
        <v>4046</v>
      </c>
      <c r="F1654" s="1">
        <v>46262</v>
      </c>
      <c r="G1654" s="1">
        <v>46263</v>
      </c>
      <c r="H1654" s="11"/>
      <c r="I1654" s="11" t="s">
        <v>339</v>
      </c>
    </row>
    <row r="1655" spans="1:9" hidden="1" x14ac:dyDescent="0.25">
      <c r="A1655" s="1">
        <v>46263</v>
      </c>
      <c r="B1655">
        <v>1077458502</v>
      </c>
      <c r="C1655" t="s">
        <v>4332</v>
      </c>
      <c r="D1655" s="11" t="s">
        <v>128</v>
      </c>
      <c r="E1655" s="11" t="s">
        <v>4045</v>
      </c>
      <c r="F1655" s="1">
        <v>46261</v>
      </c>
      <c r="G1655" s="1">
        <v>46263</v>
      </c>
      <c r="H1655" s="11"/>
      <c r="I1655" s="11" t="s">
        <v>339</v>
      </c>
    </row>
    <row r="1656" spans="1:9" hidden="1" x14ac:dyDescent="0.25">
      <c r="A1656" s="1">
        <v>46263</v>
      </c>
      <c r="B1656">
        <v>1039462842</v>
      </c>
      <c r="C1656" t="s">
        <v>4333</v>
      </c>
      <c r="D1656" s="11" t="s">
        <v>128</v>
      </c>
      <c r="E1656" s="11" t="s">
        <v>4045</v>
      </c>
      <c r="F1656" s="1">
        <v>46263</v>
      </c>
      <c r="G1656" s="1">
        <v>46267</v>
      </c>
      <c r="H1656" s="11"/>
      <c r="I1656" s="11" t="s">
        <v>339</v>
      </c>
    </row>
    <row r="1657" spans="1:9" hidden="1" x14ac:dyDescent="0.25">
      <c r="A1657" s="1">
        <v>46263</v>
      </c>
      <c r="B1657">
        <v>1193537573</v>
      </c>
      <c r="C1657" t="s">
        <v>431</v>
      </c>
      <c r="D1657" s="11" t="s">
        <v>245</v>
      </c>
      <c r="E1657" s="11" t="s">
        <v>4040</v>
      </c>
      <c r="F1657" s="1">
        <v>46261</v>
      </c>
      <c r="G1657" s="1">
        <v>46261</v>
      </c>
      <c r="H1657" s="11"/>
      <c r="I1657" s="11" t="s">
        <v>339</v>
      </c>
    </row>
    <row r="1658" spans="1:9" hidden="1" x14ac:dyDescent="0.25">
      <c r="A1658" s="1">
        <v>46263</v>
      </c>
      <c r="B1658">
        <v>1017260545</v>
      </c>
      <c r="C1658" t="s">
        <v>4334</v>
      </c>
      <c r="D1658" s="11" t="s">
        <v>4339</v>
      </c>
      <c r="E1658" s="11" t="s">
        <v>4040</v>
      </c>
      <c r="F1658" s="1">
        <v>46261</v>
      </c>
      <c r="G1658" s="1">
        <v>46263</v>
      </c>
      <c r="H1658" s="11"/>
      <c r="I1658" s="11" t="s">
        <v>339</v>
      </c>
    </row>
    <row r="1659" spans="1:9" hidden="1" x14ac:dyDescent="0.25">
      <c r="A1659" s="1">
        <v>46263</v>
      </c>
      <c r="B1659">
        <v>1096223065</v>
      </c>
      <c r="C1659" t="s">
        <v>3428</v>
      </c>
      <c r="D1659" s="11" t="s">
        <v>59</v>
      </c>
      <c r="E1659" s="11" t="s">
        <v>4047</v>
      </c>
      <c r="F1659" s="1">
        <v>46256</v>
      </c>
      <c r="G1659" s="1">
        <v>46263</v>
      </c>
      <c r="H1659" s="11"/>
      <c r="I1659" s="11" t="s">
        <v>339</v>
      </c>
    </row>
    <row r="1660" spans="1:9" hidden="1" x14ac:dyDescent="0.25">
      <c r="A1660" s="1">
        <v>46263</v>
      </c>
      <c r="B1660">
        <v>1037638426</v>
      </c>
      <c r="C1660" t="s">
        <v>61</v>
      </c>
      <c r="D1660" s="11" t="s">
        <v>28</v>
      </c>
      <c r="E1660" s="11" t="s">
        <v>4046</v>
      </c>
      <c r="F1660" s="1">
        <v>46263</v>
      </c>
      <c r="G1660" s="1">
        <v>46295</v>
      </c>
      <c r="H1660" s="11"/>
      <c r="I1660" s="11" t="s">
        <v>339</v>
      </c>
    </row>
    <row r="1661" spans="1:9" hidden="1" x14ac:dyDescent="0.25">
      <c r="A1661" s="1">
        <v>46263</v>
      </c>
      <c r="B1661">
        <v>1103099277</v>
      </c>
      <c r="C1661" t="s">
        <v>4336</v>
      </c>
      <c r="D1661" s="11" t="s">
        <v>78</v>
      </c>
      <c r="E1661" s="11" t="s">
        <v>4046</v>
      </c>
      <c r="F1661" s="1">
        <v>46260</v>
      </c>
      <c r="G1661" s="1">
        <v>46262</v>
      </c>
      <c r="H1661" s="11"/>
      <c r="I1661" s="11" t="s">
        <v>339</v>
      </c>
    </row>
    <row r="1662" spans="1:9" hidden="1" x14ac:dyDescent="0.25">
      <c r="A1662" s="1">
        <v>46263</v>
      </c>
      <c r="B1662">
        <v>1020475954</v>
      </c>
      <c r="C1662" t="s">
        <v>3934</v>
      </c>
      <c r="D1662" s="11" t="s">
        <v>68</v>
      </c>
      <c r="E1662" s="11" t="s">
        <v>4040</v>
      </c>
      <c r="F1662" s="1">
        <v>46261</v>
      </c>
      <c r="G1662" s="1">
        <v>46262</v>
      </c>
      <c r="H1662" s="11"/>
      <c r="I1662" s="11" t="s">
        <v>339</v>
      </c>
    </row>
    <row r="1663" spans="1:9" hidden="1" x14ac:dyDescent="0.25">
      <c r="A1663" s="1">
        <v>46263</v>
      </c>
      <c r="B1663">
        <v>1037608343</v>
      </c>
      <c r="C1663" t="s">
        <v>4337</v>
      </c>
      <c r="D1663" s="11" t="s">
        <v>39</v>
      </c>
      <c r="E1663" s="11" t="s">
        <v>4046</v>
      </c>
      <c r="F1663" s="1">
        <v>46261</v>
      </c>
      <c r="G1663" s="1">
        <v>46265</v>
      </c>
      <c r="H1663" s="11"/>
      <c r="I1663" s="11" t="s">
        <v>339</v>
      </c>
    </row>
    <row r="1664" spans="1:9" hidden="1" x14ac:dyDescent="0.25">
      <c r="A1664" s="1">
        <v>46263</v>
      </c>
      <c r="B1664">
        <v>1128272024</v>
      </c>
      <c r="C1664" t="s">
        <v>1101</v>
      </c>
      <c r="D1664" s="11" t="s">
        <v>51</v>
      </c>
      <c r="E1664" s="11" t="s">
        <v>4047</v>
      </c>
      <c r="F1664" s="1">
        <v>46261</v>
      </c>
      <c r="G1664" s="1">
        <v>46262</v>
      </c>
      <c r="H1664" s="11"/>
      <c r="I1664" s="11" t="s">
        <v>339</v>
      </c>
    </row>
    <row r="1665" spans="1:9" hidden="1" x14ac:dyDescent="0.25">
      <c r="A1665" s="1">
        <v>46263</v>
      </c>
      <c r="B1665">
        <v>42161723</v>
      </c>
      <c r="C1665" t="s">
        <v>4315</v>
      </c>
      <c r="D1665" s="11" t="s">
        <v>256</v>
      </c>
      <c r="E1665" s="11" t="s">
        <v>4040</v>
      </c>
      <c r="F1665" s="1">
        <v>46261</v>
      </c>
      <c r="G1665" s="1">
        <v>46262</v>
      </c>
      <c r="H1665" s="11"/>
      <c r="I1665" s="11" t="s">
        <v>339</v>
      </c>
    </row>
    <row r="1666" spans="1:9" hidden="1" x14ac:dyDescent="0.25">
      <c r="A1666" s="1">
        <v>46263</v>
      </c>
      <c r="B1666">
        <v>1143168832</v>
      </c>
      <c r="C1666" t="s">
        <v>1965</v>
      </c>
      <c r="D1666" s="11" t="s">
        <v>128</v>
      </c>
      <c r="E1666" s="11" t="s">
        <v>4045</v>
      </c>
      <c r="F1666" s="1">
        <v>46261</v>
      </c>
      <c r="G1666" s="1">
        <v>46262</v>
      </c>
      <c r="H1666" s="11"/>
      <c r="I1666" s="11" t="s">
        <v>339</v>
      </c>
    </row>
    <row r="1667" spans="1:9" hidden="1" x14ac:dyDescent="0.25">
      <c r="A1667" s="1">
        <v>46263</v>
      </c>
      <c r="B1667">
        <v>1095832090</v>
      </c>
      <c r="C1667" t="s">
        <v>4243</v>
      </c>
      <c r="D1667" s="11" t="s">
        <v>55</v>
      </c>
      <c r="E1667" s="11" t="s">
        <v>4047</v>
      </c>
      <c r="F1667" s="1">
        <v>46260</v>
      </c>
      <c r="G1667" s="1">
        <v>46274</v>
      </c>
      <c r="H1667" s="11"/>
      <c r="I1667" s="11" t="s">
        <v>339</v>
      </c>
    </row>
    <row r="1668" spans="1:9" hidden="1" x14ac:dyDescent="0.25">
      <c r="A1668" s="1">
        <v>46263</v>
      </c>
      <c r="B1668">
        <v>1017271052</v>
      </c>
      <c r="C1668" t="s">
        <v>489</v>
      </c>
      <c r="D1668" s="11" t="s">
        <v>4340</v>
      </c>
      <c r="E1668" s="11" t="s">
        <v>4047</v>
      </c>
      <c r="F1668" s="1">
        <v>46261</v>
      </c>
      <c r="G1668" s="1">
        <v>46262</v>
      </c>
      <c r="H1668" s="11"/>
      <c r="I1668" s="11" t="s">
        <v>339</v>
      </c>
    </row>
    <row r="1669" spans="1:9" hidden="1" x14ac:dyDescent="0.25">
      <c r="A1669" s="1">
        <v>46263</v>
      </c>
      <c r="B1669">
        <v>1002208089</v>
      </c>
      <c r="C1669" t="s">
        <v>3350</v>
      </c>
      <c r="D1669" s="11" t="s">
        <v>162</v>
      </c>
      <c r="E1669" s="11" t="s">
        <v>4056</v>
      </c>
      <c r="F1669" s="1">
        <v>46261</v>
      </c>
      <c r="G1669" s="1">
        <v>46262</v>
      </c>
      <c r="H1669" s="11"/>
      <c r="I1669" s="11" t="s">
        <v>339</v>
      </c>
    </row>
    <row r="1670" spans="1:9" hidden="1" x14ac:dyDescent="0.25">
      <c r="A1670" s="1">
        <v>46263</v>
      </c>
      <c r="B1670">
        <v>1000416307</v>
      </c>
      <c r="C1670" t="s">
        <v>3062</v>
      </c>
      <c r="D1670" s="11" t="s">
        <v>256</v>
      </c>
      <c r="E1670" s="11" t="s">
        <v>4040</v>
      </c>
      <c r="F1670" s="1">
        <v>46261</v>
      </c>
      <c r="G1670" s="1">
        <v>46263</v>
      </c>
      <c r="H1670" s="11"/>
      <c r="I1670" s="11" t="s">
        <v>339</v>
      </c>
    </row>
    <row r="1671" spans="1:9" hidden="1" x14ac:dyDescent="0.25">
      <c r="A1671" s="1">
        <v>46263</v>
      </c>
      <c r="B1671">
        <v>1067959066</v>
      </c>
      <c r="C1671" t="s">
        <v>3479</v>
      </c>
      <c r="D1671" s="11" t="s">
        <v>344</v>
      </c>
      <c r="E1671" s="11" t="s">
        <v>4056</v>
      </c>
      <c r="F1671" s="1">
        <v>46261</v>
      </c>
      <c r="G1671" s="1">
        <v>46295</v>
      </c>
      <c r="H1671" s="11"/>
      <c r="I1671" s="11" t="s">
        <v>339</v>
      </c>
    </row>
    <row r="1672" spans="1:9" hidden="1" x14ac:dyDescent="0.25">
      <c r="A1672" s="1">
        <v>46263</v>
      </c>
      <c r="B1672">
        <v>1017232013</v>
      </c>
      <c r="C1672" t="s">
        <v>4317</v>
      </c>
      <c r="D1672" s="11" t="s">
        <v>28</v>
      </c>
      <c r="E1672" s="11" t="s">
        <v>4046</v>
      </c>
      <c r="F1672" s="1">
        <v>46260</v>
      </c>
      <c r="G1672" s="1">
        <v>46262</v>
      </c>
      <c r="H1672" s="11"/>
      <c r="I1672" s="11" t="s">
        <v>339</v>
      </c>
    </row>
    <row r="1673" spans="1:9" hidden="1" x14ac:dyDescent="0.25">
      <c r="A1673" s="1">
        <v>46263</v>
      </c>
      <c r="B1673">
        <v>1143267842</v>
      </c>
      <c r="C1673" t="s">
        <v>1501</v>
      </c>
      <c r="D1673" s="11" t="s">
        <v>128</v>
      </c>
      <c r="E1673" s="11" t="s">
        <v>4045</v>
      </c>
      <c r="F1673" s="1">
        <v>46261</v>
      </c>
      <c r="G1673" s="1">
        <v>46263</v>
      </c>
      <c r="H1673" s="11"/>
      <c r="I1673" s="11" t="s">
        <v>339</v>
      </c>
    </row>
    <row r="1674" spans="1:9" hidden="1" x14ac:dyDescent="0.25">
      <c r="A1674" s="1">
        <v>46263</v>
      </c>
      <c r="B1674">
        <v>1067864151</v>
      </c>
      <c r="C1674" t="s">
        <v>1809</v>
      </c>
      <c r="D1674" s="11" t="s">
        <v>256</v>
      </c>
      <c r="E1674" s="11" t="s">
        <v>4040</v>
      </c>
      <c r="F1674" s="1">
        <v>46261</v>
      </c>
      <c r="G1674" s="1">
        <v>46268</v>
      </c>
      <c r="H1674" s="11"/>
      <c r="I1674" s="11" t="s">
        <v>339</v>
      </c>
    </row>
    <row r="1675" spans="1:9" hidden="1" x14ac:dyDescent="0.25">
      <c r="A1675" s="1">
        <v>46263</v>
      </c>
      <c r="B1675">
        <v>1143373273</v>
      </c>
      <c r="C1675" t="s">
        <v>2037</v>
      </c>
      <c r="D1675" s="11" t="s">
        <v>4338</v>
      </c>
      <c r="E1675" s="11" t="s">
        <v>4056</v>
      </c>
      <c r="F1675" s="1">
        <v>46259</v>
      </c>
      <c r="G1675" s="1">
        <v>46266</v>
      </c>
      <c r="H1675" s="11"/>
      <c r="I1675" s="11" t="s">
        <v>339</v>
      </c>
    </row>
    <row r="1676" spans="1:9" hidden="1" x14ac:dyDescent="0.25">
      <c r="A1676" s="1">
        <v>46263</v>
      </c>
      <c r="B1676">
        <v>1007959114</v>
      </c>
      <c r="C1676" t="s">
        <v>4154</v>
      </c>
      <c r="D1676" s="11" t="s">
        <v>39</v>
      </c>
      <c r="E1676" s="11" t="s">
        <v>4046</v>
      </c>
      <c r="F1676" s="1">
        <v>46261</v>
      </c>
      <c r="G1676" s="1">
        <v>46265</v>
      </c>
      <c r="H1676" s="11"/>
      <c r="I1676" s="11" t="s">
        <v>339</v>
      </c>
    </row>
    <row r="1677" spans="1:9" hidden="1" x14ac:dyDescent="0.25">
      <c r="A1677" s="1">
        <v>46263</v>
      </c>
      <c r="B1677">
        <v>1003930736</v>
      </c>
      <c r="C1677" t="s">
        <v>4319</v>
      </c>
      <c r="D1677" s="11" t="s">
        <v>51</v>
      </c>
      <c r="E1677" s="11" t="s">
        <v>4047</v>
      </c>
      <c r="F1677" s="1">
        <v>46261</v>
      </c>
      <c r="G1677" s="1">
        <v>46262</v>
      </c>
      <c r="H1677" s="11"/>
      <c r="I1677" s="11" t="s">
        <v>339</v>
      </c>
    </row>
    <row r="1678" spans="1:9" hidden="1" x14ac:dyDescent="0.25">
      <c r="A1678" s="1">
        <v>46263</v>
      </c>
      <c r="B1678">
        <v>1015483595</v>
      </c>
      <c r="C1678" t="s">
        <v>221</v>
      </c>
      <c r="D1678" s="11" t="s">
        <v>15</v>
      </c>
      <c r="E1678" s="11" t="s">
        <v>4046</v>
      </c>
      <c r="F1678" s="1">
        <v>46260</v>
      </c>
      <c r="G1678" s="1">
        <v>46260</v>
      </c>
      <c r="H1678" s="11"/>
      <c r="I1678" s="11" t="s">
        <v>339</v>
      </c>
    </row>
    <row r="1679" spans="1:9" hidden="1" x14ac:dyDescent="0.25">
      <c r="A1679" s="1">
        <v>46263</v>
      </c>
      <c r="B1679">
        <v>1037662189</v>
      </c>
      <c r="C1679" t="s">
        <v>3657</v>
      </c>
      <c r="D1679" s="11" t="s">
        <v>68</v>
      </c>
      <c r="E1679" s="11" t="s">
        <v>4040</v>
      </c>
      <c r="F1679" s="1">
        <v>46260</v>
      </c>
      <c r="G1679" s="1">
        <v>46260</v>
      </c>
      <c r="H1679" s="11"/>
      <c r="I1679" s="11" t="s">
        <v>339</v>
      </c>
    </row>
    <row r="1680" spans="1:9" hidden="1" x14ac:dyDescent="0.25">
      <c r="A1680" s="1">
        <v>46263</v>
      </c>
      <c r="B1680">
        <v>1003045926</v>
      </c>
      <c r="C1680" t="s">
        <v>2063</v>
      </c>
      <c r="D1680" s="11" t="s">
        <v>124</v>
      </c>
      <c r="E1680" s="11" t="s">
        <v>4045</v>
      </c>
      <c r="F1680" s="1">
        <v>46258</v>
      </c>
      <c r="G1680" s="1">
        <v>46262</v>
      </c>
      <c r="H1680" s="11"/>
      <c r="I1680" s="11" t="s">
        <v>339</v>
      </c>
    </row>
    <row r="1681" spans="1:9" hidden="1" x14ac:dyDescent="0.25">
      <c r="A1681" s="1">
        <v>46263</v>
      </c>
      <c r="B1681">
        <v>1038408808</v>
      </c>
      <c r="C1681" t="s">
        <v>483</v>
      </c>
      <c r="D1681" s="11" t="s">
        <v>132</v>
      </c>
      <c r="E1681" s="11" t="s">
        <v>4040</v>
      </c>
      <c r="F1681" s="1">
        <v>46259</v>
      </c>
      <c r="G1681" s="1">
        <v>46262</v>
      </c>
      <c r="H1681" s="11"/>
      <c r="I1681" s="11" t="s">
        <v>339</v>
      </c>
    </row>
    <row r="1682" spans="1:9" hidden="1" x14ac:dyDescent="0.25">
      <c r="A1682" s="1">
        <v>46263</v>
      </c>
      <c r="B1682">
        <v>1010135017</v>
      </c>
      <c r="C1682" t="s">
        <v>1311</v>
      </c>
      <c r="D1682" s="11" t="s">
        <v>256</v>
      </c>
      <c r="E1682" s="11" t="s">
        <v>4040</v>
      </c>
      <c r="F1682" s="1">
        <v>46259</v>
      </c>
      <c r="G1682" s="1">
        <v>46261</v>
      </c>
      <c r="H1682" s="11"/>
      <c r="I1682" s="11" t="s">
        <v>339</v>
      </c>
    </row>
    <row r="1683" spans="1:9" hidden="1" x14ac:dyDescent="0.25">
      <c r="A1683" s="1">
        <v>46263</v>
      </c>
      <c r="B1683">
        <v>1143375080</v>
      </c>
      <c r="C1683" t="s">
        <v>157</v>
      </c>
      <c r="D1683" s="11" t="s">
        <v>44</v>
      </c>
      <c r="E1683" s="11" t="s">
        <v>4045</v>
      </c>
      <c r="F1683" s="1">
        <v>46258</v>
      </c>
      <c r="G1683" s="1">
        <v>46287</v>
      </c>
      <c r="H1683" s="11"/>
      <c r="I1683" s="11" t="s">
        <v>339</v>
      </c>
    </row>
    <row r="1684" spans="1:9" hidden="1" x14ac:dyDescent="0.25">
      <c r="A1684" s="1">
        <v>46263</v>
      </c>
      <c r="B1684">
        <v>1037631989</v>
      </c>
      <c r="C1684" t="s">
        <v>27</v>
      </c>
      <c r="D1684" s="11" t="s">
        <v>28</v>
      </c>
      <c r="E1684" s="11" t="s">
        <v>4046</v>
      </c>
      <c r="F1684" s="1">
        <v>46256</v>
      </c>
      <c r="G1684" s="1">
        <v>46285</v>
      </c>
      <c r="H1684" s="11"/>
      <c r="I1684" s="11" t="s">
        <v>339</v>
      </c>
    </row>
    <row r="1685" spans="1:9" hidden="1" x14ac:dyDescent="0.25">
      <c r="A1685" s="1">
        <v>46263</v>
      </c>
      <c r="B1685">
        <v>1032488873</v>
      </c>
      <c r="C1685" t="s">
        <v>4240</v>
      </c>
      <c r="D1685" s="11" t="s">
        <v>55</v>
      </c>
      <c r="E1685" s="11" t="s">
        <v>4047</v>
      </c>
      <c r="F1685" s="1">
        <v>46259</v>
      </c>
      <c r="G1685" s="1">
        <v>46263</v>
      </c>
      <c r="H1685" s="11"/>
      <c r="I1685" s="11" t="s">
        <v>339</v>
      </c>
    </row>
    <row r="1686" spans="1:9" hidden="1" x14ac:dyDescent="0.25">
      <c r="A1686" s="1">
        <v>46263</v>
      </c>
      <c r="B1686">
        <v>1000944725</v>
      </c>
      <c r="C1686" t="s">
        <v>3007</v>
      </c>
      <c r="D1686" s="11" t="s">
        <v>28</v>
      </c>
      <c r="E1686" s="11" t="s">
        <v>4046</v>
      </c>
      <c r="F1686" s="1">
        <v>46258</v>
      </c>
      <c r="G1686" s="1">
        <v>46267</v>
      </c>
      <c r="H1686" s="11"/>
      <c r="I1686" s="11" t="s">
        <v>339</v>
      </c>
    </row>
    <row r="1687" spans="1:9" hidden="1" x14ac:dyDescent="0.25">
      <c r="A1687" s="1">
        <v>46263</v>
      </c>
      <c r="B1687">
        <v>1017264032</v>
      </c>
      <c r="C1687" t="s">
        <v>88</v>
      </c>
      <c r="D1687" s="11" t="s">
        <v>55</v>
      </c>
      <c r="E1687" s="11" t="s">
        <v>4047</v>
      </c>
      <c r="F1687" s="1">
        <v>46259</v>
      </c>
      <c r="G1687" s="1">
        <v>46265</v>
      </c>
      <c r="H1687" s="11"/>
      <c r="I1687" s="11" t="s">
        <v>339</v>
      </c>
    </row>
    <row r="1688" spans="1:9" hidden="1" x14ac:dyDescent="0.25">
      <c r="A1688" s="1">
        <v>46263</v>
      </c>
      <c r="B1688">
        <v>1000294973</v>
      </c>
      <c r="C1688" t="s">
        <v>1266</v>
      </c>
      <c r="D1688" s="11" t="s">
        <v>15</v>
      </c>
      <c r="E1688" s="11" t="s">
        <v>4046</v>
      </c>
      <c r="F1688" s="1">
        <v>46260</v>
      </c>
      <c r="G1688" s="1">
        <v>46262</v>
      </c>
      <c r="H1688" s="11"/>
      <c r="I1688" s="11" t="s">
        <v>339</v>
      </c>
    </row>
    <row r="1689" spans="1:9" hidden="1" x14ac:dyDescent="0.25">
      <c r="A1689" s="1">
        <v>46263</v>
      </c>
      <c r="B1689">
        <v>1152434926</v>
      </c>
      <c r="C1689" t="s">
        <v>217</v>
      </c>
      <c r="D1689" s="11" t="s">
        <v>59</v>
      </c>
      <c r="E1689" s="11" t="s">
        <v>4047</v>
      </c>
      <c r="F1689" s="1">
        <v>46258</v>
      </c>
      <c r="G1689" s="1">
        <v>46263</v>
      </c>
      <c r="H1689" s="11"/>
      <c r="I1689" s="11" t="s">
        <v>339</v>
      </c>
    </row>
    <row r="1690" spans="1:9" hidden="1" x14ac:dyDescent="0.25">
      <c r="A1690" s="1">
        <v>46263</v>
      </c>
      <c r="B1690">
        <v>1116283658</v>
      </c>
      <c r="C1690" t="s">
        <v>283</v>
      </c>
      <c r="D1690" s="11" t="s">
        <v>39</v>
      </c>
      <c r="E1690" s="11" t="s">
        <v>4046</v>
      </c>
      <c r="F1690" s="1">
        <v>46258</v>
      </c>
      <c r="G1690" s="1">
        <v>46265</v>
      </c>
      <c r="H1690" s="11"/>
      <c r="I1690" s="11" t="s">
        <v>339</v>
      </c>
    </row>
    <row r="1691" spans="1:9" hidden="1" x14ac:dyDescent="0.25">
      <c r="A1691" s="1">
        <v>46263</v>
      </c>
      <c r="B1691">
        <v>1096223065</v>
      </c>
      <c r="C1691" t="s">
        <v>3428</v>
      </c>
      <c r="D1691" s="11" t="s">
        <v>59</v>
      </c>
      <c r="E1691" s="11" t="s">
        <v>4047</v>
      </c>
      <c r="F1691" s="1">
        <v>46253</v>
      </c>
      <c r="G1691" s="1">
        <v>46265</v>
      </c>
      <c r="H1691" s="11"/>
      <c r="I1691" s="11" t="s">
        <v>339</v>
      </c>
    </row>
    <row r="1692" spans="1:9" hidden="1" x14ac:dyDescent="0.25">
      <c r="A1692" s="1">
        <v>46263</v>
      </c>
      <c r="B1692">
        <v>1045718883</v>
      </c>
      <c r="C1692" t="s">
        <v>34</v>
      </c>
      <c r="D1692" s="11" t="s">
        <v>128</v>
      </c>
      <c r="E1692" s="11" t="s">
        <v>4045</v>
      </c>
      <c r="F1692" s="1">
        <v>46244</v>
      </c>
      <c r="G1692" s="1">
        <v>46393</v>
      </c>
      <c r="H1692" s="11"/>
      <c r="I1692" s="11" t="s">
        <v>339</v>
      </c>
    </row>
    <row r="1693" spans="1:9" hidden="1" x14ac:dyDescent="0.25">
      <c r="A1693" s="1">
        <v>46263</v>
      </c>
      <c r="B1693">
        <v>1043006106</v>
      </c>
      <c r="C1693" t="s">
        <v>63</v>
      </c>
      <c r="D1693" s="11" t="s">
        <v>64</v>
      </c>
      <c r="E1693" s="11" t="s">
        <v>4046</v>
      </c>
      <c r="F1693" s="1">
        <v>46249</v>
      </c>
      <c r="G1693" s="1">
        <v>46278</v>
      </c>
      <c r="H1693" s="11"/>
      <c r="I1693" s="11" t="s">
        <v>339</v>
      </c>
    </row>
    <row r="1694" spans="1:9" hidden="1" x14ac:dyDescent="0.25">
      <c r="A1694" s="1">
        <v>46263</v>
      </c>
      <c r="B1694">
        <v>1040755197</v>
      </c>
      <c r="C1694" t="s">
        <v>171</v>
      </c>
      <c r="D1694" s="11" t="s">
        <v>102</v>
      </c>
      <c r="E1694" s="11" t="s">
        <v>4046</v>
      </c>
      <c r="F1694" s="1">
        <v>46252</v>
      </c>
      <c r="G1694" s="1">
        <v>46262</v>
      </c>
      <c r="H1694" s="11"/>
      <c r="I1694" s="11" t="s">
        <v>339</v>
      </c>
    </row>
    <row r="1695" spans="1:9" hidden="1" x14ac:dyDescent="0.25">
      <c r="A1695" s="1">
        <v>46263</v>
      </c>
      <c r="B1695">
        <v>1102808787</v>
      </c>
      <c r="C1695" t="s">
        <v>135</v>
      </c>
      <c r="D1695" s="11" t="s">
        <v>39</v>
      </c>
      <c r="E1695" s="11" t="s">
        <v>4046</v>
      </c>
      <c r="F1695" s="1">
        <v>46245</v>
      </c>
      <c r="G1695" s="1">
        <v>46276</v>
      </c>
      <c r="H1695" s="11"/>
      <c r="I1695" s="11" t="s">
        <v>339</v>
      </c>
    </row>
    <row r="1696" spans="1:9" hidden="1" x14ac:dyDescent="0.25">
      <c r="A1696" s="1">
        <v>46263</v>
      </c>
      <c r="B1696">
        <v>1037638426</v>
      </c>
      <c r="C1696" t="s">
        <v>61</v>
      </c>
      <c r="D1696" s="11" t="s">
        <v>28</v>
      </c>
      <c r="E1696" s="11" t="s">
        <v>4046</v>
      </c>
      <c r="F1696" s="1">
        <v>46249</v>
      </c>
      <c r="G1696" s="1">
        <v>46264</v>
      </c>
      <c r="H1696" s="11"/>
      <c r="I1696" s="11" t="s">
        <v>339</v>
      </c>
    </row>
    <row r="1697" spans="1:9" hidden="1" x14ac:dyDescent="0.25">
      <c r="A1697" s="1">
        <v>46263</v>
      </c>
      <c r="B1697">
        <v>1082896324</v>
      </c>
      <c r="C1697" t="s">
        <v>127</v>
      </c>
      <c r="D1697" s="11" t="s">
        <v>128</v>
      </c>
      <c r="E1697" s="11" t="s">
        <v>4045</v>
      </c>
      <c r="F1697" s="1">
        <v>46242</v>
      </c>
      <c r="G1697" s="1">
        <v>46272</v>
      </c>
      <c r="H1697" s="11"/>
      <c r="I1697" s="11" t="s">
        <v>339</v>
      </c>
    </row>
    <row r="1698" spans="1:9" hidden="1" x14ac:dyDescent="0.25">
      <c r="A1698" s="1">
        <v>46263</v>
      </c>
      <c r="B1698">
        <v>1152446353</v>
      </c>
      <c r="C1698" t="s">
        <v>205</v>
      </c>
      <c r="D1698" s="11" t="s">
        <v>51</v>
      </c>
      <c r="E1698" s="11" t="s">
        <v>4047</v>
      </c>
      <c r="F1698" s="1">
        <v>46236</v>
      </c>
      <c r="G1698" s="1">
        <v>46262</v>
      </c>
      <c r="H1698" s="11"/>
      <c r="I1698" s="11" t="s">
        <v>339</v>
      </c>
    </row>
    <row r="1699" spans="1:9" hidden="1" x14ac:dyDescent="0.25">
      <c r="A1699" s="1">
        <v>46263</v>
      </c>
      <c r="B1699">
        <v>1001851670</v>
      </c>
      <c r="C1699" t="s">
        <v>50</v>
      </c>
      <c r="D1699" s="11" t="s">
        <v>51</v>
      </c>
      <c r="E1699" s="11" t="s">
        <v>4047</v>
      </c>
      <c r="F1699" s="1">
        <v>46241</v>
      </c>
      <c r="G1699" s="1">
        <v>46366</v>
      </c>
      <c r="H1699" s="11"/>
      <c r="I1699" s="11" t="s">
        <v>339</v>
      </c>
    </row>
    <row r="1700" spans="1:9" hidden="1" x14ac:dyDescent="0.25">
      <c r="A1700" s="1">
        <v>46263</v>
      </c>
      <c r="B1700">
        <v>1000415206</v>
      </c>
      <c r="C1700" t="s">
        <v>325</v>
      </c>
      <c r="D1700" s="11" t="s">
        <v>128</v>
      </c>
      <c r="E1700" s="11" t="s">
        <v>4045</v>
      </c>
      <c r="F1700" s="1">
        <v>46258</v>
      </c>
      <c r="G1700" s="1">
        <v>46262</v>
      </c>
      <c r="H1700" s="11"/>
      <c r="I1700" s="11" t="s">
        <v>339</v>
      </c>
    </row>
    <row r="1701" spans="1:9" hidden="1" x14ac:dyDescent="0.25">
      <c r="A1701" s="1">
        <v>46263</v>
      </c>
      <c r="B1701">
        <v>42141273</v>
      </c>
      <c r="C1701" t="s">
        <v>271</v>
      </c>
      <c r="D1701" s="11" t="s">
        <v>272</v>
      </c>
      <c r="E1701" s="11" t="s">
        <v>4056</v>
      </c>
      <c r="F1701" s="1">
        <v>46238</v>
      </c>
      <c r="G1701" s="1">
        <v>46295</v>
      </c>
      <c r="H1701" s="11"/>
      <c r="I1701" s="11" t="s">
        <v>339</v>
      </c>
    </row>
    <row r="1702" spans="1:9" hidden="1" x14ac:dyDescent="0.25">
      <c r="A1702" s="1">
        <v>46263</v>
      </c>
      <c r="B1702">
        <v>1005424850</v>
      </c>
      <c r="C1702" t="s">
        <v>95</v>
      </c>
      <c r="D1702" s="11" t="s">
        <v>82</v>
      </c>
      <c r="E1702" s="11" t="s">
        <v>4045</v>
      </c>
      <c r="F1702" s="1">
        <v>46238</v>
      </c>
      <c r="G1702" s="1">
        <v>46262</v>
      </c>
      <c r="H1702" s="11"/>
      <c r="I1702" s="11" t="s">
        <v>339</v>
      </c>
    </row>
    <row r="1703" spans="1:9" hidden="1" x14ac:dyDescent="0.25">
      <c r="A1703" s="1">
        <v>46263</v>
      </c>
      <c r="B1703">
        <v>1152221372</v>
      </c>
      <c r="C1703" t="s">
        <v>4072</v>
      </c>
      <c r="D1703" s="11" t="s">
        <v>139</v>
      </c>
      <c r="E1703" s="11" t="s">
        <v>4040</v>
      </c>
      <c r="F1703" s="1">
        <v>46230</v>
      </c>
      <c r="G1703" s="1">
        <v>46230</v>
      </c>
      <c r="H1703" s="11"/>
      <c r="I1703" s="11" t="s">
        <v>339</v>
      </c>
    </row>
    <row r="1704" spans="1:9" hidden="1" x14ac:dyDescent="0.25">
      <c r="A1704" s="1">
        <v>46263</v>
      </c>
      <c r="B1704">
        <v>1037630071</v>
      </c>
      <c r="C1704" t="s">
        <v>4196</v>
      </c>
      <c r="D1704" s="11" t="s">
        <v>139</v>
      </c>
      <c r="E1704" s="11" t="s">
        <v>4040</v>
      </c>
      <c r="F1704" s="1">
        <v>46247</v>
      </c>
      <c r="G1704" s="1">
        <v>46265</v>
      </c>
      <c r="H1704" s="11"/>
      <c r="I1704" s="11" t="s">
        <v>339</v>
      </c>
    </row>
    <row r="1705" spans="1:9" hidden="1" x14ac:dyDescent="0.25">
      <c r="A1705" s="1">
        <v>46263</v>
      </c>
      <c r="B1705">
        <v>1143460426</v>
      </c>
      <c r="C1705" t="s">
        <v>4069</v>
      </c>
      <c r="D1705" s="11" t="s">
        <v>64</v>
      </c>
      <c r="E1705" s="11" t="s">
        <v>4046</v>
      </c>
      <c r="F1705" s="1">
        <v>46195</v>
      </c>
      <c r="G1705" s="1">
        <v>46198</v>
      </c>
      <c r="H1705" s="11"/>
      <c r="I1705" s="11" t="s">
        <v>339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527D9-9BF0-4F13-9591-B3D009694D5A}">
  <dimension ref="A1:O610"/>
  <sheetViews>
    <sheetView topLeftCell="K595" workbookViewId="0">
      <selection activeCell="G976" sqref="G975:G976"/>
    </sheetView>
  </sheetViews>
  <sheetFormatPr baseColWidth="10" defaultColWidth="11.42578125" defaultRowHeight="15" x14ac:dyDescent="0.25"/>
  <cols>
    <col min="1" max="1" width="39" bestFit="1" customWidth="1"/>
    <col min="2" max="2" width="15.28515625" bestFit="1" customWidth="1"/>
    <col min="3" max="3" width="38.85546875" bestFit="1" customWidth="1"/>
    <col min="4" max="4" width="24.28515625" bestFit="1" customWidth="1"/>
    <col min="5" max="5" width="14.7109375" bestFit="1" customWidth="1"/>
    <col min="6" max="6" width="24.28515625" bestFit="1" customWidth="1"/>
    <col min="7" max="7" width="16.28515625" bestFit="1" customWidth="1"/>
    <col min="8" max="8" width="15.85546875" bestFit="1" customWidth="1"/>
    <col min="9" max="10" width="13" bestFit="1" customWidth="1"/>
    <col min="11" max="11" width="48.28515625" bestFit="1" customWidth="1"/>
    <col min="12" max="12" width="23.85546875" bestFit="1" customWidth="1"/>
    <col min="13" max="13" width="44.5703125" bestFit="1" customWidth="1"/>
    <col min="14" max="14" width="42.28515625" bestFit="1" customWidth="1"/>
    <col min="15" max="15" width="19.7109375" bestFit="1" customWidth="1"/>
  </cols>
  <sheetData>
    <row r="1" spans="1:15" x14ac:dyDescent="0.25">
      <c r="A1" t="s">
        <v>4246</v>
      </c>
      <c r="B1" t="s">
        <v>1</v>
      </c>
      <c r="C1" t="s">
        <v>2</v>
      </c>
      <c r="D1" t="s">
        <v>3</v>
      </c>
      <c r="E1" t="s">
        <v>4029</v>
      </c>
      <c r="F1" t="s">
        <v>4</v>
      </c>
      <c r="G1" t="s">
        <v>5</v>
      </c>
      <c r="H1" t="s">
        <v>6</v>
      </c>
      <c r="I1" t="s">
        <v>4030</v>
      </c>
      <c r="J1" t="s">
        <v>4031</v>
      </c>
      <c r="K1" t="s">
        <v>9</v>
      </c>
      <c r="L1" t="s">
        <v>4032</v>
      </c>
      <c r="M1" t="s">
        <v>4035</v>
      </c>
      <c r="N1" t="s">
        <v>4036</v>
      </c>
      <c r="O1" t="s">
        <v>4037</v>
      </c>
    </row>
    <row r="2" spans="1:15" hidden="1" x14ac:dyDescent="0.25">
      <c r="A2" s="1">
        <v>46235</v>
      </c>
      <c r="B2">
        <v>1037634709</v>
      </c>
      <c r="C2" s="11" t="s">
        <v>4044</v>
      </c>
      <c r="D2" s="11" t="s">
        <v>492</v>
      </c>
      <c r="E2" s="11" t="s">
        <v>4045</v>
      </c>
      <c r="F2" s="11" t="s">
        <v>16</v>
      </c>
      <c r="G2" s="1">
        <v>46234</v>
      </c>
      <c r="H2" s="1">
        <v>46235</v>
      </c>
      <c r="I2" s="2">
        <v>0.25</v>
      </c>
      <c r="J2" s="2">
        <v>0.66666666666666663</v>
      </c>
      <c r="K2" s="11" t="s">
        <v>97</v>
      </c>
      <c r="L2" s="1"/>
      <c r="M2" s="1"/>
      <c r="N2" s="1"/>
      <c r="O2" s="11"/>
    </row>
    <row r="3" spans="1:15" hidden="1" x14ac:dyDescent="0.25">
      <c r="A3" s="1">
        <v>46255</v>
      </c>
      <c r="B3">
        <v>1037631989</v>
      </c>
      <c r="C3" s="11" t="s">
        <v>27</v>
      </c>
      <c r="D3" s="11" t="s">
        <v>28</v>
      </c>
      <c r="E3" s="11" t="s">
        <v>4046</v>
      </c>
      <c r="F3" s="11" t="s">
        <v>16</v>
      </c>
      <c r="G3" s="1">
        <v>46226</v>
      </c>
      <c r="H3" s="1">
        <v>46255</v>
      </c>
      <c r="I3" s="2">
        <v>0.54166666666666663</v>
      </c>
      <c r="J3" s="2">
        <v>0.875</v>
      </c>
      <c r="K3" s="11" t="s">
        <v>327</v>
      </c>
      <c r="L3" s="1"/>
      <c r="M3" s="1"/>
      <c r="N3" s="1"/>
      <c r="O3" s="11"/>
    </row>
    <row r="4" spans="1:15" hidden="1" x14ac:dyDescent="0.25">
      <c r="A4" s="1">
        <v>46235</v>
      </c>
      <c r="B4">
        <v>57303015</v>
      </c>
      <c r="C4" s="11" t="s">
        <v>188</v>
      </c>
      <c r="D4" s="11" t="s">
        <v>55</v>
      </c>
      <c r="E4" s="11" t="s">
        <v>4047</v>
      </c>
      <c r="F4" s="11" t="s">
        <v>16</v>
      </c>
      <c r="G4" s="1">
        <v>46232</v>
      </c>
      <c r="H4" s="1">
        <v>46235</v>
      </c>
      <c r="I4" s="2">
        <v>0.25</v>
      </c>
      <c r="J4" s="2">
        <v>0.66666666666666663</v>
      </c>
      <c r="K4" s="11" t="s">
        <v>190</v>
      </c>
      <c r="L4" s="1"/>
      <c r="M4" s="1"/>
      <c r="N4" s="1"/>
      <c r="O4" s="11"/>
    </row>
    <row r="5" spans="1:15" hidden="1" x14ac:dyDescent="0.25">
      <c r="A5" s="1">
        <v>46235</v>
      </c>
      <c r="B5">
        <v>1152436231</v>
      </c>
      <c r="C5" s="11" t="s">
        <v>142</v>
      </c>
      <c r="D5" s="11" t="s">
        <v>143</v>
      </c>
      <c r="E5" s="11" t="s">
        <v>4045</v>
      </c>
      <c r="F5" s="11" t="s">
        <v>16</v>
      </c>
      <c r="G5" s="1">
        <v>46234</v>
      </c>
      <c r="H5" s="1">
        <v>46235</v>
      </c>
      <c r="I5" s="2">
        <v>0.25</v>
      </c>
      <c r="J5" s="2">
        <v>0.66666666666666663</v>
      </c>
      <c r="K5" s="11" t="s">
        <v>1492</v>
      </c>
      <c r="L5" s="1"/>
      <c r="M5" s="1"/>
      <c r="N5" s="1"/>
      <c r="O5" s="11"/>
    </row>
    <row r="6" spans="1:15" hidden="1" x14ac:dyDescent="0.25">
      <c r="A6" s="1">
        <v>46239</v>
      </c>
      <c r="B6">
        <v>1143375080</v>
      </c>
      <c r="C6" s="11" t="s">
        <v>157</v>
      </c>
      <c r="D6" s="11" t="s">
        <v>44</v>
      </c>
      <c r="E6" s="11" t="s">
        <v>4045</v>
      </c>
      <c r="F6" s="11" t="s">
        <v>4062</v>
      </c>
      <c r="G6" s="1">
        <v>46232</v>
      </c>
      <c r="H6" s="1">
        <v>46239</v>
      </c>
      <c r="I6" s="2">
        <v>0.58333333333333337</v>
      </c>
      <c r="J6" s="2">
        <v>0.875</v>
      </c>
      <c r="K6" s="11" t="s">
        <v>283</v>
      </c>
      <c r="L6" s="1"/>
      <c r="M6" s="1"/>
      <c r="N6" s="1"/>
      <c r="O6" s="11"/>
    </row>
    <row r="7" spans="1:15" hidden="1" x14ac:dyDescent="0.25">
      <c r="A7" s="1">
        <v>46235</v>
      </c>
      <c r="B7">
        <v>42158742</v>
      </c>
      <c r="C7" s="11" t="s">
        <v>3192</v>
      </c>
      <c r="D7" s="11" t="s">
        <v>78</v>
      </c>
      <c r="E7" s="11" t="s">
        <v>4046</v>
      </c>
      <c r="F7" s="11" t="s">
        <v>16</v>
      </c>
      <c r="G7" s="1">
        <v>46234</v>
      </c>
      <c r="H7" s="1">
        <v>46235</v>
      </c>
      <c r="I7" s="2">
        <v>0.25</v>
      </c>
      <c r="J7" s="2">
        <v>0.66666666666666663</v>
      </c>
      <c r="K7" s="11" t="s">
        <v>301</v>
      </c>
      <c r="L7" s="1"/>
      <c r="M7" s="1"/>
      <c r="N7" s="1"/>
      <c r="O7" s="11"/>
    </row>
    <row r="8" spans="1:15" hidden="1" x14ac:dyDescent="0.25">
      <c r="A8" s="1">
        <v>46235</v>
      </c>
      <c r="B8">
        <v>1016090631</v>
      </c>
      <c r="C8" s="11" t="s">
        <v>2866</v>
      </c>
      <c r="D8" s="11" t="s">
        <v>55</v>
      </c>
      <c r="E8" s="11" t="s">
        <v>4047</v>
      </c>
      <c r="F8" s="11" t="s">
        <v>16</v>
      </c>
      <c r="G8" s="1">
        <v>46233</v>
      </c>
      <c r="H8" s="1">
        <v>46235</v>
      </c>
      <c r="I8" s="2">
        <v>0.25</v>
      </c>
      <c r="J8" s="2">
        <v>0.66666666666666663</v>
      </c>
      <c r="K8" s="11" t="s">
        <v>327</v>
      </c>
      <c r="L8" s="1"/>
      <c r="M8" s="1"/>
      <c r="N8" s="1"/>
      <c r="O8" s="11"/>
    </row>
    <row r="9" spans="1:15" hidden="1" x14ac:dyDescent="0.25">
      <c r="A9" s="1">
        <v>46237</v>
      </c>
      <c r="B9">
        <v>1152226738</v>
      </c>
      <c r="C9" s="11" t="s">
        <v>138</v>
      </c>
      <c r="D9" s="11" t="s">
        <v>139</v>
      </c>
      <c r="E9" s="11" t="s">
        <v>4040</v>
      </c>
      <c r="F9" s="11" t="s">
        <v>16</v>
      </c>
      <c r="G9" s="1">
        <v>46234</v>
      </c>
      <c r="H9" s="1">
        <v>46237</v>
      </c>
      <c r="I9" s="2">
        <v>0.25</v>
      </c>
      <c r="J9" s="2">
        <v>0.54166666666666663</v>
      </c>
      <c r="K9" s="11" t="s">
        <v>120</v>
      </c>
      <c r="L9" s="1"/>
      <c r="M9" s="1"/>
      <c r="N9" s="1"/>
      <c r="O9" s="11"/>
    </row>
    <row r="10" spans="1:15" hidden="1" x14ac:dyDescent="0.25">
      <c r="A10" s="1">
        <v>46242</v>
      </c>
      <c r="B10">
        <v>1047505786</v>
      </c>
      <c r="C10" s="11" t="s">
        <v>114</v>
      </c>
      <c r="D10" s="11" t="s">
        <v>51</v>
      </c>
      <c r="E10" s="11" t="s">
        <v>4047</v>
      </c>
      <c r="F10" s="11" t="s">
        <v>16</v>
      </c>
      <c r="G10" s="1">
        <v>46229</v>
      </c>
      <c r="H10" s="1">
        <v>46243</v>
      </c>
      <c r="I10" s="2">
        <v>0.25</v>
      </c>
      <c r="J10" s="2">
        <v>0.66666666666666663</v>
      </c>
      <c r="K10" s="11" t="s">
        <v>111</v>
      </c>
      <c r="L10" s="1"/>
      <c r="M10" s="1"/>
      <c r="N10" s="1"/>
      <c r="O10" s="11"/>
    </row>
    <row r="11" spans="1:15" hidden="1" x14ac:dyDescent="0.25">
      <c r="A11" s="1">
        <v>46237</v>
      </c>
      <c r="B11">
        <v>21852680</v>
      </c>
      <c r="C11" s="11" t="s">
        <v>4058</v>
      </c>
      <c r="D11" s="11" t="s">
        <v>482</v>
      </c>
      <c r="E11" s="11" t="s">
        <v>4040</v>
      </c>
      <c r="F11" s="11" t="s">
        <v>4050</v>
      </c>
      <c r="G11" s="1">
        <v>46235</v>
      </c>
      <c r="H11" s="1">
        <v>46238</v>
      </c>
      <c r="I11" s="2">
        <v>0.25</v>
      </c>
      <c r="J11" s="2">
        <v>0.58333333333333337</v>
      </c>
      <c r="K11" s="11" t="s">
        <v>194</v>
      </c>
      <c r="L11" s="1"/>
      <c r="M11" s="1"/>
      <c r="N11" s="1"/>
      <c r="O11" s="11"/>
    </row>
    <row r="12" spans="1:15" hidden="1" x14ac:dyDescent="0.25">
      <c r="A12" s="1">
        <v>46237</v>
      </c>
      <c r="B12">
        <v>72011169</v>
      </c>
      <c r="C12" s="11" t="s">
        <v>250</v>
      </c>
      <c r="D12" s="11" t="s">
        <v>55</v>
      </c>
      <c r="E12" s="11" t="s">
        <v>4047</v>
      </c>
      <c r="F12" s="11" t="s">
        <v>16</v>
      </c>
      <c r="G12" s="1">
        <v>46225</v>
      </c>
      <c r="H12" s="1">
        <v>46239</v>
      </c>
      <c r="I12" s="2">
        <v>0.25</v>
      </c>
      <c r="J12" s="2">
        <v>0.58333333333333337</v>
      </c>
      <c r="K12" s="11" t="s">
        <v>247</v>
      </c>
      <c r="L12" s="1"/>
      <c r="M12" s="1"/>
      <c r="N12" s="1"/>
      <c r="O12" s="11"/>
    </row>
    <row r="13" spans="1:15" hidden="1" x14ac:dyDescent="0.25">
      <c r="A13" s="1">
        <v>46246</v>
      </c>
      <c r="B13">
        <v>43558465</v>
      </c>
      <c r="C13" s="11" t="s">
        <v>71</v>
      </c>
      <c r="D13" s="11" t="s">
        <v>55</v>
      </c>
      <c r="E13" s="11" t="s">
        <v>4047</v>
      </c>
      <c r="F13" s="11" t="s">
        <v>16</v>
      </c>
      <c r="G13" s="1">
        <v>46226</v>
      </c>
      <c r="H13" s="1">
        <v>46246</v>
      </c>
      <c r="I13" s="2">
        <v>0.58333333333333337</v>
      </c>
      <c r="J13" s="2">
        <v>0.875</v>
      </c>
      <c r="K13" s="11" t="s">
        <v>327</v>
      </c>
      <c r="L13" s="1"/>
      <c r="M13" s="1"/>
      <c r="N13" s="1"/>
      <c r="O13" s="11"/>
    </row>
    <row r="14" spans="1:15" hidden="1" x14ac:dyDescent="0.25">
      <c r="A14" s="1">
        <v>46249</v>
      </c>
      <c r="B14">
        <v>1043006106</v>
      </c>
      <c r="C14" s="11" t="s">
        <v>63</v>
      </c>
      <c r="D14" s="11" t="s">
        <v>64</v>
      </c>
      <c r="E14" s="11" t="s">
        <v>4046</v>
      </c>
      <c r="F14" s="11" t="s">
        <v>16</v>
      </c>
      <c r="G14" s="1">
        <v>46219</v>
      </c>
      <c r="H14" s="1">
        <v>46248</v>
      </c>
      <c r="I14" s="2">
        <v>0.25</v>
      </c>
      <c r="J14" s="2">
        <v>0.66666666666666663</v>
      </c>
      <c r="K14" s="11" t="s">
        <v>237</v>
      </c>
      <c r="L14" s="1"/>
      <c r="M14" s="1"/>
      <c r="N14" s="1"/>
      <c r="O14" s="11"/>
    </row>
    <row r="15" spans="1:15" hidden="1" x14ac:dyDescent="0.25">
      <c r="A15" s="1">
        <v>46235</v>
      </c>
      <c r="B15">
        <v>1128467297</v>
      </c>
      <c r="C15" s="11" t="s">
        <v>3392</v>
      </c>
      <c r="D15" s="11" t="s">
        <v>619</v>
      </c>
      <c r="E15" s="11" t="s">
        <v>4045</v>
      </c>
      <c r="F15" s="11" t="s">
        <v>16</v>
      </c>
      <c r="G15" s="1">
        <v>46234</v>
      </c>
      <c r="H15" s="1">
        <v>46235</v>
      </c>
      <c r="I15" s="2">
        <v>0.25</v>
      </c>
      <c r="J15" s="2">
        <v>0.66666666666666663</v>
      </c>
      <c r="K15" s="11" t="s">
        <v>315</v>
      </c>
      <c r="L15" s="1"/>
      <c r="M15" s="1"/>
      <c r="N15" s="1"/>
      <c r="O15" s="11"/>
    </row>
    <row r="16" spans="1:15" hidden="1" x14ac:dyDescent="0.25">
      <c r="A16" s="1">
        <v>46259</v>
      </c>
      <c r="B16">
        <v>1017264032</v>
      </c>
      <c r="C16" s="11" t="s">
        <v>88</v>
      </c>
      <c r="D16" s="11" t="s">
        <v>55</v>
      </c>
      <c r="E16" s="11" t="s">
        <v>4047</v>
      </c>
      <c r="F16" s="11" t="s">
        <v>16</v>
      </c>
      <c r="G16" s="1">
        <v>46229</v>
      </c>
      <c r="H16" s="1">
        <v>46258</v>
      </c>
      <c r="I16" s="2">
        <v>0.25</v>
      </c>
      <c r="J16" s="2">
        <v>0.58333333333333337</v>
      </c>
      <c r="K16" s="11" t="s">
        <v>151</v>
      </c>
      <c r="L16" s="1"/>
      <c r="M16" s="1"/>
      <c r="N16" s="1"/>
      <c r="O16" s="11"/>
    </row>
    <row r="17" spans="1:15" hidden="1" x14ac:dyDescent="0.25">
      <c r="A17" s="1">
        <v>46239</v>
      </c>
      <c r="B17">
        <v>1001940238</v>
      </c>
      <c r="C17" s="11" t="s">
        <v>4049</v>
      </c>
      <c r="D17" s="11" t="s">
        <v>82</v>
      </c>
      <c r="E17" s="11" t="s">
        <v>4045</v>
      </c>
      <c r="F17" s="11" t="s">
        <v>4050</v>
      </c>
      <c r="G17" s="1">
        <v>46237</v>
      </c>
      <c r="H17" s="1">
        <v>46239</v>
      </c>
      <c r="I17" s="2">
        <v>0.54166666666666663</v>
      </c>
      <c r="J17" s="2">
        <v>0.83333333333333337</v>
      </c>
      <c r="K17" s="11" t="s">
        <v>265</v>
      </c>
      <c r="L17" s="1"/>
      <c r="M17" s="1"/>
      <c r="N17" s="1"/>
      <c r="O17" s="11"/>
    </row>
    <row r="18" spans="1:15" hidden="1" x14ac:dyDescent="0.25">
      <c r="A18" s="1">
        <v>46235</v>
      </c>
      <c r="B18">
        <v>1043022975</v>
      </c>
      <c r="C18" s="11" t="s">
        <v>1786</v>
      </c>
      <c r="D18" s="11" t="s">
        <v>15</v>
      </c>
      <c r="E18" s="11" t="s">
        <v>4046</v>
      </c>
      <c r="F18" s="11" t="s">
        <v>16</v>
      </c>
      <c r="G18" s="1">
        <v>46234</v>
      </c>
      <c r="H18" s="1">
        <v>46235</v>
      </c>
      <c r="I18" s="2"/>
      <c r="J18" s="2"/>
      <c r="K18" s="11" t="s">
        <v>341</v>
      </c>
      <c r="L18" s="1"/>
      <c r="M18" s="1"/>
      <c r="N18" s="1"/>
      <c r="O18" s="11"/>
    </row>
    <row r="19" spans="1:15" hidden="1" x14ac:dyDescent="0.25">
      <c r="A19" s="1">
        <v>46238</v>
      </c>
      <c r="B19" t="s">
        <v>33</v>
      </c>
      <c r="C19" s="11" t="s">
        <v>34</v>
      </c>
      <c r="D19" s="11" t="s">
        <v>15</v>
      </c>
      <c r="E19" s="11" t="s">
        <v>4046</v>
      </c>
      <c r="F19" s="11" t="s">
        <v>16</v>
      </c>
      <c r="G19" s="1">
        <v>46224</v>
      </c>
      <c r="H19" s="1">
        <v>46239</v>
      </c>
      <c r="I19" s="2">
        <v>0.54166666666666663</v>
      </c>
      <c r="J19" s="2">
        <v>0.875</v>
      </c>
      <c r="K19" s="11" t="s">
        <v>223</v>
      </c>
      <c r="L19" s="1"/>
      <c r="M19" s="1"/>
      <c r="N19" s="1"/>
      <c r="O19" s="11"/>
    </row>
    <row r="20" spans="1:15" hidden="1" x14ac:dyDescent="0.25">
      <c r="A20" s="1">
        <v>46246</v>
      </c>
      <c r="B20">
        <v>1036132488</v>
      </c>
      <c r="C20" s="11" t="s">
        <v>89</v>
      </c>
      <c r="D20" s="11" t="s">
        <v>59</v>
      </c>
      <c r="E20" s="11" t="s">
        <v>4047</v>
      </c>
      <c r="F20" s="11" t="s">
        <v>16</v>
      </c>
      <c r="G20" s="1">
        <v>46227</v>
      </c>
      <c r="H20" s="1">
        <v>46246</v>
      </c>
      <c r="I20" s="2">
        <v>0.25</v>
      </c>
      <c r="J20" s="2">
        <v>0.58333333333333337</v>
      </c>
      <c r="K20" s="11" t="s">
        <v>86</v>
      </c>
      <c r="L20" s="1"/>
      <c r="M20" s="1"/>
      <c r="N20" s="1"/>
      <c r="O20" s="11"/>
    </row>
    <row r="21" spans="1:15" hidden="1" x14ac:dyDescent="0.25">
      <c r="A21" s="1">
        <v>46237</v>
      </c>
      <c r="B21">
        <v>42141273</v>
      </c>
      <c r="C21" s="11" t="s">
        <v>271</v>
      </c>
      <c r="D21" s="11" t="s">
        <v>272</v>
      </c>
      <c r="E21" s="11" t="s">
        <v>4056</v>
      </c>
      <c r="F21" s="11" t="s">
        <v>16</v>
      </c>
      <c r="G21" s="1">
        <v>46224</v>
      </c>
      <c r="H21" s="1">
        <v>46238</v>
      </c>
      <c r="I21" s="2">
        <v>0.25</v>
      </c>
      <c r="J21" s="2">
        <v>0.5</v>
      </c>
      <c r="K21" s="11" t="s">
        <v>268</v>
      </c>
      <c r="L21" s="1"/>
      <c r="M21" s="1"/>
      <c r="N21" s="1"/>
      <c r="O21" s="11"/>
    </row>
    <row r="22" spans="1:15" hidden="1" x14ac:dyDescent="0.25">
      <c r="A22" s="1">
        <v>46235</v>
      </c>
      <c r="B22">
        <v>1143374438</v>
      </c>
      <c r="C22" s="11" t="s">
        <v>154</v>
      </c>
      <c r="D22" s="11" t="s">
        <v>28</v>
      </c>
      <c r="E22" s="11" t="s">
        <v>4046</v>
      </c>
      <c r="F22" s="11" t="s">
        <v>16</v>
      </c>
      <c r="G22" s="1">
        <v>46209</v>
      </c>
      <c r="H22" s="1">
        <v>46238</v>
      </c>
      <c r="I22" s="2">
        <v>0.25</v>
      </c>
      <c r="J22" s="2">
        <v>0.66666666666666663</v>
      </c>
      <c r="K22" s="11" t="s">
        <v>214</v>
      </c>
      <c r="L22" s="1"/>
      <c r="M22" s="1"/>
      <c r="N22" s="1"/>
      <c r="O22" s="11"/>
    </row>
    <row r="23" spans="1:15" hidden="1" x14ac:dyDescent="0.25">
      <c r="A23" s="1">
        <v>46235</v>
      </c>
      <c r="B23">
        <v>1061819313</v>
      </c>
      <c r="C23" s="11" t="s">
        <v>280</v>
      </c>
      <c r="D23" s="11" t="s">
        <v>59</v>
      </c>
      <c r="E23" s="11" t="s">
        <v>4047</v>
      </c>
      <c r="F23" s="11" t="s">
        <v>16</v>
      </c>
      <c r="G23" s="1">
        <v>46231</v>
      </c>
      <c r="H23" s="1">
        <v>46235</v>
      </c>
      <c r="I23" s="2">
        <v>0.25</v>
      </c>
      <c r="J23" s="2">
        <v>0.66666666666666663</v>
      </c>
      <c r="K23" s="11" t="s">
        <v>277</v>
      </c>
      <c r="L23" s="1"/>
      <c r="M23" s="1"/>
      <c r="N23" s="1"/>
      <c r="O23" s="11"/>
    </row>
    <row r="24" spans="1:15" hidden="1" x14ac:dyDescent="0.25">
      <c r="A24" s="1">
        <v>46235</v>
      </c>
      <c r="B24">
        <v>1017270154</v>
      </c>
      <c r="C24" s="11" t="s">
        <v>1004</v>
      </c>
      <c r="D24" s="11" t="s">
        <v>421</v>
      </c>
      <c r="E24" s="11" t="s">
        <v>4047</v>
      </c>
      <c r="F24" s="11" t="s">
        <v>16</v>
      </c>
      <c r="G24" s="1">
        <v>46234</v>
      </c>
      <c r="H24" s="1">
        <v>46235</v>
      </c>
      <c r="I24" s="2">
        <v>0.25</v>
      </c>
      <c r="J24" s="2">
        <v>0.66666666666666663</v>
      </c>
      <c r="K24" s="11" t="s">
        <v>86</v>
      </c>
      <c r="L24" s="1"/>
      <c r="M24" s="1"/>
      <c r="N24" s="1"/>
      <c r="O24" s="11"/>
    </row>
    <row r="25" spans="1:15" hidden="1" x14ac:dyDescent="0.25">
      <c r="A25" s="1">
        <v>46237</v>
      </c>
      <c r="B25">
        <v>1140905046</v>
      </c>
      <c r="C25" s="11" t="s">
        <v>4059</v>
      </c>
      <c r="D25" s="11" t="s">
        <v>482</v>
      </c>
      <c r="E25" s="11" t="s">
        <v>4040</v>
      </c>
      <c r="F25" s="11" t="s">
        <v>4050</v>
      </c>
      <c r="G25" s="1">
        <v>46235</v>
      </c>
      <c r="H25" s="1">
        <v>46238</v>
      </c>
      <c r="I25" s="2">
        <v>0.25</v>
      </c>
      <c r="J25" s="2">
        <v>0.54166666666666663</v>
      </c>
      <c r="K25" s="11" t="s">
        <v>310</v>
      </c>
      <c r="L25" s="1"/>
      <c r="M25" s="1"/>
      <c r="N25" s="1"/>
      <c r="O25" s="11"/>
    </row>
    <row r="26" spans="1:15" hidden="1" x14ac:dyDescent="0.25">
      <c r="A26" s="1">
        <v>46237</v>
      </c>
      <c r="B26" t="s">
        <v>288</v>
      </c>
      <c r="C26" s="11" t="s">
        <v>289</v>
      </c>
      <c r="D26" s="11" t="s">
        <v>272</v>
      </c>
      <c r="E26" s="11" t="s">
        <v>4056</v>
      </c>
      <c r="F26" s="11" t="s">
        <v>36</v>
      </c>
      <c r="G26" s="1">
        <v>46230</v>
      </c>
      <c r="H26" s="1">
        <v>46355</v>
      </c>
      <c r="I26" s="2">
        <v>0.25</v>
      </c>
      <c r="J26" s="2">
        <v>0.58333333333333337</v>
      </c>
      <c r="K26" s="11" t="s">
        <v>322</v>
      </c>
      <c r="L26" s="1"/>
      <c r="M26" s="1"/>
      <c r="N26" s="1"/>
      <c r="O26" s="11"/>
    </row>
    <row r="27" spans="1:15" hidden="1" x14ac:dyDescent="0.25">
      <c r="A27" s="1">
        <v>46235</v>
      </c>
      <c r="B27">
        <v>1085318652</v>
      </c>
      <c r="C27" s="11" t="s">
        <v>292</v>
      </c>
      <c r="D27" s="11" t="s">
        <v>272</v>
      </c>
      <c r="E27" s="11" t="s">
        <v>4056</v>
      </c>
      <c r="F27" s="11" t="s">
        <v>92</v>
      </c>
      <c r="G27" s="1">
        <v>46233</v>
      </c>
      <c r="H27" s="1">
        <v>46238</v>
      </c>
      <c r="I27" s="2">
        <v>0.25</v>
      </c>
      <c r="J27" s="2">
        <v>0.58333333333333337</v>
      </c>
      <c r="K27" s="11" t="s">
        <v>322</v>
      </c>
      <c r="L27" s="1"/>
      <c r="M27" s="1"/>
      <c r="N27" s="1"/>
      <c r="O27" s="11"/>
    </row>
    <row r="28" spans="1:15" hidden="1" x14ac:dyDescent="0.25">
      <c r="A28" s="1">
        <v>46235</v>
      </c>
      <c r="B28">
        <v>1118569642</v>
      </c>
      <c r="C28" s="11" t="s">
        <v>175</v>
      </c>
      <c r="D28" s="11" t="s">
        <v>176</v>
      </c>
      <c r="E28" s="11" t="s">
        <v>4040</v>
      </c>
      <c r="F28" s="11" t="s">
        <v>16</v>
      </c>
      <c r="G28" s="1">
        <v>46230</v>
      </c>
      <c r="H28" s="1">
        <v>46235</v>
      </c>
      <c r="I28" s="2">
        <v>0.25</v>
      </c>
      <c r="J28" s="2">
        <v>0.66666666666666663</v>
      </c>
      <c r="K28" s="11" t="s">
        <v>178</v>
      </c>
      <c r="L28" s="1"/>
      <c r="M28" s="1"/>
      <c r="N28" s="1"/>
      <c r="O28" s="11"/>
    </row>
    <row r="29" spans="1:15" hidden="1" x14ac:dyDescent="0.25">
      <c r="A29" s="1">
        <v>46237</v>
      </c>
      <c r="B29">
        <v>50995706</v>
      </c>
      <c r="C29" s="11" t="s">
        <v>2510</v>
      </c>
      <c r="D29" s="11" t="s">
        <v>55</v>
      </c>
      <c r="E29" s="11" t="s">
        <v>4047</v>
      </c>
      <c r="F29" s="11" t="s">
        <v>16</v>
      </c>
      <c r="G29" s="1">
        <v>46234</v>
      </c>
      <c r="H29" s="1">
        <v>46234</v>
      </c>
      <c r="I29" s="2">
        <v>0.25</v>
      </c>
      <c r="J29" s="2">
        <v>0.58333333333333337</v>
      </c>
      <c r="K29" s="11" t="s">
        <v>4060</v>
      </c>
      <c r="L29" s="1"/>
      <c r="M29" s="1"/>
      <c r="N29" s="1"/>
      <c r="O29" s="11"/>
    </row>
    <row r="30" spans="1:15" hidden="1" x14ac:dyDescent="0.25">
      <c r="A30" s="1">
        <v>46235</v>
      </c>
      <c r="B30">
        <v>1002159016</v>
      </c>
      <c r="C30" s="11" t="s">
        <v>244</v>
      </c>
      <c r="D30" s="11" t="s">
        <v>245</v>
      </c>
      <c r="E30" s="11" t="s">
        <v>4040</v>
      </c>
      <c r="F30" s="11" t="s">
        <v>16</v>
      </c>
      <c r="G30" s="1">
        <v>46230</v>
      </c>
      <c r="H30" s="1">
        <v>46235</v>
      </c>
      <c r="I30" s="2">
        <v>0.25</v>
      </c>
      <c r="J30" s="2">
        <v>0.66666666666666663</v>
      </c>
      <c r="K30" s="11" t="s">
        <v>247</v>
      </c>
      <c r="L30" s="1"/>
      <c r="M30" s="1"/>
      <c r="N30" s="1"/>
      <c r="O30" s="11"/>
    </row>
    <row r="31" spans="1:15" hidden="1" x14ac:dyDescent="0.25">
      <c r="A31" s="1">
        <v>46237</v>
      </c>
      <c r="B31">
        <v>1035876080</v>
      </c>
      <c r="C31" s="11" t="s">
        <v>123</v>
      </c>
      <c r="D31" s="11" t="s">
        <v>124</v>
      </c>
      <c r="E31" s="11" t="s">
        <v>4045</v>
      </c>
      <c r="F31" s="11" t="s">
        <v>16</v>
      </c>
      <c r="G31" s="1">
        <v>46224</v>
      </c>
      <c r="H31" s="1">
        <v>46238</v>
      </c>
      <c r="I31" s="2">
        <v>0.25</v>
      </c>
      <c r="J31" s="2">
        <v>0.58333333333333337</v>
      </c>
      <c r="K31" s="11" t="s">
        <v>277</v>
      </c>
      <c r="L31" s="1"/>
      <c r="M31" s="1"/>
      <c r="N31" s="1"/>
      <c r="O31" s="11"/>
    </row>
    <row r="32" spans="1:15" hidden="1" x14ac:dyDescent="0.25">
      <c r="A32" s="1">
        <v>46248</v>
      </c>
      <c r="B32">
        <v>1121506548</v>
      </c>
      <c r="C32" s="11" t="s">
        <v>38</v>
      </c>
      <c r="D32" s="11" t="s">
        <v>39</v>
      </c>
      <c r="E32" s="11" t="s">
        <v>4046</v>
      </c>
      <c r="F32" s="11" t="s">
        <v>36</v>
      </c>
      <c r="G32" s="1">
        <v>46217</v>
      </c>
      <c r="H32" s="1">
        <v>46342</v>
      </c>
      <c r="I32" s="2">
        <v>0.58333333333333337</v>
      </c>
      <c r="J32" s="2">
        <v>0.875</v>
      </c>
      <c r="K32" s="11" t="s">
        <v>301</v>
      </c>
      <c r="L32" s="1"/>
      <c r="M32" s="1"/>
      <c r="N32" s="1"/>
      <c r="O32" s="11"/>
    </row>
    <row r="33" spans="1:15" hidden="1" x14ac:dyDescent="0.25">
      <c r="A33" s="1">
        <v>46263</v>
      </c>
      <c r="B33">
        <v>1143460426</v>
      </c>
      <c r="C33" s="11" t="s">
        <v>4069</v>
      </c>
      <c r="D33" s="11" t="s">
        <v>64</v>
      </c>
      <c r="E33" s="11" t="s">
        <v>4046</v>
      </c>
      <c r="F33" s="11" t="s">
        <v>4050</v>
      </c>
      <c r="G33" s="1">
        <v>46195</v>
      </c>
      <c r="H33" s="1">
        <v>46198</v>
      </c>
      <c r="I33" s="2"/>
      <c r="J33" s="2"/>
      <c r="K33" s="11" t="s">
        <v>339</v>
      </c>
      <c r="L33" s="1"/>
      <c r="M33" s="1"/>
      <c r="N33" s="1"/>
      <c r="O33" s="11"/>
    </row>
    <row r="34" spans="1:15" hidden="1" x14ac:dyDescent="0.25">
      <c r="A34" s="1">
        <v>46235</v>
      </c>
      <c r="B34" t="s">
        <v>4070</v>
      </c>
      <c r="C34" s="11" t="s">
        <v>4071</v>
      </c>
      <c r="D34" s="11" t="s">
        <v>256</v>
      </c>
      <c r="E34" s="11" t="s">
        <v>4040</v>
      </c>
      <c r="F34" s="11" t="s">
        <v>4050</v>
      </c>
      <c r="G34" s="1">
        <v>46233</v>
      </c>
      <c r="H34" s="1">
        <v>46235</v>
      </c>
      <c r="I34" s="2">
        <v>0.25</v>
      </c>
      <c r="J34" s="2">
        <v>0.66666666666666663</v>
      </c>
      <c r="K34" s="11" t="s">
        <v>327</v>
      </c>
      <c r="L34" s="1"/>
      <c r="M34" s="1"/>
      <c r="N34" s="1"/>
      <c r="O34" s="11"/>
    </row>
    <row r="35" spans="1:15" hidden="1" x14ac:dyDescent="0.25">
      <c r="A35" s="1">
        <v>46262</v>
      </c>
      <c r="B35">
        <v>1152221372</v>
      </c>
      <c r="C35" s="11" t="s">
        <v>4072</v>
      </c>
      <c r="D35" s="11" t="s">
        <v>139</v>
      </c>
      <c r="E35" s="11" t="s">
        <v>4040</v>
      </c>
      <c r="F35" s="11" t="s">
        <v>158</v>
      </c>
      <c r="G35" s="1">
        <v>46230</v>
      </c>
      <c r="H35" s="1">
        <v>46230</v>
      </c>
      <c r="I35" s="2">
        <v>0.58333333333333337</v>
      </c>
      <c r="J35" s="2">
        <v>0.875</v>
      </c>
      <c r="K35" s="11" t="s">
        <v>327</v>
      </c>
      <c r="L35" s="1"/>
      <c r="M35" s="1"/>
      <c r="N35" s="1"/>
      <c r="O35" s="11"/>
    </row>
    <row r="36" spans="1:15" hidden="1" x14ac:dyDescent="0.25">
      <c r="A36" s="1">
        <v>46246</v>
      </c>
      <c r="B36">
        <v>1098777544</v>
      </c>
      <c r="C36" s="11" t="s">
        <v>131</v>
      </c>
      <c r="D36" s="11" t="s">
        <v>132</v>
      </c>
      <c r="E36" s="11" t="s">
        <v>4040</v>
      </c>
      <c r="F36" s="11" t="s">
        <v>16</v>
      </c>
      <c r="G36" s="1">
        <v>46217</v>
      </c>
      <c r="H36" s="1">
        <v>46246</v>
      </c>
      <c r="I36" s="2">
        <v>0.25</v>
      </c>
      <c r="J36" s="2">
        <v>0.54166666666666663</v>
      </c>
      <c r="K36" s="11" t="s">
        <v>327</v>
      </c>
      <c r="L36" s="1"/>
      <c r="M36" s="1"/>
      <c r="N36" s="1"/>
      <c r="O36" s="11"/>
    </row>
    <row r="37" spans="1:15" hidden="1" x14ac:dyDescent="0.25">
      <c r="A37" s="1">
        <v>46235</v>
      </c>
      <c r="B37">
        <v>1047476960</v>
      </c>
      <c r="C37" s="11" t="s">
        <v>3219</v>
      </c>
      <c r="D37" s="11" t="s">
        <v>492</v>
      </c>
      <c r="E37" s="11" t="s">
        <v>4045</v>
      </c>
      <c r="F37" s="11" t="s">
        <v>4074</v>
      </c>
      <c r="G37" s="1">
        <v>46234</v>
      </c>
      <c r="H37" s="1">
        <v>46237</v>
      </c>
      <c r="I37" s="2">
        <v>0.25</v>
      </c>
      <c r="J37" s="2">
        <v>0.66666666666666663</v>
      </c>
      <c r="K37" s="11" t="s">
        <v>4060</v>
      </c>
      <c r="L37" s="1"/>
      <c r="M37" s="1"/>
      <c r="N37" s="1">
        <v>46240</v>
      </c>
      <c r="O37" s="11" t="s">
        <v>4075</v>
      </c>
    </row>
    <row r="38" spans="1:15" hidden="1" x14ac:dyDescent="0.25">
      <c r="A38" s="1">
        <v>46237</v>
      </c>
      <c r="B38">
        <v>1047476960</v>
      </c>
      <c r="C38" s="11" t="s">
        <v>3219</v>
      </c>
      <c r="D38" s="11" t="s">
        <v>492</v>
      </c>
      <c r="E38" s="11" t="s">
        <v>4045</v>
      </c>
      <c r="F38" s="11" t="s">
        <v>16</v>
      </c>
      <c r="G38" s="1">
        <v>46234</v>
      </c>
      <c r="H38" s="1">
        <v>46237</v>
      </c>
      <c r="I38" s="2">
        <v>0.58333333333333337</v>
      </c>
      <c r="J38" s="2">
        <v>0.875</v>
      </c>
      <c r="K38" s="11" t="s">
        <v>4305</v>
      </c>
      <c r="L38" s="1"/>
      <c r="M38" s="1"/>
      <c r="N38" s="1"/>
      <c r="O38" s="11"/>
    </row>
    <row r="39" spans="1:15" hidden="1" x14ac:dyDescent="0.25">
      <c r="A39" s="1">
        <v>46240</v>
      </c>
      <c r="B39">
        <v>1001005240</v>
      </c>
      <c r="C39" s="11" t="s">
        <v>43</v>
      </c>
      <c r="D39" s="11" t="s">
        <v>44</v>
      </c>
      <c r="E39" s="11" t="s">
        <v>4045</v>
      </c>
      <c r="F39" s="11" t="s">
        <v>16</v>
      </c>
      <c r="G39" s="1">
        <v>46234</v>
      </c>
      <c r="H39" s="1">
        <v>46240</v>
      </c>
      <c r="I39" s="2">
        <v>0.25</v>
      </c>
      <c r="J39" s="2">
        <v>0.54166666666666663</v>
      </c>
      <c r="K39" s="11" t="s">
        <v>214</v>
      </c>
      <c r="L39" s="1"/>
      <c r="M39" s="1"/>
      <c r="N39" s="1"/>
      <c r="O39" s="11"/>
    </row>
    <row r="40" spans="1:15" hidden="1" x14ac:dyDescent="0.25">
      <c r="A40" s="1">
        <v>46235</v>
      </c>
      <c r="B40">
        <v>1020488082</v>
      </c>
      <c r="C40" s="11" t="s">
        <v>3828</v>
      </c>
      <c r="D40" s="11" t="s">
        <v>256</v>
      </c>
      <c r="E40" s="11" t="s">
        <v>4040</v>
      </c>
      <c r="F40" s="11" t="s">
        <v>16</v>
      </c>
      <c r="G40" s="1">
        <v>46234</v>
      </c>
      <c r="H40" s="1">
        <v>46235</v>
      </c>
      <c r="I40" s="2">
        <v>0.25</v>
      </c>
      <c r="J40" s="2">
        <v>0.66666666666666663</v>
      </c>
      <c r="K40" s="11" t="s">
        <v>4060</v>
      </c>
      <c r="L40" s="1"/>
      <c r="M40" s="1"/>
      <c r="N40" s="1"/>
      <c r="O40" s="11"/>
    </row>
    <row r="41" spans="1:15" hidden="1" x14ac:dyDescent="0.25">
      <c r="A41" s="1">
        <v>46235</v>
      </c>
      <c r="B41">
        <v>1144057947</v>
      </c>
      <c r="C41" s="11" t="s">
        <v>1618</v>
      </c>
      <c r="D41" s="11" t="s">
        <v>162</v>
      </c>
      <c r="E41" s="11" t="s">
        <v>4056</v>
      </c>
      <c r="F41" s="11" t="s">
        <v>4077</v>
      </c>
      <c r="G41" s="1">
        <v>46220</v>
      </c>
      <c r="H41" s="1">
        <v>46235</v>
      </c>
      <c r="I41" s="2"/>
      <c r="J41" s="2"/>
      <c r="K41" s="11" t="s">
        <v>341</v>
      </c>
      <c r="L41" s="1"/>
      <c r="M41" s="1"/>
      <c r="N41" s="1"/>
      <c r="O41" s="11"/>
    </row>
    <row r="42" spans="1:15" hidden="1" x14ac:dyDescent="0.25">
      <c r="A42" s="1">
        <v>46235</v>
      </c>
      <c r="B42">
        <v>1192769686</v>
      </c>
      <c r="C42" s="11" t="s">
        <v>1935</v>
      </c>
      <c r="D42" s="11" t="s">
        <v>256</v>
      </c>
      <c r="E42" s="11" t="s">
        <v>4040</v>
      </c>
      <c r="F42" s="11" t="s">
        <v>16</v>
      </c>
      <c r="G42" s="1">
        <v>46234</v>
      </c>
      <c r="H42" s="1">
        <v>46235</v>
      </c>
      <c r="I42" s="2">
        <v>0.25</v>
      </c>
      <c r="J42" s="2">
        <v>0.66666666666666663</v>
      </c>
      <c r="K42" s="11" t="s">
        <v>304</v>
      </c>
      <c r="L42" s="1"/>
      <c r="M42" s="1"/>
      <c r="N42" s="1"/>
      <c r="O42" s="11"/>
    </row>
    <row r="43" spans="1:15" hidden="1" x14ac:dyDescent="0.25">
      <c r="A43" s="1">
        <v>46235</v>
      </c>
      <c r="B43">
        <v>1037651431</v>
      </c>
      <c r="C43" s="11" t="s">
        <v>539</v>
      </c>
      <c r="D43" s="11" t="s">
        <v>51</v>
      </c>
      <c r="E43" s="11" t="s">
        <v>4047</v>
      </c>
      <c r="F43" s="11" t="s">
        <v>16</v>
      </c>
      <c r="G43" s="1">
        <v>46235</v>
      </c>
      <c r="H43" s="1">
        <v>46235</v>
      </c>
      <c r="I43" s="2">
        <v>0.25</v>
      </c>
      <c r="J43" s="2">
        <v>0.66666666666666663</v>
      </c>
      <c r="K43" s="11" t="s">
        <v>327</v>
      </c>
      <c r="L43" s="1"/>
      <c r="M43" s="1"/>
      <c r="N43" s="1"/>
      <c r="O43" s="11"/>
    </row>
    <row r="44" spans="1:15" hidden="1" x14ac:dyDescent="0.25">
      <c r="A44" s="1">
        <v>46238</v>
      </c>
      <c r="B44">
        <v>1143470207</v>
      </c>
      <c r="C44" s="11" t="s">
        <v>4076</v>
      </c>
      <c r="D44" s="11" t="s">
        <v>44</v>
      </c>
      <c r="E44" s="11" t="s">
        <v>4045</v>
      </c>
      <c r="F44" s="11" t="s">
        <v>4050</v>
      </c>
      <c r="G44" s="1">
        <v>46235</v>
      </c>
      <c r="H44" s="1">
        <v>46238</v>
      </c>
      <c r="I44" s="2">
        <v>0.25</v>
      </c>
      <c r="J44" s="2">
        <v>0.58333333333333337</v>
      </c>
      <c r="K44" s="11" t="s">
        <v>327</v>
      </c>
      <c r="L44" s="1"/>
      <c r="M44" s="1"/>
      <c r="N44" s="1"/>
      <c r="O44" s="11"/>
    </row>
    <row r="45" spans="1:15" hidden="1" x14ac:dyDescent="0.25">
      <c r="A45" s="1">
        <v>46235</v>
      </c>
      <c r="B45">
        <v>1037661959</v>
      </c>
      <c r="C45" s="11" t="s">
        <v>4080</v>
      </c>
      <c r="D45" s="11" t="s">
        <v>482</v>
      </c>
      <c r="E45" s="11" t="s">
        <v>4040</v>
      </c>
      <c r="F45" s="11" t="s">
        <v>16</v>
      </c>
      <c r="G45" s="1">
        <v>46235</v>
      </c>
      <c r="H45" s="1">
        <v>46235</v>
      </c>
      <c r="I45" s="2">
        <v>0.25</v>
      </c>
      <c r="J45" s="2">
        <v>0.66666666666666663</v>
      </c>
      <c r="K45" s="11" t="s">
        <v>327</v>
      </c>
      <c r="L45" s="1"/>
      <c r="M45" s="1"/>
      <c r="N45" s="1"/>
      <c r="O45" s="11"/>
    </row>
    <row r="46" spans="1:15" hidden="1" x14ac:dyDescent="0.25">
      <c r="A46" s="1">
        <v>46235</v>
      </c>
      <c r="B46">
        <v>1000416383</v>
      </c>
      <c r="C46" s="11" t="s">
        <v>1245</v>
      </c>
      <c r="D46" s="11" t="s">
        <v>102</v>
      </c>
      <c r="E46" s="11" t="s">
        <v>4046</v>
      </c>
      <c r="F46" s="11" t="s">
        <v>4074</v>
      </c>
      <c r="G46" s="1">
        <v>46234</v>
      </c>
      <c r="H46" s="1">
        <v>46235</v>
      </c>
      <c r="I46" s="2">
        <v>0.25</v>
      </c>
      <c r="J46" s="2">
        <v>0.66666666666666663</v>
      </c>
      <c r="K46" s="11" t="s">
        <v>4060</v>
      </c>
      <c r="L46" s="1">
        <v>46235</v>
      </c>
      <c r="M46" s="1">
        <v>46234</v>
      </c>
      <c r="N46" s="1"/>
      <c r="O46" s="11" t="s">
        <v>4081</v>
      </c>
    </row>
    <row r="47" spans="1:15" hidden="1" x14ac:dyDescent="0.25">
      <c r="A47" s="1">
        <v>46235</v>
      </c>
      <c r="B47">
        <v>1193459665</v>
      </c>
      <c r="C47" s="11" t="s">
        <v>4063</v>
      </c>
      <c r="D47" s="11" t="s">
        <v>256</v>
      </c>
      <c r="E47" s="11" t="s">
        <v>4040</v>
      </c>
      <c r="F47" s="11" t="s">
        <v>4050</v>
      </c>
      <c r="G47" s="1">
        <v>46235</v>
      </c>
      <c r="H47" s="1">
        <v>46238</v>
      </c>
      <c r="I47" s="2">
        <v>0.25</v>
      </c>
      <c r="J47" s="2">
        <v>0.66666666666666663</v>
      </c>
      <c r="K47" s="11" t="s">
        <v>327</v>
      </c>
      <c r="L47" s="1"/>
      <c r="M47" s="1"/>
      <c r="N47" s="1"/>
      <c r="O47" s="11"/>
    </row>
    <row r="48" spans="1:15" hidden="1" x14ac:dyDescent="0.25">
      <c r="A48" s="1">
        <v>46235</v>
      </c>
      <c r="B48">
        <v>1152446353</v>
      </c>
      <c r="C48" s="11" t="s">
        <v>205</v>
      </c>
      <c r="D48" s="11" t="s">
        <v>51</v>
      </c>
      <c r="E48" s="11" t="s">
        <v>4047</v>
      </c>
      <c r="F48" s="11" t="s">
        <v>16</v>
      </c>
      <c r="G48" s="1">
        <v>46235</v>
      </c>
      <c r="H48" s="1">
        <v>46235</v>
      </c>
      <c r="I48" s="2">
        <v>0.25</v>
      </c>
      <c r="J48" s="2">
        <v>0.66666666666666663</v>
      </c>
      <c r="K48" s="11" t="s">
        <v>327</v>
      </c>
      <c r="L48" s="1"/>
      <c r="M48" s="1"/>
      <c r="N48" s="1"/>
      <c r="O48" s="11"/>
    </row>
    <row r="49" spans="1:15" hidden="1" x14ac:dyDescent="0.25">
      <c r="A49" s="1">
        <v>46235</v>
      </c>
      <c r="B49">
        <v>1067959066</v>
      </c>
      <c r="C49" s="11" t="s">
        <v>3479</v>
      </c>
      <c r="D49" s="11" t="s">
        <v>344</v>
      </c>
      <c r="E49" s="11" t="s">
        <v>4056</v>
      </c>
      <c r="F49" s="11" t="s">
        <v>4074</v>
      </c>
      <c r="G49" s="1">
        <v>46235</v>
      </c>
      <c r="H49" s="1">
        <v>46235</v>
      </c>
      <c r="I49" s="2">
        <v>0.25</v>
      </c>
      <c r="J49" s="2">
        <v>0.58333333333333337</v>
      </c>
      <c r="K49" s="11" t="s">
        <v>4082</v>
      </c>
      <c r="L49" s="1">
        <v>46237</v>
      </c>
      <c r="M49" s="1">
        <v>46237</v>
      </c>
      <c r="N49" s="1"/>
      <c r="O49" s="11" t="s">
        <v>4081</v>
      </c>
    </row>
    <row r="50" spans="1:15" hidden="1" x14ac:dyDescent="0.25">
      <c r="A50" s="1">
        <v>46235</v>
      </c>
      <c r="B50">
        <v>1007868236</v>
      </c>
      <c r="C50" s="11" t="s">
        <v>1509</v>
      </c>
      <c r="D50" s="11" t="s">
        <v>132</v>
      </c>
      <c r="E50" s="11" t="s">
        <v>4040</v>
      </c>
      <c r="F50" s="11" t="s">
        <v>16</v>
      </c>
      <c r="G50" s="1">
        <v>46235</v>
      </c>
      <c r="H50" s="1">
        <v>46235</v>
      </c>
      <c r="I50" s="2">
        <v>0.25</v>
      </c>
      <c r="J50" s="2">
        <v>0.66666666666666663</v>
      </c>
      <c r="K50" s="11" t="s">
        <v>327</v>
      </c>
      <c r="L50" s="1"/>
      <c r="M50" s="1"/>
      <c r="N50" s="1"/>
      <c r="O50" s="11"/>
    </row>
    <row r="51" spans="1:15" hidden="1" x14ac:dyDescent="0.25">
      <c r="A51" s="1">
        <v>46237</v>
      </c>
      <c r="B51">
        <v>1037668071</v>
      </c>
      <c r="C51" s="11" t="s">
        <v>1761</v>
      </c>
      <c r="D51" s="11" t="s">
        <v>55</v>
      </c>
      <c r="E51" s="11" t="s">
        <v>4047</v>
      </c>
      <c r="F51" s="11" t="s">
        <v>4074</v>
      </c>
      <c r="G51" s="1">
        <v>46235</v>
      </c>
      <c r="H51" s="1">
        <v>46235</v>
      </c>
      <c r="I51" s="2">
        <v>0.58333333333333337</v>
      </c>
      <c r="J51" s="2">
        <v>0.875</v>
      </c>
      <c r="K51" s="11" t="s">
        <v>4060</v>
      </c>
      <c r="L51" s="1">
        <v>46235</v>
      </c>
      <c r="M51" s="1">
        <v>46234</v>
      </c>
      <c r="N51" s="1"/>
      <c r="O51" s="11" t="s">
        <v>4081</v>
      </c>
    </row>
    <row r="52" spans="1:15" hidden="1" x14ac:dyDescent="0.25">
      <c r="A52" s="1">
        <v>46235</v>
      </c>
      <c r="B52">
        <v>43271257</v>
      </c>
      <c r="C52" s="11" t="s">
        <v>1302</v>
      </c>
      <c r="D52" s="11" t="s">
        <v>15</v>
      </c>
      <c r="E52" s="11" t="s">
        <v>4046</v>
      </c>
      <c r="F52" s="11" t="s">
        <v>4074</v>
      </c>
      <c r="G52" s="1">
        <v>46235</v>
      </c>
      <c r="H52" s="1">
        <v>46235</v>
      </c>
      <c r="I52" s="2">
        <v>0.25</v>
      </c>
      <c r="J52" s="2">
        <v>0.66666666666666663</v>
      </c>
      <c r="K52" s="11" t="s">
        <v>4060</v>
      </c>
      <c r="L52" s="1">
        <v>46235</v>
      </c>
      <c r="M52" s="1">
        <v>46245</v>
      </c>
      <c r="N52" s="1"/>
      <c r="O52" s="11" t="s">
        <v>4081</v>
      </c>
    </row>
    <row r="53" spans="1:15" hidden="1" x14ac:dyDescent="0.25">
      <c r="A53" s="1">
        <v>46235</v>
      </c>
      <c r="B53">
        <v>1046668203</v>
      </c>
      <c r="C53" s="11" t="s">
        <v>2690</v>
      </c>
      <c r="D53" s="11" t="s">
        <v>128</v>
      </c>
      <c r="E53" s="11" t="s">
        <v>4045</v>
      </c>
      <c r="F53" s="11" t="s">
        <v>16</v>
      </c>
      <c r="G53" s="1">
        <v>46235</v>
      </c>
      <c r="H53" s="1">
        <v>46235</v>
      </c>
      <c r="I53" s="2">
        <v>0.25</v>
      </c>
      <c r="J53" s="2">
        <v>0.66666666666666663</v>
      </c>
      <c r="K53" s="11" t="s">
        <v>4060</v>
      </c>
      <c r="L53" s="1"/>
      <c r="M53" s="1"/>
      <c r="N53" s="1"/>
      <c r="O53" s="11"/>
    </row>
    <row r="54" spans="1:15" hidden="1" x14ac:dyDescent="0.25">
      <c r="A54" s="1">
        <v>46235</v>
      </c>
      <c r="B54">
        <v>42827780</v>
      </c>
      <c r="C54" s="11" t="s">
        <v>2499</v>
      </c>
      <c r="D54" s="11" t="s">
        <v>245</v>
      </c>
      <c r="E54" s="11" t="s">
        <v>4040</v>
      </c>
      <c r="F54" s="11" t="s">
        <v>4074</v>
      </c>
      <c r="G54" s="1">
        <v>46235</v>
      </c>
      <c r="H54" s="1">
        <v>46235</v>
      </c>
      <c r="I54" s="2">
        <v>0.29166666666666669</v>
      </c>
      <c r="J54" s="2">
        <v>0.66666666666666663</v>
      </c>
      <c r="K54" s="11" t="s">
        <v>4060</v>
      </c>
      <c r="L54" s="1">
        <v>46235</v>
      </c>
      <c r="M54" s="1">
        <v>46235</v>
      </c>
      <c r="N54" s="1"/>
      <c r="O54" s="11" t="s">
        <v>4081</v>
      </c>
    </row>
    <row r="55" spans="1:15" hidden="1" x14ac:dyDescent="0.25">
      <c r="A55" s="1">
        <v>46235</v>
      </c>
      <c r="B55">
        <v>1045017347</v>
      </c>
      <c r="C55" s="11" t="s">
        <v>1284</v>
      </c>
      <c r="D55" s="11" t="s">
        <v>256</v>
      </c>
      <c r="E55" s="11" t="s">
        <v>4047</v>
      </c>
      <c r="F55" s="11" t="s">
        <v>4074</v>
      </c>
      <c r="G55" s="1">
        <v>46235</v>
      </c>
      <c r="H55" s="1">
        <v>46235</v>
      </c>
      <c r="I55" s="2">
        <v>0.25</v>
      </c>
      <c r="J55" s="2">
        <v>0.66666666666666663</v>
      </c>
      <c r="K55" s="11" t="s">
        <v>4060</v>
      </c>
      <c r="L55" s="1">
        <v>46235</v>
      </c>
      <c r="M55" s="1">
        <v>46235</v>
      </c>
      <c r="N55" s="1"/>
      <c r="O55" s="11" t="s">
        <v>4081</v>
      </c>
    </row>
    <row r="56" spans="1:15" hidden="1" x14ac:dyDescent="0.25">
      <c r="A56" s="1">
        <v>46237</v>
      </c>
      <c r="B56">
        <v>1037642818</v>
      </c>
      <c r="C56" s="11" t="s">
        <v>3692</v>
      </c>
      <c r="D56" s="11" t="s">
        <v>28</v>
      </c>
      <c r="E56" s="11" t="s">
        <v>4046</v>
      </c>
      <c r="F56" s="11" t="s">
        <v>4074</v>
      </c>
      <c r="G56" s="1">
        <v>46235</v>
      </c>
      <c r="H56" s="1"/>
      <c r="I56" s="2">
        <v>0.25</v>
      </c>
      <c r="J56" s="2">
        <v>0.58333333333333337</v>
      </c>
      <c r="K56" s="11" t="s">
        <v>4060</v>
      </c>
      <c r="L56" s="1"/>
      <c r="M56" s="1"/>
      <c r="N56" s="1">
        <v>46245</v>
      </c>
      <c r="O56" s="11" t="s">
        <v>4075</v>
      </c>
    </row>
    <row r="57" spans="1:15" hidden="1" x14ac:dyDescent="0.25">
      <c r="A57" s="1">
        <v>46237</v>
      </c>
      <c r="B57">
        <v>1035442917</v>
      </c>
      <c r="C57" s="11" t="s">
        <v>2781</v>
      </c>
      <c r="D57" s="11" t="s">
        <v>245</v>
      </c>
      <c r="E57" s="11" t="s">
        <v>4040</v>
      </c>
      <c r="F57" s="11" t="s">
        <v>4074</v>
      </c>
      <c r="G57" s="1">
        <v>46235</v>
      </c>
      <c r="H57" s="1"/>
      <c r="I57" s="2">
        <v>0.25</v>
      </c>
      <c r="J57" s="2">
        <v>0.54166666666666663</v>
      </c>
      <c r="K57" s="11" t="s">
        <v>4086</v>
      </c>
      <c r="L57" s="1"/>
      <c r="M57" s="1"/>
      <c r="N57" s="1">
        <v>46245</v>
      </c>
      <c r="O57" s="11" t="s">
        <v>4075</v>
      </c>
    </row>
    <row r="58" spans="1:15" hidden="1" x14ac:dyDescent="0.25">
      <c r="A58" s="1">
        <v>46235</v>
      </c>
      <c r="B58">
        <v>1000640650</v>
      </c>
      <c r="C58" s="11" t="s">
        <v>3761</v>
      </c>
      <c r="D58" s="11" t="s">
        <v>64</v>
      </c>
      <c r="E58" s="11" t="s">
        <v>4046</v>
      </c>
      <c r="F58" s="11" t="s">
        <v>4074</v>
      </c>
      <c r="G58" s="1">
        <v>46235</v>
      </c>
      <c r="H58" s="1">
        <v>46235</v>
      </c>
      <c r="I58" s="2">
        <v>0.25</v>
      </c>
      <c r="J58" s="2">
        <v>0.66666666666666663</v>
      </c>
      <c r="K58" s="11" t="s">
        <v>4060</v>
      </c>
      <c r="L58" s="1">
        <v>46235</v>
      </c>
      <c r="M58" s="1">
        <v>46235</v>
      </c>
      <c r="N58" s="1"/>
      <c r="O58" s="11" t="s">
        <v>4081</v>
      </c>
    </row>
    <row r="59" spans="1:15" hidden="1" x14ac:dyDescent="0.25">
      <c r="A59" s="1">
        <v>46235</v>
      </c>
      <c r="B59">
        <v>1233189573</v>
      </c>
      <c r="C59" s="11" t="s">
        <v>2854</v>
      </c>
      <c r="D59" s="11" t="s">
        <v>59</v>
      </c>
      <c r="E59" s="11" t="s">
        <v>4047</v>
      </c>
      <c r="F59" s="11" t="s">
        <v>4074</v>
      </c>
      <c r="G59" s="1">
        <v>46235</v>
      </c>
      <c r="H59" s="1">
        <v>46235</v>
      </c>
      <c r="I59" s="2">
        <v>0.25</v>
      </c>
      <c r="J59" s="2">
        <v>0.66666666666666663</v>
      </c>
      <c r="K59" s="11" t="s">
        <v>4060</v>
      </c>
      <c r="L59" s="1">
        <v>46235</v>
      </c>
      <c r="M59" s="1">
        <v>46235</v>
      </c>
      <c r="N59" s="1"/>
      <c r="O59" s="11" t="s">
        <v>4081</v>
      </c>
    </row>
    <row r="60" spans="1:15" hidden="1" x14ac:dyDescent="0.25">
      <c r="A60" s="1">
        <v>46237</v>
      </c>
      <c r="B60">
        <v>1088348251</v>
      </c>
      <c r="C60" s="11" t="s">
        <v>2164</v>
      </c>
      <c r="D60" s="11" t="s">
        <v>59</v>
      </c>
      <c r="E60" s="11" t="s">
        <v>4047</v>
      </c>
      <c r="F60" s="11" t="s">
        <v>4074</v>
      </c>
      <c r="G60" s="1">
        <v>46235</v>
      </c>
      <c r="H60" s="1">
        <v>46235</v>
      </c>
      <c r="I60" s="2">
        <v>0.54166666666666663</v>
      </c>
      <c r="J60" s="2">
        <v>0.83333333333333337</v>
      </c>
      <c r="K60" s="11" t="s">
        <v>4060</v>
      </c>
      <c r="L60" s="1">
        <v>46235</v>
      </c>
      <c r="M60" s="1">
        <v>46235</v>
      </c>
      <c r="N60" s="1"/>
      <c r="O60" s="11" t="s">
        <v>4081</v>
      </c>
    </row>
    <row r="61" spans="1:15" hidden="1" x14ac:dyDescent="0.25">
      <c r="A61" s="1">
        <v>46235</v>
      </c>
      <c r="B61">
        <v>1193584838</v>
      </c>
      <c r="C61" s="11" t="s">
        <v>3000</v>
      </c>
      <c r="D61" s="11" t="s">
        <v>59</v>
      </c>
      <c r="E61" s="11" t="s">
        <v>4047</v>
      </c>
      <c r="F61" s="11" t="s">
        <v>4074</v>
      </c>
      <c r="G61" s="1">
        <v>46235</v>
      </c>
      <c r="H61" s="1">
        <v>46235</v>
      </c>
      <c r="I61" s="2">
        <v>0.25</v>
      </c>
      <c r="J61" s="2">
        <v>0.66666666666666663</v>
      </c>
      <c r="K61" s="11" t="s">
        <v>4060</v>
      </c>
      <c r="L61" s="1">
        <v>46235</v>
      </c>
      <c r="M61" s="1">
        <v>46245</v>
      </c>
      <c r="N61" s="1"/>
      <c r="O61" s="11" t="s">
        <v>4081</v>
      </c>
    </row>
    <row r="62" spans="1:15" hidden="1" x14ac:dyDescent="0.25">
      <c r="A62" s="1">
        <v>46235</v>
      </c>
      <c r="B62">
        <v>1017241980</v>
      </c>
      <c r="C62" s="11" t="s">
        <v>1447</v>
      </c>
      <c r="D62" s="11" t="s">
        <v>55</v>
      </c>
      <c r="E62" s="11" t="s">
        <v>4047</v>
      </c>
      <c r="F62" s="11" t="s">
        <v>4087</v>
      </c>
      <c r="G62" s="1">
        <v>46235</v>
      </c>
      <c r="H62" s="1">
        <v>46235</v>
      </c>
      <c r="I62" s="2">
        <v>0.25</v>
      </c>
      <c r="J62" s="2">
        <v>0.66666666666666663</v>
      </c>
      <c r="K62" s="11" t="s">
        <v>327</v>
      </c>
      <c r="L62" s="1"/>
      <c r="M62" s="1"/>
      <c r="N62" s="1"/>
      <c r="O62" s="11"/>
    </row>
    <row r="63" spans="1:15" hidden="1" x14ac:dyDescent="0.25">
      <c r="A63" s="1">
        <v>46235</v>
      </c>
      <c r="B63">
        <v>1036962119</v>
      </c>
      <c r="C63" s="11" t="s">
        <v>2001</v>
      </c>
      <c r="D63" s="11" t="s">
        <v>128</v>
      </c>
      <c r="E63" s="11" t="s">
        <v>4045</v>
      </c>
      <c r="F63" s="11" t="s">
        <v>4074</v>
      </c>
      <c r="G63" s="1">
        <v>46235</v>
      </c>
      <c r="H63" s="1">
        <v>46235</v>
      </c>
      <c r="I63" s="2">
        <v>0.25</v>
      </c>
      <c r="J63" s="2">
        <v>0.66666666666666663</v>
      </c>
      <c r="K63" s="11" t="s">
        <v>4060</v>
      </c>
      <c r="L63" s="1">
        <v>46238</v>
      </c>
      <c r="M63" s="1">
        <v>46238</v>
      </c>
      <c r="N63" s="1"/>
      <c r="O63" s="11" t="s">
        <v>4081</v>
      </c>
    </row>
    <row r="64" spans="1:15" hidden="1" x14ac:dyDescent="0.25">
      <c r="A64" s="1">
        <v>46237</v>
      </c>
      <c r="B64">
        <v>1032491944</v>
      </c>
      <c r="C64" s="11" t="s">
        <v>687</v>
      </c>
      <c r="D64" s="11" t="s">
        <v>78</v>
      </c>
      <c r="E64" s="11" t="s">
        <v>4046</v>
      </c>
      <c r="F64" s="11" t="s">
        <v>4074</v>
      </c>
      <c r="G64" s="1">
        <v>46237</v>
      </c>
      <c r="H64" s="1">
        <v>46241</v>
      </c>
      <c r="I64" s="2">
        <v>0.25</v>
      </c>
      <c r="J64" s="2">
        <v>0.58333333333333337</v>
      </c>
      <c r="K64" s="11" t="s">
        <v>4088</v>
      </c>
      <c r="L64" s="1">
        <v>46237</v>
      </c>
      <c r="M64" s="1">
        <v>46237</v>
      </c>
      <c r="N64" s="1"/>
      <c r="O64" s="11" t="s">
        <v>4081</v>
      </c>
    </row>
    <row r="65" spans="1:15" hidden="1" x14ac:dyDescent="0.25">
      <c r="A65" s="1">
        <v>46240</v>
      </c>
      <c r="B65">
        <v>1032491944</v>
      </c>
      <c r="C65" s="11" t="s">
        <v>77</v>
      </c>
      <c r="D65" s="11" t="s">
        <v>78</v>
      </c>
      <c r="E65" s="11" t="s">
        <v>4046</v>
      </c>
      <c r="F65" s="11" t="s">
        <v>16</v>
      </c>
      <c r="G65" s="1">
        <v>46237</v>
      </c>
      <c r="H65" s="1">
        <v>46241</v>
      </c>
      <c r="I65" s="2">
        <v>0.58333333333333337</v>
      </c>
      <c r="J65" s="2">
        <v>0.875</v>
      </c>
      <c r="K65" s="11" t="s">
        <v>149</v>
      </c>
      <c r="L65" s="1"/>
      <c r="M65" s="1"/>
      <c r="N65" s="1"/>
      <c r="O65" s="11"/>
    </row>
    <row r="66" spans="1:15" hidden="1" x14ac:dyDescent="0.25">
      <c r="A66" s="1">
        <v>46237</v>
      </c>
      <c r="B66">
        <v>1037659560</v>
      </c>
      <c r="C66" s="11" t="s">
        <v>208</v>
      </c>
      <c r="D66" s="11" t="s">
        <v>28</v>
      </c>
      <c r="E66" s="11" t="s">
        <v>4046</v>
      </c>
      <c r="F66" s="11" t="s">
        <v>4074</v>
      </c>
      <c r="G66" s="1">
        <v>46235</v>
      </c>
      <c r="H66" s="1">
        <v>46240</v>
      </c>
      <c r="I66" s="2">
        <v>0.58333333333333337</v>
      </c>
      <c r="J66" s="2">
        <v>0.875</v>
      </c>
      <c r="K66" s="11" t="s">
        <v>4089</v>
      </c>
      <c r="L66" s="1">
        <v>46237</v>
      </c>
      <c r="M66" s="1"/>
      <c r="N66" s="1"/>
      <c r="O66" s="11" t="s">
        <v>4081</v>
      </c>
    </row>
    <row r="67" spans="1:15" hidden="1" x14ac:dyDescent="0.25">
      <c r="A67" s="1">
        <v>46240</v>
      </c>
      <c r="B67">
        <v>1037659560</v>
      </c>
      <c r="C67" s="11" t="s">
        <v>208</v>
      </c>
      <c r="D67" s="11" t="s">
        <v>28</v>
      </c>
      <c r="E67" s="11" t="s">
        <v>4046</v>
      </c>
      <c r="F67" s="11" t="s">
        <v>16</v>
      </c>
      <c r="G67" s="1">
        <v>46235</v>
      </c>
      <c r="H67" s="1">
        <v>46240</v>
      </c>
      <c r="I67" s="2">
        <v>0.25</v>
      </c>
      <c r="J67" s="2">
        <v>0.54166666666666663</v>
      </c>
      <c r="K67" s="11" t="s">
        <v>210</v>
      </c>
      <c r="L67" s="1"/>
      <c r="M67" s="1"/>
      <c r="N67" s="1"/>
      <c r="O67" s="11"/>
    </row>
    <row r="68" spans="1:15" hidden="1" x14ac:dyDescent="0.25">
      <c r="A68" s="1">
        <v>46244</v>
      </c>
      <c r="B68">
        <v>1001851670</v>
      </c>
      <c r="C68" s="11" t="s">
        <v>50</v>
      </c>
      <c r="D68" s="11" t="s">
        <v>51</v>
      </c>
      <c r="E68" s="11" t="s">
        <v>4047</v>
      </c>
      <c r="F68" s="11" t="s">
        <v>36</v>
      </c>
      <c r="G68" s="1">
        <v>46237</v>
      </c>
      <c r="H68" s="1">
        <v>46366</v>
      </c>
      <c r="I68" s="2">
        <v>0.25</v>
      </c>
      <c r="J68" s="2">
        <v>0.54166666666666663</v>
      </c>
      <c r="K68" s="11" t="s">
        <v>327</v>
      </c>
      <c r="L68" s="1"/>
      <c r="M68" s="1"/>
      <c r="N68" s="1"/>
      <c r="O68" s="11"/>
    </row>
    <row r="69" spans="1:15" hidden="1" x14ac:dyDescent="0.25">
      <c r="A69" s="1">
        <v>46237</v>
      </c>
      <c r="B69">
        <v>1140851921</v>
      </c>
      <c r="C69" s="11" t="s">
        <v>4061</v>
      </c>
      <c r="D69" s="11" t="s">
        <v>256</v>
      </c>
      <c r="E69" s="11" t="s">
        <v>4040</v>
      </c>
      <c r="F69" s="11" t="s">
        <v>4090</v>
      </c>
      <c r="G69" s="1">
        <v>46237</v>
      </c>
      <c r="H69" s="1">
        <v>46239</v>
      </c>
      <c r="I69" s="2">
        <v>0.58333333333333337</v>
      </c>
      <c r="J69" s="2">
        <v>0.875</v>
      </c>
      <c r="K69" s="11" t="s">
        <v>1408</v>
      </c>
      <c r="L69" s="1"/>
      <c r="M69" s="1"/>
      <c r="N69" s="1"/>
      <c r="O69" s="11"/>
    </row>
    <row r="70" spans="1:15" hidden="1" x14ac:dyDescent="0.25">
      <c r="A70" s="1">
        <v>46239</v>
      </c>
      <c r="B70">
        <v>1140851921</v>
      </c>
      <c r="C70" s="11" t="s">
        <v>4061</v>
      </c>
      <c r="D70" s="11" t="s">
        <v>256</v>
      </c>
      <c r="E70" s="11" t="s">
        <v>4040</v>
      </c>
      <c r="F70" s="11" t="s">
        <v>4091</v>
      </c>
      <c r="G70" s="1">
        <v>46237</v>
      </c>
      <c r="H70" s="1">
        <v>46239</v>
      </c>
      <c r="I70" s="2">
        <v>0.25</v>
      </c>
      <c r="J70" s="2">
        <v>0.58333333333333337</v>
      </c>
      <c r="K70" s="11" t="s">
        <v>1408</v>
      </c>
      <c r="L70" s="1"/>
      <c r="M70" s="1"/>
      <c r="N70" s="1"/>
      <c r="O70" s="11"/>
    </row>
    <row r="71" spans="1:15" hidden="1" x14ac:dyDescent="0.25">
      <c r="A71" s="1">
        <v>46237</v>
      </c>
      <c r="B71">
        <v>1102808787</v>
      </c>
      <c r="C71" s="11" t="s">
        <v>135</v>
      </c>
      <c r="D71" s="11" t="s">
        <v>39</v>
      </c>
      <c r="E71" s="11" t="s">
        <v>4046</v>
      </c>
      <c r="F71" s="11" t="s">
        <v>4074</v>
      </c>
      <c r="G71" s="1">
        <v>46237</v>
      </c>
      <c r="H71" s="1">
        <v>46276</v>
      </c>
      <c r="I71" s="2">
        <v>0.25</v>
      </c>
      <c r="J71" s="2">
        <v>0.54166666666666663</v>
      </c>
      <c r="K71" s="11" t="s">
        <v>4060</v>
      </c>
      <c r="L71" s="1">
        <v>46237</v>
      </c>
      <c r="M71" s="1">
        <v>46235</v>
      </c>
      <c r="N71" s="1"/>
      <c r="O71" s="11" t="s">
        <v>4081</v>
      </c>
    </row>
    <row r="72" spans="1:15" hidden="1" x14ac:dyDescent="0.25">
      <c r="A72" s="1">
        <v>46258</v>
      </c>
      <c r="B72">
        <v>1102808787</v>
      </c>
      <c r="C72" s="11" t="s">
        <v>135</v>
      </c>
      <c r="D72" s="11" t="s">
        <v>39</v>
      </c>
      <c r="E72" s="11" t="s">
        <v>4046</v>
      </c>
      <c r="F72" s="11" t="s">
        <v>16</v>
      </c>
      <c r="G72" s="1">
        <v>46237</v>
      </c>
      <c r="H72" s="1">
        <v>46276</v>
      </c>
      <c r="I72" s="2">
        <v>0.25</v>
      </c>
      <c r="J72" s="2">
        <v>0.54166666666666663</v>
      </c>
      <c r="K72" s="11" t="s">
        <v>120</v>
      </c>
      <c r="L72" s="1"/>
      <c r="M72" s="1"/>
      <c r="N72" s="1"/>
      <c r="O72" s="11"/>
    </row>
    <row r="73" spans="1:15" hidden="1" x14ac:dyDescent="0.25">
      <c r="A73" s="1">
        <v>46238</v>
      </c>
      <c r="B73">
        <v>1152208665</v>
      </c>
      <c r="C73" s="11" t="s">
        <v>1157</v>
      </c>
      <c r="D73" s="11" t="s">
        <v>344</v>
      </c>
      <c r="E73" s="11" t="s">
        <v>4056</v>
      </c>
      <c r="F73" s="11" t="s">
        <v>16</v>
      </c>
      <c r="G73" s="1">
        <v>46237</v>
      </c>
      <c r="H73" s="1">
        <v>46238</v>
      </c>
      <c r="I73" s="2">
        <v>0.25</v>
      </c>
      <c r="J73" s="2">
        <v>0.58333333333333337</v>
      </c>
      <c r="K73" s="11" t="s">
        <v>185</v>
      </c>
      <c r="L73" s="1"/>
      <c r="M73" s="1"/>
      <c r="N73" s="1"/>
      <c r="O73" s="11"/>
    </row>
    <row r="74" spans="1:15" hidden="1" x14ac:dyDescent="0.25">
      <c r="A74" s="1">
        <v>46237</v>
      </c>
      <c r="B74">
        <v>1004841623</v>
      </c>
      <c r="C74" s="11" t="s">
        <v>4093</v>
      </c>
      <c r="D74" s="11" t="s">
        <v>492</v>
      </c>
      <c r="E74" s="11" t="s">
        <v>4045</v>
      </c>
      <c r="F74" s="11" t="s">
        <v>4074</v>
      </c>
      <c r="G74" s="1">
        <v>46237</v>
      </c>
      <c r="H74" s="1">
        <v>46241</v>
      </c>
      <c r="I74" s="2">
        <v>0.25</v>
      </c>
      <c r="J74" s="2">
        <v>0.58333333333333337</v>
      </c>
      <c r="K74" s="11" t="s">
        <v>4060</v>
      </c>
      <c r="L74" s="1">
        <v>46240</v>
      </c>
      <c r="M74" s="1">
        <v>46237</v>
      </c>
      <c r="N74" s="1"/>
      <c r="O74" s="11" t="s">
        <v>4094</v>
      </c>
    </row>
    <row r="75" spans="1:15" hidden="1" x14ac:dyDescent="0.25">
      <c r="A75" s="1">
        <v>46239</v>
      </c>
      <c r="B75">
        <v>1004841623</v>
      </c>
      <c r="C75" s="11" t="s">
        <v>4095</v>
      </c>
      <c r="D75" s="11" t="s">
        <v>492</v>
      </c>
      <c r="E75" s="11" t="s">
        <v>4045</v>
      </c>
      <c r="F75" s="11" t="s">
        <v>4050</v>
      </c>
      <c r="G75" s="1">
        <v>46237</v>
      </c>
      <c r="H75" s="1">
        <v>46241</v>
      </c>
      <c r="I75" s="2">
        <v>0.54166666666666663</v>
      </c>
      <c r="J75" s="2">
        <v>0.875</v>
      </c>
      <c r="K75" s="11" t="s">
        <v>214</v>
      </c>
      <c r="L75" s="1"/>
      <c r="M75" s="1"/>
      <c r="N75" s="1"/>
      <c r="O75" s="11"/>
    </row>
    <row r="76" spans="1:15" hidden="1" x14ac:dyDescent="0.25">
      <c r="A76" s="1">
        <v>46238</v>
      </c>
      <c r="B76">
        <v>1036962119</v>
      </c>
      <c r="C76" s="11" t="s">
        <v>2001</v>
      </c>
      <c r="D76" s="11" t="s">
        <v>128</v>
      </c>
      <c r="E76" s="11" t="s">
        <v>4045</v>
      </c>
      <c r="F76" s="11" t="s">
        <v>4074</v>
      </c>
      <c r="G76" s="1">
        <v>46237</v>
      </c>
      <c r="H76" s="1">
        <v>46235</v>
      </c>
      <c r="I76" s="2">
        <v>0.54166666666666663</v>
      </c>
      <c r="J76" s="2">
        <v>0.875</v>
      </c>
      <c r="K76" s="11" t="s">
        <v>4060</v>
      </c>
      <c r="L76" s="1">
        <v>46238</v>
      </c>
      <c r="M76" s="1">
        <v>46238</v>
      </c>
      <c r="N76" s="1"/>
      <c r="O76" s="11" t="s">
        <v>4075</v>
      </c>
    </row>
    <row r="77" spans="1:15" hidden="1" x14ac:dyDescent="0.25">
      <c r="A77" s="1">
        <v>46239</v>
      </c>
      <c r="B77">
        <v>1143413583</v>
      </c>
      <c r="C77" s="11" t="s">
        <v>41</v>
      </c>
      <c r="D77" s="11" t="s">
        <v>28</v>
      </c>
      <c r="E77" s="11" t="s">
        <v>4046</v>
      </c>
      <c r="F77" s="11" t="s">
        <v>16</v>
      </c>
      <c r="G77" s="1">
        <v>46236</v>
      </c>
      <c r="H77" s="1">
        <v>46239</v>
      </c>
      <c r="I77" s="2">
        <v>0.25</v>
      </c>
      <c r="J77" s="2">
        <v>0.54166666666666663</v>
      </c>
      <c r="K77" s="11" t="s">
        <v>18</v>
      </c>
      <c r="L77" s="1"/>
      <c r="M77" s="1"/>
      <c r="N77" s="1"/>
      <c r="O77" s="11"/>
    </row>
    <row r="78" spans="1:15" hidden="1" x14ac:dyDescent="0.25">
      <c r="A78" s="1">
        <v>46238</v>
      </c>
      <c r="B78">
        <v>1129516553</v>
      </c>
      <c r="C78" s="11" t="s">
        <v>1405</v>
      </c>
      <c r="D78" s="11" t="s">
        <v>59</v>
      </c>
      <c r="E78" s="11" t="s">
        <v>4047</v>
      </c>
      <c r="F78" s="11" t="s">
        <v>4074</v>
      </c>
      <c r="G78" s="1">
        <v>46237</v>
      </c>
      <c r="H78" s="1">
        <v>46238</v>
      </c>
      <c r="I78" s="2">
        <v>0.54166666666666663</v>
      </c>
      <c r="J78" s="2">
        <v>0.83333333333333337</v>
      </c>
      <c r="K78" s="11" t="s">
        <v>4060</v>
      </c>
      <c r="L78" s="1">
        <v>46237</v>
      </c>
      <c r="M78" s="1">
        <v>46236</v>
      </c>
      <c r="N78" s="1"/>
      <c r="O78" s="11" t="s">
        <v>4081</v>
      </c>
    </row>
    <row r="79" spans="1:15" hidden="1" x14ac:dyDescent="0.25">
      <c r="A79" s="1">
        <v>46237</v>
      </c>
      <c r="B79">
        <v>1005624879</v>
      </c>
      <c r="C79" s="11" t="s">
        <v>332</v>
      </c>
      <c r="D79" s="11" t="s">
        <v>143</v>
      </c>
      <c r="E79" s="11" t="s">
        <v>4045</v>
      </c>
      <c r="F79" s="11" t="s">
        <v>4074</v>
      </c>
      <c r="G79" s="1">
        <v>46237</v>
      </c>
      <c r="H79" s="1">
        <v>46240</v>
      </c>
      <c r="I79" s="2">
        <v>0.58333333333333337</v>
      </c>
      <c r="J79" s="2">
        <v>0.875</v>
      </c>
      <c r="K79" s="11" t="s">
        <v>4096</v>
      </c>
      <c r="L79" s="1">
        <v>46237</v>
      </c>
      <c r="M79" s="1">
        <v>46237</v>
      </c>
      <c r="N79" s="1"/>
      <c r="O79" s="11" t="s">
        <v>4081</v>
      </c>
    </row>
    <row r="80" spans="1:15" hidden="1" x14ac:dyDescent="0.25">
      <c r="A80" s="1">
        <v>46240</v>
      </c>
      <c r="B80">
        <v>1005624879</v>
      </c>
      <c r="C80" s="11" t="s">
        <v>313</v>
      </c>
      <c r="D80" s="11" t="s">
        <v>143</v>
      </c>
      <c r="E80" s="11" t="s">
        <v>4045</v>
      </c>
      <c r="F80" s="11" t="s">
        <v>16</v>
      </c>
      <c r="G80" s="1">
        <v>46237</v>
      </c>
      <c r="H80" s="1">
        <v>46240</v>
      </c>
      <c r="I80" s="2">
        <v>0.25</v>
      </c>
      <c r="J80" s="2">
        <v>0.58333333333333337</v>
      </c>
      <c r="K80" s="11" t="s">
        <v>315</v>
      </c>
      <c r="L80" s="1"/>
      <c r="M80" s="1"/>
      <c r="N80" s="1"/>
      <c r="O80" s="11"/>
    </row>
    <row r="81" spans="1:15" hidden="1" x14ac:dyDescent="0.25">
      <c r="A81" s="1">
        <v>46238</v>
      </c>
      <c r="B81" t="s">
        <v>4097</v>
      </c>
      <c r="C81" s="11" t="s">
        <v>2053</v>
      </c>
      <c r="D81" s="11" t="s">
        <v>2052</v>
      </c>
      <c r="E81" s="11" t="s">
        <v>4056</v>
      </c>
      <c r="F81" s="11" t="s">
        <v>16</v>
      </c>
      <c r="G81" s="1">
        <v>46237</v>
      </c>
      <c r="H81" s="1">
        <v>46238</v>
      </c>
      <c r="I81" s="2">
        <v>0.29166666666666669</v>
      </c>
      <c r="J81" s="2">
        <v>0.66666666666666663</v>
      </c>
      <c r="K81" s="11" t="s">
        <v>327</v>
      </c>
      <c r="L81" s="1"/>
      <c r="M81" s="1"/>
      <c r="N81" s="1"/>
      <c r="O81" s="11"/>
    </row>
    <row r="82" spans="1:15" hidden="1" x14ac:dyDescent="0.25">
      <c r="A82" s="1">
        <v>46237</v>
      </c>
      <c r="B82">
        <v>1152436231</v>
      </c>
      <c r="C82" s="11" t="s">
        <v>142</v>
      </c>
      <c r="D82" s="11" t="s">
        <v>143</v>
      </c>
      <c r="E82" s="11" t="s">
        <v>4045</v>
      </c>
      <c r="F82" s="11" t="s">
        <v>4074</v>
      </c>
      <c r="G82" s="1">
        <v>46237</v>
      </c>
      <c r="H82" s="1">
        <v>46240</v>
      </c>
      <c r="I82" s="2">
        <v>0.25</v>
      </c>
      <c r="J82" s="2">
        <v>0.54166666666666663</v>
      </c>
      <c r="K82" s="11" t="s">
        <v>4060</v>
      </c>
      <c r="L82" s="1">
        <v>46237</v>
      </c>
      <c r="M82" s="1">
        <v>46237</v>
      </c>
      <c r="N82" s="1"/>
      <c r="O82" s="11" t="s">
        <v>4081</v>
      </c>
    </row>
    <row r="83" spans="1:15" hidden="1" x14ac:dyDescent="0.25">
      <c r="A83" s="1">
        <v>46242</v>
      </c>
      <c r="B83">
        <v>1152436231</v>
      </c>
      <c r="C83" s="11" t="s">
        <v>142</v>
      </c>
      <c r="D83" s="11" t="s">
        <v>143</v>
      </c>
      <c r="E83" s="11" t="s">
        <v>4045</v>
      </c>
      <c r="F83" s="11" t="s">
        <v>16</v>
      </c>
      <c r="G83" s="1">
        <v>46237</v>
      </c>
      <c r="H83" s="1">
        <v>46240</v>
      </c>
      <c r="I83" s="2"/>
      <c r="J83" s="2"/>
      <c r="K83" s="11" t="s">
        <v>341</v>
      </c>
      <c r="L83" s="1"/>
      <c r="M83" s="1"/>
      <c r="N83" s="1"/>
      <c r="O83" s="11"/>
    </row>
    <row r="84" spans="1:15" hidden="1" x14ac:dyDescent="0.25">
      <c r="A84" s="1">
        <v>46239</v>
      </c>
      <c r="B84">
        <v>1000099010</v>
      </c>
      <c r="C84" s="11" t="s">
        <v>660</v>
      </c>
      <c r="D84" s="11" t="s">
        <v>139</v>
      </c>
      <c r="E84" s="11" t="s">
        <v>4040</v>
      </c>
      <c r="F84" s="11" t="s">
        <v>4074</v>
      </c>
      <c r="G84" s="1">
        <v>46237</v>
      </c>
      <c r="H84" s="1">
        <v>46239</v>
      </c>
      <c r="I84" s="2">
        <v>0.54166666666666663</v>
      </c>
      <c r="J84" s="2">
        <v>0.875</v>
      </c>
      <c r="K84" s="11" t="s">
        <v>4060</v>
      </c>
      <c r="L84" s="1">
        <v>46240</v>
      </c>
      <c r="M84" s="1">
        <v>46240</v>
      </c>
      <c r="N84" s="1"/>
      <c r="O84" s="11" t="s">
        <v>4081</v>
      </c>
    </row>
    <row r="85" spans="1:15" hidden="1" x14ac:dyDescent="0.25">
      <c r="A85" s="1">
        <v>46239</v>
      </c>
      <c r="B85">
        <v>1193459665</v>
      </c>
      <c r="C85" s="11" t="s">
        <v>4098</v>
      </c>
      <c r="D85" s="11" t="s">
        <v>256</v>
      </c>
      <c r="E85" s="11" t="s">
        <v>4040</v>
      </c>
      <c r="F85" s="11" t="s">
        <v>4050</v>
      </c>
      <c r="G85" s="1">
        <v>46237</v>
      </c>
      <c r="H85" s="1">
        <v>46239</v>
      </c>
      <c r="I85" s="2">
        <v>0.58333333333333337</v>
      </c>
      <c r="J85" s="2">
        <v>0.875</v>
      </c>
      <c r="K85" s="11" t="s">
        <v>194</v>
      </c>
      <c r="L85" s="1"/>
      <c r="M85" s="1"/>
      <c r="N85" s="1"/>
      <c r="O85" s="11"/>
    </row>
    <row r="86" spans="1:15" hidden="1" x14ac:dyDescent="0.25">
      <c r="A86" s="1">
        <v>46239</v>
      </c>
      <c r="B86">
        <v>1072648283</v>
      </c>
      <c r="C86" s="11" t="s">
        <v>828</v>
      </c>
      <c r="D86" s="11" t="s">
        <v>272</v>
      </c>
      <c r="E86" s="11" t="s">
        <v>4056</v>
      </c>
      <c r="F86" s="11" t="s">
        <v>16</v>
      </c>
      <c r="G86" s="1">
        <v>46237</v>
      </c>
      <c r="H86" s="1">
        <v>46239</v>
      </c>
      <c r="I86" s="2">
        <v>0.58333333333333337</v>
      </c>
      <c r="J86" s="2">
        <v>0.875</v>
      </c>
      <c r="K86" s="11" t="s">
        <v>561</v>
      </c>
      <c r="L86" s="1"/>
      <c r="M86" s="1"/>
      <c r="N86" s="1"/>
      <c r="O86" s="11"/>
    </row>
    <row r="87" spans="1:15" hidden="1" x14ac:dyDescent="0.25">
      <c r="A87" s="1">
        <v>46238</v>
      </c>
      <c r="B87">
        <v>1124076705</v>
      </c>
      <c r="C87" s="11" t="s">
        <v>819</v>
      </c>
      <c r="D87" s="11" t="s">
        <v>55</v>
      </c>
      <c r="E87" s="11" t="s">
        <v>4047</v>
      </c>
      <c r="F87" s="11" t="s">
        <v>4074</v>
      </c>
      <c r="G87" s="1">
        <v>46237</v>
      </c>
      <c r="H87" s="1">
        <v>46239</v>
      </c>
      <c r="I87" s="2">
        <v>0.58333333333333337</v>
      </c>
      <c r="J87" s="2">
        <v>0.875</v>
      </c>
      <c r="K87" s="11" t="s">
        <v>4060</v>
      </c>
      <c r="L87" s="1">
        <v>46237</v>
      </c>
      <c r="M87" s="1">
        <v>46237</v>
      </c>
      <c r="N87" s="1"/>
      <c r="O87" s="11" t="s">
        <v>4081</v>
      </c>
    </row>
    <row r="88" spans="1:15" hidden="1" x14ac:dyDescent="0.25">
      <c r="A88" s="1">
        <v>46239</v>
      </c>
      <c r="B88">
        <v>1124076705</v>
      </c>
      <c r="C88" s="11" t="s">
        <v>819</v>
      </c>
      <c r="D88" s="11" t="s">
        <v>55</v>
      </c>
      <c r="E88" s="11" t="s">
        <v>4047</v>
      </c>
      <c r="F88" s="11" t="s">
        <v>16</v>
      </c>
      <c r="G88" s="1">
        <v>46237</v>
      </c>
      <c r="H88" s="1">
        <v>46239</v>
      </c>
      <c r="I88" s="2">
        <v>0.58333333333333337</v>
      </c>
      <c r="J88" s="2">
        <v>0.875</v>
      </c>
      <c r="K88" s="11" t="s">
        <v>327</v>
      </c>
      <c r="L88" s="1"/>
      <c r="M88" s="1"/>
      <c r="N88" s="1"/>
      <c r="O88" s="11"/>
    </row>
    <row r="89" spans="1:15" hidden="1" x14ac:dyDescent="0.25">
      <c r="A89" s="1">
        <v>46238</v>
      </c>
      <c r="B89">
        <v>1001996913</v>
      </c>
      <c r="C89" s="11" t="s">
        <v>3174</v>
      </c>
      <c r="D89" s="11" t="s">
        <v>28</v>
      </c>
      <c r="E89" s="11" t="s">
        <v>4046</v>
      </c>
      <c r="F89" s="11" t="s">
        <v>4074</v>
      </c>
      <c r="G89" s="1">
        <v>46237</v>
      </c>
      <c r="H89" s="1">
        <v>46238</v>
      </c>
      <c r="I89" s="2">
        <v>0.25</v>
      </c>
      <c r="J89" s="2">
        <v>0.54166666666666663</v>
      </c>
      <c r="K89" s="11" t="s">
        <v>4060</v>
      </c>
      <c r="L89" s="1">
        <v>46237</v>
      </c>
      <c r="M89" s="1">
        <v>46237</v>
      </c>
      <c r="N89" s="1"/>
      <c r="O89" s="11" t="s">
        <v>4081</v>
      </c>
    </row>
    <row r="90" spans="1:15" hidden="1" x14ac:dyDescent="0.25">
      <c r="A90" s="1">
        <v>46237</v>
      </c>
      <c r="B90">
        <v>1004373476</v>
      </c>
      <c r="C90" s="11" t="s">
        <v>3779</v>
      </c>
      <c r="D90" s="11" t="s">
        <v>15</v>
      </c>
      <c r="E90" s="11" t="s">
        <v>4046</v>
      </c>
      <c r="F90" s="11" t="s">
        <v>4074</v>
      </c>
      <c r="G90" s="1">
        <v>46237</v>
      </c>
      <c r="H90" s="1">
        <v>46238</v>
      </c>
      <c r="I90" s="2">
        <v>0.25</v>
      </c>
      <c r="J90" s="2">
        <v>0.54166666666666663</v>
      </c>
      <c r="K90" s="11" t="s">
        <v>4060</v>
      </c>
      <c r="L90" s="1">
        <v>46237</v>
      </c>
      <c r="M90" s="1">
        <v>46237</v>
      </c>
      <c r="N90" s="1"/>
      <c r="O90" s="11" t="s">
        <v>4081</v>
      </c>
    </row>
    <row r="91" spans="1:15" hidden="1" x14ac:dyDescent="0.25">
      <c r="A91" s="1">
        <v>46238</v>
      </c>
      <c r="B91">
        <v>1004373476</v>
      </c>
      <c r="C91" s="11" t="s">
        <v>3779</v>
      </c>
      <c r="D91" s="11" t="s">
        <v>15</v>
      </c>
      <c r="E91" s="11" t="s">
        <v>4046</v>
      </c>
      <c r="F91" s="11" t="s">
        <v>16</v>
      </c>
      <c r="G91" s="1">
        <v>46237</v>
      </c>
      <c r="H91" s="1">
        <v>46238</v>
      </c>
      <c r="I91" s="2">
        <v>0.58333333333333337</v>
      </c>
      <c r="J91" s="2">
        <v>0.875</v>
      </c>
      <c r="K91" s="11" t="s">
        <v>301</v>
      </c>
      <c r="L91" s="1"/>
      <c r="M91" s="1"/>
      <c r="N91" s="1"/>
      <c r="O91" s="11"/>
    </row>
    <row r="92" spans="1:15" hidden="1" x14ac:dyDescent="0.25">
      <c r="A92" s="1">
        <v>46237</v>
      </c>
      <c r="B92">
        <v>1082984414</v>
      </c>
      <c r="C92" s="11" t="s">
        <v>2953</v>
      </c>
      <c r="D92" s="11" t="s">
        <v>44</v>
      </c>
      <c r="E92" s="11" t="s">
        <v>4045</v>
      </c>
      <c r="F92" s="11" t="s">
        <v>4074</v>
      </c>
      <c r="G92" s="1">
        <v>46237</v>
      </c>
      <c r="H92" s="1">
        <v>46238</v>
      </c>
      <c r="I92" s="2">
        <v>0.54166666666666663</v>
      </c>
      <c r="J92" s="2">
        <v>0.875</v>
      </c>
      <c r="K92" s="11" t="s">
        <v>4235</v>
      </c>
      <c r="L92" s="1">
        <v>46237</v>
      </c>
      <c r="M92" s="1">
        <v>46237</v>
      </c>
      <c r="N92" s="1"/>
      <c r="O92" s="11" t="s">
        <v>4081</v>
      </c>
    </row>
    <row r="93" spans="1:15" hidden="1" x14ac:dyDescent="0.25">
      <c r="A93" s="1">
        <v>46238</v>
      </c>
      <c r="B93">
        <v>1082984414</v>
      </c>
      <c r="C93" s="11" t="s">
        <v>2953</v>
      </c>
      <c r="D93" s="11" t="s">
        <v>44</v>
      </c>
      <c r="E93" s="11" t="s">
        <v>4045</v>
      </c>
      <c r="F93" s="11" t="s">
        <v>16</v>
      </c>
      <c r="G93" s="1">
        <v>46237</v>
      </c>
      <c r="H93" s="1">
        <v>46238</v>
      </c>
      <c r="I93" s="2">
        <v>0.25</v>
      </c>
      <c r="J93" s="2">
        <v>0.54166666666666663</v>
      </c>
      <c r="K93" s="11" t="s">
        <v>327</v>
      </c>
      <c r="L93" s="1"/>
      <c r="M93" s="1"/>
      <c r="N93" s="1"/>
      <c r="O93" s="11"/>
    </row>
    <row r="94" spans="1:15" hidden="1" x14ac:dyDescent="0.25">
      <c r="A94" s="1">
        <v>46237</v>
      </c>
      <c r="B94">
        <v>1085687504</v>
      </c>
      <c r="C94" s="11" t="s">
        <v>258</v>
      </c>
      <c r="D94" s="11" t="s">
        <v>139</v>
      </c>
      <c r="E94" s="11" t="s">
        <v>4040</v>
      </c>
      <c r="F94" s="11" t="s">
        <v>4099</v>
      </c>
      <c r="G94" s="1">
        <v>46237</v>
      </c>
      <c r="H94" s="1">
        <v>46237</v>
      </c>
      <c r="I94" s="2">
        <v>0.54166666666666663</v>
      </c>
      <c r="J94" s="2">
        <v>0.58333333333333337</v>
      </c>
      <c r="K94" s="11" t="s">
        <v>258</v>
      </c>
      <c r="L94" s="1"/>
      <c r="M94" s="1"/>
      <c r="N94" s="1"/>
      <c r="O94" s="11"/>
    </row>
    <row r="95" spans="1:15" hidden="1" x14ac:dyDescent="0.25">
      <c r="A95" s="1">
        <v>46237</v>
      </c>
      <c r="B95">
        <v>1042422897</v>
      </c>
      <c r="C95" s="11" t="s">
        <v>4100</v>
      </c>
      <c r="D95" s="11" t="s">
        <v>256</v>
      </c>
      <c r="E95" s="11" t="s">
        <v>4040</v>
      </c>
      <c r="F95" s="11" t="s">
        <v>4074</v>
      </c>
      <c r="G95" s="1">
        <v>46237</v>
      </c>
      <c r="H95" s="1">
        <v>46238</v>
      </c>
      <c r="I95" s="2">
        <v>0.54166666666666663</v>
      </c>
      <c r="J95" s="2">
        <v>0.875</v>
      </c>
      <c r="K95" s="11" t="s">
        <v>4101</v>
      </c>
      <c r="L95" s="1">
        <v>46240</v>
      </c>
      <c r="M95" s="1">
        <v>46237</v>
      </c>
      <c r="N95" s="1"/>
      <c r="O95" s="11" t="s">
        <v>4081</v>
      </c>
    </row>
    <row r="96" spans="1:15" hidden="1" x14ac:dyDescent="0.25">
      <c r="A96" s="1">
        <v>46238</v>
      </c>
      <c r="B96">
        <v>1042422897</v>
      </c>
      <c r="C96" s="11" t="s">
        <v>4100</v>
      </c>
      <c r="D96" s="11" t="s">
        <v>256</v>
      </c>
      <c r="E96" s="11" t="s">
        <v>4040</v>
      </c>
      <c r="F96" s="11" t="s">
        <v>16</v>
      </c>
      <c r="G96" s="1">
        <v>46237</v>
      </c>
      <c r="H96" s="1">
        <v>46238</v>
      </c>
      <c r="I96" s="2">
        <v>0.25</v>
      </c>
      <c r="J96" s="2">
        <v>0.54166666666666663</v>
      </c>
      <c r="K96" s="11" t="s">
        <v>327</v>
      </c>
      <c r="L96" s="1"/>
      <c r="M96" s="1"/>
      <c r="N96" s="1"/>
      <c r="O96" s="11"/>
    </row>
    <row r="97" spans="1:15" hidden="1" x14ac:dyDescent="0.25">
      <c r="A97" s="1">
        <v>46238</v>
      </c>
      <c r="B97">
        <v>1017267628</v>
      </c>
      <c r="C97" s="11" t="s">
        <v>255</v>
      </c>
      <c r="D97" s="11" t="s">
        <v>256</v>
      </c>
      <c r="E97" s="11" t="s">
        <v>4040</v>
      </c>
      <c r="F97" s="11" t="s">
        <v>4074</v>
      </c>
      <c r="G97" s="1">
        <v>46237</v>
      </c>
      <c r="H97" s="1">
        <v>46243</v>
      </c>
      <c r="I97" s="2">
        <v>0.25</v>
      </c>
      <c r="J97" s="2">
        <v>0.54166666666666663</v>
      </c>
      <c r="K97" s="11" t="s">
        <v>4060</v>
      </c>
      <c r="L97" s="1">
        <v>46238</v>
      </c>
      <c r="M97" s="1">
        <v>46237</v>
      </c>
      <c r="N97" s="1"/>
      <c r="O97" s="11" t="s">
        <v>4081</v>
      </c>
    </row>
    <row r="98" spans="1:15" hidden="1" x14ac:dyDescent="0.25">
      <c r="A98" s="1">
        <v>46242</v>
      </c>
      <c r="B98">
        <v>1017267628</v>
      </c>
      <c r="C98" s="11" t="s">
        <v>4103</v>
      </c>
      <c r="D98" s="11" t="s">
        <v>256</v>
      </c>
      <c r="E98" s="11" t="s">
        <v>4040</v>
      </c>
      <c r="F98" s="11" t="s">
        <v>158</v>
      </c>
      <c r="G98" s="1">
        <v>46237</v>
      </c>
      <c r="H98" s="1">
        <v>46243</v>
      </c>
      <c r="I98" s="2"/>
      <c r="J98" s="2"/>
      <c r="K98" s="11" t="s">
        <v>341</v>
      </c>
      <c r="L98" s="1"/>
      <c r="M98" s="1"/>
      <c r="N98" s="1"/>
      <c r="O98" s="11"/>
    </row>
    <row r="99" spans="1:15" hidden="1" x14ac:dyDescent="0.25">
      <c r="A99" s="1">
        <v>46238</v>
      </c>
      <c r="B99">
        <v>1000083810</v>
      </c>
      <c r="C99" s="11" t="s">
        <v>1193</v>
      </c>
      <c r="D99" s="11" t="s">
        <v>59</v>
      </c>
      <c r="E99" s="11" t="s">
        <v>4047</v>
      </c>
      <c r="F99" s="11" t="s">
        <v>4074</v>
      </c>
      <c r="G99" s="1">
        <v>46237</v>
      </c>
      <c r="H99" s="1">
        <v>46239</v>
      </c>
      <c r="I99" s="2">
        <v>0.5</v>
      </c>
      <c r="J99" s="2">
        <v>0.83333333333333337</v>
      </c>
      <c r="K99" s="11" t="s">
        <v>4060</v>
      </c>
      <c r="L99" s="1">
        <v>46238</v>
      </c>
      <c r="M99" s="1">
        <v>46237</v>
      </c>
      <c r="N99" s="1"/>
      <c r="O99" s="11" t="s">
        <v>4081</v>
      </c>
    </row>
    <row r="100" spans="1:15" hidden="1" x14ac:dyDescent="0.25">
      <c r="A100" s="1">
        <v>46239</v>
      </c>
      <c r="B100">
        <v>1000083810</v>
      </c>
      <c r="C100" s="11" t="s">
        <v>1193</v>
      </c>
      <c r="D100" s="11" t="s">
        <v>59</v>
      </c>
      <c r="E100" s="11" t="s">
        <v>4047</v>
      </c>
      <c r="F100" s="11" t="s">
        <v>16</v>
      </c>
      <c r="G100" s="1">
        <v>46237</v>
      </c>
      <c r="H100" s="1">
        <v>46239</v>
      </c>
      <c r="I100" s="2">
        <v>0.54166666666666663</v>
      </c>
      <c r="J100" s="2">
        <v>0.83333333333333337</v>
      </c>
      <c r="K100" s="11" t="s">
        <v>327</v>
      </c>
      <c r="L100" s="1"/>
      <c r="M100" s="1"/>
      <c r="N100" s="1"/>
      <c r="O100" s="11"/>
    </row>
    <row r="101" spans="1:15" hidden="1" x14ac:dyDescent="0.25">
      <c r="A101" s="1">
        <v>46237</v>
      </c>
      <c r="B101">
        <v>1020486493</v>
      </c>
      <c r="C101" s="11" t="s">
        <v>4105</v>
      </c>
      <c r="D101" s="11" t="s">
        <v>256</v>
      </c>
      <c r="E101" s="11" t="s">
        <v>4040</v>
      </c>
      <c r="F101" s="11" t="s">
        <v>4090</v>
      </c>
      <c r="G101" s="1">
        <v>46237</v>
      </c>
      <c r="H101" s="1">
        <v>46239</v>
      </c>
      <c r="I101" s="2">
        <v>0.58333333333333337</v>
      </c>
      <c r="J101" s="2">
        <v>0.875</v>
      </c>
      <c r="K101" s="11" t="s">
        <v>108</v>
      </c>
      <c r="L101" s="1"/>
      <c r="M101" s="1"/>
      <c r="N101" s="1"/>
      <c r="O101" s="11"/>
    </row>
    <row r="102" spans="1:15" hidden="1" x14ac:dyDescent="0.25">
      <c r="A102" s="1">
        <v>46239</v>
      </c>
      <c r="B102">
        <v>1020486493</v>
      </c>
      <c r="C102" s="11" t="s">
        <v>4106</v>
      </c>
      <c r="D102" s="11" t="s">
        <v>256</v>
      </c>
      <c r="E102" s="11" t="s">
        <v>4040</v>
      </c>
      <c r="F102" s="11" t="s">
        <v>4091</v>
      </c>
      <c r="G102" s="1">
        <v>46237</v>
      </c>
      <c r="H102" s="1">
        <v>46239</v>
      </c>
      <c r="I102" s="2">
        <v>0.25</v>
      </c>
      <c r="J102" s="2">
        <v>0.54166666666666663</v>
      </c>
      <c r="K102" s="11" t="s">
        <v>247</v>
      </c>
      <c r="L102" s="1"/>
      <c r="M102" s="1"/>
      <c r="N102" s="1"/>
      <c r="O102" s="11"/>
    </row>
    <row r="103" spans="1:15" hidden="1" x14ac:dyDescent="0.25">
      <c r="A103" s="1">
        <v>46238</v>
      </c>
      <c r="B103" t="s">
        <v>134</v>
      </c>
      <c r="C103" s="11" t="s">
        <v>135</v>
      </c>
      <c r="D103" s="11" t="s">
        <v>39</v>
      </c>
      <c r="E103" s="11" t="s">
        <v>4046</v>
      </c>
      <c r="F103" s="11" t="s">
        <v>16</v>
      </c>
      <c r="G103" s="1">
        <v>46237</v>
      </c>
      <c r="H103" s="1">
        <v>46256</v>
      </c>
      <c r="I103" s="2">
        <v>0.25</v>
      </c>
      <c r="J103" s="2">
        <v>0.54166666666666663</v>
      </c>
      <c r="K103" s="11" t="s">
        <v>327</v>
      </c>
      <c r="L103" s="1"/>
      <c r="M103" s="1"/>
      <c r="N103" s="1"/>
      <c r="O103" s="11"/>
    </row>
    <row r="104" spans="1:15" hidden="1" x14ac:dyDescent="0.25">
      <c r="A104" s="1">
        <v>46238</v>
      </c>
      <c r="B104" t="s">
        <v>4107</v>
      </c>
      <c r="C104" s="11" t="s">
        <v>4061</v>
      </c>
      <c r="D104" s="11" t="s">
        <v>256</v>
      </c>
      <c r="E104" s="11" t="s">
        <v>4040</v>
      </c>
      <c r="F104" s="11" t="s">
        <v>4091</v>
      </c>
      <c r="G104" s="1">
        <v>46237</v>
      </c>
      <c r="H104" s="1">
        <v>46239</v>
      </c>
      <c r="I104" s="2">
        <v>0.25</v>
      </c>
      <c r="J104" s="2">
        <v>0.58333333333333337</v>
      </c>
      <c r="K104" s="11" t="s">
        <v>117</v>
      </c>
      <c r="L104" s="1"/>
      <c r="M104" s="1"/>
      <c r="N104" s="1"/>
      <c r="O104" s="11"/>
    </row>
    <row r="105" spans="1:15" hidden="1" x14ac:dyDescent="0.25">
      <c r="A105" s="1">
        <v>46238</v>
      </c>
      <c r="B105" t="s">
        <v>76</v>
      </c>
      <c r="C105" s="11" t="s">
        <v>77</v>
      </c>
      <c r="D105" s="11" t="s">
        <v>78</v>
      </c>
      <c r="E105" s="11" t="s">
        <v>4046</v>
      </c>
      <c r="F105" s="11" t="s">
        <v>16</v>
      </c>
      <c r="G105" s="1">
        <v>46237</v>
      </c>
      <c r="H105" s="1">
        <v>46241</v>
      </c>
      <c r="I105" s="2">
        <v>0.25</v>
      </c>
      <c r="J105" s="2">
        <v>0.54166666666666663</v>
      </c>
      <c r="K105" s="11" t="s">
        <v>74</v>
      </c>
      <c r="L105" s="1"/>
      <c r="M105" s="1"/>
      <c r="N105" s="1"/>
      <c r="O105" s="11"/>
    </row>
    <row r="106" spans="1:15" hidden="1" x14ac:dyDescent="0.25">
      <c r="A106" s="1">
        <v>46238</v>
      </c>
      <c r="B106" t="s">
        <v>4118</v>
      </c>
      <c r="C106" s="11" t="s">
        <v>4049</v>
      </c>
      <c r="D106" s="11" t="s">
        <v>82</v>
      </c>
      <c r="E106" s="11" t="s">
        <v>4045</v>
      </c>
      <c r="F106" s="11" t="s">
        <v>4050</v>
      </c>
      <c r="G106" s="1">
        <v>46237</v>
      </c>
      <c r="H106" s="1">
        <v>46239</v>
      </c>
      <c r="I106" s="2">
        <v>0.54166666666666663</v>
      </c>
      <c r="J106" s="2">
        <v>0.83333333333333337</v>
      </c>
      <c r="K106" s="11" t="s">
        <v>265</v>
      </c>
      <c r="L106" s="1"/>
      <c r="M106" s="1"/>
      <c r="N106" s="1"/>
      <c r="O106" s="11"/>
    </row>
    <row r="107" spans="1:15" hidden="1" x14ac:dyDescent="0.25">
      <c r="A107" s="1">
        <v>46238</v>
      </c>
      <c r="B107" t="s">
        <v>113</v>
      </c>
      <c r="C107" s="11" t="s">
        <v>114</v>
      </c>
      <c r="D107" s="11" t="s">
        <v>51</v>
      </c>
      <c r="E107" s="11" t="s">
        <v>4047</v>
      </c>
      <c r="F107" s="11" t="s">
        <v>16</v>
      </c>
      <c r="G107" s="1">
        <v>46229</v>
      </c>
      <c r="H107" s="1">
        <v>46243</v>
      </c>
      <c r="I107" s="2">
        <v>0.25</v>
      </c>
      <c r="J107" s="2">
        <v>0.58333333333333337</v>
      </c>
      <c r="K107" s="11" t="s">
        <v>277</v>
      </c>
      <c r="L107" s="1"/>
      <c r="M107" s="1"/>
      <c r="N107" s="1"/>
      <c r="O107" s="11"/>
    </row>
    <row r="108" spans="1:15" hidden="1" x14ac:dyDescent="0.25">
      <c r="A108" s="1">
        <v>46238</v>
      </c>
      <c r="B108" t="s">
        <v>4119</v>
      </c>
      <c r="C108" s="11" t="s">
        <v>4054</v>
      </c>
      <c r="D108" s="11" t="s">
        <v>482</v>
      </c>
      <c r="E108" s="11" t="s">
        <v>4040</v>
      </c>
      <c r="F108" s="11" t="s">
        <v>4050</v>
      </c>
      <c r="G108" s="1">
        <v>46235</v>
      </c>
      <c r="H108" s="1">
        <v>46238</v>
      </c>
      <c r="I108" s="2">
        <v>0.25</v>
      </c>
      <c r="J108" s="2">
        <v>0.54166666666666663</v>
      </c>
      <c r="K108" s="11" t="s">
        <v>283</v>
      </c>
      <c r="L108" s="1"/>
      <c r="M108" s="1"/>
      <c r="N108" s="1"/>
      <c r="O108" s="11"/>
    </row>
    <row r="109" spans="1:15" hidden="1" x14ac:dyDescent="0.25">
      <c r="A109" s="1">
        <v>46238</v>
      </c>
      <c r="B109" t="s">
        <v>291</v>
      </c>
      <c r="C109" s="11" t="s">
        <v>292</v>
      </c>
      <c r="D109" s="11" t="s">
        <v>272</v>
      </c>
      <c r="E109" s="11" t="s">
        <v>4056</v>
      </c>
      <c r="F109" s="11" t="s">
        <v>92</v>
      </c>
      <c r="G109" s="1">
        <v>46233</v>
      </c>
      <c r="H109" s="1">
        <v>46238</v>
      </c>
      <c r="I109" s="2">
        <v>0.5</v>
      </c>
      <c r="J109" s="2">
        <v>0.83333333333333337</v>
      </c>
      <c r="K109" s="11" t="s">
        <v>286</v>
      </c>
      <c r="L109" s="1"/>
      <c r="M109" s="1"/>
      <c r="N109" s="1"/>
      <c r="O109" s="11"/>
    </row>
    <row r="110" spans="1:15" hidden="1" x14ac:dyDescent="0.25">
      <c r="A110" s="1">
        <v>46238</v>
      </c>
      <c r="B110" t="s">
        <v>4120</v>
      </c>
      <c r="C110" s="11" t="s">
        <v>4057</v>
      </c>
      <c r="D110" s="11" t="s">
        <v>482</v>
      </c>
      <c r="E110" s="11" t="s">
        <v>4040</v>
      </c>
      <c r="F110" s="11" t="s">
        <v>4050</v>
      </c>
      <c r="G110" s="1">
        <v>46235</v>
      </c>
      <c r="H110" s="1">
        <v>46238</v>
      </c>
      <c r="I110" s="2">
        <v>0.25</v>
      </c>
      <c r="J110" s="2">
        <v>0.58333333333333337</v>
      </c>
      <c r="K110" s="11" t="s">
        <v>247</v>
      </c>
      <c r="L110" s="1"/>
      <c r="M110" s="1"/>
      <c r="N110" s="1"/>
      <c r="O110" s="11"/>
    </row>
    <row r="111" spans="1:15" hidden="1" x14ac:dyDescent="0.25">
      <c r="A111" s="1">
        <v>46238</v>
      </c>
      <c r="B111" t="s">
        <v>2362</v>
      </c>
      <c r="C111" s="11" t="s">
        <v>4072</v>
      </c>
      <c r="D111" s="11" t="s">
        <v>139</v>
      </c>
      <c r="E111" s="11" t="s">
        <v>4040</v>
      </c>
      <c r="F111" s="11" t="s">
        <v>158</v>
      </c>
      <c r="G111" s="1">
        <v>46230</v>
      </c>
      <c r="H111" s="1"/>
      <c r="I111" s="2">
        <v>0.25</v>
      </c>
      <c r="J111" s="2">
        <v>0.54166666666666663</v>
      </c>
      <c r="K111" s="11" t="s">
        <v>258</v>
      </c>
      <c r="L111" s="1"/>
      <c r="M111" s="1"/>
      <c r="N111" s="1"/>
      <c r="O111" s="11"/>
    </row>
    <row r="112" spans="1:15" hidden="1" x14ac:dyDescent="0.25">
      <c r="A112" s="1">
        <v>46238</v>
      </c>
      <c r="B112" t="s">
        <v>3933</v>
      </c>
      <c r="C112" s="11" t="s">
        <v>3934</v>
      </c>
      <c r="D112" s="11" t="s">
        <v>68</v>
      </c>
      <c r="E112" s="11" t="s">
        <v>4040</v>
      </c>
      <c r="F112" s="11" t="s">
        <v>4123</v>
      </c>
      <c r="G112" s="1">
        <v>46238</v>
      </c>
      <c r="H112" s="1">
        <v>46240</v>
      </c>
      <c r="I112" s="2">
        <v>0.54166666666666663</v>
      </c>
      <c r="J112" s="2">
        <v>0.875</v>
      </c>
      <c r="K112" s="11" t="s">
        <v>1408</v>
      </c>
      <c r="L112" s="1"/>
      <c r="M112" s="1"/>
      <c r="N112" s="1"/>
      <c r="O112" s="11"/>
    </row>
    <row r="113" spans="1:15" hidden="1" x14ac:dyDescent="0.25">
      <c r="A113" s="1">
        <v>46238</v>
      </c>
      <c r="B113" t="s">
        <v>207</v>
      </c>
      <c r="C113" s="11" t="s">
        <v>208</v>
      </c>
      <c r="D113" s="11" t="s">
        <v>28</v>
      </c>
      <c r="E113" s="11" t="s">
        <v>4046</v>
      </c>
      <c r="F113" s="11" t="s">
        <v>16</v>
      </c>
      <c r="G113" s="1">
        <v>46235</v>
      </c>
      <c r="H113" s="1">
        <v>46240</v>
      </c>
      <c r="I113" s="2">
        <v>0.58333333333333337</v>
      </c>
      <c r="J113" s="2">
        <v>0.875</v>
      </c>
      <c r="K113" s="11" t="s">
        <v>304</v>
      </c>
      <c r="L113" s="1"/>
      <c r="M113" s="1"/>
      <c r="N113" s="1"/>
      <c r="O113" s="11"/>
    </row>
    <row r="114" spans="1:15" hidden="1" x14ac:dyDescent="0.25">
      <c r="A114" s="1">
        <v>46238</v>
      </c>
      <c r="B114" t="s">
        <v>156</v>
      </c>
      <c r="C114" s="11" t="s">
        <v>157</v>
      </c>
      <c r="D114" s="11" t="s">
        <v>44</v>
      </c>
      <c r="E114" s="11" t="s">
        <v>4045</v>
      </c>
      <c r="F114" s="11" t="s">
        <v>4062</v>
      </c>
      <c r="G114" s="1">
        <v>46232</v>
      </c>
      <c r="H114" s="1">
        <v>46239</v>
      </c>
      <c r="I114" s="2">
        <v>0.58333333333333337</v>
      </c>
      <c r="J114" s="2">
        <v>0.875</v>
      </c>
      <c r="K114" s="11" t="s">
        <v>97</v>
      </c>
      <c r="L114" s="1"/>
      <c r="M114" s="1"/>
      <c r="N114" s="1"/>
      <c r="O114" s="11"/>
    </row>
    <row r="115" spans="1:15" hidden="1" x14ac:dyDescent="0.25">
      <c r="A115" s="1">
        <v>46238</v>
      </c>
      <c r="B115" t="s">
        <v>53</v>
      </c>
      <c r="C115" s="11" t="s">
        <v>88</v>
      </c>
      <c r="D115" s="11" t="s">
        <v>55</v>
      </c>
      <c r="E115" s="11" t="s">
        <v>4047</v>
      </c>
      <c r="F115" s="11" t="s">
        <v>16</v>
      </c>
      <c r="G115" s="1">
        <v>46229</v>
      </c>
      <c r="H115" s="1">
        <v>46258</v>
      </c>
      <c r="I115" s="2">
        <v>0.25</v>
      </c>
      <c r="J115" s="2">
        <v>0.58333333333333337</v>
      </c>
      <c r="K115" s="11" t="s">
        <v>86</v>
      </c>
      <c r="L115" s="1"/>
      <c r="M115" s="1"/>
      <c r="N115" s="1"/>
      <c r="O115" s="11"/>
    </row>
    <row r="116" spans="1:15" hidden="1" x14ac:dyDescent="0.25">
      <c r="A116" s="1">
        <v>46238</v>
      </c>
      <c r="B116" t="s">
        <v>57</v>
      </c>
      <c r="C116" s="11" t="s">
        <v>58</v>
      </c>
      <c r="D116" s="11" t="s">
        <v>59</v>
      </c>
      <c r="E116" s="11" t="s">
        <v>4047</v>
      </c>
      <c r="F116" s="11" t="s">
        <v>16</v>
      </c>
      <c r="G116" s="1">
        <v>46227</v>
      </c>
      <c r="H116" s="1">
        <v>46246</v>
      </c>
      <c r="I116" s="2">
        <v>0.25</v>
      </c>
      <c r="J116" s="2">
        <v>0.58333333333333337</v>
      </c>
      <c r="K116" s="11" t="s">
        <v>111</v>
      </c>
      <c r="L116" s="1"/>
      <c r="M116" s="1"/>
      <c r="N116" s="1"/>
      <c r="O116" s="11"/>
    </row>
    <row r="117" spans="1:15" hidden="1" x14ac:dyDescent="0.25">
      <c r="A117" s="1">
        <v>46238</v>
      </c>
      <c r="B117" t="s">
        <v>219</v>
      </c>
      <c r="C117" s="11" t="s">
        <v>220</v>
      </c>
      <c r="D117" s="11" t="s">
        <v>55</v>
      </c>
      <c r="E117" s="11" t="s">
        <v>4047</v>
      </c>
      <c r="F117" s="11" t="s">
        <v>16</v>
      </c>
      <c r="G117" s="1">
        <v>46225</v>
      </c>
      <c r="H117" s="1">
        <v>46239</v>
      </c>
      <c r="I117" s="2">
        <v>0.54166666666666663</v>
      </c>
      <c r="J117" s="2">
        <v>0.875</v>
      </c>
      <c r="K117" s="11" t="s">
        <v>214</v>
      </c>
      <c r="L117" s="1"/>
      <c r="M117" s="1"/>
      <c r="N117" s="1"/>
      <c r="O117" s="11"/>
    </row>
    <row r="118" spans="1:15" hidden="1" x14ac:dyDescent="0.25">
      <c r="A118" s="1">
        <v>46238</v>
      </c>
      <c r="B118" t="s">
        <v>70</v>
      </c>
      <c r="C118" s="11" t="s">
        <v>71</v>
      </c>
      <c r="D118" s="11" t="s">
        <v>55</v>
      </c>
      <c r="E118" s="11" t="s">
        <v>4047</v>
      </c>
      <c r="F118" s="11" t="s">
        <v>16</v>
      </c>
      <c r="G118" s="1">
        <v>46226</v>
      </c>
      <c r="H118" s="1">
        <v>46246</v>
      </c>
      <c r="I118" s="2">
        <v>0.58333333333333337</v>
      </c>
      <c r="J118" s="2">
        <v>0.875</v>
      </c>
      <c r="K118" s="11" t="s">
        <v>178</v>
      </c>
      <c r="L118" s="1"/>
      <c r="M118" s="1"/>
      <c r="N118" s="1"/>
      <c r="O118" s="11"/>
    </row>
    <row r="119" spans="1:15" hidden="1" x14ac:dyDescent="0.25">
      <c r="A119" s="1">
        <v>46238</v>
      </c>
      <c r="B119" t="s">
        <v>26</v>
      </c>
      <c r="C119" s="11" t="s">
        <v>27</v>
      </c>
      <c r="D119" s="11" t="s">
        <v>28</v>
      </c>
      <c r="E119" s="11" t="s">
        <v>4046</v>
      </c>
      <c r="F119" s="11" t="s">
        <v>16</v>
      </c>
      <c r="G119" s="1">
        <v>46226</v>
      </c>
      <c r="H119" s="1">
        <v>46255</v>
      </c>
      <c r="I119" s="2">
        <v>0.25</v>
      </c>
      <c r="J119" s="2">
        <v>0.54166666666666663</v>
      </c>
      <c r="K119" s="11" t="s">
        <v>18</v>
      </c>
      <c r="L119" s="1"/>
      <c r="M119" s="1"/>
      <c r="N119" s="1"/>
      <c r="O119" s="11"/>
    </row>
    <row r="120" spans="1:15" hidden="1" x14ac:dyDescent="0.25">
      <c r="A120" s="1">
        <v>46238</v>
      </c>
      <c r="B120" t="s">
        <v>270</v>
      </c>
      <c r="C120" s="11" t="s">
        <v>271</v>
      </c>
      <c r="D120" s="11" t="s">
        <v>272</v>
      </c>
      <c r="E120" s="11" t="s">
        <v>4056</v>
      </c>
      <c r="F120" s="11" t="s">
        <v>16</v>
      </c>
      <c r="G120" s="1">
        <v>46224</v>
      </c>
      <c r="H120" s="1">
        <v>46238</v>
      </c>
      <c r="I120" s="2">
        <v>0.25</v>
      </c>
      <c r="J120" s="2">
        <v>0.5</v>
      </c>
      <c r="K120" s="11" t="s">
        <v>327</v>
      </c>
      <c r="L120" s="1"/>
      <c r="M120" s="1"/>
      <c r="N120" s="1"/>
      <c r="O120" s="11"/>
    </row>
    <row r="121" spans="1:15" hidden="1" x14ac:dyDescent="0.25">
      <c r="A121" s="1">
        <v>46238</v>
      </c>
      <c r="B121" t="s">
        <v>62</v>
      </c>
      <c r="C121" s="11" t="s">
        <v>63</v>
      </c>
      <c r="D121" s="11" t="s">
        <v>64</v>
      </c>
      <c r="E121" s="11" t="s">
        <v>4046</v>
      </c>
      <c r="F121" s="11" t="s">
        <v>16</v>
      </c>
      <c r="G121" s="1">
        <v>46219</v>
      </c>
      <c r="H121" s="1">
        <v>46248</v>
      </c>
      <c r="I121" s="2">
        <v>0.25</v>
      </c>
      <c r="J121" s="2">
        <v>0.58333333333333337</v>
      </c>
      <c r="K121" s="11" t="s">
        <v>237</v>
      </c>
      <c r="L121" s="1"/>
      <c r="M121" s="1"/>
      <c r="N121" s="1"/>
      <c r="O121" s="11"/>
    </row>
    <row r="122" spans="1:15" hidden="1" x14ac:dyDescent="0.25">
      <c r="A122" s="1">
        <v>46238</v>
      </c>
      <c r="B122" t="s">
        <v>122</v>
      </c>
      <c r="C122" s="11" t="s">
        <v>123</v>
      </c>
      <c r="D122" s="11" t="s">
        <v>124</v>
      </c>
      <c r="E122" s="11" t="s">
        <v>4045</v>
      </c>
      <c r="F122" s="11" t="s">
        <v>16</v>
      </c>
      <c r="G122" s="1">
        <v>46224</v>
      </c>
      <c r="H122" s="1">
        <v>46238</v>
      </c>
      <c r="I122" s="2">
        <v>0.25</v>
      </c>
      <c r="J122" s="2">
        <v>0.54166666666666663</v>
      </c>
      <c r="K122" s="11" t="s">
        <v>274</v>
      </c>
      <c r="L122" s="1"/>
      <c r="M122" s="1"/>
      <c r="N122" s="1"/>
      <c r="O122" s="11"/>
    </row>
    <row r="123" spans="1:15" hidden="1" x14ac:dyDescent="0.25">
      <c r="A123" s="1">
        <v>46238</v>
      </c>
      <c r="B123" t="s">
        <v>37</v>
      </c>
      <c r="C123" s="11" t="s">
        <v>38</v>
      </c>
      <c r="D123" s="11" t="s">
        <v>39</v>
      </c>
      <c r="E123" s="11" t="s">
        <v>4046</v>
      </c>
      <c r="F123" s="11" t="s">
        <v>36</v>
      </c>
      <c r="G123" s="1">
        <v>46217</v>
      </c>
      <c r="H123" s="1">
        <v>46342</v>
      </c>
      <c r="I123" s="2">
        <v>0.25</v>
      </c>
      <c r="J123" s="2">
        <v>0.58333333333333337</v>
      </c>
      <c r="K123" s="11" t="s">
        <v>149</v>
      </c>
      <c r="L123" s="1"/>
      <c r="M123" s="1"/>
      <c r="N123" s="1"/>
      <c r="O123" s="11"/>
    </row>
    <row r="124" spans="1:15" hidden="1" x14ac:dyDescent="0.25">
      <c r="A124" s="1">
        <v>46238</v>
      </c>
      <c r="B124" t="s">
        <v>4124</v>
      </c>
      <c r="C124" s="11" t="s">
        <v>4069</v>
      </c>
      <c r="D124" s="11" t="s">
        <v>64</v>
      </c>
      <c r="E124" s="11" t="s">
        <v>4046</v>
      </c>
      <c r="F124" s="11" t="s">
        <v>4050</v>
      </c>
      <c r="G124" s="1">
        <v>46195</v>
      </c>
      <c r="H124" s="1"/>
      <c r="I124" s="2">
        <v>0.25</v>
      </c>
      <c r="J124" s="2">
        <v>0.58333333333333337</v>
      </c>
      <c r="K124" s="11" t="s">
        <v>327</v>
      </c>
      <c r="L124" s="1"/>
      <c r="M124" s="1"/>
      <c r="N124" s="1"/>
      <c r="O124" s="11"/>
    </row>
    <row r="125" spans="1:15" hidden="1" x14ac:dyDescent="0.25">
      <c r="A125" s="1">
        <v>46240</v>
      </c>
      <c r="B125">
        <v>1152699151</v>
      </c>
      <c r="C125" s="11" t="s">
        <v>1020</v>
      </c>
      <c r="D125" s="11" t="s">
        <v>4125</v>
      </c>
      <c r="E125" s="11" t="s">
        <v>4046</v>
      </c>
      <c r="F125" s="11" t="s">
        <v>4123</v>
      </c>
      <c r="G125" s="1">
        <v>46238</v>
      </c>
      <c r="H125" s="1">
        <v>46240</v>
      </c>
      <c r="I125" s="2">
        <v>0.33333333333333331</v>
      </c>
      <c r="J125" s="2">
        <v>0.625</v>
      </c>
      <c r="K125" s="11" t="s">
        <v>3663</v>
      </c>
      <c r="L125" s="1"/>
      <c r="M125" s="1"/>
      <c r="N125" s="1"/>
      <c r="O125" s="11"/>
    </row>
    <row r="126" spans="1:15" hidden="1" x14ac:dyDescent="0.25">
      <c r="A126" s="1">
        <v>46239</v>
      </c>
      <c r="B126">
        <v>1152687492</v>
      </c>
      <c r="C126" s="11" t="s">
        <v>4127</v>
      </c>
      <c r="D126" s="11" t="s">
        <v>414</v>
      </c>
      <c r="E126" s="11" t="s">
        <v>4056</v>
      </c>
      <c r="F126" s="11" t="s">
        <v>4050</v>
      </c>
      <c r="G126" s="1">
        <v>46238</v>
      </c>
      <c r="H126" s="1">
        <v>46240</v>
      </c>
      <c r="I126" s="2">
        <v>0.45833333333333331</v>
      </c>
      <c r="J126" s="2">
        <v>0.79166666666666663</v>
      </c>
      <c r="K126" s="11" t="s">
        <v>286</v>
      </c>
      <c r="L126" s="1"/>
      <c r="M126" s="1"/>
      <c r="N126" s="1"/>
      <c r="O126" s="11"/>
    </row>
    <row r="127" spans="1:15" hidden="1" x14ac:dyDescent="0.25">
      <c r="A127" s="1">
        <v>46239</v>
      </c>
      <c r="B127">
        <v>1117545007</v>
      </c>
      <c r="C127" s="11" t="s">
        <v>2375</v>
      </c>
      <c r="D127" s="11" t="s">
        <v>139</v>
      </c>
      <c r="E127" s="11" t="s">
        <v>4040</v>
      </c>
      <c r="F127" s="11" t="s">
        <v>16</v>
      </c>
      <c r="G127" s="1">
        <v>46237</v>
      </c>
      <c r="H127" s="1">
        <v>46239</v>
      </c>
      <c r="I127" s="2">
        <v>0.54166666666666663</v>
      </c>
      <c r="J127" s="2">
        <v>0.875</v>
      </c>
      <c r="K127" s="11" t="s">
        <v>74</v>
      </c>
      <c r="L127" s="1"/>
      <c r="M127" s="1"/>
      <c r="N127" s="1"/>
      <c r="O127" s="11"/>
    </row>
    <row r="128" spans="1:15" hidden="1" x14ac:dyDescent="0.25">
      <c r="A128" s="1">
        <v>46238</v>
      </c>
      <c r="B128">
        <v>1214743121</v>
      </c>
      <c r="C128" s="11" t="s">
        <v>4128</v>
      </c>
      <c r="D128" s="11" t="s">
        <v>421</v>
      </c>
      <c r="E128" s="11" t="s">
        <v>4047</v>
      </c>
      <c r="F128" s="11" t="s">
        <v>4074</v>
      </c>
      <c r="G128" s="1">
        <v>46238</v>
      </c>
      <c r="H128" s="1"/>
      <c r="I128" s="2">
        <v>0.25</v>
      </c>
      <c r="J128" s="2">
        <v>0.54166666666666663</v>
      </c>
      <c r="K128" s="11" t="s">
        <v>4060</v>
      </c>
      <c r="L128" s="1"/>
      <c r="M128" s="1"/>
      <c r="N128" s="1"/>
      <c r="O128" s="11" t="s">
        <v>4129</v>
      </c>
    </row>
    <row r="129" spans="1:15" hidden="1" x14ac:dyDescent="0.25">
      <c r="A129" s="1">
        <v>46238</v>
      </c>
      <c r="B129">
        <v>1005660092</v>
      </c>
      <c r="C129" s="11" t="s">
        <v>2316</v>
      </c>
      <c r="D129" s="11" t="s">
        <v>102</v>
      </c>
      <c r="E129" s="11" t="s">
        <v>4046</v>
      </c>
      <c r="F129" s="11" t="s">
        <v>16</v>
      </c>
      <c r="G129" s="1">
        <v>46238</v>
      </c>
      <c r="H129" s="1">
        <v>46238</v>
      </c>
      <c r="I129" s="2">
        <v>0.5</v>
      </c>
      <c r="J129" s="2">
        <v>0.79166666666666663</v>
      </c>
      <c r="K129" s="11" t="s">
        <v>4060</v>
      </c>
      <c r="L129" s="1"/>
      <c r="M129" s="1"/>
      <c r="N129" s="1"/>
      <c r="O129" s="11"/>
    </row>
    <row r="130" spans="1:15" hidden="1" x14ac:dyDescent="0.25">
      <c r="A130" s="1">
        <v>46239</v>
      </c>
      <c r="B130">
        <v>88030132</v>
      </c>
      <c r="C130" s="11" t="s">
        <v>1956</v>
      </c>
      <c r="D130" s="11" t="s">
        <v>59</v>
      </c>
      <c r="E130" s="11" t="s">
        <v>4047</v>
      </c>
      <c r="F130" s="11" t="s">
        <v>4074</v>
      </c>
      <c r="G130" s="1">
        <v>46238</v>
      </c>
      <c r="H130" s="1">
        <v>46237</v>
      </c>
      <c r="I130" s="2">
        <v>0.25</v>
      </c>
      <c r="J130" s="2">
        <v>0.54166666666666663</v>
      </c>
      <c r="K130" s="11" t="s">
        <v>4060</v>
      </c>
      <c r="L130" s="1">
        <v>46238</v>
      </c>
      <c r="M130" s="1">
        <v>46237</v>
      </c>
      <c r="N130" s="1"/>
      <c r="O130" s="11" t="s">
        <v>4081</v>
      </c>
    </row>
    <row r="131" spans="1:15" hidden="1" x14ac:dyDescent="0.25">
      <c r="A131" s="1">
        <v>46239</v>
      </c>
      <c r="B131">
        <v>1067963513</v>
      </c>
      <c r="C131" s="11" t="s">
        <v>84</v>
      </c>
      <c r="D131" s="11" t="s">
        <v>68</v>
      </c>
      <c r="E131" s="11" t="s">
        <v>4040</v>
      </c>
      <c r="F131" s="11" t="s">
        <v>4074</v>
      </c>
      <c r="G131" s="1">
        <v>46238</v>
      </c>
      <c r="H131" s="1">
        <v>46238</v>
      </c>
      <c r="I131" s="2">
        <v>0.54166666666666663</v>
      </c>
      <c r="J131" s="2">
        <v>0.875</v>
      </c>
      <c r="K131" s="11" t="s">
        <v>4060</v>
      </c>
      <c r="L131" s="1">
        <v>46240</v>
      </c>
      <c r="M131" s="1">
        <v>46239</v>
      </c>
      <c r="N131" s="1"/>
      <c r="O131" s="11" t="s">
        <v>4081</v>
      </c>
    </row>
    <row r="132" spans="1:15" hidden="1" x14ac:dyDescent="0.25">
      <c r="A132" s="1">
        <v>46239</v>
      </c>
      <c r="B132">
        <v>1000412686</v>
      </c>
      <c r="C132" s="11" t="s">
        <v>2872</v>
      </c>
      <c r="D132" s="11" t="s">
        <v>82</v>
      </c>
      <c r="E132" s="11" t="s">
        <v>4045</v>
      </c>
      <c r="F132" s="11" t="s">
        <v>4074</v>
      </c>
      <c r="G132" s="1">
        <v>46238</v>
      </c>
      <c r="H132" s="1">
        <v>46238</v>
      </c>
      <c r="I132" s="2">
        <v>0.25</v>
      </c>
      <c r="J132" s="2">
        <v>0.54166666666666663</v>
      </c>
      <c r="K132" s="11" t="s">
        <v>4060</v>
      </c>
      <c r="L132" s="1">
        <v>46239</v>
      </c>
      <c r="M132" s="1">
        <v>46238</v>
      </c>
      <c r="N132" s="1"/>
      <c r="O132" s="11" t="s">
        <v>4081</v>
      </c>
    </row>
    <row r="133" spans="1:15" hidden="1" x14ac:dyDescent="0.25">
      <c r="A133" s="1">
        <v>46240</v>
      </c>
      <c r="B133">
        <v>1193104616</v>
      </c>
      <c r="C133" s="11" t="s">
        <v>2004</v>
      </c>
      <c r="D133" s="11" t="s">
        <v>55</v>
      </c>
      <c r="E133" s="11" t="s">
        <v>4047</v>
      </c>
      <c r="F133" s="11" t="s">
        <v>16</v>
      </c>
      <c r="G133" s="1">
        <v>46238</v>
      </c>
      <c r="H133" s="1">
        <v>46240</v>
      </c>
      <c r="I133" s="2">
        <v>0.58333333333333337</v>
      </c>
      <c r="J133" s="2">
        <v>0.875</v>
      </c>
      <c r="K133" s="11" t="s">
        <v>327</v>
      </c>
      <c r="L133" s="1"/>
      <c r="M133" s="1"/>
      <c r="N133" s="1"/>
      <c r="O133" s="11"/>
    </row>
    <row r="134" spans="1:15" hidden="1" x14ac:dyDescent="0.25">
      <c r="A134" s="1">
        <v>46239</v>
      </c>
      <c r="B134">
        <v>1001369228</v>
      </c>
      <c r="C134" s="11" t="s">
        <v>164</v>
      </c>
      <c r="D134" s="11" t="s">
        <v>4078</v>
      </c>
      <c r="E134" s="11" t="s">
        <v>4056</v>
      </c>
      <c r="F134" s="11" t="s">
        <v>16</v>
      </c>
      <c r="G134" s="1">
        <v>46238</v>
      </c>
      <c r="H134" s="1">
        <v>46239</v>
      </c>
      <c r="I134" s="2">
        <v>0.25</v>
      </c>
      <c r="J134" s="2">
        <v>0.58333333333333337</v>
      </c>
      <c r="K134" s="11" t="s">
        <v>339</v>
      </c>
      <c r="L134" s="1"/>
      <c r="M134" s="1"/>
      <c r="N134" s="1"/>
      <c r="O134" s="11"/>
    </row>
    <row r="135" spans="1:15" hidden="1" x14ac:dyDescent="0.25">
      <c r="A135" s="1">
        <v>46245</v>
      </c>
      <c r="B135">
        <v>1005424850</v>
      </c>
      <c r="C135" s="11" t="s">
        <v>95</v>
      </c>
      <c r="D135" s="11" t="s">
        <v>82</v>
      </c>
      <c r="E135" s="11" t="s">
        <v>4045</v>
      </c>
      <c r="F135" s="11" t="s">
        <v>16</v>
      </c>
      <c r="G135" s="1">
        <v>46238</v>
      </c>
      <c r="H135" s="1">
        <v>46262</v>
      </c>
      <c r="I135" s="2">
        <v>0.25</v>
      </c>
      <c r="J135" s="2">
        <v>0.54166666666666663</v>
      </c>
      <c r="K135" s="11" t="s">
        <v>232</v>
      </c>
      <c r="L135" s="1"/>
      <c r="M135" s="1"/>
      <c r="N135" s="1"/>
      <c r="O135" s="11"/>
    </row>
    <row r="136" spans="1:15" hidden="1" x14ac:dyDescent="0.25">
      <c r="A136" s="1">
        <v>46238</v>
      </c>
      <c r="B136">
        <v>1140899272</v>
      </c>
      <c r="C136" s="11" t="s">
        <v>588</v>
      </c>
      <c r="D136" s="11" t="s">
        <v>28</v>
      </c>
      <c r="E136" s="11" t="s">
        <v>4046</v>
      </c>
      <c r="F136" s="11" t="s">
        <v>4074</v>
      </c>
      <c r="G136" s="1">
        <v>46238</v>
      </c>
      <c r="H136" s="1">
        <v>46240</v>
      </c>
      <c r="I136" s="2"/>
      <c r="J136" s="2"/>
      <c r="K136" s="11" t="s">
        <v>4083</v>
      </c>
      <c r="L136" s="1">
        <v>46238</v>
      </c>
      <c r="M136" s="1">
        <v>46238</v>
      </c>
      <c r="N136" s="1"/>
      <c r="O136" s="11" t="s">
        <v>4081</v>
      </c>
    </row>
    <row r="137" spans="1:15" hidden="1" x14ac:dyDescent="0.25">
      <c r="A137" s="1">
        <v>46240</v>
      </c>
      <c r="B137">
        <v>1140899272</v>
      </c>
      <c r="C137" s="11" t="s">
        <v>4132</v>
      </c>
      <c r="D137" s="11" t="s">
        <v>28</v>
      </c>
      <c r="E137" s="11" t="s">
        <v>4046</v>
      </c>
      <c r="F137" s="11" t="s">
        <v>16</v>
      </c>
      <c r="G137" s="1">
        <v>46238</v>
      </c>
      <c r="H137" s="1">
        <v>46240</v>
      </c>
      <c r="I137" s="2">
        <v>0.25</v>
      </c>
      <c r="J137" s="2">
        <v>0.5</v>
      </c>
      <c r="K137" s="11" t="s">
        <v>327</v>
      </c>
      <c r="L137" s="1"/>
      <c r="M137" s="1"/>
      <c r="N137" s="1"/>
      <c r="O137" s="11"/>
    </row>
    <row r="138" spans="1:15" hidden="1" x14ac:dyDescent="0.25">
      <c r="A138" s="1">
        <v>46238</v>
      </c>
      <c r="B138">
        <v>1037626926</v>
      </c>
      <c r="C138" s="11" t="s">
        <v>4134</v>
      </c>
      <c r="D138" s="11" t="s">
        <v>51</v>
      </c>
      <c r="E138" s="11" t="s">
        <v>4047</v>
      </c>
      <c r="F138" s="11" t="s">
        <v>16</v>
      </c>
      <c r="G138" s="1">
        <v>46237</v>
      </c>
      <c r="H138" s="1">
        <v>46238</v>
      </c>
      <c r="I138" s="2">
        <v>0.25</v>
      </c>
      <c r="J138" s="2">
        <v>0.54166666666666663</v>
      </c>
      <c r="K138" s="11" t="s">
        <v>327</v>
      </c>
      <c r="L138" s="1"/>
      <c r="M138" s="1"/>
      <c r="N138" s="1"/>
      <c r="O138" s="11"/>
    </row>
    <row r="139" spans="1:15" hidden="1" x14ac:dyDescent="0.25">
      <c r="A139" s="1">
        <v>46238</v>
      </c>
      <c r="B139">
        <v>1036656151</v>
      </c>
      <c r="C139" s="11" t="s">
        <v>4136</v>
      </c>
      <c r="D139" s="11" t="s">
        <v>15</v>
      </c>
      <c r="E139" s="11" t="s">
        <v>4046</v>
      </c>
      <c r="F139" s="11" t="s">
        <v>4074</v>
      </c>
      <c r="G139" s="1">
        <v>46238</v>
      </c>
      <c r="H139" s="1">
        <v>46239</v>
      </c>
      <c r="I139" s="2">
        <v>0.54166666666666663</v>
      </c>
      <c r="J139" s="2">
        <v>0.875</v>
      </c>
      <c r="K139" s="11" t="s">
        <v>4060</v>
      </c>
      <c r="L139" s="1">
        <v>46238</v>
      </c>
      <c r="M139" s="1">
        <v>46237</v>
      </c>
      <c r="N139" s="1"/>
      <c r="O139" s="11" t="s">
        <v>4081</v>
      </c>
    </row>
    <row r="140" spans="1:15" hidden="1" x14ac:dyDescent="0.25">
      <c r="A140" s="1">
        <v>46239</v>
      </c>
      <c r="B140">
        <v>1036656151</v>
      </c>
      <c r="C140" s="11" t="s">
        <v>1697</v>
      </c>
      <c r="D140" s="11" t="s">
        <v>15</v>
      </c>
      <c r="E140" s="11" t="s">
        <v>4046</v>
      </c>
      <c r="F140" s="11" t="s">
        <v>16</v>
      </c>
      <c r="G140" s="1">
        <v>46238</v>
      </c>
      <c r="H140" s="1">
        <v>46239</v>
      </c>
      <c r="I140" s="2">
        <v>0.25</v>
      </c>
      <c r="J140" s="2">
        <v>0.54166666666666663</v>
      </c>
      <c r="K140" s="11" t="s">
        <v>178</v>
      </c>
      <c r="L140" s="1"/>
      <c r="M140" s="1"/>
      <c r="N140" s="1"/>
      <c r="O140" s="11"/>
    </row>
    <row r="141" spans="1:15" hidden="1" x14ac:dyDescent="0.25">
      <c r="A141" s="1">
        <v>46238</v>
      </c>
      <c r="B141">
        <v>1001901817</v>
      </c>
      <c r="C141" s="11" t="s">
        <v>4137</v>
      </c>
      <c r="D141" s="11" t="s">
        <v>634</v>
      </c>
      <c r="E141" s="11" t="s">
        <v>4045</v>
      </c>
      <c r="F141" s="11" t="s">
        <v>4074</v>
      </c>
      <c r="G141" s="1">
        <v>46238</v>
      </c>
      <c r="H141" s="1">
        <v>46239</v>
      </c>
      <c r="I141" s="2">
        <v>0.25</v>
      </c>
      <c r="J141" s="2">
        <v>0.54166666666666663</v>
      </c>
      <c r="K141" s="11" t="s">
        <v>4060</v>
      </c>
      <c r="L141" s="1">
        <v>46240</v>
      </c>
      <c r="M141" s="1">
        <v>46239</v>
      </c>
      <c r="N141" s="1"/>
      <c r="O141" s="11" t="s">
        <v>4081</v>
      </c>
    </row>
    <row r="142" spans="1:15" hidden="1" x14ac:dyDescent="0.25">
      <c r="A142" s="1">
        <v>46239</v>
      </c>
      <c r="B142">
        <v>1001901817</v>
      </c>
      <c r="C142" s="11" t="s">
        <v>4137</v>
      </c>
      <c r="D142" s="11" t="s">
        <v>634</v>
      </c>
      <c r="E142" s="11" t="s">
        <v>4045</v>
      </c>
      <c r="F142" s="11" t="s">
        <v>16</v>
      </c>
      <c r="G142" s="1">
        <v>46238</v>
      </c>
      <c r="H142" s="1">
        <v>46239</v>
      </c>
      <c r="I142" s="2">
        <v>0.54166666666666663</v>
      </c>
      <c r="J142" s="2">
        <v>0.875</v>
      </c>
      <c r="K142" s="11" t="s">
        <v>274</v>
      </c>
      <c r="L142" s="1"/>
      <c r="M142" s="1"/>
      <c r="N142" s="1"/>
      <c r="O142" s="11"/>
    </row>
    <row r="143" spans="1:15" hidden="1" x14ac:dyDescent="0.25">
      <c r="A143" s="1">
        <v>46240</v>
      </c>
      <c r="B143">
        <v>1037634709</v>
      </c>
      <c r="C143" s="11" t="s">
        <v>4044</v>
      </c>
      <c r="D143" s="11" t="s">
        <v>492</v>
      </c>
      <c r="E143" s="11" t="s">
        <v>4045</v>
      </c>
      <c r="F143" s="11" t="s">
        <v>4050</v>
      </c>
      <c r="G143" s="1">
        <v>46238</v>
      </c>
      <c r="H143" s="1">
        <v>46240</v>
      </c>
      <c r="I143" s="2">
        <v>0.54166666666666663</v>
      </c>
      <c r="J143" s="2">
        <v>0.875</v>
      </c>
      <c r="K143" s="11" t="s">
        <v>151</v>
      </c>
      <c r="L143" s="1"/>
      <c r="M143" s="1"/>
      <c r="N143" s="1"/>
      <c r="O143" s="11"/>
    </row>
    <row r="144" spans="1:15" hidden="1" x14ac:dyDescent="0.25">
      <c r="A144" s="1">
        <v>46238</v>
      </c>
      <c r="B144">
        <v>1000439437</v>
      </c>
      <c r="C144" s="11" t="s">
        <v>451</v>
      </c>
      <c r="D144" s="11" t="s">
        <v>139</v>
      </c>
      <c r="E144" s="11" t="s">
        <v>4040</v>
      </c>
      <c r="F144" s="11" t="s">
        <v>4074</v>
      </c>
      <c r="G144" s="1">
        <v>46238</v>
      </c>
      <c r="H144" s="1">
        <v>46240</v>
      </c>
      <c r="I144" s="2">
        <v>0.25</v>
      </c>
      <c r="J144" s="2">
        <v>0.54166666666666663</v>
      </c>
      <c r="K144" s="11" t="s">
        <v>4060</v>
      </c>
      <c r="L144" s="1">
        <v>46238</v>
      </c>
      <c r="M144" s="1">
        <v>46238</v>
      </c>
      <c r="N144" s="1"/>
      <c r="O144" s="11" t="s">
        <v>4081</v>
      </c>
    </row>
    <row r="145" spans="1:15" hidden="1" x14ac:dyDescent="0.25">
      <c r="A145" s="1">
        <v>46240</v>
      </c>
      <c r="B145">
        <v>1000439437</v>
      </c>
      <c r="C145" s="11" t="s">
        <v>451</v>
      </c>
      <c r="D145" s="11" t="s">
        <v>139</v>
      </c>
      <c r="E145" s="11" t="s">
        <v>4040</v>
      </c>
      <c r="F145" s="11" t="s">
        <v>16</v>
      </c>
      <c r="G145" s="1">
        <v>46238</v>
      </c>
      <c r="H145" s="1">
        <v>46240</v>
      </c>
      <c r="I145" s="2">
        <v>0.54166666666666663</v>
      </c>
      <c r="J145" s="2">
        <v>0.875</v>
      </c>
      <c r="K145" s="11" t="s">
        <v>74</v>
      </c>
      <c r="L145" s="1"/>
      <c r="M145" s="1"/>
      <c r="N145" s="1"/>
      <c r="O145" s="11"/>
    </row>
    <row r="146" spans="1:15" hidden="1" x14ac:dyDescent="0.25">
      <c r="A146" s="1">
        <v>46238</v>
      </c>
      <c r="B146">
        <v>1017259589</v>
      </c>
      <c r="C146" s="11" t="s">
        <v>2094</v>
      </c>
      <c r="D146" s="11" t="s">
        <v>82</v>
      </c>
      <c r="E146" s="11" t="s">
        <v>4045</v>
      </c>
      <c r="F146" s="11" t="s">
        <v>4074</v>
      </c>
      <c r="G146" s="1">
        <v>46238</v>
      </c>
      <c r="H146" s="1">
        <v>46238</v>
      </c>
      <c r="I146" s="2">
        <v>0.25</v>
      </c>
      <c r="J146" s="2">
        <v>0.54166666666666663</v>
      </c>
      <c r="K146" s="11" t="s">
        <v>4060</v>
      </c>
      <c r="L146" s="1">
        <v>46238</v>
      </c>
      <c r="M146" s="1">
        <v>46238</v>
      </c>
      <c r="N146" s="1"/>
      <c r="O146" s="11" t="s">
        <v>4081</v>
      </c>
    </row>
    <row r="147" spans="1:15" hidden="1" x14ac:dyDescent="0.25">
      <c r="A147" s="1">
        <v>46239</v>
      </c>
      <c r="B147">
        <v>1143166909</v>
      </c>
      <c r="C147" s="11" t="s">
        <v>2717</v>
      </c>
      <c r="D147" s="11" t="s">
        <v>344</v>
      </c>
      <c r="E147" s="11" t="s">
        <v>4056</v>
      </c>
      <c r="F147" s="11" t="s">
        <v>4074</v>
      </c>
      <c r="G147" s="1">
        <v>46239</v>
      </c>
      <c r="H147" s="1"/>
      <c r="I147" s="2">
        <v>0.54166666666666663</v>
      </c>
      <c r="J147" s="2">
        <v>0.875</v>
      </c>
      <c r="K147" s="11" t="s">
        <v>4139</v>
      </c>
      <c r="L147" s="1"/>
      <c r="M147" s="1">
        <v>46237</v>
      </c>
      <c r="N147" s="1"/>
      <c r="O147" s="11" t="s">
        <v>4075</v>
      </c>
    </row>
    <row r="148" spans="1:15" hidden="1" x14ac:dyDescent="0.25">
      <c r="A148" s="1">
        <v>46240</v>
      </c>
      <c r="B148">
        <v>1020475954</v>
      </c>
      <c r="C148" s="11" t="s">
        <v>3934</v>
      </c>
      <c r="D148" s="11" t="s">
        <v>68</v>
      </c>
      <c r="E148" s="11" t="s">
        <v>4040</v>
      </c>
      <c r="F148" s="11" t="s">
        <v>4123</v>
      </c>
      <c r="G148" s="1">
        <v>46238</v>
      </c>
      <c r="H148" s="1">
        <v>46240</v>
      </c>
      <c r="I148" s="2">
        <v>0.25</v>
      </c>
      <c r="J148" s="2">
        <v>0.54166666666666663</v>
      </c>
      <c r="K148" s="11" t="s">
        <v>304</v>
      </c>
      <c r="L148" s="1"/>
      <c r="M148" s="1"/>
      <c r="N148" s="1"/>
      <c r="O148" s="11"/>
    </row>
    <row r="149" spans="1:15" hidden="1" x14ac:dyDescent="0.25">
      <c r="A149" s="1">
        <v>46239</v>
      </c>
      <c r="B149">
        <v>1045718883</v>
      </c>
      <c r="C149" s="11" t="s">
        <v>34</v>
      </c>
      <c r="D149" s="11" t="s">
        <v>15</v>
      </c>
      <c r="E149" s="11" t="s">
        <v>4046</v>
      </c>
      <c r="F149" s="11" t="s">
        <v>16</v>
      </c>
      <c r="G149" s="1">
        <v>46224</v>
      </c>
      <c r="H149" s="1">
        <v>46239</v>
      </c>
      <c r="I149" s="2">
        <v>0.25</v>
      </c>
      <c r="J149" s="2">
        <v>0.54166666666666663</v>
      </c>
      <c r="K149" s="11" t="s">
        <v>301</v>
      </c>
      <c r="L149" s="1"/>
      <c r="M149" s="1"/>
      <c r="N149" s="1"/>
      <c r="O149" s="11"/>
    </row>
    <row r="150" spans="1:15" hidden="1" x14ac:dyDescent="0.25">
      <c r="A150" s="1">
        <v>46244</v>
      </c>
      <c r="B150">
        <v>1018466443</v>
      </c>
      <c r="C150" s="11" t="s">
        <v>4141</v>
      </c>
      <c r="D150" s="11" t="s">
        <v>482</v>
      </c>
      <c r="E150" s="11" t="s">
        <v>4040</v>
      </c>
      <c r="F150" s="11" t="s">
        <v>4123</v>
      </c>
      <c r="G150" s="1">
        <v>46239</v>
      </c>
      <c r="H150" s="1">
        <v>46244</v>
      </c>
      <c r="I150" s="2">
        <v>0.25</v>
      </c>
      <c r="J150" s="2">
        <v>0.58333333333333337</v>
      </c>
      <c r="K150" s="11" t="s">
        <v>232</v>
      </c>
      <c r="L150" s="1"/>
      <c r="M150" s="1"/>
      <c r="N150" s="1"/>
      <c r="O150" s="11"/>
    </row>
    <row r="151" spans="1:15" hidden="1" x14ac:dyDescent="0.25">
      <c r="A151" s="1">
        <v>46239</v>
      </c>
      <c r="B151">
        <v>1017267628</v>
      </c>
      <c r="C151" s="11" t="s">
        <v>255</v>
      </c>
      <c r="D151" s="11" t="s">
        <v>256</v>
      </c>
      <c r="E151" s="11" t="s">
        <v>4040</v>
      </c>
      <c r="F151" s="11" t="s">
        <v>4074</v>
      </c>
      <c r="G151" s="1">
        <v>46239</v>
      </c>
      <c r="H151" s="1">
        <v>46243</v>
      </c>
      <c r="I151" s="2">
        <v>0.25</v>
      </c>
      <c r="J151" s="2">
        <v>0.54166666666666663</v>
      </c>
      <c r="K151" s="11" t="s">
        <v>4060</v>
      </c>
      <c r="L151" s="1">
        <v>46242</v>
      </c>
      <c r="M151" s="1">
        <v>46237</v>
      </c>
      <c r="N151" s="1"/>
      <c r="O151" s="11" t="s">
        <v>4081</v>
      </c>
    </row>
    <row r="152" spans="1:15" hidden="1" x14ac:dyDescent="0.25">
      <c r="A152" s="1">
        <v>46239</v>
      </c>
      <c r="B152">
        <v>1143374438</v>
      </c>
      <c r="C152" s="11" t="s">
        <v>154</v>
      </c>
      <c r="D152" s="11" t="s">
        <v>28</v>
      </c>
      <c r="E152" s="11" t="s">
        <v>4046</v>
      </c>
      <c r="F152" s="11" t="s">
        <v>4074</v>
      </c>
      <c r="G152" s="1">
        <v>46239</v>
      </c>
      <c r="H152" s="1">
        <v>46268</v>
      </c>
      <c r="I152" s="2">
        <v>0.25</v>
      </c>
      <c r="J152" s="2">
        <v>0.58333333333333337</v>
      </c>
      <c r="K152" s="11" t="s">
        <v>4060</v>
      </c>
      <c r="L152" s="1">
        <v>46240</v>
      </c>
      <c r="M152" s="1">
        <v>46239</v>
      </c>
      <c r="N152" s="1"/>
      <c r="O152" s="11" t="s">
        <v>4081</v>
      </c>
    </row>
    <row r="153" spans="1:15" hidden="1" x14ac:dyDescent="0.25">
      <c r="A153" s="1">
        <v>46248</v>
      </c>
      <c r="B153">
        <v>1143374438</v>
      </c>
      <c r="C153" s="11" t="s">
        <v>154</v>
      </c>
      <c r="D153" s="11" t="s">
        <v>28</v>
      </c>
      <c r="E153" s="11" t="s">
        <v>4046</v>
      </c>
      <c r="F153" s="11" t="s">
        <v>16</v>
      </c>
      <c r="G153" s="1">
        <v>46239</v>
      </c>
      <c r="H153" s="1">
        <v>46268</v>
      </c>
      <c r="I153" s="2">
        <v>0.58333333333333337</v>
      </c>
      <c r="J153" s="2">
        <v>0.875</v>
      </c>
      <c r="K153" s="11" t="s">
        <v>327</v>
      </c>
      <c r="L153" s="1"/>
      <c r="M153" s="1"/>
      <c r="N153" s="1"/>
      <c r="O153" s="11"/>
    </row>
    <row r="154" spans="1:15" hidden="1" x14ac:dyDescent="0.25">
      <c r="A154" s="1">
        <v>46239</v>
      </c>
      <c r="B154">
        <v>42141273</v>
      </c>
      <c r="C154" s="11" t="s">
        <v>271</v>
      </c>
      <c r="D154" s="11" t="s">
        <v>272</v>
      </c>
      <c r="E154" s="11" t="s">
        <v>4056</v>
      </c>
      <c r="F154" s="11" t="s">
        <v>16</v>
      </c>
      <c r="G154" s="1">
        <v>46238</v>
      </c>
      <c r="H154" s="1">
        <v>46295</v>
      </c>
      <c r="I154" s="2">
        <v>0.25</v>
      </c>
      <c r="J154" s="2">
        <v>0.5</v>
      </c>
      <c r="K154" s="11" t="s">
        <v>268</v>
      </c>
      <c r="L154" s="1"/>
      <c r="M154" s="1"/>
      <c r="N154" s="1"/>
      <c r="O154" s="11"/>
    </row>
    <row r="155" spans="1:15" hidden="1" x14ac:dyDescent="0.25">
      <c r="A155" s="1">
        <v>46240</v>
      </c>
      <c r="B155">
        <v>1017270154</v>
      </c>
      <c r="C155" s="11" t="s">
        <v>4142</v>
      </c>
      <c r="D155" s="11" t="s">
        <v>421</v>
      </c>
      <c r="E155" s="11" t="s">
        <v>4047</v>
      </c>
      <c r="F155" s="11" t="s">
        <v>4074</v>
      </c>
      <c r="G155" s="1">
        <v>46239</v>
      </c>
      <c r="H155" s="1">
        <v>46240</v>
      </c>
      <c r="I155" s="2">
        <v>0.25</v>
      </c>
      <c r="J155" s="2">
        <v>0.54166666666666663</v>
      </c>
      <c r="K155" s="11" t="s">
        <v>4060</v>
      </c>
      <c r="L155" s="1">
        <v>46239</v>
      </c>
      <c r="M155" s="1">
        <v>46239</v>
      </c>
      <c r="N155" s="1"/>
      <c r="O155" s="11" t="s">
        <v>4081</v>
      </c>
    </row>
    <row r="156" spans="1:15" hidden="1" x14ac:dyDescent="0.25">
      <c r="A156" s="1">
        <v>46239</v>
      </c>
      <c r="B156">
        <v>1035876080</v>
      </c>
      <c r="C156" s="11" t="s">
        <v>123</v>
      </c>
      <c r="D156" s="11" t="s">
        <v>124</v>
      </c>
      <c r="E156" s="11" t="s">
        <v>4045</v>
      </c>
      <c r="F156" s="11" t="s">
        <v>4074</v>
      </c>
      <c r="G156" s="1">
        <v>46238</v>
      </c>
      <c r="H156" s="1">
        <v>46245</v>
      </c>
      <c r="I156" s="2">
        <v>0.25</v>
      </c>
      <c r="J156" s="2">
        <v>0.54166666666666663</v>
      </c>
      <c r="K156" s="11" t="s">
        <v>4060</v>
      </c>
      <c r="L156" s="1">
        <v>46245</v>
      </c>
      <c r="M156" s="1">
        <v>46245</v>
      </c>
      <c r="N156" s="1"/>
      <c r="O156" s="11" t="s">
        <v>4081</v>
      </c>
    </row>
    <row r="157" spans="1:15" hidden="1" x14ac:dyDescent="0.25">
      <c r="A157" s="1">
        <v>46239</v>
      </c>
      <c r="B157">
        <v>1003377961</v>
      </c>
      <c r="C157" s="11" t="s">
        <v>2582</v>
      </c>
      <c r="D157" s="11" t="s">
        <v>55</v>
      </c>
      <c r="E157" s="11" t="s">
        <v>4047</v>
      </c>
      <c r="F157" s="11" t="s">
        <v>16</v>
      </c>
      <c r="G157" s="1">
        <v>46239</v>
      </c>
      <c r="H157" s="1">
        <v>46239</v>
      </c>
      <c r="I157" s="2">
        <v>0.58333333333333337</v>
      </c>
      <c r="J157" s="2">
        <v>0.875</v>
      </c>
      <c r="K157" s="11" t="s">
        <v>327</v>
      </c>
      <c r="L157" s="1"/>
      <c r="M157" s="1"/>
      <c r="N157" s="1"/>
      <c r="O157" s="11"/>
    </row>
    <row r="158" spans="1:15" hidden="1" x14ac:dyDescent="0.25">
      <c r="A158" s="1">
        <v>46239</v>
      </c>
      <c r="B158">
        <v>1065664047</v>
      </c>
      <c r="C158" s="11" t="s">
        <v>1184</v>
      </c>
      <c r="D158" s="11" t="s">
        <v>162</v>
      </c>
      <c r="E158" s="11" t="s">
        <v>4056</v>
      </c>
      <c r="F158" s="11" t="s">
        <v>4074</v>
      </c>
      <c r="G158" s="1">
        <v>46239</v>
      </c>
      <c r="H158" s="1">
        <v>46240</v>
      </c>
      <c r="I158" s="2">
        <v>0.25</v>
      </c>
      <c r="J158" s="2">
        <v>0.58333333333333337</v>
      </c>
      <c r="K158" s="11" t="s">
        <v>4060</v>
      </c>
      <c r="L158" s="1">
        <v>46238</v>
      </c>
      <c r="M158" s="1">
        <v>46238</v>
      </c>
      <c r="N158" s="1"/>
      <c r="O158" s="11" t="s">
        <v>4081</v>
      </c>
    </row>
    <row r="159" spans="1:15" hidden="1" x14ac:dyDescent="0.25">
      <c r="A159" s="1">
        <v>46240</v>
      </c>
      <c r="B159">
        <v>1065664047</v>
      </c>
      <c r="C159" s="11" t="s">
        <v>1184</v>
      </c>
      <c r="D159" s="11" t="s">
        <v>162</v>
      </c>
      <c r="E159" s="11" t="s">
        <v>4056</v>
      </c>
      <c r="F159" s="11" t="s">
        <v>16</v>
      </c>
      <c r="G159" s="1">
        <v>46239</v>
      </c>
      <c r="H159" s="1">
        <v>46240</v>
      </c>
      <c r="I159" s="2">
        <v>0.58333333333333337</v>
      </c>
      <c r="J159" s="2">
        <v>0.875</v>
      </c>
      <c r="K159" s="11" t="s">
        <v>322</v>
      </c>
      <c r="L159" s="1"/>
      <c r="M159" s="1"/>
      <c r="N159" s="1"/>
      <c r="O159" s="11"/>
    </row>
    <row r="160" spans="1:15" hidden="1" x14ac:dyDescent="0.25">
      <c r="A160" s="1">
        <v>46239</v>
      </c>
      <c r="B160">
        <v>1143394119</v>
      </c>
      <c r="C160" s="11" t="s">
        <v>4143</v>
      </c>
      <c r="D160" s="11" t="s">
        <v>59</v>
      </c>
      <c r="E160" s="11" t="s">
        <v>4047</v>
      </c>
      <c r="F160" s="11" t="s">
        <v>4074</v>
      </c>
      <c r="G160" s="1">
        <v>46238</v>
      </c>
      <c r="H160" s="1">
        <v>46239</v>
      </c>
      <c r="I160" s="2">
        <v>0.54166666666666663</v>
      </c>
      <c r="J160" s="2">
        <v>0.83333333333333337</v>
      </c>
      <c r="K160" s="11" t="s">
        <v>4060</v>
      </c>
      <c r="L160" s="1">
        <v>46239</v>
      </c>
      <c r="M160" s="1">
        <v>46238</v>
      </c>
      <c r="N160" s="1"/>
      <c r="O160" s="11" t="s">
        <v>4081</v>
      </c>
    </row>
    <row r="161" spans="1:15" hidden="1" x14ac:dyDescent="0.25">
      <c r="A161" s="1">
        <v>46239</v>
      </c>
      <c r="B161">
        <v>1082896324</v>
      </c>
      <c r="C161" s="11" t="s">
        <v>127</v>
      </c>
      <c r="D161" s="11" t="s">
        <v>128</v>
      </c>
      <c r="E161" s="11" t="s">
        <v>4045</v>
      </c>
      <c r="F161" s="11" t="s">
        <v>4074</v>
      </c>
      <c r="G161" s="1">
        <v>46239</v>
      </c>
      <c r="H161" s="1">
        <v>46240</v>
      </c>
      <c r="I161" s="2">
        <v>0.25</v>
      </c>
      <c r="J161" s="2">
        <v>0.58333333333333337</v>
      </c>
      <c r="K161" s="11" t="s">
        <v>4060</v>
      </c>
      <c r="L161" s="1">
        <v>46239</v>
      </c>
      <c r="M161" s="1">
        <v>46238</v>
      </c>
      <c r="N161" s="1"/>
      <c r="O161" s="11" t="s">
        <v>4081</v>
      </c>
    </row>
    <row r="162" spans="1:15" hidden="1" x14ac:dyDescent="0.25">
      <c r="A162" s="1">
        <v>46240</v>
      </c>
      <c r="B162">
        <v>1082896324</v>
      </c>
      <c r="C162" s="11" t="s">
        <v>127</v>
      </c>
      <c r="D162" s="11" t="s">
        <v>128</v>
      </c>
      <c r="E162" s="11" t="s">
        <v>4045</v>
      </c>
      <c r="F162" s="11" t="s">
        <v>16</v>
      </c>
      <c r="G162" s="1">
        <v>46239</v>
      </c>
      <c r="H162" s="1">
        <v>46240</v>
      </c>
      <c r="I162" s="2">
        <v>0.54166666666666663</v>
      </c>
      <c r="J162" s="2">
        <v>0.70833333333333337</v>
      </c>
      <c r="K162" s="11" t="s">
        <v>1383</v>
      </c>
      <c r="L162" s="1"/>
      <c r="M162" s="1"/>
      <c r="N162" s="1"/>
      <c r="O162" s="11"/>
    </row>
    <row r="163" spans="1:15" hidden="1" x14ac:dyDescent="0.25">
      <c r="A163" s="1">
        <v>46240</v>
      </c>
      <c r="B163">
        <v>1235045754</v>
      </c>
      <c r="C163" s="11" t="s">
        <v>2420</v>
      </c>
      <c r="D163" s="11" t="s">
        <v>421</v>
      </c>
      <c r="E163" s="11" t="s">
        <v>4047</v>
      </c>
      <c r="F163" s="11" t="s">
        <v>16</v>
      </c>
      <c r="G163" s="1">
        <v>46238</v>
      </c>
      <c r="H163" s="1">
        <v>46240</v>
      </c>
      <c r="I163" s="2">
        <v>0.54166666666666663</v>
      </c>
      <c r="J163" s="2">
        <v>0.875</v>
      </c>
      <c r="K163" s="11" t="s">
        <v>111</v>
      </c>
      <c r="L163" s="1"/>
      <c r="M163" s="1"/>
      <c r="N163" s="1"/>
      <c r="O163" s="11"/>
    </row>
    <row r="164" spans="1:15" hidden="1" x14ac:dyDescent="0.25">
      <c r="A164" s="1">
        <v>46240</v>
      </c>
      <c r="B164">
        <v>1005569691</v>
      </c>
      <c r="C164" s="11" t="s">
        <v>3651</v>
      </c>
      <c r="D164" s="11" t="s">
        <v>256</v>
      </c>
      <c r="E164" s="11" t="s">
        <v>4040</v>
      </c>
      <c r="F164" s="11" t="s">
        <v>16</v>
      </c>
      <c r="G164" s="1">
        <v>46239</v>
      </c>
      <c r="H164" s="1">
        <v>46240</v>
      </c>
      <c r="I164" s="2">
        <v>0.58333333333333337</v>
      </c>
      <c r="J164" s="2">
        <v>0.875</v>
      </c>
      <c r="K164" s="11" t="s">
        <v>298</v>
      </c>
      <c r="L164" s="1"/>
      <c r="M164" s="1"/>
      <c r="N164" s="1"/>
      <c r="O164" s="11"/>
    </row>
    <row r="165" spans="1:15" hidden="1" x14ac:dyDescent="0.25">
      <c r="A165" s="1">
        <v>46240</v>
      </c>
      <c r="B165">
        <v>1001014608</v>
      </c>
      <c r="C165" s="11" t="s">
        <v>573</v>
      </c>
      <c r="D165" s="11" t="s">
        <v>55</v>
      </c>
      <c r="E165" s="11" t="s">
        <v>4047</v>
      </c>
      <c r="F165" s="11" t="s">
        <v>4074</v>
      </c>
      <c r="G165" s="1">
        <v>46239</v>
      </c>
      <c r="H165" s="1">
        <v>46268</v>
      </c>
      <c r="I165" s="2">
        <v>0.58333333333333337</v>
      </c>
      <c r="J165" s="2">
        <v>0.875</v>
      </c>
      <c r="K165" s="11" t="s">
        <v>4060</v>
      </c>
      <c r="L165" s="1"/>
      <c r="M165" s="1">
        <v>46239</v>
      </c>
      <c r="N165" s="1"/>
      <c r="O165" s="11" t="s">
        <v>4075</v>
      </c>
    </row>
    <row r="166" spans="1:15" hidden="1" x14ac:dyDescent="0.25">
      <c r="A166" s="1">
        <v>46242</v>
      </c>
      <c r="B166">
        <v>1001014608</v>
      </c>
      <c r="C166" s="11" t="s">
        <v>573</v>
      </c>
      <c r="D166" s="11" t="s">
        <v>55</v>
      </c>
      <c r="E166" s="11" t="s">
        <v>4047</v>
      </c>
      <c r="F166" s="11" t="s">
        <v>16</v>
      </c>
      <c r="G166" s="1">
        <v>46239</v>
      </c>
      <c r="H166" s="1">
        <v>46268</v>
      </c>
      <c r="I166" s="2"/>
      <c r="J166" s="2"/>
      <c r="K166" s="11" t="s">
        <v>341</v>
      </c>
      <c r="L166" s="1"/>
      <c r="M166" s="1"/>
      <c r="N166" s="1"/>
      <c r="O166" s="11"/>
    </row>
    <row r="167" spans="1:15" hidden="1" x14ac:dyDescent="0.25">
      <c r="A167" s="1">
        <v>46239</v>
      </c>
      <c r="B167">
        <v>1041901478</v>
      </c>
      <c r="C167" s="11" t="s">
        <v>405</v>
      </c>
      <c r="D167" s="11" t="s">
        <v>256</v>
      </c>
      <c r="E167" s="11" t="s">
        <v>4040</v>
      </c>
      <c r="F167" s="11" t="s">
        <v>4074</v>
      </c>
      <c r="G167" s="1">
        <v>46239</v>
      </c>
      <c r="H167" s="1">
        <v>46240</v>
      </c>
      <c r="I167" s="2">
        <v>0.25</v>
      </c>
      <c r="J167" s="2">
        <v>0.58333333333333337</v>
      </c>
      <c r="K167" s="11" t="s">
        <v>4060</v>
      </c>
      <c r="L167" s="1">
        <v>46239</v>
      </c>
      <c r="M167" s="1">
        <v>46239</v>
      </c>
      <c r="N167" s="1"/>
      <c r="O167" s="11" t="s">
        <v>4081</v>
      </c>
    </row>
    <row r="168" spans="1:15" hidden="1" x14ac:dyDescent="0.25">
      <c r="A168" s="1">
        <v>46240</v>
      </c>
      <c r="B168">
        <v>1041901478</v>
      </c>
      <c r="C168" s="11" t="s">
        <v>405</v>
      </c>
      <c r="D168" s="11" t="s">
        <v>256</v>
      </c>
      <c r="E168" s="11" t="s">
        <v>4040</v>
      </c>
      <c r="F168" s="11" t="s">
        <v>16</v>
      </c>
      <c r="G168" s="1">
        <v>46239</v>
      </c>
      <c r="H168" s="1">
        <v>46240</v>
      </c>
      <c r="I168" s="2">
        <v>0.54166666666666663</v>
      </c>
      <c r="J168" s="2">
        <v>0.875</v>
      </c>
      <c r="K168" s="11" t="s">
        <v>1408</v>
      </c>
      <c r="L168" s="1"/>
      <c r="M168" s="1"/>
      <c r="N168" s="1"/>
      <c r="O168" s="11"/>
    </row>
    <row r="169" spans="1:15" hidden="1" x14ac:dyDescent="0.25">
      <c r="A169" s="1">
        <v>46240</v>
      </c>
      <c r="B169">
        <v>1192923605</v>
      </c>
      <c r="C169" s="11" t="s">
        <v>395</v>
      </c>
      <c r="D169" s="11" t="s">
        <v>272</v>
      </c>
      <c r="E169" s="11" t="s">
        <v>4056</v>
      </c>
      <c r="F169" s="11" t="s">
        <v>16</v>
      </c>
      <c r="G169" s="1">
        <v>46239</v>
      </c>
      <c r="H169" s="1">
        <v>46240</v>
      </c>
      <c r="I169" s="2">
        <v>0.54166666666666663</v>
      </c>
      <c r="J169" s="2">
        <v>0.875</v>
      </c>
      <c r="K169" s="11" t="s">
        <v>268</v>
      </c>
      <c r="L169" s="1"/>
      <c r="M169" s="1"/>
      <c r="N169" s="1"/>
      <c r="O169" s="11"/>
    </row>
    <row r="170" spans="1:15" hidden="1" x14ac:dyDescent="0.25">
      <c r="A170" s="1">
        <v>46239</v>
      </c>
      <c r="B170">
        <v>1036670630</v>
      </c>
      <c r="C170" s="11" t="s">
        <v>1163</v>
      </c>
      <c r="D170" s="11" t="s">
        <v>51</v>
      </c>
      <c r="E170" s="11" t="s">
        <v>4047</v>
      </c>
      <c r="F170" s="11" t="s">
        <v>4074</v>
      </c>
      <c r="G170" s="1">
        <v>46239</v>
      </c>
      <c r="H170" s="1">
        <v>46239</v>
      </c>
      <c r="I170" s="2"/>
      <c r="J170" s="2"/>
      <c r="K170" s="11" t="s">
        <v>4060</v>
      </c>
      <c r="L170" s="1">
        <v>46239</v>
      </c>
      <c r="M170" s="1">
        <v>46239</v>
      </c>
      <c r="N170" s="1"/>
      <c r="O170" s="11" t="s">
        <v>4081</v>
      </c>
    </row>
    <row r="171" spans="1:15" hidden="1" x14ac:dyDescent="0.25">
      <c r="A171" s="1">
        <v>46239</v>
      </c>
      <c r="B171">
        <v>1026156098</v>
      </c>
      <c r="C171" s="11" t="s">
        <v>3553</v>
      </c>
      <c r="D171" s="11" t="s">
        <v>15</v>
      </c>
      <c r="E171" s="11" t="s">
        <v>4046</v>
      </c>
      <c r="F171" s="11" t="s">
        <v>4074</v>
      </c>
      <c r="G171" s="1">
        <v>46239</v>
      </c>
      <c r="H171" s="1">
        <v>46240</v>
      </c>
      <c r="I171" s="2">
        <v>0.58333333333333337</v>
      </c>
      <c r="J171" s="2">
        <v>0.875</v>
      </c>
      <c r="K171" s="11" t="s">
        <v>4060</v>
      </c>
      <c r="L171" s="1">
        <v>46239</v>
      </c>
      <c r="M171" s="1">
        <v>46239</v>
      </c>
      <c r="N171" s="1"/>
      <c r="O171" s="11" t="s">
        <v>4081</v>
      </c>
    </row>
    <row r="172" spans="1:15" hidden="1" x14ac:dyDescent="0.25">
      <c r="A172" s="1">
        <v>46240</v>
      </c>
      <c r="B172">
        <v>1026156098</v>
      </c>
      <c r="C172" s="11" t="s">
        <v>3553</v>
      </c>
      <c r="D172" s="11" t="s">
        <v>15</v>
      </c>
      <c r="E172" s="11" t="s">
        <v>4046</v>
      </c>
      <c r="F172" s="11" t="s">
        <v>16</v>
      </c>
      <c r="G172" s="1">
        <v>46239</v>
      </c>
      <c r="H172" s="1">
        <v>46240</v>
      </c>
      <c r="I172" s="2">
        <v>0.25</v>
      </c>
      <c r="J172" s="2">
        <v>0.58333333333333337</v>
      </c>
      <c r="K172" s="11" t="s">
        <v>178</v>
      </c>
      <c r="L172" s="1"/>
      <c r="M172" s="1"/>
      <c r="N172" s="1"/>
      <c r="O172" s="11"/>
    </row>
    <row r="173" spans="1:15" hidden="1" x14ac:dyDescent="0.25">
      <c r="A173" s="1">
        <v>46239</v>
      </c>
      <c r="B173">
        <v>1128458157</v>
      </c>
      <c r="C173" s="11" t="s">
        <v>2784</v>
      </c>
      <c r="D173" s="11" t="s">
        <v>256</v>
      </c>
      <c r="E173" s="11" t="s">
        <v>4040</v>
      </c>
      <c r="F173" s="11" t="s">
        <v>4074</v>
      </c>
      <c r="G173" s="1">
        <v>46239</v>
      </c>
      <c r="H173" s="1">
        <v>46240</v>
      </c>
      <c r="I173" s="2">
        <v>0.58333333333333337</v>
      </c>
      <c r="J173" s="2">
        <v>0.875</v>
      </c>
      <c r="K173" s="11" t="s">
        <v>4060</v>
      </c>
      <c r="L173" s="1">
        <v>46239</v>
      </c>
      <c r="M173" s="1">
        <v>46239</v>
      </c>
      <c r="N173" s="1"/>
      <c r="O173" s="11" t="s">
        <v>4081</v>
      </c>
    </row>
    <row r="174" spans="1:15" hidden="1" x14ac:dyDescent="0.25">
      <c r="A174" s="1">
        <v>46240</v>
      </c>
      <c r="B174">
        <v>1128458157</v>
      </c>
      <c r="C174" s="11" t="s">
        <v>2784</v>
      </c>
      <c r="D174" s="11" t="s">
        <v>256</v>
      </c>
      <c r="E174" s="11" t="s">
        <v>4040</v>
      </c>
      <c r="F174" s="11" t="s">
        <v>16</v>
      </c>
      <c r="G174" s="1">
        <v>46239</v>
      </c>
      <c r="H174" s="1">
        <v>46240</v>
      </c>
      <c r="I174" s="2">
        <v>0.58333333333333337</v>
      </c>
      <c r="J174" s="2">
        <v>0.875</v>
      </c>
      <c r="K174" s="11" t="s">
        <v>327</v>
      </c>
      <c r="L174" s="1"/>
      <c r="M174" s="1"/>
      <c r="N174" s="1"/>
      <c r="O174" s="11"/>
    </row>
    <row r="175" spans="1:15" hidden="1" x14ac:dyDescent="0.25">
      <c r="A175" s="1">
        <v>46240</v>
      </c>
      <c r="B175">
        <v>1065850707</v>
      </c>
      <c r="C175" s="11" t="s">
        <v>2743</v>
      </c>
      <c r="D175" s="11" t="s">
        <v>124</v>
      </c>
      <c r="E175" s="11" t="s">
        <v>4045</v>
      </c>
      <c r="F175" s="11" t="s">
        <v>4074</v>
      </c>
      <c r="G175" s="1">
        <v>46239</v>
      </c>
      <c r="H175" s="1">
        <v>46240</v>
      </c>
      <c r="I175" s="2">
        <v>0.54166666666666663</v>
      </c>
      <c r="J175" s="2">
        <v>0.875</v>
      </c>
      <c r="K175" s="11" t="s">
        <v>4060</v>
      </c>
      <c r="L175" s="1">
        <v>46239</v>
      </c>
      <c r="M175" s="1">
        <v>46239</v>
      </c>
      <c r="N175" s="1"/>
      <c r="O175" s="11" t="s">
        <v>4081</v>
      </c>
    </row>
    <row r="176" spans="1:15" hidden="1" x14ac:dyDescent="0.25">
      <c r="A176" s="1">
        <v>46239</v>
      </c>
      <c r="B176">
        <v>1007223463</v>
      </c>
      <c r="C176" s="11" t="s">
        <v>561</v>
      </c>
      <c r="D176" s="11" t="s">
        <v>4078</v>
      </c>
      <c r="E176" s="11" t="s">
        <v>4056</v>
      </c>
      <c r="F176" s="11" t="s">
        <v>4099</v>
      </c>
      <c r="G176" s="1">
        <v>46239</v>
      </c>
      <c r="H176" s="1">
        <v>46239</v>
      </c>
      <c r="I176" s="2">
        <v>0.45833333333333331</v>
      </c>
      <c r="J176" s="2">
        <v>0.5</v>
      </c>
      <c r="K176" s="11" t="s">
        <v>339</v>
      </c>
      <c r="L176" s="1"/>
      <c r="M176" s="1"/>
      <c r="N176" s="1"/>
      <c r="O176" s="11"/>
    </row>
    <row r="177" spans="1:15" hidden="1" x14ac:dyDescent="0.25">
      <c r="A177" s="1">
        <v>46240</v>
      </c>
      <c r="B177">
        <v>1143394119</v>
      </c>
      <c r="C177" s="11" t="s">
        <v>917</v>
      </c>
      <c r="D177" s="11" t="s">
        <v>59</v>
      </c>
      <c r="E177" s="11" t="s">
        <v>4047</v>
      </c>
      <c r="F177" s="11" t="s">
        <v>4074</v>
      </c>
      <c r="G177" s="1">
        <v>46239</v>
      </c>
      <c r="H177" s="1">
        <v>46239</v>
      </c>
      <c r="I177" s="2">
        <v>0.25</v>
      </c>
      <c r="J177" s="2">
        <v>0.79166666666666663</v>
      </c>
      <c r="K177" s="11" t="s">
        <v>4144</v>
      </c>
      <c r="L177" s="1">
        <v>46239</v>
      </c>
      <c r="M177" s="1">
        <v>46238</v>
      </c>
      <c r="N177" s="1"/>
      <c r="O177" s="11" t="s">
        <v>4081</v>
      </c>
    </row>
    <row r="178" spans="1:15" hidden="1" x14ac:dyDescent="0.25">
      <c r="A178" s="1">
        <v>46245</v>
      </c>
      <c r="B178">
        <v>1035876080</v>
      </c>
      <c r="C178" s="11" t="s">
        <v>123</v>
      </c>
      <c r="D178" s="11" t="s">
        <v>124</v>
      </c>
      <c r="E178" s="11" t="s">
        <v>4045</v>
      </c>
      <c r="F178" s="11" t="s">
        <v>16</v>
      </c>
      <c r="G178" s="1">
        <v>46239</v>
      </c>
      <c r="H178" s="1">
        <v>46245</v>
      </c>
      <c r="I178" s="2">
        <v>0.25</v>
      </c>
      <c r="J178" s="2">
        <v>0.54166666666666663</v>
      </c>
      <c r="K178" s="11" t="s">
        <v>120</v>
      </c>
      <c r="L178" s="1"/>
      <c r="M178" s="1"/>
      <c r="N178" s="1"/>
      <c r="O178" s="11"/>
    </row>
    <row r="179" spans="1:15" hidden="1" x14ac:dyDescent="0.25">
      <c r="A179" s="1">
        <v>46240</v>
      </c>
      <c r="B179" t="s">
        <v>4148</v>
      </c>
      <c r="C179" s="11" t="s">
        <v>4137</v>
      </c>
      <c r="D179" s="11" t="s">
        <v>634</v>
      </c>
      <c r="E179" s="11" t="s">
        <v>4045</v>
      </c>
      <c r="F179" s="11" t="s">
        <v>4074</v>
      </c>
      <c r="G179" s="1">
        <v>46240</v>
      </c>
      <c r="H179" s="1">
        <v>46240</v>
      </c>
      <c r="I179" s="2">
        <v>0.58333333333333337</v>
      </c>
      <c r="J179" s="2">
        <v>0.875</v>
      </c>
      <c r="K179" s="11" t="s">
        <v>4149</v>
      </c>
      <c r="L179" s="1">
        <v>46240</v>
      </c>
      <c r="M179" s="1">
        <v>46239</v>
      </c>
      <c r="N179" s="1"/>
      <c r="O179" s="11" t="s">
        <v>4081</v>
      </c>
    </row>
    <row r="180" spans="1:15" hidden="1" x14ac:dyDescent="0.25">
      <c r="A180" s="1">
        <v>46240</v>
      </c>
      <c r="B180">
        <v>1045718883</v>
      </c>
      <c r="C180" s="11" t="s">
        <v>34</v>
      </c>
      <c r="D180" s="11" t="s">
        <v>15</v>
      </c>
      <c r="E180" s="11" t="s">
        <v>4046</v>
      </c>
      <c r="F180" s="11" t="s">
        <v>4074</v>
      </c>
      <c r="G180" s="1">
        <v>46239</v>
      </c>
      <c r="H180" s="1">
        <v>46249</v>
      </c>
      <c r="I180" s="2">
        <v>0.25</v>
      </c>
      <c r="J180" s="2">
        <v>0.54166666666666663</v>
      </c>
      <c r="K180" s="11" t="s">
        <v>4060</v>
      </c>
      <c r="L180" s="1">
        <v>46240</v>
      </c>
      <c r="M180" s="1">
        <v>46240</v>
      </c>
      <c r="N180" s="1"/>
      <c r="O180" s="11" t="s">
        <v>4081</v>
      </c>
    </row>
    <row r="181" spans="1:15" hidden="1" x14ac:dyDescent="0.25">
      <c r="A181" s="1">
        <v>46244</v>
      </c>
      <c r="B181">
        <v>1045718883</v>
      </c>
      <c r="C181" s="11" t="s">
        <v>34</v>
      </c>
      <c r="D181" s="11" t="s">
        <v>15</v>
      </c>
      <c r="E181" s="11" t="s">
        <v>4046</v>
      </c>
      <c r="F181" s="11" t="s">
        <v>16</v>
      </c>
      <c r="G181" s="1">
        <v>46239</v>
      </c>
      <c r="H181" s="1">
        <v>46249</v>
      </c>
      <c r="I181" s="2">
        <v>0.54166666666666663</v>
      </c>
      <c r="J181" s="2">
        <v>0.875</v>
      </c>
      <c r="K181" s="11" t="s">
        <v>327</v>
      </c>
      <c r="L181" s="1"/>
      <c r="M181" s="1"/>
      <c r="N181" s="1"/>
      <c r="O181" s="11"/>
    </row>
    <row r="182" spans="1:15" hidden="1" x14ac:dyDescent="0.25">
      <c r="A182" s="1">
        <v>46240</v>
      </c>
      <c r="B182">
        <v>1010135017</v>
      </c>
      <c r="C182" s="11" t="s">
        <v>1311</v>
      </c>
      <c r="D182" s="11" t="s">
        <v>256</v>
      </c>
      <c r="E182" s="11" t="s">
        <v>4040</v>
      </c>
      <c r="F182" s="11" t="s">
        <v>4074</v>
      </c>
      <c r="G182" s="1">
        <v>46239</v>
      </c>
      <c r="H182" s="1"/>
      <c r="I182" s="2">
        <v>0.54166666666666663</v>
      </c>
      <c r="J182" s="2">
        <v>0.875</v>
      </c>
      <c r="K182" s="11" t="s">
        <v>4060</v>
      </c>
      <c r="L182" s="1"/>
      <c r="M182" s="1"/>
      <c r="N182" s="1">
        <v>46240</v>
      </c>
      <c r="O182" s="11" t="s">
        <v>4075</v>
      </c>
    </row>
    <row r="183" spans="1:15" hidden="1" x14ac:dyDescent="0.25">
      <c r="A183" s="1">
        <v>46240</v>
      </c>
      <c r="B183">
        <v>1072648283</v>
      </c>
      <c r="C183" s="11" t="s">
        <v>828</v>
      </c>
      <c r="D183" s="11" t="s">
        <v>272</v>
      </c>
      <c r="E183" s="11" t="s">
        <v>4056</v>
      </c>
      <c r="F183" s="11" t="s">
        <v>4074</v>
      </c>
      <c r="G183" s="1">
        <v>46240</v>
      </c>
      <c r="H183" s="1">
        <v>46240</v>
      </c>
      <c r="I183" s="2">
        <v>0.54166666666666663</v>
      </c>
      <c r="J183" s="2">
        <v>0.875</v>
      </c>
      <c r="K183" s="11" t="s">
        <v>4092</v>
      </c>
      <c r="L183" s="1">
        <v>46240</v>
      </c>
      <c r="M183" s="1">
        <v>46240</v>
      </c>
      <c r="N183" s="1"/>
      <c r="O183" s="11" t="s">
        <v>4081</v>
      </c>
    </row>
    <row r="184" spans="1:15" hidden="1" x14ac:dyDescent="0.25">
      <c r="A184" s="1">
        <v>46242</v>
      </c>
      <c r="B184">
        <v>1072648283</v>
      </c>
      <c r="C184" s="11" t="s">
        <v>828</v>
      </c>
      <c r="D184" s="11" t="s">
        <v>272</v>
      </c>
      <c r="E184" s="11" t="s">
        <v>4056</v>
      </c>
      <c r="F184" s="11" t="s">
        <v>16</v>
      </c>
      <c r="G184" s="1">
        <v>46240</v>
      </c>
      <c r="H184" s="1">
        <v>46240</v>
      </c>
      <c r="I184" s="2"/>
      <c r="J184" s="2"/>
      <c r="K184" s="11" t="s">
        <v>4083</v>
      </c>
      <c r="L184" s="1"/>
      <c r="M184" s="1"/>
      <c r="N184" s="1"/>
      <c r="O184" s="11"/>
    </row>
    <row r="185" spans="1:15" hidden="1" x14ac:dyDescent="0.25">
      <c r="A185" s="1">
        <v>46242</v>
      </c>
      <c r="B185">
        <v>1001853191</v>
      </c>
      <c r="C185" s="11" t="s">
        <v>3240</v>
      </c>
      <c r="D185" s="11" t="s">
        <v>15</v>
      </c>
      <c r="E185" s="11" t="s">
        <v>4046</v>
      </c>
      <c r="F185" s="11" t="s">
        <v>16</v>
      </c>
      <c r="G185" s="1">
        <v>46240</v>
      </c>
      <c r="H185" s="1">
        <v>46242</v>
      </c>
      <c r="I185" s="2">
        <v>0.45833333333333331</v>
      </c>
      <c r="J185" s="2">
        <v>0.875</v>
      </c>
      <c r="K185" s="11" t="s">
        <v>74</v>
      </c>
      <c r="L185" s="1"/>
      <c r="M185" s="1"/>
      <c r="N185" s="1"/>
      <c r="O185" s="11"/>
    </row>
    <row r="186" spans="1:15" hidden="1" x14ac:dyDescent="0.25">
      <c r="A186" s="1">
        <v>46240</v>
      </c>
      <c r="B186">
        <v>1006490561</v>
      </c>
      <c r="C186" s="11" t="s">
        <v>4151</v>
      </c>
      <c r="D186" s="11" t="s">
        <v>482</v>
      </c>
      <c r="E186" s="11" t="s">
        <v>4040</v>
      </c>
      <c r="F186" s="11" t="s">
        <v>4074</v>
      </c>
      <c r="G186" s="1">
        <v>46240</v>
      </c>
      <c r="H186" s="1">
        <v>46242</v>
      </c>
      <c r="I186" s="2">
        <v>0.25</v>
      </c>
      <c r="J186" s="2">
        <v>0.58333333333333337</v>
      </c>
      <c r="K186" s="11" t="s">
        <v>4060</v>
      </c>
      <c r="L186" s="1">
        <v>46240</v>
      </c>
      <c r="M186" s="1">
        <v>46239</v>
      </c>
      <c r="N186" s="1"/>
      <c r="O186" s="11" t="s">
        <v>4081</v>
      </c>
    </row>
    <row r="187" spans="1:15" hidden="1" x14ac:dyDescent="0.25">
      <c r="A187" s="1">
        <v>46242</v>
      </c>
      <c r="B187">
        <v>1006490561</v>
      </c>
      <c r="C187" s="11" t="s">
        <v>4151</v>
      </c>
      <c r="D187" s="11" t="s">
        <v>482</v>
      </c>
      <c r="E187" s="11" t="s">
        <v>4040</v>
      </c>
      <c r="F187" s="11" t="s">
        <v>16</v>
      </c>
      <c r="G187" s="1">
        <v>46240</v>
      </c>
      <c r="H187" s="1">
        <v>46242</v>
      </c>
      <c r="I187" s="2">
        <v>0.25</v>
      </c>
      <c r="J187" s="2">
        <v>0.66666666666666663</v>
      </c>
      <c r="K187" s="11" t="s">
        <v>310</v>
      </c>
      <c r="L187" s="1"/>
      <c r="M187" s="1"/>
      <c r="N187" s="1"/>
      <c r="O187" s="11"/>
    </row>
    <row r="188" spans="1:15" hidden="1" x14ac:dyDescent="0.25">
      <c r="A188" s="1">
        <v>46240</v>
      </c>
      <c r="B188">
        <v>1193537336</v>
      </c>
      <c r="C188" s="11" t="s">
        <v>2134</v>
      </c>
      <c r="D188" s="11" t="s">
        <v>492</v>
      </c>
      <c r="E188" s="11" t="s">
        <v>4045</v>
      </c>
      <c r="F188" s="11" t="s">
        <v>4074</v>
      </c>
      <c r="G188" s="1">
        <v>46240</v>
      </c>
      <c r="H188" s="1">
        <v>46240</v>
      </c>
      <c r="I188" s="2"/>
      <c r="J188" s="2"/>
      <c r="K188" s="11" t="s">
        <v>4083</v>
      </c>
      <c r="L188" s="1">
        <v>46240</v>
      </c>
      <c r="M188" s="1">
        <v>46240</v>
      </c>
      <c r="N188" s="1"/>
      <c r="O188" s="11" t="s">
        <v>4081</v>
      </c>
    </row>
    <row r="189" spans="1:15" hidden="1" x14ac:dyDescent="0.25">
      <c r="A189" s="1">
        <v>46240</v>
      </c>
      <c r="B189">
        <v>1083048455</v>
      </c>
      <c r="C189" s="11" t="s">
        <v>2787</v>
      </c>
      <c r="D189" s="11" t="s">
        <v>256</v>
      </c>
      <c r="E189" s="11" t="s">
        <v>4040</v>
      </c>
      <c r="F189" s="11" t="s">
        <v>4074</v>
      </c>
      <c r="G189" s="1">
        <v>46240</v>
      </c>
      <c r="H189" s="1">
        <v>46240</v>
      </c>
      <c r="I189" s="2">
        <v>0.25</v>
      </c>
      <c r="J189" s="2">
        <v>0.54166666666666663</v>
      </c>
      <c r="K189" s="11" t="s">
        <v>4060</v>
      </c>
      <c r="L189" s="1">
        <v>46240</v>
      </c>
      <c r="M189" s="1">
        <v>46240</v>
      </c>
      <c r="N189" s="1"/>
      <c r="O189" s="11" t="s">
        <v>4081</v>
      </c>
    </row>
    <row r="190" spans="1:15" hidden="1" x14ac:dyDescent="0.25">
      <c r="A190" s="1">
        <v>46240</v>
      </c>
      <c r="B190">
        <v>1042422897</v>
      </c>
      <c r="C190" s="11" t="s">
        <v>4100</v>
      </c>
      <c r="D190" s="11" t="s">
        <v>256</v>
      </c>
      <c r="E190" s="11" t="s">
        <v>4040</v>
      </c>
      <c r="F190" s="11" t="s">
        <v>4074</v>
      </c>
      <c r="G190" s="1">
        <v>46240</v>
      </c>
      <c r="H190" s="1"/>
      <c r="I190" s="2">
        <v>0.58333333333333337</v>
      </c>
      <c r="J190" s="2">
        <v>0.875</v>
      </c>
      <c r="K190" s="11" t="s">
        <v>4060</v>
      </c>
      <c r="L190" s="1"/>
      <c r="M190" s="1"/>
      <c r="N190" s="1"/>
      <c r="O190" s="11"/>
    </row>
    <row r="191" spans="1:15" hidden="1" x14ac:dyDescent="0.25">
      <c r="A191" s="1">
        <v>46240</v>
      </c>
      <c r="B191">
        <v>1007959114</v>
      </c>
      <c r="C191" s="11" t="s">
        <v>4153</v>
      </c>
      <c r="D191" s="11" t="s">
        <v>39</v>
      </c>
      <c r="E191" s="11" t="s">
        <v>4046</v>
      </c>
      <c r="F191" s="11" t="s">
        <v>4074</v>
      </c>
      <c r="G191" s="1">
        <v>46240</v>
      </c>
      <c r="H191" s="1">
        <v>46240</v>
      </c>
      <c r="I191" s="2">
        <v>0.25</v>
      </c>
      <c r="J191" s="2">
        <v>0.54166666666666663</v>
      </c>
      <c r="K191" s="11" t="s">
        <v>4060</v>
      </c>
      <c r="L191" s="1">
        <v>46240</v>
      </c>
      <c r="M191" s="1">
        <v>46240</v>
      </c>
      <c r="N191" s="1"/>
      <c r="O191" s="11" t="s">
        <v>4081</v>
      </c>
    </row>
    <row r="192" spans="1:15" hidden="1" x14ac:dyDescent="0.25">
      <c r="A192" s="1">
        <v>46242</v>
      </c>
      <c r="B192">
        <v>1084253148</v>
      </c>
      <c r="C192" s="11" t="s">
        <v>1125</v>
      </c>
      <c r="D192" s="11" t="s">
        <v>272</v>
      </c>
      <c r="E192" s="11" t="s">
        <v>4056</v>
      </c>
      <c r="F192" s="11" t="s">
        <v>4074</v>
      </c>
      <c r="G192" s="1">
        <v>46240</v>
      </c>
      <c r="H192" s="1">
        <v>46240</v>
      </c>
      <c r="I192" s="2"/>
      <c r="J192" s="2"/>
      <c r="K192" s="11" t="s">
        <v>4083</v>
      </c>
      <c r="L192" s="1"/>
      <c r="M192" s="1"/>
      <c r="N192" s="1">
        <v>46261</v>
      </c>
      <c r="O192" s="11" t="s">
        <v>4075</v>
      </c>
    </row>
    <row r="193" spans="1:15" hidden="1" x14ac:dyDescent="0.25">
      <c r="A193" s="1">
        <v>46240</v>
      </c>
      <c r="B193">
        <v>45529043</v>
      </c>
      <c r="C193" s="11" t="s">
        <v>798</v>
      </c>
      <c r="D193" s="11" t="s">
        <v>344</v>
      </c>
      <c r="E193" s="11" t="s">
        <v>4056</v>
      </c>
      <c r="F193" s="11" t="s">
        <v>16</v>
      </c>
      <c r="G193" s="1">
        <v>46240</v>
      </c>
      <c r="H193" s="1">
        <v>46240</v>
      </c>
      <c r="I193" s="2">
        <v>0.25</v>
      </c>
      <c r="J193" s="2">
        <v>0.58333333333333337</v>
      </c>
      <c r="K193" s="11" t="s">
        <v>4155</v>
      </c>
      <c r="L193" s="1"/>
      <c r="M193" s="1"/>
      <c r="N193" s="1"/>
      <c r="O193" s="11"/>
    </row>
    <row r="194" spans="1:15" hidden="1" x14ac:dyDescent="0.25">
      <c r="A194" s="1">
        <v>46240</v>
      </c>
      <c r="B194">
        <v>1214717629</v>
      </c>
      <c r="C194" s="11" t="s">
        <v>3086</v>
      </c>
      <c r="D194" s="11" t="s">
        <v>482</v>
      </c>
      <c r="E194" s="11" t="s">
        <v>4040</v>
      </c>
      <c r="F194" s="11" t="s">
        <v>4074</v>
      </c>
      <c r="G194" s="1">
        <v>46240</v>
      </c>
      <c r="H194" s="1">
        <v>46240</v>
      </c>
      <c r="I194" s="2">
        <v>0.54166666666666663</v>
      </c>
      <c r="J194" s="2">
        <v>0.875</v>
      </c>
      <c r="K194" s="11" t="s">
        <v>4060</v>
      </c>
      <c r="L194" s="1">
        <v>46240</v>
      </c>
      <c r="M194" s="1">
        <v>46240</v>
      </c>
      <c r="N194" s="1"/>
      <c r="O194" s="11" t="s">
        <v>4081</v>
      </c>
    </row>
    <row r="195" spans="1:15" hidden="1" x14ac:dyDescent="0.25">
      <c r="A195" s="1">
        <v>46240</v>
      </c>
      <c r="B195">
        <v>1010039979</v>
      </c>
      <c r="C195" s="11" t="s">
        <v>3909</v>
      </c>
      <c r="D195" s="11" t="s">
        <v>128</v>
      </c>
      <c r="E195" s="11" t="s">
        <v>4045</v>
      </c>
      <c r="F195" s="11" t="s">
        <v>16</v>
      </c>
      <c r="G195" s="1">
        <v>46240</v>
      </c>
      <c r="H195" s="1">
        <v>46240</v>
      </c>
      <c r="I195" s="2">
        <v>0.58333333333333337</v>
      </c>
      <c r="J195" s="2">
        <v>0.875</v>
      </c>
      <c r="K195" s="11" t="s">
        <v>4060</v>
      </c>
      <c r="L195" s="1"/>
      <c r="M195" s="1"/>
      <c r="N195" s="1"/>
      <c r="O195" s="11"/>
    </row>
    <row r="196" spans="1:15" hidden="1" x14ac:dyDescent="0.25">
      <c r="A196" s="1">
        <v>46240</v>
      </c>
      <c r="B196">
        <v>1214743963</v>
      </c>
      <c r="C196" s="11" t="s">
        <v>1573</v>
      </c>
      <c r="D196" s="11" t="s">
        <v>256</v>
      </c>
      <c r="E196" s="11" t="s">
        <v>4040</v>
      </c>
      <c r="F196" s="11" t="s">
        <v>16</v>
      </c>
      <c r="G196" s="1">
        <v>46240</v>
      </c>
      <c r="H196" s="1">
        <v>46240</v>
      </c>
      <c r="I196" s="2">
        <v>0.58333333333333337</v>
      </c>
      <c r="J196" s="2">
        <v>0.875</v>
      </c>
      <c r="K196" s="11" t="s">
        <v>4060</v>
      </c>
      <c r="L196" s="1"/>
      <c r="M196" s="1"/>
      <c r="N196" s="1"/>
      <c r="O196" s="11"/>
    </row>
    <row r="197" spans="1:15" hidden="1" x14ac:dyDescent="0.25">
      <c r="A197" s="1">
        <v>46240</v>
      </c>
      <c r="B197">
        <v>1039462842</v>
      </c>
      <c r="C197" s="11" t="s">
        <v>503</v>
      </c>
      <c r="D197" s="11" t="s">
        <v>128</v>
      </c>
      <c r="E197" s="11" t="s">
        <v>4045</v>
      </c>
      <c r="F197" s="11" t="s">
        <v>16</v>
      </c>
      <c r="G197" s="1">
        <v>46240</v>
      </c>
      <c r="H197" s="1">
        <v>46240</v>
      </c>
      <c r="I197" s="2">
        <v>0.54166666666666663</v>
      </c>
      <c r="J197" s="2">
        <v>0.875</v>
      </c>
      <c r="K197" s="11" t="s">
        <v>4060</v>
      </c>
      <c r="L197" s="1"/>
      <c r="M197" s="1"/>
      <c r="N197" s="1"/>
      <c r="O197" s="11"/>
    </row>
    <row r="198" spans="1:15" hidden="1" x14ac:dyDescent="0.25">
      <c r="A198" s="1">
        <v>46242</v>
      </c>
      <c r="B198">
        <v>1127074377</v>
      </c>
      <c r="C198" s="11" t="s">
        <v>422</v>
      </c>
      <c r="D198" s="11" t="s">
        <v>421</v>
      </c>
      <c r="E198" s="11" t="s">
        <v>4047</v>
      </c>
      <c r="F198" s="11" t="s">
        <v>4087</v>
      </c>
      <c r="G198" s="1">
        <v>46242</v>
      </c>
      <c r="H198" s="1">
        <v>46242</v>
      </c>
      <c r="I198" s="2">
        <v>0.25</v>
      </c>
      <c r="J198" s="2">
        <v>0.66666666666666663</v>
      </c>
      <c r="K198" s="11" t="s">
        <v>1383</v>
      </c>
      <c r="L198" s="1"/>
      <c r="M198" s="1"/>
      <c r="N198" s="1"/>
      <c r="O198" s="11"/>
    </row>
    <row r="199" spans="1:15" hidden="1" x14ac:dyDescent="0.25">
      <c r="A199" s="1">
        <v>46245</v>
      </c>
      <c r="B199">
        <v>1042422897</v>
      </c>
      <c r="C199" s="11" t="s">
        <v>4100</v>
      </c>
      <c r="D199" s="11" t="s">
        <v>256</v>
      </c>
      <c r="E199" s="11" t="s">
        <v>4040</v>
      </c>
      <c r="F199" s="11" t="s">
        <v>4050</v>
      </c>
      <c r="G199" s="1">
        <v>46242</v>
      </c>
      <c r="H199" s="1">
        <v>46245</v>
      </c>
      <c r="I199" s="2">
        <v>0.25</v>
      </c>
      <c r="J199" s="2">
        <v>0.58333333333333337</v>
      </c>
      <c r="K199" s="11" t="s">
        <v>327</v>
      </c>
      <c r="L199" s="1"/>
      <c r="M199" s="1"/>
      <c r="N199" s="1"/>
      <c r="O199" s="11"/>
    </row>
    <row r="200" spans="1:15" hidden="1" x14ac:dyDescent="0.25">
      <c r="A200" s="1">
        <v>46242</v>
      </c>
      <c r="B200">
        <v>1045718883</v>
      </c>
      <c r="C200" s="11" t="s">
        <v>34</v>
      </c>
      <c r="D200" s="11" t="s">
        <v>15</v>
      </c>
      <c r="E200" s="11" t="s">
        <v>4046</v>
      </c>
      <c r="F200" s="11" t="s">
        <v>4074</v>
      </c>
      <c r="G200" s="1">
        <v>46240</v>
      </c>
      <c r="H200" s="1">
        <v>46249</v>
      </c>
      <c r="I200" s="2">
        <v>0.25</v>
      </c>
      <c r="J200" s="2">
        <v>0.66666666666666663</v>
      </c>
      <c r="K200" s="11" t="s">
        <v>223</v>
      </c>
      <c r="L200" s="1">
        <v>46240</v>
      </c>
      <c r="M200" s="1">
        <v>46240</v>
      </c>
      <c r="N200" s="1"/>
      <c r="O200" s="11" t="s">
        <v>4081</v>
      </c>
    </row>
    <row r="201" spans="1:15" hidden="1" x14ac:dyDescent="0.25">
      <c r="A201" s="1">
        <v>46245</v>
      </c>
      <c r="B201">
        <v>1045718883</v>
      </c>
      <c r="C201" s="11" t="s">
        <v>34</v>
      </c>
      <c r="D201" s="11" t="s">
        <v>15</v>
      </c>
      <c r="E201" s="11" t="s">
        <v>4046</v>
      </c>
      <c r="F201" s="11" t="s">
        <v>16</v>
      </c>
      <c r="G201" s="1">
        <v>46240</v>
      </c>
      <c r="H201" s="1">
        <v>46249</v>
      </c>
      <c r="I201" s="2">
        <v>0.54166666666666663</v>
      </c>
      <c r="J201" s="2">
        <v>0.875</v>
      </c>
      <c r="K201" s="11" t="s">
        <v>301</v>
      </c>
      <c r="L201" s="1"/>
      <c r="M201" s="1"/>
      <c r="N201" s="1"/>
      <c r="O201" s="11"/>
    </row>
    <row r="202" spans="1:15" hidden="1" x14ac:dyDescent="0.25">
      <c r="A202" s="1">
        <v>46244</v>
      </c>
      <c r="B202">
        <v>1000921455</v>
      </c>
      <c r="C202" s="11" t="s">
        <v>14</v>
      </c>
      <c r="D202" s="11" t="s">
        <v>15</v>
      </c>
      <c r="E202" s="11" t="s">
        <v>4046</v>
      </c>
      <c r="F202" s="11" t="s">
        <v>16</v>
      </c>
      <c r="G202" s="1">
        <v>46239</v>
      </c>
      <c r="H202" s="1">
        <v>46246</v>
      </c>
      <c r="I202" s="2">
        <v>0.58333333333333337</v>
      </c>
      <c r="J202" s="2">
        <v>0.875</v>
      </c>
      <c r="K202" s="11" t="s">
        <v>327</v>
      </c>
      <c r="L202" s="1"/>
      <c r="M202" s="1"/>
      <c r="N202" s="1"/>
      <c r="O202" s="11"/>
    </row>
    <row r="203" spans="1:15" hidden="1" x14ac:dyDescent="0.25">
      <c r="A203" s="1">
        <v>46244</v>
      </c>
      <c r="B203">
        <v>1143413583</v>
      </c>
      <c r="C203" s="11" t="s">
        <v>41</v>
      </c>
      <c r="D203" s="11" t="s">
        <v>28</v>
      </c>
      <c r="E203" s="11" t="s">
        <v>4046</v>
      </c>
      <c r="F203" s="11" t="s">
        <v>4050</v>
      </c>
      <c r="G203" s="1">
        <v>46240</v>
      </c>
      <c r="H203" s="1">
        <v>46244</v>
      </c>
      <c r="I203" s="2">
        <v>0.25</v>
      </c>
      <c r="J203" s="2">
        <v>0.54166666666666663</v>
      </c>
      <c r="K203" s="11" t="s">
        <v>327</v>
      </c>
      <c r="L203" s="1"/>
      <c r="M203" s="1"/>
      <c r="N203" s="1"/>
      <c r="O203" s="11"/>
    </row>
    <row r="204" spans="1:15" hidden="1" x14ac:dyDescent="0.25">
      <c r="A204" s="1">
        <v>46242</v>
      </c>
      <c r="B204">
        <v>1037668455</v>
      </c>
      <c r="C204" s="11" t="s">
        <v>3013</v>
      </c>
      <c r="D204" s="11" t="s">
        <v>78</v>
      </c>
      <c r="E204" s="11" t="s">
        <v>4046</v>
      </c>
      <c r="F204" s="11" t="s">
        <v>16</v>
      </c>
      <c r="G204" s="1">
        <v>46241</v>
      </c>
      <c r="H204" s="1">
        <v>46242</v>
      </c>
      <c r="I204" s="2">
        <v>0.25</v>
      </c>
      <c r="J204" s="2">
        <v>0.66666666666666663</v>
      </c>
      <c r="K204" s="11" t="s">
        <v>210</v>
      </c>
      <c r="L204" s="1"/>
      <c r="M204" s="1"/>
      <c r="N204" s="1"/>
      <c r="O204" s="11"/>
    </row>
    <row r="205" spans="1:15" hidden="1" x14ac:dyDescent="0.25">
      <c r="A205" s="1">
        <v>46242</v>
      </c>
      <c r="B205">
        <v>1026134762</v>
      </c>
      <c r="C205" s="11" t="s">
        <v>1359</v>
      </c>
      <c r="D205" s="11" t="s">
        <v>15</v>
      </c>
      <c r="E205" s="11" t="s">
        <v>4046</v>
      </c>
      <c r="F205" s="11" t="s">
        <v>16</v>
      </c>
      <c r="G205" s="1">
        <v>46242</v>
      </c>
      <c r="H205" s="1">
        <v>46242</v>
      </c>
      <c r="I205" s="2">
        <v>0.25</v>
      </c>
      <c r="J205" s="2">
        <v>0.66666666666666663</v>
      </c>
      <c r="K205" s="11" t="s">
        <v>120</v>
      </c>
      <c r="L205" s="1"/>
      <c r="M205" s="1"/>
      <c r="N205" s="1"/>
      <c r="O205" s="11"/>
    </row>
    <row r="206" spans="1:15" hidden="1" x14ac:dyDescent="0.25">
      <c r="A206" s="1">
        <v>46242</v>
      </c>
      <c r="B206">
        <v>1001817894</v>
      </c>
      <c r="C206" s="11" t="s">
        <v>1546</v>
      </c>
      <c r="D206" s="11" t="s">
        <v>15</v>
      </c>
      <c r="E206" s="11" t="s">
        <v>4046</v>
      </c>
      <c r="F206" s="11" t="s">
        <v>16</v>
      </c>
      <c r="G206" s="1">
        <v>46242</v>
      </c>
      <c r="H206" s="1">
        <v>46242</v>
      </c>
      <c r="I206" s="2">
        <v>0.25</v>
      </c>
      <c r="J206" s="2">
        <v>0.66666666666666663</v>
      </c>
      <c r="K206" s="11" t="s">
        <v>4060</v>
      </c>
      <c r="L206" s="1"/>
      <c r="M206" s="1"/>
      <c r="N206" s="1"/>
      <c r="O206" s="11"/>
    </row>
    <row r="207" spans="1:15" hidden="1" x14ac:dyDescent="0.25">
      <c r="A207" s="1">
        <v>46244</v>
      </c>
      <c r="B207">
        <v>1152446353</v>
      </c>
      <c r="C207" s="11" t="s">
        <v>205</v>
      </c>
      <c r="D207" s="11" t="s">
        <v>51</v>
      </c>
      <c r="E207" s="11" t="s">
        <v>4047</v>
      </c>
      <c r="F207" s="11" t="s">
        <v>92</v>
      </c>
      <c r="G207" s="1"/>
      <c r="H207" s="1"/>
      <c r="I207" s="2"/>
      <c r="J207" s="2"/>
      <c r="K207" s="11" t="s">
        <v>346</v>
      </c>
      <c r="L207" s="1"/>
      <c r="M207" s="1"/>
      <c r="N207" s="1"/>
      <c r="O207" s="11"/>
    </row>
    <row r="208" spans="1:15" hidden="1" x14ac:dyDescent="0.25">
      <c r="A208" s="1">
        <v>46242</v>
      </c>
      <c r="B208">
        <v>1083567466</v>
      </c>
      <c r="C208" s="11" t="s">
        <v>1453</v>
      </c>
      <c r="D208" s="11" t="s">
        <v>421</v>
      </c>
      <c r="E208" s="11" t="s">
        <v>4047</v>
      </c>
      <c r="F208" s="11" t="s">
        <v>16</v>
      </c>
      <c r="G208" s="1">
        <v>46242</v>
      </c>
      <c r="H208" s="1">
        <v>46242</v>
      </c>
      <c r="I208" s="2">
        <v>0.25</v>
      </c>
      <c r="J208" s="2">
        <v>0.66666666666666663</v>
      </c>
      <c r="K208" s="11" t="s">
        <v>4060</v>
      </c>
      <c r="L208" s="1"/>
      <c r="M208" s="1"/>
      <c r="N208" s="1"/>
      <c r="O208" s="11"/>
    </row>
    <row r="209" spans="1:15" hidden="1" x14ac:dyDescent="0.25">
      <c r="A209" s="1">
        <v>46242</v>
      </c>
      <c r="B209">
        <v>1003083272</v>
      </c>
      <c r="C209" s="11" t="s">
        <v>1269</v>
      </c>
      <c r="D209" s="11" t="s">
        <v>55</v>
      </c>
      <c r="E209" s="11" t="s">
        <v>4047</v>
      </c>
      <c r="F209" s="11" t="s">
        <v>16</v>
      </c>
      <c r="G209" s="1">
        <v>46241</v>
      </c>
      <c r="H209" s="1">
        <v>46242</v>
      </c>
      <c r="I209" s="2">
        <v>0.25</v>
      </c>
      <c r="J209" s="2">
        <v>0.66666666666666663</v>
      </c>
      <c r="K209" s="11" t="s">
        <v>327</v>
      </c>
      <c r="L209" s="1"/>
      <c r="M209" s="1"/>
      <c r="N209" s="1"/>
      <c r="O209" s="11"/>
    </row>
    <row r="210" spans="1:15" hidden="1" x14ac:dyDescent="0.25">
      <c r="A210" s="1">
        <v>46242</v>
      </c>
      <c r="B210">
        <v>1083037131</v>
      </c>
      <c r="C210" s="11" t="s">
        <v>533</v>
      </c>
      <c r="D210" s="11" t="s">
        <v>64</v>
      </c>
      <c r="E210" s="11" t="s">
        <v>4046</v>
      </c>
      <c r="F210" s="11" t="s">
        <v>16</v>
      </c>
      <c r="G210" s="1">
        <v>46242</v>
      </c>
      <c r="H210" s="1">
        <v>46242</v>
      </c>
      <c r="I210" s="2">
        <v>0.25</v>
      </c>
      <c r="J210" s="2">
        <v>0.66666666666666663</v>
      </c>
      <c r="K210" s="11" t="s">
        <v>327</v>
      </c>
      <c r="L210" s="1"/>
      <c r="M210" s="1"/>
      <c r="N210" s="1"/>
      <c r="O210" s="11"/>
    </row>
    <row r="211" spans="1:15" hidden="1" x14ac:dyDescent="0.25">
      <c r="A211" s="1">
        <v>46242</v>
      </c>
      <c r="B211">
        <v>1037637914</v>
      </c>
      <c r="C211" s="11" t="s">
        <v>2749</v>
      </c>
      <c r="D211" s="11" t="s">
        <v>15</v>
      </c>
      <c r="E211" s="11" t="s">
        <v>4046</v>
      </c>
      <c r="F211" s="11" t="s">
        <v>16</v>
      </c>
      <c r="G211" s="1">
        <v>46242</v>
      </c>
      <c r="H211" s="1">
        <v>46242</v>
      </c>
      <c r="I211" s="2">
        <v>0.25</v>
      </c>
      <c r="J211" s="2">
        <v>0.66666666666666663</v>
      </c>
      <c r="K211" s="11" t="s">
        <v>327</v>
      </c>
      <c r="L211" s="1"/>
      <c r="M211" s="1"/>
      <c r="N211" s="1"/>
      <c r="O211" s="11"/>
    </row>
    <row r="212" spans="1:15" hidden="1" x14ac:dyDescent="0.25">
      <c r="A212" s="1">
        <v>46242</v>
      </c>
      <c r="B212">
        <v>1235045754</v>
      </c>
      <c r="C212" s="11" t="s">
        <v>2420</v>
      </c>
      <c r="D212" s="11" t="s">
        <v>421</v>
      </c>
      <c r="E212" s="11" t="s">
        <v>4047</v>
      </c>
      <c r="F212" s="11" t="s">
        <v>16</v>
      </c>
      <c r="G212" s="1">
        <v>46242</v>
      </c>
      <c r="H212" s="1">
        <v>46242</v>
      </c>
      <c r="I212" s="2"/>
      <c r="J212" s="2"/>
      <c r="K212" s="11" t="s">
        <v>4060</v>
      </c>
      <c r="L212" s="1"/>
      <c r="M212" s="1"/>
      <c r="N212" s="1"/>
      <c r="O212" s="11"/>
    </row>
    <row r="213" spans="1:15" hidden="1" x14ac:dyDescent="0.25">
      <c r="A213" s="1">
        <v>46242</v>
      </c>
      <c r="B213">
        <v>1214714989</v>
      </c>
      <c r="C213" s="11" t="s">
        <v>2191</v>
      </c>
      <c r="D213" s="11" t="s">
        <v>256</v>
      </c>
      <c r="E213" s="11" t="s">
        <v>4040</v>
      </c>
      <c r="F213" s="11" t="s">
        <v>16</v>
      </c>
      <c r="G213" s="1">
        <v>46242</v>
      </c>
      <c r="H213" s="1">
        <v>46242</v>
      </c>
      <c r="I213" s="2">
        <v>0.25</v>
      </c>
      <c r="J213" s="2">
        <v>0.66666666666666663</v>
      </c>
      <c r="K213" s="11" t="s">
        <v>4060</v>
      </c>
      <c r="L213" s="1"/>
      <c r="M213" s="1"/>
      <c r="N213" s="1"/>
      <c r="O213" s="11"/>
    </row>
    <row r="214" spans="1:15" hidden="1" x14ac:dyDescent="0.25">
      <c r="A214" s="1">
        <v>46242</v>
      </c>
      <c r="B214">
        <v>1010149319</v>
      </c>
      <c r="C214" s="11" t="s">
        <v>3177</v>
      </c>
      <c r="D214" s="11" t="s">
        <v>59</v>
      </c>
      <c r="E214" s="11" t="s">
        <v>4047</v>
      </c>
      <c r="F214" s="11" t="s">
        <v>16</v>
      </c>
      <c r="G214" s="1">
        <v>46242</v>
      </c>
      <c r="H214" s="1">
        <v>46242</v>
      </c>
      <c r="I214" s="2">
        <v>0.25</v>
      </c>
      <c r="J214" s="2">
        <v>0.54166666666666663</v>
      </c>
      <c r="K214" s="11" t="s">
        <v>4060</v>
      </c>
      <c r="L214" s="1"/>
      <c r="M214" s="1"/>
      <c r="N214" s="1"/>
      <c r="O214" s="11"/>
    </row>
    <row r="215" spans="1:15" hidden="1" x14ac:dyDescent="0.25">
      <c r="A215" s="1">
        <v>46242</v>
      </c>
      <c r="B215">
        <v>1010246557</v>
      </c>
      <c r="C215" s="11" t="s">
        <v>3461</v>
      </c>
      <c r="D215" s="11" t="s">
        <v>256</v>
      </c>
      <c r="E215" s="11" t="s">
        <v>4040</v>
      </c>
      <c r="F215" s="11" t="s">
        <v>16</v>
      </c>
      <c r="G215" s="1">
        <v>46242</v>
      </c>
      <c r="H215" s="1">
        <v>46242</v>
      </c>
      <c r="I215" s="2">
        <v>0.25</v>
      </c>
      <c r="J215" s="2">
        <v>0.66666666666666663</v>
      </c>
      <c r="K215" s="11" t="s">
        <v>4157</v>
      </c>
      <c r="L215" s="1"/>
      <c r="M215" s="1"/>
      <c r="N215" s="1"/>
      <c r="O215" s="11"/>
    </row>
    <row r="216" spans="1:15" hidden="1" x14ac:dyDescent="0.25">
      <c r="A216" s="1">
        <v>46242</v>
      </c>
      <c r="B216">
        <v>88030132</v>
      </c>
      <c r="C216" s="11" t="s">
        <v>1956</v>
      </c>
      <c r="D216" s="11" t="s">
        <v>59</v>
      </c>
      <c r="E216" s="11" t="s">
        <v>4047</v>
      </c>
      <c r="F216" s="11" t="s">
        <v>4074</v>
      </c>
      <c r="G216" s="1">
        <v>46242</v>
      </c>
      <c r="H216" s="1">
        <v>46243</v>
      </c>
      <c r="I216" s="2">
        <v>0.25</v>
      </c>
      <c r="J216" s="2">
        <v>0.66666666666666663</v>
      </c>
      <c r="K216" s="11" t="s">
        <v>4060</v>
      </c>
      <c r="L216" s="1"/>
      <c r="M216" s="1"/>
      <c r="N216" s="1"/>
      <c r="O216" s="11"/>
    </row>
    <row r="217" spans="1:15" hidden="1" x14ac:dyDescent="0.25">
      <c r="A217" s="1">
        <v>46242</v>
      </c>
      <c r="B217">
        <v>1038412205</v>
      </c>
      <c r="C217" s="11" t="s">
        <v>2848</v>
      </c>
      <c r="D217" s="11" t="s">
        <v>482</v>
      </c>
      <c r="E217" s="11" t="s">
        <v>4040</v>
      </c>
      <c r="F217" s="11" t="s">
        <v>4074</v>
      </c>
      <c r="G217" s="1">
        <v>46242</v>
      </c>
      <c r="H217" s="1">
        <v>46242</v>
      </c>
      <c r="I217" s="2">
        <v>0.25</v>
      </c>
      <c r="J217" s="2">
        <v>0.66666666666666663</v>
      </c>
      <c r="K217" s="11" t="s">
        <v>4060</v>
      </c>
      <c r="L217" s="1"/>
      <c r="M217" s="1"/>
      <c r="N217" s="1"/>
      <c r="O217" s="11"/>
    </row>
    <row r="218" spans="1:15" hidden="1" x14ac:dyDescent="0.25">
      <c r="A218" s="1">
        <v>46247</v>
      </c>
      <c r="B218">
        <v>1071169507</v>
      </c>
      <c r="C218" s="11" t="s">
        <v>161</v>
      </c>
      <c r="D218" s="11" t="s">
        <v>162</v>
      </c>
      <c r="E218" s="11" t="s">
        <v>4056</v>
      </c>
      <c r="F218" s="11" t="s">
        <v>92</v>
      </c>
      <c r="G218" s="1">
        <v>46242</v>
      </c>
      <c r="H218" s="1">
        <v>46247</v>
      </c>
      <c r="I218" s="2">
        <v>0.58333333333333337</v>
      </c>
      <c r="J218" s="2">
        <v>0.875</v>
      </c>
      <c r="K218" s="11" t="s">
        <v>268</v>
      </c>
      <c r="L218" s="1"/>
      <c r="M218" s="1"/>
      <c r="N218" s="1"/>
      <c r="O218" s="11"/>
    </row>
    <row r="219" spans="1:15" hidden="1" x14ac:dyDescent="0.25">
      <c r="A219" s="1">
        <v>46242</v>
      </c>
      <c r="B219">
        <v>1001445343</v>
      </c>
      <c r="C219" s="11" t="s">
        <v>1432</v>
      </c>
      <c r="D219" s="11" t="s">
        <v>344</v>
      </c>
      <c r="E219" s="11" t="s">
        <v>4056</v>
      </c>
      <c r="F219" s="11" t="s">
        <v>16</v>
      </c>
      <c r="G219" s="1">
        <v>46242</v>
      </c>
      <c r="H219" s="1">
        <v>46242</v>
      </c>
      <c r="I219" s="2">
        <v>0.25</v>
      </c>
      <c r="J219" s="2">
        <v>0.58333333333333337</v>
      </c>
      <c r="K219" s="11" t="s">
        <v>185</v>
      </c>
      <c r="L219" s="1"/>
      <c r="M219" s="1"/>
      <c r="N219" s="1"/>
      <c r="O219" s="11"/>
    </row>
    <row r="220" spans="1:15" hidden="1" x14ac:dyDescent="0.25">
      <c r="A220" s="1">
        <v>46244</v>
      </c>
      <c r="B220">
        <v>1007842898</v>
      </c>
      <c r="C220" s="11" t="s">
        <v>4159</v>
      </c>
      <c r="D220" s="11" t="s">
        <v>421</v>
      </c>
      <c r="E220" s="11" t="s">
        <v>4047</v>
      </c>
      <c r="F220" s="11" t="s">
        <v>4050</v>
      </c>
      <c r="G220" s="1">
        <v>46242</v>
      </c>
      <c r="H220" s="1"/>
      <c r="I220" s="2">
        <v>0.54166666666666663</v>
      </c>
      <c r="J220" s="2">
        <v>0.875</v>
      </c>
      <c r="K220" s="11" t="s">
        <v>214</v>
      </c>
      <c r="L220" s="1"/>
      <c r="M220" s="1"/>
      <c r="N220" s="1"/>
      <c r="O220" s="11"/>
    </row>
    <row r="221" spans="1:15" hidden="1" x14ac:dyDescent="0.25">
      <c r="A221" s="1">
        <v>46244</v>
      </c>
      <c r="B221">
        <v>1001446162</v>
      </c>
      <c r="C221" s="11" t="s">
        <v>3663</v>
      </c>
      <c r="D221" s="11" t="s">
        <v>4078</v>
      </c>
      <c r="E221" s="11" t="s">
        <v>4056</v>
      </c>
      <c r="F221" s="11" t="s">
        <v>4160</v>
      </c>
      <c r="G221" s="1">
        <v>46244</v>
      </c>
      <c r="H221" s="1">
        <v>46244</v>
      </c>
      <c r="I221" s="2">
        <v>0.33333333333333331</v>
      </c>
      <c r="J221" s="2">
        <v>0.625</v>
      </c>
      <c r="K221" s="11" t="s">
        <v>3663</v>
      </c>
      <c r="L221" s="1"/>
      <c r="M221" s="1"/>
      <c r="N221" s="1"/>
      <c r="O221" s="11"/>
    </row>
    <row r="222" spans="1:15" hidden="1" x14ac:dyDescent="0.25">
      <c r="A222" s="1">
        <v>46263</v>
      </c>
      <c r="B222">
        <v>1082896324</v>
      </c>
      <c r="C222" s="11" t="s">
        <v>127</v>
      </c>
      <c r="D222" s="11" t="s">
        <v>128</v>
      </c>
      <c r="E222" s="11" t="s">
        <v>4045</v>
      </c>
      <c r="F222" s="11" t="s">
        <v>16</v>
      </c>
      <c r="G222" s="1">
        <v>46242</v>
      </c>
      <c r="H222" s="1">
        <v>46272</v>
      </c>
      <c r="I222" s="2"/>
      <c r="J222" s="2"/>
      <c r="K222" s="11" t="s">
        <v>339</v>
      </c>
      <c r="L222" s="1"/>
      <c r="M222" s="1"/>
      <c r="N222" s="1"/>
      <c r="O222" s="11"/>
    </row>
    <row r="223" spans="1:15" hidden="1" x14ac:dyDescent="0.25">
      <c r="A223" s="1">
        <v>46244</v>
      </c>
      <c r="B223">
        <v>1036670970</v>
      </c>
      <c r="C223" s="11" t="s">
        <v>2687</v>
      </c>
      <c r="D223" s="11" t="s">
        <v>15</v>
      </c>
      <c r="E223" s="11" t="s">
        <v>4046</v>
      </c>
      <c r="F223" s="11" t="s">
        <v>16</v>
      </c>
      <c r="G223" s="1">
        <v>46244</v>
      </c>
      <c r="H223" s="1">
        <v>46244</v>
      </c>
      <c r="I223" s="2">
        <v>0.25</v>
      </c>
      <c r="J223" s="2">
        <v>0.58333333333333337</v>
      </c>
      <c r="K223" s="11" t="s">
        <v>4060</v>
      </c>
      <c r="L223" s="1"/>
      <c r="M223" s="1"/>
      <c r="N223" s="1"/>
      <c r="O223" s="11"/>
    </row>
    <row r="224" spans="1:15" hidden="1" x14ac:dyDescent="0.25">
      <c r="A224" s="1">
        <v>46245</v>
      </c>
      <c r="B224">
        <v>1003033764</v>
      </c>
      <c r="C224" s="11" t="s">
        <v>1275</v>
      </c>
      <c r="D224" s="11" t="s">
        <v>124</v>
      </c>
      <c r="E224" s="11" t="s">
        <v>4045</v>
      </c>
      <c r="F224" s="11" t="s">
        <v>16</v>
      </c>
      <c r="G224" s="1">
        <v>46244</v>
      </c>
      <c r="H224" s="1">
        <v>46245</v>
      </c>
      <c r="I224" s="2">
        <v>0.25</v>
      </c>
      <c r="J224" s="2">
        <v>0.54166666666666663</v>
      </c>
      <c r="K224" s="11" t="s">
        <v>327</v>
      </c>
      <c r="L224" s="1"/>
      <c r="M224" s="1"/>
      <c r="N224" s="1"/>
      <c r="O224" s="11"/>
    </row>
    <row r="225" spans="1:15" hidden="1" x14ac:dyDescent="0.25">
      <c r="A225" s="1">
        <v>46245</v>
      </c>
      <c r="B225">
        <v>1143345388</v>
      </c>
      <c r="C225" s="11" t="s">
        <v>3124</v>
      </c>
      <c r="D225" s="11" t="s">
        <v>55</v>
      </c>
      <c r="E225" s="11" t="s">
        <v>4047</v>
      </c>
      <c r="F225" s="11" t="s">
        <v>16</v>
      </c>
      <c r="G225" s="1">
        <v>46244</v>
      </c>
      <c r="H225" s="1">
        <v>46245</v>
      </c>
      <c r="I225" s="2">
        <v>0.58333333333333337</v>
      </c>
      <c r="J225" s="2">
        <v>0.875</v>
      </c>
      <c r="K225" s="11" t="s">
        <v>327</v>
      </c>
      <c r="L225" s="1"/>
      <c r="M225" s="1"/>
      <c r="N225" s="1"/>
      <c r="O225" s="11"/>
    </row>
    <row r="226" spans="1:15" hidden="1" x14ac:dyDescent="0.25">
      <c r="A226" s="1">
        <v>46245</v>
      </c>
      <c r="B226">
        <v>1193370054</v>
      </c>
      <c r="C226" s="11" t="s">
        <v>994</v>
      </c>
      <c r="D226" s="11" t="s">
        <v>59</v>
      </c>
      <c r="E226" s="11" t="s">
        <v>4047</v>
      </c>
      <c r="F226" s="11" t="s">
        <v>16</v>
      </c>
      <c r="G226" s="1">
        <v>46244</v>
      </c>
      <c r="H226" s="1">
        <v>46244</v>
      </c>
      <c r="I226" s="2">
        <v>0.25</v>
      </c>
      <c r="J226" s="2">
        <v>0.58333333333333337</v>
      </c>
      <c r="K226" s="11" t="s">
        <v>327</v>
      </c>
      <c r="L226" s="1"/>
      <c r="M226" s="1"/>
      <c r="N226" s="1"/>
      <c r="O226" s="11"/>
    </row>
    <row r="227" spans="1:15" hidden="1" x14ac:dyDescent="0.25">
      <c r="A227" s="1">
        <v>46245</v>
      </c>
      <c r="B227">
        <v>1037646627</v>
      </c>
      <c r="C227" s="11" t="s">
        <v>3293</v>
      </c>
      <c r="D227" s="11" t="s">
        <v>124</v>
      </c>
      <c r="E227" s="11" t="s">
        <v>4045</v>
      </c>
      <c r="F227" s="11" t="s">
        <v>16</v>
      </c>
      <c r="G227" s="1">
        <v>46244</v>
      </c>
      <c r="H227" s="1">
        <v>46245</v>
      </c>
      <c r="I227" s="2">
        <v>0.58333333333333337</v>
      </c>
      <c r="J227" s="2">
        <v>0.875</v>
      </c>
      <c r="K227" s="11" t="s">
        <v>304</v>
      </c>
      <c r="L227" s="1"/>
      <c r="M227" s="1"/>
      <c r="N227" s="1"/>
      <c r="O227" s="11"/>
    </row>
    <row r="228" spans="1:15" hidden="1" x14ac:dyDescent="0.25">
      <c r="A228" s="1">
        <v>46244</v>
      </c>
      <c r="B228">
        <v>1048266834</v>
      </c>
      <c r="C228" s="11" t="s">
        <v>1231</v>
      </c>
      <c r="D228" s="11" t="s">
        <v>68</v>
      </c>
      <c r="E228" s="11" t="s">
        <v>4040</v>
      </c>
      <c r="F228" s="11" t="s">
        <v>16</v>
      </c>
      <c r="G228" s="1">
        <v>46244</v>
      </c>
      <c r="H228" s="1">
        <v>46244</v>
      </c>
      <c r="I228" s="2">
        <v>0.25</v>
      </c>
      <c r="J228" s="2">
        <v>0.58333333333333337</v>
      </c>
      <c r="K228" s="11" t="s">
        <v>327</v>
      </c>
      <c r="L228" s="1"/>
      <c r="M228" s="1"/>
      <c r="N228" s="1"/>
      <c r="O228" s="11"/>
    </row>
    <row r="229" spans="1:15" hidden="1" x14ac:dyDescent="0.25">
      <c r="A229" s="1">
        <v>46244</v>
      </c>
      <c r="B229">
        <v>1069505986</v>
      </c>
      <c r="C229" s="11" t="s">
        <v>935</v>
      </c>
      <c r="D229" s="11" t="s">
        <v>59</v>
      </c>
      <c r="E229" s="11" t="s">
        <v>4047</v>
      </c>
      <c r="F229" s="11" t="s">
        <v>16</v>
      </c>
      <c r="G229" s="1">
        <v>46244</v>
      </c>
      <c r="H229" s="1">
        <v>46244</v>
      </c>
      <c r="I229" s="2">
        <v>0.25</v>
      </c>
      <c r="J229" s="2">
        <v>0.58333333333333337</v>
      </c>
      <c r="K229" s="11" t="s">
        <v>327</v>
      </c>
      <c r="L229" s="1"/>
      <c r="M229" s="1"/>
      <c r="N229" s="1"/>
      <c r="O229" s="11"/>
    </row>
    <row r="230" spans="1:15" hidden="1" x14ac:dyDescent="0.25">
      <c r="A230" s="1">
        <v>46245</v>
      </c>
      <c r="B230">
        <v>1039468657</v>
      </c>
      <c r="C230" s="11" t="s">
        <v>2389</v>
      </c>
      <c r="D230" s="11" t="s">
        <v>2069</v>
      </c>
      <c r="E230" s="11" t="s">
        <v>4046</v>
      </c>
      <c r="F230" s="11" t="s">
        <v>16</v>
      </c>
      <c r="G230" s="1">
        <v>46244</v>
      </c>
      <c r="H230" s="1">
        <v>46245</v>
      </c>
      <c r="I230" s="2">
        <v>0.29166666666666669</v>
      </c>
      <c r="J230" s="2">
        <v>0.58333333333333337</v>
      </c>
      <c r="K230" s="11" t="s">
        <v>223</v>
      </c>
      <c r="L230" s="1"/>
      <c r="M230" s="1"/>
      <c r="N230" s="1"/>
      <c r="O230" s="11"/>
    </row>
    <row r="231" spans="1:15" hidden="1" x14ac:dyDescent="0.25">
      <c r="A231" s="1">
        <v>46244</v>
      </c>
      <c r="B231">
        <v>1001995044</v>
      </c>
      <c r="C231" s="11" t="s">
        <v>3822</v>
      </c>
      <c r="D231" s="11" t="s">
        <v>139</v>
      </c>
      <c r="E231" s="11" t="s">
        <v>4040</v>
      </c>
      <c r="F231" s="11" t="s">
        <v>16</v>
      </c>
      <c r="G231" s="1">
        <v>46244</v>
      </c>
      <c r="H231" s="1">
        <v>46244</v>
      </c>
      <c r="I231" s="2"/>
      <c r="J231" s="2"/>
      <c r="K231" s="11" t="s">
        <v>4060</v>
      </c>
      <c r="L231" s="1"/>
      <c r="M231" s="1"/>
      <c r="N231" s="1"/>
      <c r="O231" s="11"/>
    </row>
    <row r="232" spans="1:15" hidden="1" x14ac:dyDescent="0.25">
      <c r="A232" s="1">
        <v>46245</v>
      </c>
      <c r="B232">
        <v>1003361835</v>
      </c>
      <c r="C232" s="11" t="s">
        <v>878</v>
      </c>
      <c r="D232" s="11" t="s">
        <v>492</v>
      </c>
      <c r="E232" s="11" t="s">
        <v>4045</v>
      </c>
      <c r="F232" s="11" t="s">
        <v>16</v>
      </c>
      <c r="G232" s="1">
        <v>46244</v>
      </c>
      <c r="H232" s="1">
        <v>46245</v>
      </c>
      <c r="I232" s="2">
        <v>0.58333333333333337</v>
      </c>
      <c r="J232" s="2">
        <v>0.875</v>
      </c>
      <c r="K232" s="11" t="s">
        <v>327</v>
      </c>
      <c r="L232" s="1"/>
      <c r="M232" s="1"/>
      <c r="N232" s="1"/>
      <c r="O232" s="11"/>
    </row>
    <row r="233" spans="1:15" hidden="1" x14ac:dyDescent="0.25">
      <c r="A233" s="1">
        <v>46244</v>
      </c>
      <c r="B233">
        <v>1007743475</v>
      </c>
      <c r="C233" s="11" t="s">
        <v>3284</v>
      </c>
      <c r="D233" s="11" t="s">
        <v>55</v>
      </c>
      <c r="E233" s="11" t="s">
        <v>4047</v>
      </c>
      <c r="F233" s="11" t="s">
        <v>16</v>
      </c>
      <c r="G233" s="1">
        <v>46244</v>
      </c>
      <c r="H233" s="1">
        <v>46244</v>
      </c>
      <c r="I233" s="2">
        <v>0.58333333333333337</v>
      </c>
      <c r="J233" s="2">
        <v>0.875</v>
      </c>
      <c r="K233" s="11" t="s">
        <v>4060</v>
      </c>
      <c r="L233" s="1"/>
      <c r="M233" s="1"/>
      <c r="N233" s="1"/>
      <c r="O233" s="11"/>
    </row>
    <row r="234" spans="1:15" hidden="1" x14ac:dyDescent="0.25">
      <c r="A234" s="1">
        <v>46245</v>
      </c>
      <c r="B234">
        <v>1002155665</v>
      </c>
      <c r="C234" s="11" t="s">
        <v>3791</v>
      </c>
      <c r="D234" s="11" t="s">
        <v>64</v>
      </c>
      <c r="E234" s="11" t="s">
        <v>4046</v>
      </c>
      <c r="F234" s="11" t="s">
        <v>16</v>
      </c>
      <c r="G234" s="1">
        <v>46244</v>
      </c>
      <c r="H234" s="1">
        <v>46245</v>
      </c>
      <c r="I234" s="2">
        <v>0.54166666666666663</v>
      </c>
      <c r="J234" s="2">
        <v>0.875</v>
      </c>
      <c r="K234" s="11" t="s">
        <v>4060</v>
      </c>
      <c r="L234" s="1"/>
      <c r="M234" s="1"/>
      <c r="N234" s="1"/>
      <c r="O234" s="11"/>
    </row>
    <row r="235" spans="1:15" hidden="1" x14ac:dyDescent="0.25">
      <c r="A235" s="1">
        <v>46244</v>
      </c>
      <c r="B235">
        <v>43616929</v>
      </c>
      <c r="C235" s="11" t="s">
        <v>425</v>
      </c>
      <c r="D235" s="11" t="s">
        <v>128</v>
      </c>
      <c r="E235" s="11" t="s">
        <v>4045</v>
      </c>
      <c r="F235" s="11" t="s">
        <v>16</v>
      </c>
      <c r="G235" s="1">
        <v>46244</v>
      </c>
      <c r="H235" s="1">
        <v>46244</v>
      </c>
      <c r="I235" s="2">
        <v>0.58333333333333337</v>
      </c>
      <c r="J235" s="2">
        <v>0.875</v>
      </c>
      <c r="K235" s="11" t="s">
        <v>4060</v>
      </c>
      <c r="L235" s="1"/>
      <c r="M235" s="1"/>
      <c r="N235" s="1"/>
      <c r="O235" s="11"/>
    </row>
    <row r="236" spans="1:15" hidden="1" x14ac:dyDescent="0.25">
      <c r="A236" s="1">
        <v>46246</v>
      </c>
      <c r="B236">
        <v>1014237413</v>
      </c>
      <c r="C236" s="11" t="s">
        <v>845</v>
      </c>
      <c r="D236" s="11" t="s">
        <v>492</v>
      </c>
      <c r="E236" s="11" t="s">
        <v>4045</v>
      </c>
      <c r="F236" s="11" t="s">
        <v>16</v>
      </c>
      <c r="G236" s="1">
        <v>46244</v>
      </c>
      <c r="H236" s="1">
        <v>46246</v>
      </c>
      <c r="I236" s="2">
        <v>0.25</v>
      </c>
      <c r="J236" s="2">
        <v>0.54166666666666663</v>
      </c>
      <c r="K236" s="11" t="s">
        <v>327</v>
      </c>
      <c r="L236" s="1"/>
      <c r="M236" s="1"/>
      <c r="N236" s="1"/>
      <c r="O236" s="11"/>
    </row>
    <row r="237" spans="1:15" hidden="1" x14ac:dyDescent="0.25">
      <c r="A237" s="1">
        <v>46244</v>
      </c>
      <c r="B237">
        <v>1124014714</v>
      </c>
      <c r="C237" s="11" t="s">
        <v>2212</v>
      </c>
      <c r="D237" s="11" t="s">
        <v>421</v>
      </c>
      <c r="E237" s="11" t="s">
        <v>4047</v>
      </c>
      <c r="F237" s="11" t="s">
        <v>16</v>
      </c>
      <c r="G237" s="1">
        <v>46244</v>
      </c>
      <c r="H237" s="1">
        <v>46245</v>
      </c>
      <c r="I237" s="2">
        <v>0.54166666666666663</v>
      </c>
      <c r="J237" s="2">
        <v>0.875</v>
      </c>
      <c r="K237" s="11" t="s">
        <v>4060</v>
      </c>
      <c r="L237" s="1"/>
      <c r="M237" s="1"/>
      <c r="N237" s="1"/>
      <c r="O237" s="11"/>
    </row>
    <row r="238" spans="1:15" hidden="1" x14ac:dyDescent="0.25">
      <c r="A238" s="1">
        <v>46245</v>
      </c>
      <c r="B238">
        <v>1124014714</v>
      </c>
      <c r="C238" s="11" t="s">
        <v>2212</v>
      </c>
      <c r="D238" s="11" t="s">
        <v>421</v>
      </c>
      <c r="E238" s="11" t="s">
        <v>4047</v>
      </c>
      <c r="F238" s="11" t="s">
        <v>4074</v>
      </c>
      <c r="G238" s="1">
        <v>46244</v>
      </c>
      <c r="H238" s="1">
        <v>46245</v>
      </c>
      <c r="I238" s="2">
        <v>0.54166666666666663</v>
      </c>
      <c r="J238" s="2">
        <v>0.875</v>
      </c>
      <c r="K238" s="11" t="s">
        <v>4060</v>
      </c>
      <c r="L238" s="1"/>
      <c r="M238" s="1"/>
      <c r="N238" s="1"/>
      <c r="O238" s="11"/>
    </row>
    <row r="239" spans="1:15" hidden="1" x14ac:dyDescent="0.25">
      <c r="A239" s="1">
        <v>46245</v>
      </c>
      <c r="B239">
        <v>1193568408</v>
      </c>
      <c r="C239" s="11" t="s">
        <v>448</v>
      </c>
      <c r="D239" s="11" t="s">
        <v>344</v>
      </c>
      <c r="E239" s="11" t="s">
        <v>4056</v>
      </c>
      <c r="F239" s="11" t="s">
        <v>16</v>
      </c>
      <c r="G239" s="1">
        <v>46244</v>
      </c>
      <c r="H239" s="1">
        <v>46245</v>
      </c>
      <c r="I239" s="2">
        <v>0.25</v>
      </c>
      <c r="J239" s="2">
        <v>0.58333333333333337</v>
      </c>
      <c r="K239" s="11" t="s">
        <v>3663</v>
      </c>
      <c r="L239" s="1"/>
      <c r="M239" s="1"/>
      <c r="N239" s="1"/>
      <c r="O239" s="11"/>
    </row>
    <row r="240" spans="1:15" hidden="1" x14ac:dyDescent="0.25">
      <c r="A240" s="1">
        <v>46245</v>
      </c>
      <c r="B240">
        <v>1007959114</v>
      </c>
      <c r="C240" s="11" t="s">
        <v>337</v>
      </c>
      <c r="D240" s="11" t="s">
        <v>39</v>
      </c>
      <c r="E240" s="11" t="s">
        <v>4046</v>
      </c>
      <c r="F240" s="11" t="s">
        <v>16</v>
      </c>
      <c r="G240" s="1">
        <v>46244</v>
      </c>
      <c r="H240" s="1">
        <v>46244</v>
      </c>
      <c r="I240" s="2">
        <v>0.58333333333333337</v>
      </c>
      <c r="J240" s="2">
        <v>0.875</v>
      </c>
      <c r="K240" s="11" t="s">
        <v>327</v>
      </c>
      <c r="L240" s="1"/>
      <c r="M240" s="1"/>
      <c r="N240" s="1"/>
      <c r="O240" s="11"/>
    </row>
    <row r="241" spans="1:15" hidden="1" x14ac:dyDescent="0.25">
      <c r="A241" s="1">
        <v>46244</v>
      </c>
      <c r="B241">
        <v>1053853703</v>
      </c>
      <c r="C241" s="11" t="s">
        <v>2209</v>
      </c>
      <c r="D241" s="11" t="s">
        <v>619</v>
      </c>
      <c r="E241" s="11" t="s">
        <v>4045</v>
      </c>
      <c r="F241" s="11" t="s">
        <v>4087</v>
      </c>
      <c r="G241" s="1">
        <v>46244</v>
      </c>
      <c r="H241" s="1">
        <v>46244</v>
      </c>
      <c r="I241" s="2">
        <v>0.5</v>
      </c>
      <c r="J241" s="2">
        <v>0.83333333333333337</v>
      </c>
      <c r="K241" s="11" t="s">
        <v>327</v>
      </c>
      <c r="L241" s="1"/>
      <c r="M241" s="1"/>
      <c r="N241" s="1"/>
      <c r="O241" s="11"/>
    </row>
    <row r="242" spans="1:15" hidden="1" x14ac:dyDescent="0.25">
      <c r="A242" s="1">
        <v>46244</v>
      </c>
      <c r="B242">
        <v>1216726482</v>
      </c>
      <c r="C242" s="11" t="s">
        <v>2985</v>
      </c>
      <c r="D242" s="11" t="s">
        <v>634</v>
      </c>
      <c r="E242" s="11" t="s">
        <v>4045</v>
      </c>
      <c r="F242" s="11" t="s">
        <v>4087</v>
      </c>
      <c r="G242" s="1">
        <v>46244</v>
      </c>
      <c r="H242" s="1">
        <v>46244</v>
      </c>
      <c r="I242" s="2">
        <v>0.58333333333333337</v>
      </c>
      <c r="J242" s="2">
        <v>0.875</v>
      </c>
      <c r="K242" s="11" t="s">
        <v>327</v>
      </c>
      <c r="L242" s="1"/>
      <c r="M242" s="1"/>
      <c r="N242" s="1"/>
      <c r="O242" s="11"/>
    </row>
    <row r="243" spans="1:15" hidden="1" x14ac:dyDescent="0.25">
      <c r="A243" s="1">
        <v>46246</v>
      </c>
      <c r="B243">
        <v>1000921455</v>
      </c>
      <c r="C243" s="11" t="s">
        <v>14</v>
      </c>
      <c r="D243" s="11" t="s">
        <v>15</v>
      </c>
      <c r="E243" s="11" t="s">
        <v>4046</v>
      </c>
      <c r="F243" s="11" t="s">
        <v>16</v>
      </c>
      <c r="G243" s="1">
        <v>46242</v>
      </c>
      <c r="H243" s="1">
        <v>46246</v>
      </c>
      <c r="I243" s="2">
        <v>0.58333333333333337</v>
      </c>
      <c r="J243" s="2">
        <v>0.875</v>
      </c>
      <c r="K243" s="11" t="s">
        <v>327</v>
      </c>
      <c r="L243" s="1"/>
      <c r="M243" s="1"/>
      <c r="N243" s="1"/>
      <c r="O243" s="11"/>
    </row>
    <row r="244" spans="1:15" hidden="1" x14ac:dyDescent="0.25">
      <c r="A244" s="1">
        <v>46245</v>
      </c>
      <c r="B244">
        <v>1007842898</v>
      </c>
      <c r="C244" s="11" t="s">
        <v>4159</v>
      </c>
      <c r="D244" s="11" t="s">
        <v>421</v>
      </c>
      <c r="E244" s="11" t="s">
        <v>4047</v>
      </c>
      <c r="F244" s="11" t="s">
        <v>4050</v>
      </c>
      <c r="G244" s="1">
        <v>46244</v>
      </c>
      <c r="H244" s="1">
        <v>46246</v>
      </c>
      <c r="I244" s="2">
        <v>0.58333333333333337</v>
      </c>
      <c r="J244" s="2">
        <v>0.875</v>
      </c>
      <c r="K244" s="11" t="s">
        <v>327</v>
      </c>
      <c r="L244" s="1"/>
      <c r="M244" s="1"/>
      <c r="N244" s="1"/>
      <c r="O244" s="11"/>
    </row>
    <row r="245" spans="1:15" hidden="1" x14ac:dyDescent="0.25">
      <c r="A245" s="1">
        <v>46263</v>
      </c>
      <c r="B245">
        <v>1001851670</v>
      </c>
      <c r="C245" s="11" t="s">
        <v>50</v>
      </c>
      <c r="D245" s="11" t="s">
        <v>51</v>
      </c>
      <c r="E245" s="11" t="s">
        <v>4047</v>
      </c>
      <c r="F245" s="11" t="s">
        <v>36</v>
      </c>
      <c r="G245" s="1">
        <v>46241</v>
      </c>
      <c r="H245" s="1">
        <v>46366</v>
      </c>
      <c r="I245" s="2"/>
      <c r="J245" s="2"/>
      <c r="K245" s="11" t="s">
        <v>339</v>
      </c>
      <c r="L245" s="1"/>
      <c r="M245" s="1"/>
      <c r="N245" s="1"/>
      <c r="O245" s="11"/>
    </row>
    <row r="246" spans="1:15" hidden="1" x14ac:dyDescent="0.25">
      <c r="A246" s="1">
        <v>46247</v>
      </c>
      <c r="B246">
        <v>1037671907</v>
      </c>
      <c r="C246" s="11" t="s">
        <v>4164</v>
      </c>
      <c r="D246" s="11" t="s">
        <v>82</v>
      </c>
      <c r="E246" s="11" t="s">
        <v>4045</v>
      </c>
      <c r="F246" s="11" t="s">
        <v>4050</v>
      </c>
      <c r="G246" s="1">
        <v>46245</v>
      </c>
      <c r="H246" s="1">
        <v>46247</v>
      </c>
      <c r="I246" s="2">
        <v>0.25</v>
      </c>
      <c r="J246" s="2">
        <v>0.54166666666666663</v>
      </c>
      <c r="K246" s="11" t="s">
        <v>327</v>
      </c>
      <c r="L246" s="1"/>
      <c r="M246" s="1"/>
      <c r="N246" s="1"/>
      <c r="O246" s="11"/>
    </row>
    <row r="247" spans="1:15" hidden="1" x14ac:dyDescent="0.25">
      <c r="A247" s="1">
        <v>46249</v>
      </c>
      <c r="B247">
        <v>1000662062</v>
      </c>
      <c r="C247" s="11" t="s">
        <v>330</v>
      </c>
      <c r="D247" s="11" t="s">
        <v>55</v>
      </c>
      <c r="E247" s="11" t="s">
        <v>4047</v>
      </c>
      <c r="F247" s="11" t="s">
        <v>16</v>
      </c>
      <c r="G247" s="1">
        <v>46245</v>
      </c>
      <c r="H247" s="1">
        <v>46249</v>
      </c>
      <c r="I247" s="2">
        <v>0.25</v>
      </c>
      <c r="J247" s="2">
        <v>0.66666666666666663</v>
      </c>
      <c r="K247" s="11" t="s">
        <v>327</v>
      </c>
      <c r="L247" s="1"/>
      <c r="M247" s="1"/>
      <c r="N247" s="1"/>
      <c r="O247" s="11"/>
    </row>
    <row r="248" spans="1:15" hidden="1" x14ac:dyDescent="0.25">
      <c r="A248" s="1">
        <v>46246</v>
      </c>
      <c r="B248">
        <v>1000408752</v>
      </c>
      <c r="C248" s="11" t="s">
        <v>3636</v>
      </c>
      <c r="D248" s="11" t="s">
        <v>55</v>
      </c>
      <c r="E248" s="11" t="s">
        <v>4047</v>
      </c>
      <c r="F248" s="11" t="s">
        <v>16</v>
      </c>
      <c r="G248" s="1">
        <v>46244</v>
      </c>
      <c r="H248" s="1">
        <v>46246</v>
      </c>
      <c r="I248" s="2">
        <v>0.25</v>
      </c>
      <c r="J248" s="2">
        <v>0.58333333333333337</v>
      </c>
      <c r="K248" s="11" t="s">
        <v>327</v>
      </c>
      <c r="L248" s="1"/>
      <c r="M248" s="1"/>
      <c r="N248" s="1"/>
      <c r="O248" s="11"/>
    </row>
    <row r="249" spans="1:15" hidden="1" x14ac:dyDescent="0.25">
      <c r="A249" s="1">
        <v>46247</v>
      </c>
      <c r="B249">
        <v>1077462479</v>
      </c>
      <c r="C249" s="11" t="s">
        <v>4027</v>
      </c>
      <c r="D249" s="11" t="s">
        <v>59</v>
      </c>
      <c r="E249" s="11" t="s">
        <v>4047</v>
      </c>
      <c r="F249" s="11" t="s">
        <v>4087</v>
      </c>
      <c r="G249" s="1">
        <v>46245</v>
      </c>
      <c r="H249" s="1">
        <v>46247</v>
      </c>
      <c r="I249" s="2">
        <v>0.5</v>
      </c>
      <c r="J249" s="2">
        <v>0.83333333333333337</v>
      </c>
      <c r="K249" s="11" t="s">
        <v>46</v>
      </c>
      <c r="L249" s="1"/>
      <c r="M249" s="1"/>
      <c r="N249" s="1"/>
      <c r="O249" s="11"/>
    </row>
    <row r="250" spans="1:15" hidden="1" x14ac:dyDescent="0.25">
      <c r="A250" s="1">
        <v>46246</v>
      </c>
      <c r="B250">
        <v>1017209928</v>
      </c>
      <c r="C250" s="11" t="s">
        <v>1205</v>
      </c>
      <c r="D250" s="11" t="s">
        <v>256</v>
      </c>
      <c r="E250" s="11" t="s">
        <v>4040</v>
      </c>
      <c r="F250" s="11" t="s">
        <v>16</v>
      </c>
      <c r="G250" s="1">
        <v>46245</v>
      </c>
      <c r="H250" s="1">
        <v>46246</v>
      </c>
      <c r="I250" s="2">
        <v>0.25</v>
      </c>
      <c r="J250" s="2">
        <v>0.54166666666666663</v>
      </c>
      <c r="K250" s="11" t="s">
        <v>327</v>
      </c>
      <c r="L250" s="1"/>
      <c r="M250" s="1"/>
      <c r="N250" s="1"/>
      <c r="O250" s="11"/>
    </row>
    <row r="251" spans="1:15" hidden="1" x14ac:dyDescent="0.25">
      <c r="A251" s="1">
        <v>46245</v>
      </c>
      <c r="B251">
        <v>1007508679</v>
      </c>
      <c r="C251" s="11" t="s">
        <v>1362</v>
      </c>
      <c r="D251" s="11" t="s">
        <v>51</v>
      </c>
      <c r="E251" s="11" t="s">
        <v>4047</v>
      </c>
      <c r="F251" s="11" t="s">
        <v>16</v>
      </c>
      <c r="G251" s="1">
        <v>46245</v>
      </c>
      <c r="H251" s="1">
        <v>46245</v>
      </c>
      <c r="I251" s="2">
        <v>0.58333333333333337</v>
      </c>
      <c r="J251" s="2">
        <v>0.875</v>
      </c>
      <c r="K251" s="11" t="s">
        <v>327</v>
      </c>
      <c r="L251" s="1"/>
      <c r="M251" s="1"/>
      <c r="N251" s="1"/>
      <c r="O251" s="11"/>
    </row>
    <row r="252" spans="1:15" hidden="1" x14ac:dyDescent="0.25">
      <c r="A252" s="1">
        <v>46246</v>
      </c>
      <c r="B252">
        <v>1143360194</v>
      </c>
      <c r="C252" s="11" t="s">
        <v>3508</v>
      </c>
      <c r="D252" s="11" t="s">
        <v>64</v>
      </c>
      <c r="E252" s="11" t="s">
        <v>4046</v>
      </c>
      <c r="F252" s="11" t="s">
        <v>16</v>
      </c>
      <c r="G252" s="1">
        <v>46245</v>
      </c>
      <c r="H252" s="1">
        <v>46246</v>
      </c>
      <c r="I252" s="2">
        <v>0.58333333333333337</v>
      </c>
      <c r="J252" s="2">
        <v>0.875</v>
      </c>
      <c r="K252" s="11" t="s">
        <v>4060</v>
      </c>
      <c r="L252" s="1"/>
      <c r="M252" s="1"/>
      <c r="N252" s="1"/>
      <c r="O252" s="11"/>
    </row>
    <row r="253" spans="1:15" hidden="1" x14ac:dyDescent="0.25">
      <c r="A253" s="1">
        <v>46245</v>
      </c>
      <c r="B253">
        <v>1001944593</v>
      </c>
      <c r="C253" s="11" t="s">
        <v>2629</v>
      </c>
      <c r="D253" s="11" t="s">
        <v>128</v>
      </c>
      <c r="E253" s="11" t="s">
        <v>4045</v>
      </c>
      <c r="F253" s="11" t="s">
        <v>16</v>
      </c>
      <c r="G253" s="1">
        <v>46245</v>
      </c>
      <c r="H253" s="1">
        <v>46245</v>
      </c>
      <c r="I253" s="2">
        <v>0.25</v>
      </c>
      <c r="J253" s="2">
        <v>0.54166666666666663</v>
      </c>
      <c r="K253" s="11" t="s">
        <v>4060</v>
      </c>
      <c r="L253" s="1"/>
      <c r="M253" s="1"/>
      <c r="N253" s="1"/>
      <c r="O253" s="11"/>
    </row>
    <row r="254" spans="1:15" hidden="1" x14ac:dyDescent="0.25">
      <c r="A254" s="1">
        <v>46246</v>
      </c>
      <c r="B254">
        <v>1140876076</v>
      </c>
      <c r="C254" s="11" t="s">
        <v>1326</v>
      </c>
      <c r="D254" s="11" t="s">
        <v>15</v>
      </c>
      <c r="E254" s="11" t="s">
        <v>4046</v>
      </c>
      <c r="F254" s="11" t="s">
        <v>16</v>
      </c>
      <c r="G254" s="1">
        <v>46245</v>
      </c>
      <c r="H254" s="1">
        <v>46246</v>
      </c>
      <c r="I254" s="2">
        <v>0.25</v>
      </c>
      <c r="J254" s="2">
        <v>0.58333333333333337</v>
      </c>
      <c r="K254" s="11" t="s">
        <v>327</v>
      </c>
      <c r="L254" s="1"/>
      <c r="M254" s="1"/>
      <c r="N254" s="1"/>
      <c r="O254" s="11"/>
    </row>
    <row r="255" spans="1:15" hidden="1" x14ac:dyDescent="0.25">
      <c r="A255" s="1">
        <v>46248</v>
      </c>
      <c r="B255">
        <v>1001897056</v>
      </c>
      <c r="C255" s="11" t="s">
        <v>334</v>
      </c>
      <c r="D255" s="11" t="s">
        <v>139</v>
      </c>
      <c r="E255" s="11" t="s">
        <v>4040</v>
      </c>
      <c r="F255" s="11" t="s">
        <v>16</v>
      </c>
      <c r="G255" s="1">
        <v>46245</v>
      </c>
      <c r="H255" s="1">
        <v>46249</v>
      </c>
      <c r="I255" s="2">
        <v>0.54166666666666663</v>
      </c>
      <c r="J255" s="2">
        <v>0.875</v>
      </c>
      <c r="K255" s="11" t="s">
        <v>327</v>
      </c>
      <c r="L255" s="1"/>
      <c r="M255" s="1"/>
      <c r="N255" s="1"/>
      <c r="O255" s="11"/>
    </row>
    <row r="256" spans="1:15" hidden="1" x14ac:dyDescent="0.25">
      <c r="A256" s="1">
        <v>46247</v>
      </c>
      <c r="B256">
        <v>1193584838</v>
      </c>
      <c r="C256" s="11" t="s">
        <v>3000</v>
      </c>
      <c r="D256" s="11" t="s">
        <v>59</v>
      </c>
      <c r="E256" s="11" t="s">
        <v>4047</v>
      </c>
      <c r="F256" s="11" t="s">
        <v>16</v>
      </c>
      <c r="G256" s="1">
        <v>46245</v>
      </c>
      <c r="H256" s="1">
        <v>46247</v>
      </c>
      <c r="I256" s="2">
        <v>0.25</v>
      </c>
      <c r="J256" s="2">
        <v>0.58333333333333337</v>
      </c>
      <c r="K256" s="11" t="s">
        <v>327</v>
      </c>
      <c r="L256" s="1"/>
      <c r="M256" s="1"/>
      <c r="N256" s="1"/>
      <c r="O256" s="11"/>
    </row>
    <row r="257" spans="1:15" hidden="1" x14ac:dyDescent="0.25">
      <c r="A257" s="1">
        <v>46245</v>
      </c>
      <c r="B257">
        <v>1052974971</v>
      </c>
      <c r="C257" s="11" t="s">
        <v>854</v>
      </c>
      <c r="D257" s="11" t="s">
        <v>176</v>
      </c>
      <c r="E257" s="11" t="s">
        <v>4040</v>
      </c>
      <c r="F257" s="11" t="s">
        <v>16</v>
      </c>
      <c r="G257" s="1">
        <v>46245</v>
      </c>
      <c r="H257" s="1">
        <v>46245</v>
      </c>
      <c r="I257" s="2">
        <v>0.41666666666666669</v>
      </c>
      <c r="J257" s="2">
        <v>0.79166666666666663</v>
      </c>
      <c r="K257" s="11" t="s">
        <v>4060</v>
      </c>
      <c r="L257" s="1"/>
      <c r="M257" s="1"/>
      <c r="N257" s="1"/>
      <c r="O257" s="11"/>
    </row>
    <row r="258" spans="1:15" hidden="1" x14ac:dyDescent="0.25">
      <c r="A258" s="1">
        <v>46246</v>
      </c>
      <c r="B258">
        <v>43271257</v>
      </c>
      <c r="C258" s="11" t="s">
        <v>1302</v>
      </c>
      <c r="D258" s="11" t="s">
        <v>15</v>
      </c>
      <c r="E258" s="11" t="s">
        <v>4046</v>
      </c>
      <c r="F258" s="11" t="s">
        <v>16</v>
      </c>
      <c r="G258" s="1">
        <v>46245</v>
      </c>
      <c r="H258" s="1">
        <v>46246</v>
      </c>
      <c r="I258" s="2">
        <v>0.25</v>
      </c>
      <c r="J258" s="2">
        <v>0.54166666666666663</v>
      </c>
      <c r="K258" s="11" t="s">
        <v>327</v>
      </c>
      <c r="L258" s="1"/>
      <c r="M258" s="1"/>
      <c r="N258" s="1"/>
      <c r="O258" s="11"/>
    </row>
    <row r="259" spans="1:15" hidden="1" x14ac:dyDescent="0.25">
      <c r="A259" s="1">
        <v>46246</v>
      </c>
      <c r="B259">
        <v>1000416307</v>
      </c>
      <c r="C259" s="11" t="s">
        <v>3062</v>
      </c>
      <c r="D259" s="11" t="s">
        <v>132</v>
      </c>
      <c r="E259" s="11" t="s">
        <v>4040</v>
      </c>
      <c r="F259" s="11" t="s">
        <v>16</v>
      </c>
      <c r="G259" s="1">
        <v>46245</v>
      </c>
      <c r="H259" s="1">
        <v>46246</v>
      </c>
      <c r="I259" s="2">
        <v>0.25</v>
      </c>
      <c r="J259" s="2">
        <v>0.54166666666666663</v>
      </c>
      <c r="K259" s="11" t="s">
        <v>117</v>
      </c>
      <c r="L259" s="1"/>
      <c r="M259" s="1"/>
      <c r="N259" s="1"/>
      <c r="O259" s="11"/>
    </row>
    <row r="260" spans="1:15" hidden="1" x14ac:dyDescent="0.25">
      <c r="A260" s="1">
        <v>46246</v>
      </c>
      <c r="B260">
        <v>1057608489</v>
      </c>
      <c r="C260" s="11" t="s">
        <v>3080</v>
      </c>
      <c r="D260" s="11" t="s">
        <v>132</v>
      </c>
      <c r="E260" s="11" t="s">
        <v>4040</v>
      </c>
      <c r="F260" s="11" t="s">
        <v>16</v>
      </c>
      <c r="G260" s="1">
        <v>46245</v>
      </c>
      <c r="H260" s="1">
        <v>46246</v>
      </c>
      <c r="I260" s="2">
        <v>0.58333333333333337</v>
      </c>
      <c r="J260" s="2">
        <v>0.875</v>
      </c>
      <c r="K260" s="11" t="s">
        <v>327</v>
      </c>
      <c r="L260" s="1"/>
      <c r="M260" s="1"/>
      <c r="N260" s="1"/>
      <c r="O260" s="11"/>
    </row>
    <row r="261" spans="1:15" hidden="1" x14ac:dyDescent="0.25">
      <c r="A261" s="1">
        <v>46246</v>
      </c>
      <c r="B261">
        <v>1020470720</v>
      </c>
      <c r="C261" s="11" t="s">
        <v>620</v>
      </c>
      <c r="D261" s="11" t="s">
        <v>619</v>
      </c>
      <c r="E261" s="11" t="s">
        <v>4045</v>
      </c>
      <c r="F261" s="11" t="s">
        <v>16</v>
      </c>
      <c r="G261" s="1">
        <v>46245</v>
      </c>
      <c r="H261" s="1">
        <v>46246</v>
      </c>
      <c r="I261" s="2">
        <v>0.25</v>
      </c>
      <c r="J261" s="2">
        <v>0.58333333333333337</v>
      </c>
      <c r="K261" s="11" t="s">
        <v>327</v>
      </c>
      <c r="L261" s="1"/>
      <c r="M261" s="1"/>
      <c r="N261" s="1"/>
      <c r="O261" s="11"/>
    </row>
    <row r="262" spans="1:15" hidden="1" x14ac:dyDescent="0.25">
      <c r="A262" s="1">
        <v>46246</v>
      </c>
      <c r="B262">
        <v>1047503032</v>
      </c>
      <c r="C262" s="11" t="s">
        <v>3019</v>
      </c>
      <c r="D262" s="11" t="s">
        <v>162</v>
      </c>
      <c r="E262" s="11" t="s">
        <v>4056</v>
      </c>
      <c r="F262" s="11" t="s">
        <v>16</v>
      </c>
      <c r="G262" s="1">
        <v>46245</v>
      </c>
      <c r="H262" s="1">
        <v>46246</v>
      </c>
      <c r="I262" s="2">
        <v>0.25</v>
      </c>
      <c r="J262" s="2">
        <v>0.58333333333333337</v>
      </c>
      <c r="K262" s="11" t="s">
        <v>268</v>
      </c>
      <c r="L262" s="1"/>
      <c r="M262" s="1"/>
      <c r="N262" s="1"/>
      <c r="O262" s="11"/>
    </row>
    <row r="263" spans="1:15" hidden="1" x14ac:dyDescent="0.25">
      <c r="A263" s="1">
        <v>46247</v>
      </c>
      <c r="B263">
        <v>1143373273</v>
      </c>
      <c r="C263" s="11" t="s">
        <v>2037</v>
      </c>
      <c r="D263" s="11" t="s">
        <v>272</v>
      </c>
      <c r="E263" s="11" t="s">
        <v>4056</v>
      </c>
      <c r="F263" s="11" t="s">
        <v>16</v>
      </c>
      <c r="G263" s="1">
        <v>46245</v>
      </c>
      <c r="H263" s="1">
        <v>46247</v>
      </c>
      <c r="I263" s="2">
        <v>0.25</v>
      </c>
      <c r="J263" s="2">
        <v>0.58333333333333337</v>
      </c>
      <c r="K263" s="11" t="s">
        <v>3663</v>
      </c>
      <c r="L263" s="1"/>
      <c r="M263" s="1"/>
      <c r="N263" s="1"/>
      <c r="O263" s="11"/>
    </row>
    <row r="264" spans="1:15" hidden="1" x14ac:dyDescent="0.25">
      <c r="A264" s="1">
        <v>46246</v>
      </c>
      <c r="B264">
        <v>1085265026</v>
      </c>
      <c r="C264" s="11" t="s">
        <v>91</v>
      </c>
      <c r="D264" s="11" t="s">
        <v>55</v>
      </c>
      <c r="E264" s="11" t="s">
        <v>4047</v>
      </c>
      <c r="F264" s="11" t="s">
        <v>4165</v>
      </c>
      <c r="G264" s="1">
        <v>46245</v>
      </c>
      <c r="H264" s="1">
        <v>46249</v>
      </c>
      <c r="I264" s="2">
        <v>0.58333333333333337</v>
      </c>
      <c r="J264" s="2">
        <v>0.875</v>
      </c>
      <c r="K264" s="11" t="s">
        <v>200</v>
      </c>
      <c r="L264" s="1"/>
      <c r="M264" s="1"/>
      <c r="N264" s="1"/>
      <c r="O264" s="11"/>
    </row>
    <row r="265" spans="1:15" hidden="1" x14ac:dyDescent="0.25">
      <c r="A265" s="1">
        <v>46246</v>
      </c>
      <c r="B265">
        <v>1044393706</v>
      </c>
      <c r="C265" s="11" t="s">
        <v>908</v>
      </c>
      <c r="D265" s="11" t="s">
        <v>128</v>
      </c>
      <c r="E265" s="11" t="s">
        <v>4045</v>
      </c>
      <c r="F265" s="11" t="s">
        <v>16</v>
      </c>
      <c r="G265" s="1">
        <v>46245</v>
      </c>
      <c r="H265" s="1">
        <v>46246</v>
      </c>
      <c r="I265" s="2">
        <v>0.54166666666666663</v>
      </c>
      <c r="J265" s="2">
        <v>0.875</v>
      </c>
      <c r="K265" s="11" t="s">
        <v>327</v>
      </c>
      <c r="L265" s="1"/>
      <c r="M265" s="1"/>
      <c r="N265" s="1"/>
      <c r="O265" s="11"/>
    </row>
    <row r="266" spans="1:15" hidden="1" x14ac:dyDescent="0.25">
      <c r="A266" s="1">
        <v>46246</v>
      </c>
      <c r="B266">
        <v>1037570349</v>
      </c>
      <c r="C266" s="11" t="s">
        <v>2818</v>
      </c>
      <c r="D266" s="11" t="s">
        <v>128</v>
      </c>
      <c r="E266" s="11" t="s">
        <v>4045</v>
      </c>
      <c r="F266" s="11" t="s">
        <v>16</v>
      </c>
      <c r="G266" s="1">
        <v>46245</v>
      </c>
      <c r="H266" s="1">
        <v>46246</v>
      </c>
      <c r="I266" s="2">
        <v>0.25</v>
      </c>
      <c r="J266" s="2">
        <v>0.54166666666666663</v>
      </c>
      <c r="K266" s="11" t="s">
        <v>4060</v>
      </c>
      <c r="L266" s="1"/>
      <c r="M266" s="1"/>
      <c r="N266" s="1"/>
      <c r="O266" s="11"/>
    </row>
    <row r="267" spans="1:15" hidden="1" x14ac:dyDescent="0.25">
      <c r="A267" s="1">
        <v>46249</v>
      </c>
      <c r="B267">
        <v>1036633827</v>
      </c>
      <c r="C267" s="11" t="s">
        <v>1356</v>
      </c>
      <c r="D267" s="11" t="s">
        <v>15</v>
      </c>
      <c r="E267" s="11" t="s">
        <v>4046</v>
      </c>
      <c r="F267" s="11" t="s">
        <v>16</v>
      </c>
      <c r="G267" s="1">
        <v>46249</v>
      </c>
      <c r="H267" s="1">
        <v>46249</v>
      </c>
      <c r="I267" s="2">
        <v>0.25</v>
      </c>
      <c r="J267" s="2">
        <v>0.66666666666666663</v>
      </c>
      <c r="K267" s="11" t="s">
        <v>4060</v>
      </c>
      <c r="L267" s="1"/>
      <c r="M267" s="1"/>
      <c r="N267" s="1"/>
      <c r="O267" s="11"/>
    </row>
    <row r="268" spans="1:15" hidden="1" x14ac:dyDescent="0.25">
      <c r="A268" s="1">
        <v>46249</v>
      </c>
      <c r="B268">
        <v>1045718883</v>
      </c>
      <c r="C268" s="11" t="s">
        <v>34</v>
      </c>
      <c r="D268" s="11" t="s">
        <v>15</v>
      </c>
      <c r="E268" s="11" t="s">
        <v>4046</v>
      </c>
      <c r="F268" s="11" t="s">
        <v>36</v>
      </c>
      <c r="G268" s="1">
        <v>46245</v>
      </c>
      <c r="H268" s="1">
        <v>46340</v>
      </c>
      <c r="I268" s="2"/>
      <c r="J268" s="2"/>
      <c r="K268" s="11" t="s">
        <v>341</v>
      </c>
      <c r="L268" s="1"/>
      <c r="M268" s="1"/>
      <c r="N268" s="1"/>
      <c r="O268" s="11"/>
    </row>
    <row r="269" spans="1:15" hidden="1" x14ac:dyDescent="0.25">
      <c r="A269" s="1">
        <v>46254</v>
      </c>
      <c r="B269">
        <v>1035876080</v>
      </c>
      <c r="C269" s="11" t="s">
        <v>123</v>
      </c>
      <c r="D269" s="11" t="s">
        <v>124</v>
      </c>
      <c r="E269" s="11" t="s">
        <v>4045</v>
      </c>
      <c r="F269" s="11" t="s">
        <v>16</v>
      </c>
      <c r="G269" s="1">
        <v>46246</v>
      </c>
      <c r="H269" s="1">
        <v>46254</v>
      </c>
      <c r="I269" s="2">
        <v>0.25</v>
      </c>
      <c r="J269" s="2">
        <v>0.58333333333333337</v>
      </c>
      <c r="K269" s="11" t="s">
        <v>168</v>
      </c>
      <c r="L269" s="1"/>
      <c r="M269" s="1"/>
      <c r="N269" s="1"/>
      <c r="O269" s="11"/>
    </row>
    <row r="270" spans="1:15" hidden="1" x14ac:dyDescent="0.25">
      <c r="A270" s="1">
        <v>46249</v>
      </c>
      <c r="B270">
        <v>1143414481</v>
      </c>
      <c r="C270" s="11" t="s">
        <v>2447</v>
      </c>
      <c r="D270" s="11" t="s">
        <v>28</v>
      </c>
      <c r="E270" s="11" t="s">
        <v>4046</v>
      </c>
      <c r="F270" s="11" t="s">
        <v>4123</v>
      </c>
      <c r="G270" s="1">
        <v>46247</v>
      </c>
      <c r="H270" s="1">
        <v>46252</v>
      </c>
      <c r="I270" s="2"/>
      <c r="J270" s="2"/>
      <c r="K270" s="11" t="s">
        <v>341</v>
      </c>
      <c r="L270" s="1"/>
      <c r="M270" s="1"/>
      <c r="N270" s="1"/>
      <c r="O270" s="11"/>
    </row>
    <row r="271" spans="1:15" hidden="1" x14ac:dyDescent="0.25">
      <c r="A271" s="1">
        <v>46263</v>
      </c>
      <c r="B271">
        <v>1037630071</v>
      </c>
      <c r="C271" s="11" t="s">
        <v>4196</v>
      </c>
      <c r="D271" s="11" t="s">
        <v>139</v>
      </c>
      <c r="E271" s="11" t="s">
        <v>4040</v>
      </c>
      <c r="F271" s="11" t="s">
        <v>4062</v>
      </c>
      <c r="G271" s="1">
        <v>46247</v>
      </c>
      <c r="H271" s="1">
        <v>46265</v>
      </c>
      <c r="I271" s="2"/>
      <c r="J271" s="2"/>
      <c r="K271" s="11" t="s">
        <v>339</v>
      </c>
      <c r="L271" s="1"/>
      <c r="M271" s="1"/>
      <c r="N271" s="1"/>
      <c r="O271" s="11"/>
    </row>
    <row r="272" spans="1:15" hidden="1" x14ac:dyDescent="0.25">
      <c r="A272" s="1">
        <v>46249</v>
      </c>
      <c r="B272">
        <v>92541180</v>
      </c>
      <c r="C272" s="11" t="s">
        <v>2605</v>
      </c>
      <c r="D272" s="11" t="s">
        <v>128</v>
      </c>
      <c r="E272" s="11" t="s">
        <v>4045</v>
      </c>
      <c r="F272" s="11" t="s">
        <v>4074</v>
      </c>
      <c r="G272" s="1">
        <v>46247</v>
      </c>
      <c r="H272" s="1"/>
      <c r="I272" s="2">
        <v>0.25</v>
      </c>
      <c r="J272" s="2">
        <v>0.66666666666666663</v>
      </c>
      <c r="K272" s="11" t="s">
        <v>4060</v>
      </c>
      <c r="L272" s="1"/>
      <c r="M272" s="1"/>
      <c r="N272" s="1"/>
      <c r="O272" s="11"/>
    </row>
    <row r="273" spans="1:15" hidden="1" x14ac:dyDescent="0.25">
      <c r="A273" s="1">
        <v>46249</v>
      </c>
      <c r="B273">
        <v>73189515</v>
      </c>
      <c r="C273" s="11" t="s">
        <v>773</v>
      </c>
      <c r="D273" s="11" t="s">
        <v>272</v>
      </c>
      <c r="E273" s="11" t="s">
        <v>4056</v>
      </c>
      <c r="F273" s="11" t="s">
        <v>4087</v>
      </c>
      <c r="G273" s="1">
        <v>46248</v>
      </c>
      <c r="H273" s="1">
        <v>46252</v>
      </c>
      <c r="I273" s="2">
        <v>0.25</v>
      </c>
      <c r="J273" s="2">
        <v>0.58333333333333337</v>
      </c>
      <c r="K273" s="11" t="s">
        <v>561</v>
      </c>
      <c r="L273" s="1"/>
      <c r="M273" s="1"/>
      <c r="N273" s="1"/>
      <c r="O273" s="11"/>
    </row>
    <row r="274" spans="1:15" hidden="1" x14ac:dyDescent="0.25">
      <c r="A274" s="1">
        <v>46252</v>
      </c>
      <c r="B274">
        <v>1140903391</v>
      </c>
      <c r="C274" s="11" t="s">
        <v>301</v>
      </c>
      <c r="D274" s="11" t="s">
        <v>39</v>
      </c>
      <c r="E274" s="11" t="s">
        <v>4046</v>
      </c>
      <c r="F274" s="11" t="s">
        <v>4168</v>
      </c>
      <c r="G274" s="1">
        <v>46252</v>
      </c>
      <c r="H274" s="1">
        <v>46252</v>
      </c>
      <c r="I274" s="2">
        <v>0.33333333333333331</v>
      </c>
      <c r="J274" s="2">
        <v>0.66666666666666663</v>
      </c>
      <c r="K274" s="11" t="s">
        <v>339</v>
      </c>
      <c r="L274" s="1"/>
      <c r="M274" s="1"/>
      <c r="N274" s="1"/>
      <c r="O274" s="11"/>
    </row>
    <row r="275" spans="1:15" hidden="1" x14ac:dyDescent="0.25">
      <c r="A275" s="1">
        <v>46263</v>
      </c>
      <c r="B275">
        <v>1040755197</v>
      </c>
      <c r="C275" s="11" t="s">
        <v>171</v>
      </c>
      <c r="D275" s="11" t="s">
        <v>102</v>
      </c>
      <c r="E275" s="11" t="s">
        <v>4046</v>
      </c>
      <c r="F275" s="11" t="s">
        <v>4074</v>
      </c>
      <c r="G275" s="1">
        <v>46252</v>
      </c>
      <c r="H275" s="1">
        <v>46262</v>
      </c>
      <c r="I275" s="2"/>
      <c r="J275" s="2"/>
      <c r="K275" s="11" t="s">
        <v>339</v>
      </c>
      <c r="L275" s="1"/>
      <c r="M275" s="1"/>
      <c r="N275" s="1"/>
      <c r="O275" s="11"/>
    </row>
    <row r="276" spans="1:15" hidden="1" x14ac:dyDescent="0.25">
      <c r="A276" s="1">
        <v>46252</v>
      </c>
      <c r="B276">
        <v>1140891109</v>
      </c>
      <c r="C276" s="11" t="s">
        <v>1287</v>
      </c>
      <c r="D276" s="11" t="s">
        <v>51</v>
      </c>
      <c r="E276" s="11" t="s">
        <v>4047</v>
      </c>
      <c r="F276" s="11" t="s">
        <v>16</v>
      </c>
      <c r="G276" s="1">
        <v>46249</v>
      </c>
      <c r="H276" s="1">
        <v>46249</v>
      </c>
      <c r="I276" s="2">
        <v>0.54166666666666663</v>
      </c>
      <c r="J276" s="2">
        <v>0.875</v>
      </c>
      <c r="K276" s="11" t="s">
        <v>4060</v>
      </c>
      <c r="L276" s="1"/>
      <c r="M276" s="1"/>
      <c r="N276" s="1"/>
      <c r="O276" s="11"/>
    </row>
    <row r="277" spans="1:15" hidden="1" x14ac:dyDescent="0.25">
      <c r="A277" s="1">
        <v>46249</v>
      </c>
      <c r="B277">
        <v>1043006106</v>
      </c>
      <c r="C277" s="11" t="s">
        <v>202</v>
      </c>
      <c r="D277" s="11" t="s">
        <v>64</v>
      </c>
      <c r="E277" s="11" t="s">
        <v>4046</v>
      </c>
      <c r="F277" s="11" t="s">
        <v>16</v>
      </c>
      <c r="G277" s="1">
        <v>46248</v>
      </c>
      <c r="H277" s="1">
        <v>46277</v>
      </c>
      <c r="I277" s="2">
        <v>0.25</v>
      </c>
      <c r="J277" s="2">
        <v>0.66666666666666663</v>
      </c>
      <c r="K277" s="11" t="s">
        <v>327</v>
      </c>
      <c r="L277" s="1"/>
      <c r="M277" s="1"/>
      <c r="N277" s="1"/>
      <c r="O277" s="11"/>
    </row>
    <row r="278" spans="1:15" hidden="1" x14ac:dyDescent="0.25">
      <c r="A278" s="1">
        <v>46249</v>
      </c>
      <c r="B278">
        <v>1007959114</v>
      </c>
      <c r="C278" s="11" t="s">
        <v>337</v>
      </c>
      <c r="D278" s="11" t="s">
        <v>39</v>
      </c>
      <c r="E278" s="11" t="s">
        <v>4046</v>
      </c>
      <c r="F278" s="11" t="s">
        <v>4074</v>
      </c>
      <c r="G278" s="1">
        <v>46249</v>
      </c>
      <c r="H278" s="1">
        <v>46253</v>
      </c>
      <c r="I278" s="2">
        <v>0.25</v>
      </c>
      <c r="J278" s="2">
        <v>0.66666666666666663</v>
      </c>
      <c r="K278" s="11" t="s">
        <v>4060</v>
      </c>
      <c r="L278" s="1"/>
      <c r="M278" s="1"/>
      <c r="N278" s="1"/>
      <c r="O278" s="11"/>
    </row>
    <row r="279" spans="1:15" hidden="1" x14ac:dyDescent="0.25">
      <c r="A279" s="1">
        <v>46249</v>
      </c>
      <c r="B279">
        <v>1152187746</v>
      </c>
      <c r="C279" s="11" t="s">
        <v>4007</v>
      </c>
      <c r="D279" s="11" t="s">
        <v>619</v>
      </c>
      <c r="E279" s="11" t="s">
        <v>4045</v>
      </c>
      <c r="F279" s="11" t="s">
        <v>4074</v>
      </c>
      <c r="G279" s="1">
        <v>46249</v>
      </c>
      <c r="H279" s="1"/>
      <c r="I279" s="2">
        <v>0.25</v>
      </c>
      <c r="J279" s="2">
        <v>0.66666666666666663</v>
      </c>
      <c r="K279" s="11" t="s">
        <v>4060</v>
      </c>
      <c r="L279" s="1"/>
      <c r="M279" s="1"/>
      <c r="N279" s="1"/>
      <c r="O279" s="11"/>
    </row>
    <row r="280" spans="1:15" hidden="1" x14ac:dyDescent="0.25">
      <c r="A280" s="1">
        <v>46252</v>
      </c>
      <c r="B280">
        <v>1001446162</v>
      </c>
      <c r="C280" s="11" t="s">
        <v>3663</v>
      </c>
      <c r="D280" s="11" t="s">
        <v>4125</v>
      </c>
      <c r="E280" s="11" t="s">
        <v>4056</v>
      </c>
      <c r="F280" s="11" t="s">
        <v>4125</v>
      </c>
      <c r="G280" s="1">
        <v>46252</v>
      </c>
      <c r="H280" s="1">
        <v>46252</v>
      </c>
      <c r="I280" s="2">
        <v>0.25</v>
      </c>
      <c r="J280" s="2">
        <v>0.58333333333333337</v>
      </c>
      <c r="K280" s="11" t="s">
        <v>339</v>
      </c>
      <c r="L280" s="1"/>
      <c r="M280" s="1"/>
      <c r="N280" s="1"/>
      <c r="O280" s="11"/>
    </row>
    <row r="281" spans="1:15" hidden="1" x14ac:dyDescent="0.25">
      <c r="A281" s="1">
        <v>46252</v>
      </c>
      <c r="B281">
        <v>52932342</v>
      </c>
      <c r="C281" s="11" t="s">
        <v>564</v>
      </c>
      <c r="D281" s="11" t="s">
        <v>421</v>
      </c>
      <c r="E281" s="11" t="s">
        <v>4047</v>
      </c>
      <c r="F281" s="11" t="s">
        <v>4074</v>
      </c>
      <c r="G281" s="1">
        <v>46252</v>
      </c>
      <c r="H281" s="1">
        <v>46254</v>
      </c>
      <c r="I281" s="2">
        <v>0.25</v>
      </c>
      <c r="J281" s="2">
        <v>0.58333333333333337</v>
      </c>
      <c r="K281" s="11" t="s">
        <v>4171</v>
      </c>
      <c r="L281" s="1"/>
      <c r="M281" s="1"/>
      <c r="N281" s="1"/>
      <c r="O281" s="11"/>
    </row>
    <row r="282" spans="1:15" hidden="1" x14ac:dyDescent="0.25">
      <c r="A282" s="1">
        <v>46252</v>
      </c>
      <c r="B282">
        <v>1040047481</v>
      </c>
      <c r="C282" s="11" t="s">
        <v>2331</v>
      </c>
      <c r="D282" s="11" t="s">
        <v>272</v>
      </c>
      <c r="E282" s="11" t="s">
        <v>4056</v>
      </c>
      <c r="F282" s="11" t="s">
        <v>36</v>
      </c>
      <c r="G282" s="1">
        <v>46244</v>
      </c>
      <c r="H282" s="1">
        <v>46369</v>
      </c>
      <c r="I282" s="2"/>
      <c r="J282" s="2"/>
      <c r="K282" s="11" t="s">
        <v>341</v>
      </c>
      <c r="L282" s="1"/>
      <c r="M282" s="1"/>
      <c r="N282" s="1"/>
      <c r="O282" s="11"/>
    </row>
    <row r="283" spans="1:15" hidden="1" x14ac:dyDescent="0.25">
      <c r="A283" s="1">
        <v>46252</v>
      </c>
      <c r="B283">
        <v>43453341</v>
      </c>
      <c r="C283" s="11" t="s">
        <v>146</v>
      </c>
      <c r="D283" s="11" t="s">
        <v>124</v>
      </c>
      <c r="E283" s="11" t="s">
        <v>4045</v>
      </c>
      <c r="F283" s="11" t="s">
        <v>4074</v>
      </c>
      <c r="G283" s="1">
        <v>46252</v>
      </c>
      <c r="H283" s="1">
        <v>46253</v>
      </c>
      <c r="I283" s="2">
        <v>0.25</v>
      </c>
      <c r="J283" s="2">
        <v>0.54166666666666663</v>
      </c>
      <c r="K283" s="11" t="s">
        <v>4172</v>
      </c>
      <c r="L283" s="1"/>
      <c r="M283" s="1"/>
      <c r="N283" s="1"/>
      <c r="O283" s="11"/>
    </row>
    <row r="284" spans="1:15" hidden="1" x14ac:dyDescent="0.25">
      <c r="A284" s="1">
        <v>46252</v>
      </c>
      <c r="B284">
        <v>1083048590</v>
      </c>
      <c r="C284" s="11" t="s">
        <v>2487</v>
      </c>
      <c r="D284" s="11" t="s">
        <v>28</v>
      </c>
      <c r="E284" s="11" t="s">
        <v>4046</v>
      </c>
      <c r="F284" s="11" t="s">
        <v>4074</v>
      </c>
      <c r="G284" s="1">
        <v>46252</v>
      </c>
      <c r="H284" s="1">
        <v>46252</v>
      </c>
      <c r="I284" s="2">
        <v>0.25</v>
      </c>
      <c r="J284" s="2">
        <v>0.58333333333333337</v>
      </c>
      <c r="K284" s="11" t="s">
        <v>4060</v>
      </c>
      <c r="L284" s="1"/>
      <c r="M284" s="1"/>
      <c r="N284" s="1"/>
      <c r="O284" s="11"/>
    </row>
    <row r="285" spans="1:15" hidden="1" x14ac:dyDescent="0.25">
      <c r="A285" s="1">
        <v>46252</v>
      </c>
      <c r="B285">
        <v>1193037165</v>
      </c>
      <c r="C285" s="11" t="s">
        <v>3800</v>
      </c>
      <c r="D285" s="11" t="s">
        <v>78</v>
      </c>
      <c r="E285" s="11" t="s">
        <v>4046</v>
      </c>
      <c r="F285" s="11" t="s">
        <v>4074</v>
      </c>
      <c r="G285" s="1">
        <v>46252</v>
      </c>
      <c r="H285" s="1">
        <v>46253</v>
      </c>
      <c r="I285" s="2">
        <v>0.58333333333333337</v>
      </c>
      <c r="J285" s="2">
        <v>0.875</v>
      </c>
      <c r="K285" s="11" t="s">
        <v>4173</v>
      </c>
      <c r="L285" s="1"/>
      <c r="M285" s="1"/>
      <c r="N285" s="1"/>
      <c r="O285" s="11"/>
    </row>
    <row r="286" spans="1:15" hidden="1" x14ac:dyDescent="0.25">
      <c r="A286" s="1">
        <v>46252</v>
      </c>
      <c r="B286">
        <v>1001996913</v>
      </c>
      <c r="C286" s="11" t="s">
        <v>3174</v>
      </c>
      <c r="D286" s="11" t="s">
        <v>28</v>
      </c>
      <c r="E286" s="11" t="s">
        <v>4046</v>
      </c>
      <c r="F286" s="11" t="s">
        <v>4074</v>
      </c>
      <c r="G286" s="1">
        <v>46252</v>
      </c>
      <c r="H286" s="1">
        <v>46254</v>
      </c>
      <c r="I286" s="2">
        <v>0.25</v>
      </c>
      <c r="J286" s="2">
        <v>0.54166666666666663</v>
      </c>
      <c r="K286" s="11" t="s">
        <v>4060</v>
      </c>
      <c r="L286" s="1"/>
      <c r="M286" s="1"/>
      <c r="N286" s="1"/>
      <c r="O286" s="11"/>
    </row>
    <row r="287" spans="1:15" hidden="1" x14ac:dyDescent="0.25">
      <c r="A287" s="1">
        <v>46252</v>
      </c>
      <c r="B287">
        <v>88030132</v>
      </c>
      <c r="C287" s="11" t="s">
        <v>1956</v>
      </c>
      <c r="D287" s="11" t="s">
        <v>59</v>
      </c>
      <c r="E287" s="11" t="s">
        <v>4047</v>
      </c>
      <c r="F287" s="11" t="s">
        <v>4074</v>
      </c>
      <c r="G287" s="1">
        <v>46252</v>
      </c>
      <c r="H287" s="1">
        <v>46253</v>
      </c>
      <c r="I287" s="2">
        <v>0.25</v>
      </c>
      <c r="J287" s="2">
        <v>0.5</v>
      </c>
      <c r="K287" s="11" t="s">
        <v>4060</v>
      </c>
      <c r="L287" s="1"/>
      <c r="M287" s="1"/>
      <c r="N287" s="1"/>
      <c r="O287" s="11"/>
    </row>
    <row r="288" spans="1:15" hidden="1" x14ac:dyDescent="0.25">
      <c r="A288" s="1">
        <v>46252</v>
      </c>
      <c r="B288">
        <v>1152467583</v>
      </c>
      <c r="C288" s="11" t="s">
        <v>3788</v>
      </c>
      <c r="D288" s="11" t="s">
        <v>68</v>
      </c>
      <c r="E288" s="11" t="s">
        <v>4040</v>
      </c>
      <c r="F288" s="11" t="s">
        <v>4074</v>
      </c>
      <c r="G288" s="1">
        <v>46252</v>
      </c>
      <c r="H288" s="1">
        <v>46253</v>
      </c>
      <c r="I288" s="2">
        <v>0.25</v>
      </c>
      <c r="J288" s="2">
        <v>0.54166666666666663</v>
      </c>
      <c r="K288" s="11" t="s">
        <v>4060</v>
      </c>
      <c r="L288" s="1"/>
      <c r="M288" s="1"/>
      <c r="N288" s="1"/>
      <c r="O288" s="11"/>
    </row>
    <row r="289" spans="1:15" hidden="1" x14ac:dyDescent="0.25">
      <c r="A289" s="1">
        <v>46253</v>
      </c>
      <c r="B289">
        <v>1002210045</v>
      </c>
      <c r="C289" s="11" t="s">
        <v>1815</v>
      </c>
      <c r="D289" s="11" t="s">
        <v>421</v>
      </c>
      <c r="E289" s="11" t="s">
        <v>4047</v>
      </c>
      <c r="F289" s="11" t="s">
        <v>16</v>
      </c>
      <c r="G289" s="1">
        <v>46252</v>
      </c>
      <c r="H289" s="1">
        <v>46253</v>
      </c>
      <c r="I289" s="2">
        <v>0.25</v>
      </c>
      <c r="J289" s="2">
        <v>0.45833333333333331</v>
      </c>
      <c r="K289" s="11" t="s">
        <v>327</v>
      </c>
      <c r="L289" s="1"/>
      <c r="M289" s="1"/>
      <c r="N289" s="1"/>
      <c r="O289" s="11"/>
    </row>
    <row r="290" spans="1:15" hidden="1" x14ac:dyDescent="0.25">
      <c r="A290" s="1">
        <v>46253</v>
      </c>
      <c r="B290">
        <v>1143375080</v>
      </c>
      <c r="C290" s="11" t="s">
        <v>203</v>
      </c>
      <c r="D290" s="11" t="s">
        <v>44</v>
      </c>
      <c r="E290" s="11" t="s">
        <v>4045</v>
      </c>
      <c r="F290" s="11" t="s">
        <v>158</v>
      </c>
      <c r="G290" s="1">
        <v>46252</v>
      </c>
      <c r="H290" s="1"/>
      <c r="I290" s="2">
        <v>0.25</v>
      </c>
      <c r="J290" s="2">
        <v>0.58333333333333337</v>
      </c>
      <c r="K290" s="11" t="s">
        <v>120</v>
      </c>
      <c r="L290" s="1"/>
      <c r="M290" s="1"/>
      <c r="N290" s="1"/>
      <c r="O290" s="11"/>
    </row>
    <row r="291" spans="1:15" hidden="1" x14ac:dyDescent="0.25">
      <c r="A291" s="1">
        <v>46252</v>
      </c>
      <c r="B291">
        <v>1143267842</v>
      </c>
      <c r="C291" s="11" t="s">
        <v>1501</v>
      </c>
      <c r="D291" s="11" t="s">
        <v>128</v>
      </c>
      <c r="E291" s="11" t="s">
        <v>4045</v>
      </c>
      <c r="F291" s="11" t="s">
        <v>4074</v>
      </c>
      <c r="G291" s="1">
        <v>46252</v>
      </c>
      <c r="H291" s="1">
        <v>46253</v>
      </c>
      <c r="I291" s="2">
        <v>0.25</v>
      </c>
      <c r="J291" s="2">
        <v>0.58333333333333337</v>
      </c>
      <c r="K291" s="11" t="s">
        <v>4060</v>
      </c>
      <c r="L291" s="1"/>
      <c r="M291" s="1"/>
      <c r="N291" s="1"/>
      <c r="O291" s="11"/>
    </row>
    <row r="292" spans="1:15" hidden="1" x14ac:dyDescent="0.25">
      <c r="A292" s="1">
        <v>46252</v>
      </c>
      <c r="B292">
        <v>1152434926</v>
      </c>
      <c r="C292" s="11" t="s">
        <v>217</v>
      </c>
      <c r="D292" s="11" t="s">
        <v>59</v>
      </c>
      <c r="E292" s="11" t="s">
        <v>4047</v>
      </c>
      <c r="F292" s="11" t="s">
        <v>4074</v>
      </c>
      <c r="G292" s="1">
        <v>46252</v>
      </c>
      <c r="H292" s="1">
        <v>46255</v>
      </c>
      <c r="I292" s="2">
        <v>0.25</v>
      </c>
      <c r="J292" s="2">
        <v>0.58333333333333337</v>
      </c>
      <c r="K292" s="11" t="s">
        <v>4060</v>
      </c>
      <c r="L292" s="1"/>
      <c r="M292" s="1"/>
      <c r="N292" s="1"/>
      <c r="O292" s="11"/>
    </row>
    <row r="293" spans="1:15" hidden="1" x14ac:dyDescent="0.25">
      <c r="A293" s="1">
        <v>46252</v>
      </c>
      <c r="B293">
        <v>1214714989</v>
      </c>
      <c r="C293" s="11" t="s">
        <v>2191</v>
      </c>
      <c r="D293" s="11" t="s">
        <v>256</v>
      </c>
      <c r="E293" s="11" t="s">
        <v>4040</v>
      </c>
      <c r="F293" s="11" t="s">
        <v>4074</v>
      </c>
      <c r="G293" s="1">
        <v>46252</v>
      </c>
      <c r="H293" s="1">
        <v>46253</v>
      </c>
      <c r="I293" s="2">
        <v>0.25</v>
      </c>
      <c r="J293" s="2">
        <v>0.58333333333333337</v>
      </c>
      <c r="K293" s="11" t="s">
        <v>4060</v>
      </c>
      <c r="L293" s="1"/>
      <c r="M293" s="1"/>
      <c r="N293" s="1"/>
      <c r="O293" s="11"/>
    </row>
    <row r="294" spans="1:15" hidden="1" x14ac:dyDescent="0.25">
      <c r="A294" s="1">
        <v>46254</v>
      </c>
      <c r="B294">
        <v>1000099010</v>
      </c>
      <c r="C294" s="11" t="s">
        <v>660</v>
      </c>
      <c r="D294" s="11" t="s">
        <v>139</v>
      </c>
      <c r="E294" s="11" t="s">
        <v>4040</v>
      </c>
      <c r="F294" s="11" t="s">
        <v>4074</v>
      </c>
      <c r="G294" s="1">
        <v>46252</v>
      </c>
      <c r="H294" s="1">
        <v>46253</v>
      </c>
      <c r="I294" s="2">
        <v>0.54166666666666663</v>
      </c>
      <c r="J294" s="2">
        <v>0.875</v>
      </c>
      <c r="K294" s="11" t="s">
        <v>4060</v>
      </c>
      <c r="L294" s="1"/>
      <c r="M294" s="1"/>
      <c r="N294" s="1"/>
      <c r="O294" s="11"/>
    </row>
    <row r="295" spans="1:15" hidden="1" x14ac:dyDescent="0.25">
      <c r="A295" s="1">
        <v>46253</v>
      </c>
      <c r="B295">
        <v>1001944593</v>
      </c>
      <c r="C295" s="11" t="s">
        <v>2629</v>
      </c>
      <c r="D295" s="11" t="s">
        <v>128</v>
      </c>
      <c r="E295" s="11" t="s">
        <v>4045</v>
      </c>
      <c r="F295" s="11" t="s">
        <v>4074</v>
      </c>
      <c r="G295" s="1">
        <v>46252</v>
      </c>
      <c r="H295" s="1">
        <v>46252</v>
      </c>
      <c r="I295" s="2">
        <v>0.25</v>
      </c>
      <c r="J295" s="2">
        <v>0.54166666666666663</v>
      </c>
      <c r="K295" s="11" t="s">
        <v>4060</v>
      </c>
      <c r="L295" s="1"/>
      <c r="M295" s="1"/>
      <c r="N295" s="1"/>
      <c r="O295" s="11"/>
    </row>
    <row r="296" spans="1:15" hidden="1" x14ac:dyDescent="0.25">
      <c r="A296" s="1">
        <v>46253</v>
      </c>
      <c r="B296">
        <v>43628997</v>
      </c>
      <c r="C296" s="11" t="s">
        <v>3256</v>
      </c>
      <c r="D296" s="11" t="s">
        <v>64</v>
      </c>
      <c r="E296" s="11" t="s">
        <v>4046</v>
      </c>
      <c r="F296" s="11" t="s">
        <v>16</v>
      </c>
      <c r="G296" s="1">
        <v>46252</v>
      </c>
      <c r="H296" s="1">
        <v>46253</v>
      </c>
      <c r="I296" s="2">
        <v>0.25</v>
      </c>
      <c r="J296" s="2">
        <v>0.5</v>
      </c>
      <c r="K296" s="11" t="s">
        <v>319</v>
      </c>
      <c r="L296" s="1"/>
      <c r="M296" s="1"/>
      <c r="N296" s="1"/>
      <c r="O296" s="11"/>
    </row>
    <row r="297" spans="1:15" hidden="1" x14ac:dyDescent="0.25">
      <c r="A297" s="1">
        <v>46252</v>
      </c>
      <c r="B297">
        <v>1007959114</v>
      </c>
      <c r="C297" s="11" t="s">
        <v>337</v>
      </c>
      <c r="D297" s="11" t="s">
        <v>39</v>
      </c>
      <c r="E297" s="11" t="s">
        <v>4046</v>
      </c>
      <c r="F297" s="11" t="s">
        <v>4074</v>
      </c>
      <c r="G297" s="1">
        <v>46252</v>
      </c>
      <c r="H297" s="1"/>
      <c r="I297" s="2">
        <v>0.58333333333333337</v>
      </c>
      <c r="J297" s="2">
        <v>0.875</v>
      </c>
      <c r="K297" s="11" t="s">
        <v>4060</v>
      </c>
      <c r="L297" s="1"/>
      <c r="M297" s="1"/>
      <c r="N297" s="1"/>
      <c r="O297" s="11"/>
    </row>
    <row r="298" spans="1:15" hidden="1" x14ac:dyDescent="0.25">
      <c r="A298" s="1">
        <v>46252</v>
      </c>
      <c r="B298">
        <v>1000348983</v>
      </c>
      <c r="C298" s="11" t="s">
        <v>235</v>
      </c>
      <c r="D298" s="11" t="s">
        <v>4175</v>
      </c>
      <c r="E298" s="11" t="s">
        <v>4056</v>
      </c>
      <c r="F298" s="11" t="s">
        <v>4074</v>
      </c>
      <c r="G298" s="1">
        <v>46252</v>
      </c>
      <c r="H298" s="1"/>
      <c r="I298" s="2">
        <v>0.5</v>
      </c>
      <c r="J298" s="2">
        <v>0.79166666666666663</v>
      </c>
      <c r="K298" s="11" t="s">
        <v>4176</v>
      </c>
      <c r="L298" s="1"/>
      <c r="M298" s="1"/>
      <c r="N298" s="1"/>
      <c r="O298" s="11"/>
    </row>
    <row r="299" spans="1:15" hidden="1" x14ac:dyDescent="0.25">
      <c r="A299" s="1">
        <v>46255</v>
      </c>
      <c r="B299">
        <v>1037661959</v>
      </c>
      <c r="C299" s="11" t="s">
        <v>4080</v>
      </c>
      <c r="D299" s="11" t="s">
        <v>482</v>
      </c>
      <c r="E299" s="11" t="s">
        <v>4040</v>
      </c>
      <c r="F299" s="11" t="s">
        <v>4050</v>
      </c>
      <c r="G299" s="1">
        <v>46253</v>
      </c>
      <c r="H299" s="1">
        <v>46255</v>
      </c>
      <c r="I299" s="2">
        <v>0.25</v>
      </c>
      <c r="J299" s="2">
        <v>0.54166666666666663</v>
      </c>
      <c r="K299" s="11" t="s">
        <v>262</v>
      </c>
      <c r="L299" s="1"/>
      <c r="M299" s="1"/>
      <c r="N299" s="1"/>
      <c r="O299" s="11"/>
    </row>
    <row r="300" spans="1:15" hidden="1" x14ac:dyDescent="0.25">
      <c r="A300" s="1">
        <v>46252</v>
      </c>
      <c r="B300">
        <v>1001140238</v>
      </c>
      <c r="C300" s="11" t="s">
        <v>74</v>
      </c>
      <c r="D300" s="11" t="s">
        <v>4078</v>
      </c>
      <c r="E300" s="11" t="s">
        <v>4045</v>
      </c>
      <c r="F300" s="11" t="s">
        <v>4099</v>
      </c>
      <c r="G300" s="1">
        <v>46252</v>
      </c>
      <c r="H300" s="1">
        <v>46252</v>
      </c>
      <c r="I300" s="2">
        <v>0.54166666666666663</v>
      </c>
      <c r="J300" s="2">
        <v>0.58333333333333337</v>
      </c>
      <c r="K300" s="11" t="s">
        <v>339</v>
      </c>
      <c r="L300" s="1"/>
      <c r="M300" s="1"/>
      <c r="N300" s="1"/>
      <c r="O300" s="11"/>
    </row>
    <row r="301" spans="1:15" hidden="1" x14ac:dyDescent="0.25">
      <c r="A301" s="1">
        <v>46252</v>
      </c>
      <c r="B301">
        <v>1128467297</v>
      </c>
      <c r="C301" s="11" t="s">
        <v>3392</v>
      </c>
      <c r="D301" s="11" t="s">
        <v>619</v>
      </c>
      <c r="E301" s="11" t="s">
        <v>4045</v>
      </c>
      <c r="F301" s="11" t="s">
        <v>4074</v>
      </c>
      <c r="G301" s="1">
        <v>46252</v>
      </c>
      <c r="H301" s="1">
        <v>46253</v>
      </c>
      <c r="I301" s="2">
        <v>0.58333333333333337</v>
      </c>
      <c r="J301" s="2">
        <v>0.875</v>
      </c>
      <c r="K301" s="11" t="s">
        <v>4060</v>
      </c>
      <c r="L301" s="1"/>
      <c r="M301" s="1"/>
      <c r="N301" s="1"/>
      <c r="O301" s="11"/>
    </row>
    <row r="302" spans="1:15" hidden="1" x14ac:dyDescent="0.25">
      <c r="A302" s="1">
        <v>46247</v>
      </c>
      <c r="B302">
        <v>1004960056</v>
      </c>
      <c r="C302" s="11" t="s">
        <v>644</v>
      </c>
      <c r="D302" s="11" t="s">
        <v>634</v>
      </c>
      <c r="E302" s="11" t="s">
        <v>4045</v>
      </c>
      <c r="F302" s="11" t="s">
        <v>4091</v>
      </c>
      <c r="G302" s="1">
        <v>46246</v>
      </c>
      <c r="H302" s="1">
        <v>46247</v>
      </c>
      <c r="I302" s="2">
        <v>0.25</v>
      </c>
      <c r="J302" s="2">
        <v>0.54166666666666663</v>
      </c>
      <c r="K302" s="11" t="s">
        <v>200</v>
      </c>
      <c r="L302" s="1"/>
      <c r="M302" s="1"/>
      <c r="N302" s="1"/>
      <c r="O302" s="11"/>
    </row>
    <row r="303" spans="1:15" hidden="1" x14ac:dyDescent="0.25">
      <c r="A303" s="1">
        <v>46246</v>
      </c>
      <c r="B303">
        <v>1094971283</v>
      </c>
      <c r="C303" s="11" t="s">
        <v>3374</v>
      </c>
      <c r="D303" s="11" t="s">
        <v>256</v>
      </c>
      <c r="E303" s="11" t="s">
        <v>4040</v>
      </c>
      <c r="F303" s="11" t="s">
        <v>4179</v>
      </c>
      <c r="G303" s="1">
        <v>46245</v>
      </c>
      <c r="H303" s="1">
        <v>46247</v>
      </c>
      <c r="I303" s="2">
        <v>0.25</v>
      </c>
      <c r="J303" s="2">
        <v>0.58333333333333337</v>
      </c>
      <c r="K303" s="11" t="s">
        <v>182</v>
      </c>
      <c r="L303" s="1"/>
      <c r="M303" s="1"/>
      <c r="N303" s="1"/>
      <c r="O303" s="11"/>
    </row>
    <row r="304" spans="1:15" hidden="1" x14ac:dyDescent="0.25">
      <c r="A304" s="1">
        <v>46247</v>
      </c>
      <c r="B304">
        <v>1037644923</v>
      </c>
      <c r="C304" s="11" t="s">
        <v>2677</v>
      </c>
      <c r="D304" s="11" t="s">
        <v>492</v>
      </c>
      <c r="E304" s="11" t="s">
        <v>4045</v>
      </c>
      <c r="F304" s="11" t="s">
        <v>16</v>
      </c>
      <c r="G304" s="1">
        <v>46247</v>
      </c>
      <c r="H304" s="1">
        <v>46247</v>
      </c>
      <c r="I304" s="2">
        <v>0.54166666666666663</v>
      </c>
      <c r="J304" s="2">
        <v>0.875</v>
      </c>
      <c r="K304" s="11" t="s">
        <v>4060</v>
      </c>
      <c r="L304" s="1"/>
      <c r="M304" s="1"/>
      <c r="N304" s="1"/>
      <c r="O304" s="11"/>
    </row>
    <row r="305" spans="1:15" hidden="1" x14ac:dyDescent="0.25">
      <c r="A305" s="1">
        <v>46248</v>
      </c>
      <c r="B305">
        <v>1098686151</v>
      </c>
      <c r="C305" s="11" t="s">
        <v>1882</v>
      </c>
      <c r="D305" s="11" t="s">
        <v>51</v>
      </c>
      <c r="E305" s="11" t="s">
        <v>4047</v>
      </c>
      <c r="F305" s="11" t="s">
        <v>16</v>
      </c>
      <c r="G305" s="1">
        <v>46246</v>
      </c>
      <c r="H305" s="1">
        <v>46248</v>
      </c>
      <c r="I305" s="2">
        <v>0.25</v>
      </c>
      <c r="J305" s="2">
        <v>0.54166666666666663</v>
      </c>
      <c r="K305" s="11" t="s">
        <v>327</v>
      </c>
      <c r="L305" s="1"/>
      <c r="M305" s="1"/>
      <c r="N305" s="1"/>
      <c r="O305" s="11"/>
    </row>
    <row r="306" spans="1:15" hidden="1" x14ac:dyDescent="0.25">
      <c r="A306" s="1">
        <v>46248</v>
      </c>
      <c r="B306">
        <v>1143267842</v>
      </c>
      <c r="C306" s="11" t="s">
        <v>1501</v>
      </c>
      <c r="D306" s="11" t="s">
        <v>128</v>
      </c>
      <c r="E306" s="11" t="s">
        <v>4045</v>
      </c>
      <c r="F306" s="11" t="s">
        <v>16</v>
      </c>
      <c r="G306" s="1">
        <v>46246</v>
      </c>
      <c r="H306" s="1">
        <v>46248</v>
      </c>
      <c r="I306" s="2">
        <v>0.58333333333333337</v>
      </c>
      <c r="J306" s="2">
        <v>0.875</v>
      </c>
      <c r="K306" s="11" t="s">
        <v>200</v>
      </c>
      <c r="L306" s="1"/>
      <c r="M306" s="1"/>
      <c r="N306" s="1"/>
      <c r="O306" s="11"/>
    </row>
    <row r="307" spans="1:15" hidden="1" x14ac:dyDescent="0.25">
      <c r="A307" s="1">
        <v>46248</v>
      </c>
      <c r="B307">
        <v>1152462704</v>
      </c>
      <c r="C307" s="11" t="s">
        <v>746</v>
      </c>
      <c r="D307" s="11" t="s">
        <v>132</v>
      </c>
      <c r="E307" s="11" t="s">
        <v>4040</v>
      </c>
      <c r="F307" s="11" t="s">
        <v>16</v>
      </c>
      <c r="G307" s="1">
        <v>46246</v>
      </c>
      <c r="H307" s="1">
        <v>46248</v>
      </c>
      <c r="I307" s="2">
        <v>0.58333333333333337</v>
      </c>
      <c r="J307" s="2">
        <v>0.875</v>
      </c>
      <c r="K307" s="11" t="s">
        <v>4060</v>
      </c>
      <c r="L307" s="1"/>
      <c r="M307" s="1"/>
      <c r="N307" s="1"/>
      <c r="O307" s="11"/>
    </row>
    <row r="308" spans="1:15" hidden="1" x14ac:dyDescent="0.25">
      <c r="A308" s="1">
        <v>46248</v>
      </c>
      <c r="B308">
        <v>1082926383</v>
      </c>
      <c r="C308" s="11" t="s">
        <v>663</v>
      </c>
      <c r="D308" s="11" t="s">
        <v>132</v>
      </c>
      <c r="E308" s="11" t="s">
        <v>4040</v>
      </c>
      <c r="F308" s="11" t="s">
        <v>16</v>
      </c>
      <c r="G308" s="1">
        <v>46246</v>
      </c>
      <c r="H308" s="1">
        <v>46248</v>
      </c>
      <c r="I308" s="2">
        <v>0.25</v>
      </c>
      <c r="J308" s="2">
        <v>0.54166666666666663</v>
      </c>
      <c r="K308" s="11" t="s">
        <v>310</v>
      </c>
      <c r="L308" s="1"/>
      <c r="M308" s="1"/>
      <c r="N308" s="1"/>
      <c r="O308" s="11"/>
    </row>
    <row r="309" spans="1:15" hidden="1" x14ac:dyDescent="0.25">
      <c r="A309" s="1">
        <v>46246</v>
      </c>
      <c r="B309">
        <v>59310511</v>
      </c>
      <c r="C309" s="11" t="s">
        <v>1323</v>
      </c>
      <c r="D309" s="11" t="s">
        <v>64</v>
      </c>
      <c r="E309" s="11" t="s">
        <v>4046</v>
      </c>
      <c r="F309" s="11" t="s">
        <v>16</v>
      </c>
      <c r="G309" s="1">
        <v>46246</v>
      </c>
      <c r="H309" s="1">
        <v>46246</v>
      </c>
      <c r="I309" s="2">
        <v>0.58333333333333337</v>
      </c>
      <c r="J309" s="2">
        <v>0.875</v>
      </c>
      <c r="K309" s="11" t="s">
        <v>4060</v>
      </c>
      <c r="L309" s="1"/>
      <c r="M309" s="1"/>
      <c r="N309" s="1"/>
      <c r="O309" s="11"/>
    </row>
    <row r="310" spans="1:15" hidden="1" x14ac:dyDescent="0.25">
      <c r="A310" s="1">
        <v>46246</v>
      </c>
      <c r="B310">
        <v>1000532653</v>
      </c>
      <c r="C310" s="11" t="s">
        <v>1187</v>
      </c>
      <c r="D310" s="11" t="s">
        <v>132</v>
      </c>
      <c r="E310" s="11" t="s">
        <v>4040</v>
      </c>
      <c r="F310" s="11" t="s">
        <v>16</v>
      </c>
      <c r="G310" s="1">
        <v>46246</v>
      </c>
      <c r="H310" s="1">
        <v>46246</v>
      </c>
      <c r="I310" s="2">
        <v>0.58333333333333337</v>
      </c>
      <c r="J310" s="2">
        <v>0.875</v>
      </c>
      <c r="K310" s="11" t="s">
        <v>74</v>
      </c>
      <c r="L310" s="1"/>
      <c r="M310" s="1"/>
      <c r="N310" s="1"/>
      <c r="O310" s="11"/>
    </row>
    <row r="311" spans="1:15" hidden="1" x14ac:dyDescent="0.25">
      <c r="A311" s="1">
        <v>46248</v>
      </c>
      <c r="B311">
        <v>43986125</v>
      </c>
      <c r="C311" s="11" t="s">
        <v>1299</v>
      </c>
      <c r="D311" s="11" t="s">
        <v>55</v>
      </c>
      <c r="E311" s="11" t="s">
        <v>4047</v>
      </c>
      <c r="F311" s="11" t="s">
        <v>16</v>
      </c>
      <c r="G311" s="1">
        <v>46246</v>
      </c>
      <c r="H311" s="1">
        <v>46248</v>
      </c>
      <c r="I311" s="2">
        <v>0.25</v>
      </c>
      <c r="J311" s="2">
        <v>0.58333333333333337</v>
      </c>
      <c r="K311" s="11" t="s">
        <v>182</v>
      </c>
      <c r="L311" s="1"/>
      <c r="M311" s="1"/>
      <c r="N311" s="1"/>
      <c r="O311" s="11"/>
    </row>
    <row r="312" spans="1:15" hidden="1" x14ac:dyDescent="0.25">
      <c r="A312" s="1">
        <v>46246</v>
      </c>
      <c r="B312">
        <v>1040755197</v>
      </c>
      <c r="C312" s="11" t="s">
        <v>171</v>
      </c>
      <c r="D312" s="11" t="s">
        <v>102</v>
      </c>
      <c r="E312" s="11" t="s">
        <v>4046</v>
      </c>
      <c r="F312" s="11" t="s">
        <v>16</v>
      </c>
      <c r="G312" s="1">
        <v>46246</v>
      </c>
      <c r="H312" s="1">
        <v>46246</v>
      </c>
      <c r="I312" s="2">
        <v>0.58333333333333337</v>
      </c>
      <c r="J312" s="2">
        <v>0.875</v>
      </c>
      <c r="K312" s="11" t="s">
        <v>4060</v>
      </c>
      <c r="L312" s="1"/>
      <c r="M312" s="1"/>
      <c r="N312" s="1"/>
      <c r="O312" s="11"/>
    </row>
    <row r="313" spans="1:15" hidden="1" x14ac:dyDescent="0.25">
      <c r="A313" s="1">
        <v>46246</v>
      </c>
      <c r="B313">
        <v>1001140238</v>
      </c>
      <c r="C313" s="11" t="s">
        <v>74</v>
      </c>
      <c r="D313" s="11" t="s">
        <v>132</v>
      </c>
      <c r="E313" s="11" t="s">
        <v>4040</v>
      </c>
      <c r="F313" s="11" t="s">
        <v>4099</v>
      </c>
      <c r="G313" s="1">
        <v>46246</v>
      </c>
      <c r="H313" s="1">
        <v>46246</v>
      </c>
      <c r="I313" s="2">
        <v>0.58333333333333337</v>
      </c>
      <c r="J313" s="2">
        <v>0.625</v>
      </c>
      <c r="K313" s="11" t="s">
        <v>339</v>
      </c>
      <c r="L313" s="1"/>
      <c r="M313" s="1"/>
      <c r="N313" s="1"/>
      <c r="O313" s="11"/>
    </row>
    <row r="314" spans="1:15" hidden="1" x14ac:dyDescent="0.25">
      <c r="A314" s="1">
        <v>46247</v>
      </c>
      <c r="B314">
        <v>1094971283</v>
      </c>
      <c r="C314" s="11" t="s">
        <v>3374</v>
      </c>
      <c r="D314" s="11" t="s">
        <v>256</v>
      </c>
      <c r="E314" s="11" t="s">
        <v>4040</v>
      </c>
      <c r="F314" s="11" t="s">
        <v>16</v>
      </c>
      <c r="G314" s="1">
        <v>46245</v>
      </c>
      <c r="H314" s="1">
        <v>46247</v>
      </c>
      <c r="I314" s="2">
        <v>0.25</v>
      </c>
      <c r="J314" s="2">
        <v>0.54166666666666663</v>
      </c>
      <c r="K314" s="11" t="s">
        <v>327</v>
      </c>
      <c r="L314" s="1"/>
      <c r="M314" s="1"/>
      <c r="N314" s="1"/>
      <c r="O314" s="11"/>
    </row>
    <row r="315" spans="1:15" hidden="1" x14ac:dyDescent="0.25">
      <c r="A315" s="1">
        <v>46249</v>
      </c>
      <c r="B315">
        <v>1085265026</v>
      </c>
      <c r="C315" s="11" t="s">
        <v>91</v>
      </c>
      <c r="D315" s="11" t="s">
        <v>55</v>
      </c>
      <c r="E315" s="11" t="s">
        <v>4047</v>
      </c>
      <c r="F315" s="11" t="s">
        <v>92</v>
      </c>
      <c r="G315" s="1">
        <v>46245</v>
      </c>
      <c r="H315" s="1">
        <v>46249</v>
      </c>
      <c r="I315" s="2"/>
      <c r="J315" s="2"/>
      <c r="K315" s="11" t="s">
        <v>341</v>
      </c>
      <c r="L315" s="1"/>
      <c r="M315" s="1"/>
      <c r="N315" s="1"/>
      <c r="O315" s="11"/>
    </row>
    <row r="316" spans="1:15" hidden="1" x14ac:dyDescent="0.25">
      <c r="A316" s="1">
        <v>46247</v>
      </c>
      <c r="B316">
        <v>1007111078</v>
      </c>
      <c r="C316" s="11" t="s">
        <v>3672</v>
      </c>
      <c r="D316" s="11" t="s">
        <v>4175</v>
      </c>
      <c r="E316" s="11" t="s">
        <v>4056</v>
      </c>
      <c r="F316" s="11" t="s">
        <v>4087</v>
      </c>
      <c r="G316" s="1">
        <v>46247</v>
      </c>
      <c r="H316" s="1">
        <v>46247</v>
      </c>
      <c r="I316" s="2">
        <v>0.29166666666666669</v>
      </c>
      <c r="J316" s="2">
        <v>0.66666666666666663</v>
      </c>
      <c r="K316" s="11" t="s">
        <v>286</v>
      </c>
      <c r="L316" s="1"/>
      <c r="M316" s="1"/>
      <c r="N316" s="1"/>
      <c r="O316" s="11"/>
    </row>
    <row r="317" spans="1:15" hidden="1" x14ac:dyDescent="0.25">
      <c r="A317" s="1">
        <v>46248</v>
      </c>
      <c r="B317">
        <v>1005424850</v>
      </c>
      <c r="C317" s="11" t="s">
        <v>95</v>
      </c>
      <c r="D317" s="11" t="s">
        <v>82</v>
      </c>
      <c r="E317" s="11" t="s">
        <v>4045</v>
      </c>
      <c r="F317" s="11" t="s">
        <v>4062</v>
      </c>
      <c r="G317" s="1">
        <v>46247</v>
      </c>
      <c r="H317" s="1">
        <v>46262</v>
      </c>
      <c r="I317" s="2">
        <v>0.5</v>
      </c>
      <c r="J317" s="2">
        <v>0.83333333333333337</v>
      </c>
      <c r="K317" s="11" t="s">
        <v>304</v>
      </c>
      <c r="L317" s="1"/>
      <c r="M317" s="1"/>
      <c r="N317" s="1"/>
      <c r="O317" s="11"/>
    </row>
    <row r="318" spans="1:15" hidden="1" x14ac:dyDescent="0.25">
      <c r="A318" s="1">
        <v>46248</v>
      </c>
      <c r="B318">
        <v>1036132488</v>
      </c>
      <c r="C318" s="11" t="s">
        <v>89</v>
      </c>
      <c r="D318" s="11" t="s">
        <v>59</v>
      </c>
      <c r="E318" s="11" t="s">
        <v>4047</v>
      </c>
      <c r="F318" s="11" t="s">
        <v>16</v>
      </c>
      <c r="G318" s="1">
        <v>46247</v>
      </c>
      <c r="H318" s="1">
        <v>46248</v>
      </c>
      <c r="I318" s="2">
        <v>0.25</v>
      </c>
      <c r="J318" s="2">
        <v>0.54166666666666663</v>
      </c>
      <c r="K318" s="11" t="s">
        <v>120</v>
      </c>
      <c r="L318" s="1"/>
      <c r="M318" s="1"/>
      <c r="N318" s="1"/>
      <c r="O318" s="11"/>
    </row>
    <row r="319" spans="1:15" hidden="1" x14ac:dyDescent="0.25">
      <c r="A319" s="1">
        <v>46248</v>
      </c>
      <c r="B319">
        <v>1152462501</v>
      </c>
      <c r="C319" s="11" t="s">
        <v>3056</v>
      </c>
      <c r="D319" s="11" t="s">
        <v>28</v>
      </c>
      <c r="E319" s="11" t="s">
        <v>4046</v>
      </c>
      <c r="F319" s="11" t="s">
        <v>16</v>
      </c>
      <c r="G319" s="1">
        <v>46247</v>
      </c>
      <c r="H319" s="1">
        <v>46248</v>
      </c>
      <c r="I319" s="2">
        <v>0.29166666666666669</v>
      </c>
      <c r="J319" s="2">
        <v>0.66666666666666663</v>
      </c>
      <c r="K319" s="11" t="s">
        <v>232</v>
      </c>
      <c r="L319" s="1"/>
      <c r="M319" s="1"/>
      <c r="N319" s="1"/>
      <c r="O319" s="11"/>
    </row>
    <row r="320" spans="1:15" hidden="1" x14ac:dyDescent="0.25">
      <c r="A320" s="1">
        <v>46249</v>
      </c>
      <c r="B320">
        <v>1053860403</v>
      </c>
      <c r="C320" s="11" t="s">
        <v>4189</v>
      </c>
      <c r="D320" s="11" t="s">
        <v>272</v>
      </c>
      <c r="E320" s="11" t="s">
        <v>4056</v>
      </c>
      <c r="F320" s="11" t="s">
        <v>16</v>
      </c>
      <c r="G320" s="1">
        <v>46247</v>
      </c>
      <c r="H320" s="1">
        <v>46249</v>
      </c>
      <c r="I320" s="2">
        <v>0.25</v>
      </c>
      <c r="J320" s="2">
        <v>0.58333333333333337</v>
      </c>
      <c r="K320" s="11" t="s">
        <v>327</v>
      </c>
      <c r="L320" s="1"/>
      <c r="M320" s="1"/>
      <c r="N320" s="1"/>
      <c r="O320" s="11"/>
    </row>
    <row r="321" spans="1:15" hidden="1" x14ac:dyDescent="0.25">
      <c r="A321" s="1">
        <v>46248</v>
      </c>
      <c r="B321">
        <v>1003459576</v>
      </c>
      <c r="C321" s="11" t="s">
        <v>1032</v>
      </c>
      <c r="D321" s="11" t="s">
        <v>59</v>
      </c>
      <c r="E321" s="11" t="s">
        <v>4047</v>
      </c>
      <c r="F321" s="11" t="s">
        <v>16</v>
      </c>
      <c r="G321" s="1">
        <v>46247</v>
      </c>
      <c r="H321" s="1">
        <v>46248</v>
      </c>
      <c r="I321" s="2"/>
      <c r="J321" s="2"/>
      <c r="K321" s="11" t="s">
        <v>327</v>
      </c>
      <c r="L321" s="1"/>
      <c r="M321" s="1"/>
      <c r="N321" s="1"/>
      <c r="O321" s="11"/>
    </row>
    <row r="322" spans="1:15" hidden="1" x14ac:dyDescent="0.25">
      <c r="A322" s="1">
        <v>46248</v>
      </c>
      <c r="B322">
        <v>1000100875</v>
      </c>
      <c r="C322" s="11" t="s">
        <v>3648</v>
      </c>
      <c r="D322" s="11" t="s">
        <v>55</v>
      </c>
      <c r="E322" s="11" t="s">
        <v>4047</v>
      </c>
      <c r="F322" s="11" t="s">
        <v>16</v>
      </c>
      <c r="G322" s="1">
        <v>46247</v>
      </c>
      <c r="H322" s="1">
        <v>46248</v>
      </c>
      <c r="I322" s="2">
        <v>0.58333333333333337</v>
      </c>
      <c r="J322" s="2">
        <v>0.875</v>
      </c>
      <c r="K322" s="11" t="s">
        <v>327</v>
      </c>
      <c r="L322" s="1"/>
      <c r="M322" s="1"/>
      <c r="N322" s="1"/>
      <c r="O322" s="11"/>
    </row>
    <row r="323" spans="1:15" hidden="1" x14ac:dyDescent="0.25">
      <c r="A323" s="1">
        <v>46249</v>
      </c>
      <c r="B323">
        <v>1152434926</v>
      </c>
      <c r="C323" s="11" t="s">
        <v>217</v>
      </c>
      <c r="D323" s="11" t="s">
        <v>59</v>
      </c>
      <c r="E323" s="11" t="s">
        <v>4047</v>
      </c>
      <c r="F323" s="11" t="s">
        <v>16</v>
      </c>
      <c r="G323" s="1">
        <v>46247</v>
      </c>
      <c r="H323" s="1">
        <v>46249</v>
      </c>
      <c r="I323" s="2">
        <v>0.25</v>
      </c>
      <c r="J323" s="2">
        <v>0.66666666666666663</v>
      </c>
      <c r="K323" s="11" t="s">
        <v>151</v>
      </c>
      <c r="L323" s="1"/>
      <c r="M323" s="1"/>
      <c r="N323" s="1"/>
      <c r="O323" s="11"/>
    </row>
    <row r="324" spans="1:15" hidden="1" x14ac:dyDescent="0.25">
      <c r="A324" s="1">
        <v>46248</v>
      </c>
      <c r="B324">
        <v>1052409952</v>
      </c>
      <c r="C324" s="11" t="s">
        <v>2406</v>
      </c>
      <c r="D324" s="11" t="s">
        <v>44</v>
      </c>
      <c r="E324" s="11" t="s">
        <v>4045</v>
      </c>
      <c r="F324" s="11" t="s">
        <v>16</v>
      </c>
      <c r="G324" s="1">
        <v>46247</v>
      </c>
      <c r="H324" s="1">
        <v>46248</v>
      </c>
      <c r="I324" s="2">
        <v>0.25</v>
      </c>
      <c r="J324" s="2">
        <v>0.58333333333333337</v>
      </c>
      <c r="K324" s="11" t="s">
        <v>327</v>
      </c>
      <c r="L324" s="1"/>
      <c r="M324" s="1"/>
      <c r="N324" s="1"/>
      <c r="O324" s="11"/>
    </row>
    <row r="325" spans="1:15" hidden="1" x14ac:dyDescent="0.25">
      <c r="A325" s="1">
        <v>46248</v>
      </c>
      <c r="B325">
        <v>1036665065</v>
      </c>
      <c r="C325" s="11" t="s">
        <v>3689</v>
      </c>
      <c r="D325" s="11" t="s">
        <v>39</v>
      </c>
      <c r="E325" s="11" t="s">
        <v>4046</v>
      </c>
      <c r="F325" s="11" t="s">
        <v>16</v>
      </c>
      <c r="G325" s="1">
        <v>46247</v>
      </c>
      <c r="H325" s="1">
        <v>46248</v>
      </c>
      <c r="I325" s="2">
        <v>0.25</v>
      </c>
      <c r="J325" s="2">
        <v>0.58333333333333337</v>
      </c>
      <c r="K325" s="11" t="s">
        <v>327</v>
      </c>
      <c r="L325" s="1"/>
      <c r="M325" s="1"/>
      <c r="N325" s="1"/>
      <c r="O325" s="11"/>
    </row>
    <row r="326" spans="1:15" hidden="1" x14ac:dyDescent="0.25">
      <c r="A326" s="1">
        <v>46248</v>
      </c>
      <c r="B326">
        <v>1001013936</v>
      </c>
      <c r="C326" s="11" t="s">
        <v>3856</v>
      </c>
      <c r="D326" s="11" t="s">
        <v>28</v>
      </c>
      <c r="E326" s="11" t="s">
        <v>4046</v>
      </c>
      <c r="F326" s="11" t="s">
        <v>16</v>
      </c>
      <c r="G326" s="1">
        <v>46247</v>
      </c>
      <c r="H326" s="1">
        <v>46248</v>
      </c>
      <c r="I326" s="2">
        <v>0.25</v>
      </c>
      <c r="J326" s="2">
        <v>0.58333333333333337</v>
      </c>
      <c r="K326" s="11" t="s">
        <v>327</v>
      </c>
      <c r="L326" s="1"/>
      <c r="M326" s="1"/>
      <c r="N326" s="1"/>
      <c r="O326" s="11"/>
    </row>
    <row r="327" spans="1:15" hidden="1" x14ac:dyDescent="0.25">
      <c r="A327" s="1">
        <v>46248</v>
      </c>
      <c r="B327">
        <v>1152436231</v>
      </c>
      <c r="C327" s="11" t="s">
        <v>142</v>
      </c>
      <c r="D327" s="11" t="s">
        <v>143</v>
      </c>
      <c r="E327" s="11" t="s">
        <v>4045</v>
      </c>
      <c r="F327" s="11" t="s">
        <v>16</v>
      </c>
      <c r="G327" s="1">
        <v>46247</v>
      </c>
      <c r="H327" s="1">
        <v>46248</v>
      </c>
      <c r="I327" s="2">
        <v>0.25</v>
      </c>
      <c r="J327" s="2">
        <v>0.54166666666666663</v>
      </c>
      <c r="K327" s="11" t="s">
        <v>327</v>
      </c>
      <c r="L327" s="1"/>
      <c r="M327" s="1"/>
      <c r="N327" s="1"/>
      <c r="O327" s="11"/>
    </row>
    <row r="328" spans="1:15" hidden="1" x14ac:dyDescent="0.25">
      <c r="A328" s="1">
        <v>46248</v>
      </c>
      <c r="B328">
        <v>1234090551</v>
      </c>
      <c r="C328" s="11" t="s">
        <v>2250</v>
      </c>
      <c r="D328" s="11" t="s">
        <v>162</v>
      </c>
      <c r="E328" s="11" t="s">
        <v>4056</v>
      </c>
      <c r="F328" s="11" t="s">
        <v>16</v>
      </c>
      <c r="G328" s="1">
        <v>46247</v>
      </c>
      <c r="H328" s="1">
        <v>46248</v>
      </c>
      <c r="I328" s="2">
        <v>0.58333333333333337</v>
      </c>
      <c r="J328" s="2">
        <v>0.875</v>
      </c>
      <c r="K328" s="11" t="s">
        <v>286</v>
      </c>
      <c r="L328" s="1"/>
      <c r="M328" s="1"/>
      <c r="N328" s="1"/>
      <c r="O328" s="11"/>
    </row>
    <row r="329" spans="1:15" hidden="1" x14ac:dyDescent="0.25">
      <c r="A329" s="1">
        <v>46248</v>
      </c>
      <c r="B329">
        <v>43453341</v>
      </c>
      <c r="C329" s="11" t="s">
        <v>146</v>
      </c>
      <c r="D329" s="11" t="s">
        <v>124</v>
      </c>
      <c r="E329" s="11" t="s">
        <v>4045</v>
      </c>
      <c r="F329" s="11" t="s">
        <v>16</v>
      </c>
      <c r="G329" s="1">
        <v>46247</v>
      </c>
      <c r="H329" s="1">
        <v>46248</v>
      </c>
      <c r="I329" s="2">
        <v>0.54166666666666663</v>
      </c>
      <c r="J329" s="2">
        <v>0.875</v>
      </c>
      <c r="K329" s="11" t="s">
        <v>327</v>
      </c>
      <c r="L329" s="1"/>
      <c r="M329" s="1"/>
      <c r="N329" s="1"/>
      <c r="O329" s="11"/>
    </row>
    <row r="330" spans="1:15" hidden="1" x14ac:dyDescent="0.25">
      <c r="A330" s="1">
        <v>46248</v>
      </c>
      <c r="B330" t="s">
        <v>4181</v>
      </c>
      <c r="C330" s="11" t="s">
        <v>4182</v>
      </c>
      <c r="D330" s="11" t="s">
        <v>256</v>
      </c>
      <c r="E330" s="11" t="s">
        <v>4040</v>
      </c>
      <c r="F330" s="11" t="s">
        <v>16</v>
      </c>
      <c r="G330" s="1">
        <v>46247</v>
      </c>
      <c r="H330" s="1">
        <v>46248</v>
      </c>
      <c r="I330" s="2">
        <v>0.25</v>
      </c>
      <c r="J330" s="2">
        <v>0.58333333333333337</v>
      </c>
      <c r="K330" s="11" t="s">
        <v>327</v>
      </c>
      <c r="L330" s="1"/>
      <c r="M330" s="1"/>
      <c r="N330" s="1"/>
      <c r="O330" s="11"/>
    </row>
    <row r="331" spans="1:15" hidden="1" x14ac:dyDescent="0.25">
      <c r="A331" s="1">
        <v>46248</v>
      </c>
      <c r="B331">
        <v>1067959066</v>
      </c>
      <c r="C331" s="11" t="s">
        <v>3479</v>
      </c>
      <c r="D331" s="11" t="s">
        <v>344</v>
      </c>
      <c r="E331" s="11" t="s">
        <v>4056</v>
      </c>
      <c r="F331" s="11" t="s">
        <v>16</v>
      </c>
      <c r="G331" s="1">
        <v>46247</v>
      </c>
      <c r="H331" s="1">
        <v>46248</v>
      </c>
      <c r="I331" s="2">
        <v>0.58333333333333337</v>
      </c>
      <c r="J331" s="2">
        <v>0.875</v>
      </c>
      <c r="K331" s="11" t="s">
        <v>4184</v>
      </c>
      <c r="L331" s="1"/>
      <c r="M331" s="1"/>
      <c r="N331" s="1"/>
      <c r="O331" s="11"/>
    </row>
    <row r="332" spans="1:15" hidden="1" x14ac:dyDescent="0.25">
      <c r="A332" s="1">
        <v>46248</v>
      </c>
      <c r="B332">
        <v>72342968</v>
      </c>
      <c r="C332" s="11" t="s">
        <v>380</v>
      </c>
      <c r="D332" s="11" t="s">
        <v>39</v>
      </c>
      <c r="E332" s="11" t="s">
        <v>4046</v>
      </c>
      <c r="F332" s="11" t="s">
        <v>16</v>
      </c>
      <c r="G332" s="1">
        <v>46247</v>
      </c>
      <c r="H332" s="1">
        <v>46248</v>
      </c>
      <c r="I332" s="2">
        <v>0.58333333333333337</v>
      </c>
      <c r="J332" s="2">
        <v>0.875</v>
      </c>
      <c r="K332" s="11" t="s">
        <v>327</v>
      </c>
      <c r="L332" s="1"/>
      <c r="M332" s="1"/>
      <c r="N332" s="1"/>
      <c r="O332" s="11"/>
    </row>
    <row r="333" spans="1:15" hidden="1" x14ac:dyDescent="0.25">
      <c r="A333" s="1">
        <v>46247</v>
      </c>
      <c r="B333">
        <v>1037642818</v>
      </c>
      <c r="C333" s="11" t="s">
        <v>3692</v>
      </c>
      <c r="D333" s="11" t="s">
        <v>28</v>
      </c>
      <c r="E333" s="11" t="s">
        <v>4046</v>
      </c>
      <c r="F333" s="11" t="s">
        <v>16</v>
      </c>
      <c r="G333" s="1">
        <v>46247</v>
      </c>
      <c r="H333" s="1">
        <v>46247</v>
      </c>
      <c r="I333" s="2">
        <v>0.29166666666666669</v>
      </c>
      <c r="J333" s="2">
        <v>0.875</v>
      </c>
      <c r="K333" s="11" t="s">
        <v>327</v>
      </c>
      <c r="L333" s="1"/>
      <c r="M333" s="1"/>
      <c r="N333" s="1"/>
      <c r="O333" s="11"/>
    </row>
    <row r="334" spans="1:15" hidden="1" x14ac:dyDescent="0.25">
      <c r="A334" s="1">
        <v>46248</v>
      </c>
      <c r="B334">
        <v>1143411265</v>
      </c>
      <c r="C334" s="11" t="s">
        <v>2355</v>
      </c>
      <c r="D334" s="11" t="s">
        <v>55</v>
      </c>
      <c r="E334" s="11" t="s">
        <v>4047</v>
      </c>
      <c r="F334" s="11" t="s">
        <v>16</v>
      </c>
      <c r="G334" s="1">
        <v>46247</v>
      </c>
      <c r="H334" s="1">
        <v>46248</v>
      </c>
      <c r="I334" s="2">
        <v>0.58333333333333337</v>
      </c>
      <c r="J334" s="2">
        <v>0.875</v>
      </c>
      <c r="K334" s="11" t="s">
        <v>4060</v>
      </c>
      <c r="L334" s="1"/>
      <c r="M334" s="1"/>
      <c r="N334" s="1"/>
      <c r="O334" s="11"/>
    </row>
    <row r="335" spans="1:15" hidden="1" x14ac:dyDescent="0.25">
      <c r="A335" s="1">
        <v>46248</v>
      </c>
      <c r="B335">
        <v>1000398069</v>
      </c>
      <c r="C335" s="11" t="s">
        <v>3764</v>
      </c>
      <c r="D335" s="11" t="s">
        <v>143</v>
      </c>
      <c r="E335" s="11" t="s">
        <v>4045</v>
      </c>
      <c r="F335" s="11" t="s">
        <v>16</v>
      </c>
      <c r="G335" s="1">
        <v>46247</v>
      </c>
      <c r="H335" s="1">
        <v>46248</v>
      </c>
      <c r="I335" s="2">
        <v>0.54166666666666663</v>
      </c>
      <c r="J335" s="2">
        <v>0.875</v>
      </c>
      <c r="K335" s="11" t="s">
        <v>327</v>
      </c>
      <c r="L335" s="1"/>
      <c r="M335" s="1"/>
      <c r="N335" s="1"/>
      <c r="O335" s="11"/>
    </row>
    <row r="336" spans="1:15" hidden="1" x14ac:dyDescent="0.25">
      <c r="A336" s="1">
        <v>46247</v>
      </c>
      <c r="B336">
        <v>1001140238</v>
      </c>
      <c r="C336" s="11" t="s">
        <v>74</v>
      </c>
      <c r="D336" s="11" t="s">
        <v>28</v>
      </c>
      <c r="E336" s="11" t="s">
        <v>4046</v>
      </c>
      <c r="F336" s="11" t="s">
        <v>4099</v>
      </c>
      <c r="G336" s="1">
        <v>46247</v>
      </c>
      <c r="H336" s="1">
        <v>46247</v>
      </c>
      <c r="I336" s="2">
        <v>0.5</v>
      </c>
      <c r="J336" s="2">
        <v>0.54166666666666663</v>
      </c>
      <c r="K336" s="11" t="s">
        <v>339</v>
      </c>
      <c r="L336" s="1"/>
      <c r="M336" s="1"/>
      <c r="N336" s="1"/>
      <c r="O336" s="11"/>
    </row>
    <row r="337" spans="1:15" hidden="1" x14ac:dyDescent="0.25">
      <c r="A337" s="1">
        <v>46248</v>
      </c>
      <c r="B337">
        <v>52814989</v>
      </c>
      <c r="C337" s="11" t="s">
        <v>2478</v>
      </c>
      <c r="D337" s="11" t="s">
        <v>143</v>
      </c>
      <c r="E337" s="11" t="s">
        <v>4045</v>
      </c>
      <c r="F337" s="11" t="s">
        <v>16</v>
      </c>
      <c r="G337" s="1">
        <v>46247</v>
      </c>
      <c r="H337" s="1">
        <v>46248</v>
      </c>
      <c r="I337" s="2">
        <v>0.58333333333333337</v>
      </c>
      <c r="J337" s="2">
        <v>0.875</v>
      </c>
      <c r="K337" s="11" t="s">
        <v>4060</v>
      </c>
      <c r="L337" s="1"/>
      <c r="M337" s="1"/>
      <c r="N337" s="1"/>
      <c r="O337" s="11"/>
    </row>
    <row r="338" spans="1:15" hidden="1" x14ac:dyDescent="0.25">
      <c r="A338" s="1">
        <v>46247</v>
      </c>
      <c r="B338">
        <v>1000348983</v>
      </c>
      <c r="C338" s="11" t="s">
        <v>235</v>
      </c>
      <c r="D338" s="11" t="s">
        <v>162</v>
      </c>
      <c r="E338" s="11" t="s">
        <v>4056</v>
      </c>
      <c r="F338" s="11" t="s">
        <v>16</v>
      </c>
      <c r="G338" s="1">
        <v>46247</v>
      </c>
      <c r="H338" s="1"/>
      <c r="I338" s="2">
        <v>0.25</v>
      </c>
      <c r="J338" s="2">
        <v>0.58333333333333337</v>
      </c>
      <c r="K338" s="11" t="s">
        <v>4085</v>
      </c>
      <c r="L338" s="1"/>
      <c r="M338" s="1"/>
      <c r="N338" s="1"/>
      <c r="O338" s="11"/>
    </row>
    <row r="339" spans="1:15" hidden="1" x14ac:dyDescent="0.25">
      <c r="A339" s="1">
        <v>46248</v>
      </c>
      <c r="B339">
        <v>1001446162</v>
      </c>
      <c r="C339" s="11" t="s">
        <v>3663</v>
      </c>
      <c r="D339" s="11" t="s">
        <v>4125</v>
      </c>
      <c r="E339" s="11" t="s">
        <v>4056</v>
      </c>
      <c r="F339" s="11" t="s">
        <v>4125</v>
      </c>
      <c r="G339" s="1">
        <v>46248</v>
      </c>
      <c r="H339" s="1">
        <v>46248</v>
      </c>
      <c r="I339" s="2">
        <v>0.29166666666666669</v>
      </c>
      <c r="J339" s="2">
        <v>0.625</v>
      </c>
      <c r="K339" s="11" t="s">
        <v>339</v>
      </c>
      <c r="L339" s="1"/>
      <c r="M339" s="1"/>
      <c r="N339" s="1"/>
      <c r="O339" s="11"/>
    </row>
    <row r="340" spans="1:15" hidden="1" x14ac:dyDescent="0.25">
      <c r="A340" s="1">
        <v>46249</v>
      </c>
      <c r="B340">
        <v>1010108820</v>
      </c>
      <c r="C340" s="11" t="s">
        <v>1213</v>
      </c>
      <c r="D340" s="11" t="s">
        <v>421</v>
      </c>
      <c r="E340" s="11" t="s">
        <v>4047</v>
      </c>
      <c r="F340" s="11" t="s">
        <v>4074</v>
      </c>
      <c r="G340" s="1">
        <v>46248</v>
      </c>
      <c r="H340" s="1">
        <v>46249</v>
      </c>
      <c r="I340" s="2">
        <v>0.25</v>
      </c>
      <c r="J340" s="2">
        <v>0.66666666666666663</v>
      </c>
      <c r="K340" s="11" t="s">
        <v>4060</v>
      </c>
      <c r="L340" s="1"/>
      <c r="M340" s="1"/>
      <c r="N340" s="1"/>
      <c r="O340" s="11"/>
    </row>
    <row r="341" spans="1:15" hidden="1" x14ac:dyDescent="0.25">
      <c r="A341" s="1">
        <v>46248</v>
      </c>
      <c r="B341">
        <v>1017267159</v>
      </c>
      <c r="C341" s="11" t="s">
        <v>1908</v>
      </c>
      <c r="D341" s="11" t="s">
        <v>44</v>
      </c>
      <c r="E341" s="11" t="s">
        <v>4045</v>
      </c>
      <c r="F341" s="11" t="s">
        <v>16</v>
      </c>
      <c r="G341" s="1">
        <v>46248</v>
      </c>
      <c r="H341" s="1">
        <v>46248</v>
      </c>
      <c r="I341" s="2">
        <v>0.58333333333333337</v>
      </c>
      <c r="J341" s="2">
        <v>0.875</v>
      </c>
      <c r="K341" s="11" t="s">
        <v>327</v>
      </c>
      <c r="L341" s="1"/>
      <c r="M341" s="1"/>
      <c r="N341" s="1"/>
      <c r="O341" s="11"/>
    </row>
    <row r="342" spans="1:15" hidden="1" x14ac:dyDescent="0.25">
      <c r="A342" s="1">
        <v>46248</v>
      </c>
      <c r="B342">
        <v>1143403750</v>
      </c>
      <c r="C342" s="11" t="s">
        <v>4167</v>
      </c>
      <c r="D342" s="11" t="s">
        <v>492</v>
      </c>
      <c r="E342" s="11" t="s">
        <v>4045</v>
      </c>
      <c r="F342" s="11" t="s">
        <v>4050</v>
      </c>
      <c r="G342" s="1">
        <v>46248</v>
      </c>
      <c r="H342" s="1">
        <v>46251</v>
      </c>
      <c r="I342" s="2">
        <v>0.54166666666666663</v>
      </c>
      <c r="J342" s="2">
        <v>0.875</v>
      </c>
      <c r="K342" s="11" t="s">
        <v>327</v>
      </c>
      <c r="L342" s="1"/>
      <c r="M342" s="1"/>
      <c r="N342" s="1"/>
      <c r="O342" s="11"/>
    </row>
    <row r="343" spans="1:15" hidden="1" x14ac:dyDescent="0.25">
      <c r="A343" s="1">
        <v>46248</v>
      </c>
      <c r="B343">
        <v>1002159701</v>
      </c>
      <c r="C343" s="11" t="s">
        <v>1272</v>
      </c>
      <c r="D343" s="11" t="s">
        <v>245</v>
      </c>
      <c r="E343" s="11" t="s">
        <v>4040</v>
      </c>
      <c r="F343" s="11" t="s">
        <v>16</v>
      </c>
      <c r="G343" s="1">
        <v>46248</v>
      </c>
      <c r="H343" s="1">
        <v>46248</v>
      </c>
      <c r="I343" s="2">
        <v>0.54166666666666663</v>
      </c>
      <c r="J343" s="2">
        <v>0.875</v>
      </c>
      <c r="K343" s="11" t="s">
        <v>327</v>
      </c>
      <c r="L343" s="1"/>
      <c r="M343" s="1"/>
      <c r="N343" s="1"/>
      <c r="O343" s="11"/>
    </row>
    <row r="344" spans="1:15" hidden="1" x14ac:dyDescent="0.25">
      <c r="A344" s="1">
        <v>46248</v>
      </c>
      <c r="B344">
        <v>1018484929</v>
      </c>
      <c r="C344" s="11" t="s">
        <v>2450</v>
      </c>
      <c r="D344" s="11" t="s">
        <v>68</v>
      </c>
      <c r="E344" s="11" t="s">
        <v>4040</v>
      </c>
      <c r="F344" s="11" t="s">
        <v>16</v>
      </c>
      <c r="G344" s="1">
        <v>46248</v>
      </c>
      <c r="H344" s="1">
        <v>46248</v>
      </c>
      <c r="I344" s="2">
        <v>0.58333333333333337</v>
      </c>
      <c r="J344" s="2">
        <v>0.875</v>
      </c>
      <c r="K344" s="11" t="s">
        <v>327</v>
      </c>
      <c r="L344" s="1"/>
      <c r="M344" s="1"/>
      <c r="N344" s="1"/>
      <c r="O344" s="11"/>
    </row>
    <row r="345" spans="1:15" hidden="1" x14ac:dyDescent="0.25">
      <c r="A345" s="1">
        <v>46249</v>
      </c>
      <c r="B345">
        <v>1042455156</v>
      </c>
      <c r="C345" s="11" t="s">
        <v>1341</v>
      </c>
      <c r="D345" s="11" t="s">
        <v>55</v>
      </c>
      <c r="E345" s="11" t="s">
        <v>4047</v>
      </c>
      <c r="F345" s="11" t="s">
        <v>16</v>
      </c>
      <c r="G345" s="1">
        <v>46248</v>
      </c>
      <c r="H345" s="1">
        <v>46249</v>
      </c>
      <c r="I345" s="2">
        <v>0.25</v>
      </c>
      <c r="J345" s="2">
        <v>0.66666666666666663</v>
      </c>
      <c r="K345" s="11" t="s">
        <v>327</v>
      </c>
      <c r="L345" s="1"/>
      <c r="M345" s="1"/>
      <c r="N345" s="1"/>
      <c r="O345" s="11"/>
    </row>
    <row r="346" spans="1:15" hidden="1" x14ac:dyDescent="0.25">
      <c r="A346" s="1">
        <v>46249</v>
      </c>
      <c r="B346">
        <v>1193584838</v>
      </c>
      <c r="C346" s="11" t="s">
        <v>4109</v>
      </c>
      <c r="D346" s="11" t="s">
        <v>59</v>
      </c>
      <c r="E346" s="11" t="s">
        <v>4047</v>
      </c>
      <c r="F346" s="11" t="s">
        <v>4074</v>
      </c>
      <c r="G346" s="1">
        <v>46248</v>
      </c>
      <c r="H346" s="1">
        <v>46249</v>
      </c>
      <c r="I346" s="2">
        <v>0.25</v>
      </c>
      <c r="J346" s="2">
        <v>0.66666666666666663</v>
      </c>
      <c r="K346" s="11" t="s">
        <v>4060</v>
      </c>
      <c r="L346" s="1"/>
      <c r="M346" s="1"/>
      <c r="N346" s="1"/>
      <c r="O346" s="11"/>
    </row>
    <row r="347" spans="1:15" hidden="1" x14ac:dyDescent="0.25">
      <c r="A347" s="1">
        <v>46249</v>
      </c>
      <c r="B347">
        <v>1003382575</v>
      </c>
      <c r="C347" s="11" t="s">
        <v>4187</v>
      </c>
      <c r="D347" s="11" t="s">
        <v>124</v>
      </c>
      <c r="E347" s="11" t="s">
        <v>4045</v>
      </c>
      <c r="F347" s="11" t="s">
        <v>16</v>
      </c>
      <c r="G347" s="1">
        <v>46248</v>
      </c>
      <c r="H347" s="1">
        <v>46249</v>
      </c>
      <c r="I347" s="2">
        <v>0.25</v>
      </c>
      <c r="J347" s="2">
        <v>0.66666666666666663</v>
      </c>
      <c r="K347" s="11" t="s">
        <v>252</v>
      </c>
      <c r="L347" s="1"/>
      <c r="M347" s="1"/>
      <c r="N347" s="1"/>
      <c r="O347" s="11"/>
    </row>
    <row r="348" spans="1:15" hidden="1" x14ac:dyDescent="0.25">
      <c r="A348" s="1">
        <v>46249</v>
      </c>
      <c r="B348">
        <v>1143397459</v>
      </c>
      <c r="C348" s="11" t="s">
        <v>698</v>
      </c>
      <c r="D348" s="11" t="s">
        <v>634</v>
      </c>
      <c r="E348" s="11" t="s">
        <v>4045</v>
      </c>
      <c r="F348" s="11" t="s">
        <v>16</v>
      </c>
      <c r="G348" s="1">
        <v>46248</v>
      </c>
      <c r="H348" s="1">
        <v>46249</v>
      </c>
      <c r="I348" s="2">
        <v>0.25</v>
      </c>
      <c r="J348" s="2">
        <v>0.66666666666666663</v>
      </c>
      <c r="K348" s="11" t="s">
        <v>327</v>
      </c>
      <c r="L348" s="1"/>
      <c r="M348" s="1"/>
      <c r="N348" s="1"/>
      <c r="O348" s="11"/>
    </row>
    <row r="349" spans="1:15" hidden="1" x14ac:dyDescent="0.25">
      <c r="A349" s="1">
        <v>46248</v>
      </c>
      <c r="B349">
        <v>1020482893</v>
      </c>
      <c r="C349" s="11" t="s">
        <v>2366</v>
      </c>
      <c r="D349" s="11" t="s">
        <v>132</v>
      </c>
      <c r="E349" s="11" t="s">
        <v>4040</v>
      </c>
      <c r="F349" s="11" t="s">
        <v>16</v>
      </c>
      <c r="G349" s="1">
        <v>46248</v>
      </c>
      <c r="H349" s="1">
        <v>46248</v>
      </c>
      <c r="I349" s="2">
        <v>0.25</v>
      </c>
      <c r="J349" s="2">
        <v>0.54166666666666663</v>
      </c>
      <c r="K349" s="11" t="s">
        <v>327</v>
      </c>
      <c r="L349" s="1"/>
      <c r="M349" s="1"/>
      <c r="N349" s="1"/>
      <c r="O349" s="11"/>
    </row>
    <row r="350" spans="1:15" hidden="1" x14ac:dyDescent="0.25">
      <c r="A350" s="1">
        <v>46249</v>
      </c>
      <c r="B350">
        <v>1001996913</v>
      </c>
      <c r="C350" s="11" t="s">
        <v>3174</v>
      </c>
      <c r="D350" s="11" t="s">
        <v>28</v>
      </c>
      <c r="E350" s="11" t="s">
        <v>4046</v>
      </c>
      <c r="F350" s="11" t="s">
        <v>4074</v>
      </c>
      <c r="G350" s="1">
        <v>46248</v>
      </c>
      <c r="H350" s="1">
        <v>46249</v>
      </c>
      <c r="I350" s="2"/>
      <c r="J350" s="2"/>
      <c r="K350" s="11" t="s">
        <v>4083</v>
      </c>
      <c r="L350" s="1"/>
      <c r="M350" s="1"/>
      <c r="N350" s="1"/>
      <c r="O350" s="11"/>
    </row>
    <row r="351" spans="1:15" hidden="1" x14ac:dyDescent="0.25">
      <c r="A351" s="1">
        <v>46249</v>
      </c>
      <c r="B351">
        <v>1017261828</v>
      </c>
      <c r="C351" s="11" t="s">
        <v>210</v>
      </c>
      <c r="D351" s="11" t="s">
        <v>28</v>
      </c>
      <c r="E351" s="11" t="s">
        <v>4046</v>
      </c>
      <c r="F351" s="11" t="s">
        <v>16</v>
      </c>
      <c r="G351" s="1">
        <v>46248</v>
      </c>
      <c r="H351" s="1">
        <v>46249</v>
      </c>
      <c r="I351" s="2"/>
      <c r="J351" s="2"/>
      <c r="K351" s="11" t="s">
        <v>341</v>
      </c>
      <c r="L351" s="1"/>
      <c r="M351" s="1"/>
      <c r="N351" s="1"/>
      <c r="O351" s="11"/>
    </row>
    <row r="352" spans="1:15" hidden="1" x14ac:dyDescent="0.25">
      <c r="A352" s="1">
        <v>46248</v>
      </c>
      <c r="B352">
        <v>1007223463</v>
      </c>
      <c r="C352" s="11" t="s">
        <v>561</v>
      </c>
      <c r="D352" s="11" t="s">
        <v>272</v>
      </c>
      <c r="E352" s="11" t="s">
        <v>4056</v>
      </c>
      <c r="F352" s="11" t="s">
        <v>4099</v>
      </c>
      <c r="G352" s="1">
        <v>46248</v>
      </c>
      <c r="H352" s="1">
        <v>46248</v>
      </c>
      <c r="I352" s="2">
        <v>0.58333333333333337</v>
      </c>
      <c r="J352" s="2">
        <v>0.625</v>
      </c>
      <c r="K352" s="11" t="s">
        <v>339</v>
      </c>
      <c r="L352" s="1"/>
      <c r="M352" s="1"/>
      <c r="N352" s="1"/>
      <c r="O352" s="11"/>
    </row>
    <row r="353" spans="1:15" hidden="1" x14ac:dyDescent="0.25">
      <c r="A353" s="1">
        <v>46249</v>
      </c>
      <c r="B353">
        <v>1143403750</v>
      </c>
      <c r="C353" s="11" t="s">
        <v>4167</v>
      </c>
      <c r="D353" s="11" t="s">
        <v>492</v>
      </c>
      <c r="E353" s="11" t="s">
        <v>4045</v>
      </c>
      <c r="F353" s="11" t="s">
        <v>4050</v>
      </c>
      <c r="G353" s="1">
        <v>46247</v>
      </c>
      <c r="H353" s="1">
        <v>46251</v>
      </c>
      <c r="I353" s="2"/>
      <c r="J353" s="2"/>
      <c r="K353" s="11" t="s">
        <v>341</v>
      </c>
      <c r="L353" s="1"/>
      <c r="M353" s="1"/>
      <c r="N353" s="1"/>
      <c r="O353" s="11"/>
    </row>
    <row r="354" spans="1:15" hidden="1" x14ac:dyDescent="0.25">
      <c r="A354" s="1">
        <v>46249</v>
      </c>
      <c r="B354">
        <v>1005424850</v>
      </c>
      <c r="C354" s="11" t="s">
        <v>95</v>
      </c>
      <c r="D354" s="11" t="s">
        <v>82</v>
      </c>
      <c r="E354" s="11" t="s">
        <v>4045</v>
      </c>
      <c r="F354" s="11" t="s">
        <v>4062</v>
      </c>
      <c r="G354" s="1">
        <v>46238</v>
      </c>
      <c r="H354" s="1">
        <v>46262</v>
      </c>
      <c r="I354" s="2"/>
      <c r="J354" s="2"/>
      <c r="K354" s="11" t="s">
        <v>4195</v>
      </c>
      <c r="L354" s="1"/>
      <c r="M354" s="1"/>
      <c r="N354" s="1"/>
      <c r="O354" s="11"/>
    </row>
    <row r="355" spans="1:15" hidden="1" x14ac:dyDescent="0.25">
      <c r="A355" s="1">
        <v>46249</v>
      </c>
      <c r="B355">
        <v>43978621</v>
      </c>
      <c r="C355" s="11" t="s">
        <v>1600</v>
      </c>
      <c r="D355" s="11" t="s">
        <v>272</v>
      </c>
      <c r="E355" s="11" t="s">
        <v>4056</v>
      </c>
      <c r="F355" s="11" t="s">
        <v>4074</v>
      </c>
      <c r="G355" s="1">
        <v>46248</v>
      </c>
      <c r="H355" s="1"/>
      <c r="I355" s="2">
        <v>0.25</v>
      </c>
      <c r="J355" s="2">
        <v>0.58333333333333337</v>
      </c>
      <c r="K355" s="11" t="s">
        <v>4162</v>
      </c>
      <c r="L355" s="1"/>
      <c r="M355" s="1"/>
      <c r="N355" s="1"/>
      <c r="O355" s="11"/>
    </row>
    <row r="356" spans="1:15" hidden="1" x14ac:dyDescent="0.25">
      <c r="A356" s="1">
        <v>46249</v>
      </c>
      <c r="B356">
        <v>1036132488</v>
      </c>
      <c r="C356" s="11" t="s">
        <v>58</v>
      </c>
      <c r="D356" s="11" t="s">
        <v>59</v>
      </c>
      <c r="E356" s="11" t="s">
        <v>4047</v>
      </c>
      <c r="F356" s="11" t="s">
        <v>4074</v>
      </c>
      <c r="G356" s="1">
        <v>46248</v>
      </c>
      <c r="H356" s="1">
        <v>46249</v>
      </c>
      <c r="I356" s="2"/>
      <c r="J356" s="2"/>
      <c r="K356" s="11" t="s">
        <v>4083</v>
      </c>
      <c r="L356" s="1"/>
      <c r="M356" s="1"/>
      <c r="N356" s="1"/>
      <c r="O356" s="11"/>
    </row>
    <row r="357" spans="1:15" hidden="1" x14ac:dyDescent="0.25">
      <c r="A357" s="1">
        <v>46249</v>
      </c>
      <c r="B357">
        <v>1143405766</v>
      </c>
      <c r="C357" s="11" t="s">
        <v>822</v>
      </c>
      <c r="D357" s="11" t="s">
        <v>124</v>
      </c>
      <c r="E357" s="11" t="s">
        <v>4045</v>
      </c>
      <c r="F357" s="11" t="s">
        <v>16</v>
      </c>
      <c r="G357" s="1">
        <v>46249</v>
      </c>
      <c r="H357" s="1">
        <v>46249</v>
      </c>
      <c r="I357" s="2">
        <v>0.25</v>
      </c>
      <c r="J357" s="2">
        <v>0.66666666666666663</v>
      </c>
      <c r="K357" s="11" t="s">
        <v>327</v>
      </c>
      <c r="L357" s="1"/>
      <c r="M357" s="1"/>
      <c r="N357" s="1"/>
      <c r="O357" s="11"/>
    </row>
    <row r="358" spans="1:15" hidden="1" x14ac:dyDescent="0.25">
      <c r="A358" s="1">
        <v>46249</v>
      </c>
      <c r="B358">
        <v>1002155665</v>
      </c>
      <c r="C358" s="11" t="s">
        <v>3791</v>
      </c>
      <c r="D358" s="11" t="s">
        <v>64</v>
      </c>
      <c r="E358" s="11" t="s">
        <v>4046</v>
      </c>
      <c r="F358" s="11" t="s">
        <v>16</v>
      </c>
      <c r="G358" s="1">
        <v>46249</v>
      </c>
      <c r="H358" s="1">
        <v>46249</v>
      </c>
      <c r="I358" s="2">
        <v>0.25</v>
      </c>
      <c r="J358" s="2">
        <v>0.66666666666666663</v>
      </c>
      <c r="K358" s="11" t="s">
        <v>327</v>
      </c>
      <c r="L358" s="1"/>
      <c r="M358" s="1"/>
      <c r="N358" s="1"/>
      <c r="O358" s="11"/>
    </row>
    <row r="359" spans="1:15" hidden="1" x14ac:dyDescent="0.25">
      <c r="A359" s="1">
        <v>46249</v>
      </c>
      <c r="B359">
        <v>1140891109</v>
      </c>
      <c r="C359" s="11" t="s">
        <v>1287</v>
      </c>
      <c r="D359" s="11" t="s">
        <v>51</v>
      </c>
      <c r="E359" s="11" t="s">
        <v>4047</v>
      </c>
      <c r="F359" s="11" t="s">
        <v>4074</v>
      </c>
      <c r="G359" s="1">
        <v>46249</v>
      </c>
      <c r="H359" s="1">
        <v>46249</v>
      </c>
      <c r="I359" s="2">
        <v>0.25</v>
      </c>
      <c r="J359" s="2">
        <v>0.66666666666666663</v>
      </c>
      <c r="K359" s="11" t="s">
        <v>4060</v>
      </c>
      <c r="L359" s="1"/>
      <c r="M359" s="1"/>
      <c r="N359" s="1"/>
      <c r="O359" s="11"/>
    </row>
    <row r="360" spans="1:15" hidden="1" x14ac:dyDescent="0.25">
      <c r="A360" s="1">
        <v>46249</v>
      </c>
      <c r="B360">
        <v>1152467699</v>
      </c>
      <c r="C360" s="11" t="s">
        <v>2793</v>
      </c>
      <c r="D360" s="11" t="s">
        <v>139</v>
      </c>
      <c r="E360" s="11" t="s">
        <v>4040</v>
      </c>
      <c r="F360" s="11" t="s">
        <v>4074</v>
      </c>
      <c r="G360" s="1">
        <v>46249</v>
      </c>
      <c r="H360" s="1">
        <v>46249</v>
      </c>
      <c r="I360" s="2">
        <v>0.25</v>
      </c>
      <c r="J360" s="2">
        <v>0.66666666666666663</v>
      </c>
      <c r="K360" s="11" t="s">
        <v>4060</v>
      </c>
      <c r="L360" s="1"/>
      <c r="M360" s="1"/>
      <c r="N360" s="1"/>
      <c r="O360" s="11"/>
    </row>
    <row r="361" spans="1:15" hidden="1" x14ac:dyDescent="0.25">
      <c r="A361" s="1">
        <v>46249</v>
      </c>
      <c r="B361">
        <v>1037642818</v>
      </c>
      <c r="C361" s="11" t="s">
        <v>3692</v>
      </c>
      <c r="D361" s="11" t="s">
        <v>28</v>
      </c>
      <c r="E361" s="11" t="s">
        <v>4046</v>
      </c>
      <c r="F361" s="11" t="s">
        <v>16</v>
      </c>
      <c r="G361" s="1">
        <v>46248</v>
      </c>
      <c r="H361" s="1">
        <v>46249</v>
      </c>
      <c r="I361" s="2">
        <v>0.25</v>
      </c>
      <c r="J361" s="2">
        <v>0.66666666666666663</v>
      </c>
      <c r="K361" s="11" t="s">
        <v>4060</v>
      </c>
      <c r="L361" s="1"/>
      <c r="M361" s="1"/>
      <c r="N361" s="1"/>
      <c r="O361" s="11"/>
    </row>
    <row r="362" spans="1:15" hidden="1" x14ac:dyDescent="0.25">
      <c r="A362" s="1">
        <v>46249</v>
      </c>
      <c r="B362">
        <v>1000204850</v>
      </c>
      <c r="C362" s="11" t="s">
        <v>1468</v>
      </c>
      <c r="D362" s="11" t="s">
        <v>245</v>
      </c>
      <c r="E362" s="11" t="s">
        <v>4040</v>
      </c>
      <c r="F362" s="11" t="s">
        <v>4074</v>
      </c>
      <c r="G362" s="1">
        <v>46249</v>
      </c>
      <c r="H362" s="1">
        <v>46249</v>
      </c>
      <c r="I362" s="2">
        <v>0.25</v>
      </c>
      <c r="J362" s="2">
        <v>0.66666666666666663</v>
      </c>
      <c r="K362" s="11" t="s">
        <v>4060</v>
      </c>
      <c r="L362" s="1"/>
      <c r="M362" s="1"/>
      <c r="N362" s="1"/>
      <c r="O362" s="11"/>
    </row>
    <row r="363" spans="1:15" hidden="1" x14ac:dyDescent="0.25">
      <c r="A363" s="1">
        <v>46249</v>
      </c>
      <c r="B363">
        <v>1233343291</v>
      </c>
      <c r="C363" s="11" t="s">
        <v>3974</v>
      </c>
      <c r="D363" s="11" t="s">
        <v>143</v>
      </c>
      <c r="E363" s="11" t="s">
        <v>4045</v>
      </c>
      <c r="F363" s="11" t="s">
        <v>16</v>
      </c>
      <c r="G363" s="1">
        <v>46249</v>
      </c>
      <c r="H363" s="1">
        <v>46249</v>
      </c>
      <c r="I363" s="2">
        <v>0.25</v>
      </c>
      <c r="J363" s="2">
        <v>0.66666666666666663</v>
      </c>
      <c r="K363" s="11" t="s">
        <v>4060</v>
      </c>
      <c r="L363" s="1"/>
      <c r="M363" s="1"/>
      <c r="N363" s="1"/>
      <c r="O363" s="11"/>
    </row>
    <row r="364" spans="1:15" hidden="1" x14ac:dyDescent="0.25">
      <c r="A364" s="1">
        <v>46249</v>
      </c>
      <c r="B364">
        <v>1003190674</v>
      </c>
      <c r="C364" s="11" t="s">
        <v>1950</v>
      </c>
      <c r="D364" s="11" t="s">
        <v>55</v>
      </c>
      <c r="E364" s="11" t="s">
        <v>4047</v>
      </c>
      <c r="F364" s="11" t="s">
        <v>16</v>
      </c>
      <c r="G364" s="1">
        <v>46249</v>
      </c>
      <c r="H364" s="1">
        <v>46249</v>
      </c>
      <c r="I364" s="2"/>
      <c r="J364" s="2"/>
      <c r="K364" s="11" t="s">
        <v>327</v>
      </c>
      <c r="L364" s="1"/>
      <c r="M364" s="1"/>
      <c r="N364" s="1"/>
      <c r="O364" s="11"/>
    </row>
    <row r="365" spans="1:15" hidden="1" x14ac:dyDescent="0.25">
      <c r="A365" s="1">
        <v>46249</v>
      </c>
      <c r="B365">
        <v>1036675646</v>
      </c>
      <c r="C365" s="11" t="s">
        <v>957</v>
      </c>
      <c r="D365" s="11" t="s">
        <v>272</v>
      </c>
      <c r="E365" s="11" t="s">
        <v>4056</v>
      </c>
      <c r="F365" s="11" t="s">
        <v>4074</v>
      </c>
      <c r="G365" s="1">
        <v>46249</v>
      </c>
      <c r="H365" s="1">
        <v>46249</v>
      </c>
      <c r="I365" s="2">
        <v>0.25</v>
      </c>
      <c r="J365" s="2">
        <v>0.58333333333333337</v>
      </c>
      <c r="K365" s="11" t="s">
        <v>4060</v>
      </c>
      <c r="L365" s="1"/>
      <c r="M365" s="1"/>
      <c r="N365" s="1"/>
      <c r="O365" s="11"/>
    </row>
    <row r="366" spans="1:15" hidden="1" x14ac:dyDescent="0.25">
      <c r="A366" s="1">
        <v>46249</v>
      </c>
      <c r="B366">
        <v>1152215751</v>
      </c>
      <c r="C366" s="11" t="s">
        <v>2668</v>
      </c>
      <c r="D366" s="11" t="s">
        <v>162</v>
      </c>
      <c r="E366" s="11" t="s">
        <v>4056</v>
      </c>
      <c r="F366" s="11" t="s">
        <v>4074</v>
      </c>
      <c r="G366" s="1">
        <v>46249</v>
      </c>
      <c r="H366" s="1">
        <v>46249</v>
      </c>
      <c r="I366" s="2">
        <v>0.25</v>
      </c>
      <c r="J366" s="2">
        <v>0.58333333333333337</v>
      </c>
      <c r="K366" s="11" t="s">
        <v>4060</v>
      </c>
      <c r="L366" s="1"/>
      <c r="M366" s="1"/>
      <c r="N366" s="1"/>
      <c r="O366" s="11"/>
    </row>
    <row r="367" spans="1:15" hidden="1" x14ac:dyDescent="0.25">
      <c r="A367" s="1">
        <v>46249</v>
      </c>
      <c r="B367">
        <v>1000395784</v>
      </c>
      <c r="C367" s="11" t="s">
        <v>963</v>
      </c>
      <c r="D367" s="11" t="s">
        <v>272</v>
      </c>
      <c r="E367" s="11" t="s">
        <v>4056</v>
      </c>
      <c r="F367" s="11" t="s">
        <v>4074</v>
      </c>
      <c r="G367" s="1">
        <v>46249</v>
      </c>
      <c r="H367" s="1">
        <v>46249</v>
      </c>
      <c r="I367" s="2">
        <v>0.25</v>
      </c>
      <c r="J367" s="2">
        <v>0.58333333333333337</v>
      </c>
      <c r="K367" s="11" t="s">
        <v>4060</v>
      </c>
      <c r="L367" s="1"/>
      <c r="M367" s="1"/>
      <c r="N367" s="1"/>
      <c r="O367" s="11"/>
    </row>
    <row r="368" spans="1:15" hidden="1" x14ac:dyDescent="0.25">
      <c r="A368" s="1">
        <v>46249</v>
      </c>
      <c r="B368">
        <v>1001014608</v>
      </c>
      <c r="C368" s="11" t="s">
        <v>573</v>
      </c>
      <c r="D368" s="11" t="s">
        <v>55</v>
      </c>
      <c r="E368" s="11" t="s">
        <v>4040</v>
      </c>
      <c r="F368" s="11" t="s">
        <v>4074</v>
      </c>
      <c r="G368" s="1">
        <v>46249</v>
      </c>
      <c r="H368" s="1">
        <v>46249</v>
      </c>
      <c r="I368" s="2"/>
      <c r="J368" s="2"/>
      <c r="K368" s="11" t="s">
        <v>4083</v>
      </c>
      <c r="L368" s="1"/>
      <c r="M368" s="1"/>
      <c r="N368" s="1"/>
      <c r="O368" s="11"/>
    </row>
    <row r="369" spans="1:15" hidden="1" x14ac:dyDescent="0.25">
      <c r="A369" s="1">
        <v>46249</v>
      </c>
      <c r="B369">
        <v>1041149354</v>
      </c>
      <c r="C369" s="11" t="s">
        <v>2319</v>
      </c>
      <c r="D369" s="11" t="s">
        <v>55</v>
      </c>
      <c r="E369" s="11" t="s">
        <v>4040</v>
      </c>
      <c r="F369" s="11" t="s">
        <v>16</v>
      </c>
      <c r="G369" s="1">
        <v>46249</v>
      </c>
      <c r="H369" s="1">
        <v>46249</v>
      </c>
      <c r="I369" s="2">
        <v>0.25</v>
      </c>
      <c r="J369" s="2">
        <v>0.66666666666666663</v>
      </c>
      <c r="K369" s="11" t="s">
        <v>4060</v>
      </c>
      <c r="L369" s="1"/>
      <c r="M369" s="1"/>
      <c r="N369" s="1"/>
      <c r="O369" s="11"/>
    </row>
    <row r="370" spans="1:15" hidden="1" x14ac:dyDescent="0.25">
      <c r="A370" s="1">
        <v>46249</v>
      </c>
      <c r="B370">
        <v>1152709914</v>
      </c>
      <c r="C370" s="11" t="s">
        <v>3437</v>
      </c>
      <c r="D370" s="11" t="s">
        <v>139</v>
      </c>
      <c r="E370" s="11" t="s">
        <v>4040</v>
      </c>
      <c r="F370" s="11" t="s">
        <v>4074</v>
      </c>
      <c r="G370" s="1">
        <v>46249</v>
      </c>
      <c r="H370" s="1">
        <v>46249</v>
      </c>
      <c r="I370" s="2">
        <v>0.25</v>
      </c>
      <c r="J370" s="2">
        <v>0.625</v>
      </c>
      <c r="K370" s="11" t="s">
        <v>4060</v>
      </c>
      <c r="L370" s="1"/>
      <c r="M370" s="1"/>
      <c r="N370" s="1"/>
      <c r="O370" s="11"/>
    </row>
    <row r="371" spans="1:15" hidden="1" x14ac:dyDescent="0.25">
      <c r="A371" s="1">
        <v>46249</v>
      </c>
      <c r="B371">
        <v>1000049316</v>
      </c>
      <c r="C371" s="11" t="s">
        <v>623</v>
      </c>
      <c r="D371" s="11" t="s">
        <v>492</v>
      </c>
      <c r="E371" s="11" t="s">
        <v>4045</v>
      </c>
      <c r="F371" s="11" t="s">
        <v>4074</v>
      </c>
      <c r="G371" s="1">
        <v>46249</v>
      </c>
      <c r="H371" s="1">
        <v>46249</v>
      </c>
      <c r="I371" s="2">
        <v>0.25</v>
      </c>
      <c r="J371" s="2">
        <v>0.66666666666666663</v>
      </c>
      <c r="K371" s="11" t="s">
        <v>4060</v>
      </c>
      <c r="L371" s="1"/>
      <c r="M371" s="1"/>
      <c r="N371" s="1"/>
      <c r="O371" s="11"/>
    </row>
    <row r="372" spans="1:15" hidden="1" x14ac:dyDescent="0.25">
      <c r="A372" s="1">
        <v>46249</v>
      </c>
      <c r="B372">
        <v>1037659560</v>
      </c>
      <c r="C372" s="11" t="s">
        <v>4200</v>
      </c>
      <c r="D372" s="11" t="s">
        <v>28</v>
      </c>
      <c r="E372" s="11" t="s">
        <v>4046</v>
      </c>
      <c r="F372" s="11" t="s">
        <v>16</v>
      </c>
      <c r="G372" s="1">
        <v>46249</v>
      </c>
      <c r="H372" s="1">
        <v>46249</v>
      </c>
      <c r="I372" s="2"/>
      <c r="J372" s="2"/>
      <c r="K372" s="11" t="s">
        <v>327</v>
      </c>
      <c r="L372" s="1"/>
      <c r="M372" s="1"/>
      <c r="N372" s="1"/>
      <c r="O372" s="11"/>
    </row>
    <row r="373" spans="1:15" hidden="1" x14ac:dyDescent="0.25">
      <c r="A373" s="1">
        <v>46253</v>
      </c>
      <c r="B373">
        <v>1214714989</v>
      </c>
      <c r="C373" s="11" t="s">
        <v>2191</v>
      </c>
      <c r="D373" s="11" t="s">
        <v>256</v>
      </c>
      <c r="E373" s="11" t="s">
        <v>4040</v>
      </c>
      <c r="F373" s="11" t="s">
        <v>16</v>
      </c>
      <c r="G373" s="1">
        <v>46252</v>
      </c>
      <c r="H373" s="1">
        <v>46253</v>
      </c>
      <c r="I373" s="2">
        <v>0.25</v>
      </c>
      <c r="J373" s="2">
        <v>0.58333333333333337</v>
      </c>
      <c r="K373" s="11" t="s">
        <v>327</v>
      </c>
      <c r="L373" s="1"/>
      <c r="M373" s="1"/>
      <c r="N373" s="1"/>
      <c r="O373" s="11"/>
    </row>
    <row r="374" spans="1:15" hidden="1" x14ac:dyDescent="0.25">
      <c r="A374" s="1">
        <v>46253</v>
      </c>
      <c r="B374">
        <v>1143267842</v>
      </c>
      <c r="C374" s="11" t="s">
        <v>1501</v>
      </c>
      <c r="D374" s="11" t="s">
        <v>128</v>
      </c>
      <c r="E374" s="11" t="s">
        <v>4045</v>
      </c>
      <c r="F374" s="11" t="s">
        <v>16</v>
      </c>
      <c r="G374" s="1">
        <v>46252</v>
      </c>
      <c r="H374" s="1">
        <v>46253</v>
      </c>
      <c r="I374" s="2">
        <v>0.58333333333333337</v>
      </c>
      <c r="J374" s="2">
        <v>0.875</v>
      </c>
      <c r="K374" s="11" t="s">
        <v>104</v>
      </c>
      <c r="L374" s="1"/>
      <c r="M374" s="1"/>
      <c r="N374" s="1"/>
      <c r="O374" s="11"/>
    </row>
    <row r="375" spans="1:15" hidden="1" x14ac:dyDescent="0.25">
      <c r="A375" s="1">
        <v>46253</v>
      </c>
      <c r="B375">
        <v>1152467583</v>
      </c>
      <c r="C375" s="11" t="s">
        <v>3788</v>
      </c>
      <c r="D375" s="11" t="s">
        <v>68</v>
      </c>
      <c r="E375" s="11" t="s">
        <v>4040</v>
      </c>
      <c r="F375" s="11" t="s">
        <v>16</v>
      </c>
      <c r="G375" s="1">
        <v>46252</v>
      </c>
      <c r="H375" s="1">
        <v>46253</v>
      </c>
      <c r="I375" s="2">
        <v>0.25</v>
      </c>
      <c r="J375" s="2">
        <v>0.58333333333333337</v>
      </c>
      <c r="K375" s="11" t="s">
        <v>241</v>
      </c>
      <c r="L375" s="1"/>
      <c r="M375" s="1"/>
      <c r="N375" s="1"/>
      <c r="O375" s="11"/>
    </row>
    <row r="376" spans="1:15" hidden="1" x14ac:dyDescent="0.25">
      <c r="A376" s="1">
        <v>46253</v>
      </c>
      <c r="B376">
        <v>88030132</v>
      </c>
      <c r="C376" s="11" t="s">
        <v>1956</v>
      </c>
      <c r="D376" s="11" t="s">
        <v>59</v>
      </c>
      <c r="E376" s="11" t="s">
        <v>4047</v>
      </c>
      <c r="F376" s="11" t="s">
        <v>16</v>
      </c>
      <c r="G376" s="1">
        <v>46252</v>
      </c>
      <c r="H376" s="1">
        <v>46253</v>
      </c>
      <c r="I376" s="2">
        <v>0.25</v>
      </c>
      <c r="J376" s="2">
        <v>0.54166666666666663</v>
      </c>
      <c r="K376" s="11" t="s">
        <v>327</v>
      </c>
      <c r="L376" s="1"/>
      <c r="M376" s="1"/>
      <c r="N376" s="1"/>
      <c r="O376" s="11"/>
    </row>
    <row r="377" spans="1:15" hidden="1" x14ac:dyDescent="0.25">
      <c r="A377" s="1">
        <v>46254</v>
      </c>
      <c r="B377">
        <v>1001996913</v>
      </c>
      <c r="C377" s="11" t="s">
        <v>3174</v>
      </c>
      <c r="D377" s="11" t="s">
        <v>28</v>
      </c>
      <c r="E377" s="11" t="s">
        <v>4046</v>
      </c>
      <c r="F377" s="11" t="s">
        <v>16</v>
      </c>
      <c r="G377" s="1">
        <v>46252</v>
      </c>
      <c r="H377" s="1">
        <v>46254</v>
      </c>
      <c r="I377" s="2">
        <v>0.54166666666666663</v>
      </c>
      <c r="J377" s="2">
        <v>0.875</v>
      </c>
      <c r="K377" s="11" t="s">
        <v>241</v>
      </c>
      <c r="L377" s="1"/>
      <c r="M377" s="1"/>
      <c r="N377" s="1"/>
      <c r="O377" s="11"/>
    </row>
    <row r="378" spans="1:15" hidden="1" x14ac:dyDescent="0.25">
      <c r="A378" s="1">
        <v>46253</v>
      </c>
      <c r="B378">
        <v>1193037165</v>
      </c>
      <c r="C378" s="11" t="s">
        <v>3800</v>
      </c>
      <c r="D378" s="11" t="s">
        <v>78</v>
      </c>
      <c r="E378" s="11" t="s">
        <v>4046</v>
      </c>
      <c r="F378" s="11" t="s">
        <v>16</v>
      </c>
      <c r="G378" s="1">
        <v>46252</v>
      </c>
      <c r="H378" s="1">
        <v>46253</v>
      </c>
      <c r="I378" s="2">
        <v>0.54166666666666663</v>
      </c>
      <c r="J378" s="2">
        <v>0.875</v>
      </c>
      <c r="K378" s="11" t="s">
        <v>327</v>
      </c>
      <c r="L378" s="1"/>
      <c r="M378" s="1"/>
      <c r="N378" s="1"/>
      <c r="O378" s="11"/>
    </row>
    <row r="379" spans="1:15" hidden="1" x14ac:dyDescent="0.25">
      <c r="A379" s="1">
        <v>46253</v>
      </c>
      <c r="B379">
        <v>43453341</v>
      </c>
      <c r="C379" s="11" t="s">
        <v>146</v>
      </c>
      <c r="D379" s="11" t="s">
        <v>124</v>
      </c>
      <c r="E379" s="11" t="s">
        <v>4045</v>
      </c>
      <c r="F379" s="11" t="s">
        <v>16</v>
      </c>
      <c r="G379" s="1">
        <v>46252</v>
      </c>
      <c r="H379" s="1">
        <v>46253</v>
      </c>
      <c r="I379" s="2">
        <v>0.25</v>
      </c>
      <c r="J379" s="2">
        <v>0.54166666666666663</v>
      </c>
      <c r="K379" s="11" t="s">
        <v>151</v>
      </c>
      <c r="L379" s="1"/>
      <c r="M379" s="1"/>
      <c r="N379" s="1"/>
      <c r="O379" s="11"/>
    </row>
    <row r="380" spans="1:15" hidden="1" x14ac:dyDescent="0.25">
      <c r="A380" s="1">
        <v>46263</v>
      </c>
      <c r="B380">
        <v>1045718883</v>
      </c>
      <c r="C380" s="11" t="s">
        <v>34</v>
      </c>
      <c r="D380" s="11" t="s">
        <v>128</v>
      </c>
      <c r="E380" s="11" t="s">
        <v>4045</v>
      </c>
      <c r="F380" s="11" t="s">
        <v>36</v>
      </c>
      <c r="G380" s="1">
        <v>46244</v>
      </c>
      <c r="H380" s="1">
        <v>46393</v>
      </c>
      <c r="I380" s="2"/>
      <c r="J380" s="2"/>
      <c r="K380" s="11" t="s">
        <v>339</v>
      </c>
      <c r="L380" s="1"/>
      <c r="M380" s="1"/>
      <c r="N380" s="1"/>
      <c r="O380" s="11"/>
    </row>
    <row r="381" spans="1:15" hidden="1" x14ac:dyDescent="0.25">
      <c r="A381" s="1">
        <v>46253</v>
      </c>
      <c r="B381">
        <v>1007959114</v>
      </c>
      <c r="C381" s="11" t="s">
        <v>337</v>
      </c>
      <c r="D381" s="11" t="s">
        <v>39</v>
      </c>
      <c r="E381" s="11" t="s">
        <v>4046</v>
      </c>
      <c r="F381" s="11" t="s">
        <v>16</v>
      </c>
      <c r="G381" s="1">
        <v>46249</v>
      </c>
      <c r="H381" s="1">
        <v>46253</v>
      </c>
      <c r="I381" s="2">
        <v>0.25</v>
      </c>
      <c r="J381" s="2">
        <v>0.58333333333333337</v>
      </c>
      <c r="K381" s="11" t="s">
        <v>327</v>
      </c>
      <c r="L381" s="1"/>
      <c r="M381" s="1"/>
      <c r="N381" s="1"/>
      <c r="O381" s="11"/>
    </row>
    <row r="382" spans="1:15" hidden="1" x14ac:dyDescent="0.25">
      <c r="A382" s="1">
        <v>46263</v>
      </c>
      <c r="B382">
        <v>1043006106</v>
      </c>
      <c r="C382" s="11" t="s">
        <v>63</v>
      </c>
      <c r="D382" s="11" t="s">
        <v>64</v>
      </c>
      <c r="E382" s="11" t="s">
        <v>4046</v>
      </c>
      <c r="F382" s="11" t="s">
        <v>16</v>
      </c>
      <c r="G382" s="1">
        <v>46249</v>
      </c>
      <c r="H382" s="1">
        <v>46278</v>
      </c>
      <c r="I382" s="2"/>
      <c r="J382" s="2"/>
      <c r="K382" s="11" t="s">
        <v>339</v>
      </c>
      <c r="L382" s="1"/>
      <c r="M382" s="1"/>
      <c r="N382" s="1"/>
      <c r="O382" s="11"/>
    </row>
    <row r="383" spans="1:15" hidden="1" x14ac:dyDescent="0.25">
      <c r="A383" s="1">
        <v>46262</v>
      </c>
      <c r="B383">
        <v>1040755197</v>
      </c>
      <c r="C383" s="11" t="s">
        <v>171</v>
      </c>
      <c r="D383" s="11" t="s">
        <v>102</v>
      </c>
      <c r="E383" s="11" t="s">
        <v>4046</v>
      </c>
      <c r="F383" s="11" t="s">
        <v>16</v>
      </c>
      <c r="G383" s="1">
        <v>46252</v>
      </c>
      <c r="H383" s="1">
        <v>46262</v>
      </c>
      <c r="I383" s="2">
        <v>0.54166666666666663</v>
      </c>
      <c r="J383" s="2">
        <v>0.875</v>
      </c>
      <c r="K383" s="11" t="s">
        <v>223</v>
      </c>
      <c r="L383" s="1"/>
      <c r="M383" s="1"/>
      <c r="N383" s="1"/>
      <c r="O383" s="11"/>
    </row>
    <row r="384" spans="1:15" hidden="1" x14ac:dyDescent="0.25">
      <c r="A384" s="1">
        <v>46255</v>
      </c>
      <c r="B384">
        <v>1017270214</v>
      </c>
      <c r="C384" s="11" t="s">
        <v>1016</v>
      </c>
      <c r="D384" s="11" t="s">
        <v>139</v>
      </c>
      <c r="E384" s="11" t="s">
        <v>4040</v>
      </c>
      <c r="F384" s="11" t="s">
        <v>326</v>
      </c>
      <c r="G384" s="1">
        <v>46253</v>
      </c>
      <c r="H384" s="1">
        <v>46255</v>
      </c>
      <c r="I384" s="2">
        <v>0.25</v>
      </c>
      <c r="J384" s="2">
        <v>0.54166666666666663</v>
      </c>
      <c r="K384" s="11" t="s">
        <v>295</v>
      </c>
      <c r="L384" s="1"/>
      <c r="M384" s="1"/>
      <c r="N384" s="1"/>
      <c r="O384" s="11"/>
    </row>
    <row r="385" spans="1:15" hidden="1" x14ac:dyDescent="0.25">
      <c r="A385" s="1">
        <v>46254</v>
      </c>
      <c r="B385">
        <v>52932342</v>
      </c>
      <c r="C385" s="11" t="s">
        <v>564</v>
      </c>
      <c r="D385" s="11" t="s">
        <v>421</v>
      </c>
      <c r="E385" s="11" t="s">
        <v>4047</v>
      </c>
      <c r="F385" s="11" t="s">
        <v>16</v>
      </c>
      <c r="G385" s="1">
        <v>46252</v>
      </c>
      <c r="H385" s="1">
        <v>46254</v>
      </c>
      <c r="I385" s="2">
        <v>0.58333333333333337</v>
      </c>
      <c r="J385" s="2">
        <v>0.875</v>
      </c>
      <c r="K385" s="11" t="s">
        <v>232</v>
      </c>
      <c r="L385" s="1"/>
      <c r="M385" s="1"/>
      <c r="N385" s="1"/>
      <c r="O385" s="11"/>
    </row>
    <row r="386" spans="1:15" hidden="1" x14ac:dyDescent="0.25">
      <c r="A386" s="1">
        <v>46255</v>
      </c>
      <c r="B386">
        <v>1152434926</v>
      </c>
      <c r="C386" s="11" t="s">
        <v>217</v>
      </c>
      <c r="D386" s="11" t="s">
        <v>59</v>
      </c>
      <c r="E386" s="11" t="s">
        <v>4047</v>
      </c>
      <c r="F386" s="11" t="s">
        <v>16</v>
      </c>
      <c r="G386" s="1">
        <v>46252</v>
      </c>
      <c r="H386" s="1">
        <v>46255</v>
      </c>
      <c r="I386" s="2">
        <v>0.25</v>
      </c>
      <c r="J386" s="2">
        <v>0.54166666666666663</v>
      </c>
      <c r="K386" s="11" t="s">
        <v>327</v>
      </c>
      <c r="L386" s="1"/>
      <c r="M386" s="1"/>
      <c r="N386" s="1"/>
      <c r="O386" s="11"/>
    </row>
    <row r="387" spans="1:15" hidden="1" x14ac:dyDescent="0.25">
      <c r="A387" s="1">
        <v>46255</v>
      </c>
      <c r="B387">
        <v>1000348983</v>
      </c>
      <c r="C387" s="11" t="s">
        <v>235</v>
      </c>
      <c r="D387" s="11" t="s">
        <v>162</v>
      </c>
      <c r="E387" s="11" t="s">
        <v>4056</v>
      </c>
      <c r="F387" s="11" t="s">
        <v>16</v>
      </c>
      <c r="G387" s="1">
        <v>46251</v>
      </c>
      <c r="H387" s="1">
        <v>46255</v>
      </c>
      <c r="I387" s="2">
        <v>0.25</v>
      </c>
      <c r="J387" s="2">
        <v>0.58333333333333337</v>
      </c>
      <c r="K387" s="11" t="s">
        <v>237</v>
      </c>
      <c r="L387" s="1"/>
      <c r="M387" s="1"/>
      <c r="N387" s="1"/>
      <c r="O387" s="11"/>
    </row>
    <row r="388" spans="1:15" hidden="1" x14ac:dyDescent="0.25">
      <c r="A388" s="1">
        <v>46253</v>
      </c>
      <c r="B388">
        <v>1193512212</v>
      </c>
      <c r="C388" s="11" t="s">
        <v>2155</v>
      </c>
      <c r="D388" s="11" t="s">
        <v>256</v>
      </c>
      <c r="E388" s="11" t="s">
        <v>4040</v>
      </c>
      <c r="F388" s="11" t="s">
        <v>16</v>
      </c>
      <c r="G388" s="1">
        <v>46252</v>
      </c>
      <c r="H388" s="1">
        <v>46253</v>
      </c>
      <c r="I388" s="2">
        <v>0.58333333333333337</v>
      </c>
      <c r="J388" s="2">
        <v>0.875</v>
      </c>
      <c r="K388" s="11" t="s">
        <v>307</v>
      </c>
      <c r="L388" s="1"/>
      <c r="M388" s="1"/>
      <c r="N388" s="1"/>
      <c r="O388" s="11"/>
    </row>
    <row r="389" spans="1:15" hidden="1" x14ac:dyDescent="0.25">
      <c r="A389" s="1">
        <v>46253</v>
      </c>
      <c r="B389">
        <v>1128467297</v>
      </c>
      <c r="C389" s="11" t="s">
        <v>3392</v>
      </c>
      <c r="D389" s="11" t="s">
        <v>619</v>
      </c>
      <c r="E389" s="11" t="s">
        <v>4045</v>
      </c>
      <c r="F389" s="11" t="s">
        <v>16</v>
      </c>
      <c r="G389" s="1">
        <v>46252</v>
      </c>
      <c r="H389" s="1">
        <v>46253</v>
      </c>
      <c r="I389" s="2">
        <v>0.25</v>
      </c>
      <c r="J389" s="2">
        <v>0.58333333333333337</v>
      </c>
      <c r="K389" s="11" t="s">
        <v>327</v>
      </c>
      <c r="L389" s="1"/>
      <c r="M389" s="1"/>
      <c r="N389" s="1"/>
      <c r="O389" s="11"/>
    </row>
    <row r="390" spans="1:15" hidden="1" x14ac:dyDescent="0.25">
      <c r="A390" s="1">
        <v>46253</v>
      </c>
      <c r="B390">
        <v>1038412205</v>
      </c>
      <c r="C390" s="11" t="s">
        <v>2848</v>
      </c>
      <c r="D390" s="11" t="s">
        <v>482</v>
      </c>
      <c r="E390" s="11" t="s">
        <v>4040</v>
      </c>
      <c r="F390" s="11" t="s">
        <v>16</v>
      </c>
      <c r="G390" s="1">
        <v>46252</v>
      </c>
      <c r="H390" s="1">
        <v>46253</v>
      </c>
      <c r="I390" s="2">
        <v>0.58333333333333337</v>
      </c>
      <c r="J390" s="2">
        <v>0.83333333333333337</v>
      </c>
      <c r="K390" s="11" t="s">
        <v>4203</v>
      </c>
      <c r="L390" s="1"/>
      <c r="M390" s="1"/>
      <c r="N390" s="1"/>
      <c r="O390" s="11"/>
    </row>
    <row r="391" spans="1:15" hidden="1" x14ac:dyDescent="0.25">
      <c r="A391" s="1">
        <v>46253</v>
      </c>
      <c r="B391">
        <v>1020414545</v>
      </c>
      <c r="C391" s="11" t="s">
        <v>2893</v>
      </c>
      <c r="D391" s="11" t="s">
        <v>256</v>
      </c>
      <c r="E391" s="11" t="s">
        <v>4040</v>
      </c>
      <c r="F391" s="11" t="s">
        <v>4074</v>
      </c>
      <c r="G391" s="1">
        <v>46253</v>
      </c>
      <c r="H391" s="1">
        <v>46254</v>
      </c>
      <c r="I391" s="2">
        <v>0.58333333333333337</v>
      </c>
      <c r="J391" s="2">
        <v>0.875</v>
      </c>
      <c r="K391" s="11" t="s">
        <v>4060</v>
      </c>
      <c r="L391" s="1"/>
      <c r="M391" s="1"/>
      <c r="N391" s="1"/>
      <c r="O391" s="11"/>
    </row>
    <row r="392" spans="1:15" hidden="1" x14ac:dyDescent="0.25">
      <c r="A392" s="1">
        <v>46255</v>
      </c>
      <c r="B392">
        <v>32299090</v>
      </c>
      <c r="C392" s="11" t="s">
        <v>3249</v>
      </c>
      <c r="D392" s="11" t="s">
        <v>55</v>
      </c>
      <c r="E392" s="11" t="s">
        <v>4047</v>
      </c>
      <c r="F392" s="11" t="s">
        <v>16</v>
      </c>
      <c r="G392" s="1">
        <v>46253</v>
      </c>
      <c r="H392" s="1">
        <v>46255</v>
      </c>
      <c r="I392" s="2">
        <v>0.25</v>
      </c>
      <c r="J392" s="2">
        <v>0.54166666666666663</v>
      </c>
      <c r="K392" s="11" t="s">
        <v>307</v>
      </c>
      <c r="L392" s="1"/>
      <c r="M392" s="1"/>
      <c r="N392" s="1"/>
      <c r="O392" s="11"/>
    </row>
    <row r="393" spans="1:15" hidden="1" x14ac:dyDescent="0.25">
      <c r="A393" s="1">
        <v>46253</v>
      </c>
      <c r="B393">
        <v>1098774597</v>
      </c>
      <c r="C393" s="11" t="s">
        <v>1745</v>
      </c>
      <c r="D393" s="11" t="s">
        <v>132</v>
      </c>
      <c r="E393" s="11" t="s">
        <v>4040</v>
      </c>
      <c r="F393" s="11" t="s">
        <v>4074</v>
      </c>
      <c r="G393" s="1">
        <v>46253</v>
      </c>
      <c r="H393" s="1">
        <v>46255</v>
      </c>
      <c r="I393" s="2">
        <v>0.54166666666666663</v>
      </c>
      <c r="J393" s="2">
        <v>0.875</v>
      </c>
      <c r="K393" s="11" t="s">
        <v>4060</v>
      </c>
      <c r="L393" s="1"/>
      <c r="M393" s="1"/>
      <c r="N393" s="1"/>
      <c r="O393" s="11"/>
    </row>
    <row r="394" spans="1:15" hidden="1" x14ac:dyDescent="0.25">
      <c r="A394" s="1">
        <v>46253</v>
      </c>
      <c r="B394">
        <v>1000921684</v>
      </c>
      <c r="C394" s="11" t="s">
        <v>558</v>
      </c>
      <c r="D394" s="11" t="s">
        <v>15</v>
      </c>
      <c r="E394" s="11" t="s">
        <v>4046</v>
      </c>
      <c r="F394" s="11" t="s">
        <v>16</v>
      </c>
      <c r="G394" s="1">
        <v>46253</v>
      </c>
      <c r="H394" s="1">
        <v>46253</v>
      </c>
      <c r="I394" s="2">
        <v>0.58333333333333337</v>
      </c>
      <c r="J394" s="2">
        <v>0.875</v>
      </c>
      <c r="K394" s="11" t="s">
        <v>327</v>
      </c>
      <c r="L394" s="1"/>
      <c r="M394" s="1"/>
      <c r="N394" s="1"/>
      <c r="O394" s="11"/>
    </row>
    <row r="395" spans="1:15" hidden="1" x14ac:dyDescent="0.25">
      <c r="A395" s="1">
        <v>46256</v>
      </c>
      <c r="B395">
        <v>1002029407</v>
      </c>
      <c r="C395" s="11" t="s">
        <v>101</v>
      </c>
      <c r="D395" s="11" t="s">
        <v>102</v>
      </c>
      <c r="E395" s="11" t="s">
        <v>4046</v>
      </c>
      <c r="F395" s="11" t="s">
        <v>16</v>
      </c>
      <c r="G395" s="1">
        <v>46253</v>
      </c>
      <c r="H395" s="1">
        <v>46256</v>
      </c>
      <c r="I395" s="2">
        <v>0.29166666666666669</v>
      </c>
      <c r="J395" s="2">
        <v>0.54166666666666663</v>
      </c>
      <c r="K395" s="11" t="s">
        <v>232</v>
      </c>
      <c r="L395" s="1"/>
      <c r="M395" s="1"/>
      <c r="N395" s="1"/>
      <c r="O395" s="11"/>
    </row>
    <row r="396" spans="1:15" hidden="1" x14ac:dyDescent="0.25">
      <c r="A396" s="1">
        <v>46253</v>
      </c>
      <c r="B396">
        <v>1037668455</v>
      </c>
      <c r="C396" s="11" t="s">
        <v>3013</v>
      </c>
      <c r="D396" s="11" t="s">
        <v>78</v>
      </c>
      <c r="E396" s="11" t="s">
        <v>4046</v>
      </c>
      <c r="F396" s="11" t="s">
        <v>4074</v>
      </c>
      <c r="G396" s="1">
        <v>46253</v>
      </c>
      <c r="H396" s="1">
        <v>46254</v>
      </c>
      <c r="I396" s="2">
        <v>0.25</v>
      </c>
      <c r="J396" s="2">
        <v>0.54166666666666663</v>
      </c>
      <c r="K396" s="11" t="s">
        <v>4060</v>
      </c>
      <c r="L396" s="1"/>
      <c r="M396" s="1"/>
      <c r="N396" s="1"/>
      <c r="O396" s="11"/>
    </row>
    <row r="397" spans="1:15" hidden="1" x14ac:dyDescent="0.25">
      <c r="A397" s="1">
        <v>46253</v>
      </c>
      <c r="B397">
        <v>1036683729</v>
      </c>
      <c r="C397" s="11" t="s">
        <v>954</v>
      </c>
      <c r="D397" s="11" t="s">
        <v>82</v>
      </c>
      <c r="E397" s="11" t="s">
        <v>4045</v>
      </c>
      <c r="F397" s="11" t="s">
        <v>4074</v>
      </c>
      <c r="G397" s="1">
        <v>46253</v>
      </c>
      <c r="H397" s="1">
        <v>46255</v>
      </c>
      <c r="I397" s="2">
        <v>0.58333333333333337</v>
      </c>
      <c r="J397" s="2">
        <v>0.83333333333333337</v>
      </c>
      <c r="K397" s="11" t="s">
        <v>4060</v>
      </c>
      <c r="L397" s="1"/>
      <c r="M397" s="1"/>
      <c r="N397" s="1"/>
      <c r="O397" s="11"/>
    </row>
    <row r="398" spans="1:15" hidden="1" x14ac:dyDescent="0.25">
      <c r="A398" s="1">
        <v>46253</v>
      </c>
      <c r="B398">
        <v>1035436500</v>
      </c>
      <c r="C398" s="11" t="s">
        <v>2991</v>
      </c>
      <c r="D398" s="11" t="s">
        <v>482</v>
      </c>
      <c r="E398" s="11" t="s">
        <v>4040</v>
      </c>
      <c r="F398" s="11" t="s">
        <v>16</v>
      </c>
      <c r="G398" s="1">
        <v>46253</v>
      </c>
      <c r="H398" s="1">
        <v>46253</v>
      </c>
      <c r="I398" s="2">
        <v>0.58333333333333337</v>
      </c>
      <c r="J398" s="2">
        <v>0.875</v>
      </c>
      <c r="K398" s="11" t="s">
        <v>327</v>
      </c>
      <c r="L398" s="1"/>
      <c r="M398" s="1"/>
      <c r="N398" s="1"/>
      <c r="O398" s="11"/>
    </row>
    <row r="399" spans="1:15" hidden="1" x14ac:dyDescent="0.25">
      <c r="A399" s="1">
        <v>46253</v>
      </c>
      <c r="B399">
        <v>1042065946</v>
      </c>
      <c r="C399" s="11" t="s">
        <v>732</v>
      </c>
      <c r="D399" s="11" t="s">
        <v>128</v>
      </c>
      <c r="E399" s="11" t="s">
        <v>4045</v>
      </c>
      <c r="F399" s="11" t="s">
        <v>4087</v>
      </c>
      <c r="G399" s="1">
        <v>46253</v>
      </c>
      <c r="H399" s="1">
        <v>46253</v>
      </c>
      <c r="I399" s="2"/>
      <c r="J399" s="2"/>
      <c r="K399" s="11" t="s">
        <v>327</v>
      </c>
      <c r="L399" s="1"/>
      <c r="M399" s="1"/>
      <c r="N399" s="1"/>
      <c r="O399" s="11"/>
    </row>
    <row r="400" spans="1:15" hidden="1" x14ac:dyDescent="0.25">
      <c r="A400" s="1">
        <v>46255</v>
      </c>
      <c r="B400">
        <v>1143374524</v>
      </c>
      <c r="C400" s="11" t="s">
        <v>2755</v>
      </c>
      <c r="D400" s="11" t="s">
        <v>51</v>
      </c>
      <c r="E400" s="11" t="s">
        <v>4047</v>
      </c>
      <c r="F400" s="11" t="s">
        <v>16</v>
      </c>
      <c r="G400" s="1">
        <v>46253</v>
      </c>
      <c r="H400" s="1">
        <v>46255</v>
      </c>
      <c r="I400" s="2">
        <v>0.58333333333333337</v>
      </c>
      <c r="J400" s="2">
        <v>0.875</v>
      </c>
      <c r="K400" s="11" t="s">
        <v>327</v>
      </c>
      <c r="L400" s="1"/>
      <c r="M400" s="1"/>
      <c r="N400" s="1"/>
      <c r="O400" s="11"/>
    </row>
    <row r="401" spans="1:15" hidden="1" x14ac:dyDescent="0.25">
      <c r="A401" s="1">
        <v>46258</v>
      </c>
      <c r="B401">
        <v>1143375080</v>
      </c>
      <c r="C401" s="11" t="s">
        <v>157</v>
      </c>
      <c r="D401" s="11" t="s">
        <v>44</v>
      </c>
      <c r="E401" s="11" t="s">
        <v>4045</v>
      </c>
      <c r="F401" s="11" t="s">
        <v>158</v>
      </c>
      <c r="G401" s="1">
        <v>46249</v>
      </c>
      <c r="H401" s="1"/>
      <c r="I401" s="2">
        <v>0.625</v>
      </c>
      <c r="J401" s="2">
        <v>0.875</v>
      </c>
      <c r="K401" s="11" t="s">
        <v>151</v>
      </c>
      <c r="L401" s="1"/>
      <c r="M401" s="1"/>
      <c r="N401" s="1"/>
      <c r="O401" s="11"/>
    </row>
    <row r="402" spans="1:15" hidden="1" x14ac:dyDescent="0.25">
      <c r="A402" s="1">
        <v>46256</v>
      </c>
      <c r="B402">
        <v>1005424850</v>
      </c>
      <c r="C402" s="11" t="s">
        <v>95</v>
      </c>
      <c r="D402" s="11" t="s">
        <v>82</v>
      </c>
      <c r="E402" s="11" t="s">
        <v>4045</v>
      </c>
      <c r="F402" s="11" t="s">
        <v>4062</v>
      </c>
      <c r="G402" s="1">
        <v>46254</v>
      </c>
      <c r="H402" s="1">
        <v>46255</v>
      </c>
      <c r="I402" s="2"/>
      <c r="J402" s="2"/>
      <c r="K402" s="11" t="s">
        <v>341</v>
      </c>
      <c r="L402" s="1"/>
      <c r="M402" s="1"/>
      <c r="N402" s="1"/>
      <c r="O402" s="11"/>
    </row>
    <row r="403" spans="1:15" hidden="1" x14ac:dyDescent="0.25">
      <c r="A403" s="1">
        <v>46254</v>
      </c>
      <c r="B403">
        <v>1020414545</v>
      </c>
      <c r="C403" s="11" t="s">
        <v>2893</v>
      </c>
      <c r="D403" s="11" t="s">
        <v>256</v>
      </c>
      <c r="E403" s="11" t="s">
        <v>4040</v>
      </c>
      <c r="F403" s="11" t="s">
        <v>16</v>
      </c>
      <c r="G403" s="1">
        <v>46253</v>
      </c>
      <c r="H403" s="1">
        <v>46254</v>
      </c>
      <c r="I403" s="2">
        <v>0.25</v>
      </c>
      <c r="J403" s="2">
        <v>0.58333333333333337</v>
      </c>
      <c r="K403" s="11" t="s">
        <v>262</v>
      </c>
      <c r="L403" s="1"/>
      <c r="M403" s="1"/>
      <c r="N403" s="1"/>
      <c r="O403" s="11"/>
    </row>
    <row r="404" spans="1:15" hidden="1" x14ac:dyDescent="0.25">
      <c r="A404" s="1">
        <v>46255</v>
      </c>
      <c r="B404">
        <v>1098774597</v>
      </c>
      <c r="C404" s="11" t="s">
        <v>1745</v>
      </c>
      <c r="D404" s="11" t="s">
        <v>132</v>
      </c>
      <c r="E404" s="11" t="s">
        <v>4040</v>
      </c>
      <c r="F404" s="11" t="s">
        <v>16</v>
      </c>
      <c r="G404" s="1">
        <v>46253</v>
      </c>
      <c r="H404" s="1">
        <v>46255</v>
      </c>
      <c r="I404" s="2">
        <v>0.25</v>
      </c>
      <c r="J404" s="2">
        <v>0.54166666666666663</v>
      </c>
      <c r="K404" s="11" t="s">
        <v>214</v>
      </c>
      <c r="L404" s="1"/>
      <c r="M404" s="1"/>
      <c r="N404" s="1"/>
      <c r="O404" s="11"/>
    </row>
    <row r="405" spans="1:15" hidden="1" x14ac:dyDescent="0.25">
      <c r="A405" s="1">
        <v>46254</v>
      </c>
      <c r="B405">
        <v>1037668455</v>
      </c>
      <c r="C405" s="11" t="s">
        <v>3013</v>
      </c>
      <c r="D405" s="11" t="s">
        <v>78</v>
      </c>
      <c r="E405" s="11" t="s">
        <v>4046</v>
      </c>
      <c r="F405" s="11" t="s">
        <v>16</v>
      </c>
      <c r="G405" s="1">
        <v>46253</v>
      </c>
      <c r="H405" s="1">
        <v>46254</v>
      </c>
      <c r="I405" s="2">
        <v>0.58333333333333337</v>
      </c>
      <c r="J405" s="2">
        <v>0.875</v>
      </c>
      <c r="K405" s="11" t="s">
        <v>327</v>
      </c>
      <c r="L405" s="1"/>
      <c r="M405" s="1"/>
      <c r="N405" s="1"/>
      <c r="O405" s="11"/>
    </row>
    <row r="406" spans="1:15" hidden="1" x14ac:dyDescent="0.25">
      <c r="A406" s="1">
        <v>46255</v>
      </c>
      <c r="B406">
        <v>1036683729</v>
      </c>
      <c r="C406" s="11" t="s">
        <v>954</v>
      </c>
      <c r="D406" s="11" t="s">
        <v>82</v>
      </c>
      <c r="E406" s="11" t="s">
        <v>4045</v>
      </c>
      <c r="F406" s="11" t="s">
        <v>16</v>
      </c>
      <c r="G406" s="1">
        <v>46253</v>
      </c>
      <c r="H406" s="1">
        <v>46255</v>
      </c>
      <c r="I406" s="2">
        <v>0.5</v>
      </c>
      <c r="J406" s="2">
        <v>0.83333333333333337</v>
      </c>
      <c r="K406" s="11" t="s">
        <v>327</v>
      </c>
      <c r="L406" s="1"/>
      <c r="M406" s="1"/>
      <c r="N406" s="1"/>
      <c r="O406" s="11"/>
    </row>
    <row r="407" spans="1:15" hidden="1" x14ac:dyDescent="0.25">
      <c r="A407" s="1">
        <v>46255</v>
      </c>
      <c r="B407">
        <v>1007959114</v>
      </c>
      <c r="C407" s="11" t="s">
        <v>337</v>
      </c>
      <c r="D407" s="11" t="s">
        <v>39</v>
      </c>
      <c r="E407" s="11" t="s">
        <v>4046</v>
      </c>
      <c r="F407" s="11" t="s">
        <v>16</v>
      </c>
      <c r="G407" s="1">
        <v>46254</v>
      </c>
      <c r="H407" s="1">
        <v>46255</v>
      </c>
      <c r="I407" s="2">
        <v>0.25</v>
      </c>
      <c r="J407" s="2">
        <v>0.54166666666666663</v>
      </c>
      <c r="K407" s="11" t="s">
        <v>197</v>
      </c>
      <c r="L407" s="1"/>
      <c r="M407" s="1"/>
      <c r="N407" s="1"/>
      <c r="O407" s="11"/>
    </row>
    <row r="408" spans="1:15" hidden="1" x14ac:dyDescent="0.25">
      <c r="A408" s="1">
        <v>46255</v>
      </c>
      <c r="B408">
        <v>1152198083</v>
      </c>
      <c r="C408" s="11" t="s">
        <v>2010</v>
      </c>
      <c r="D408" s="11" t="s">
        <v>421</v>
      </c>
      <c r="E408" s="11" t="s">
        <v>4047</v>
      </c>
      <c r="F408" s="11" t="s">
        <v>16</v>
      </c>
      <c r="G408" s="1">
        <v>46254</v>
      </c>
      <c r="H408" s="1">
        <v>46255</v>
      </c>
      <c r="I408" s="2">
        <v>0.25</v>
      </c>
      <c r="J408" s="2">
        <v>0.5</v>
      </c>
      <c r="K408" s="11" t="s">
        <v>319</v>
      </c>
      <c r="L408" s="1"/>
      <c r="M408" s="1"/>
      <c r="N408" s="1"/>
      <c r="O408" s="11"/>
    </row>
    <row r="409" spans="1:15" hidden="1" x14ac:dyDescent="0.25">
      <c r="A409" s="1">
        <v>46255</v>
      </c>
      <c r="B409">
        <v>1001782820</v>
      </c>
      <c r="C409" s="11" t="s">
        <v>2956</v>
      </c>
      <c r="D409" s="11" t="s">
        <v>28</v>
      </c>
      <c r="E409" s="11" t="s">
        <v>4046</v>
      </c>
      <c r="F409" s="11" t="s">
        <v>16</v>
      </c>
      <c r="G409" s="1">
        <v>46254</v>
      </c>
      <c r="H409" s="1">
        <v>46255</v>
      </c>
      <c r="I409" s="2">
        <v>0.25</v>
      </c>
      <c r="J409" s="2">
        <v>0.54166666666666663</v>
      </c>
      <c r="K409" s="11" t="s">
        <v>74</v>
      </c>
      <c r="L409" s="1"/>
      <c r="M409" s="1"/>
      <c r="N409" s="1"/>
      <c r="O409" s="11"/>
    </row>
    <row r="410" spans="1:15" hidden="1" x14ac:dyDescent="0.25">
      <c r="A410" s="1">
        <v>46255</v>
      </c>
      <c r="B410">
        <v>33204315</v>
      </c>
      <c r="C410" s="11" t="s">
        <v>585</v>
      </c>
      <c r="D410" s="11" t="s">
        <v>162</v>
      </c>
      <c r="E410" s="11" t="s">
        <v>4056</v>
      </c>
      <c r="F410" s="11" t="s">
        <v>16</v>
      </c>
      <c r="G410" s="1">
        <v>46254</v>
      </c>
      <c r="H410" s="1">
        <v>46255</v>
      </c>
      <c r="I410" s="2">
        <v>0.58333333333333337</v>
      </c>
      <c r="J410" s="2">
        <v>0.875</v>
      </c>
      <c r="K410" s="11" t="s">
        <v>185</v>
      </c>
      <c r="L410" s="1"/>
      <c r="M410" s="1"/>
      <c r="N410" s="1"/>
      <c r="O410" s="11"/>
    </row>
    <row r="411" spans="1:15" hidden="1" x14ac:dyDescent="0.25">
      <c r="A411" s="1">
        <v>46254</v>
      </c>
      <c r="B411">
        <v>1003033764</v>
      </c>
      <c r="C411" s="11" t="s">
        <v>1275</v>
      </c>
      <c r="D411" s="11" t="s">
        <v>124</v>
      </c>
      <c r="E411" s="11" t="s">
        <v>4045</v>
      </c>
      <c r="F411" s="11" t="s">
        <v>4074</v>
      </c>
      <c r="G411" s="1">
        <v>46254</v>
      </c>
      <c r="H411" s="1">
        <v>46255</v>
      </c>
      <c r="I411" s="2">
        <v>0.54166666666666663</v>
      </c>
      <c r="J411" s="2">
        <v>0.875</v>
      </c>
      <c r="K411" s="11" t="s">
        <v>4060</v>
      </c>
      <c r="L411" s="1"/>
      <c r="M411" s="1"/>
      <c r="N411" s="1"/>
      <c r="O411" s="11"/>
    </row>
    <row r="412" spans="1:15" hidden="1" x14ac:dyDescent="0.25">
      <c r="A412" s="1">
        <v>46254</v>
      </c>
      <c r="B412">
        <v>1017235294</v>
      </c>
      <c r="C412" s="11" t="s">
        <v>1069</v>
      </c>
      <c r="D412" s="11" t="s">
        <v>55</v>
      </c>
      <c r="E412" s="11" t="s">
        <v>4047</v>
      </c>
      <c r="F412" s="11" t="s">
        <v>4074</v>
      </c>
      <c r="G412" s="1">
        <v>46254</v>
      </c>
      <c r="H412" s="1">
        <v>46255</v>
      </c>
      <c r="I412" s="2">
        <v>0.58333333333333337</v>
      </c>
      <c r="J412" s="2">
        <v>0.875</v>
      </c>
      <c r="K412" s="11" t="s">
        <v>4060</v>
      </c>
      <c r="L412" s="1"/>
      <c r="M412" s="1"/>
      <c r="N412" s="1"/>
      <c r="O412" s="11"/>
    </row>
    <row r="413" spans="1:15" hidden="1" x14ac:dyDescent="0.25">
      <c r="A413" s="1">
        <v>46262</v>
      </c>
      <c r="B413">
        <v>43453341</v>
      </c>
      <c r="C413" s="11" t="s">
        <v>146</v>
      </c>
      <c r="D413" s="11" t="s">
        <v>124</v>
      </c>
      <c r="E413" s="11" t="s">
        <v>4045</v>
      </c>
      <c r="F413" s="11" t="s">
        <v>16</v>
      </c>
      <c r="G413" s="1">
        <v>46254</v>
      </c>
      <c r="H413" s="1">
        <v>46268</v>
      </c>
      <c r="I413" s="2">
        <v>0.25</v>
      </c>
      <c r="J413" s="2">
        <v>0.54166666666666663</v>
      </c>
      <c r="K413" s="11" t="s">
        <v>327</v>
      </c>
      <c r="L413" s="1"/>
      <c r="M413" s="1"/>
      <c r="N413" s="1"/>
      <c r="O413" s="11"/>
    </row>
    <row r="414" spans="1:15" hidden="1" x14ac:dyDescent="0.25">
      <c r="A414" s="1">
        <v>46254</v>
      </c>
      <c r="B414">
        <v>1085308661</v>
      </c>
      <c r="C414" s="11" t="s">
        <v>2194</v>
      </c>
      <c r="D414" s="11" t="s">
        <v>39</v>
      </c>
      <c r="E414" s="11" t="s">
        <v>4046</v>
      </c>
      <c r="F414" s="11" t="s">
        <v>4074</v>
      </c>
      <c r="G414" s="1">
        <v>46254</v>
      </c>
      <c r="H414" s="1">
        <v>46255</v>
      </c>
      <c r="I414" s="2">
        <v>0.25</v>
      </c>
      <c r="J414" s="2">
        <v>0.125</v>
      </c>
      <c r="K414" s="11" t="s">
        <v>4060</v>
      </c>
      <c r="L414" s="1"/>
      <c r="M414" s="1"/>
      <c r="N414" s="1"/>
      <c r="O414" s="11"/>
    </row>
    <row r="415" spans="1:15" hidden="1" x14ac:dyDescent="0.25">
      <c r="A415" s="1">
        <v>46256</v>
      </c>
      <c r="B415">
        <v>1035442374</v>
      </c>
      <c r="C415" s="11" t="s">
        <v>2935</v>
      </c>
      <c r="D415" s="11" t="s">
        <v>172</v>
      </c>
      <c r="E415" s="11" t="s">
        <v>4046</v>
      </c>
      <c r="F415" s="11" t="s">
        <v>4074</v>
      </c>
      <c r="G415" s="1">
        <v>46254</v>
      </c>
      <c r="H415" s="1">
        <v>46255</v>
      </c>
      <c r="I415" s="2">
        <v>0.25</v>
      </c>
      <c r="J415" s="2">
        <v>0.66666666666666663</v>
      </c>
      <c r="K415" s="11" t="s">
        <v>4060</v>
      </c>
      <c r="L415" s="1"/>
      <c r="M415" s="1"/>
      <c r="N415" s="1"/>
      <c r="O415" s="11"/>
    </row>
    <row r="416" spans="1:15" hidden="1" x14ac:dyDescent="0.25">
      <c r="A416" s="1">
        <v>46254</v>
      </c>
      <c r="B416">
        <v>1005989838</v>
      </c>
      <c r="C416" s="11" t="s">
        <v>3630</v>
      </c>
      <c r="D416" s="11" t="s">
        <v>132</v>
      </c>
      <c r="E416" s="11" t="s">
        <v>4040</v>
      </c>
      <c r="F416" s="11" t="s">
        <v>4074</v>
      </c>
      <c r="G416" s="1">
        <v>46254</v>
      </c>
      <c r="H416" s="1"/>
      <c r="I416" s="2">
        <v>0.25</v>
      </c>
      <c r="J416" s="2">
        <v>0.58333333333333337</v>
      </c>
      <c r="K416" s="11" t="s">
        <v>4060</v>
      </c>
      <c r="L416" s="1"/>
      <c r="M416" s="1"/>
      <c r="N416" s="1"/>
      <c r="O416" s="11"/>
    </row>
    <row r="417" spans="1:15" hidden="1" x14ac:dyDescent="0.25">
      <c r="A417" s="1">
        <v>46255</v>
      </c>
      <c r="B417">
        <v>1037646403</v>
      </c>
      <c r="C417" s="11" t="s">
        <v>4205</v>
      </c>
      <c r="D417" s="11" t="s">
        <v>128</v>
      </c>
      <c r="E417" s="11" t="s">
        <v>4045</v>
      </c>
      <c r="F417" s="11" t="s">
        <v>4074</v>
      </c>
      <c r="G417" s="1">
        <v>46254</v>
      </c>
      <c r="H417" s="1"/>
      <c r="I417" s="2">
        <v>0.58333333333333337</v>
      </c>
      <c r="J417" s="2">
        <v>0.875</v>
      </c>
      <c r="K417" s="11" t="s">
        <v>4060</v>
      </c>
      <c r="L417" s="1"/>
      <c r="M417" s="1"/>
      <c r="N417" s="1"/>
      <c r="O417" s="11"/>
    </row>
    <row r="418" spans="1:15" hidden="1" x14ac:dyDescent="0.25">
      <c r="A418" s="1">
        <v>46254</v>
      </c>
      <c r="B418">
        <v>1143338188</v>
      </c>
      <c r="C418" s="11" t="s">
        <v>3315</v>
      </c>
      <c r="D418" s="11" t="s">
        <v>482</v>
      </c>
      <c r="E418" s="11" t="s">
        <v>4040</v>
      </c>
      <c r="F418" s="11" t="s">
        <v>16</v>
      </c>
      <c r="G418" s="1">
        <v>46253</v>
      </c>
      <c r="H418" s="1">
        <v>46254</v>
      </c>
      <c r="I418" s="2">
        <v>0.25</v>
      </c>
      <c r="J418" s="2">
        <v>0.54166666666666663</v>
      </c>
      <c r="K418" s="11" t="s">
        <v>327</v>
      </c>
      <c r="L418" s="1"/>
      <c r="M418" s="1"/>
      <c r="N418" s="1"/>
      <c r="O418" s="11"/>
    </row>
    <row r="419" spans="1:15" hidden="1" x14ac:dyDescent="0.25">
      <c r="A419" s="1">
        <v>46254</v>
      </c>
      <c r="B419">
        <v>1152472382</v>
      </c>
      <c r="C419" s="11" t="s">
        <v>869</v>
      </c>
      <c r="D419" s="11" t="s">
        <v>492</v>
      </c>
      <c r="E419" s="11" t="s">
        <v>4045</v>
      </c>
      <c r="F419" s="11" t="s">
        <v>4074</v>
      </c>
      <c r="G419" s="1">
        <v>46254</v>
      </c>
      <c r="H419" s="1">
        <v>46255</v>
      </c>
      <c r="I419" s="2">
        <v>0.54166666666666663</v>
      </c>
      <c r="J419" s="2">
        <v>0.875</v>
      </c>
      <c r="K419" s="11" t="s">
        <v>4060</v>
      </c>
      <c r="L419" s="1"/>
      <c r="M419" s="1"/>
      <c r="N419" s="1"/>
      <c r="O419" s="11"/>
    </row>
    <row r="420" spans="1:15" hidden="1" x14ac:dyDescent="0.25">
      <c r="A420" s="1">
        <v>46255</v>
      </c>
      <c r="B420">
        <v>1085308661</v>
      </c>
      <c r="C420" s="11" t="s">
        <v>2194</v>
      </c>
      <c r="D420" s="11" t="s">
        <v>39</v>
      </c>
      <c r="E420" s="11" t="s">
        <v>4046</v>
      </c>
      <c r="F420" s="11" t="s">
        <v>16</v>
      </c>
      <c r="G420" s="1">
        <v>46254</v>
      </c>
      <c r="H420" s="1">
        <v>46255</v>
      </c>
      <c r="I420" s="2">
        <v>0.25</v>
      </c>
      <c r="J420" s="2">
        <v>0.58333333333333337</v>
      </c>
      <c r="K420" s="11" t="s">
        <v>327</v>
      </c>
      <c r="L420" s="1"/>
      <c r="M420" s="1"/>
      <c r="N420" s="1"/>
      <c r="O420" s="11"/>
    </row>
    <row r="421" spans="1:15" hidden="1" x14ac:dyDescent="0.25">
      <c r="A421" s="1">
        <v>46255</v>
      </c>
      <c r="B421">
        <v>1017235294</v>
      </c>
      <c r="C421" s="11" t="s">
        <v>1069</v>
      </c>
      <c r="D421" s="11" t="s">
        <v>55</v>
      </c>
      <c r="E421" s="11" t="s">
        <v>4047</v>
      </c>
      <c r="F421" s="11" t="s">
        <v>16</v>
      </c>
      <c r="G421" s="1">
        <v>46254</v>
      </c>
      <c r="H421" s="1">
        <v>46255</v>
      </c>
      <c r="I421" s="2">
        <v>0.58333333333333337</v>
      </c>
      <c r="J421" s="2">
        <v>0.875</v>
      </c>
      <c r="K421" s="11" t="s">
        <v>4060</v>
      </c>
      <c r="L421" s="1"/>
      <c r="M421" s="1"/>
      <c r="N421" s="1"/>
      <c r="O421" s="11"/>
    </row>
    <row r="422" spans="1:15" hidden="1" x14ac:dyDescent="0.25">
      <c r="A422" s="1">
        <v>46255</v>
      </c>
      <c r="B422">
        <v>1003033764</v>
      </c>
      <c r="C422" s="11" t="s">
        <v>1275</v>
      </c>
      <c r="D422" s="11" t="s">
        <v>124</v>
      </c>
      <c r="E422" s="11" t="s">
        <v>4045</v>
      </c>
      <c r="F422" s="11" t="s">
        <v>16</v>
      </c>
      <c r="G422" s="1">
        <v>46254</v>
      </c>
      <c r="H422" s="1">
        <v>46255</v>
      </c>
      <c r="I422" s="2">
        <v>0.54166666666666663</v>
      </c>
      <c r="J422" s="2">
        <v>0.875</v>
      </c>
      <c r="K422" s="11" t="s">
        <v>4060</v>
      </c>
      <c r="L422" s="1"/>
      <c r="M422" s="1"/>
      <c r="N422" s="1"/>
      <c r="O422" s="11"/>
    </row>
    <row r="423" spans="1:15" hidden="1" x14ac:dyDescent="0.25">
      <c r="A423" s="1">
        <v>46259</v>
      </c>
      <c r="B423">
        <v>1007334260</v>
      </c>
      <c r="C423" s="11" t="s">
        <v>4207</v>
      </c>
      <c r="D423" s="11" t="s">
        <v>344</v>
      </c>
      <c r="E423" s="11" t="s">
        <v>4056</v>
      </c>
      <c r="F423" s="11" t="s">
        <v>4050</v>
      </c>
      <c r="G423" s="1">
        <v>46255</v>
      </c>
      <c r="H423" s="1">
        <v>46259</v>
      </c>
      <c r="I423" s="2">
        <v>0.625</v>
      </c>
      <c r="J423" s="2">
        <v>0.875</v>
      </c>
      <c r="K423" s="11" t="s">
        <v>561</v>
      </c>
      <c r="L423" s="1"/>
      <c r="M423" s="1"/>
      <c r="N423" s="1"/>
      <c r="O423" s="11"/>
    </row>
    <row r="424" spans="1:15" hidden="1" x14ac:dyDescent="0.25">
      <c r="A424" s="1">
        <v>46255</v>
      </c>
      <c r="B424">
        <v>1001446162</v>
      </c>
      <c r="C424" s="11" t="s">
        <v>3663</v>
      </c>
      <c r="D424" s="11" t="s">
        <v>4125</v>
      </c>
      <c r="E424" s="11" t="s">
        <v>4056</v>
      </c>
      <c r="F424" s="11" t="s">
        <v>4125</v>
      </c>
      <c r="G424" s="1">
        <v>46255</v>
      </c>
      <c r="H424" s="1">
        <v>46255</v>
      </c>
      <c r="I424" s="2">
        <v>0.29166666666666669</v>
      </c>
      <c r="J424" s="2">
        <v>0.625</v>
      </c>
      <c r="K424" s="11" t="s">
        <v>339</v>
      </c>
      <c r="L424" s="1"/>
      <c r="M424" s="1"/>
      <c r="N424" s="1"/>
      <c r="O424" s="11"/>
    </row>
    <row r="425" spans="1:15" hidden="1" x14ac:dyDescent="0.25">
      <c r="A425" s="1">
        <v>46255</v>
      </c>
      <c r="B425">
        <v>1152472382</v>
      </c>
      <c r="C425" s="11" t="s">
        <v>869</v>
      </c>
      <c r="D425" s="11" t="s">
        <v>492</v>
      </c>
      <c r="E425" s="11" t="s">
        <v>4045</v>
      </c>
      <c r="F425" s="11" t="s">
        <v>16</v>
      </c>
      <c r="G425" s="1">
        <v>46254</v>
      </c>
      <c r="H425" s="1">
        <v>46255</v>
      </c>
      <c r="I425" s="2">
        <v>0.25</v>
      </c>
      <c r="J425" s="2">
        <v>0.58333333333333337</v>
      </c>
      <c r="K425" s="11" t="s">
        <v>4060</v>
      </c>
      <c r="L425" s="1"/>
      <c r="M425" s="1"/>
      <c r="N425" s="1"/>
      <c r="O425" s="11"/>
    </row>
    <row r="426" spans="1:15" hidden="1" x14ac:dyDescent="0.25">
      <c r="A426" s="1">
        <v>46262</v>
      </c>
      <c r="B426">
        <v>1035876080</v>
      </c>
      <c r="C426" s="11" t="s">
        <v>123</v>
      </c>
      <c r="D426" s="11" t="s">
        <v>124</v>
      </c>
      <c r="E426" s="11" t="s">
        <v>4045</v>
      </c>
      <c r="F426" s="11" t="s">
        <v>158</v>
      </c>
      <c r="G426" s="1">
        <v>46254</v>
      </c>
      <c r="H426" s="1"/>
      <c r="I426" s="2">
        <v>0.25</v>
      </c>
      <c r="J426" s="2">
        <v>0.54166666666666663</v>
      </c>
      <c r="K426" s="11" t="s">
        <v>74</v>
      </c>
      <c r="L426" s="1"/>
      <c r="M426" s="1"/>
      <c r="N426" s="1"/>
      <c r="O426" s="11"/>
    </row>
    <row r="427" spans="1:15" hidden="1" x14ac:dyDescent="0.25">
      <c r="A427" s="1">
        <v>46255</v>
      </c>
      <c r="B427">
        <v>73189515</v>
      </c>
      <c r="C427" s="11" t="s">
        <v>773</v>
      </c>
      <c r="D427" s="11" t="s">
        <v>272</v>
      </c>
      <c r="E427" s="11" t="s">
        <v>4056</v>
      </c>
      <c r="F427" s="11" t="s">
        <v>4209</v>
      </c>
      <c r="G427" s="1">
        <v>46255</v>
      </c>
      <c r="H427" s="1">
        <v>46255</v>
      </c>
      <c r="I427" s="2">
        <v>0.54166666666666663</v>
      </c>
      <c r="J427" s="2">
        <v>0.875</v>
      </c>
      <c r="K427" s="11" t="s">
        <v>268</v>
      </c>
      <c r="L427" s="1"/>
      <c r="M427" s="1"/>
      <c r="N427" s="1"/>
      <c r="O427" s="11"/>
    </row>
    <row r="428" spans="1:15" hidden="1" x14ac:dyDescent="0.25">
      <c r="A428" s="1">
        <v>46255</v>
      </c>
      <c r="B428">
        <v>1004463773</v>
      </c>
      <c r="C428" s="11" t="s">
        <v>3213</v>
      </c>
      <c r="D428" s="11" t="s">
        <v>176</v>
      </c>
      <c r="E428" s="11" t="s">
        <v>4040</v>
      </c>
      <c r="F428" s="11" t="s">
        <v>4074</v>
      </c>
      <c r="G428" s="1">
        <v>46255</v>
      </c>
      <c r="H428" s="1">
        <v>46256</v>
      </c>
      <c r="I428" s="2">
        <v>0.41666666666666669</v>
      </c>
      <c r="J428" s="2">
        <v>0.79166666666666663</v>
      </c>
      <c r="K428" s="11" t="s">
        <v>4210</v>
      </c>
      <c r="L428" s="1"/>
      <c r="M428" s="1"/>
      <c r="N428" s="1"/>
      <c r="O428" s="11"/>
    </row>
    <row r="429" spans="1:15" hidden="1" x14ac:dyDescent="0.25">
      <c r="A429" s="1">
        <v>46256</v>
      </c>
      <c r="B429">
        <v>1037485093</v>
      </c>
      <c r="C429" s="11" t="s">
        <v>4211</v>
      </c>
      <c r="D429" s="11" t="s">
        <v>344</v>
      </c>
      <c r="E429" s="11" t="s">
        <v>4056</v>
      </c>
      <c r="F429" s="11" t="s">
        <v>4091</v>
      </c>
      <c r="G429" s="1">
        <v>46255</v>
      </c>
      <c r="H429" s="1">
        <v>46258</v>
      </c>
      <c r="I429" s="2"/>
      <c r="J429" s="2"/>
      <c r="K429" s="11" t="s">
        <v>341</v>
      </c>
      <c r="L429" s="1"/>
      <c r="M429" s="1"/>
      <c r="N429" s="1"/>
      <c r="O429" s="11"/>
    </row>
    <row r="430" spans="1:15" hidden="1" x14ac:dyDescent="0.25">
      <c r="A430" s="1">
        <v>46256</v>
      </c>
      <c r="B430">
        <v>1235257142</v>
      </c>
      <c r="C430" s="11" t="s">
        <v>1774</v>
      </c>
      <c r="D430" s="11" t="s">
        <v>44</v>
      </c>
      <c r="E430" s="11" t="s">
        <v>4045</v>
      </c>
      <c r="F430" s="11" t="s">
        <v>16</v>
      </c>
      <c r="G430" s="1">
        <v>46255</v>
      </c>
      <c r="H430" s="1">
        <v>46256</v>
      </c>
      <c r="I430" s="2"/>
      <c r="J430" s="2"/>
      <c r="K430" s="11" t="s">
        <v>327</v>
      </c>
      <c r="L430" s="1"/>
      <c r="M430" s="1"/>
      <c r="N430" s="1"/>
      <c r="O430" s="11"/>
    </row>
    <row r="431" spans="1:15" hidden="1" x14ac:dyDescent="0.25">
      <c r="A431" s="1">
        <v>46255</v>
      </c>
      <c r="B431">
        <v>1065647062</v>
      </c>
      <c r="C431" s="11" t="s">
        <v>415</v>
      </c>
      <c r="D431" s="11" t="s">
        <v>414</v>
      </c>
      <c r="E431" s="11" t="s">
        <v>4056</v>
      </c>
      <c r="F431" s="11" t="s">
        <v>16</v>
      </c>
      <c r="G431" s="1">
        <v>46255</v>
      </c>
      <c r="H431" s="1">
        <v>46255</v>
      </c>
      <c r="I431" s="2">
        <v>0.5</v>
      </c>
      <c r="J431" s="2">
        <v>0.79166666666666663</v>
      </c>
      <c r="K431" s="11" t="s">
        <v>164</v>
      </c>
      <c r="L431" s="1"/>
      <c r="M431" s="1"/>
      <c r="N431" s="1"/>
      <c r="O431" s="11"/>
    </row>
    <row r="432" spans="1:15" hidden="1" x14ac:dyDescent="0.25">
      <c r="A432" s="1">
        <v>46255</v>
      </c>
      <c r="B432">
        <v>1020414545</v>
      </c>
      <c r="C432" s="11" t="s">
        <v>2893</v>
      </c>
      <c r="D432" s="11" t="s">
        <v>256</v>
      </c>
      <c r="E432" s="11" t="s">
        <v>4040</v>
      </c>
      <c r="F432" s="11" t="s">
        <v>4074</v>
      </c>
      <c r="G432" s="1">
        <v>46255</v>
      </c>
      <c r="H432" s="1">
        <v>46256</v>
      </c>
      <c r="I432" s="2">
        <v>0.25</v>
      </c>
      <c r="J432" s="2">
        <v>0.54166666666666663</v>
      </c>
      <c r="K432" s="11" t="s">
        <v>4060</v>
      </c>
      <c r="L432" s="1"/>
      <c r="M432" s="1"/>
      <c r="N432" s="1"/>
      <c r="O432" s="11"/>
    </row>
    <row r="433" spans="1:15" hidden="1" x14ac:dyDescent="0.25">
      <c r="A433" s="1">
        <v>46255</v>
      </c>
      <c r="B433">
        <v>1034296571</v>
      </c>
      <c r="C433" s="11" t="s">
        <v>1706</v>
      </c>
      <c r="D433" s="11" t="s">
        <v>128</v>
      </c>
      <c r="E433" s="11" t="s">
        <v>4045</v>
      </c>
      <c r="F433" s="11" t="s">
        <v>4074</v>
      </c>
      <c r="G433" s="1">
        <v>46255</v>
      </c>
      <c r="H433" s="1">
        <v>46256</v>
      </c>
      <c r="I433" s="2">
        <v>0.25</v>
      </c>
      <c r="J433" s="2">
        <v>0.5</v>
      </c>
      <c r="K433" s="11" t="s">
        <v>4060</v>
      </c>
      <c r="L433" s="1"/>
      <c r="M433" s="1"/>
      <c r="N433" s="1"/>
      <c r="O433" s="11"/>
    </row>
    <row r="434" spans="1:15" hidden="1" x14ac:dyDescent="0.25">
      <c r="A434" s="1">
        <v>46256</v>
      </c>
      <c r="B434">
        <v>1036932341</v>
      </c>
      <c r="C434" s="11" t="s">
        <v>343</v>
      </c>
      <c r="D434" s="11" t="s">
        <v>344</v>
      </c>
      <c r="E434" s="11" t="s">
        <v>4056</v>
      </c>
      <c r="F434" s="11" t="s">
        <v>16</v>
      </c>
      <c r="G434" s="1">
        <v>46255</v>
      </c>
      <c r="H434" s="1">
        <v>46268</v>
      </c>
      <c r="I434" s="2"/>
      <c r="J434" s="2"/>
      <c r="K434" s="11" t="s">
        <v>341</v>
      </c>
      <c r="L434" s="1"/>
      <c r="M434" s="1"/>
      <c r="N434" s="1"/>
      <c r="O434" s="11"/>
    </row>
    <row r="435" spans="1:15" hidden="1" x14ac:dyDescent="0.25">
      <c r="A435" s="1">
        <v>46255</v>
      </c>
      <c r="B435">
        <v>1001013936</v>
      </c>
      <c r="C435" s="11" t="s">
        <v>3856</v>
      </c>
      <c r="D435" s="11" t="s">
        <v>28</v>
      </c>
      <c r="E435" s="11" t="s">
        <v>4046</v>
      </c>
      <c r="F435" s="11" t="s">
        <v>16</v>
      </c>
      <c r="G435" s="1">
        <v>46255</v>
      </c>
      <c r="H435" s="1">
        <v>46255</v>
      </c>
      <c r="I435" s="2">
        <v>0.25</v>
      </c>
      <c r="J435" s="2">
        <v>0.58333333333333337</v>
      </c>
      <c r="K435" s="11" t="s">
        <v>327</v>
      </c>
      <c r="L435" s="1"/>
      <c r="M435" s="1"/>
      <c r="N435" s="1"/>
      <c r="O435" s="11"/>
    </row>
    <row r="436" spans="1:15" hidden="1" x14ac:dyDescent="0.25">
      <c r="A436" s="1">
        <v>46256</v>
      </c>
      <c r="B436">
        <v>1017255237</v>
      </c>
      <c r="C436" s="11" t="s">
        <v>548</v>
      </c>
      <c r="D436" s="11" t="s">
        <v>78</v>
      </c>
      <c r="E436" s="11" t="s">
        <v>4046</v>
      </c>
      <c r="F436" s="11" t="s">
        <v>16</v>
      </c>
      <c r="G436" s="1">
        <v>46255</v>
      </c>
      <c r="H436" s="1">
        <v>46256</v>
      </c>
      <c r="I436" s="2">
        <v>0.25</v>
      </c>
      <c r="J436" s="2">
        <v>0.66666666666666663</v>
      </c>
      <c r="K436" s="11" t="s">
        <v>327</v>
      </c>
      <c r="L436" s="1"/>
      <c r="M436" s="1"/>
      <c r="N436" s="1"/>
      <c r="O436" s="11"/>
    </row>
    <row r="437" spans="1:15" hidden="1" x14ac:dyDescent="0.25">
      <c r="A437" s="1">
        <v>46256</v>
      </c>
      <c r="B437">
        <v>1007624721</v>
      </c>
      <c r="C437" s="11" t="s">
        <v>2274</v>
      </c>
      <c r="D437" s="11" t="s">
        <v>39</v>
      </c>
      <c r="E437" s="11" t="s">
        <v>4046</v>
      </c>
      <c r="F437" s="11" t="s">
        <v>16</v>
      </c>
      <c r="G437" s="1">
        <v>46255</v>
      </c>
      <c r="H437" s="1">
        <v>46256</v>
      </c>
      <c r="I437" s="2">
        <v>0.25</v>
      </c>
      <c r="J437" s="2">
        <v>0.66666666666666663</v>
      </c>
      <c r="K437" s="11" t="s">
        <v>295</v>
      </c>
      <c r="L437" s="1"/>
      <c r="M437" s="1"/>
      <c r="N437" s="1"/>
      <c r="O437" s="11"/>
    </row>
    <row r="438" spans="1:15" hidden="1" x14ac:dyDescent="0.25">
      <c r="A438" s="1">
        <v>46256</v>
      </c>
      <c r="B438">
        <v>1036618989</v>
      </c>
      <c r="C438" s="11" t="s">
        <v>3854</v>
      </c>
      <c r="D438" s="11" t="s">
        <v>82</v>
      </c>
      <c r="E438" s="11" t="s">
        <v>4045</v>
      </c>
      <c r="F438" s="11" t="s">
        <v>16</v>
      </c>
      <c r="G438" s="1">
        <v>46255</v>
      </c>
      <c r="H438" s="1">
        <v>46258</v>
      </c>
      <c r="I438" s="2">
        <v>0.25</v>
      </c>
      <c r="J438" s="2">
        <v>0.66666666666666663</v>
      </c>
      <c r="K438" s="11" t="s">
        <v>4060</v>
      </c>
      <c r="L438" s="1"/>
      <c r="M438" s="1"/>
      <c r="N438" s="1"/>
      <c r="O438" s="11"/>
    </row>
    <row r="439" spans="1:15" hidden="1" x14ac:dyDescent="0.25">
      <c r="A439" s="1">
        <v>46256</v>
      </c>
      <c r="B439">
        <v>1007600707</v>
      </c>
      <c r="C439" s="11" t="s">
        <v>2394</v>
      </c>
      <c r="D439" s="11" t="s">
        <v>256</v>
      </c>
      <c r="E439" s="11" t="s">
        <v>4040</v>
      </c>
      <c r="F439" s="11" t="s">
        <v>16</v>
      </c>
      <c r="G439" s="1">
        <v>46255</v>
      </c>
      <c r="H439" s="1">
        <v>46256</v>
      </c>
      <c r="I439" s="2">
        <v>0.25</v>
      </c>
      <c r="J439" s="2">
        <v>0.66666666666666663</v>
      </c>
      <c r="K439" s="11" t="s">
        <v>327</v>
      </c>
      <c r="L439" s="1"/>
      <c r="M439" s="1"/>
      <c r="N439" s="1"/>
      <c r="O439" s="11"/>
    </row>
    <row r="440" spans="1:15" hidden="1" x14ac:dyDescent="0.25">
      <c r="A440" s="1">
        <v>46255</v>
      </c>
      <c r="B440">
        <v>1007240267</v>
      </c>
      <c r="C440" s="11" t="s">
        <v>2313</v>
      </c>
      <c r="D440" s="11" t="s">
        <v>245</v>
      </c>
      <c r="E440" s="11" t="s">
        <v>4040</v>
      </c>
      <c r="F440" s="11" t="s">
        <v>4074</v>
      </c>
      <c r="G440" s="1">
        <v>46255</v>
      </c>
      <c r="H440" s="1">
        <v>46255</v>
      </c>
      <c r="I440" s="2">
        <v>0.25</v>
      </c>
      <c r="J440" s="2">
        <v>0.54166666666666663</v>
      </c>
      <c r="K440" s="11" t="s">
        <v>4060</v>
      </c>
      <c r="L440" s="1"/>
      <c r="M440" s="1"/>
      <c r="N440" s="1"/>
      <c r="O440" s="11"/>
    </row>
    <row r="441" spans="1:15" hidden="1" x14ac:dyDescent="0.25">
      <c r="A441" s="1">
        <v>46255</v>
      </c>
      <c r="B441">
        <v>45547324</v>
      </c>
      <c r="C441" s="11" t="s">
        <v>3312</v>
      </c>
      <c r="D441" s="11" t="s">
        <v>162</v>
      </c>
      <c r="E441" s="11" t="s">
        <v>4056</v>
      </c>
      <c r="F441" s="11" t="s">
        <v>4074</v>
      </c>
      <c r="G441" s="1">
        <v>46255</v>
      </c>
      <c r="H441" s="1">
        <v>46256</v>
      </c>
      <c r="I441" s="2">
        <v>0.25</v>
      </c>
      <c r="J441" s="2">
        <v>0.58333333333333337</v>
      </c>
      <c r="K441" s="11" t="s">
        <v>4060</v>
      </c>
      <c r="L441" s="1"/>
      <c r="M441" s="1"/>
      <c r="N441" s="1"/>
      <c r="O441" s="11"/>
    </row>
    <row r="442" spans="1:15" hidden="1" x14ac:dyDescent="0.25">
      <c r="A442" s="1">
        <v>46255</v>
      </c>
      <c r="B442">
        <v>1143166984</v>
      </c>
      <c r="C442" s="11" t="s">
        <v>2638</v>
      </c>
      <c r="D442" s="11" t="s">
        <v>272</v>
      </c>
      <c r="E442" s="11" t="s">
        <v>4056</v>
      </c>
      <c r="F442" s="11" t="s">
        <v>4074</v>
      </c>
      <c r="G442" s="1">
        <v>46255</v>
      </c>
      <c r="H442" s="1">
        <v>46256</v>
      </c>
      <c r="I442" s="2">
        <v>0.58333333333333337</v>
      </c>
      <c r="J442" s="2">
        <v>0.875</v>
      </c>
      <c r="K442" s="11" t="s">
        <v>4060</v>
      </c>
      <c r="L442" s="1"/>
      <c r="M442" s="1"/>
      <c r="N442" s="1"/>
      <c r="O442" s="11"/>
    </row>
    <row r="443" spans="1:15" hidden="1" x14ac:dyDescent="0.25">
      <c r="A443" s="1">
        <v>46255</v>
      </c>
      <c r="B443">
        <v>1013660730</v>
      </c>
      <c r="C443" s="11" t="s">
        <v>1199</v>
      </c>
      <c r="D443" s="11" t="s">
        <v>143</v>
      </c>
      <c r="E443" s="11" t="s">
        <v>4045</v>
      </c>
      <c r="F443" s="11" t="s">
        <v>4074</v>
      </c>
      <c r="G443" s="1">
        <v>46255</v>
      </c>
      <c r="H443" s="1">
        <v>46256</v>
      </c>
      <c r="I443" s="2">
        <v>0.25</v>
      </c>
      <c r="J443" s="2">
        <v>0.58333333333333337</v>
      </c>
      <c r="K443" s="11" t="s">
        <v>4060</v>
      </c>
      <c r="L443" s="1"/>
      <c r="M443" s="1"/>
      <c r="N443" s="1"/>
      <c r="O443" s="11"/>
    </row>
    <row r="444" spans="1:15" hidden="1" x14ac:dyDescent="0.25">
      <c r="A444" s="1">
        <v>46255</v>
      </c>
      <c r="B444">
        <v>1001852351</v>
      </c>
      <c r="C444" s="11" t="s">
        <v>2238</v>
      </c>
      <c r="D444" s="11" t="s">
        <v>39</v>
      </c>
      <c r="E444" s="11" t="s">
        <v>4046</v>
      </c>
      <c r="F444" s="11" t="s">
        <v>4074</v>
      </c>
      <c r="G444" s="1">
        <v>46255</v>
      </c>
      <c r="H444" s="1">
        <v>46256</v>
      </c>
      <c r="I444" s="2">
        <v>0.58333333333333337</v>
      </c>
      <c r="J444" s="2">
        <v>0.875</v>
      </c>
      <c r="K444" s="11" t="s">
        <v>4060</v>
      </c>
      <c r="L444" s="1"/>
      <c r="M444" s="1"/>
      <c r="N444" s="1"/>
      <c r="O444" s="11"/>
    </row>
    <row r="445" spans="1:15" hidden="1" x14ac:dyDescent="0.25">
      <c r="A445" s="1">
        <v>46255</v>
      </c>
      <c r="B445">
        <v>1100955074</v>
      </c>
      <c r="C445" s="11" t="s">
        <v>1582</v>
      </c>
      <c r="D445" s="11" t="s">
        <v>102</v>
      </c>
      <c r="E445" s="11" t="s">
        <v>4046</v>
      </c>
      <c r="F445" s="11" t="s">
        <v>16</v>
      </c>
      <c r="G445" s="1">
        <v>46255</v>
      </c>
      <c r="H445" s="1">
        <v>46255</v>
      </c>
      <c r="I445" s="2">
        <v>0.5</v>
      </c>
      <c r="J445" s="2">
        <v>0.79166666666666663</v>
      </c>
      <c r="K445" s="11" t="s">
        <v>327</v>
      </c>
      <c r="L445" s="1"/>
      <c r="M445" s="1"/>
      <c r="N445" s="1"/>
      <c r="O445" s="11"/>
    </row>
    <row r="446" spans="1:15" hidden="1" x14ac:dyDescent="0.25">
      <c r="A446" s="1">
        <v>46255</v>
      </c>
      <c r="B446">
        <v>1098765922</v>
      </c>
      <c r="C446" s="11" t="s">
        <v>3654</v>
      </c>
      <c r="D446" s="11" t="s">
        <v>51</v>
      </c>
      <c r="E446" s="11" t="s">
        <v>4047</v>
      </c>
      <c r="F446" s="11" t="s">
        <v>4074</v>
      </c>
      <c r="G446" s="1">
        <v>46255</v>
      </c>
      <c r="H446" s="1">
        <v>46256</v>
      </c>
      <c r="I446" s="2">
        <v>0.58333333333333337</v>
      </c>
      <c r="J446" s="2">
        <v>0.875</v>
      </c>
      <c r="K446" s="11" t="s">
        <v>4060</v>
      </c>
      <c r="L446" s="1"/>
      <c r="M446" s="1"/>
      <c r="N446" s="1"/>
      <c r="O446" s="11"/>
    </row>
    <row r="447" spans="1:15" hidden="1" x14ac:dyDescent="0.25">
      <c r="A447" s="1">
        <v>46255</v>
      </c>
      <c r="B447">
        <v>1001445343</v>
      </c>
      <c r="C447" s="11" t="s">
        <v>1432</v>
      </c>
      <c r="D447" s="11" t="s">
        <v>344</v>
      </c>
      <c r="E447" s="11" t="s">
        <v>4056</v>
      </c>
      <c r="F447" s="11" t="s">
        <v>4074</v>
      </c>
      <c r="G447" s="1">
        <v>46255</v>
      </c>
      <c r="H447" s="1"/>
      <c r="I447" s="2">
        <v>0.58333333333333337</v>
      </c>
      <c r="J447" s="2">
        <v>0.875</v>
      </c>
      <c r="K447" s="11" t="s">
        <v>4060</v>
      </c>
      <c r="L447" s="1"/>
      <c r="M447" s="1"/>
      <c r="N447" s="1"/>
      <c r="O447" s="11"/>
    </row>
    <row r="448" spans="1:15" hidden="1" x14ac:dyDescent="0.25">
      <c r="A448" s="1">
        <v>46255</v>
      </c>
      <c r="B448">
        <v>1041901478</v>
      </c>
      <c r="C448" s="11" t="s">
        <v>405</v>
      </c>
      <c r="D448" s="11" t="s">
        <v>256</v>
      </c>
      <c r="E448" s="11" t="s">
        <v>4040</v>
      </c>
      <c r="F448" s="11" t="s">
        <v>4074</v>
      </c>
      <c r="G448" s="1">
        <v>46255</v>
      </c>
      <c r="H448" s="1">
        <v>46256</v>
      </c>
      <c r="I448" s="2">
        <v>0.58333333333333337</v>
      </c>
      <c r="J448" s="2">
        <v>0.875</v>
      </c>
      <c r="K448" s="11" t="s">
        <v>4060</v>
      </c>
      <c r="L448" s="1"/>
      <c r="M448" s="1"/>
      <c r="N448" s="1"/>
      <c r="O448" s="11"/>
    </row>
    <row r="449" spans="1:15" hidden="1" x14ac:dyDescent="0.25">
      <c r="A449" s="1">
        <v>46255</v>
      </c>
      <c r="B449">
        <v>1117545007</v>
      </c>
      <c r="C449" s="11" t="s">
        <v>2375</v>
      </c>
      <c r="D449" s="11" t="s">
        <v>139</v>
      </c>
      <c r="E449" s="11" t="s">
        <v>4040</v>
      </c>
      <c r="F449" s="11" t="s">
        <v>4074</v>
      </c>
      <c r="G449" s="1">
        <v>46255</v>
      </c>
      <c r="H449" s="1">
        <v>46255</v>
      </c>
      <c r="I449" s="2">
        <v>0.58333333333333337</v>
      </c>
      <c r="J449" s="2">
        <v>0.875</v>
      </c>
      <c r="K449" s="11" t="s">
        <v>4060</v>
      </c>
      <c r="L449" s="1"/>
      <c r="M449" s="1"/>
      <c r="N449" s="1"/>
      <c r="O449" s="11"/>
    </row>
    <row r="450" spans="1:15" hidden="1" x14ac:dyDescent="0.25">
      <c r="A450" s="1">
        <v>46255</v>
      </c>
      <c r="B450">
        <v>1001140238</v>
      </c>
      <c r="C450" s="11" t="s">
        <v>74</v>
      </c>
      <c r="D450" s="11" t="s">
        <v>4078</v>
      </c>
      <c r="E450" s="11" t="s">
        <v>4045</v>
      </c>
      <c r="F450" s="11" t="s">
        <v>4099</v>
      </c>
      <c r="G450" s="1">
        <v>46255</v>
      </c>
      <c r="H450" s="1">
        <v>46255</v>
      </c>
      <c r="I450" s="2">
        <v>0.54166666666666663</v>
      </c>
      <c r="J450" s="2">
        <v>0.58333333333333337</v>
      </c>
      <c r="K450" s="11" t="s">
        <v>339</v>
      </c>
      <c r="L450" s="1"/>
      <c r="M450" s="1"/>
      <c r="N450" s="1"/>
      <c r="O450" s="11"/>
    </row>
    <row r="451" spans="1:15" hidden="1" x14ac:dyDescent="0.25">
      <c r="A451" s="1">
        <v>46256</v>
      </c>
      <c r="B451">
        <v>1020414545</v>
      </c>
      <c r="C451" s="11" t="s">
        <v>2893</v>
      </c>
      <c r="D451" s="11" t="s">
        <v>256</v>
      </c>
      <c r="E451" s="11" t="s">
        <v>4040</v>
      </c>
      <c r="F451" s="11" t="s">
        <v>16</v>
      </c>
      <c r="G451" s="1">
        <v>46255</v>
      </c>
      <c r="H451" s="1">
        <v>46256</v>
      </c>
      <c r="I451" s="2">
        <v>0.25</v>
      </c>
      <c r="J451" s="2">
        <v>0.66666666666666663</v>
      </c>
      <c r="K451" s="11" t="s">
        <v>104</v>
      </c>
      <c r="L451" s="1"/>
      <c r="M451" s="1"/>
      <c r="N451" s="1"/>
      <c r="O451" s="11"/>
    </row>
    <row r="452" spans="1:15" hidden="1" x14ac:dyDescent="0.25">
      <c r="A452" s="1">
        <v>46256</v>
      </c>
      <c r="B452">
        <v>1004463773</v>
      </c>
      <c r="C452" s="11" t="s">
        <v>3213</v>
      </c>
      <c r="D452" s="11" t="s">
        <v>176</v>
      </c>
      <c r="E452" s="11" t="s">
        <v>4040</v>
      </c>
      <c r="F452" s="11" t="s">
        <v>16</v>
      </c>
      <c r="G452" s="1">
        <v>46255</v>
      </c>
      <c r="H452" s="1">
        <v>46256</v>
      </c>
      <c r="I452" s="2">
        <v>0.25</v>
      </c>
      <c r="J452" s="2">
        <v>0.66666666666666663</v>
      </c>
      <c r="K452" s="11" t="s">
        <v>182</v>
      </c>
      <c r="L452" s="1"/>
      <c r="M452" s="1"/>
      <c r="N452" s="1"/>
      <c r="O452" s="11"/>
    </row>
    <row r="453" spans="1:15" hidden="1" x14ac:dyDescent="0.25">
      <c r="A453" s="1">
        <v>46256</v>
      </c>
      <c r="B453">
        <v>1013660730</v>
      </c>
      <c r="C453" s="11" t="s">
        <v>1199</v>
      </c>
      <c r="D453" s="11" t="s">
        <v>143</v>
      </c>
      <c r="E453" s="11" t="s">
        <v>4045</v>
      </c>
      <c r="F453" s="11" t="s">
        <v>16</v>
      </c>
      <c r="G453" s="1">
        <v>46255</v>
      </c>
      <c r="H453" s="1">
        <v>46256</v>
      </c>
      <c r="I453" s="2">
        <v>0.25</v>
      </c>
      <c r="J453" s="2">
        <v>0.66666666666666663</v>
      </c>
      <c r="K453" s="11" t="s">
        <v>327</v>
      </c>
      <c r="L453" s="1"/>
      <c r="M453" s="1"/>
      <c r="N453" s="1"/>
      <c r="O453" s="11"/>
    </row>
    <row r="454" spans="1:15" hidden="1" x14ac:dyDescent="0.25">
      <c r="A454" s="1">
        <v>46256</v>
      </c>
      <c r="B454">
        <v>1094243332</v>
      </c>
      <c r="C454" s="11" t="s">
        <v>3386</v>
      </c>
      <c r="D454" s="11" t="s">
        <v>15</v>
      </c>
      <c r="E454" s="11" t="s">
        <v>4046</v>
      </c>
      <c r="F454" s="11" t="s">
        <v>16</v>
      </c>
      <c r="G454" s="1">
        <v>46256</v>
      </c>
      <c r="H454" s="1">
        <v>46256</v>
      </c>
      <c r="I454" s="2">
        <v>0.25</v>
      </c>
      <c r="J454" s="2">
        <v>0.66666666666666663</v>
      </c>
      <c r="K454" s="11" t="s">
        <v>327</v>
      </c>
      <c r="L454" s="1"/>
      <c r="M454" s="1"/>
      <c r="N454" s="1"/>
      <c r="O454" s="11"/>
    </row>
    <row r="455" spans="1:15" hidden="1" x14ac:dyDescent="0.25">
      <c r="A455" s="1">
        <v>46256</v>
      </c>
      <c r="B455">
        <v>1034296571</v>
      </c>
      <c r="C455" s="11" t="s">
        <v>1706</v>
      </c>
      <c r="D455" s="11" t="s">
        <v>128</v>
      </c>
      <c r="E455" s="11" t="s">
        <v>4045</v>
      </c>
      <c r="F455" s="11" t="s">
        <v>16</v>
      </c>
      <c r="G455" s="1">
        <v>46255</v>
      </c>
      <c r="H455" s="1">
        <v>46256</v>
      </c>
      <c r="I455" s="2">
        <v>0.25</v>
      </c>
      <c r="J455" s="2">
        <v>0.66666666666666663</v>
      </c>
      <c r="K455" s="11" t="s">
        <v>327</v>
      </c>
      <c r="L455" s="1"/>
      <c r="M455" s="1"/>
      <c r="N455" s="1"/>
      <c r="O455" s="11"/>
    </row>
    <row r="456" spans="1:15" hidden="1" x14ac:dyDescent="0.25">
      <c r="A456" s="1">
        <v>46256</v>
      </c>
      <c r="B456">
        <v>1143166984</v>
      </c>
      <c r="C456" s="11" t="s">
        <v>2638</v>
      </c>
      <c r="D456" s="11" t="s">
        <v>272</v>
      </c>
      <c r="E456" s="11" t="s">
        <v>4056</v>
      </c>
      <c r="F456" s="11" t="s">
        <v>16</v>
      </c>
      <c r="G456" s="1">
        <v>46255</v>
      </c>
      <c r="H456" s="1">
        <v>46256</v>
      </c>
      <c r="I456" s="2">
        <v>0.25</v>
      </c>
      <c r="J456" s="2">
        <v>0.58333333333333337</v>
      </c>
      <c r="K456" s="11" t="s">
        <v>268</v>
      </c>
      <c r="L456" s="1"/>
      <c r="M456" s="1"/>
      <c r="N456" s="1"/>
      <c r="O456" s="11"/>
    </row>
    <row r="457" spans="1:15" hidden="1" x14ac:dyDescent="0.25">
      <c r="A457" s="1">
        <v>46256</v>
      </c>
      <c r="B457">
        <v>45547324</v>
      </c>
      <c r="C457" s="11" t="s">
        <v>3312</v>
      </c>
      <c r="D457" s="11" t="s">
        <v>162</v>
      </c>
      <c r="E457" s="11" t="s">
        <v>4056</v>
      </c>
      <c r="F457" s="11" t="s">
        <v>16</v>
      </c>
      <c r="G457" s="1">
        <v>46255</v>
      </c>
      <c r="H457" s="1">
        <v>46256</v>
      </c>
      <c r="I457" s="2">
        <v>0.25</v>
      </c>
      <c r="J457" s="2">
        <v>0.58333333333333337</v>
      </c>
      <c r="K457" s="11" t="s">
        <v>3663</v>
      </c>
      <c r="L457" s="1"/>
      <c r="M457" s="1"/>
      <c r="N457" s="1"/>
      <c r="O457" s="11"/>
    </row>
    <row r="458" spans="1:15" hidden="1" x14ac:dyDescent="0.25">
      <c r="A458" s="1">
        <v>46256</v>
      </c>
      <c r="B458">
        <v>1036671586</v>
      </c>
      <c r="C458" s="11" t="s">
        <v>3573</v>
      </c>
      <c r="D458" s="11" t="s">
        <v>139</v>
      </c>
      <c r="E458" s="11" t="s">
        <v>4040</v>
      </c>
      <c r="F458" s="11" t="s">
        <v>16</v>
      </c>
      <c r="G458" s="1">
        <v>46256</v>
      </c>
      <c r="H458" s="1">
        <v>46256</v>
      </c>
      <c r="I458" s="2">
        <v>0.25</v>
      </c>
      <c r="J458" s="2">
        <v>0.66666666666666663</v>
      </c>
      <c r="K458" s="11" t="s">
        <v>327</v>
      </c>
      <c r="L458" s="1"/>
      <c r="M458" s="1"/>
      <c r="N458" s="1"/>
      <c r="O458" s="11"/>
    </row>
    <row r="459" spans="1:15" hidden="1" x14ac:dyDescent="0.25">
      <c r="A459" s="1">
        <v>46256</v>
      </c>
      <c r="B459">
        <v>1001852351</v>
      </c>
      <c r="C459" s="11" t="s">
        <v>2238</v>
      </c>
      <c r="D459" s="11" t="s">
        <v>39</v>
      </c>
      <c r="E459" s="11" t="s">
        <v>4046</v>
      </c>
      <c r="F459" s="11" t="s">
        <v>16</v>
      </c>
      <c r="G459" s="1">
        <v>46255</v>
      </c>
      <c r="H459" s="1">
        <v>46256</v>
      </c>
      <c r="I459" s="2">
        <v>0.25</v>
      </c>
      <c r="J459" s="2">
        <v>0.66666666666666663</v>
      </c>
      <c r="K459" s="11" t="s">
        <v>327</v>
      </c>
      <c r="L459" s="1"/>
      <c r="M459" s="1"/>
      <c r="N459" s="1"/>
      <c r="O459" s="11"/>
    </row>
    <row r="460" spans="1:15" hidden="1" x14ac:dyDescent="0.25">
      <c r="A460" s="1">
        <v>46256</v>
      </c>
      <c r="B460">
        <v>1098765922</v>
      </c>
      <c r="C460" s="11" t="s">
        <v>3654</v>
      </c>
      <c r="D460" s="11" t="s">
        <v>51</v>
      </c>
      <c r="E460" s="11" t="s">
        <v>4047</v>
      </c>
      <c r="F460" s="11" t="s">
        <v>16</v>
      </c>
      <c r="G460" s="1">
        <v>46255</v>
      </c>
      <c r="H460" s="1">
        <v>46256</v>
      </c>
      <c r="I460" s="2">
        <v>0.25</v>
      </c>
      <c r="J460" s="2">
        <v>0.66666666666666663</v>
      </c>
      <c r="K460" s="11" t="s">
        <v>327</v>
      </c>
      <c r="L460" s="1"/>
      <c r="M460" s="1"/>
      <c r="N460" s="1"/>
      <c r="O460" s="11"/>
    </row>
    <row r="461" spans="1:15" hidden="1" x14ac:dyDescent="0.25">
      <c r="A461" s="1">
        <v>46256</v>
      </c>
      <c r="B461">
        <v>1041901478</v>
      </c>
      <c r="C461" s="11" t="s">
        <v>405</v>
      </c>
      <c r="D461" s="11" t="s">
        <v>256</v>
      </c>
      <c r="E461" s="11" t="s">
        <v>4040</v>
      </c>
      <c r="F461" s="11" t="s">
        <v>16</v>
      </c>
      <c r="G461" s="1">
        <v>46255</v>
      </c>
      <c r="H461" s="1">
        <v>46256</v>
      </c>
      <c r="I461" s="2">
        <v>0.25</v>
      </c>
      <c r="J461" s="2">
        <v>0.66666666666666663</v>
      </c>
      <c r="K461" s="11" t="s">
        <v>168</v>
      </c>
      <c r="L461" s="1"/>
      <c r="M461" s="1"/>
      <c r="N461" s="1"/>
      <c r="O461" s="11"/>
    </row>
    <row r="462" spans="1:15" hidden="1" x14ac:dyDescent="0.25">
      <c r="A462" s="1">
        <v>46256</v>
      </c>
      <c r="B462">
        <v>1080901556</v>
      </c>
      <c r="C462" s="11" t="s">
        <v>3928</v>
      </c>
      <c r="D462" s="11" t="s">
        <v>256</v>
      </c>
      <c r="E462" s="11" t="s">
        <v>4040</v>
      </c>
      <c r="F462" s="11" t="s">
        <v>16</v>
      </c>
      <c r="G462" s="1">
        <v>46255</v>
      </c>
      <c r="H462" s="1">
        <v>46256</v>
      </c>
      <c r="I462" s="2">
        <v>0.25</v>
      </c>
      <c r="J462" s="2">
        <v>0.66666666666666663</v>
      </c>
      <c r="K462" s="11" t="s">
        <v>4060</v>
      </c>
      <c r="L462" s="1"/>
      <c r="M462" s="1"/>
      <c r="N462" s="1"/>
      <c r="O462" s="11"/>
    </row>
    <row r="463" spans="1:15" hidden="1" x14ac:dyDescent="0.25">
      <c r="A463" s="1">
        <v>46256</v>
      </c>
      <c r="B463">
        <v>1152470285</v>
      </c>
      <c r="C463" s="11" t="s">
        <v>3594</v>
      </c>
      <c r="D463" s="11" t="s">
        <v>82</v>
      </c>
      <c r="E463" s="11" t="s">
        <v>4045</v>
      </c>
      <c r="F463" s="11" t="s">
        <v>326</v>
      </c>
      <c r="G463" s="1">
        <v>46256</v>
      </c>
      <c r="H463" s="1">
        <v>46256</v>
      </c>
      <c r="I463" s="2">
        <v>0.25</v>
      </c>
      <c r="J463" s="2">
        <v>0.66666666666666663</v>
      </c>
      <c r="K463" s="11" t="s">
        <v>327</v>
      </c>
      <c r="L463" s="1"/>
      <c r="M463" s="1"/>
      <c r="N463" s="1"/>
      <c r="O463" s="11"/>
    </row>
    <row r="464" spans="1:15" hidden="1" x14ac:dyDescent="0.25">
      <c r="A464" s="1">
        <v>46256</v>
      </c>
      <c r="B464">
        <v>1038408808</v>
      </c>
      <c r="C464" s="11" t="s">
        <v>483</v>
      </c>
      <c r="D464" s="11" t="s">
        <v>482</v>
      </c>
      <c r="E464" s="11" t="s">
        <v>4040</v>
      </c>
      <c r="F464" s="11" t="s">
        <v>4074</v>
      </c>
      <c r="G464" s="1">
        <v>46255</v>
      </c>
      <c r="H464" s="1">
        <v>46256</v>
      </c>
      <c r="I464" s="2">
        <v>0.25</v>
      </c>
      <c r="J464" s="2">
        <v>0.66666666666666663</v>
      </c>
      <c r="K464" s="11" t="s">
        <v>4060</v>
      </c>
      <c r="L464" s="1"/>
      <c r="M464" s="1"/>
      <c r="N464" s="1"/>
      <c r="O464" s="11"/>
    </row>
    <row r="465" spans="1:15" hidden="1" x14ac:dyDescent="0.25">
      <c r="A465" s="1">
        <v>46256</v>
      </c>
      <c r="B465">
        <v>1037570349</v>
      </c>
      <c r="C465" s="11" t="s">
        <v>2818</v>
      </c>
      <c r="D465" s="11" t="s">
        <v>128</v>
      </c>
      <c r="E465" s="11" t="s">
        <v>4045</v>
      </c>
      <c r="F465" s="11" t="s">
        <v>16</v>
      </c>
      <c r="G465" s="1">
        <v>46256</v>
      </c>
      <c r="H465" s="1">
        <v>46256</v>
      </c>
      <c r="I465" s="2">
        <v>0.25</v>
      </c>
      <c r="J465" s="2">
        <v>0.66666666666666663</v>
      </c>
      <c r="K465" s="11" t="s">
        <v>327</v>
      </c>
      <c r="L465" s="1"/>
      <c r="M465" s="1"/>
      <c r="N465" s="1"/>
      <c r="O465" s="11"/>
    </row>
    <row r="466" spans="1:15" hidden="1" x14ac:dyDescent="0.25">
      <c r="A466" s="1">
        <v>46256</v>
      </c>
      <c r="B466">
        <v>1050965861</v>
      </c>
      <c r="C466" s="11" t="s">
        <v>3321</v>
      </c>
      <c r="D466" s="11" t="s">
        <v>132</v>
      </c>
      <c r="E466" s="11" t="s">
        <v>4040</v>
      </c>
      <c r="F466" s="11" t="s">
        <v>4074</v>
      </c>
      <c r="G466" s="1">
        <v>46256</v>
      </c>
      <c r="H466" s="1">
        <v>46256</v>
      </c>
      <c r="I466" s="2">
        <v>0.25</v>
      </c>
      <c r="J466" s="2">
        <v>0.66666666666666663</v>
      </c>
      <c r="K466" s="11" t="s">
        <v>4060</v>
      </c>
      <c r="L466" s="1"/>
      <c r="M466" s="1"/>
      <c r="N466" s="1"/>
      <c r="O466" s="11"/>
    </row>
    <row r="467" spans="1:15" hidden="1" x14ac:dyDescent="0.25">
      <c r="A467" s="1">
        <v>46256</v>
      </c>
      <c r="B467">
        <v>1216726482</v>
      </c>
      <c r="C467" s="11" t="s">
        <v>2985</v>
      </c>
      <c r="D467" s="11" t="s">
        <v>634</v>
      </c>
      <c r="E467" s="11" t="s">
        <v>4045</v>
      </c>
      <c r="F467" s="11" t="s">
        <v>16</v>
      </c>
      <c r="G467" s="1">
        <v>46256</v>
      </c>
      <c r="H467" s="1">
        <v>46256</v>
      </c>
      <c r="I467" s="2">
        <v>0.25</v>
      </c>
      <c r="J467" s="2">
        <v>0.58333333333333337</v>
      </c>
      <c r="K467" s="11" t="s">
        <v>327</v>
      </c>
      <c r="L467" s="1"/>
      <c r="M467" s="1"/>
      <c r="N467" s="1"/>
      <c r="O467" s="11"/>
    </row>
    <row r="468" spans="1:15" hidden="1" x14ac:dyDescent="0.25">
      <c r="A468" s="1">
        <v>46259</v>
      </c>
      <c r="B468">
        <v>1037644923</v>
      </c>
      <c r="C468" s="11" t="s">
        <v>4218</v>
      </c>
      <c r="D468" s="11" t="s">
        <v>492</v>
      </c>
      <c r="E468" s="11" t="s">
        <v>4045</v>
      </c>
      <c r="F468" s="11" t="s">
        <v>4074</v>
      </c>
      <c r="G468" s="1">
        <v>46258</v>
      </c>
      <c r="H468" s="1">
        <v>46260</v>
      </c>
      <c r="I468" s="2">
        <v>0.25</v>
      </c>
      <c r="J468" s="2">
        <v>0.54166666666666663</v>
      </c>
      <c r="K468" s="11" t="s">
        <v>4060</v>
      </c>
      <c r="L468" s="1"/>
      <c r="M468" s="1"/>
      <c r="N468" s="1"/>
      <c r="O468" s="11"/>
    </row>
    <row r="469" spans="1:15" hidden="1" x14ac:dyDescent="0.25">
      <c r="A469" s="1">
        <v>46256</v>
      </c>
      <c r="B469">
        <v>1096250605</v>
      </c>
      <c r="C469" s="11" t="s">
        <v>2417</v>
      </c>
      <c r="D469" s="11" t="s">
        <v>39</v>
      </c>
      <c r="E469" s="11" t="s">
        <v>4046</v>
      </c>
      <c r="F469" s="11" t="s">
        <v>16</v>
      </c>
      <c r="G469" s="1">
        <v>46256</v>
      </c>
      <c r="H469" s="1">
        <v>46256</v>
      </c>
      <c r="I469" s="2">
        <v>0.25</v>
      </c>
      <c r="J469" s="2">
        <v>0.66666666666666663</v>
      </c>
      <c r="K469" s="11" t="s">
        <v>327</v>
      </c>
      <c r="L469" s="1"/>
      <c r="M469" s="1"/>
      <c r="N469" s="1"/>
      <c r="O469" s="11"/>
    </row>
    <row r="470" spans="1:15" hidden="1" x14ac:dyDescent="0.25">
      <c r="A470" s="1">
        <v>46256</v>
      </c>
      <c r="B470">
        <v>1000549306</v>
      </c>
      <c r="C470" s="11" t="s">
        <v>1001</v>
      </c>
      <c r="D470" s="11" t="s">
        <v>64</v>
      </c>
      <c r="E470" s="11" t="s">
        <v>4046</v>
      </c>
      <c r="F470" s="11" t="s">
        <v>16</v>
      </c>
      <c r="G470" s="1">
        <v>46256</v>
      </c>
      <c r="H470" s="1">
        <v>46256</v>
      </c>
      <c r="I470" s="2"/>
      <c r="J470" s="2"/>
      <c r="K470" s="11" t="s">
        <v>4060</v>
      </c>
      <c r="L470" s="1"/>
      <c r="M470" s="1"/>
      <c r="N470" s="1"/>
      <c r="O470" s="11"/>
    </row>
    <row r="471" spans="1:15" hidden="1" x14ac:dyDescent="0.25">
      <c r="A471" s="1">
        <v>46256</v>
      </c>
      <c r="B471">
        <v>1214714989</v>
      </c>
      <c r="C471" s="11" t="s">
        <v>2191</v>
      </c>
      <c r="D471" s="11" t="s">
        <v>256</v>
      </c>
      <c r="E471" s="11" t="s">
        <v>4040</v>
      </c>
      <c r="F471" s="11" t="s">
        <v>4074</v>
      </c>
      <c r="G471" s="1">
        <v>46256</v>
      </c>
      <c r="H471" s="1">
        <v>46256</v>
      </c>
      <c r="I471" s="2"/>
      <c r="J471" s="2"/>
      <c r="K471" s="11" t="s">
        <v>4060</v>
      </c>
      <c r="L471" s="1"/>
      <c r="M471" s="1"/>
      <c r="N471" s="1"/>
      <c r="O471" s="11"/>
    </row>
    <row r="472" spans="1:15" hidden="1" x14ac:dyDescent="0.25">
      <c r="A472" s="1">
        <v>46256</v>
      </c>
      <c r="B472">
        <v>1001445343</v>
      </c>
      <c r="C472" s="11" t="s">
        <v>1432</v>
      </c>
      <c r="D472" s="11" t="s">
        <v>344</v>
      </c>
      <c r="E472" s="11" t="s">
        <v>4056</v>
      </c>
      <c r="F472" s="11" t="s">
        <v>4074</v>
      </c>
      <c r="G472" s="1">
        <v>46256</v>
      </c>
      <c r="H472" s="1">
        <v>46256</v>
      </c>
      <c r="I472" s="2">
        <v>0.25</v>
      </c>
      <c r="J472" s="2">
        <v>0.58333333333333337</v>
      </c>
      <c r="K472" s="11" t="s">
        <v>4214</v>
      </c>
      <c r="L472" s="1"/>
      <c r="M472" s="1"/>
      <c r="N472" s="1"/>
      <c r="O472" s="11"/>
    </row>
    <row r="473" spans="1:15" hidden="1" x14ac:dyDescent="0.25">
      <c r="A473" s="1">
        <v>46256</v>
      </c>
      <c r="B473">
        <v>1083037694</v>
      </c>
      <c r="C473" s="11" t="s">
        <v>1591</v>
      </c>
      <c r="D473" s="11" t="s">
        <v>15</v>
      </c>
      <c r="E473" s="11" t="s">
        <v>4046</v>
      </c>
      <c r="F473" s="11" t="s">
        <v>4074</v>
      </c>
      <c r="G473" s="1">
        <v>46256</v>
      </c>
      <c r="H473" s="1">
        <v>46256</v>
      </c>
      <c r="I473" s="2"/>
      <c r="J473" s="2"/>
      <c r="K473" s="11" t="s">
        <v>4060</v>
      </c>
      <c r="L473" s="1"/>
      <c r="M473" s="1"/>
      <c r="N473" s="1"/>
      <c r="O473" s="11"/>
    </row>
    <row r="474" spans="1:15" hidden="1" x14ac:dyDescent="0.25">
      <c r="A474" s="1">
        <v>46258</v>
      </c>
      <c r="B474">
        <v>1036932341</v>
      </c>
      <c r="C474" s="11" t="s">
        <v>343</v>
      </c>
      <c r="D474" s="11" t="s">
        <v>344</v>
      </c>
      <c r="E474" s="11" t="s">
        <v>4056</v>
      </c>
      <c r="F474" s="11" t="s">
        <v>16</v>
      </c>
      <c r="G474" s="1">
        <v>46254</v>
      </c>
      <c r="H474" s="1">
        <v>46268</v>
      </c>
      <c r="I474" s="2">
        <v>0.54166666666666663</v>
      </c>
      <c r="J474" s="2">
        <v>0.83333333333333337</v>
      </c>
      <c r="K474" s="11" t="s">
        <v>341</v>
      </c>
      <c r="L474" s="1"/>
      <c r="M474" s="1"/>
      <c r="N474" s="1"/>
      <c r="O474" s="11"/>
    </row>
    <row r="475" spans="1:15" hidden="1" x14ac:dyDescent="0.25">
      <c r="A475" s="1">
        <v>46263</v>
      </c>
      <c r="B475">
        <v>1000415206</v>
      </c>
      <c r="C475" s="11" t="s">
        <v>325</v>
      </c>
      <c r="D475" s="11" t="s">
        <v>128</v>
      </c>
      <c r="E475" s="11" t="s">
        <v>4045</v>
      </c>
      <c r="F475" s="11" t="s">
        <v>326</v>
      </c>
      <c r="G475" s="1">
        <v>46258</v>
      </c>
      <c r="H475" s="1">
        <v>46262</v>
      </c>
      <c r="I475" s="2"/>
      <c r="J475" s="2"/>
      <c r="K475" s="11" t="s">
        <v>339</v>
      </c>
      <c r="L475" s="1"/>
      <c r="M475" s="1"/>
      <c r="N475" s="1"/>
      <c r="O475" s="11"/>
    </row>
    <row r="476" spans="1:15" hidden="1" x14ac:dyDescent="0.25">
      <c r="A476" s="1">
        <v>46260</v>
      </c>
      <c r="B476">
        <v>1000098388</v>
      </c>
      <c r="C476" s="11" t="s">
        <v>4231</v>
      </c>
      <c r="D476" s="11" t="s">
        <v>28</v>
      </c>
      <c r="E476" s="11" t="s">
        <v>4046</v>
      </c>
      <c r="F476" s="11" t="s">
        <v>4050</v>
      </c>
      <c r="G476" s="1">
        <v>46258</v>
      </c>
      <c r="H476" s="1">
        <v>46260</v>
      </c>
      <c r="I476" s="2">
        <v>0.25</v>
      </c>
      <c r="J476" s="2">
        <v>0.54166666666666663</v>
      </c>
      <c r="K476" s="11" t="s">
        <v>327</v>
      </c>
      <c r="L476" s="1"/>
      <c r="M476" s="1"/>
      <c r="N476" s="1"/>
      <c r="O476" s="11"/>
    </row>
    <row r="477" spans="1:15" hidden="1" x14ac:dyDescent="0.25">
      <c r="A477" s="1">
        <v>46258</v>
      </c>
      <c r="B477">
        <v>1001446162</v>
      </c>
      <c r="C477" s="11" t="s">
        <v>3663</v>
      </c>
      <c r="D477" s="11" t="s">
        <v>4125</v>
      </c>
      <c r="E477" s="11" t="s">
        <v>4056</v>
      </c>
      <c r="F477" s="11" t="s">
        <v>4125</v>
      </c>
      <c r="G477" s="1">
        <v>46258</v>
      </c>
      <c r="H477" s="1">
        <v>46258</v>
      </c>
      <c r="I477" s="2">
        <v>0.29166666666666669</v>
      </c>
      <c r="J477" s="2">
        <v>0.625</v>
      </c>
      <c r="K477" s="11" t="s">
        <v>339</v>
      </c>
      <c r="L477" s="1"/>
      <c r="M477" s="1"/>
      <c r="N477" s="1"/>
      <c r="O477" s="11"/>
    </row>
    <row r="478" spans="1:15" hidden="1" x14ac:dyDescent="0.25">
      <c r="A478" s="1">
        <v>46259</v>
      </c>
      <c r="B478">
        <v>1152446353</v>
      </c>
      <c r="C478" s="11" t="s">
        <v>205</v>
      </c>
      <c r="D478" s="11" t="s">
        <v>51</v>
      </c>
      <c r="E478" s="11" t="s">
        <v>4047</v>
      </c>
      <c r="F478" s="11" t="s">
        <v>92</v>
      </c>
      <c r="G478" s="1">
        <v>46258</v>
      </c>
      <c r="H478" s="1">
        <v>46262</v>
      </c>
      <c r="I478" s="2">
        <v>0.54166666666666663</v>
      </c>
      <c r="J478" s="2">
        <v>0.875</v>
      </c>
      <c r="K478" s="11" t="s">
        <v>262</v>
      </c>
      <c r="L478" s="1"/>
      <c r="M478" s="1"/>
      <c r="N478" s="1"/>
      <c r="O478" s="11"/>
    </row>
    <row r="479" spans="1:15" hidden="1" x14ac:dyDescent="0.25">
      <c r="A479" s="1">
        <v>46258</v>
      </c>
      <c r="B479">
        <v>1037631989</v>
      </c>
      <c r="C479" s="11" t="s">
        <v>27</v>
      </c>
      <c r="D479" s="11" t="s">
        <v>28</v>
      </c>
      <c r="E479" s="11" t="s">
        <v>4046</v>
      </c>
      <c r="F479" s="11" t="s">
        <v>4074</v>
      </c>
      <c r="G479" s="1">
        <v>46258</v>
      </c>
      <c r="H479" s="1">
        <v>46285</v>
      </c>
      <c r="I479" s="2">
        <v>0.25</v>
      </c>
      <c r="J479" s="2">
        <v>0.54166666666666663</v>
      </c>
      <c r="K479" s="11" t="s">
        <v>4060</v>
      </c>
      <c r="L479" s="1"/>
      <c r="M479" s="1"/>
      <c r="N479" s="1"/>
      <c r="O479" s="11"/>
    </row>
    <row r="480" spans="1:15" hidden="1" x14ac:dyDescent="0.25">
      <c r="A480" s="1">
        <v>46258</v>
      </c>
      <c r="B480">
        <v>1080901556</v>
      </c>
      <c r="C480" s="11" t="s">
        <v>4223</v>
      </c>
      <c r="D480" s="11" t="s">
        <v>256</v>
      </c>
      <c r="E480" s="11" t="s">
        <v>4040</v>
      </c>
      <c r="F480" s="11" t="s">
        <v>16</v>
      </c>
      <c r="G480" s="1">
        <v>46258</v>
      </c>
      <c r="H480" s="1">
        <v>46259</v>
      </c>
      <c r="I480" s="2">
        <v>0.25</v>
      </c>
      <c r="J480" s="2">
        <v>0.54166666666666663</v>
      </c>
      <c r="K480" s="11" t="s">
        <v>168</v>
      </c>
      <c r="L480" s="1"/>
      <c r="M480" s="1"/>
      <c r="N480" s="1"/>
      <c r="O480" s="11"/>
    </row>
    <row r="481" spans="1:15" hidden="1" x14ac:dyDescent="0.25">
      <c r="A481" s="1">
        <v>46258</v>
      </c>
      <c r="B481">
        <v>1003045926</v>
      </c>
      <c r="C481" s="11" t="s">
        <v>2063</v>
      </c>
      <c r="D481" s="11" t="s">
        <v>124</v>
      </c>
      <c r="E481" s="11" t="s">
        <v>4045</v>
      </c>
      <c r="F481" s="11" t="s">
        <v>4074</v>
      </c>
      <c r="G481" s="1">
        <v>46258</v>
      </c>
      <c r="H481" s="1">
        <v>46262</v>
      </c>
      <c r="I481" s="2">
        <v>0.625</v>
      </c>
      <c r="J481" s="2">
        <v>0.875</v>
      </c>
      <c r="K481" s="11" t="s">
        <v>4060</v>
      </c>
      <c r="L481" s="1"/>
      <c r="M481" s="1"/>
      <c r="N481" s="1"/>
      <c r="O481" s="11"/>
    </row>
    <row r="482" spans="1:15" hidden="1" x14ac:dyDescent="0.25">
      <c r="A482" s="1">
        <v>46258</v>
      </c>
      <c r="B482">
        <v>1152471758</v>
      </c>
      <c r="C482" s="11" t="s">
        <v>3840</v>
      </c>
      <c r="D482" s="11" t="s">
        <v>245</v>
      </c>
      <c r="E482" s="11" t="s">
        <v>4040</v>
      </c>
      <c r="F482" s="11" t="s">
        <v>4074</v>
      </c>
      <c r="G482" s="1">
        <v>46258</v>
      </c>
      <c r="H482" s="1">
        <v>46259</v>
      </c>
      <c r="I482" s="2">
        <v>0.25</v>
      </c>
      <c r="J482" s="2">
        <v>0.5</v>
      </c>
      <c r="K482" s="11" t="s">
        <v>4060</v>
      </c>
      <c r="L482" s="1"/>
      <c r="M482" s="1"/>
      <c r="N482" s="1"/>
      <c r="O482" s="11"/>
    </row>
    <row r="483" spans="1:15" hidden="1" x14ac:dyDescent="0.25">
      <c r="A483" s="1">
        <v>46258</v>
      </c>
      <c r="B483">
        <v>1067859397</v>
      </c>
      <c r="C483" s="11" t="s">
        <v>1628</v>
      </c>
      <c r="D483" s="11" t="s">
        <v>421</v>
      </c>
      <c r="E483" s="11" t="s">
        <v>4047</v>
      </c>
      <c r="F483" s="11" t="s">
        <v>4074</v>
      </c>
      <c r="G483" s="1">
        <v>46258</v>
      </c>
      <c r="H483" s="1">
        <v>46258</v>
      </c>
      <c r="I483" s="2">
        <v>0.58333333333333337</v>
      </c>
      <c r="J483" s="2">
        <v>0.875</v>
      </c>
      <c r="K483" s="11" t="s">
        <v>4060</v>
      </c>
      <c r="L483" s="1"/>
      <c r="M483" s="1"/>
      <c r="N483" s="1"/>
      <c r="O483" s="11"/>
    </row>
    <row r="484" spans="1:15" hidden="1" x14ac:dyDescent="0.25">
      <c r="A484" s="1">
        <v>46258</v>
      </c>
      <c r="B484">
        <v>1001013936</v>
      </c>
      <c r="C484" s="11" t="s">
        <v>3856</v>
      </c>
      <c r="D484" s="11" t="s">
        <v>28</v>
      </c>
      <c r="E484" s="11" t="s">
        <v>4046</v>
      </c>
      <c r="F484" s="11" t="s">
        <v>16</v>
      </c>
      <c r="G484" s="1">
        <v>46258</v>
      </c>
      <c r="H484" s="1">
        <v>46258</v>
      </c>
      <c r="I484" s="2">
        <v>0.58333333333333337</v>
      </c>
      <c r="J484" s="2">
        <v>0.875</v>
      </c>
      <c r="K484" s="11" t="s">
        <v>327</v>
      </c>
      <c r="L484" s="1"/>
      <c r="M484" s="1"/>
      <c r="N484" s="1"/>
      <c r="O484" s="11"/>
    </row>
    <row r="485" spans="1:15" hidden="1" x14ac:dyDescent="0.25">
      <c r="A485" s="1">
        <v>46259</v>
      </c>
      <c r="B485">
        <v>1037653415</v>
      </c>
      <c r="C485" s="11" t="s">
        <v>2337</v>
      </c>
      <c r="D485" s="11" t="s">
        <v>102</v>
      </c>
      <c r="E485" s="11" t="s">
        <v>4046</v>
      </c>
      <c r="F485" s="11" t="s">
        <v>16</v>
      </c>
      <c r="G485" s="1">
        <v>46258</v>
      </c>
      <c r="H485" s="1">
        <v>46259</v>
      </c>
      <c r="I485" s="2">
        <v>0.25</v>
      </c>
      <c r="J485" s="2">
        <v>0.625</v>
      </c>
      <c r="K485" s="11" t="s">
        <v>327</v>
      </c>
      <c r="L485" s="1"/>
      <c r="M485" s="1"/>
      <c r="N485" s="1"/>
      <c r="O485" s="11"/>
    </row>
    <row r="486" spans="1:15" hidden="1" x14ac:dyDescent="0.25">
      <c r="A486" s="1">
        <v>46258</v>
      </c>
      <c r="B486">
        <v>1000944725</v>
      </c>
      <c r="C486" s="11" t="s">
        <v>3007</v>
      </c>
      <c r="D486" s="11" t="s">
        <v>78</v>
      </c>
      <c r="E486" s="11" t="s">
        <v>4046</v>
      </c>
      <c r="F486" s="11" t="s">
        <v>4074</v>
      </c>
      <c r="G486" s="1">
        <v>46258</v>
      </c>
      <c r="H486" s="1">
        <v>46267</v>
      </c>
      <c r="I486" s="2">
        <v>0.25</v>
      </c>
      <c r="J486" s="2">
        <v>0.54166666666666663</v>
      </c>
      <c r="K486" s="11" t="s">
        <v>4060</v>
      </c>
      <c r="L486" s="1"/>
      <c r="M486" s="1"/>
      <c r="N486" s="1"/>
      <c r="O486" s="11"/>
    </row>
    <row r="487" spans="1:15" hidden="1" x14ac:dyDescent="0.25">
      <c r="A487" s="1">
        <v>46258</v>
      </c>
      <c r="B487">
        <v>1007959114</v>
      </c>
      <c r="C487" s="11" t="s">
        <v>337</v>
      </c>
      <c r="D487" s="11" t="s">
        <v>39</v>
      </c>
      <c r="E487" s="11" t="s">
        <v>4046</v>
      </c>
      <c r="F487" s="11" t="s">
        <v>4074</v>
      </c>
      <c r="G487" s="1">
        <v>46258</v>
      </c>
      <c r="H487" s="1">
        <v>46260</v>
      </c>
      <c r="I487" s="2">
        <v>0.54166666666666663</v>
      </c>
      <c r="J487" s="2">
        <v>0.875</v>
      </c>
      <c r="K487" s="11" t="s">
        <v>4232</v>
      </c>
      <c r="L487" s="1"/>
      <c r="M487" s="1"/>
      <c r="N487" s="1"/>
      <c r="O487" s="11"/>
    </row>
    <row r="488" spans="1:15" hidden="1" x14ac:dyDescent="0.25">
      <c r="A488" s="1">
        <v>46259</v>
      </c>
      <c r="B488">
        <v>1001003778</v>
      </c>
      <c r="C488" s="11" t="s">
        <v>1959</v>
      </c>
      <c r="D488" s="11" t="s">
        <v>492</v>
      </c>
      <c r="E488" s="11" t="s">
        <v>4045</v>
      </c>
      <c r="F488" s="11" t="s">
        <v>16</v>
      </c>
      <c r="G488" s="1">
        <v>46258</v>
      </c>
      <c r="H488" s="1">
        <v>46259</v>
      </c>
      <c r="I488" s="2">
        <v>0.25</v>
      </c>
      <c r="J488" s="2">
        <v>0.54166666666666663</v>
      </c>
      <c r="K488" s="11" t="s">
        <v>214</v>
      </c>
      <c r="L488" s="1"/>
      <c r="M488" s="1"/>
      <c r="N488" s="1"/>
      <c r="O488" s="11"/>
    </row>
    <row r="489" spans="1:15" hidden="1" x14ac:dyDescent="0.25">
      <c r="A489" s="1">
        <v>46258</v>
      </c>
      <c r="B489">
        <v>1067959066</v>
      </c>
      <c r="C489" s="11" t="s">
        <v>3479</v>
      </c>
      <c r="D489" s="11" t="s">
        <v>344</v>
      </c>
      <c r="E489" s="11" t="s">
        <v>4056</v>
      </c>
      <c r="F489" s="11" t="s">
        <v>4074</v>
      </c>
      <c r="G489" s="1">
        <v>46258</v>
      </c>
      <c r="H489" s="1">
        <v>46259</v>
      </c>
      <c r="I489" s="2">
        <v>0.25</v>
      </c>
      <c r="J489" s="2">
        <v>0.54166666666666663</v>
      </c>
      <c r="K489" s="11" t="s">
        <v>4060</v>
      </c>
      <c r="L489" s="1"/>
      <c r="M489" s="1"/>
      <c r="N489" s="1"/>
      <c r="O489" s="11"/>
    </row>
    <row r="490" spans="1:15" hidden="1" x14ac:dyDescent="0.25">
      <c r="A490" s="1">
        <v>46258</v>
      </c>
      <c r="B490">
        <v>1143880690</v>
      </c>
      <c r="C490" s="11" t="s">
        <v>307</v>
      </c>
      <c r="D490" s="11" t="s">
        <v>4078</v>
      </c>
      <c r="E490" s="11"/>
      <c r="F490" s="11" t="s">
        <v>4074</v>
      </c>
      <c r="G490" s="1">
        <v>46258</v>
      </c>
      <c r="H490" s="1"/>
      <c r="I490" s="2">
        <v>0.25</v>
      </c>
      <c r="J490" s="2">
        <v>0.54166666666666663</v>
      </c>
      <c r="K490" s="11" t="s">
        <v>4247</v>
      </c>
      <c r="L490" s="1"/>
      <c r="M490" s="1"/>
      <c r="N490" s="1"/>
      <c r="O490" s="11"/>
    </row>
    <row r="491" spans="1:15" hidden="1" x14ac:dyDescent="0.25">
      <c r="A491" s="1">
        <v>46258</v>
      </c>
      <c r="B491">
        <v>1002059980</v>
      </c>
      <c r="C491" s="11" t="s">
        <v>1392</v>
      </c>
      <c r="D491" s="11" t="s">
        <v>132</v>
      </c>
      <c r="E491" s="11" t="s">
        <v>4040</v>
      </c>
      <c r="F491" s="11" t="s">
        <v>4074</v>
      </c>
      <c r="G491" s="1">
        <v>46258</v>
      </c>
      <c r="H491" s="1">
        <v>46259</v>
      </c>
      <c r="I491" s="2">
        <v>0.25</v>
      </c>
      <c r="J491" s="2">
        <v>0.58333333333333337</v>
      </c>
      <c r="K491" s="11" t="s">
        <v>4060</v>
      </c>
      <c r="L491" s="1"/>
      <c r="M491" s="1"/>
      <c r="N491" s="1"/>
      <c r="O491" s="11"/>
    </row>
    <row r="492" spans="1:15" hidden="1" x14ac:dyDescent="0.25">
      <c r="A492" s="1">
        <v>46258</v>
      </c>
      <c r="B492">
        <v>1235539927</v>
      </c>
      <c r="C492" s="11" t="s">
        <v>2591</v>
      </c>
      <c r="D492" s="11" t="s">
        <v>132</v>
      </c>
      <c r="E492" s="11" t="s">
        <v>4040</v>
      </c>
      <c r="F492" s="11" t="s">
        <v>4074</v>
      </c>
      <c r="G492" s="1">
        <v>46258</v>
      </c>
      <c r="H492" s="1">
        <v>46260</v>
      </c>
      <c r="I492" s="2">
        <v>0.25</v>
      </c>
      <c r="J492" s="2">
        <v>0.54166666666666663</v>
      </c>
      <c r="K492" s="11" t="s">
        <v>4060</v>
      </c>
      <c r="L492" s="1"/>
      <c r="M492" s="1"/>
      <c r="N492" s="1"/>
      <c r="O492" s="11"/>
    </row>
    <row r="493" spans="1:15" hidden="1" x14ac:dyDescent="0.25">
      <c r="A493" s="1">
        <v>46258</v>
      </c>
      <c r="B493">
        <v>1096223065</v>
      </c>
      <c r="C493" s="11" t="s">
        <v>3428</v>
      </c>
      <c r="D493" s="11" t="s">
        <v>55</v>
      </c>
      <c r="E493" s="11" t="s">
        <v>4047</v>
      </c>
      <c r="F493" s="11" t="s">
        <v>4074</v>
      </c>
      <c r="G493" s="1">
        <v>46258</v>
      </c>
      <c r="H493" s="1"/>
      <c r="I493" s="2">
        <v>0.58333333333333337</v>
      </c>
      <c r="J493" s="2">
        <v>0.875</v>
      </c>
      <c r="K493" s="11" t="s">
        <v>4060</v>
      </c>
      <c r="L493" s="1"/>
      <c r="M493" s="1"/>
      <c r="N493" s="1"/>
      <c r="O493" s="11"/>
    </row>
    <row r="494" spans="1:15" hidden="1" x14ac:dyDescent="0.25">
      <c r="A494" s="1">
        <v>46258</v>
      </c>
      <c r="B494">
        <v>1034296571</v>
      </c>
      <c r="C494" s="11" t="s">
        <v>4234</v>
      </c>
      <c r="D494" s="11" t="s">
        <v>128</v>
      </c>
      <c r="E494" s="11" t="s">
        <v>4045</v>
      </c>
      <c r="F494" s="11" t="s">
        <v>4074</v>
      </c>
      <c r="G494" s="1">
        <v>46258</v>
      </c>
      <c r="H494" s="1">
        <v>46260</v>
      </c>
      <c r="I494" s="2">
        <v>0.625</v>
      </c>
      <c r="J494" s="2">
        <v>0.875</v>
      </c>
      <c r="K494" s="11" t="s">
        <v>4060</v>
      </c>
      <c r="L494" s="1"/>
      <c r="M494" s="1"/>
      <c r="N494" s="1"/>
      <c r="O494" s="11"/>
    </row>
    <row r="495" spans="1:15" hidden="1" x14ac:dyDescent="0.25">
      <c r="A495" s="1">
        <v>46259</v>
      </c>
      <c r="B495">
        <v>1152709914</v>
      </c>
      <c r="C495" s="11" t="s">
        <v>3437</v>
      </c>
      <c r="D495" s="11" t="s">
        <v>139</v>
      </c>
      <c r="E495" s="11" t="s">
        <v>4040</v>
      </c>
      <c r="F495" s="11" t="s">
        <v>16</v>
      </c>
      <c r="G495" s="1">
        <v>46258</v>
      </c>
      <c r="H495" s="1">
        <v>46259</v>
      </c>
      <c r="I495" s="2">
        <v>0.58333333333333337</v>
      </c>
      <c r="J495" s="2">
        <v>0.875</v>
      </c>
      <c r="K495" s="11" t="s">
        <v>120</v>
      </c>
      <c r="L495" s="1"/>
      <c r="M495" s="1"/>
      <c r="N495" s="1"/>
      <c r="O495" s="11"/>
    </row>
    <row r="496" spans="1:15" hidden="1" x14ac:dyDescent="0.25">
      <c r="A496" s="1">
        <v>46258</v>
      </c>
      <c r="B496">
        <v>1099551759</v>
      </c>
      <c r="C496" s="11" t="s">
        <v>3053</v>
      </c>
      <c r="D496" s="11" t="s">
        <v>64</v>
      </c>
      <c r="E496" s="11" t="s">
        <v>4046</v>
      </c>
      <c r="F496" s="11" t="s">
        <v>4074</v>
      </c>
      <c r="G496" s="1">
        <v>46258</v>
      </c>
      <c r="H496" s="1">
        <v>46258</v>
      </c>
      <c r="I496" s="2">
        <v>0.54166666666666663</v>
      </c>
      <c r="J496" s="2">
        <v>0.875</v>
      </c>
      <c r="K496" s="11" t="s">
        <v>4060</v>
      </c>
      <c r="L496" s="1"/>
      <c r="M496" s="1"/>
      <c r="N496" s="1"/>
      <c r="O496" s="11"/>
    </row>
    <row r="497" spans="1:15" hidden="1" x14ac:dyDescent="0.25">
      <c r="A497" s="1">
        <v>46263</v>
      </c>
      <c r="B497">
        <v>1152434926</v>
      </c>
      <c r="C497" s="11" t="s">
        <v>217</v>
      </c>
      <c r="D497" s="11" t="s">
        <v>59</v>
      </c>
      <c r="E497" s="11" t="s">
        <v>4047</v>
      </c>
      <c r="F497" s="11" t="s">
        <v>16</v>
      </c>
      <c r="G497" s="1">
        <v>46258</v>
      </c>
      <c r="H497" s="1">
        <v>46263</v>
      </c>
      <c r="I497" s="2"/>
      <c r="J497" s="2"/>
      <c r="K497" s="11" t="s">
        <v>339</v>
      </c>
      <c r="L497" s="1"/>
      <c r="M497" s="1"/>
      <c r="N497" s="1"/>
      <c r="O497" s="11"/>
    </row>
    <row r="498" spans="1:15" hidden="1" x14ac:dyDescent="0.25">
      <c r="A498" s="1">
        <v>46258</v>
      </c>
      <c r="B498">
        <v>1152226738</v>
      </c>
      <c r="C498" s="11" t="s">
        <v>138</v>
      </c>
      <c r="D498" s="11" t="s">
        <v>139</v>
      </c>
      <c r="E498" s="11" t="s">
        <v>4040</v>
      </c>
      <c r="F498" s="11" t="s">
        <v>16</v>
      </c>
      <c r="G498" s="1">
        <v>46258</v>
      </c>
      <c r="H498" s="1">
        <v>46258</v>
      </c>
      <c r="I498" s="2">
        <v>0.25</v>
      </c>
      <c r="J498" s="2">
        <v>0.54166666666666663</v>
      </c>
      <c r="K498" s="11" t="s">
        <v>4060</v>
      </c>
      <c r="L498" s="1"/>
      <c r="M498" s="1"/>
      <c r="N498" s="1"/>
      <c r="O498" s="11"/>
    </row>
    <row r="499" spans="1:15" hidden="1" x14ac:dyDescent="0.25">
      <c r="A499" s="1">
        <v>46258</v>
      </c>
      <c r="B499">
        <v>1003305205</v>
      </c>
      <c r="C499" s="11" t="s">
        <v>1398</v>
      </c>
      <c r="D499" s="11" t="s">
        <v>162</v>
      </c>
      <c r="E499" s="11" t="s">
        <v>4056</v>
      </c>
      <c r="F499" s="11" t="s">
        <v>4074</v>
      </c>
      <c r="G499" s="1">
        <v>46258</v>
      </c>
      <c r="H499" s="1">
        <v>46260</v>
      </c>
      <c r="I499" s="2">
        <v>0.54166666666666663</v>
      </c>
      <c r="J499" s="2">
        <v>0.875</v>
      </c>
      <c r="K499" s="11" t="s">
        <v>4236</v>
      </c>
      <c r="L499" s="1"/>
      <c r="M499" s="1"/>
      <c r="N499" s="1"/>
      <c r="O499" s="11"/>
    </row>
    <row r="500" spans="1:15" hidden="1" x14ac:dyDescent="0.25">
      <c r="A500" s="1">
        <v>46258</v>
      </c>
      <c r="B500">
        <v>1067864151</v>
      </c>
      <c r="C500" s="11" t="s">
        <v>1809</v>
      </c>
      <c r="D500" s="11" t="s">
        <v>256</v>
      </c>
      <c r="E500" s="11" t="s">
        <v>4040</v>
      </c>
      <c r="F500" s="11" t="s">
        <v>4074</v>
      </c>
      <c r="G500" s="1">
        <v>46258</v>
      </c>
      <c r="H500" s="1">
        <v>46260</v>
      </c>
      <c r="I500" s="2">
        <v>0.54166666666666663</v>
      </c>
      <c r="J500" s="2">
        <v>0.875</v>
      </c>
      <c r="K500" s="11" t="s">
        <v>4060</v>
      </c>
      <c r="L500" s="1"/>
      <c r="M500" s="1"/>
      <c r="N500" s="1"/>
      <c r="O500" s="11"/>
    </row>
    <row r="501" spans="1:15" hidden="1" x14ac:dyDescent="0.25">
      <c r="A501" s="1">
        <v>46259</v>
      </c>
      <c r="B501">
        <v>1002059980</v>
      </c>
      <c r="C501" s="11" t="s">
        <v>1392</v>
      </c>
      <c r="D501" s="11" t="s">
        <v>132</v>
      </c>
      <c r="E501" s="11" t="s">
        <v>4040</v>
      </c>
      <c r="F501" s="11" t="s">
        <v>16</v>
      </c>
      <c r="G501" s="1">
        <v>46258</v>
      </c>
      <c r="H501" s="1">
        <v>46259</v>
      </c>
      <c r="I501" s="2">
        <v>0.58333333333333337</v>
      </c>
      <c r="J501" s="2">
        <v>0.875</v>
      </c>
      <c r="K501" s="11" t="s">
        <v>327</v>
      </c>
      <c r="L501" s="1"/>
      <c r="M501" s="1"/>
      <c r="N501" s="1"/>
      <c r="O501" s="11"/>
    </row>
    <row r="502" spans="1:15" hidden="1" x14ac:dyDescent="0.25">
      <c r="A502" s="1">
        <v>46260</v>
      </c>
      <c r="B502">
        <v>1007959114</v>
      </c>
      <c r="C502" s="11" t="s">
        <v>4154</v>
      </c>
      <c r="D502" s="11" t="s">
        <v>39</v>
      </c>
      <c r="E502" s="11" t="s">
        <v>4046</v>
      </c>
      <c r="F502" s="11" t="s">
        <v>16</v>
      </c>
      <c r="G502" s="1">
        <v>46258</v>
      </c>
      <c r="H502" s="1">
        <v>46260</v>
      </c>
      <c r="I502" s="2">
        <v>0.25</v>
      </c>
      <c r="J502" s="2">
        <v>0.58333333333333337</v>
      </c>
      <c r="K502" s="11" t="s">
        <v>327</v>
      </c>
      <c r="L502" s="1"/>
      <c r="M502" s="1"/>
      <c r="N502" s="1"/>
      <c r="O502" s="11"/>
    </row>
    <row r="503" spans="1:15" hidden="1" x14ac:dyDescent="0.25">
      <c r="A503" s="1">
        <v>46259</v>
      </c>
      <c r="B503">
        <v>1152471758</v>
      </c>
      <c r="C503" s="11" t="s">
        <v>3840</v>
      </c>
      <c r="D503" s="11" t="s">
        <v>245</v>
      </c>
      <c r="E503" s="11" t="s">
        <v>4040</v>
      </c>
      <c r="F503" s="11" t="s">
        <v>16</v>
      </c>
      <c r="G503" s="1">
        <v>46258</v>
      </c>
      <c r="H503" s="1">
        <v>46259</v>
      </c>
      <c r="I503" s="2">
        <v>0.54166666666666663</v>
      </c>
      <c r="J503" s="2">
        <v>0.875</v>
      </c>
      <c r="K503" s="11" t="s">
        <v>327</v>
      </c>
      <c r="L503" s="1"/>
      <c r="M503" s="1"/>
      <c r="N503" s="1"/>
      <c r="O503" s="11"/>
    </row>
    <row r="504" spans="1:15" hidden="1" x14ac:dyDescent="0.25">
      <c r="A504" s="1">
        <v>46259</v>
      </c>
      <c r="B504">
        <v>1067859397</v>
      </c>
      <c r="C504" s="11" t="s">
        <v>1628</v>
      </c>
      <c r="D504" s="11" t="s">
        <v>421</v>
      </c>
      <c r="E504" s="11" t="s">
        <v>4047</v>
      </c>
      <c r="F504" s="11" t="s">
        <v>16</v>
      </c>
      <c r="G504" s="1">
        <v>46258</v>
      </c>
      <c r="H504" s="1">
        <v>46258</v>
      </c>
      <c r="I504" s="2">
        <v>0.58333333333333337</v>
      </c>
      <c r="J504" s="2">
        <v>0.875</v>
      </c>
      <c r="K504" s="11" t="s">
        <v>327</v>
      </c>
      <c r="L504" s="1"/>
      <c r="M504" s="1"/>
      <c r="N504" s="1"/>
      <c r="O504" s="11"/>
    </row>
    <row r="505" spans="1:15" hidden="1" x14ac:dyDescent="0.25">
      <c r="A505" s="1">
        <v>46263</v>
      </c>
      <c r="B505">
        <v>1102808787</v>
      </c>
      <c r="C505" s="11" t="s">
        <v>135</v>
      </c>
      <c r="D505" s="11" t="s">
        <v>39</v>
      </c>
      <c r="E505" s="11" t="s">
        <v>4046</v>
      </c>
      <c r="F505" s="11" t="s">
        <v>16</v>
      </c>
      <c r="G505" s="1">
        <v>46245</v>
      </c>
      <c r="H505" s="1">
        <v>46276</v>
      </c>
      <c r="I505" s="2"/>
      <c r="J505" s="2"/>
      <c r="K505" s="11" t="s">
        <v>339</v>
      </c>
      <c r="L505" s="1"/>
      <c r="M505" s="1"/>
      <c r="N505" s="1"/>
      <c r="O505" s="11"/>
    </row>
    <row r="506" spans="1:15" hidden="1" x14ac:dyDescent="0.25">
      <c r="A506" s="1">
        <v>46260</v>
      </c>
      <c r="B506">
        <v>1235539927</v>
      </c>
      <c r="C506" s="11" t="s">
        <v>2591</v>
      </c>
      <c r="D506" s="11" t="s">
        <v>132</v>
      </c>
      <c r="E506" s="11" t="s">
        <v>4040</v>
      </c>
      <c r="F506" s="11" t="s">
        <v>16</v>
      </c>
      <c r="G506" s="1">
        <v>46258</v>
      </c>
      <c r="H506" s="1">
        <v>46260</v>
      </c>
      <c r="I506" s="2">
        <v>0.25</v>
      </c>
      <c r="J506" s="2">
        <v>0.54166666666666663</v>
      </c>
      <c r="K506" s="11" t="s">
        <v>327</v>
      </c>
      <c r="L506" s="1"/>
      <c r="M506" s="1"/>
      <c r="N506" s="1"/>
      <c r="O506" s="11"/>
    </row>
    <row r="507" spans="1:15" hidden="1" x14ac:dyDescent="0.25">
      <c r="A507" s="1">
        <v>46259</v>
      </c>
      <c r="B507">
        <v>1067959066</v>
      </c>
      <c r="C507" s="11" t="s">
        <v>3479</v>
      </c>
      <c r="D507" s="11" t="s">
        <v>344</v>
      </c>
      <c r="E507" s="11" t="s">
        <v>4056</v>
      </c>
      <c r="F507" s="11" t="s">
        <v>16</v>
      </c>
      <c r="G507" s="1">
        <v>46258</v>
      </c>
      <c r="H507" s="1">
        <v>46259</v>
      </c>
      <c r="I507" s="2">
        <v>0.25</v>
      </c>
      <c r="J507" s="2">
        <v>0.58333333333333337</v>
      </c>
      <c r="K507" s="11" t="s">
        <v>3663</v>
      </c>
      <c r="L507" s="1"/>
      <c r="M507" s="1"/>
      <c r="N507" s="1"/>
      <c r="O507" s="11"/>
    </row>
    <row r="508" spans="1:15" hidden="1" x14ac:dyDescent="0.25">
      <c r="A508" s="1">
        <v>46263</v>
      </c>
      <c r="B508">
        <v>1000944725</v>
      </c>
      <c r="C508" s="11" t="s">
        <v>3007</v>
      </c>
      <c r="D508" s="11" t="s">
        <v>28</v>
      </c>
      <c r="E508" s="11" t="s">
        <v>4046</v>
      </c>
      <c r="F508" s="11" t="s">
        <v>16</v>
      </c>
      <c r="G508" s="1">
        <v>46258</v>
      </c>
      <c r="H508" s="1">
        <v>46267</v>
      </c>
      <c r="I508" s="2"/>
      <c r="J508" s="2"/>
      <c r="K508" s="11" t="s">
        <v>339</v>
      </c>
      <c r="L508" s="1"/>
      <c r="M508" s="1"/>
      <c r="N508" s="1"/>
      <c r="O508" s="11"/>
    </row>
    <row r="509" spans="1:15" hidden="1" x14ac:dyDescent="0.25">
      <c r="A509" s="1">
        <v>46259</v>
      </c>
      <c r="B509">
        <v>1037631989</v>
      </c>
      <c r="C509" s="11" t="s">
        <v>27</v>
      </c>
      <c r="D509" s="11" t="s">
        <v>28</v>
      </c>
      <c r="E509" s="11" t="s">
        <v>4046</v>
      </c>
      <c r="F509" s="11" t="s">
        <v>16</v>
      </c>
      <c r="G509" s="1">
        <v>46258</v>
      </c>
      <c r="H509" s="1">
        <v>46285</v>
      </c>
      <c r="I509" s="2">
        <v>0.25</v>
      </c>
      <c r="J509" s="2">
        <v>0.54166666666666663</v>
      </c>
      <c r="K509" s="11" t="s">
        <v>4060</v>
      </c>
      <c r="L509" s="1"/>
      <c r="M509" s="1"/>
      <c r="N509" s="1"/>
      <c r="O509" s="11"/>
    </row>
    <row r="510" spans="1:15" hidden="1" x14ac:dyDescent="0.25">
      <c r="A510" s="1">
        <v>46260</v>
      </c>
      <c r="B510">
        <v>1034296571</v>
      </c>
      <c r="C510" s="11" t="s">
        <v>4229</v>
      </c>
      <c r="D510" s="11" t="s">
        <v>128</v>
      </c>
      <c r="E510" s="11" t="s">
        <v>4045</v>
      </c>
      <c r="F510" s="11" t="s">
        <v>16</v>
      </c>
      <c r="G510" s="1">
        <v>46258</v>
      </c>
      <c r="H510" s="1">
        <v>46260</v>
      </c>
      <c r="I510" s="2">
        <v>0.54166666666666663</v>
      </c>
      <c r="J510" s="2">
        <v>0.83333333333333337</v>
      </c>
      <c r="K510" s="11" t="s">
        <v>327</v>
      </c>
      <c r="L510" s="1"/>
      <c r="M510" s="1"/>
      <c r="N510" s="1"/>
      <c r="O510" s="11"/>
    </row>
    <row r="511" spans="1:15" hidden="1" x14ac:dyDescent="0.25">
      <c r="A511" s="1">
        <v>46263</v>
      </c>
      <c r="B511">
        <v>1096223065</v>
      </c>
      <c r="C511" s="11" t="s">
        <v>3428</v>
      </c>
      <c r="D511" s="11" t="s">
        <v>59</v>
      </c>
      <c r="E511" s="11" t="s">
        <v>4047</v>
      </c>
      <c r="F511" s="11" t="s">
        <v>16</v>
      </c>
      <c r="G511" s="1">
        <v>46256</v>
      </c>
      <c r="H511" s="1">
        <v>46263</v>
      </c>
      <c r="I511" s="2"/>
      <c r="J511" s="2"/>
      <c r="K511" s="11" t="s">
        <v>339</v>
      </c>
      <c r="L511" s="1"/>
      <c r="M511" s="1"/>
      <c r="N511" s="1"/>
      <c r="O511" s="11"/>
    </row>
    <row r="512" spans="1:15" hidden="1" x14ac:dyDescent="0.25">
      <c r="A512" s="1">
        <v>46259</v>
      </c>
      <c r="B512">
        <v>1003305205</v>
      </c>
      <c r="C512" s="11" t="s">
        <v>1398</v>
      </c>
      <c r="D512" s="11" t="s">
        <v>162</v>
      </c>
      <c r="E512" s="11" t="s">
        <v>4056</v>
      </c>
      <c r="F512" s="11" t="s">
        <v>16</v>
      </c>
      <c r="G512" s="1">
        <v>46258</v>
      </c>
      <c r="H512" s="1">
        <v>46260</v>
      </c>
      <c r="I512" s="2">
        <v>0.25</v>
      </c>
      <c r="J512" s="2">
        <v>0.54166666666666663</v>
      </c>
      <c r="K512" s="11" t="s">
        <v>4162</v>
      </c>
      <c r="L512" s="1"/>
      <c r="M512" s="1"/>
      <c r="N512" s="1"/>
      <c r="O512" s="11"/>
    </row>
    <row r="513" spans="1:15" hidden="1" x14ac:dyDescent="0.25">
      <c r="A513" s="1">
        <v>46260</v>
      </c>
      <c r="B513">
        <v>1067864151</v>
      </c>
      <c r="C513" s="11" t="s">
        <v>1809</v>
      </c>
      <c r="D513" s="11" t="s">
        <v>256</v>
      </c>
      <c r="E513" s="11" t="s">
        <v>4040</v>
      </c>
      <c r="F513" s="11" t="s">
        <v>16</v>
      </c>
      <c r="G513" s="1">
        <v>46258</v>
      </c>
      <c r="H513" s="1">
        <v>46260</v>
      </c>
      <c r="I513" s="2">
        <v>0.25</v>
      </c>
      <c r="J513" s="2">
        <v>0.54166666666666663</v>
      </c>
      <c r="K513" s="11" t="s">
        <v>327</v>
      </c>
      <c r="L513" s="1"/>
      <c r="M513" s="1"/>
      <c r="N513" s="1"/>
      <c r="O513" s="11"/>
    </row>
    <row r="514" spans="1:15" hidden="1" x14ac:dyDescent="0.25">
      <c r="A514" s="1">
        <v>46259</v>
      </c>
      <c r="B514">
        <v>1143388920</v>
      </c>
      <c r="C514" s="11" t="s">
        <v>304</v>
      </c>
      <c r="D514" s="11" t="s">
        <v>82</v>
      </c>
      <c r="E514" s="11" t="s">
        <v>4045</v>
      </c>
      <c r="F514" s="11" t="s">
        <v>4168</v>
      </c>
      <c r="G514" s="1">
        <v>46259</v>
      </c>
      <c r="H514" s="1">
        <v>46259</v>
      </c>
      <c r="I514" s="2">
        <v>0.33333333333333331</v>
      </c>
      <c r="J514" s="2">
        <v>0.66666666666666663</v>
      </c>
      <c r="K514" s="11" t="s">
        <v>304</v>
      </c>
      <c r="L514" s="1"/>
      <c r="M514" s="1"/>
      <c r="N514" s="1"/>
      <c r="O514" s="11"/>
    </row>
    <row r="515" spans="1:15" hidden="1" x14ac:dyDescent="0.25">
      <c r="A515" s="1">
        <v>46259</v>
      </c>
      <c r="B515">
        <v>1032488873</v>
      </c>
      <c r="C515" s="11" t="s">
        <v>3639</v>
      </c>
      <c r="D515" s="11" t="s">
        <v>55</v>
      </c>
      <c r="E515" s="11" t="s">
        <v>4047</v>
      </c>
      <c r="F515" s="11" t="s">
        <v>4074</v>
      </c>
      <c r="G515" s="1">
        <v>46258</v>
      </c>
      <c r="H515" s="1"/>
      <c r="I515" s="2">
        <v>0.25</v>
      </c>
      <c r="J515" s="2">
        <v>0.58333333333333337</v>
      </c>
      <c r="K515" s="11" t="s">
        <v>4060</v>
      </c>
      <c r="L515" s="1"/>
      <c r="M515" s="1"/>
      <c r="N515" s="1"/>
      <c r="O515" s="11"/>
    </row>
    <row r="516" spans="1:15" hidden="1" x14ac:dyDescent="0.25">
      <c r="A516" s="1">
        <v>46263</v>
      </c>
      <c r="B516">
        <v>1003045926</v>
      </c>
      <c r="C516" s="11" t="s">
        <v>2063</v>
      </c>
      <c r="D516" s="11" t="s">
        <v>124</v>
      </c>
      <c r="E516" s="11" t="s">
        <v>4045</v>
      </c>
      <c r="F516" s="11" t="s">
        <v>16</v>
      </c>
      <c r="G516" s="1">
        <v>46258</v>
      </c>
      <c r="H516" s="1">
        <v>46262</v>
      </c>
      <c r="I516" s="2"/>
      <c r="J516" s="2"/>
      <c r="K516" s="11" t="s">
        <v>339</v>
      </c>
      <c r="L516" s="1"/>
      <c r="M516" s="1"/>
      <c r="N516" s="1"/>
      <c r="O516" s="11"/>
    </row>
    <row r="517" spans="1:15" hidden="1" x14ac:dyDescent="0.25">
      <c r="A517" s="1">
        <v>46263</v>
      </c>
      <c r="B517">
        <v>1143375080</v>
      </c>
      <c r="C517" s="11" t="s">
        <v>157</v>
      </c>
      <c r="D517" s="11" t="s">
        <v>44</v>
      </c>
      <c r="E517" s="11" t="s">
        <v>4045</v>
      </c>
      <c r="F517" s="11" t="s">
        <v>16</v>
      </c>
      <c r="G517" s="1">
        <v>46258</v>
      </c>
      <c r="H517" s="1">
        <v>46287</v>
      </c>
      <c r="I517" s="2"/>
      <c r="J517" s="2"/>
      <c r="K517" s="11" t="s">
        <v>339</v>
      </c>
      <c r="L517" s="1"/>
      <c r="M517" s="1"/>
      <c r="N517" s="1"/>
      <c r="O517" s="11"/>
    </row>
    <row r="518" spans="1:15" hidden="1" x14ac:dyDescent="0.25">
      <c r="A518" s="1">
        <v>46259</v>
      </c>
      <c r="B518">
        <v>1143373273</v>
      </c>
      <c r="C518" s="11" t="s">
        <v>2037</v>
      </c>
      <c r="D518" s="11" t="s">
        <v>272</v>
      </c>
      <c r="E518" s="11" t="s">
        <v>4056</v>
      </c>
      <c r="F518" s="11" t="s">
        <v>4074</v>
      </c>
      <c r="G518" s="1">
        <v>46259</v>
      </c>
      <c r="H518" s="1">
        <v>46266</v>
      </c>
      <c r="I518" s="2">
        <v>0.58333333333333337</v>
      </c>
      <c r="J518" s="2">
        <v>0.875</v>
      </c>
      <c r="K518" s="11" t="s">
        <v>4176</v>
      </c>
      <c r="L518" s="1"/>
      <c r="M518" s="1"/>
      <c r="N518" s="1"/>
      <c r="O518" s="11"/>
    </row>
    <row r="519" spans="1:15" hidden="1" x14ac:dyDescent="0.25">
      <c r="A519" s="1">
        <v>46259</v>
      </c>
      <c r="B519">
        <v>1143880690</v>
      </c>
      <c r="C519" s="11" t="s">
        <v>4238</v>
      </c>
      <c r="D519" s="11" t="s">
        <v>4078</v>
      </c>
      <c r="E519" s="11" t="s">
        <v>4045</v>
      </c>
      <c r="F519" s="11" t="s">
        <v>4074</v>
      </c>
      <c r="G519" s="1">
        <v>46257</v>
      </c>
      <c r="H519" s="1"/>
      <c r="I519" s="2">
        <v>0.25</v>
      </c>
      <c r="J519" s="2">
        <v>0.54166666666666663</v>
      </c>
      <c r="K519" s="11" t="s">
        <v>307</v>
      </c>
      <c r="L519" s="1"/>
      <c r="M519" s="1"/>
      <c r="N519" s="1"/>
      <c r="O519" s="11"/>
    </row>
    <row r="520" spans="1:15" hidden="1" x14ac:dyDescent="0.25">
      <c r="A520" s="1">
        <v>46259</v>
      </c>
      <c r="B520">
        <v>50927877</v>
      </c>
      <c r="C520" s="11" t="s">
        <v>1709</v>
      </c>
      <c r="D520" s="11" t="s">
        <v>176</v>
      </c>
      <c r="E520" s="11" t="s">
        <v>4040</v>
      </c>
      <c r="F520" s="11" t="s">
        <v>4087</v>
      </c>
      <c r="G520" s="1">
        <v>46259</v>
      </c>
      <c r="H520" s="1">
        <v>46259</v>
      </c>
      <c r="I520" s="2">
        <v>0.375</v>
      </c>
      <c r="J520" s="2">
        <v>0.75</v>
      </c>
      <c r="K520" s="11" t="s">
        <v>327</v>
      </c>
      <c r="L520" s="1"/>
      <c r="M520" s="1"/>
      <c r="N520" s="1"/>
      <c r="O520" s="11"/>
    </row>
    <row r="521" spans="1:15" hidden="1" x14ac:dyDescent="0.25">
      <c r="A521" s="1">
        <v>46259</v>
      </c>
      <c r="B521">
        <v>1095832090</v>
      </c>
      <c r="C521" s="11" t="s">
        <v>1441</v>
      </c>
      <c r="D521" s="11" t="s">
        <v>55</v>
      </c>
      <c r="E521" s="11" t="s">
        <v>4047</v>
      </c>
      <c r="F521" s="11" t="s">
        <v>16</v>
      </c>
      <c r="G521" s="1">
        <v>46257</v>
      </c>
      <c r="H521" s="1">
        <v>46259</v>
      </c>
      <c r="I521" s="2"/>
      <c r="J521" s="2"/>
      <c r="K521" s="11" t="s">
        <v>341</v>
      </c>
      <c r="L521" s="1"/>
      <c r="M521" s="1"/>
      <c r="N521" s="1"/>
      <c r="O521" s="11"/>
    </row>
    <row r="522" spans="1:15" hidden="1" x14ac:dyDescent="0.25">
      <c r="A522" s="1">
        <v>46259</v>
      </c>
      <c r="B522">
        <v>1140902203</v>
      </c>
      <c r="C522" s="11" t="s">
        <v>648</v>
      </c>
      <c r="D522" s="11" t="s">
        <v>272</v>
      </c>
      <c r="E522" s="11" t="s">
        <v>4056</v>
      </c>
      <c r="F522" s="11" t="s">
        <v>4074</v>
      </c>
      <c r="G522" s="1"/>
      <c r="H522" s="1"/>
      <c r="I522" s="2">
        <v>0.58333333333333337</v>
      </c>
      <c r="J522" s="2">
        <v>0.875</v>
      </c>
      <c r="K522" s="11" t="s">
        <v>4310</v>
      </c>
      <c r="L522" s="1"/>
      <c r="M522" s="1"/>
      <c r="N522" s="1"/>
      <c r="O522" s="11"/>
    </row>
    <row r="523" spans="1:15" hidden="1" x14ac:dyDescent="0.25">
      <c r="A523" s="1">
        <v>46259</v>
      </c>
      <c r="B523">
        <v>1081916952</v>
      </c>
      <c r="C523" s="11" t="s">
        <v>2540</v>
      </c>
      <c r="D523" s="11" t="s">
        <v>124</v>
      </c>
      <c r="E523" s="11" t="s">
        <v>4045</v>
      </c>
      <c r="F523" s="11" t="s">
        <v>4074</v>
      </c>
      <c r="G523" s="1">
        <v>46259</v>
      </c>
      <c r="H523" s="1">
        <v>46259</v>
      </c>
      <c r="I523" s="2">
        <v>0.25</v>
      </c>
      <c r="J523" s="2">
        <v>0.54166666666666663</v>
      </c>
      <c r="K523" s="11" t="s">
        <v>4060</v>
      </c>
      <c r="L523" s="1"/>
      <c r="M523" s="1"/>
      <c r="N523" s="1"/>
      <c r="O523" s="11"/>
    </row>
    <row r="524" spans="1:15" hidden="1" x14ac:dyDescent="0.25">
      <c r="A524" s="1">
        <v>46259</v>
      </c>
      <c r="B524">
        <v>1152210115</v>
      </c>
      <c r="C524" s="11" t="s">
        <v>2821</v>
      </c>
      <c r="D524" s="11" t="s">
        <v>619</v>
      </c>
      <c r="E524" s="11" t="s">
        <v>4045</v>
      </c>
      <c r="F524" s="11" t="s">
        <v>16</v>
      </c>
      <c r="G524" s="1">
        <v>46259</v>
      </c>
      <c r="H524" s="1">
        <v>46259</v>
      </c>
      <c r="I524" s="2">
        <v>0.25</v>
      </c>
      <c r="J524" s="2">
        <v>0.58333333333333337</v>
      </c>
      <c r="K524" s="11" t="s">
        <v>327</v>
      </c>
      <c r="L524" s="1"/>
      <c r="M524" s="1"/>
      <c r="N524" s="1"/>
      <c r="O524" s="11"/>
    </row>
    <row r="525" spans="1:15" hidden="1" x14ac:dyDescent="0.25">
      <c r="A525" s="1">
        <v>46259</v>
      </c>
      <c r="B525">
        <v>1036624789</v>
      </c>
      <c r="C525" s="11" t="s">
        <v>223</v>
      </c>
      <c r="D525" s="11" t="s">
        <v>4078</v>
      </c>
      <c r="E525" s="11" t="s">
        <v>4046</v>
      </c>
      <c r="F525" s="11" t="s">
        <v>4074</v>
      </c>
      <c r="G525" s="1">
        <v>46259</v>
      </c>
      <c r="H525" s="1"/>
      <c r="I525" s="2">
        <v>0.25</v>
      </c>
      <c r="J525" s="2">
        <v>0.54166666666666663</v>
      </c>
      <c r="K525" s="11" t="s">
        <v>223</v>
      </c>
      <c r="L525" s="1"/>
      <c r="M525" s="1"/>
      <c r="N525" s="1"/>
      <c r="O525" s="11"/>
    </row>
    <row r="526" spans="1:15" hidden="1" x14ac:dyDescent="0.25">
      <c r="A526" s="1">
        <v>46259</v>
      </c>
      <c r="B526">
        <v>1143406315</v>
      </c>
      <c r="C526" s="11" t="s">
        <v>735</v>
      </c>
      <c r="D526" s="11" t="s">
        <v>272</v>
      </c>
      <c r="E526" s="11" t="s">
        <v>4056</v>
      </c>
      <c r="F526" s="11" t="s">
        <v>4074</v>
      </c>
      <c r="G526" s="1">
        <v>46259</v>
      </c>
      <c r="H526" s="1">
        <v>46260</v>
      </c>
      <c r="I526" s="2"/>
      <c r="J526" s="2"/>
      <c r="K526" s="11" t="s">
        <v>4060</v>
      </c>
      <c r="L526" s="1"/>
      <c r="M526" s="1"/>
      <c r="N526" s="1"/>
      <c r="O526" s="11"/>
    </row>
    <row r="527" spans="1:15" hidden="1" x14ac:dyDescent="0.25">
      <c r="A527" s="1">
        <v>46259</v>
      </c>
      <c r="B527">
        <v>1001996913</v>
      </c>
      <c r="C527" s="11" t="s">
        <v>3174</v>
      </c>
      <c r="D527" s="11" t="s">
        <v>28</v>
      </c>
      <c r="E527" s="11" t="s">
        <v>4046</v>
      </c>
      <c r="F527" s="11" t="s">
        <v>4074</v>
      </c>
      <c r="G527" s="1">
        <v>46259</v>
      </c>
      <c r="H527" s="1">
        <v>46259</v>
      </c>
      <c r="I527" s="2"/>
      <c r="J527" s="2"/>
      <c r="K527" s="11" t="s">
        <v>4060</v>
      </c>
      <c r="L527" s="1"/>
      <c r="M527" s="1"/>
      <c r="N527" s="1"/>
      <c r="O527" s="11"/>
    </row>
    <row r="528" spans="1:15" hidden="1" x14ac:dyDescent="0.25">
      <c r="A528" s="1">
        <v>46263</v>
      </c>
      <c r="B528">
        <v>1010135017</v>
      </c>
      <c r="C528" s="11" t="s">
        <v>1311</v>
      </c>
      <c r="D528" s="11" t="s">
        <v>256</v>
      </c>
      <c r="E528" s="11" t="s">
        <v>4040</v>
      </c>
      <c r="F528" s="11" t="s">
        <v>4074</v>
      </c>
      <c r="G528" s="1">
        <v>46259</v>
      </c>
      <c r="H528" s="1">
        <v>46261</v>
      </c>
      <c r="I528" s="2"/>
      <c r="J528" s="2"/>
      <c r="K528" s="11" t="s">
        <v>339</v>
      </c>
      <c r="L528" s="1"/>
      <c r="M528" s="1"/>
      <c r="N528" s="1"/>
      <c r="O528" s="11"/>
    </row>
    <row r="529" spans="1:15" hidden="1" x14ac:dyDescent="0.25">
      <c r="A529" s="1">
        <v>46259</v>
      </c>
      <c r="B529">
        <v>1017254059</v>
      </c>
      <c r="C529" s="11" t="s">
        <v>2878</v>
      </c>
      <c r="D529" s="11" t="s">
        <v>132</v>
      </c>
      <c r="E529" s="11" t="s">
        <v>4040</v>
      </c>
      <c r="F529" s="11" t="s">
        <v>4074</v>
      </c>
      <c r="G529" s="1">
        <v>46259</v>
      </c>
      <c r="H529" s="1">
        <v>46260</v>
      </c>
      <c r="I529" s="2"/>
      <c r="J529" s="2"/>
      <c r="K529" s="11" t="s">
        <v>4060</v>
      </c>
      <c r="L529" s="1"/>
      <c r="M529" s="1"/>
      <c r="N529" s="1"/>
      <c r="O529" s="11"/>
    </row>
    <row r="530" spans="1:15" hidden="1" x14ac:dyDescent="0.25">
      <c r="A530" s="1">
        <v>46259</v>
      </c>
      <c r="B530">
        <v>1000439437</v>
      </c>
      <c r="C530" s="11" t="s">
        <v>451</v>
      </c>
      <c r="D530" s="11" t="s">
        <v>139</v>
      </c>
      <c r="E530" s="11" t="s">
        <v>4040</v>
      </c>
      <c r="F530" s="11" t="s">
        <v>4074</v>
      </c>
      <c r="G530" s="1">
        <v>46259</v>
      </c>
      <c r="H530" s="1">
        <v>46260</v>
      </c>
      <c r="I530" s="2">
        <v>0.25</v>
      </c>
      <c r="J530" s="2">
        <v>0.54166666666666663</v>
      </c>
      <c r="K530" s="11" t="s">
        <v>4060</v>
      </c>
      <c r="L530" s="1"/>
      <c r="M530" s="1"/>
      <c r="N530" s="1"/>
      <c r="O530" s="11"/>
    </row>
    <row r="531" spans="1:15" hidden="1" x14ac:dyDescent="0.25">
      <c r="A531" s="1">
        <v>46263</v>
      </c>
      <c r="B531">
        <v>1038408808</v>
      </c>
      <c r="C531" s="11" t="s">
        <v>483</v>
      </c>
      <c r="D531" s="11" t="s">
        <v>132</v>
      </c>
      <c r="E531" s="11" t="s">
        <v>4040</v>
      </c>
      <c r="F531" s="11" t="s">
        <v>16</v>
      </c>
      <c r="G531" s="1">
        <v>46259</v>
      </c>
      <c r="H531" s="1">
        <v>46262</v>
      </c>
      <c r="I531" s="2"/>
      <c r="J531" s="2"/>
      <c r="K531" s="11" t="s">
        <v>339</v>
      </c>
      <c r="L531" s="1"/>
      <c r="M531" s="1"/>
      <c r="N531" s="1"/>
      <c r="O531" s="11"/>
    </row>
    <row r="532" spans="1:15" hidden="1" x14ac:dyDescent="0.25">
      <c r="A532" s="1">
        <v>46260</v>
      </c>
      <c r="B532">
        <v>1083048590</v>
      </c>
      <c r="C532" s="11" t="s">
        <v>2487</v>
      </c>
      <c r="D532" s="11" t="s">
        <v>28</v>
      </c>
      <c r="E532" s="11" t="s">
        <v>4046</v>
      </c>
      <c r="F532" s="11" t="s">
        <v>16</v>
      </c>
      <c r="G532" s="1">
        <v>46259</v>
      </c>
      <c r="H532" s="1">
        <v>46260</v>
      </c>
      <c r="I532" s="2">
        <v>0.25</v>
      </c>
      <c r="J532" s="2">
        <v>0.5</v>
      </c>
      <c r="K532" s="11" t="s">
        <v>151</v>
      </c>
      <c r="L532" s="1"/>
      <c r="M532" s="1"/>
      <c r="N532" s="1"/>
      <c r="O532" s="11"/>
    </row>
    <row r="533" spans="1:15" hidden="1" x14ac:dyDescent="0.25">
      <c r="A533" s="1">
        <v>46260</v>
      </c>
      <c r="B533">
        <v>1020476544</v>
      </c>
      <c r="C533" s="11" t="s">
        <v>473</v>
      </c>
      <c r="D533" s="11" t="s">
        <v>256</v>
      </c>
      <c r="E533" s="11" t="s">
        <v>4040</v>
      </c>
      <c r="F533" s="11" t="s">
        <v>4074</v>
      </c>
      <c r="G533" s="1">
        <v>46259</v>
      </c>
      <c r="H533" s="1">
        <v>46259</v>
      </c>
      <c r="I533" s="2">
        <v>0.58333333333333337</v>
      </c>
      <c r="J533" s="2">
        <v>0.875</v>
      </c>
      <c r="K533" s="11" t="s">
        <v>4060</v>
      </c>
      <c r="L533" s="1"/>
      <c r="M533" s="1"/>
      <c r="N533" s="1"/>
      <c r="O533" s="11"/>
    </row>
    <row r="534" spans="1:15" hidden="1" x14ac:dyDescent="0.25">
      <c r="A534" s="1">
        <v>46259</v>
      </c>
      <c r="B534">
        <v>1017238267</v>
      </c>
      <c r="C534" s="11" t="s">
        <v>2537</v>
      </c>
      <c r="D534" s="11" t="s">
        <v>55</v>
      </c>
      <c r="E534" s="11" t="s">
        <v>4047</v>
      </c>
      <c r="F534" s="11" t="s">
        <v>4074</v>
      </c>
      <c r="G534" s="1">
        <v>46259</v>
      </c>
      <c r="H534" s="1">
        <v>46261</v>
      </c>
      <c r="I534" s="2">
        <v>0.58333333333333337</v>
      </c>
      <c r="J534" s="2">
        <v>0.875</v>
      </c>
      <c r="K534" s="11" t="s">
        <v>4060</v>
      </c>
      <c r="L534" s="1"/>
      <c r="M534" s="1"/>
      <c r="N534" s="1"/>
      <c r="O534" s="11"/>
    </row>
    <row r="535" spans="1:15" hidden="1" x14ac:dyDescent="0.25">
      <c r="A535" s="1">
        <v>46259</v>
      </c>
      <c r="B535">
        <v>1017277147</v>
      </c>
      <c r="C535" s="11" t="s">
        <v>214</v>
      </c>
      <c r="D535" s="11" t="s">
        <v>4078</v>
      </c>
      <c r="E535" s="11" t="s">
        <v>4045</v>
      </c>
      <c r="F535" s="11" t="s">
        <v>4099</v>
      </c>
      <c r="G535" s="1">
        <v>46259</v>
      </c>
      <c r="H535" s="1">
        <v>46259</v>
      </c>
      <c r="I535" s="2">
        <v>0.54166666666666663</v>
      </c>
      <c r="J535" s="2">
        <v>0.58333333333333337</v>
      </c>
      <c r="K535" s="11" t="s">
        <v>339</v>
      </c>
      <c r="L535" s="1"/>
      <c r="M535" s="1"/>
      <c r="N535" s="1"/>
      <c r="O535" s="11"/>
    </row>
    <row r="536" spans="1:15" hidden="1" x14ac:dyDescent="0.25">
      <c r="A536" s="1">
        <v>46259</v>
      </c>
      <c r="B536">
        <v>1001140238</v>
      </c>
      <c r="C536" s="11" t="s">
        <v>74</v>
      </c>
      <c r="D536" s="11" t="s">
        <v>4078</v>
      </c>
      <c r="E536" s="11" t="s">
        <v>4045</v>
      </c>
      <c r="F536" s="11" t="s">
        <v>4099</v>
      </c>
      <c r="G536" s="1">
        <v>46259</v>
      </c>
      <c r="H536" s="1">
        <v>46259</v>
      </c>
      <c r="I536" s="2">
        <v>0.58333333333333337</v>
      </c>
      <c r="J536" s="2">
        <v>0.625</v>
      </c>
      <c r="K536" s="11" t="s">
        <v>339</v>
      </c>
      <c r="L536" s="1"/>
      <c r="M536" s="1"/>
      <c r="N536" s="1"/>
      <c r="O536" s="11"/>
    </row>
    <row r="537" spans="1:15" hidden="1" x14ac:dyDescent="0.25">
      <c r="A537" s="1">
        <v>46260</v>
      </c>
      <c r="B537">
        <v>1001996913</v>
      </c>
      <c r="C537" s="11" t="s">
        <v>3174</v>
      </c>
      <c r="D537" s="11" t="s">
        <v>28</v>
      </c>
      <c r="E537" s="11" t="s">
        <v>4046</v>
      </c>
      <c r="F537" s="11" t="s">
        <v>16</v>
      </c>
      <c r="G537" s="1">
        <v>46259</v>
      </c>
      <c r="H537" s="1">
        <v>46259</v>
      </c>
      <c r="I537" s="2">
        <v>0.25</v>
      </c>
      <c r="J537" s="2">
        <v>0.54166666666666663</v>
      </c>
      <c r="K537" s="11" t="s">
        <v>4060</v>
      </c>
      <c r="L537" s="1"/>
      <c r="M537" s="1"/>
      <c r="N537" s="1"/>
      <c r="O537" s="11"/>
    </row>
    <row r="538" spans="1:15" hidden="1" x14ac:dyDescent="0.25">
      <c r="A538" s="1">
        <v>46262</v>
      </c>
      <c r="B538">
        <v>1032488873</v>
      </c>
      <c r="C538" s="11" t="s">
        <v>4240</v>
      </c>
      <c r="D538" s="11" t="s">
        <v>55</v>
      </c>
      <c r="E538" s="11" t="s">
        <v>4047</v>
      </c>
      <c r="F538" s="11" t="s">
        <v>16</v>
      </c>
      <c r="G538" s="1">
        <v>46259</v>
      </c>
      <c r="H538" s="1">
        <v>46263</v>
      </c>
      <c r="I538" s="2">
        <v>0.58333333333333337</v>
      </c>
      <c r="J538" s="2">
        <v>0.875</v>
      </c>
      <c r="K538" s="11" t="s">
        <v>151</v>
      </c>
      <c r="L538" s="1"/>
      <c r="M538" s="1"/>
      <c r="N538" s="1"/>
      <c r="O538" s="11"/>
    </row>
    <row r="539" spans="1:15" hidden="1" x14ac:dyDescent="0.25">
      <c r="A539" s="1">
        <v>46260</v>
      </c>
      <c r="B539">
        <v>1143267842</v>
      </c>
      <c r="C539" s="11" t="s">
        <v>1501</v>
      </c>
      <c r="D539" s="11" t="s">
        <v>128</v>
      </c>
      <c r="E539" s="11" t="s">
        <v>4045</v>
      </c>
      <c r="F539" s="11" t="s">
        <v>4050</v>
      </c>
      <c r="G539" s="1">
        <v>46260</v>
      </c>
      <c r="H539" s="1">
        <v>46262</v>
      </c>
      <c r="I539" s="2">
        <v>0.58333333333333337</v>
      </c>
      <c r="J539" s="2">
        <v>0.875</v>
      </c>
      <c r="K539" s="11" t="s">
        <v>327</v>
      </c>
      <c r="L539" s="1"/>
      <c r="M539" s="1"/>
      <c r="N539" s="1"/>
      <c r="O539" s="11"/>
    </row>
    <row r="540" spans="1:15" hidden="1" x14ac:dyDescent="0.25">
      <c r="A540" s="1">
        <v>46261</v>
      </c>
      <c r="B540">
        <v>1143880690</v>
      </c>
      <c r="C540" s="11" t="s">
        <v>4238</v>
      </c>
      <c r="D540" s="11" t="s">
        <v>4078</v>
      </c>
      <c r="E540" s="11" t="s">
        <v>4045</v>
      </c>
      <c r="F540" s="11" t="s">
        <v>158</v>
      </c>
      <c r="G540" s="1">
        <v>46258</v>
      </c>
      <c r="H540" s="1"/>
      <c r="I540" s="2">
        <v>0.25</v>
      </c>
      <c r="J540" s="2">
        <v>0.54166666666666663</v>
      </c>
      <c r="K540" s="11" t="s">
        <v>307</v>
      </c>
      <c r="L540" s="1"/>
      <c r="M540" s="1"/>
      <c r="N540" s="1"/>
      <c r="O540" s="11"/>
    </row>
    <row r="541" spans="1:15" hidden="1" x14ac:dyDescent="0.25">
      <c r="A541" s="1">
        <v>46260</v>
      </c>
      <c r="B541">
        <v>1037644923</v>
      </c>
      <c r="C541" s="11" t="s">
        <v>4218</v>
      </c>
      <c r="D541" s="11" t="s">
        <v>492</v>
      </c>
      <c r="E541" s="11" t="s">
        <v>4045</v>
      </c>
      <c r="F541" s="11" t="s">
        <v>16</v>
      </c>
      <c r="G541" s="1">
        <v>46258</v>
      </c>
      <c r="H541" s="1">
        <v>46260</v>
      </c>
      <c r="I541" s="2">
        <v>0.54166666666666663</v>
      </c>
      <c r="J541" s="2">
        <v>0.875</v>
      </c>
      <c r="K541" s="11" t="s">
        <v>327</v>
      </c>
      <c r="L541" s="1"/>
      <c r="M541" s="1"/>
      <c r="N541" s="1"/>
      <c r="O541" s="11"/>
    </row>
    <row r="542" spans="1:15" hidden="1" x14ac:dyDescent="0.25">
      <c r="A542" s="1">
        <v>46263</v>
      </c>
      <c r="B542">
        <v>1152446353</v>
      </c>
      <c r="C542" s="11" t="s">
        <v>205</v>
      </c>
      <c r="D542" s="11" t="s">
        <v>51</v>
      </c>
      <c r="E542" s="11" t="s">
        <v>4047</v>
      </c>
      <c r="F542" s="11" t="s">
        <v>92</v>
      </c>
      <c r="G542" s="1">
        <v>46236</v>
      </c>
      <c r="H542" s="1">
        <v>46262</v>
      </c>
      <c r="I542" s="2"/>
      <c r="J542" s="2"/>
      <c r="K542" s="11" t="s">
        <v>339</v>
      </c>
      <c r="L542" s="1"/>
      <c r="M542" s="1"/>
      <c r="N542" s="1"/>
      <c r="O542" s="11"/>
    </row>
    <row r="543" spans="1:15" hidden="1" x14ac:dyDescent="0.25">
      <c r="A543" s="1">
        <v>46263</v>
      </c>
      <c r="B543">
        <v>1000294973</v>
      </c>
      <c r="C543" s="11" t="s">
        <v>1266</v>
      </c>
      <c r="D543" s="11" t="s">
        <v>15</v>
      </c>
      <c r="E543" s="11" t="s">
        <v>4046</v>
      </c>
      <c r="F543" s="11" t="s">
        <v>4123</v>
      </c>
      <c r="G543" s="1">
        <v>46260</v>
      </c>
      <c r="H543" s="1">
        <v>46262</v>
      </c>
      <c r="I543" s="2"/>
      <c r="J543" s="2"/>
      <c r="K543" s="11" t="s">
        <v>339</v>
      </c>
      <c r="L543" s="1"/>
      <c r="M543" s="1"/>
      <c r="N543" s="1"/>
      <c r="O543" s="11"/>
    </row>
    <row r="544" spans="1:15" hidden="1" x14ac:dyDescent="0.25">
      <c r="A544" s="1">
        <v>46263</v>
      </c>
      <c r="B544">
        <v>1037631989</v>
      </c>
      <c r="C544" s="11" t="s">
        <v>27</v>
      </c>
      <c r="D544" s="11" t="s">
        <v>28</v>
      </c>
      <c r="E544" s="11" t="s">
        <v>4046</v>
      </c>
      <c r="F544" s="11" t="s">
        <v>16</v>
      </c>
      <c r="G544" s="1">
        <v>46256</v>
      </c>
      <c r="H544" s="1">
        <v>46285</v>
      </c>
      <c r="I544" s="2"/>
      <c r="J544" s="2"/>
      <c r="K544" s="11" t="s">
        <v>339</v>
      </c>
      <c r="L544" s="1"/>
      <c r="M544" s="1"/>
      <c r="N544" s="1"/>
      <c r="O544" s="11"/>
    </row>
    <row r="545" spans="1:15" hidden="1" x14ac:dyDescent="0.25">
      <c r="A545" s="1">
        <v>46260</v>
      </c>
      <c r="B545">
        <v>1017254059</v>
      </c>
      <c r="C545" s="11" t="s">
        <v>2878</v>
      </c>
      <c r="D545" s="11" t="s">
        <v>132</v>
      </c>
      <c r="E545" s="11" t="s">
        <v>4040</v>
      </c>
      <c r="F545" s="11" t="s">
        <v>16</v>
      </c>
      <c r="G545" s="1">
        <v>46259</v>
      </c>
      <c r="H545" s="1">
        <v>46260</v>
      </c>
      <c r="I545" s="2">
        <v>0.58333333333333337</v>
      </c>
      <c r="J545" s="2">
        <v>0.875</v>
      </c>
      <c r="K545" s="11" t="s">
        <v>120</v>
      </c>
      <c r="L545" s="1"/>
      <c r="M545" s="1"/>
      <c r="N545" s="1"/>
      <c r="O545" s="11"/>
    </row>
    <row r="546" spans="1:15" hidden="1" x14ac:dyDescent="0.25">
      <c r="A546" s="1">
        <v>46261</v>
      </c>
      <c r="B546">
        <v>1010135017</v>
      </c>
      <c r="C546" s="11" t="s">
        <v>1311</v>
      </c>
      <c r="D546" s="11" t="s">
        <v>256</v>
      </c>
      <c r="E546" s="11" t="s">
        <v>4040</v>
      </c>
      <c r="F546" s="11" t="s">
        <v>16</v>
      </c>
      <c r="G546" s="1">
        <v>46259</v>
      </c>
      <c r="H546" s="1">
        <v>46261</v>
      </c>
      <c r="I546" s="2">
        <v>0.25</v>
      </c>
      <c r="J546" s="2">
        <v>4.1666666666666664E-2</v>
      </c>
      <c r="K546" s="11" t="s">
        <v>327</v>
      </c>
      <c r="L546" s="1"/>
      <c r="M546" s="1"/>
      <c r="N546" s="1"/>
      <c r="O546" s="11"/>
    </row>
    <row r="547" spans="1:15" hidden="1" x14ac:dyDescent="0.25">
      <c r="A547" s="1">
        <v>46263</v>
      </c>
      <c r="B547">
        <v>1143373273</v>
      </c>
      <c r="C547" s="11" t="s">
        <v>2037</v>
      </c>
      <c r="D547" s="11" t="s">
        <v>4338</v>
      </c>
      <c r="E547" s="11" t="s">
        <v>4056</v>
      </c>
      <c r="F547" s="11" t="s">
        <v>16</v>
      </c>
      <c r="G547" s="1">
        <v>46259</v>
      </c>
      <c r="H547" s="1">
        <v>46266</v>
      </c>
      <c r="I547" s="2"/>
      <c r="J547" s="2"/>
      <c r="K547" s="11" t="s">
        <v>339</v>
      </c>
      <c r="L547" s="1"/>
      <c r="M547" s="1"/>
      <c r="N547" s="1"/>
      <c r="O547" s="11"/>
    </row>
    <row r="548" spans="1:15" hidden="1" x14ac:dyDescent="0.25">
      <c r="A548" s="1">
        <v>46260</v>
      </c>
      <c r="B548">
        <v>1143406315</v>
      </c>
      <c r="C548" s="11" t="s">
        <v>735</v>
      </c>
      <c r="D548" s="11" t="s">
        <v>272</v>
      </c>
      <c r="E548" s="11" t="s">
        <v>4056</v>
      </c>
      <c r="F548" s="11" t="s">
        <v>16</v>
      </c>
      <c r="G548" s="1">
        <v>46259</v>
      </c>
      <c r="H548" s="1">
        <v>46260</v>
      </c>
      <c r="I548" s="2">
        <v>8.3333333333333329E-2</v>
      </c>
      <c r="J548" s="2">
        <v>0.875</v>
      </c>
      <c r="K548" s="11" t="s">
        <v>561</v>
      </c>
      <c r="L548" s="1"/>
      <c r="M548" s="1"/>
      <c r="N548" s="1"/>
      <c r="O548" s="11"/>
    </row>
    <row r="549" spans="1:15" hidden="1" x14ac:dyDescent="0.25">
      <c r="A549" s="1">
        <v>46260</v>
      </c>
      <c r="B549">
        <v>1000439437</v>
      </c>
      <c r="C549" s="11" t="s">
        <v>451</v>
      </c>
      <c r="D549" s="11" t="s">
        <v>139</v>
      </c>
      <c r="E549" s="11" t="s">
        <v>4040</v>
      </c>
      <c r="F549" s="11" t="s">
        <v>16</v>
      </c>
      <c r="G549" s="1">
        <v>46259</v>
      </c>
      <c r="H549" s="1">
        <v>46260</v>
      </c>
      <c r="I549" s="2">
        <v>0.25</v>
      </c>
      <c r="J549" s="2">
        <v>0.54166666666666663</v>
      </c>
      <c r="K549" s="11" t="s">
        <v>295</v>
      </c>
      <c r="L549" s="1"/>
      <c r="M549" s="1"/>
      <c r="N549" s="1"/>
      <c r="O549" s="11"/>
    </row>
    <row r="550" spans="1:15" hidden="1" x14ac:dyDescent="0.25">
      <c r="A550" s="1">
        <v>46260</v>
      </c>
      <c r="B550">
        <v>1001999023</v>
      </c>
      <c r="C550" s="11" t="s">
        <v>149</v>
      </c>
      <c r="D550" s="11" t="s">
        <v>492</v>
      </c>
      <c r="E550" s="11" t="s">
        <v>4045</v>
      </c>
      <c r="F550" s="11" t="s">
        <v>4050</v>
      </c>
      <c r="G550" s="1">
        <v>46260</v>
      </c>
      <c r="H550" s="1">
        <v>46262</v>
      </c>
      <c r="I550" s="2"/>
      <c r="J550" s="2"/>
      <c r="K550" s="11" t="s">
        <v>341</v>
      </c>
      <c r="L550" s="1"/>
      <c r="M550" s="1"/>
      <c r="N550" s="1"/>
      <c r="O550" s="11"/>
    </row>
    <row r="551" spans="1:15" hidden="1" x14ac:dyDescent="0.25">
      <c r="A551" s="1">
        <v>46261</v>
      </c>
      <c r="B551">
        <v>1017238267</v>
      </c>
      <c r="C551" s="11" t="s">
        <v>2537</v>
      </c>
      <c r="D551" s="11" t="s">
        <v>55</v>
      </c>
      <c r="E551" s="11" t="s">
        <v>4047</v>
      </c>
      <c r="F551" s="11" t="s">
        <v>16</v>
      </c>
      <c r="G551" s="1">
        <v>46259</v>
      </c>
      <c r="H551" s="1">
        <v>46261</v>
      </c>
      <c r="I551" s="2">
        <v>0.25</v>
      </c>
      <c r="J551" s="2">
        <v>0.58333333333333337</v>
      </c>
      <c r="K551" s="11" t="s">
        <v>200</v>
      </c>
      <c r="L551" s="1"/>
      <c r="M551" s="1"/>
      <c r="N551" s="1"/>
      <c r="O551" s="11"/>
    </row>
    <row r="552" spans="1:15" hidden="1" x14ac:dyDescent="0.25">
      <c r="A552" s="1">
        <v>46263</v>
      </c>
      <c r="B552">
        <v>1017264032</v>
      </c>
      <c r="C552" s="11" t="s">
        <v>88</v>
      </c>
      <c r="D552" s="11" t="s">
        <v>55</v>
      </c>
      <c r="E552" s="11" t="s">
        <v>4047</v>
      </c>
      <c r="F552" s="11" t="s">
        <v>16</v>
      </c>
      <c r="G552" s="1">
        <v>46259</v>
      </c>
      <c r="H552" s="1">
        <v>46265</v>
      </c>
      <c r="I552" s="2"/>
      <c r="J552" s="2"/>
      <c r="K552" s="11" t="s">
        <v>339</v>
      </c>
      <c r="L552" s="1"/>
      <c r="M552" s="1"/>
      <c r="N552" s="1"/>
      <c r="O552" s="11"/>
    </row>
    <row r="553" spans="1:15" hidden="1" x14ac:dyDescent="0.25">
      <c r="A553" s="1">
        <v>46263</v>
      </c>
      <c r="B553">
        <v>1037662189</v>
      </c>
      <c r="C553" s="11" t="s">
        <v>3657</v>
      </c>
      <c r="D553" s="11" t="s">
        <v>68</v>
      </c>
      <c r="E553" s="11" t="s">
        <v>4040</v>
      </c>
      <c r="F553" s="11" t="s">
        <v>4091</v>
      </c>
      <c r="G553" s="1">
        <v>46260</v>
      </c>
      <c r="H553" s="1">
        <v>46260</v>
      </c>
      <c r="I553" s="2"/>
      <c r="J553" s="2"/>
      <c r="K553" s="11" t="s">
        <v>339</v>
      </c>
      <c r="L553" s="1"/>
      <c r="M553" s="1"/>
      <c r="N553" s="1"/>
      <c r="O553" s="11"/>
    </row>
    <row r="554" spans="1:15" hidden="1" x14ac:dyDescent="0.25">
      <c r="A554" s="1">
        <v>46263</v>
      </c>
      <c r="B554">
        <v>1015483595</v>
      </c>
      <c r="C554" s="11" t="s">
        <v>221</v>
      </c>
      <c r="D554" s="11" t="s">
        <v>15</v>
      </c>
      <c r="E554" s="11" t="s">
        <v>4046</v>
      </c>
      <c r="F554" s="11" t="s">
        <v>4087</v>
      </c>
      <c r="G554" s="1">
        <v>46260</v>
      </c>
      <c r="H554" s="1">
        <v>46260</v>
      </c>
      <c r="I554" s="2"/>
      <c r="J554" s="2"/>
      <c r="K554" s="11" t="s">
        <v>339</v>
      </c>
      <c r="L554" s="1"/>
      <c r="M554" s="1"/>
      <c r="N554" s="1"/>
      <c r="O554" s="11"/>
    </row>
    <row r="555" spans="1:15" hidden="1" x14ac:dyDescent="0.25">
      <c r="A555" s="1">
        <v>46260</v>
      </c>
      <c r="B555">
        <v>1047475415</v>
      </c>
      <c r="C555" s="11" t="s">
        <v>582</v>
      </c>
      <c r="D555" s="11" t="s">
        <v>15</v>
      </c>
      <c r="E555" s="11" t="s">
        <v>4046</v>
      </c>
      <c r="F555" s="11" t="s">
        <v>16</v>
      </c>
      <c r="G555" s="1">
        <v>46260</v>
      </c>
      <c r="H555" s="1">
        <v>46260</v>
      </c>
      <c r="I555" s="2">
        <v>0.54166666666666663</v>
      </c>
      <c r="J555" s="2">
        <v>0.875</v>
      </c>
      <c r="K555" s="11" t="s">
        <v>327</v>
      </c>
      <c r="L555" s="1"/>
      <c r="M555" s="1"/>
      <c r="N555" s="1"/>
      <c r="O555" s="11"/>
    </row>
    <row r="556" spans="1:15" hidden="1" x14ac:dyDescent="0.25">
      <c r="A556" s="1">
        <v>46260</v>
      </c>
      <c r="B556">
        <v>1095832090</v>
      </c>
      <c r="C556" s="11" t="s">
        <v>4243</v>
      </c>
      <c r="D556" s="11" t="s">
        <v>55</v>
      </c>
      <c r="E556" s="11" t="s">
        <v>4047</v>
      </c>
      <c r="F556" s="11" t="s">
        <v>4074</v>
      </c>
      <c r="G556" s="1">
        <v>46260</v>
      </c>
      <c r="H556" s="1">
        <v>46274</v>
      </c>
      <c r="I556" s="2"/>
      <c r="J556" s="2"/>
      <c r="K556" s="11" t="s">
        <v>4083</v>
      </c>
      <c r="L556" s="1"/>
      <c r="M556" s="1"/>
      <c r="N556" s="1"/>
      <c r="O556" s="11"/>
    </row>
    <row r="557" spans="1:15" hidden="1" x14ac:dyDescent="0.25">
      <c r="A557" s="1">
        <v>46260</v>
      </c>
      <c r="B557">
        <v>1037660327</v>
      </c>
      <c r="C557" s="11" t="s">
        <v>486</v>
      </c>
      <c r="D557" s="11" t="s">
        <v>68</v>
      </c>
      <c r="E557" s="11" t="s">
        <v>4040</v>
      </c>
      <c r="F557" s="11" t="s">
        <v>4074</v>
      </c>
      <c r="G557" s="1">
        <v>46260</v>
      </c>
      <c r="H557" s="1">
        <v>46260</v>
      </c>
      <c r="I557" s="2">
        <v>0.25</v>
      </c>
      <c r="J557" s="2">
        <v>0.54166666666666663</v>
      </c>
      <c r="K557" s="11" t="s">
        <v>4060</v>
      </c>
      <c r="L557" s="1"/>
      <c r="M557" s="1"/>
      <c r="N557" s="1"/>
      <c r="O557" s="11"/>
    </row>
    <row r="558" spans="1:15" hidden="1" x14ac:dyDescent="0.25">
      <c r="A558" s="1">
        <v>46260</v>
      </c>
      <c r="B558">
        <v>1010149319</v>
      </c>
      <c r="C558" s="11" t="s">
        <v>3177</v>
      </c>
      <c r="D558" s="11" t="s">
        <v>59</v>
      </c>
      <c r="E558" s="11" t="s">
        <v>4047</v>
      </c>
      <c r="F558" s="11" t="s">
        <v>4074</v>
      </c>
      <c r="G558" s="1">
        <v>46260</v>
      </c>
      <c r="H558" s="1">
        <v>46260</v>
      </c>
      <c r="I558" s="2">
        <v>0.25</v>
      </c>
      <c r="J558" s="2">
        <v>0.58333333333333337</v>
      </c>
      <c r="K558" s="11" t="s">
        <v>4309</v>
      </c>
      <c r="L558" s="1"/>
      <c r="M558" s="1"/>
      <c r="N558" s="1"/>
      <c r="O558" s="11"/>
    </row>
    <row r="559" spans="1:15" hidden="1" x14ac:dyDescent="0.25">
      <c r="A559" s="1">
        <v>46263</v>
      </c>
      <c r="B559">
        <v>1103099277</v>
      </c>
      <c r="C559" s="11" t="s">
        <v>4336</v>
      </c>
      <c r="D559" s="11" t="s">
        <v>78</v>
      </c>
      <c r="E559" s="11" t="s">
        <v>4046</v>
      </c>
      <c r="F559" s="11" t="s">
        <v>4050</v>
      </c>
      <c r="G559" s="1">
        <v>46260</v>
      </c>
      <c r="H559" s="1">
        <v>46262</v>
      </c>
      <c r="I559" s="2"/>
      <c r="J559" s="2"/>
      <c r="K559" s="11" t="s">
        <v>339</v>
      </c>
      <c r="L559" s="1"/>
      <c r="M559" s="1"/>
      <c r="N559" s="1"/>
      <c r="O559" s="11"/>
    </row>
    <row r="560" spans="1:15" hidden="1" x14ac:dyDescent="0.25">
      <c r="A560" s="1">
        <v>46260</v>
      </c>
      <c r="B560">
        <v>1107046318</v>
      </c>
      <c r="C560" s="11" t="s">
        <v>268</v>
      </c>
      <c r="D560" s="11" t="s">
        <v>4078</v>
      </c>
      <c r="E560" s="11" t="s">
        <v>4056</v>
      </c>
      <c r="F560" s="11" t="s">
        <v>4087</v>
      </c>
      <c r="G560" s="1">
        <v>46260</v>
      </c>
      <c r="H560" s="1">
        <v>46260</v>
      </c>
      <c r="I560" s="2">
        <v>0.58333333333333337</v>
      </c>
      <c r="J560" s="2">
        <v>0.875</v>
      </c>
      <c r="K560" s="11" t="s">
        <v>339</v>
      </c>
      <c r="L560" s="1"/>
      <c r="M560" s="1"/>
      <c r="N560" s="1"/>
      <c r="O560" s="11"/>
    </row>
    <row r="561" spans="1:15" hidden="1" x14ac:dyDescent="0.25">
      <c r="A561" s="1">
        <v>46261</v>
      </c>
      <c r="B561">
        <v>1037660327</v>
      </c>
      <c r="C561" s="11" t="s">
        <v>4302</v>
      </c>
      <c r="D561" s="11" t="s">
        <v>68</v>
      </c>
      <c r="E561" s="11" t="s">
        <v>4040</v>
      </c>
      <c r="F561" s="11" t="s">
        <v>16</v>
      </c>
      <c r="G561" s="1">
        <v>46260</v>
      </c>
      <c r="H561" s="1">
        <v>46260</v>
      </c>
      <c r="I561" s="2">
        <v>0.58333333333333337</v>
      </c>
      <c r="J561" s="2">
        <v>0.83333333333333337</v>
      </c>
      <c r="K561" s="11" t="s">
        <v>327</v>
      </c>
      <c r="L561" s="1"/>
      <c r="M561" s="1"/>
      <c r="N561" s="1"/>
      <c r="O561" s="11"/>
    </row>
    <row r="562" spans="1:15" hidden="1" x14ac:dyDescent="0.25">
      <c r="A562" s="1">
        <v>46263</v>
      </c>
      <c r="B562">
        <v>1003930736</v>
      </c>
      <c r="C562" s="11" t="s">
        <v>4319</v>
      </c>
      <c r="D562" s="11" t="s">
        <v>51</v>
      </c>
      <c r="E562" s="11" t="s">
        <v>4047</v>
      </c>
      <c r="F562" s="11" t="s">
        <v>4074</v>
      </c>
      <c r="G562" s="1">
        <v>46261</v>
      </c>
      <c r="H562" s="1">
        <v>46262</v>
      </c>
      <c r="I562" s="2"/>
      <c r="J562" s="2"/>
      <c r="K562" s="11" t="s">
        <v>339</v>
      </c>
      <c r="L562" s="1"/>
      <c r="M562" s="1"/>
      <c r="N562" s="1"/>
      <c r="O562" s="11"/>
    </row>
    <row r="563" spans="1:15" hidden="1" x14ac:dyDescent="0.25">
      <c r="A563" s="1">
        <v>46263</v>
      </c>
      <c r="B563">
        <v>1007959114</v>
      </c>
      <c r="C563" s="11" t="s">
        <v>4154</v>
      </c>
      <c r="D563" s="11" t="s">
        <v>39</v>
      </c>
      <c r="E563" s="11" t="s">
        <v>4046</v>
      </c>
      <c r="F563" s="11" t="s">
        <v>4074</v>
      </c>
      <c r="G563" s="1">
        <v>46261</v>
      </c>
      <c r="H563" s="1">
        <v>46265</v>
      </c>
      <c r="I563" s="2"/>
      <c r="J563" s="2"/>
      <c r="K563" s="11" t="s">
        <v>339</v>
      </c>
      <c r="L563" s="1"/>
      <c r="M563" s="1"/>
      <c r="N563" s="1"/>
      <c r="O563" s="11"/>
    </row>
    <row r="564" spans="1:15" hidden="1" x14ac:dyDescent="0.25">
      <c r="A564" s="1">
        <v>46261</v>
      </c>
      <c r="B564">
        <v>1192904075</v>
      </c>
      <c r="C564" s="11" t="s">
        <v>3776</v>
      </c>
      <c r="D564" s="11" t="s">
        <v>256</v>
      </c>
      <c r="E564" s="11" t="s">
        <v>4040</v>
      </c>
      <c r="F564" s="11" t="s">
        <v>4311</v>
      </c>
      <c r="G564" s="1">
        <v>46261</v>
      </c>
      <c r="H564" s="1">
        <v>46261</v>
      </c>
      <c r="I564" s="2">
        <v>0.25</v>
      </c>
      <c r="J564" s="2">
        <v>0.54166666666666663</v>
      </c>
      <c r="K564" s="11" t="s">
        <v>168</v>
      </c>
      <c r="L564" s="1"/>
      <c r="M564" s="1"/>
      <c r="N564" s="1"/>
      <c r="O564" s="11"/>
    </row>
    <row r="565" spans="1:15" hidden="1" x14ac:dyDescent="0.25">
      <c r="A565" s="1">
        <v>46263</v>
      </c>
      <c r="B565">
        <v>1067864151</v>
      </c>
      <c r="C565" s="11" t="s">
        <v>1809</v>
      </c>
      <c r="D565" s="11" t="s">
        <v>256</v>
      </c>
      <c r="E565" s="11" t="s">
        <v>4040</v>
      </c>
      <c r="F565" s="11" t="s">
        <v>16</v>
      </c>
      <c r="G565" s="1">
        <v>46261</v>
      </c>
      <c r="H565" s="1">
        <v>46268</v>
      </c>
      <c r="I565" s="2"/>
      <c r="J565" s="2"/>
      <c r="K565" s="11" t="s">
        <v>339</v>
      </c>
      <c r="L565" s="1"/>
      <c r="M565" s="1"/>
      <c r="N565" s="1"/>
      <c r="O565" s="11"/>
    </row>
    <row r="566" spans="1:15" hidden="1" x14ac:dyDescent="0.25">
      <c r="A566" s="1">
        <v>46263</v>
      </c>
      <c r="B566">
        <v>1002208089</v>
      </c>
      <c r="C566" s="11" t="s">
        <v>3350</v>
      </c>
      <c r="D566" s="11" t="s">
        <v>162</v>
      </c>
      <c r="E566" s="11" t="s">
        <v>4056</v>
      </c>
      <c r="F566" s="11" t="s">
        <v>16</v>
      </c>
      <c r="G566" s="1">
        <v>46261</v>
      </c>
      <c r="H566" s="1">
        <v>46262</v>
      </c>
      <c r="I566" s="2"/>
      <c r="J566" s="2"/>
      <c r="K566" s="11" t="s">
        <v>339</v>
      </c>
      <c r="L566" s="1"/>
      <c r="M566" s="1"/>
      <c r="N566" s="1"/>
      <c r="O566" s="11"/>
    </row>
    <row r="567" spans="1:15" hidden="1" x14ac:dyDescent="0.25">
      <c r="A567" s="1">
        <v>46261</v>
      </c>
      <c r="B567">
        <v>1067959066</v>
      </c>
      <c r="C567" s="11" t="s">
        <v>3479</v>
      </c>
      <c r="D567" s="11" t="s">
        <v>344</v>
      </c>
      <c r="E567" s="11" t="s">
        <v>4056</v>
      </c>
      <c r="F567" s="11" t="s">
        <v>4050</v>
      </c>
      <c r="G567" s="1">
        <v>46260</v>
      </c>
      <c r="H567" s="1"/>
      <c r="I567" s="2">
        <v>0.58333333333333337</v>
      </c>
      <c r="J567" s="2">
        <v>0.875</v>
      </c>
      <c r="K567" s="11" t="s">
        <v>327</v>
      </c>
      <c r="L567" s="1"/>
      <c r="M567" s="1"/>
      <c r="N567" s="1"/>
      <c r="O567" s="11"/>
    </row>
    <row r="568" spans="1:15" hidden="1" x14ac:dyDescent="0.25">
      <c r="A568" s="1">
        <v>46261</v>
      </c>
      <c r="B568">
        <v>50927877</v>
      </c>
      <c r="C568" s="11" t="s">
        <v>1709</v>
      </c>
      <c r="D568" s="11" t="s">
        <v>176</v>
      </c>
      <c r="E568" s="11" t="s">
        <v>4040</v>
      </c>
      <c r="F568" s="11" t="s">
        <v>4087</v>
      </c>
      <c r="G568" s="1">
        <v>46261</v>
      </c>
      <c r="H568" s="1">
        <v>46261</v>
      </c>
      <c r="I568" s="2">
        <v>0.25</v>
      </c>
      <c r="J568" s="2">
        <v>0.54166666666666663</v>
      </c>
      <c r="K568" s="11" t="s">
        <v>46</v>
      </c>
      <c r="L568" s="1"/>
      <c r="M568" s="1"/>
      <c r="N568" s="1"/>
      <c r="O568" s="11"/>
    </row>
    <row r="569" spans="1:15" hidden="1" x14ac:dyDescent="0.25">
      <c r="A569" s="1">
        <v>46263</v>
      </c>
      <c r="B569">
        <v>1000416307</v>
      </c>
      <c r="C569" s="11" t="s">
        <v>3062</v>
      </c>
      <c r="D569" s="11" t="s">
        <v>256</v>
      </c>
      <c r="E569" s="11" t="s">
        <v>4040</v>
      </c>
      <c r="F569" s="11" t="s">
        <v>4050</v>
      </c>
      <c r="G569" s="1">
        <v>46261</v>
      </c>
      <c r="H569" s="1">
        <v>46263</v>
      </c>
      <c r="I569" s="2"/>
      <c r="J569" s="2"/>
      <c r="K569" s="11" t="s">
        <v>339</v>
      </c>
      <c r="L569" s="1"/>
      <c r="M569" s="1"/>
      <c r="N569" s="1"/>
      <c r="O569" s="11"/>
    </row>
    <row r="570" spans="1:15" hidden="1" x14ac:dyDescent="0.25">
      <c r="A570" s="1">
        <v>46263</v>
      </c>
      <c r="B570">
        <v>1017232013</v>
      </c>
      <c r="C570" s="11" t="s">
        <v>4317</v>
      </c>
      <c r="D570" s="11" t="s">
        <v>28</v>
      </c>
      <c r="E570" s="11" t="s">
        <v>4046</v>
      </c>
      <c r="F570" s="11" t="s">
        <v>16</v>
      </c>
      <c r="G570" s="1">
        <v>46260</v>
      </c>
      <c r="H570" s="1">
        <v>46262</v>
      </c>
      <c r="I570" s="2"/>
      <c r="J570" s="2"/>
      <c r="K570" s="11" t="s">
        <v>339</v>
      </c>
      <c r="L570" s="1"/>
      <c r="M570" s="1"/>
      <c r="N570" s="1"/>
      <c r="O570" s="11"/>
    </row>
    <row r="571" spans="1:15" hidden="1" x14ac:dyDescent="0.25">
      <c r="A571" s="1">
        <v>46262</v>
      </c>
      <c r="B571">
        <v>1152187746</v>
      </c>
      <c r="C571" s="11" t="s">
        <v>4007</v>
      </c>
      <c r="D571" s="11" t="s">
        <v>619</v>
      </c>
      <c r="E571" s="11" t="s">
        <v>4045</v>
      </c>
      <c r="F571" s="11" t="s">
        <v>4091</v>
      </c>
      <c r="G571" s="1">
        <v>46261</v>
      </c>
      <c r="H571" s="1">
        <v>46263</v>
      </c>
      <c r="I571" s="2">
        <v>0.58333333333333337</v>
      </c>
      <c r="J571" s="2">
        <v>0.875</v>
      </c>
      <c r="K571" s="11" t="s">
        <v>200</v>
      </c>
      <c r="L571" s="1"/>
      <c r="M571" s="1"/>
      <c r="N571" s="1"/>
      <c r="O571" s="11"/>
    </row>
    <row r="572" spans="1:15" hidden="1" x14ac:dyDescent="0.25">
      <c r="A572" s="1">
        <v>46261</v>
      </c>
      <c r="B572">
        <v>1083048455</v>
      </c>
      <c r="C572" s="11" t="s">
        <v>2787</v>
      </c>
      <c r="D572" s="11" t="s">
        <v>256</v>
      </c>
      <c r="E572" s="11" t="s">
        <v>4040</v>
      </c>
      <c r="F572" s="11" t="s">
        <v>4074</v>
      </c>
      <c r="G572" s="1">
        <v>46261</v>
      </c>
      <c r="H572" s="1">
        <v>46262</v>
      </c>
      <c r="I572" s="2">
        <v>0.25</v>
      </c>
      <c r="J572" s="2">
        <v>0.54166666666666663</v>
      </c>
      <c r="K572" s="11" t="s">
        <v>4060</v>
      </c>
      <c r="L572" s="1"/>
      <c r="M572" s="1"/>
      <c r="N572" s="1"/>
      <c r="O572" s="11"/>
    </row>
    <row r="573" spans="1:15" hidden="1" x14ac:dyDescent="0.25">
      <c r="A573" s="1">
        <v>46261</v>
      </c>
      <c r="B573">
        <v>1107046318</v>
      </c>
      <c r="C573" s="11" t="s">
        <v>268</v>
      </c>
      <c r="D573" s="11" t="s">
        <v>4078</v>
      </c>
      <c r="E573" s="11" t="s">
        <v>4056</v>
      </c>
      <c r="F573" s="11" t="s">
        <v>4087</v>
      </c>
      <c r="G573" s="1">
        <v>46261</v>
      </c>
      <c r="H573" s="1">
        <v>46261</v>
      </c>
      <c r="I573" s="2">
        <v>0.25</v>
      </c>
      <c r="J573" s="2">
        <v>0.54166666666666663</v>
      </c>
      <c r="K573" s="11" t="s">
        <v>268</v>
      </c>
      <c r="L573" s="1"/>
      <c r="M573" s="1"/>
      <c r="N573" s="1"/>
      <c r="O573" s="11"/>
    </row>
    <row r="574" spans="1:15" hidden="1" x14ac:dyDescent="0.25">
      <c r="A574" s="1">
        <v>46261</v>
      </c>
      <c r="B574">
        <v>42161723</v>
      </c>
      <c r="C574" s="11" t="s">
        <v>2232</v>
      </c>
      <c r="D574" s="11" t="s">
        <v>256</v>
      </c>
      <c r="E574" s="11" t="s">
        <v>4040</v>
      </c>
      <c r="F574" s="11" t="s">
        <v>4074</v>
      </c>
      <c r="G574" s="1">
        <v>46261</v>
      </c>
      <c r="H574" s="1">
        <v>46262</v>
      </c>
      <c r="I574" s="2">
        <v>0.25</v>
      </c>
      <c r="J574" s="2">
        <v>0.54166666666666663</v>
      </c>
      <c r="K574" s="11" t="s">
        <v>4060</v>
      </c>
      <c r="L574" s="1"/>
      <c r="M574" s="1"/>
      <c r="N574" s="1"/>
      <c r="O574" s="11"/>
    </row>
    <row r="575" spans="1:15" hidden="1" x14ac:dyDescent="0.25">
      <c r="A575" s="1">
        <v>46262</v>
      </c>
      <c r="B575">
        <v>1152456771</v>
      </c>
      <c r="C575" s="11" t="s">
        <v>2914</v>
      </c>
      <c r="D575" s="11" t="s">
        <v>51</v>
      </c>
      <c r="E575" s="11" t="s">
        <v>4047</v>
      </c>
      <c r="F575" s="11" t="s">
        <v>4074</v>
      </c>
      <c r="G575" s="1">
        <v>46261</v>
      </c>
      <c r="H575" s="1"/>
      <c r="I575" s="2">
        <v>0.25</v>
      </c>
      <c r="J575" s="2">
        <v>0.58333333333333337</v>
      </c>
      <c r="K575" s="11" t="s">
        <v>4060</v>
      </c>
      <c r="L575" s="1"/>
      <c r="M575" s="1"/>
      <c r="N575" s="1"/>
      <c r="O575" s="11"/>
    </row>
    <row r="576" spans="1:15" hidden="1" x14ac:dyDescent="0.25">
      <c r="A576" s="1">
        <v>46262</v>
      </c>
      <c r="B576">
        <v>1017271052</v>
      </c>
      <c r="C576" s="11" t="s">
        <v>489</v>
      </c>
      <c r="D576" s="11" t="s">
        <v>55</v>
      </c>
      <c r="E576" s="11" t="s">
        <v>4047</v>
      </c>
      <c r="F576" s="11" t="s">
        <v>4074</v>
      </c>
      <c r="G576" s="1">
        <v>46261</v>
      </c>
      <c r="H576" s="1">
        <v>46262</v>
      </c>
      <c r="I576" s="2">
        <v>0.25</v>
      </c>
      <c r="J576" s="2">
        <v>0.54166666666666663</v>
      </c>
      <c r="K576" s="11" t="s">
        <v>4060</v>
      </c>
      <c r="L576" s="1"/>
      <c r="M576" s="1"/>
      <c r="N576" s="1"/>
      <c r="O576" s="11"/>
    </row>
    <row r="577" spans="1:15" hidden="1" x14ac:dyDescent="0.25">
      <c r="A577" s="1">
        <v>46263</v>
      </c>
      <c r="B577">
        <v>1095832090</v>
      </c>
      <c r="C577" s="11" t="s">
        <v>4243</v>
      </c>
      <c r="D577" s="11" t="s">
        <v>55</v>
      </c>
      <c r="E577" s="11" t="s">
        <v>4047</v>
      </c>
      <c r="F577" s="11" t="s">
        <v>16</v>
      </c>
      <c r="G577" s="1">
        <v>46260</v>
      </c>
      <c r="H577" s="1">
        <v>46274</v>
      </c>
      <c r="I577" s="2"/>
      <c r="J577" s="2"/>
      <c r="K577" s="11" t="s">
        <v>339</v>
      </c>
      <c r="L577" s="1"/>
      <c r="M577" s="1"/>
      <c r="N577" s="1"/>
      <c r="O577" s="11"/>
    </row>
    <row r="578" spans="1:15" hidden="1" x14ac:dyDescent="0.25">
      <c r="A578" s="1">
        <v>46263</v>
      </c>
      <c r="B578">
        <v>1143168832</v>
      </c>
      <c r="C578" s="11" t="s">
        <v>1965</v>
      </c>
      <c r="D578" s="11" t="s">
        <v>128</v>
      </c>
      <c r="E578" s="11" t="s">
        <v>4045</v>
      </c>
      <c r="F578" s="11" t="s">
        <v>4074</v>
      </c>
      <c r="G578" s="1">
        <v>46261</v>
      </c>
      <c r="H578" s="1">
        <v>46262</v>
      </c>
      <c r="I578" s="2"/>
      <c r="J578" s="2"/>
      <c r="K578" s="11" t="s">
        <v>339</v>
      </c>
      <c r="L578" s="1"/>
      <c r="M578" s="1"/>
      <c r="N578" s="1"/>
      <c r="O578" s="11"/>
    </row>
    <row r="579" spans="1:15" hidden="1" x14ac:dyDescent="0.25">
      <c r="A579" s="1">
        <v>46263</v>
      </c>
      <c r="B579">
        <v>1128272024</v>
      </c>
      <c r="C579" s="11" t="s">
        <v>1101</v>
      </c>
      <c r="D579" s="11" t="s">
        <v>51</v>
      </c>
      <c r="E579" s="11" t="s">
        <v>4047</v>
      </c>
      <c r="F579" s="11" t="s">
        <v>4074</v>
      </c>
      <c r="G579" s="1">
        <v>46261</v>
      </c>
      <c r="H579" s="1">
        <v>46262</v>
      </c>
      <c r="I579" s="2"/>
      <c r="J579" s="2"/>
      <c r="K579" s="11" t="s">
        <v>339</v>
      </c>
      <c r="L579" s="1"/>
      <c r="M579" s="1"/>
      <c r="N579" s="1"/>
      <c r="O579" s="11"/>
    </row>
    <row r="580" spans="1:15" hidden="1" x14ac:dyDescent="0.25">
      <c r="A580" s="1">
        <v>46263</v>
      </c>
      <c r="B580">
        <v>1020475954</v>
      </c>
      <c r="C580" s="11" t="s">
        <v>3934</v>
      </c>
      <c r="D580" s="11" t="s">
        <v>68</v>
      </c>
      <c r="E580" s="11" t="s">
        <v>4040</v>
      </c>
      <c r="F580" s="11" t="s">
        <v>16</v>
      </c>
      <c r="G580" s="1">
        <v>46261</v>
      </c>
      <c r="H580" s="1">
        <v>46262</v>
      </c>
      <c r="I580" s="2"/>
      <c r="J580" s="2"/>
      <c r="K580" s="11" t="s">
        <v>339</v>
      </c>
      <c r="L580" s="1"/>
      <c r="M580" s="1"/>
      <c r="N580" s="1"/>
      <c r="O580" s="11"/>
    </row>
    <row r="581" spans="1:15" hidden="1" x14ac:dyDescent="0.25">
      <c r="A581" s="1">
        <v>46263</v>
      </c>
      <c r="B581">
        <v>1037608343</v>
      </c>
      <c r="C581" s="11" t="s">
        <v>4337</v>
      </c>
      <c r="D581" s="11" t="s">
        <v>39</v>
      </c>
      <c r="E581" s="11" t="s">
        <v>4046</v>
      </c>
      <c r="F581" s="11" t="s">
        <v>92</v>
      </c>
      <c r="G581" s="1">
        <v>46261</v>
      </c>
      <c r="H581" s="1">
        <v>46265</v>
      </c>
      <c r="I581" s="2"/>
      <c r="J581" s="2"/>
      <c r="K581" s="11" t="s">
        <v>339</v>
      </c>
      <c r="L581" s="1"/>
      <c r="M581" s="1"/>
      <c r="N581" s="1"/>
      <c r="O581" s="11"/>
    </row>
    <row r="582" spans="1:15" hidden="1" x14ac:dyDescent="0.25">
      <c r="A582" s="1">
        <v>46261</v>
      </c>
      <c r="B582">
        <v>1127339766</v>
      </c>
      <c r="C582" s="11" t="s">
        <v>3262</v>
      </c>
      <c r="D582" s="11" t="s">
        <v>39</v>
      </c>
      <c r="E582" s="11" t="s">
        <v>4046</v>
      </c>
      <c r="F582" s="11" t="s">
        <v>16</v>
      </c>
      <c r="G582" s="1">
        <v>46261</v>
      </c>
      <c r="H582" s="1">
        <v>46261</v>
      </c>
      <c r="I582" s="2"/>
      <c r="J582" s="2"/>
      <c r="K582" s="11" t="s">
        <v>327</v>
      </c>
      <c r="L582" s="1"/>
      <c r="M582" s="1"/>
      <c r="N582" s="1"/>
      <c r="O582" s="11"/>
    </row>
    <row r="583" spans="1:15" hidden="1" x14ac:dyDescent="0.25">
      <c r="A583" s="1">
        <v>46262</v>
      </c>
      <c r="B583">
        <v>1002248662</v>
      </c>
      <c r="C583" s="11" t="s">
        <v>4322</v>
      </c>
      <c r="D583" s="11" t="s">
        <v>55</v>
      </c>
      <c r="E583" s="11" t="s">
        <v>4047</v>
      </c>
      <c r="F583" s="11" t="s">
        <v>4050</v>
      </c>
      <c r="G583" s="1">
        <v>46261</v>
      </c>
      <c r="H583" s="1">
        <v>46263</v>
      </c>
      <c r="I583" s="2">
        <v>0.58333333333333337</v>
      </c>
      <c r="J583" s="2">
        <v>0.875</v>
      </c>
      <c r="K583" s="11" t="s">
        <v>327</v>
      </c>
      <c r="L583" s="1"/>
      <c r="M583" s="1"/>
      <c r="N583" s="1"/>
      <c r="O583" s="11"/>
    </row>
    <row r="584" spans="1:15" hidden="1" x14ac:dyDescent="0.25">
      <c r="A584" s="1">
        <v>46261</v>
      </c>
      <c r="B584">
        <v>1193454765</v>
      </c>
      <c r="C584" s="11" t="s">
        <v>1428</v>
      </c>
      <c r="D584" s="11" t="s">
        <v>4078</v>
      </c>
      <c r="E584" s="11" t="s">
        <v>4040</v>
      </c>
      <c r="F584" s="11" t="s">
        <v>4099</v>
      </c>
      <c r="G584" s="1">
        <v>46261</v>
      </c>
      <c r="H584" s="1">
        <v>46261</v>
      </c>
      <c r="I584" s="2">
        <v>0.54166666666666663</v>
      </c>
      <c r="J584" s="2">
        <v>0.58333333333333337</v>
      </c>
      <c r="K584" s="11" t="s">
        <v>339</v>
      </c>
      <c r="L584" s="1"/>
      <c r="M584" s="1"/>
      <c r="N584" s="1"/>
      <c r="O584" s="11"/>
    </row>
    <row r="585" spans="1:15" hidden="1" x14ac:dyDescent="0.25">
      <c r="A585" s="1">
        <v>46262</v>
      </c>
      <c r="B585">
        <v>1128272024</v>
      </c>
      <c r="C585" s="11" t="s">
        <v>1101</v>
      </c>
      <c r="D585" s="11" t="s">
        <v>124</v>
      </c>
      <c r="E585" s="11" t="s">
        <v>4045</v>
      </c>
      <c r="F585" s="11" t="s">
        <v>16</v>
      </c>
      <c r="G585" s="1">
        <v>46261</v>
      </c>
      <c r="H585" s="1">
        <v>46262</v>
      </c>
      <c r="I585" s="2">
        <v>0.54166666666666663</v>
      </c>
      <c r="J585" s="2">
        <v>0.875</v>
      </c>
      <c r="K585" s="11" t="s">
        <v>327</v>
      </c>
      <c r="L585" s="1"/>
      <c r="M585" s="1"/>
      <c r="N585" s="1"/>
      <c r="O585" s="11"/>
    </row>
    <row r="586" spans="1:15" hidden="1" x14ac:dyDescent="0.25">
      <c r="A586" s="1">
        <v>46263</v>
      </c>
      <c r="B586">
        <v>42161723</v>
      </c>
      <c r="C586" s="11" t="s">
        <v>4315</v>
      </c>
      <c r="D586" s="11" t="s">
        <v>256</v>
      </c>
      <c r="E586" s="11" t="s">
        <v>4040</v>
      </c>
      <c r="F586" s="11" t="s">
        <v>16</v>
      </c>
      <c r="G586" s="1">
        <v>46261</v>
      </c>
      <c r="H586" s="1">
        <v>46262</v>
      </c>
      <c r="I586" s="2"/>
      <c r="J586" s="2"/>
      <c r="K586" s="11" t="s">
        <v>339</v>
      </c>
      <c r="L586" s="1"/>
      <c r="M586" s="1"/>
      <c r="N586" s="1"/>
      <c r="O586" s="11"/>
    </row>
    <row r="587" spans="1:15" hidden="1" x14ac:dyDescent="0.25">
      <c r="A587" s="1">
        <v>46262</v>
      </c>
      <c r="B587">
        <v>1143168832</v>
      </c>
      <c r="C587" s="11" t="s">
        <v>1965</v>
      </c>
      <c r="D587" s="11" t="s">
        <v>82</v>
      </c>
      <c r="E587" s="11" t="s">
        <v>4045</v>
      </c>
      <c r="F587" s="11" t="s">
        <v>16</v>
      </c>
      <c r="G587" s="1">
        <v>46261</v>
      </c>
      <c r="H587" s="1">
        <v>46262</v>
      </c>
      <c r="I587" s="2">
        <v>0.25</v>
      </c>
      <c r="J587" s="2">
        <v>0.54166666666666663</v>
      </c>
      <c r="K587" s="11" t="s">
        <v>327</v>
      </c>
      <c r="L587" s="1"/>
      <c r="M587" s="1"/>
      <c r="N587" s="1"/>
      <c r="O587" s="11"/>
    </row>
    <row r="588" spans="1:15" hidden="1" x14ac:dyDescent="0.25">
      <c r="A588" s="1">
        <v>46262</v>
      </c>
      <c r="B588">
        <v>1067959066</v>
      </c>
      <c r="C588" s="11" t="s">
        <v>3479</v>
      </c>
      <c r="D588" s="11" t="s">
        <v>344</v>
      </c>
      <c r="E588" s="11" t="s">
        <v>4056</v>
      </c>
      <c r="F588" s="11" t="s">
        <v>4050</v>
      </c>
      <c r="G588" s="1">
        <v>46261</v>
      </c>
      <c r="H588" s="1">
        <v>46295</v>
      </c>
      <c r="I588" s="2">
        <v>0.58333333333333337</v>
      </c>
      <c r="J588" s="2">
        <v>0.875</v>
      </c>
      <c r="K588" s="11" t="s">
        <v>286</v>
      </c>
      <c r="L588" s="1"/>
      <c r="M588" s="1"/>
      <c r="N588" s="1"/>
      <c r="O588" s="11"/>
    </row>
    <row r="589" spans="1:15" hidden="1" x14ac:dyDescent="0.25">
      <c r="A589" s="1">
        <v>46262</v>
      </c>
      <c r="B589">
        <v>1007959114</v>
      </c>
      <c r="C589" s="11" t="s">
        <v>4154</v>
      </c>
      <c r="D589" s="11" t="s">
        <v>39</v>
      </c>
      <c r="E589" s="11" t="s">
        <v>4046</v>
      </c>
      <c r="F589" s="11" t="s">
        <v>16</v>
      </c>
      <c r="G589" s="1">
        <v>46261</v>
      </c>
      <c r="H589" s="1">
        <v>46265</v>
      </c>
      <c r="I589" s="2">
        <v>0.25</v>
      </c>
      <c r="J589" s="2">
        <v>0.54166666666666663</v>
      </c>
      <c r="K589" s="11" t="s">
        <v>327</v>
      </c>
      <c r="L589" s="1"/>
      <c r="M589" s="1"/>
      <c r="N589" s="1"/>
      <c r="O589" s="11"/>
    </row>
    <row r="590" spans="1:15" hidden="1" x14ac:dyDescent="0.25">
      <c r="A590" s="1">
        <v>46262</v>
      </c>
      <c r="B590">
        <v>1003930736</v>
      </c>
      <c r="C590" s="11" t="s">
        <v>4319</v>
      </c>
      <c r="D590" s="11" t="s">
        <v>51</v>
      </c>
      <c r="E590" s="11" t="s">
        <v>4047</v>
      </c>
      <c r="F590" s="11" t="s">
        <v>16</v>
      </c>
      <c r="G590" s="1">
        <v>46261</v>
      </c>
      <c r="H590" s="1">
        <v>46262</v>
      </c>
      <c r="I590" s="2">
        <v>0.25</v>
      </c>
      <c r="J590" s="2">
        <v>0.58333333333333337</v>
      </c>
      <c r="K590" s="11" t="s">
        <v>327</v>
      </c>
      <c r="L590" s="1"/>
      <c r="M590" s="1"/>
      <c r="N590" s="1"/>
      <c r="O590" s="11"/>
    </row>
    <row r="591" spans="1:15" hidden="1" x14ac:dyDescent="0.25">
      <c r="A591" s="1">
        <v>46262</v>
      </c>
      <c r="B591">
        <v>1083048455</v>
      </c>
      <c r="C591" s="11" t="s">
        <v>2787</v>
      </c>
      <c r="D591" s="11" t="s">
        <v>256</v>
      </c>
      <c r="E591" s="11" t="s">
        <v>4040</v>
      </c>
      <c r="F591" s="11" t="s">
        <v>16</v>
      </c>
      <c r="G591" s="1">
        <v>46261</v>
      </c>
      <c r="H591" s="1">
        <v>46262</v>
      </c>
      <c r="I591" s="2">
        <v>0.25</v>
      </c>
      <c r="J591" s="2">
        <v>0.58333333333333337</v>
      </c>
      <c r="K591" s="11" t="s">
        <v>327</v>
      </c>
      <c r="L591" s="1"/>
      <c r="M591" s="1"/>
      <c r="N591" s="1"/>
      <c r="O591" s="11"/>
    </row>
    <row r="592" spans="1:15" hidden="1" x14ac:dyDescent="0.25">
      <c r="A592" s="1">
        <v>46262</v>
      </c>
      <c r="B592">
        <v>39192742</v>
      </c>
      <c r="C592" s="11" t="s">
        <v>2632</v>
      </c>
      <c r="D592" s="11" t="s">
        <v>272</v>
      </c>
      <c r="E592" s="11" t="s">
        <v>4056</v>
      </c>
      <c r="F592" s="11" t="s">
        <v>4074</v>
      </c>
      <c r="G592" s="1">
        <v>46262</v>
      </c>
      <c r="H592" s="1"/>
      <c r="I592" s="2">
        <v>0.25</v>
      </c>
      <c r="J592" s="2">
        <v>0.54166666666666663</v>
      </c>
      <c r="K592" s="11" t="s">
        <v>4324</v>
      </c>
      <c r="L592" s="1"/>
      <c r="M592" s="1"/>
      <c r="N592" s="1"/>
      <c r="O592" s="11"/>
    </row>
    <row r="593" spans="1:15" hidden="1" x14ac:dyDescent="0.25">
      <c r="A593" s="1">
        <v>46263</v>
      </c>
      <c r="B593">
        <v>1016090631</v>
      </c>
      <c r="C593" s="11" t="s">
        <v>2866</v>
      </c>
      <c r="D593" s="11" t="s">
        <v>55</v>
      </c>
      <c r="E593" s="11" t="s">
        <v>4047</v>
      </c>
      <c r="F593" s="11" t="s">
        <v>16</v>
      </c>
      <c r="G593" s="1">
        <v>46261</v>
      </c>
      <c r="H593" s="1">
        <v>46263</v>
      </c>
      <c r="I593" s="2"/>
      <c r="J593" s="2"/>
      <c r="K593" s="11" t="s">
        <v>339</v>
      </c>
      <c r="L593" s="1"/>
      <c r="M593" s="1"/>
      <c r="N593" s="1"/>
      <c r="O593" s="11"/>
    </row>
    <row r="594" spans="1:15" hidden="1" x14ac:dyDescent="0.25">
      <c r="A594" s="1">
        <v>46263</v>
      </c>
      <c r="B594">
        <v>1193537573</v>
      </c>
      <c r="C594" s="11" t="s">
        <v>431</v>
      </c>
      <c r="D594" s="11" t="s">
        <v>245</v>
      </c>
      <c r="E594" s="11" t="s">
        <v>4040</v>
      </c>
      <c r="F594" s="11" t="s">
        <v>4074</v>
      </c>
      <c r="G594" s="1">
        <v>46261</v>
      </c>
      <c r="H594" s="1">
        <v>46261</v>
      </c>
      <c r="I594" s="2"/>
      <c r="J594" s="2"/>
      <c r="K594" s="11" t="s">
        <v>339</v>
      </c>
      <c r="L594" s="1"/>
      <c r="M594" s="1"/>
      <c r="N594" s="1"/>
      <c r="O594" s="11"/>
    </row>
    <row r="595" spans="1:15" hidden="1" x14ac:dyDescent="0.25">
      <c r="A595" s="1">
        <v>46263</v>
      </c>
      <c r="B595">
        <v>1077458502</v>
      </c>
      <c r="C595" s="11" t="s">
        <v>4332</v>
      </c>
      <c r="D595" s="11" t="s">
        <v>128</v>
      </c>
      <c r="E595" s="11" t="s">
        <v>4045</v>
      </c>
      <c r="F595" s="11" t="s">
        <v>4050</v>
      </c>
      <c r="G595" s="1">
        <v>46261</v>
      </c>
      <c r="H595" s="1">
        <v>46263</v>
      </c>
      <c r="I595" s="2"/>
      <c r="J595" s="2"/>
      <c r="K595" s="11" t="s">
        <v>339</v>
      </c>
      <c r="L595" s="1"/>
      <c r="M595" s="1"/>
      <c r="N595" s="1"/>
      <c r="O595" s="11"/>
    </row>
    <row r="596" spans="1:15" hidden="1" x14ac:dyDescent="0.25">
      <c r="A596" s="1">
        <v>46263</v>
      </c>
      <c r="B596">
        <v>1005582317</v>
      </c>
      <c r="C596" s="11" t="s">
        <v>4331</v>
      </c>
      <c r="D596" s="11" t="s">
        <v>28</v>
      </c>
      <c r="E596" s="11" t="s">
        <v>4046</v>
      </c>
      <c r="F596" s="11" t="s">
        <v>16</v>
      </c>
      <c r="G596" s="1">
        <v>46262</v>
      </c>
      <c r="H596" s="1">
        <v>46263</v>
      </c>
      <c r="I596" s="2"/>
      <c r="J596" s="2"/>
      <c r="K596" s="11" t="s">
        <v>339</v>
      </c>
      <c r="L596" s="1"/>
      <c r="M596" s="1"/>
      <c r="N596" s="1"/>
      <c r="O596" s="11"/>
    </row>
    <row r="597" spans="1:15" hidden="1" x14ac:dyDescent="0.25">
      <c r="A597" s="1">
        <v>46262</v>
      </c>
      <c r="B597">
        <v>1100694689</v>
      </c>
      <c r="C597" s="11" t="s">
        <v>262</v>
      </c>
      <c r="D597" s="11" t="s">
        <v>4078</v>
      </c>
      <c r="E597" s="11" t="s">
        <v>4047</v>
      </c>
      <c r="F597" s="11" t="s">
        <v>4087</v>
      </c>
      <c r="G597" s="1">
        <v>46262</v>
      </c>
      <c r="H597" s="1">
        <v>46262</v>
      </c>
      <c r="I597" s="2">
        <v>0.25</v>
      </c>
      <c r="J597" s="2">
        <v>0.54166666666666663</v>
      </c>
      <c r="K597" s="11" t="s">
        <v>262</v>
      </c>
      <c r="L597" s="1"/>
      <c r="M597" s="1"/>
      <c r="N597" s="1"/>
      <c r="O597" s="11"/>
    </row>
    <row r="598" spans="1:15" hidden="1" x14ac:dyDescent="0.25">
      <c r="A598" s="1">
        <v>46263</v>
      </c>
      <c r="B598">
        <v>1037645925</v>
      </c>
      <c r="C598" s="11" t="s">
        <v>926</v>
      </c>
      <c r="D598" s="11" t="s">
        <v>28</v>
      </c>
      <c r="E598" s="11" t="s">
        <v>4046</v>
      </c>
      <c r="F598" s="11" t="s">
        <v>16</v>
      </c>
      <c r="G598" s="1">
        <v>46262</v>
      </c>
      <c r="H598" s="1">
        <v>46262</v>
      </c>
      <c r="I598" s="2"/>
      <c r="J598" s="2"/>
      <c r="K598" s="11" t="s">
        <v>339</v>
      </c>
      <c r="L598" s="1"/>
      <c r="M598" s="1"/>
      <c r="N598" s="1"/>
      <c r="O598" s="11"/>
    </row>
    <row r="599" spans="1:15" hidden="1" x14ac:dyDescent="0.25">
      <c r="A599" s="1">
        <v>46263</v>
      </c>
      <c r="B599">
        <v>1047509880</v>
      </c>
      <c r="C599" s="11" t="s">
        <v>3290</v>
      </c>
      <c r="D599" s="11" t="s">
        <v>28</v>
      </c>
      <c r="E599" s="11" t="s">
        <v>4046</v>
      </c>
      <c r="F599" s="11" t="s">
        <v>16</v>
      </c>
      <c r="G599" s="1">
        <v>46262</v>
      </c>
      <c r="H599" s="1">
        <v>46263</v>
      </c>
      <c r="I599" s="2"/>
      <c r="J599" s="2"/>
      <c r="K599" s="11" t="s">
        <v>339</v>
      </c>
      <c r="L599" s="1"/>
      <c r="M599" s="1"/>
      <c r="N599" s="1"/>
      <c r="O599" s="11"/>
    </row>
    <row r="600" spans="1:15" hidden="1" x14ac:dyDescent="0.25">
      <c r="A600" s="1">
        <v>46262</v>
      </c>
      <c r="B600">
        <v>57418917</v>
      </c>
      <c r="C600" s="11" t="s">
        <v>4329</v>
      </c>
      <c r="D600" s="11" t="s">
        <v>28</v>
      </c>
      <c r="E600" s="11" t="s">
        <v>4046</v>
      </c>
      <c r="F600" s="11" t="s">
        <v>16</v>
      </c>
      <c r="G600" s="1">
        <v>46262</v>
      </c>
      <c r="H600" s="1">
        <v>46262</v>
      </c>
      <c r="I600" s="2">
        <v>0.58333333333333337</v>
      </c>
      <c r="J600" s="2">
        <v>0.875</v>
      </c>
      <c r="K600" s="11" t="s">
        <v>327</v>
      </c>
      <c r="L600" s="1"/>
      <c r="M600" s="1"/>
      <c r="N600" s="1"/>
      <c r="O600" s="11"/>
    </row>
    <row r="601" spans="1:15" hidden="1" x14ac:dyDescent="0.25">
      <c r="A601" s="1">
        <v>46262</v>
      </c>
      <c r="B601">
        <v>1152462501</v>
      </c>
      <c r="C601" s="11" t="s">
        <v>3056</v>
      </c>
      <c r="D601" s="11" t="s">
        <v>28</v>
      </c>
      <c r="E601" s="11" t="s">
        <v>4046</v>
      </c>
      <c r="F601" s="11" t="s">
        <v>16</v>
      </c>
      <c r="G601" s="1">
        <v>46262</v>
      </c>
      <c r="H601" s="1">
        <v>46262</v>
      </c>
      <c r="I601" s="2">
        <v>0.25</v>
      </c>
      <c r="J601" s="2">
        <v>0.58333333333333337</v>
      </c>
      <c r="K601" s="11" t="s">
        <v>327</v>
      </c>
      <c r="L601" s="1"/>
      <c r="M601" s="1"/>
      <c r="N601" s="1"/>
      <c r="O601" s="11"/>
    </row>
    <row r="602" spans="1:15" hidden="1" x14ac:dyDescent="0.25">
      <c r="A602" s="1">
        <v>46263</v>
      </c>
      <c r="B602">
        <v>1152462501</v>
      </c>
      <c r="C602" s="11" t="s">
        <v>3056</v>
      </c>
      <c r="D602" s="11" t="s">
        <v>78</v>
      </c>
      <c r="E602" s="11" t="s">
        <v>4046</v>
      </c>
      <c r="F602" s="11" t="s">
        <v>4074</v>
      </c>
      <c r="G602" s="1">
        <v>46262</v>
      </c>
      <c r="H602" s="1">
        <v>46262</v>
      </c>
      <c r="I602" s="2"/>
      <c r="J602" s="2"/>
      <c r="K602" s="11" t="s">
        <v>339</v>
      </c>
      <c r="L602" s="1"/>
      <c r="M602" s="1"/>
      <c r="N602" s="1"/>
      <c r="O602" s="11"/>
    </row>
    <row r="603" spans="1:15" hidden="1" x14ac:dyDescent="0.25">
      <c r="A603" s="1">
        <v>46263</v>
      </c>
      <c r="B603">
        <v>1039462842</v>
      </c>
      <c r="C603" s="11" t="s">
        <v>4333</v>
      </c>
      <c r="D603" s="11" t="s">
        <v>128</v>
      </c>
      <c r="E603" s="11" t="s">
        <v>4045</v>
      </c>
      <c r="F603" s="11" t="s">
        <v>4050</v>
      </c>
      <c r="G603" s="1">
        <v>46263</v>
      </c>
      <c r="H603" s="1">
        <v>46267</v>
      </c>
      <c r="I603" s="2"/>
      <c r="J603" s="2"/>
      <c r="K603" s="11" t="s">
        <v>339</v>
      </c>
      <c r="L603" s="1"/>
      <c r="M603" s="1"/>
      <c r="N603" s="1"/>
      <c r="O603" s="11"/>
    </row>
    <row r="604" spans="1:15" hidden="1" x14ac:dyDescent="0.25">
      <c r="A604" s="1">
        <v>46263</v>
      </c>
      <c r="B604">
        <v>1017260545</v>
      </c>
      <c r="C604" s="11" t="s">
        <v>4334</v>
      </c>
      <c r="D604" s="11" t="s">
        <v>4339</v>
      </c>
      <c r="E604" s="11" t="s">
        <v>4040</v>
      </c>
      <c r="F604" s="11" t="s">
        <v>4050</v>
      </c>
      <c r="G604" s="1">
        <v>46261</v>
      </c>
      <c r="H604" s="1">
        <v>46263</v>
      </c>
      <c r="I604" s="2"/>
      <c r="J604" s="2"/>
      <c r="K604" s="11" t="s">
        <v>339</v>
      </c>
      <c r="L604" s="1"/>
      <c r="M604" s="1"/>
      <c r="N604" s="1"/>
      <c r="O604" s="11"/>
    </row>
    <row r="605" spans="1:15" hidden="1" x14ac:dyDescent="0.25">
      <c r="A605" s="1">
        <v>46263</v>
      </c>
      <c r="B605">
        <v>1017271052</v>
      </c>
      <c r="C605" s="11" t="s">
        <v>489</v>
      </c>
      <c r="D605" s="11" t="s">
        <v>4340</v>
      </c>
      <c r="E605" s="11" t="s">
        <v>4047</v>
      </c>
      <c r="F605" s="11" t="s">
        <v>16</v>
      </c>
      <c r="G605" s="1">
        <v>46261</v>
      </c>
      <c r="H605" s="1">
        <v>46262</v>
      </c>
      <c r="I605" s="2"/>
      <c r="J605" s="2"/>
      <c r="K605" s="11" t="s">
        <v>339</v>
      </c>
      <c r="L605" s="1"/>
      <c r="M605" s="1"/>
      <c r="N605" s="1"/>
      <c r="O605" s="11"/>
    </row>
    <row r="606" spans="1:15" hidden="1" x14ac:dyDescent="0.25">
      <c r="A606" s="1">
        <v>46263</v>
      </c>
      <c r="B606">
        <v>1067959066</v>
      </c>
      <c r="C606" s="11" t="s">
        <v>3479</v>
      </c>
      <c r="D606" s="11" t="s">
        <v>344</v>
      </c>
      <c r="E606" s="11" t="s">
        <v>4056</v>
      </c>
      <c r="F606" s="11" t="s">
        <v>4091</v>
      </c>
      <c r="G606" s="1">
        <v>46261</v>
      </c>
      <c r="H606" s="1">
        <v>46295</v>
      </c>
      <c r="I606" s="2"/>
      <c r="J606" s="2"/>
      <c r="K606" s="11" t="s">
        <v>339</v>
      </c>
      <c r="L606" s="1"/>
      <c r="M606" s="1"/>
      <c r="N606" s="1"/>
      <c r="O606" s="11"/>
    </row>
    <row r="607" spans="1:15" hidden="1" x14ac:dyDescent="0.25">
      <c r="A607" s="1">
        <v>46263</v>
      </c>
      <c r="B607">
        <v>1143267842</v>
      </c>
      <c r="C607" s="11" t="s">
        <v>1501</v>
      </c>
      <c r="D607" s="11" t="s">
        <v>128</v>
      </c>
      <c r="E607" s="11" t="s">
        <v>4045</v>
      </c>
      <c r="F607" s="11" t="s">
        <v>4050</v>
      </c>
      <c r="G607" s="1">
        <v>46261</v>
      </c>
      <c r="H607" s="1">
        <v>46263</v>
      </c>
      <c r="I607" s="2"/>
      <c r="J607" s="2"/>
      <c r="K607" s="11" t="s">
        <v>339</v>
      </c>
      <c r="L607" s="1"/>
      <c r="M607" s="1"/>
      <c r="N607" s="1"/>
      <c r="O607" s="11"/>
    </row>
    <row r="608" spans="1:15" hidden="1" x14ac:dyDescent="0.25">
      <c r="A608" s="1">
        <v>46263</v>
      </c>
      <c r="B608">
        <v>1032488873</v>
      </c>
      <c r="C608" s="11" t="s">
        <v>4240</v>
      </c>
      <c r="D608" s="11" t="s">
        <v>55</v>
      </c>
      <c r="E608" s="11" t="s">
        <v>4047</v>
      </c>
      <c r="F608" s="11" t="s">
        <v>4074</v>
      </c>
      <c r="G608" s="1">
        <v>46259</v>
      </c>
      <c r="H608" s="1">
        <v>46263</v>
      </c>
      <c r="I608" s="2"/>
      <c r="J608" s="2"/>
      <c r="K608" s="11" t="s">
        <v>339</v>
      </c>
      <c r="L608" s="1"/>
      <c r="M608" s="1"/>
      <c r="N608" s="1"/>
      <c r="O608" s="11"/>
    </row>
    <row r="609" spans="1:15" hidden="1" x14ac:dyDescent="0.25">
      <c r="A609" s="1">
        <v>46263</v>
      </c>
      <c r="B609">
        <v>1005424850</v>
      </c>
      <c r="C609" s="11" t="s">
        <v>95</v>
      </c>
      <c r="D609" s="11" t="s">
        <v>82</v>
      </c>
      <c r="E609" s="11" t="s">
        <v>4045</v>
      </c>
      <c r="F609" s="11" t="s">
        <v>4074</v>
      </c>
      <c r="G609" s="1">
        <v>46238</v>
      </c>
      <c r="H609" s="1">
        <v>46262</v>
      </c>
      <c r="I609" s="2"/>
      <c r="J609" s="2"/>
      <c r="K609" s="11" t="s">
        <v>339</v>
      </c>
      <c r="L609" s="1"/>
      <c r="M609" s="1"/>
      <c r="N609" s="1"/>
      <c r="O609" s="11"/>
    </row>
    <row r="610" spans="1:15" hidden="1" x14ac:dyDescent="0.25">
      <c r="A610" s="1">
        <v>46263</v>
      </c>
      <c r="B610">
        <v>1152221372</v>
      </c>
      <c r="C610" s="11" t="s">
        <v>4072</v>
      </c>
      <c r="D610" s="11" t="s">
        <v>139</v>
      </c>
      <c r="E610" s="11" t="s">
        <v>4040</v>
      </c>
      <c r="F610" s="11" t="s">
        <v>4074</v>
      </c>
      <c r="G610" s="1">
        <v>46230</v>
      </c>
      <c r="H610" s="1">
        <v>46230</v>
      </c>
      <c r="I610" s="2"/>
      <c r="J610" s="2"/>
      <c r="K610" s="11" t="s">
        <v>339</v>
      </c>
      <c r="L610" s="1"/>
      <c r="M610" s="1"/>
      <c r="N610" s="1"/>
      <c r="O610" s="1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85840-306D-457C-BA21-38B74636E9F7}">
  <dimension ref="A1:R738"/>
  <sheetViews>
    <sheetView zoomScaleNormal="100" workbookViewId="0">
      <selection activeCell="K455" sqref="K455"/>
    </sheetView>
  </sheetViews>
  <sheetFormatPr baseColWidth="10" defaultColWidth="9.140625" defaultRowHeight="15" x14ac:dyDescent="0.25"/>
  <cols>
    <col min="1" max="1" width="11.28515625" customWidth="1"/>
    <col min="2" max="2" width="12.85546875" style="3" customWidth="1"/>
    <col min="3" max="3" width="31.28515625" customWidth="1"/>
    <col min="4" max="4" width="11.42578125" customWidth="1"/>
    <col min="5" max="5" width="11.7109375" customWidth="1"/>
    <col min="6" max="6" width="18" customWidth="1"/>
    <col min="7" max="7" width="12" customWidth="1"/>
    <col min="8" max="8" width="11.140625" customWidth="1"/>
    <col min="9" max="9" width="12.28515625" customWidth="1"/>
    <col min="10" max="10" width="12" customWidth="1"/>
    <col min="11" max="11" width="33.85546875" customWidth="1"/>
    <col min="12" max="12" width="30.5703125" bestFit="1" customWidth="1"/>
    <col min="13" max="13" width="24.140625" bestFit="1" customWidth="1"/>
    <col min="14" max="14" width="25.85546875" bestFit="1" customWidth="1"/>
    <col min="15" max="15" width="40" bestFit="1" customWidth="1"/>
    <col min="16" max="16" width="12.85546875" bestFit="1" customWidth="1"/>
    <col min="17" max="17" width="24.42578125" bestFit="1" customWidth="1"/>
    <col min="18" max="18" width="23.42578125" bestFit="1" customWidth="1"/>
    <col min="19" max="19" width="14.140625" customWidth="1"/>
    <col min="20" max="20" width="81.140625" bestFit="1" customWidth="1"/>
    <col min="21" max="21" width="24.42578125" bestFit="1" customWidth="1"/>
    <col min="22" max="22" width="26.140625" bestFit="1" customWidth="1"/>
    <col min="23" max="23" width="45.85546875" bestFit="1" customWidth="1"/>
    <col min="24" max="24" width="43.5703125" bestFit="1" customWidth="1"/>
    <col min="25" max="25" width="42.5703125" bestFit="1" customWidth="1"/>
    <col min="26" max="26" width="26.5703125" bestFit="1" customWidth="1"/>
    <col min="27" max="27" width="14.140625" customWidth="1"/>
    <col min="28" max="28" width="81.140625" customWidth="1"/>
    <col min="29" max="29" width="34.85546875" customWidth="1"/>
    <col min="30" max="30" width="26.5703125" customWidth="1"/>
    <col min="31" max="31" width="39" customWidth="1"/>
    <col min="32" max="32" width="12.28515625" customWidth="1"/>
    <col min="33" max="33" width="26.85546875" bestFit="1" customWidth="1"/>
    <col min="34" max="34" width="31.7109375" bestFit="1" customWidth="1"/>
    <col min="35" max="35" width="11.42578125" customWidth="1"/>
    <col min="36" max="36" width="50.28515625" customWidth="1"/>
    <col min="37" max="37" width="10.42578125" bestFit="1" customWidth="1"/>
  </cols>
  <sheetData>
    <row r="1" spans="1:18" s="7" customFormat="1" ht="12" x14ac:dyDescent="0.25">
      <c r="A1" s="7" t="s">
        <v>4246</v>
      </c>
      <c r="B1" s="7" t="s">
        <v>1</v>
      </c>
      <c r="C1" s="7" t="s">
        <v>4248</v>
      </c>
      <c r="D1" s="7" t="s">
        <v>3</v>
      </c>
      <c r="E1" s="7" t="s">
        <v>4029</v>
      </c>
      <c r="F1" s="7" t="s">
        <v>4</v>
      </c>
      <c r="G1" s="7" t="s">
        <v>5</v>
      </c>
      <c r="H1" s="7" t="s">
        <v>6</v>
      </c>
      <c r="I1" s="7" t="s">
        <v>4030</v>
      </c>
      <c r="J1" s="7" t="s">
        <v>4031</v>
      </c>
      <c r="K1" s="7" t="s">
        <v>9</v>
      </c>
      <c r="L1" s="7" t="s">
        <v>4249</v>
      </c>
      <c r="M1" s="7" t="s">
        <v>4250</v>
      </c>
      <c r="N1" s="7" t="s">
        <v>8</v>
      </c>
      <c r="O1" s="7" t="s">
        <v>4251</v>
      </c>
      <c r="P1" s="7" t="s">
        <v>4252</v>
      </c>
      <c r="Q1" s="7" t="s">
        <v>4253</v>
      </c>
      <c r="R1" s="7" t="s">
        <v>4254</v>
      </c>
    </row>
    <row r="2" spans="1:18" hidden="1" x14ac:dyDescent="0.25">
      <c r="A2" s="1">
        <v>46235</v>
      </c>
      <c r="B2">
        <v>57303015</v>
      </c>
      <c r="C2" t="s">
        <v>188</v>
      </c>
      <c r="D2" t="s">
        <v>55</v>
      </c>
      <c r="E2" t="s">
        <v>4047</v>
      </c>
      <c r="F2" t="s">
        <v>16</v>
      </c>
      <c r="G2" s="1">
        <v>46232</v>
      </c>
      <c r="H2" s="1">
        <v>46235</v>
      </c>
      <c r="I2" s="2">
        <v>0.25</v>
      </c>
      <c r="J2" s="2">
        <v>0.66666666666666663</v>
      </c>
      <c r="K2" s="4" t="s">
        <v>190</v>
      </c>
      <c r="L2">
        <v>0</v>
      </c>
      <c r="M2" t="s">
        <v>4255</v>
      </c>
      <c r="N2" t="s">
        <v>189</v>
      </c>
      <c r="O2" t="s">
        <v>190</v>
      </c>
      <c r="P2" t="s">
        <v>4042</v>
      </c>
      <c r="Q2">
        <v>10</v>
      </c>
      <c r="R2" s="8" t="s">
        <v>4256</v>
      </c>
    </row>
    <row r="3" spans="1:18" hidden="1" x14ac:dyDescent="0.25">
      <c r="A3" s="1">
        <v>46235</v>
      </c>
      <c r="B3">
        <v>1037634709</v>
      </c>
      <c r="C3" t="s">
        <v>4044</v>
      </c>
      <c r="D3" t="s">
        <v>492</v>
      </c>
      <c r="E3" t="s">
        <v>4045</v>
      </c>
      <c r="F3" t="s">
        <v>16</v>
      </c>
      <c r="G3" s="1">
        <v>46234</v>
      </c>
      <c r="H3" s="1">
        <v>46235</v>
      </c>
      <c r="I3" s="2">
        <v>0.25</v>
      </c>
      <c r="J3" s="2">
        <v>0.66666666666666663</v>
      </c>
      <c r="K3" t="s">
        <v>97</v>
      </c>
      <c r="L3">
        <v>0</v>
      </c>
      <c r="M3" t="s">
        <v>4257</v>
      </c>
      <c r="N3" t="s">
        <v>96</v>
      </c>
      <c r="O3" t="s">
        <v>97</v>
      </c>
      <c r="P3" t="s">
        <v>4042</v>
      </c>
      <c r="Q3">
        <v>10</v>
      </c>
    </row>
    <row r="4" spans="1:18" hidden="1" x14ac:dyDescent="0.25">
      <c r="A4" s="1">
        <v>46235</v>
      </c>
      <c r="B4">
        <v>1152436231</v>
      </c>
      <c r="C4" t="s">
        <v>142</v>
      </c>
      <c r="D4" t="s">
        <v>143</v>
      </c>
      <c r="E4" t="s">
        <v>4045</v>
      </c>
      <c r="F4" t="s">
        <v>16</v>
      </c>
      <c r="G4" s="1">
        <v>46234</v>
      </c>
      <c r="H4" s="1">
        <v>46235</v>
      </c>
      <c r="I4" s="2">
        <v>0.25</v>
      </c>
      <c r="J4" s="2">
        <v>0.66666666666666663</v>
      </c>
      <c r="K4" t="s">
        <v>1492</v>
      </c>
      <c r="L4">
        <v>0</v>
      </c>
      <c r="M4" t="s">
        <v>4257</v>
      </c>
      <c r="N4" t="s">
        <v>1491</v>
      </c>
      <c r="O4" t="s">
        <v>1492</v>
      </c>
      <c r="P4" t="s">
        <v>4042</v>
      </c>
      <c r="Q4">
        <v>10</v>
      </c>
    </row>
    <row r="5" spans="1:18" hidden="1" x14ac:dyDescent="0.25">
      <c r="A5" s="1">
        <v>46235</v>
      </c>
      <c r="B5">
        <v>1128467297</v>
      </c>
      <c r="C5" t="s">
        <v>3392</v>
      </c>
      <c r="D5" t="s">
        <v>619</v>
      </c>
      <c r="E5" t="s">
        <v>4045</v>
      </c>
      <c r="F5" t="s">
        <v>16</v>
      </c>
      <c r="G5" s="1">
        <v>46234</v>
      </c>
      <c r="H5" s="1">
        <v>46235</v>
      </c>
      <c r="I5" s="2">
        <v>0.25</v>
      </c>
      <c r="J5" s="2">
        <v>0.66666666666666663</v>
      </c>
      <c r="K5" t="s">
        <v>315</v>
      </c>
      <c r="L5">
        <v>0</v>
      </c>
      <c r="M5" t="s">
        <v>4257</v>
      </c>
      <c r="N5" t="s">
        <v>314</v>
      </c>
      <c r="O5" t="s">
        <v>315</v>
      </c>
      <c r="P5" t="s">
        <v>4042</v>
      </c>
      <c r="Q5">
        <v>10</v>
      </c>
    </row>
    <row r="6" spans="1:18" hidden="1" x14ac:dyDescent="0.25">
      <c r="A6" s="1">
        <v>46235</v>
      </c>
      <c r="B6">
        <v>42158742</v>
      </c>
      <c r="C6" t="s">
        <v>3192</v>
      </c>
      <c r="D6" t="s">
        <v>78</v>
      </c>
      <c r="E6" t="s">
        <v>4046</v>
      </c>
      <c r="F6" t="s">
        <v>16</v>
      </c>
      <c r="G6" s="1">
        <v>46234</v>
      </c>
      <c r="H6" s="1">
        <v>46235</v>
      </c>
      <c r="I6" s="2">
        <v>0.25</v>
      </c>
      <c r="J6" s="2">
        <v>0.66666666666666663</v>
      </c>
      <c r="K6" t="s">
        <v>301</v>
      </c>
      <c r="L6">
        <v>0</v>
      </c>
      <c r="M6" t="s">
        <v>4258</v>
      </c>
      <c r="N6" t="s">
        <v>300</v>
      </c>
      <c r="O6" t="s">
        <v>301</v>
      </c>
      <c r="P6" t="s">
        <v>4042</v>
      </c>
      <c r="Q6">
        <v>10</v>
      </c>
    </row>
    <row r="7" spans="1:18" hidden="1" x14ac:dyDescent="0.25">
      <c r="A7" s="1">
        <v>46235</v>
      </c>
      <c r="B7">
        <v>1061819313</v>
      </c>
      <c r="C7" t="s">
        <v>280</v>
      </c>
      <c r="D7" t="s">
        <v>59</v>
      </c>
      <c r="E7" t="s">
        <v>4047</v>
      </c>
      <c r="F7" t="s">
        <v>16</v>
      </c>
      <c r="G7" s="1">
        <v>46231</v>
      </c>
      <c r="H7" s="1">
        <v>46235</v>
      </c>
      <c r="I7" s="2">
        <v>0.25</v>
      </c>
      <c r="J7" s="2">
        <v>0.66666666666666663</v>
      </c>
      <c r="K7" t="s">
        <v>277</v>
      </c>
      <c r="L7">
        <v>0</v>
      </c>
      <c r="M7" t="s">
        <v>4259</v>
      </c>
      <c r="N7" t="s">
        <v>276</v>
      </c>
      <c r="O7" t="s">
        <v>277</v>
      </c>
      <c r="P7" t="s">
        <v>4042</v>
      </c>
      <c r="Q7">
        <v>10</v>
      </c>
    </row>
    <row r="8" spans="1:18" hidden="1" x14ac:dyDescent="0.25">
      <c r="A8" s="1">
        <v>46235</v>
      </c>
      <c r="B8">
        <v>1140905046</v>
      </c>
      <c r="C8" t="s">
        <v>4059</v>
      </c>
      <c r="D8" t="s">
        <v>482</v>
      </c>
      <c r="E8" t="s">
        <v>4040</v>
      </c>
      <c r="F8" t="s">
        <v>4050</v>
      </c>
      <c r="G8" s="1">
        <v>46235</v>
      </c>
      <c r="H8" s="1">
        <v>46238</v>
      </c>
      <c r="I8" s="2">
        <v>0.25</v>
      </c>
      <c r="J8" s="2">
        <v>0.66666666666666663</v>
      </c>
      <c r="K8" s="4" t="s">
        <v>283</v>
      </c>
      <c r="L8">
        <v>0</v>
      </c>
      <c r="M8" t="s">
        <v>4260</v>
      </c>
      <c r="N8" t="s">
        <v>282</v>
      </c>
      <c r="O8" t="s">
        <v>283</v>
      </c>
      <c r="P8" t="s">
        <v>4042</v>
      </c>
      <c r="Q8">
        <v>10</v>
      </c>
      <c r="R8" s="8" t="s">
        <v>4261</v>
      </c>
    </row>
    <row r="9" spans="1:18" hidden="1" x14ac:dyDescent="0.25">
      <c r="A9" s="1">
        <v>46235</v>
      </c>
      <c r="B9" t="s">
        <v>288</v>
      </c>
      <c r="C9" t="s">
        <v>289</v>
      </c>
      <c r="D9" t="s">
        <v>272</v>
      </c>
      <c r="E9" t="s">
        <v>4056</v>
      </c>
      <c r="F9" t="s">
        <v>36</v>
      </c>
      <c r="G9" s="1">
        <v>46230</v>
      </c>
      <c r="H9" s="1">
        <v>46355</v>
      </c>
      <c r="I9" s="2">
        <v>0.25</v>
      </c>
      <c r="J9" s="2">
        <v>0.58333333333333337</v>
      </c>
      <c r="K9" s="4" t="s">
        <v>286</v>
      </c>
      <c r="L9">
        <v>0</v>
      </c>
      <c r="M9" t="s">
        <v>4255</v>
      </c>
      <c r="N9" t="s">
        <v>285</v>
      </c>
      <c r="O9" t="s">
        <v>286</v>
      </c>
      <c r="P9" t="s">
        <v>4042</v>
      </c>
      <c r="Q9">
        <v>8</v>
      </c>
      <c r="R9" s="8" t="s">
        <v>4262</v>
      </c>
    </row>
    <row r="10" spans="1:18" hidden="1" x14ac:dyDescent="0.25">
      <c r="A10" s="1">
        <v>46235</v>
      </c>
      <c r="B10">
        <v>1001940238</v>
      </c>
      <c r="C10" t="s">
        <v>4049</v>
      </c>
      <c r="D10" t="s">
        <v>82</v>
      </c>
      <c r="E10" t="s">
        <v>4045</v>
      </c>
      <c r="F10" t="s">
        <v>4050</v>
      </c>
      <c r="G10" s="1">
        <v>46237</v>
      </c>
      <c r="H10" s="1">
        <v>46239</v>
      </c>
      <c r="I10" s="2"/>
      <c r="J10" s="2"/>
      <c r="K10" t="s">
        <v>341</v>
      </c>
      <c r="L10">
        <v>0</v>
      </c>
      <c r="P10" t="s">
        <v>4042</v>
      </c>
      <c r="Q10">
        <v>0</v>
      </c>
    </row>
    <row r="11" spans="1:18" hidden="1" x14ac:dyDescent="0.25">
      <c r="A11" s="1">
        <v>46235</v>
      </c>
      <c r="B11">
        <v>1047505786</v>
      </c>
      <c r="C11" t="s">
        <v>114</v>
      </c>
      <c r="D11" t="s">
        <v>51</v>
      </c>
      <c r="E11" t="s">
        <v>4047</v>
      </c>
      <c r="F11" t="s">
        <v>16</v>
      </c>
      <c r="G11" s="1">
        <v>46229</v>
      </c>
      <c r="H11" s="1">
        <v>46243</v>
      </c>
      <c r="I11" s="2"/>
      <c r="J11" s="2"/>
      <c r="K11" t="s">
        <v>341</v>
      </c>
      <c r="L11">
        <v>0</v>
      </c>
      <c r="P11" t="s">
        <v>4042</v>
      </c>
      <c r="Q11">
        <v>0</v>
      </c>
    </row>
    <row r="12" spans="1:18" hidden="1" x14ac:dyDescent="0.25">
      <c r="A12" s="1">
        <v>46235</v>
      </c>
      <c r="B12">
        <v>1043022975</v>
      </c>
      <c r="C12" t="s">
        <v>1786</v>
      </c>
      <c r="D12" t="s">
        <v>15</v>
      </c>
      <c r="E12" t="s">
        <v>4046</v>
      </c>
      <c r="F12" t="s">
        <v>16</v>
      </c>
      <c r="G12" s="1">
        <v>46234</v>
      </c>
      <c r="H12" s="1">
        <v>46235</v>
      </c>
      <c r="I12" s="2"/>
      <c r="J12" s="2"/>
      <c r="K12" t="s">
        <v>341</v>
      </c>
      <c r="L12">
        <v>0</v>
      </c>
      <c r="P12" t="s">
        <v>4042</v>
      </c>
      <c r="Q12">
        <v>0</v>
      </c>
    </row>
    <row r="13" spans="1:18" hidden="1" x14ac:dyDescent="0.25">
      <c r="A13" s="1">
        <v>46235</v>
      </c>
      <c r="B13" t="s">
        <v>33</v>
      </c>
      <c r="C13" t="s">
        <v>34</v>
      </c>
      <c r="D13" t="s">
        <v>15</v>
      </c>
      <c r="E13" t="s">
        <v>4046</v>
      </c>
      <c r="F13" t="s">
        <v>16</v>
      </c>
      <c r="G13" s="1">
        <v>46224</v>
      </c>
      <c r="H13" s="1">
        <v>46239</v>
      </c>
      <c r="I13" s="2"/>
      <c r="J13" s="2"/>
      <c r="K13" t="s">
        <v>341</v>
      </c>
      <c r="L13">
        <v>0</v>
      </c>
      <c r="P13" t="s">
        <v>4042</v>
      </c>
      <c r="Q13">
        <v>0</v>
      </c>
    </row>
    <row r="14" spans="1:18" hidden="1" x14ac:dyDescent="0.25">
      <c r="A14" s="1">
        <v>46235</v>
      </c>
      <c r="B14">
        <v>1017270154</v>
      </c>
      <c r="C14" t="s">
        <v>1004</v>
      </c>
      <c r="D14" t="s">
        <v>421</v>
      </c>
      <c r="E14" t="s">
        <v>4047</v>
      </c>
      <c r="F14" t="s">
        <v>16</v>
      </c>
      <c r="G14" s="1">
        <v>46234</v>
      </c>
      <c r="H14" s="1">
        <v>46235</v>
      </c>
      <c r="I14" s="2">
        <v>0.25</v>
      </c>
      <c r="J14" s="2">
        <v>0.66666666666666663</v>
      </c>
      <c r="K14" s="4" t="s">
        <v>86</v>
      </c>
      <c r="L14">
        <v>0</v>
      </c>
      <c r="M14" t="s">
        <v>4259</v>
      </c>
      <c r="N14" t="s">
        <v>85</v>
      </c>
      <c r="O14" t="s">
        <v>86</v>
      </c>
      <c r="P14" t="s">
        <v>4042</v>
      </c>
      <c r="Q14">
        <v>10</v>
      </c>
    </row>
    <row r="15" spans="1:18" hidden="1" x14ac:dyDescent="0.25">
      <c r="A15" s="1">
        <v>46235</v>
      </c>
      <c r="B15">
        <v>1085318652</v>
      </c>
      <c r="C15" t="s">
        <v>292</v>
      </c>
      <c r="D15" t="s">
        <v>272</v>
      </c>
      <c r="E15" t="s">
        <v>4056</v>
      </c>
      <c r="F15" t="s">
        <v>92</v>
      </c>
      <c r="G15" s="1">
        <v>46233</v>
      </c>
      <c r="H15" s="1">
        <v>46238</v>
      </c>
      <c r="I15" s="2">
        <v>0.25</v>
      </c>
      <c r="J15" s="2">
        <v>0.58333333333333337</v>
      </c>
      <c r="K15" s="4" t="s">
        <v>322</v>
      </c>
      <c r="L15">
        <v>0</v>
      </c>
      <c r="M15" t="s">
        <v>4255</v>
      </c>
      <c r="N15" t="s">
        <v>321</v>
      </c>
      <c r="O15" t="s">
        <v>322</v>
      </c>
      <c r="P15" t="s">
        <v>4042</v>
      </c>
      <c r="Q15">
        <v>8</v>
      </c>
      <c r="R15" s="8" t="s">
        <v>4262</v>
      </c>
    </row>
    <row r="16" spans="1:18" hidden="1" x14ac:dyDescent="0.25">
      <c r="A16" s="1">
        <v>46235</v>
      </c>
      <c r="B16">
        <v>1143374438</v>
      </c>
      <c r="C16" t="s">
        <v>154</v>
      </c>
      <c r="D16" t="s">
        <v>28</v>
      </c>
      <c r="E16" t="s">
        <v>4046</v>
      </c>
      <c r="F16" t="s">
        <v>16</v>
      </c>
      <c r="G16" s="1">
        <v>46209</v>
      </c>
      <c r="H16" s="1">
        <v>46238</v>
      </c>
      <c r="I16" s="2">
        <v>0.25</v>
      </c>
      <c r="J16" s="2">
        <v>0.66666666666666663</v>
      </c>
      <c r="K16" t="s">
        <v>214</v>
      </c>
      <c r="L16">
        <v>0</v>
      </c>
      <c r="M16" t="s">
        <v>4257</v>
      </c>
      <c r="N16" t="s">
        <v>213</v>
      </c>
      <c r="O16" t="s">
        <v>214</v>
      </c>
      <c r="P16" t="s">
        <v>4042</v>
      </c>
      <c r="Q16">
        <v>10</v>
      </c>
    </row>
    <row r="17" spans="1:18" hidden="1" x14ac:dyDescent="0.25">
      <c r="A17" s="1">
        <v>46235</v>
      </c>
      <c r="B17">
        <v>1143375080</v>
      </c>
      <c r="C17" t="s">
        <v>203</v>
      </c>
      <c r="D17" t="s">
        <v>44</v>
      </c>
      <c r="E17" t="s">
        <v>4045</v>
      </c>
      <c r="F17" t="s">
        <v>4062</v>
      </c>
      <c r="G17" s="1">
        <v>46232</v>
      </c>
      <c r="H17" s="1">
        <v>46239</v>
      </c>
      <c r="I17" s="2">
        <v>0.25</v>
      </c>
      <c r="J17" s="2">
        <v>0.66666666666666663</v>
      </c>
      <c r="K17" t="s">
        <v>265</v>
      </c>
      <c r="L17">
        <v>0</v>
      </c>
      <c r="M17" t="s">
        <v>4257</v>
      </c>
      <c r="N17" t="s">
        <v>264</v>
      </c>
      <c r="O17" t="s">
        <v>265</v>
      </c>
      <c r="P17" t="s">
        <v>4042</v>
      </c>
      <c r="Q17">
        <v>10</v>
      </c>
    </row>
    <row r="18" spans="1:18" hidden="1" x14ac:dyDescent="0.25">
      <c r="A18" s="1">
        <v>46235</v>
      </c>
      <c r="B18">
        <v>1017264032</v>
      </c>
      <c r="C18" t="s">
        <v>54</v>
      </c>
      <c r="D18" t="s">
        <v>55</v>
      </c>
      <c r="E18" t="s">
        <v>4047</v>
      </c>
      <c r="F18" t="s">
        <v>16</v>
      </c>
      <c r="G18" s="1">
        <v>46229</v>
      </c>
      <c r="H18" s="1">
        <v>46258</v>
      </c>
      <c r="I18" s="2">
        <v>0.25</v>
      </c>
      <c r="J18" s="2">
        <v>0.66666666666666663</v>
      </c>
      <c r="K18" t="s">
        <v>108</v>
      </c>
      <c r="L18">
        <v>0</v>
      </c>
      <c r="M18" t="s">
        <v>4260</v>
      </c>
      <c r="N18" t="s">
        <v>107</v>
      </c>
      <c r="O18" t="s">
        <v>108</v>
      </c>
      <c r="P18" t="s">
        <v>4042</v>
      </c>
      <c r="Q18">
        <v>10</v>
      </c>
    </row>
    <row r="19" spans="1:18" hidden="1" x14ac:dyDescent="0.25">
      <c r="A19" s="1">
        <v>46235</v>
      </c>
      <c r="B19">
        <v>1002159016</v>
      </c>
      <c r="C19" t="s">
        <v>244</v>
      </c>
      <c r="D19" t="s">
        <v>245</v>
      </c>
      <c r="E19" t="s">
        <v>4040</v>
      </c>
      <c r="F19" t="s">
        <v>16</v>
      </c>
      <c r="G19" s="1">
        <v>46230</v>
      </c>
      <c r="H19" s="1">
        <v>46235</v>
      </c>
      <c r="I19" s="2">
        <v>0.25</v>
      </c>
      <c r="J19" s="2">
        <v>0.66666666666666663</v>
      </c>
      <c r="K19" t="s">
        <v>247</v>
      </c>
      <c r="L19">
        <v>0</v>
      </c>
      <c r="M19" t="s">
        <v>4260</v>
      </c>
      <c r="N19" t="s">
        <v>246</v>
      </c>
      <c r="O19" t="s">
        <v>247</v>
      </c>
      <c r="P19" t="s">
        <v>4042</v>
      </c>
      <c r="Q19">
        <v>10</v>
      </c>
    </row>
    <row r="20" spans="1:18" hidden="1" x14ac:dyDescent="0.25">
      <c r="A20" s="1">
        <v>46235</v>
      </c>
      <c r="B20">
        <v>1118569642</v>
      </c>
      <c r="C20" t="s">
        <v>175</v>
      </c>
      <c r="D20" t="s">
        <v>176</v>
      </c>
      <c r="E20" t="s">
        <v>4040</v>
      </c>
      <c r="F20" t="s">
        <v>16</v>
      </c>
      <c r="G20" s="1">
        <v>46230</v>
      </c>
      <c r="H20" s="1">
        <v>46235</v>
      </c>
      <c r="I20" s="2">
        <v>0.25</v>
      </c>
      <c r="J20" s="2">
        <v>0.66666666666666663</v>
      </c>
      <c r="K20" t="s">
        <v>178</v>
      </c>
      <c r="L20">
        <v>0</v>
      </c>
      <c r="M20" t="s">
        <v>4257</v>
      </c>
      <c r="N20" t="s">
        <v>177</v>
      </c>
      <c r="O20" t="s">
        <v>178</v>
      </c>
      <c r="P20" t="s">
        <v>4042</v>
      </c>
      <c r="Q20">
        <v>10</v>
      </c>
    </row>
    <row r="21" spans="1:18" hidden="1" x14ac:dyDescent="0.25">
      <c r="A21" s="1">
        <v>46235</v>
      </c>
      <c r="B21">
        <v>1036132488</v>
      </c>
      <c r="C21" t="s">
        <v>89</v>
      </c>
      <c r="D21" t="s">
        <v>59</v>
      </c>
      <c r="E21" t="s">
        <v>4047</v>
      </c>
      <c r="F21" t="s">
        <v>16</v>
      </c>
      <c r="G21" s="1">
        <v>46227</v>
      </c>
      <c r="H21" s="1">
        <v>46246</v>
      </c>
      <c r="I21" s="2"/>
      <c r="J21" s="2"/>
      <c r="K21" t="s">
        <v>341</v>
      </c>
      <c r="L21">
        <v>0</v>
      </c>
      <c r="P21" t="s">
        <v>4042</v>
      </c>
      <c r="Q21">
        <v>0</v>
      </c>
    </row>
    <row r="22" spans="1:18" hidden="1" x14ac:dyDescent="0.25">
      <c r="A22" s="1">
        <v>46235</v>
      </c>
      <c r="B22">
        <v>1143412273</v>
      </c>
      <c r="C22" t="s">
        <v>226</v>
      </c>
      <c r="D22" t="s">
        <v>82</v>
      </c>
      <c r="E22" t="s">
        <v>4045</v>
      </c>
      <c r="F22" t="s">
        <v>24</v>
      </c>
      <c r="G22" s="1">
        <v>46227</v>
      </c>
      <c r="H22" s="1">
        <v>46237</v>
      </c>
      <c r="I22" s="2"/>
      <c r="J22" s="2"/>
      <c r="K22" t="s">
        <v>341</v>
      </c>
      <c r="L22">
        <v>0</v>
      </c>
      <c r="P22" t="s">
        <v>4042</v>
      </c>
      <c r="Q22">
        <v>0</v>
      </c>
    </row>
    <row r="23" spans="1:18" hidden="1" x14ac:dyDescent="0.25">
      <c r="A23" s="1">
        <v>46235</v>
      </c>
      <c r="B23">
        <v>42141273</v>
      </c>
      <c r="C23" t="s">
        <v>271</v>
      </c>
      <c r="D23" t="s">
        <v>272</v>
      </c>
      <c r="E23" t="s">
        <v>4056</v>
      </c>
      <c r="F23" t="s">
        <v>16</v>
      </c>
      <c r="G23" s="1">
        <v>46224</v>
      </c>
      <c r="H23" s="1">
        <v>46238</v>
      </c>
      <c r="I23" s="2"/>
      <c r="J23" s="2"/>
      <c r="K23" t="s">
        <v>341</v>
      </c>
      <c r="L23">
        <v>0</v>
      </c>
      <c r="P23" t="s">
        <v>4042</v>
      </c>
      <c r="Q23">
        <v>0</v>
      </c>
    </row>
    <row r="24" spans="1:18" hidden="1" x14ac:dyDescent="0.25">
      <c r="A24" s="1">
        <v>46235</v>
      </c>
      <c r="B24">
        <v>1043006106</v>
      </c>
      <c r="C24" t="s">
        <v>202</v>
      </c>
      <c r="D24" t="s">
        <v>64</v>
      </c>
      <c r="E24" t="s">
        <v>4046</v>
      </c>
      <c r="F24" t="s">
        <v>16</v>
      </c>
      <c r="G24" s="1">
        <v>46219</v>
      </c>
      <c r="H24" s="1">
        <v>46248</v>
      </c>
      <c r="I24" s="2">
        <v>0.25</v>
      </c>
      <c r="J24" s="2">
        <v>0.66666666666666663</v>
      </c>
      <c r="K24" s="4" t="s">
        <v>237</v>
      </c>
      <c r="L24">
        <v>0</v>
      </c>
      <c r="M24" t="s">
        <v>4255</v>
      </c>
      <c r="N24" t="s">
        <v>236</v>
      </c>
      <c r="O24" t="s">
        <v>237</v>
      </c>
      <c r="P24" t="s">
        <v>4042</v>
      </c>
      <c r="Q24">
        <v>10</v>
      </c>
      <c r="R24" s="8" t="s">
        <v>4256</v>
      </c>
    </row>
    <row r="25" spans="1:18" hidden="1" x14ac:dyDescent="0.25">
      <c r="A25" s="1">
        <v>46235</v>
      </c>
      <c r="B25">
        <v>1037638426</v>
      </c>
      <c r="C25" t="s">
        <v>31</v>
      </c>
      <c r="D25" t="s">
        <v>28</v>
      </c>
      <c r="E25" t="s">
        <v>4046</v>
      </c>
      <c r="F25" t="s">
        <v>24</v>
      </c>
      <c r="G25" s="1">
        <v>46230</v>
      </c>
      <c r="H25" s="1">
        <v>46262</v>
      </c>
      <c r="I25" s="2">
        <v>0.25</v>
      </c>
      <c r="J25" s="2">
        <v>0.66666666666666663</v>
      </c>
      <c r="K25" t="s">
        <v>151</v>
      </c>
      <c r="L25">
        <v>0</v>
      </c>
      <c r="M25" t="s">
        <v>4257</v>
      </c>
      <c r="N25" t="s">
        <v>150</v>
      </c>
      <c r="O25" t="s">
        <v>151</v>
      </c>
      <c r="P25" t="s">
        <v>4042</v>
      </c>
      <c r="Q25">
        <v>10</v>
      </c>
    </row>
    <row r="26" spans="1:18" hidden="1" x14ac:dyDescent="0.25">
      <c r="A26" s="1">
        <v>46235</v>
      </c>
      <c r="B26">
        <v>1121506548</v>
      </c>
      <c r="C26" t="s">
        <v>38</v>
      </c>
      <c r="D26" t="s">
        <v>39</v>
      </c>
      <c r="E26" t="s">
        <v>4046</v>
      </c>
      <c r="F26" t="s">
        <v>36</v>
      </c>
      <c r="G26" s="1">
        <v>46217</v>
      </c>
      <c r="H26" s="1">
        <v>46342</v>
      </c>
      <c r="I26" s="2">
        <v>0.25</v>
      </c>
      <c r="J26" s="2">
        <v>0.66666666666666663</v>
      </c>
      <c r="K26" t="s">
        <v>149</v>
      </c>
      <c r="L26">
        <v>0</v>
      </c>
      <c r="M26" t="s">
        <v>4258</v>
      </c>
      <c r="N26" t="s">
        <v>148</v>
      </c>
      <c r="O26" t="s">
        <v>149</v>
      </c>
      <c r="P26" t="s">
        <v>4042</v>
      </c>
      <c r="Q26">
        <v>10</v>
      </c>
    </row>
    <row r="27" spans="1:18" hidden="1" x14ac:dyDescent="0.25">
      <c r="A27" s="1">
        <v>46235</v>
      </c>
      <c r="B27" t="s">
        <v>225</v>
      </c>
      <c r="C27" t="s">
        <v>226</v>
      </c>
      <c r="D27" t="s">
        <v>39</v>
      </c>
      <c r="E27" t="s">
        <v>4046</v>
      </c>
      <c r="F27" t="s">
        <v>24</v>
      </c>
      <c r="G27" s="1">
        <v>46227</v>
      </c>
      <c r="H27" s="1">
        <v>46237</v>
      </c>
      <c r="I27" s="2"/>
      <c r="J27" s="2"/>
      <c r="K27" t="s">
        <v>341</v>
      </c>
      <c r="L27">
        <v>0</v>
      </c>
      <c r="P27" t="s">
        <v>4042</v>
      </c>
      <c r="Q27">
        <v>0</v>
      </c>
    </row>
    <row r="28" spans="1:18" hidden="1" x14ac:dyDescent="0.25">
      <c r="A28" s="1">
        <v>46235</v>
      </c>
      <c r="B28">
        <v>1143460426</v>
      </c>
      <c r="C28" t="s">
        <v>4069</v>
      </c>
      <c r="D28" t="s">
        <v>64</v>
      </c>
      <c r="E28" t="s">
        <v>4046</v>
      </c>
      <c r="F28" t="s">
        <v>4050</v>
      </c>
      <c r="G28" s="1">
        <v>46195</v>
      </c>
      <c r="H28" s="1">
        <v>46198</v>
      </c>
      <c r="I28" s="2"/>
      <c r="J28" s="2"/>
      <c r="K28" t="s">
        <v>341</v>
      </c>
      <c r="L28">
        <v>0</v>
      </c>
      <c r="P28" t="s">
        <v>4042</v>
      </c>
      <c r="Q28">
        <v>0</v>
      </c>
    </row>
    <row r="29" spans="1:18" hidden="1" x14ac:dyDescent="0.25">
      <c r="A29" s="1">
        <v>46235</v>
      </c>
      <c r="B29">
        <v>1000291050</v>
      </c>
      <c r="C29" t="s">
        <v>1408</v>
      </c>
      <c r="D29" t="s">
        <v>139</v>
      </c>
      <c r="E29" t="s">
        <v>4040</v>
      </c>
      <c r="F29" t="s">
        <v>4073</v>
      </c>
      <c r="G29" s="1">
        <v>46235</v>
      </c>
      <c r="H29" s="1">
        <v>46235</v>
      </c>
      <c r="I29" s="2">
        <v>0.25</v>
      </c>
      <c r="J29" s="2">
        <v>0.66666666666666663</v>
      </c>
      <c r="K29" t="s">
        <v>1408</v>
      </c>
      <c r="L29">
        <v>0</v>
      </c>
      <c r="M29" t="s">
        <v>4260</v>
      </c>
      <c r="N29" t="s">
        <v>1407</v>
      </c>
      <c r="O29" t="s">
        <v>1408</v>
      </c>
      <c r="P29" t="s">
        <v>4042</v>
      </c>
      <c r="Q29">
        <v>10</v>
      </c>
    </row>
    <row r="30" spans="1:18" hidden="1" x14ac:dyDescent="0.25">
      <c r="A30" s="1">
        <v>46235</v>
      </c>
      <c r="B30">
        <v>1001005240</v>
      </c>
      <c r="C30" t="s">
        <v>43</v>
      </c>
      <c r="D30" t="s">
        <v>44</v>
      </c>
      <c r="E30" t="s">
        <v>4045</v>
      </c>
      <c r="F30" t="s">
        <v>16</v>
      </c>
      <c r="G30" s="1">
        <v>46234</v>
      </c>
      <c r="H30" s="1">
        <v>46240</v>
      </c>
      <c r="I30" s="2">
        <v>0.25</v>
      </c>
      <c r="J30" s="2">
        <v>0.66666666666666663</v>
      </c>
      <c r="K30" t="s">
        <v>200</v>
      </c>
      <c r="L30">
        <v>0</v>
      </c>
      <c r="M30" t="s">
        <v>4257</v>
      </c>
      <c r="N30" t="s">
        <v>199</v>
      </c>
      <c r="O30" t="s">
        <v>200</v>
      </c>
      <c r="P30" t="s">
        <v>4042</v>
      </c>
      <c r="Q30">
        <v>10</v>
      </c>
    </row>
    <row r="31" spans="1:18" hidden="1" x14ac:dyDescent="0.25">
      <c r="A31" s="1">
        <v>46235</v>
      </c>
      <c r="B31">
        <v>1144057947</v>
      </c>
      <c r="C31" t="s">
        <v>1618</v>
      </c>
      <c r="D31" t="s">
        <v>162</v>
      </c>
      <c r="E31" t="s">
        <v>4056</v>
      </c>
      <c r="F31" t="s">
        <v>4077</v>
      </c>
      <c r="G31" s="1">
        <v>46220</v>
      </c>
      <c r="H31" s="1">
        <v>46235</v>
      </c>
      <c r="I31" s="2"/>
      <c r="J31" s="2"/>
      <c r="K31" t="s">
        <v>341</v>
      </c>
      <c r="L31">
        <v>0</v>
      </c>
      <c r="P31" t="s">
        <v>4042</v>
      </c>
      <c r="Q31">
        <v>0</v>
      </c>
    </row>
    <row r="32" spans="1:18" hidden="1" x14ac:dyDescent="0.25">
      <c r="A32" s="1">
        <v>46235</v>
      </c>
      <c r="B32" t="s">
        <v>228</v>
      </c>
      <c r="C32" t="s">
        <v>229</v>
      </c>
      <c r="D32" t="s">
        <v>4078</v>
      </c>
      <c r="E32" t="s">
        <v>4046</v>
      </c>
      <c r="F32" t="s">
        <v>4079</v>
      </c>
      <c r="G32" s="1">
        <v>46235</v>
      </c>
      <c r="H32" s="1">
        <v>46235</v>
      </c>
      <c r="I32" s="2">
        <v>0.25</v>
      </c>
      <c r="J32" s="2">
        <v>0.625</v>
      </c>
      <c r="K32" t="s">
        <v>339</v>
      </c>
      <c r="L32">
        <v>0</v>
      </c>
      <c r="M32" t="s">
        <v>4258</v>
      </c>
      <c r="N32" t="s">
        <v>228</v>
      </c>
      <c r="O32" t="s">
        <v>229</v>
      </c>
      <c r="P32" t="s">
        <v>4042</v>
      </c>
      <c r="Q32">
        <v>9</v>
      </c>
    </row>
    <row r="33" spans="1:18" hidden="1" x14ac:dyDescent="0.25">
      <c r="A33" s="1">
        <v>46235</v>
      </c>
      <c r="B33">
        <v>1192769686</v>
      </c>
      <c r="C33" t="s">
        <v>1935</v>
      </c>
      <c r="D33" t="s">
        <v>256</v>
      </c>
      <c r="E33" t="s">
        <v>4040</v>
      </c>
      <c r="F33" t="s">
        <v>16</v>
      </c>
      <c r="G33" s="1">
        <v>46234</v>
      </c>
      <c r="H33" s="1">
        <v>46235</v>
      </c>
      <c r="I33" s="2">
        <v>0.25</v>
      </c>
      <c r="J33" s="2">
        <v>0.66666666666666663</v>
      </c>
      <c r="K33" t="s">
        <v>304</v>
      </c>
      <c r="L33">
        <v>0</v>
      </c>
      <c r="M33" t="s">
        <v>4257</v>
      </c>
      <c r="N33" t="s">
        <v>303</v>
      </c>
      <c r="O33" t="s">
        <v>304</v>
      </c>
      <c r="P33" t="s">
        <v>4042</v>
      </c>
      <c r="Q33">
        <v>10</v>
      </c>
    </row>
    <row r="34" spans="1:18" hidden="1" x14ac:dyDescent="0.25">
      <c r="A34" s="1">
        <v>46235</v>
      </c>
      <c r="B34">
        <v>1067959066</v>
      </c>
      <c r="C34" t="s">
        <v>3479</v>
      </c>
      <c r="D34" t="s">
        <v>344</v>
      </c>
      <c r="E34" t="s">
        <v>4056</v>
      </c>
      <c r="F34" t="s">
        <v>4074</v>
      </c>
      <c r="G34" s="1">
        <v>46235</v>
      </c>
      <c r="H34" s="1">
        <v>46235</v>
      </c>
      <c r="I34" s="2">
        <v>0.25</v>
      </c>
      <c r="J34" s="2">
        <v>0.58333333333333337</v>
      </c>
      <c r="K34" t="s">
        <v>4082</v>
      </c>
      <c r="L34">
        <v>0</v>
      </c>
      <c r="M34" t="s">
        <v>4255</v>
      </c>
      <c r="N34" t="s">
        <v>560</v>
      </c>
      <c r="O34" t="s">
        <v>561</v>
      </c>
      <c r="P34" t="s">
        <v>4042</v>
      </c>
      <c r="Q34">
        <v>8</v>
      </c>
    </row>
    <row r="35" spans="1:18" hidden="1" x14ac:dyDescent="0.25">
      <c r="A35" s="1">
        <v>46235</v>
      </c>
      <c r="B35">
        <v>1037668071</v>
      </c>
      <c r="C35" t="s">
        <v>1761</v>
      </c>
      <c r="D35" t="s">
        <v>55</v>
      </c>
      <c r="E35" t="s">
        <v>4047</v>
      </c>
      <c r="F35" t="s">
        <v>4074</v>
      </c>
      <c r="G35" s="1">
        <v>46235</v>
      </c>
      <c r="H35" s="1">
        <v>46235</v>
      </c>
      <c r="I35" s="2"/>
      <c r="J35" s="2"/>
      <c r="K35" t="s">
        <v>4083</v>
      </c>
      <c r="L35">
        <v>0</v>
      </c>
      <c r="P35" t="s">
        <v>4042</v>
      </c>
      <c r="Q35">
        <v>0</v>
      </c>
    </row>
    <row r="36" spans="1:18" hidden="1" x14ac:dyDescent="0.25">
      <c r="A36" s="1">
        <v>46235</v>
      </c>
      <c r="B36">
        <v>1037642818</v>
      </c>
      <c r="C36" t="s">
        <v>3692</v>
      </c>
      <c r="D36" t="s">
        <v>28</v>
      </c>
      <c r="E36" t="s">
        <v>4046</v>
      </c>
      <c r="F36" t="s">
        <v>4074</v>
      </c>
      <c r="G36" s="1">
        <v>46235</v>
      </c>
      <c r="H36" s="1"/>
      <c r="I36" s="2"/>
      <c r="J36" s="2"/>
      <c r="K36" t="s">
        <v>4083</v>
      </c>
      <c r="L36">
        <v>0</v>
      </c>
      <c r="P36" t="s">
        <v>4042</v>
      </c>
      <c r="Q36">
        <v>0</v>
      </c>
    </row>
    <row r="37" spans="1:18" hidden="1" x14ac:dyDescent="0.25">
      <c r="A37" s="1">
        <v>46237</v>
      </c>
      <c r="B37">
        <v>1047505786</v>
      </c>
      <c r="C37" t="s">
        <v>114</v>
      </c>
      <c r="D37" t="s">
        <v>51</v>
      </c>
      <c r="E37" t="s">
        <v>4047</v>
      </c>
      <c r="F37" t="s">
        <v>16</v>
      </c>
      <c r="G37" s="1">
        <v>46229</v>
      </c>
      <c r="H37" s="1">
        <v>46243</v>
      </c>
      <c r="I37" s="2">
        <v>0.58333333333333337</v>
      </c>
      <c r="J37" s="2">
        <v>0.875</v>
      </c>
      <c r="K37" s="8" t="s">
        <v>117</v>
      </c>
      <c r="L37">
        <v>2</v>
      </c>
      <c r="M37" t="s">
        <v>4260</v>
      </c>
      <c r="N37" t="s">
        <v>116</v>
      </c>
      <c r="O37" t="s">
        <v>117</v>
      </c>
      <c r="P37" t="s">
        <v>21</v>
      </c>
      <c r="Q37">
        <v>7</v>
      </c>
    </row>
    <row r="38" spans="1:18" hidden="1" x14ac:dyDescent="0.25">
      <c r="A38" s="1">
        <v>46237</v>
      </c>
      <c r="B38">
        <v>1085318652</v>
      </c>
      <c r="C38" t="s">
        <v>292</v>
      </c>
      <c r="D38" t="s">
        <v>272</v>
      </c>
      <c r="E38" t="s">
        <v>4056</v>
      </c>
      <c r="F38" t="s">
        <v>92</v>
      </c>
      <c r="G38" s="1">
        <v>46233</v>
      </c>
      <c r="H38" s="1">
        <v>46238</v>
      </c>
      <c r="I38" s="2">
        <v>0.25</v>
      </c>
      <c r="J38" s="2">
        <v>0.54166666666666663</v>
      </c>
      <c r="K38" s="9" t="s">
        <v>286</v>
      </c>
      <c r="L38">
        <v>0</v>
      </c>
      <c r="M38" t="s">
        <v>4255</v>
      </c>
      <c r="N38" t="s">
        <v>285</v>
      </c>
      <c r="O38" t="s">
        <v>286</v>
      </c>
      <c r="P38" t="s">
        <v>4042</v>
      </c>
      <c r="Q38">
        <v>7</v>
      </c>
      <c r="R38" s="8" t="s">
        <v>4262</v>
      </c>
    </row>
    <row r="39" spans="1:18" hidden="1" x14ac:dyDescent="0.25">
      <c r="A39" s="1">
        <v>46237</v>
      </c>
      <c r="B39">
        <v>1152226738</v>
      </c>
      <c r="C39" t="s">
        <v>138</v>
      </c>
      <c r="D39" t="s">
        <v>139</v>
      </c>
      <c r="E39" t="s">
        <v>4040</v>
      </c>
      <c r="F39" t="s">
        <v>16</v>
      </c>
      <c r="G39" s="1">
        <v>46234</v>
      </c>
      <c r="H39" s="1">
        <v>46237</v>
      </c>
      <c r="I39" s="2">
        <v>0.25</v>
      </c>
      <c r="J39" s="2">
        <v>0.54166666666666663</v>
      </c>
      <c r="K39" t="s">
        <v>120</v>
      </c>
      <c r="L39">
        <v>0</v>
      </c>
      <c r="M39" t="s">
        <v>4260</v>
      </c>
      <c r="N39" t="s">
        <v>119</v>
      </c>
      <c r="O39" t="s">
        <v>120</v>
      </c>
      <c r="P39" t="s">
        <v>4042</v>
      </c>
      <c r="Q39">
        <v>7</v>
      </c>
    </row>
    <row r="40" spans="1:18" hidden="1" x14ac:dyDescent="0.25">
      <c r="A40" s="1">
        <v>46237</v>
      </c>
      <c r="B40">
        <v>1001940238</v>
      </c>
      <c r="C40" t="s">
        <v>4049</v>
      </c>
      <c r="D40" t="s">
        <v>82</v>
      </c>
      <c r="E40" t="s">
        <v>4045</v>
      </c>
      <c r="F40" s="4" t="s">
        <v>4050</v>
      </c>
      <c r="G40" s="1">
        <v>46237</v>
      </c>
      <c r="H40" s="1">
        <v>46239</v>
      </c>
      <c r="I40" s="2">
        <v>0.5</v>
      </c>
      <c r="J40" s="2">
        <v>0.83333333333333337</v>
      </c>
      <c r="K40" s="8" t="s">
        <v>232</v>
      </c>
      <c r="L40">
        <v>1</v>
      </c>
      <c r="M40" t="s">
        <v>4257</v>
      </c>
      <c r="N40" t="s">
        <v>231</v>
      </c>
      <c r="O40" t="s">
        <v>232</v>
      </c>
      <c r="P40" t="s">
        <v>21</v>
      </c>
      <c r="Q40">
        <v>8</v>
      </c>
    </row>
    <row r="41" spans="1:18" hidden="1" x14ac:dyDescent="0.25">
      <c r="A41" s="1">
        <v>46237</v>
      </c>
      <c r="B41">
        <v>1140905046</v>
      </c>
      <c r="C41" t="s">
        <v>4059</v>
      </c>
      <c r="D41" t="s">
        <v>482</v>
      </c>
      <c r="E41" t="s">
        <v>4040</v>
      </c>
      <c r="F41" t="s">
        <v>4050</v>
      </c>
      <c r="G41" s="1">
        <v>46235</v>
      </c>
      <c r="H41" s="1">
        <v>46238</v>
      </c>
      <c r="I41" s="2">
        <v>0.25</v>
      </c>
      <c r="J41" s="2">
        <v>0.54166666666666663</v>
      </c>
      <c r="K41" s="9" t="s">
        <v>310</v>
      </c>
      <c r="L41">
        <v>0</v>
      </c>
      <c r="M41" t="s">
        <v>4260</v>
      </c>
      <c r="N41" t="s">
        <v>309</v>
      </c>
      <c r="O41" t="s">
        <v>310</v>
      </c>
      <c r="P41" t="s">
        <v>4042</v>
      </c>
      <c r="Q41">
        <v>7</v>
      </c>
      <c r="R41" s="8" t="s">
        <v>4261</v>
      </c>
    </row>
    <row r="42" spans="1:18" hidden="1" x14ac:dyDescent="0.25">
      <c r="A42" s="1">
        <v>46237</v>
      </c>
      <c r="B42">
        <v>21852680</v>
      </c>
      <c r="C42" t="s">
        <v>4058</v>
      </c>
      <c r="D42" t="s">
        <v>482</v>
      </c>
      <c r="E42" t="s">
        <v>4040</v>
      </c>
      <c r="F42" t="s">
        <v>4050</v>
      </c>
      <c r="G42" s="1">
        <v>46235</v>
      </c>
      <c r="H42" s="1">
        <v>46238</v>
      </c>
      <c r="I42" s="2">
        <v>0.25</v>
      </c>
      <c r="J42" s="2">
        <v>0.58333333333333337</v>
      </c>
      <c r="K42" s="4" t="s">
        <v>194</v>
      </c>
      <c r="L42">
        <v>0</v>
      </c>
      <c r="M42" t="s">
        <v>4260</v>
      </c>
      <c r="N42" t="s">
        <v>193</v>
      </c>
      <c r="O42" t="s">
        <v>194</v>
      </c>
      <c r="P42" t="s">
        <v>4042</v>
      </c>
      <c r="Q42">
        <v>8</v>
      </c>
      <c r="R42" s="8" t="s">
        <v>4261</v>
      </c>
    </row>
    <row r="43" spans="1:18" hidden="1" x14ac:dyDescent="0.25">
      <c r="A43" s="1">
        <v>46237</v>
      </c>
      <c r="B43">
        <v>1143374438</v>
      </c>
      <c r="C43" t="s">
        <v>154</v>
      </c>
      <c r="D43" t="s">
        <v>28</v>
      </c>
      <c r="E43" t="s">
        <v>4046</v>
      </c>
      <c r="F43" t="s">
        <v>16</v>
      </c>
      <c r="G43" s="1">
        <v>46209</v>
      </c>
      <c r="H43" s="1">
        <v>46238</v>
      </c>
      <c r="I43" s="2">
        <v>0.25</v>
      </c>
      <c r="J43" s="2">
        <v>0.58333333333333337</v>
      </c>
      <c r="K43" t="s">
        <v>274</v>
      </c>
      <c r="L43">
        <v>0</v>
      </c>
      <c r="M43" t="s">
        <v>4257</v>
      </c>
      <c r="N43" t="s">
        <v>273</v>
      </c>
      <c r="O43" t="s">
        <v>274</v>
      </c>
      <c r="P43" t="s">
        <v>4042</v>
      </c>
      <c r="Q43">
        <v>8</v>
      </c>
    </row>
    <row r="44" spans="1:18" hidden="1" x14ac:dyDescent="0.25">
      <c r="A44" s="1">
        <v>46237</v>
      </c>
      <c r="B44" t="s">
        <v>288</v>
      </c>
      <c r="C44" t="s">
        <v>289</v>
      </c>
      <c r="D44" t="s">
        <v>272</v>
      </c>
      <c r="E44" t="s">
        <v>4056</v>
      </c>
      <c r="F44" t="s">
        <v>36</v>
      </c>
      <c r="G44" s="1">
        <v>46230</v>
      </c>
      <c r="H44" s="1">
        <v>46355</v>
      </c>
      <c r="I44" s="2">
        <v>0.25</v>
      </c>
      <c r="J44" s="2">
        <v>0.58333333333333337</v>
      </c>
      <c r="K44" s="8" t="s">
        <v>322</v>
      </c>
      <c r="L44">
        <v>0</v>
      </c>
      <c r="M44" t="s">
        <v>4255</v>
      </c>
      <c r="N44" t="s">
        <v>321</v>
      </c>
      <c r="O44" s="10" t="s">
        <v>322</v>
      </c>
      <c r="P44" t="s">
        <v>4042</v>
      </c>
      <c r="Q44">
        <v>8</v>
      </c>
      <c r="R44" t="s">
        <v>4262</v>
      </c>
    </row>
    <row r="45" spans="1:18" hidden="1" x14ac:dyDescent="0.25">
      <c r="A45" s="1">
        <v>46237</v>
      </c>
      <c r="B45" t="s">
        <v>33</v>
      </c>
      <c r="C45" t="s">
        <v>34</v>
      </c>
      <c r="D45" t="s">
        <v>15</v>
      </c>
      <c r="E45" t="s">
        <v>4046</v>
      </c>
      <c r="F45" t="s">
        <v>16</v>
      </c>
      <c r="G45" s="1">
        <v>46224</v>
      </c>
      <c r="H45" s="1">
        <v>46239</v>
      </c>
      <c r="I45" s="2">
        <v>0.54166666666666663</v>
      </c>
      <c r="J45" s="2">
        <v>0.875</v>
      </c>
      <c r="K45" s="4" t="s">
        <v>18</v>
      </c>
      <c r="L45">
        <v>2</v>
      </c>
      <c r="M45" t="s">
        <v>4258</v>
      </c>
      <c r="N45" t="s">
        <v>17</v>
      </c>
      <c r="O45" t="s">
        <v>18</v>
      </c>
      <c r="P45" t="s">
        <v>21</v>
      </c>
      <c r="Q45">
        <v>8</v>
      </c>
      <c r="R45" s="8"/>
    </row>
    <row r="46" spans="1:18" hidden="1" x14ac:dyDescent="0.25">
      <c r="A46" s="1">
        <v>46237</v>
      </c>
      <c r="B46">
        <v>1143375080</v>
      </c>
      <c r="C46" t="s">
        <v>203</v>
      </c>
      <c r="D46" t="s">
        <v>44</v>
      </c>
      <c r="E46" t="s">
        <v>4045</v>
      </c>
      <c r="F46" t="s">
        <v>4062</v>
      </c>
      <c r="G46" s="1">
        <v>46232</v>
      </c>
      <c r="H46" s="1">
        <v>46239</v>
      </c>
      <c r="I46" s="2">
        <v>0.25</v>
      </c>
      <c r="J46" s="2">
        <v>0.54166666666666663</v>
      </c>
      <c r="K46" t="s">
        <v>1492</v>
      </c>
      <c r="L46">
        <v>0</v>
      </c>
      <c r="M46" t="s">
        <v>4257</v>
      </c>
      <c r="N46" t="s">
        <v>1491</v>
      </c>
      <c r="O46" t="s">
        <v>1492</v>
      </c>
      <c r="P46" t="s">
        <v>4042</v>
      </c>
      <c r="Q46">
        <v>7</v>
      </c>
    </row>
    <row r="47" spans="1:18" hidden="1" x14ac:dyDescent="0.25">
      <c r="A47" s="1">
        <v>46237</v>
      </c>
      <c r="B47">
        <v>1017264032</v>
      </c>
      <c r="C47" t="s">
        <v>54</v>
      </c>
      <c r="D47" t="s">
        <v>55</v>
      </c>
      <c r="E47" t="s">
        <v>4047</v>
      </c>
      <c r="F47" t="s">
        <v>16</v>
      </c>
      <c r="G47" s="1">
        <v>46229</v>
      </c>
      <c r="H47" s="1">
        <v>46258</v>
      </c>
      <c r="I47" s="2">
        <v>0.58333333333333337</v>
      </c>
      <c r="J47" s="2">
        <v>0.875</v>
      </c>
      <c r="K47" s="8" t="s">
        <v>111</v>
      </c>
      <c r="L47">
        <v>2</v>
      </c>
      <c r="M47" t="s">
        <v>4259</v>
      </c>
      <c r="N47" t="s">
        <v>110</v>
      </c>
      <c r="O47" t="s">
        <v>111</v>
      </c>
      <c r="P47" t="s">
        <v>21</v>
      </c>
      <c r="Q47">
        <v>7</v>
      </c>
    </row>
    <row r="48" spans="1:18" hidden="1" x14ac:dyDescent="0.25">
      <c r="A48" s="1">
        <v>46237</v>
      </c>
      <c r="B48">
        <v>1036132488</v>
      </c>
      <c r="C48" t="s">
        <v>89</v>
      </c>
      <c r="D48" t="s">
        <v>59</v>
      </c>
      <c r="E48" t="s">
        <v>4047</v>
      </c>
      <c r="F48" t="s">
        <v>16</v>
      </c>
      <c r="G48" s="1">
        <v>46227</v>
      </c>
      <c r="H48" s="1">
        <v>46246</v>
      </c>
      <c r="I48" s="2">
        <v>0.25</v>
      </c>
      <c r="J48" s="2">
        <v>0.5</v>
      </c>
      <c r="K48" t="s">
        <v>298</v>
      </c>
      <c r="L48">
        <v>0</v>
      </c>
      <c r="M48" t="s">
        <v>4260</v>
      </c>
      <c r="N48" t="s">
        <v>297</v>
      </c>
      <c r="O48" t="s">
        <v>298</v>
      </c>
      <c r="P48" t="s">
        <v>4042</v>
      </c>
      <c r="Q48">
        <v>6</v>
      </c>
    </row>
    <row r="49" spans="1:18" hidden="1" x14ac:dyDescent="0.25">
      <c r="A49" s="1">
        <v>46237</v>
      </c>
      <c r="B49">
        <v>72011169</v>
      </c>
      <c r="C49" t="s">
        <v>250</v>
      </c>
      <c r="D49" t="s">
        <v>55</v>
      </c>
      <c r="E49" t="s">
        <v>4047</v>
      </c>
      <c r="F49" t="s">
        <v>16</v>
      </c>
      <c r="G49" s="1">
        <v>46225</v>
      </c>
      <c r="H49" s="1">
        <v>46239</v>
      </c>
      <c r="I49" s="2">
        <v>0.25</v>
      </c>
      <c r="J49" s="2">
        <v>0.58333333333333337</v>
      </c>
      <c r="K49" t="s">
        <v>247</v>
      </c>
      <c r="L49">
        <v>0</v>
      </c>
      <c r="M49" t="s">
        <v>4260</v>
      </c>
      <c r="N49" t="s">
        <v>246</v>
      </c>
      <c r="O49" t="s">
        <v>247</v>
      </c>
      <c r="P49" t="s">
        <v>4042</v>
      </c>
      <c r="Q49">
        <v>8</v>
      </c>
    </row>
    <row r="50" spans="1:18" hidden="1" x14ac:dyDescent="0.25">
      <c r="A50" s="1">
        <v>46237</v>
      </c>
      <c r="B50">
        <v>43558465</v>
      </c>
      <c r="C50" t="s">
        <v>71</v>
      </c>
      <c r="D50" t="s">
        <v>55</v>
      </c>
      <c r="E50" t="s">
        <v>4047</v>
      </c>
      <c r="F50" t="s">
        <v>16</v>
      </c>
      <c r="G50" s="1">
        <v>46226</v>
      </c>
      <c r="H50" s="1">
        <v>46246</v>
      </c>
      <c r="I50" s="2">
        <v>0.25</v>
      </c>
      <c r="J50" s="2">
        <v>0.58333333333333337</v>
      </c>
      <c r="K50" t="s">
        <v>46</v>
      </c>
      <c r="L50">
        <v>0</v>
      </c>
      <c r="M50" t="s">
        <v>4260</v>
      </c>
      <c r="N50" t="s">
        <v>45</v>
      </c>
      <c r="O50" t="s">
        <v>46</v>
      </c>
      <c r="P50" t="s">
        <v>4042</v>
      </c>
      <c r="Q50">
        <v>8</v>
      </c>
    </row>
    <row r="51" spans="1:18" hidden="1" x14ac:dyDescent="0.25">
      <c r="A51" s="1">
        <v>46237</v>
      </c>
      <c r="B51">
        <v>1037631989</v>
      </c>
      <c r="C51" t="s">
        <v>27</v>
      </c>
      <c r="D51" t="s">
        <v>28</v>
      </c>
      <c r="E51" t="s">
        <v>4046</v>
      </c>
      <c r="F51" t="s">
        <v>16</v>
      </c>
      <c r="G51" s="1">
        <v>46226</v>
      </c>
      <c r="H51" s="1">
        <v>46255</v>
      </c>
      <c r="I51" s="2">
        <v>0.25</v>
      </c>
      <c r="J51" s="2">
        <v>0.54166666666666663</v>
      </c>
      <c r="K51" t="s">
        <v>214</v>
      </c>
      <c r="L51">
        <v>0</v>
      </c>
      <c r="M51" t="s">
        <v>4257</v>
      </c>
      <c r="N51" t="s">
        <v>213</v>
      </c>
      <c r="O51" t="s">
        <v>214</v>
      </c>
      <c r="P51" t="s">
        <v>4042</v>
      </c>
      <c r="Q51">
        <v>7</v>
      </c>
    </row>
    <row r="52" spans="1:18" hidden="1" x14ac:dyDescent="0.25">
      <c r="A52" s="1">
        <v>46237</v>
      </c>
      <c r="B52">
        <v>42141273</v>
      </c>
      <c r="C52" t="s">
        <v>271</v>
      </c>
      <c r="D52" t="s">
        <v>272</v>
      </c>
      <c r="E52" t="s">
        <v>4056</v>
      </c>
      <c r="F52" t="s">
        <v>16</v>
      </c>
      <c r="G52" s="1">
        <v>46224</v>
      </c>
      <c r="H52" s="1">
        <v>46238</v>
      </c>
      <c r="I52" s="2">
        <v>0.25</v>
      </c>
      <c r="J52" s="2">
        <v>0.5</v>
      </c>
      <c r="K52" s="9" t="s">
        <v>268</v>
      </c>
      <c r="L52">
        <v>0</v>
      </c>
      <c r="M52" t="s">
        <v>4255</v>
      </c>
      <c r="N52" t="s">
        <v>267</v>
      </c>
      <c r="O52" t="s">
        <v>268</v>
      </c>
      <c r="P52" t="s">
        <v>4042</v>
      </c>
      <c r="Q52">
        <v>6</v>
      </c>
      <c r="R52" s="8" t="s">
        <v>4262</v>
      </c>
    </row>
    <row r="53" spans="1:18" hidden="1" x14ac:dyDescent="0.25">
      <c r="A53" s="1">
        <v>46237</v>
      </c>
      <c r="B53">
        <v>1043006106</v>
      </c>
      <c r="C53" t="s">
        <v>202</v>
      </c>
      <c r="D53" t="s">
        <v>64</v>
      </c>
      <c r="E53" t="s">
        <v>4046</v>
      </c>
      <c r="F53" t="s">
        <v>16</v>
      </c>
      <c r="G53" s="1">
        <v>46219</v>
      </c>
      <c r="H53" s="1">
        <v>46248</v>
      </c>
      <c r="I53" s="2">
        <v>0.25</v>
      </c>
      <c r="J53" s="2">
        <v>0.54166666666666663</v>
      </c>
      <c r="K53" s="4" t="s">
        <v>237</v>
      </c>
      <c r="L53">
        <v>0</v>
      </c>
      <c r="M53" t="s">
        <v>4255</v>
      </c>
      <c r="N53" t="s">
        <v>236</v>
      </c>
      <c r="O53" t="s">
        <v>237</v>
      </c>
      <c r="P53" t="s">
        <v>4042</v>
      </c>
      <c r="Q53">
        <v>7</v>
      </c>
      <c r="R53" s="8" t="s">
        <v>4256</v>
      </c>
    </row>
    <row r="54" spans="1:18" hidden="1" x14ac:dyDescent="0.25">
      <c r="A54" s="1">
        <v>46237</v>
      </c>
      <c r="B54">
        <v>1037638426</v>
      </c>
      <c r="C54" t="s">
        <v>31</v>
      </c>
      <c r="D54" t="s">
        <v>28</v>
      </c>
      <c r="E54" t="s">
        <v>4046</v>
      </c>
      <c r="F54" t="s">
        <v>24</v>
      </c>
      <c r="G54" s="1">
        <v>46230</v>
      </c>
      <c r="H54" s="1">
        <v>46262</v>
      </c>
      <c r="I54" s="2">
        <v>0.58333333333333337</v>
      </c>
      <c r="J54" s="2">
        <v>0.875</v>
      </c>
      <c r="K54" s="8" t="s">
        <v>149</v>
      </c>
      <c r="L54">
        <v>2</v>
      </c>
      <c r="M54" t="s">
        <v>4258</v>
      </c>
      <c r="N54" t="s">
        <v>148</v>
      </c>
      <c r="O54" t="s">
        <v>149</v>
      </c>
      <c r="P54" t="s">
        <v>21</v>
      </c>
      <c r="Q54">
        <v>7</v>
      </c>
    </row>
    <row r="55" spans="1:18" hidden="1" x14ac:dyDescent="0.25">
      <c r="A55" s="1">
        <v>46237</v>
      </c>
      <c r="B55">
        <v>1035876080</v>
      </c>
      <c r="C55" t="s">
        <v>123</v>
      </c>
      <c r="D55" t="s">
        <v>124</v>
      </c>
      <c r="E55" t="s">
        <v>4045</v>
      </c>
      <c r="F55" t="s">
        <v>16</v>
      </c>
      <c r="G55" s="1">
        <v>46224</v>
      </c>
      <c r="H55" s="1">
        <v>46238</v>
      </c>
      <c r="I55" s="2">
        <v>0.25</v>
      </c>
      <c r="J55" s="2">
        <v>0.58333333333333337</v>
      </c>
      <c r="K55" t="s">
        <v>277</v>
      </c>
      <c r="L55">
        <v>0</v>
      </c>
      <c r="M55" t="s">
        <v>4259</v>
      </c>
      <c r="N55" t="s">
        <v>276</v>
      </c>
      <c r="O55" t="s">
        <v>277</v>
      </c>
      <c r="P55" t="s">
        <v>4042</v>
      </c>
      <c r="Q55">
        <v>8</v>
      </c>
    </row>
    <row r="56" spans="1:18" hidden="1" x14ac:dyDescent="0.25">
      <c r="A56" s="1">
        <v>46237</v>
      </c>
      <c r="B56">
        <v>1121506548</v>
      </c>
      <c r="C56" t="s">
        <v>38</v>
      </c>
      <c r="D56" t="s">
        <v>39</v>
      </c>
      <c r="E56" t="s">
        <v>4046</v>
      </c>
      <c r="F56" t="s">
        <v>36</v>
      </c>
      <c r="G56" s="1">
        <v>46217</v>
      </c>
      <c r="H56" s="1">
        <v>46342</v>
      </c>
      <c r="I56" s="2">
        <v>0.25</v>
      </c>
      <c r="J56" s="2">
        <v>0.54166666666666663</v>
      </c>
      <c r="K56" t="s">
        <v>178</v>
      </c>
      <c r="L56">
        <v>0</v>
      </c>
      <c r="M56" t="s">
        <v>4257</v>
      </c>
      <c r="N56" t="s">
        <v>177</v>
      </c>
      <c r="O56" t="s">
        <v>178</v>
      </c>
      <c r="P56" t="s">
        <v>4042</v>
      </c>
      <c r="Q56">
        <v>7</v>
      </c>
    </row>
    <row r="57" spans="1:18" hidden="1" x14ac:dyDescent="0.25">
      <c r="A57" s="1">
        <v>46237</v>
      </c>
      <c r="B57" t="s">
        <v>225</v>
      </c>
      <c r="C57" t="s">
        <v>226</v>
      </c>
      <c r="D57" t="s">
        <v>39</v>
      </c>
      <c r="E57" t="s">
        <v>4046</v>
      </c>
      <c r="F57" t="s">
        <v>24</v>
      </c>
      <c r="G57" s="1">
        <v>46227</v>
      </c>
      <c r="H57" s="1">
        <v>46237</v>
      </c>
      <c r="I57" s="2">
        <v>0.54166666666666663</v>
      </c>
      <c r="J57" s="2">
        <v>0.875</v>
      </c>
      <c r="K57" s="8" t="s">
        <v>223</v>
      </c>
      <c r="L57">
        <v>2</v>
      </c>
      <c r="M57" t="s">
        <v>4258</v>
      </c>
      <c r="N57" t="s">
        <v>222</v>
      </c>
      <c r="O57" t="s">
        <v>223</v>
      </c>
      <c r="P57" t="s">
        <v>21</v>
      </c>
      <c r="Q57">
        <v>8</v>
      </c>
    </row>
    <row r="58" spans="1:18" hidden="1" x14ac:dyDescent="0.25">
      <c r="A58" s="1">
        <v>46237</v>
      </c>
      <c r="B58">
        <v>1143460426</v>
      </c>
      <c r="C58" t="s">
        <v>4069</v>
      </c>
      <c r="D58" t="s">
        <v>64</v>
      </c>
      <c r="E58" t="s">
        <v>4046</v>
      </c>
      <c r="F58" t="s">
        <v>4050</v>
      </c>
      <c r="G58" s="1">
        <v>46195</v>
      </c>
      <c r="H58" s="1">
        <v>46198</v>
      </c>
      <c r="I58" s="2">
        <v>0.25</v>
      </c>
      <c r="J58" s="2">
        <v>0.58333333333333337</v>
      </c>
      <c r="K58" t="s">
        <v>265</v>
      </c>
      <c r="L58">
        <v>0</v>
      </c>
      <c r="M58" t="s">
        <v>4257</v>
      </c>
      <c r="N58" t="s">
        <v>264</v>
      </c>
      <c r="O58" t="s">
        <v>265</v>
      </c>
      <c r="P58" t="s">
        <v>4042</v>
      </c>
      <c r="Q58">
        <v>8</v>
      </c>
    </row>
    <row r="59" spans="1:18" hidden="1" x14ac:dyDescent="0.25">
      <c r="A59" s="1">
        <v>46237</v>
      </c>
      <c r="B59">
        <v>1152221372</v>
      </c>
      <c r="C59" t="s">
        <v>2363</v>
      </c>
      <c r="D59" t="s">
        <v>139</v>
      </c>
      <c r="E59" t="s">
        <v>4040</v>
      </c>
      <c r="F59" t="s">
        <v>158</v>
      </c>
      <c r="G59" s="1">
        <v>46230</v>
      </c>
      <c r="H59" s="1">
        <v>46230</v>
      </c>
      <c r="I59" s="2">
        <v>0.25</v>
      </c>
      <c r="J59" s="2">
        <v>0.58333333333333337</v>
      </c>
      <c r="K59" t="s">
        <v>258</v>
      </c>
      <c r="L59">
        <v>0</v>
      </c>
      <c r="M59" t="s">
        <v>4260</v>
      </c>
      <c r="N59" t="s">
        <v>257</v>
      </c>
      <c r="O59" t="s">
        <v>258</v>
      </c>
      <c r="P59" t="s">
        <v>4042</v>
      </c>
      <c r="Q59">
        <v>8</v>
      </c>
    </row>
    <row r="60" spans="1:18" hidden="1" x14ac:dyDescent="0.25">
      <c r="A60" s="1">
        <v>46237</v>
      </c>
      <c r="B60">
        <v>1098777544</v>
      </c>
      <c r="C60" t="s">
        <v>131</v>
      </c>
      <c r="D60" t="s">
        <v>132</v>
      </c>
      <c r="E60" t="s">
        <v>4040</v>
      </c>
      <c r="F60" t="s">
        <v>16</v>
      </c>
      <c r="G60" s="1">
        <v>46217</v>
      </c>
      <c r="H60" s="1">
        <v>46246</v>
      </c>
      <c r="I60" s="2">
        <v>0.58333333333333337</v>
      </c>
      <c r="J60" s="2">
        <v>0.875</v>
      </c>
      <c r="K60" s="8" t="s">
        <v>283</v>
      </c>
      <c r="L60">
        <v>2</v>
      </c>
      <c r="M60" t="s">
        <v>4260</v>
      </c>
      <c r="N60" t="s">
        <v>282</v>
      </c>
      <c r="O60" t="s">
        <v>283</v>
      </c>
      <c r="P60" t="s">
        <v>21</v>
      </c>
      <c r="Q60">
        <v>7</v>
      </c>
    </row>
    <row r="61" spans="1:18" hidden="1" x14ac:dyDescent="0.25">
      <c r="A61" s="1">
        <v>46237</v>
      </c>
      <c r="B61">
        <v>1047476960</v>
      </c>
      <c r="C61" t="s">
        <v>3219</v>
      </c>
      <c r="D61" t="s">
        <v>492</v>
      </c>
      <c r="E61" t="s">
        <v>4045</v>
      </c>
      <c r="F61" t="s">
        <v>16</v>
      </c>
      <c r="G61" s="1">
        <v>46234</v>
      </c>
      <c r="H61" s="1">
        <v>46237</v>
      </c>
      <c r="I61" s="2">
        <v>0.58333333333333337</v>
      </c>
      <c r="J61" s="2">
        <v>0.875</v>
      </c>
      <c r="K61" s="8" t="s">
        <v>4305</v>
      </c>
      <c r="L61">
        <v>2</v>
      </c>
      <c r="M61" t="s">
        <v>4257</v>
      </c>
      <c r="N61" t="s">
        <v>96</v>
      </c>
      <c r="O61" t="s">
        <v>97</v>
      </c>
      <c r="P61" t="s">
        <v>21</v>
      </c>
      <c r="Q61">
        <v>7</v>
      </c>
    </row>
    <row r="62" spans="1:18" hidden="1" x14ac:dyDescent="0.25">
      <c r="A62" s="1">
        <v>46237</v>
      </c>
      <c r="B62">
        <v>1001005240</v>
      </c>
      <c r="C62" t="s">
        <v>43</v>
      </c>
      <c r="D62" t="s">
        <v>44</v>
      </c>
      <c r="E62" t="s">
        <v>4045</v>
      </c>
      <c r="F62" t="s">
        <v>16</v>
      </c>
      <c r="G62" s="1">
        <v>46234</v>
      </c>
      <c r="H62" s="1">
        <v>46240</v>
      </c>
      <c r="I62" s="2">
        <v>0.58333333333333337</v>
      </c>
      <c r="J62" s="2">
        <v>0.875</v>
      </c>
      <c r="K62" s="8" t="s">
        <v>301</v>
      </c>
      <c r="L62">
        <v>2</v>
      </c>
      <c r="M62" t="s">
        <v>4258</v>
      </c>
      <c r="N62" t="s">
        <v>300</v>
      </c>
      <c r="O62" t="s">
        <v>301</v>
      </c>
      <c r="P62" t="s">
        <v>21</v>
      </c>
      <c r="Q62">
        <v>7</v>
      </c>
    </row>
    <row r="63" spans="1:18" hidden="1" x14ac:dyDescent="0.25">
      <c r="A63" s="1">
        <v>46237</v>
      </c>
      <c r="B63" t="s">
        <v>228</v>
      </c>
      <c r="C63" t="s">
        <v>229</v>
      </c>
      <c r="D63" t="s">
        <v>4078</v>
      </c>
      <c r="E63" t="s">
        <v>4046</v>
      </c>
      <c r="F63" t="s">
        <v>4079</v>
      </c>
      <c r="G63" s="1">
        <v>46235</v>
      </c>
      <c r="H63" s="1">
        <v>46235</v>
      </c>
      <c r="I63" s="2">
        <v>0.25</v>
      </c>
      <c r="J63" s="2">
        <v>0.58333333333333337</v>
      </c>
      <c r="K63" t="s">
        <v>229</v>
      </c>
      <c r="L63">
        <v>0</v>
      </c>
      <c r="M63" t="s">
        <v>4258</v>
      </c>
      <c r="N63" t="s">
        <v>228</v>
      </c>
      <c r="O63" t="s">
        <v>229</v>
      </c>
      <c r="P63" t="s">
        <v>4042</v>
      </c>
      <c r="Q63">
        <v>8</v>
      </c>
    </row>
    <row r="64" spans="1:18" hidden="1" x14ac:dyDescent="0.25">
      <c r="A64" s="1">
        <v>46237</v>
      </c>
      <c r="B64">
        <v>1143470207</v>
      </c>
      <c r="C64" t="s">
        <v>4076</v>
      </c>
      <c r="D64" t="s">
        <v>44</v>
      </c>
      <c r="E64" t="s">
        <v>4045</v>
      </c>
      <c r="F64" s="4" t="s">
        <v>4050</v>
      </c>
      <c r="G64" s="1">
        <v>46235</v>
      </c>
      <c r="H64" s="1">
        <v>46238</v>
      </c>
      <c r="I64" s="2">
        <v>0.58333333333333337</v>
      </c>
      <c r="J64" s="2">
        <v>0.875</v>
      </c>
      <c r="K64" s="8" t="s">
        <v>304</v>
      </c>
      <c r="L64">
        <v>2</v>
      </c>
      <c r="M64" t="s">
        <v>4257</v>
      </c>
      <c r="N64" t="s">
        <v>303</v>
      </c>
      <c r="O64" t="s">
        <v>304</v>
      </c>
      <c r="P64" t="s">
        <v>21</v>
      </c>
      <c r="Q64">
        <v>7</v>
      </c>
    </row>
    <row r="65" spans="1:18" hidden="1" x14ac:dyDescent="0.25">
      <c r="A65" s="1">
        <v>46237</v>
      </c>
      <c r="B65">
        <v>1035442917</v>
      </c>
      <c r="C65" t="s">
        <v>2781</v>
      </c>
      <c r="D65" t="s">
        <v>245</v>
      </c>
      <c r="E65" t="s">
        <v>4040</v>
      </c>
      <c r="F65" t="s">
        <v>4074</v>
      </c>
      <c r="G65" s="1">
        <v>46235</v>
      </c>
      <c r="H65" s="1"/>
      <c r="I65" s="2">
        <v>0.25</v>
      </c>
      <c r="J65" s="2">
        <v>0.54166666666666663</v>
      </c>
      <c r="K65" t="s">
        <v>4086</v>
      </c>
      <c r="L65">
        <v>0</v>
      </c>
      <c r="M65" t="s">
        <v>4259</v>
      </c>
      <c r="N65" t="s">
        <v>85</v>
      </c>
      <c r="O65" t="s">
        <v>86</v>
      </c>
      <c r="P65" t="s">
        <v>4042</v>
      </c>
      <c r="Q65">
        <v>7</v>
      </c>
    </row>
    <row r="66" spans="1:18" hidden="1" x14ac:dyDescent="0.25">
      <c r="A66" s="1">
        <v>46237</v>
      </c>
      <c r="B66">
        <v>1032491944</v>
      </c>
      <c r="C66" t="s">
        <v>687</v>
      </c>
      <c r="D66" t="s">
        <v>78</v>
      </c>
      <c r="E66" t="s">
        <v>4046</v>
      </c>
      <c r="F66" t="s">
        <v>4074</v>
      </c>
      <c r="G66" s="1">
        <v>46237</v>
      </c>
      <c r="H66" s="1">
        <v>46241</v>
      </c>
      <c r="I66" s="2">
        <v>0.25</v>
      </c>
      <c r="J66" s="2">
        <v>0.58333333333333337</v>
      </c>
      <c r="K66" t="s">
        <v>4088</v>
      </c>
      <c r="L66">
        <v>0</v>
      </c>
      <c r="M66" t="s">
        <v>4257</v>
      </c>
      <c r="N66" t="s">
        <v>314</v>
      </c>
      <c r="O66" t="s">
        <v>315</v>
      </c>
      <c r="P66" t="s">
        <v>4042</v>
      </c>
      <c r="Q66">
        <v>8</v>
      </c>
    </row>
    <row r="67" spans="1:18" hidden="1" x14ac:dyDescent="0.25">
      <c r="A67" s="1">
        <v>46237</v>
      </c>
      <c r="B67">
        <v>1007223463</v>
      </c>
      <c r="C67" t="s">
        <v>561</v>
      </c>
      <c r="D67" t="s">
        <v>272</v>
      </c>
      <c r="E67" t="s">
        <v>4056</v>
      </c>
      <c r="F67" t="s">
        <v>4073</v>
      </c>
      <c r="G67" s="1">
        <v>46237</v>
      </c>
      <c r="H67" s="1">
        <v>46237</v>
      </c>
      <c r="I67" s="2">
        <v>0.25</v>
      </c>
      <c r="J67" s="2">
        <v>0.58333333333333337</v>
      </c>
      <c r="K67" s="4" t="s">
        <v>561</v>
      </c>
      <c r="L67">
        <v>0</v>
      </c>
      <c r="M67" t="s">
        <v>4255</v>
      </c>
      <c r="N67" t="s">
        <v>560</v>
      </c>
      <c r="O67" t="s">
        <v>561</v>
      </c>
      <c r="P67" t="s">
        <v>4042</v>
      </c>
      <c r="Q67">
        <v>8</v>
      </c>
      <c r="R67" s="8" t="s">
        <v>4262</v>
      </c>
    </row>
    <row r="68" spans="1:18" hidden="1" x14ac:dyDescent="0.25">
      <c r="A68" s="1">
        <v>46237</v>
      </c>
      <c r="B68">
        <v>1037659560</v>
      </c>
      <c r="C68" t="s">
        <v>208</v>
      </c>
      <c r="D68" t="s">
        <v>28</v>
      </c>
      <c r="E68" t="s">
        <v>4046</v>
      </c>
      <c r="F68" t="s">
        <v>4074</v>
      </c>
      <c r="G68" s="1">
        <v>46235</v>
      </c>
      <c r="H68" s="1">
        <v>46240</v>
      </c>
      <c r="I68" s="2">
        <v>0.58333333333333337</v>
      </c>
      <c r="J68" s="2">
        <v>0.875</v>
      </c>
      <c r="K68" s="8" t="s">
        <v>4089</v>
      </c>
      <c r="L68">
        <v>2</v>
      </c>
      <c r="M68" t="s">
        <v>4257</v>
      </c>
      <c r="N68" t="s">
        <v>199</v>
      </c>
      <c r="O68" t="s">
        <v>200</v>
      </c>
      <c r="P68" t="s">
        <v>21</v>
      </c>
      <c r="Q68">
        <v>7</v>
      </c>
    </row>
    <row r="69" spans="1:18" hidden="1" x14ac:dyDescent="0.25">
      <c r="A69" s="1">
        <v>46237</v>
      </c>
      <c r="B69">
        <v>1140851921</v>
      </c>
      <c r="C69" t="s">
        <v>4061</v>
      </c>
      <c r="D69" t="s">
        <v>256</v>
      </c>
      <c r="E69" t="s">
        <v>4040</v>
      </c>
      <c r="F69" t="s">
        <v>4090</v>
      </c>
      <c r="G69" s="1">
        <v>46237</v>
      </c>
      <c r="H69" s="1">
        <v>46239</v>
      </c>
      <c r="I69" s="2">
        <v>0.58333333333333337</v>
      </c>
      <c r="J69" s="2">
        <v>0.875</v>
      </c>
      <c r="K69" s="8" t="s">
        <v>1408</v>
      </c>
      <c r="L69">
        <v>2</v>
      </c>
      <c r="M69" t="s">
        <v>4260</v>
      </c>
      <c r="N69" t="s">
        <v>1407</v>
      </c>
      <c r="O69" t="s">
        <v>1408</v>
      </c>
      <c r="P69" t="s">
        <v>21</v>
      </c>
      <c r="Q69">
        <v>7</v>
      </c>
    </row>
    <row r="70" spans="1:18" hidden="1" x14ac:dyDescent="0.25">
      <c r="A70" s="1">
        <v>46237</v>
      </c>
      <c r="B70">
        <v>1152208665</v>
      </c>
      <c r="C70" t="s">
        <v>1157</v>
      </c>
      <c r="D70" t="s">
        <v>344</v>
      </c>
      <c r="E70" t="s">
        <v>4056</v>
      </c>
      <c r="F70" t="s">
        <v>16</v>
      </c>
      <c r="G70" s="1">
        <v>46237</v>
      </c>
      <c r="H70" s="1">
        <v>46238</v>
      </c>
      <c r="I70" s="2">
        <v>0.25</v>
      </c>
      <c r="J70" s="2">
        <v>0.58333333333333337</v>
      </c>
      <c r="K70" t="s">
        <v>4092</v>
      </c>
      <c r="L70">
        <v>0</v>
      </c>
      <c r="M70" t="s">
        <v>4255</v>
      </c>
      <c r="N70" t="s">
        <v>184</v>
      </c>
      <c r="O70" t="s">
        <v>185</v>
      </c>
      <c r="P70" t="s">
        <v>4042</v>
      </c>
      <c r="Q70">
        <v>8</v>
      </c>
    </row>
    <row r="71" spans="1:18" hidden="1" x14ac:dyDescent="0.25">
      <c r="A71" s="1">
        <v>46237</v>
      </c>
      <c r="B71">
        <v>1036962119</v>
      </c>
      <c r="C71" t="s">
        <v>2001</v>
      </c>
      <c r="D71" t="s">
        <v>128</v>
      </c>
      <c r="E71" t="s">
        <v>4045</v>
      </c>
      <c r="F71" t="s">
        <v>4074</v>
      </c>
      <c r="G71" s="1">
        <v>46237</v>
      </c>
      <c r="H71" s="1">
        <v>46235</v>
      </c>
      <c r="I71" s="2">
        <v>0.58333333333333337</v>
      </c>
      <c r="J71" s="2">
        <v>0.875</v>
      </c>
      <c r="K71" s="8" t="s">
        <v>4306</v>
      </c>
      <c r="L71">
        <v>2</v>
      </c>
      <c r="M71" t="s">
        <v>4260</v>
      </c>
      <c r="N71" t="s">
        <v>1382</v>
      </c>
      <c r="O71" t="s">
        <v>1383</v>
      </c>
      <c r="P71" t="s">
        <v>21</v>
      </c>
      <c r="Q71">
        <v>7</v>
      </c>
    </row>
    <row r="72" spans="1:18" hidden="1" x14ac:dyDescent="0.25">
      <c r="A72" s="1">
        <v>46237</v>
      </c>
      <c r="B72">
        <v>1005624879</v>
      </c>
      <c r="C72" t="s">
        <v>332</v>
      </c>
      <c r="D72" t="s">
        <v>143</v>
      </c>
      <c r="E72" t="s">
        <v>4045</v>
      </c>
      <c r="F72" t="s">
        <v>4074</v>
      </c>
      <c r="G72" s="1">
        <v>46237</v>
      </c>
      <c r="H72" s="1">
        <v>46240</v>
      </c>
      <c r="I72" s="2">
        <v>0.58333333333333337</v>
      </c>
      <c r="J72" s="2">
        <v>0.875</v>
      </c>
      <c r="K72" s="8" t="s">
        <v>4096</v>
      </c>
      <c r="L72">
        <v>2</v>
      </c>
      <c r="M72" t="s">
        <v>4257</v>
      </c>
      <c r="N72" t="s">
        <v>209</v>
      </c>
      <c r="O72" t="s">
        <v>210</v>
      </c>
      <c r="P72" t="s">
        <v>21</v>
      </c>
      <c r="Q72">
        <v>7</v>
      </c>
    </row>
    <row r="73" spans="1:18" hidden="1" x14ac:dyDescent="0.25">
      <c r="A73" s="1">
        <v>46237</v>
      </c>
      <c r="B73" t="s">
        <v>4097</v>
      </c>
      <c r="C73" t="s">
        <v>2053</v>
      </c>
      <c r="D73" t="s">
        <v>2052</v>
      </c>
      <c r="E73" t="s">
        <v>4056</v>
      </c>
      <c r="F73" t="s">
        <v>16</v>
      </c>
      <c r="G73" s="1">
        <v>46237</v>
      </c>
      <c r="H73" s="1">
        <v>46238</v>
      </c>
      <c r="I73" s="2">
        <v>0.5</v>
      </c>
      <c r="J73" s="2">
        <v>0.79166666666666663</v>
      </c>
      <c r="K73" s="4" t="s">
        <v>3663</v>
      </c>
      <c r="L73">
        <v>0</v>
      </c>
      <c r="M73" t="s">
        <v>4255</v>
      </c>
      <c r="N73" t="s">
        <v>3662</v>
      </c>
      <c r="O73" t="s">
        <v>3663</v>
      </c>
      <c r="P73" t="s">
        <v>4042</v>
      </c>
      <c r="Q73">
        <v>7</v>
      </c>
      <c r="R73" s="8" t="s">
        <v>4263</v>
      </c>
    </row>
    <row r="74" spans="1:18" hidden="1" x14ac:dyDescent="0.25">
      <c r="A74" s="1">
        <v>46237</v>
      </c>
      <c r="B74">
        <v>1072648283</v>
      </c>
      <c r="C74" t="s">
        <v>828</v>
      </c>
      <c r="D74" t="s">
        <v>272</v>
      </c>
      <c r="E74" t="s">
        <v>4056</v>
      </c>
      <c r="F74" t="s">
        <v>16</v>
      </c>
      <c r="G74" s="1">
        <v>46237</v>
      </c>
      <c r="H74" s="1">
        <v>46239</v>
      </c>
      <c r="I74" s="2">
        <v>0.25</v>
      </c>
      <c r="J74" s="2">
        <v>0.58333333333333337</v>
      </c>
      <c r="K74" s="4" t="s">
        <v>164</v>
      </c>
      <c r="L74">
        <v>0</v>
      </c>
      <c r="M74" t="s">
        <v>4255</v>
      </c>
      <c r="N74" t="s">
        <v>163</v>
      </c>
      <c r="O74" t="s">
        <v>164</v>
      </c>
      <c r="P74" t="s">
        <v>4042</v>
      </c>
      <c r="Q74">
        <v>8</v>
      </c>
      <c r="R74" s="8" t="s">
        <v>4262</v>
      </c>
    </row>
    <row r="75" spans="1:18" hidden="1" x14ac:dyDescent="0.25">
      <c r="A75" s="1">
        <v>46237</v>
      </c>
      <c r="B75">
        <v>1082984414</v>
      </c>
      <c r="C75" t="s">
        <v>2953</v>
      </c>
      <c r="D75" t="s">
        <v>44</v>
      </c>
      <c r="E75" t="s">
        <v>4045</v>
      </c>
      <c r="F75" t="s">
        <v>4074</v>
      </c>
      <c r="G75" s="1">
        <v>46237</v>
      </c>
      <c r="H75" s="1">
        <v>46238</v>
      </c>
      <c r="I75" s="2">
        <v>0.54166666666666663</v>
      </c>
      <c r="J75" s="2">
        <v>0.875</v>
      </c>
      <c r="K75" s="8" t="s">
        <v>4235</v>
      </c>
      <c r="L75">
        <v>2</v>
      </c>
      <c r="M75" t="s">
        <v>4257</v>
      </c>
      <c r="N75" t="s">
        <v>73</v>
      </c>
      <c r="O75" t="s">
        <v>74</v>
      </c>
      <c r="P75" t="s">
        <v>21</v>
      </c>
      <c r="Q75">
        <v>8</v>
      </c>
    </row>
    <row r="76" spans="1:18" hidden="1" x14ac:dyDescent="0.25">
      <c r="A76" s="1">
        <v>46237</v>
      </c>
      <c r="B76">
        <v>1085687504</v>
      </c>
      <c r="C76" t="s">
        <v>258</v>
      </c>
      <c r="D76" t="s">
        <v>139</v>
      </c>
      <c r="E76" t="s">
        <v>4040</v>
      </c>
      <c r="F76" t="s">
        <v>4099</v>
      </c>
      <c r="G76" s="1">
        <v>46237</v>
      </c>
      <c r="H76" s="1">
        <v>46237</v>
      </c>
      <c r="I76" s="2">
        <v>0.54166666666666663</v>
      </c>
      <c r="J76" s="2">
        <v>0.58333333333333337</v>
      </c>
      <c r="K76" t="s">
        <v>258</v>
      </c>
      <c r="L76">
        <v>0</v>
      </c>
      <c r="M76" t="s">
        <v>4260</v>
      </c>
      <c r="N76" t="s">
        <v>257</v>
      </c>
      <c r="O76" t="s">
        <v>258</v>
      </c>
      <c r="P76" t="s">
        <v>4042</v>
      </c>
      <c r="Q76">
        <v>1</v>
      </c>
    </row>
    <row r="77" spans="1:18" hidden="1" x14ac:dyDescent="0.25">
      <c r="A77" s="1">
        <v>46237</v>
      </c>
      <c r="B77">
        <v>1042422897</v>
      </c>
      <c r="C77" t="s">
        <v>4100</v>
      </c>
      <c r="D77" t="s">
        <v>256</v>
      </c>
      <c r="E77" t="s">
        <v>4040</v>
      </c>
      <c r="F77" t="s">
        <v>4074</v>
      </c>
      <c r="G77" s="1">
        <v>46237</v>
      </c>
      <c r="H77" s="1">
        <v>46238</v>
      </c>
      <c r="I77" s="2">
        <v>0.54166666666666663</v>
      </c>
      <c r="J77" s="2">
        <v>0.875</v>
      </c>
      <c r="K77" t="s">
        <v>4101</v>
      </c>
      <c r="L77">
        <v>2</v>
      </c>
      <c r="P77" t="s">
        <v>4042</v>
      </c>
      <c r="Q77">
        <v>8</v>
      </c>
    </row>
    <row r="78" spans="1:18" hidden="1" x14ac:dyDescent="0.25">
      <c r="A78" s="1">
        <v>46237</v>
      </c>
      <c r="B78">
        <v>1003000892</v>
      </c>
      <c r="C78" t="s">
        <v>182</v>
      </c>
      <c r="D78" t="s">
        <v>245</v>
      </c>
      <c r="E78" t="s">
        <v>4040</v>
      </c>
      <c r="F78" t="s">
        <v>4104</v>
      </c>
      <c r="G78" s="1">
        <v>46237</v>
      </c>
      <c r="H78" s="1">
        <v>46237</v>
      </c>
      <c r="I78" s="2">
        <v>0.54166666666666663</v>
      </c>
      <c r="J78" s="2">
        <v>0.79166666666666663</v>
      </c>
      <c r="K78" t="s">
        <v>182</v>
      </c>
      <c r="L78">
        <v>0</v>
      </c>
      <c r="M78" t="s">
        <v>4260</v>
      </c>
      <c r="N78" t="s">
        <v>181</v>
      </c>
      <c r="O78" t="s">
        <v>182</v>
      </c>
      <c r="P78" t="s">
        <v>4042</v>
      </c>
      <c r="Q78">
        <v>6</v>
      </c>
    </row>
    <row r="79" spans="1:18" hidden="1" x14ac:dyDescent="0.25">
      <c r="A79" s="1">
        <v>46237</v>
      </c>
      <c r="B79">
        <v>1020486493</v>
      </c>
      <c r="C79" t="s">
        <v>4105</v>
      </c>
      <c r="D79" t="s">
        <v>256</v>
      </c>
      <c r="E79" t="s">
        <v>4040</v>
      </c>
      <c r="F79" t="s">
        <v>4090</v>
      </c>
      <c r="G79" s="1">
        <v>46237</v>
      </c>
      <c r="H79" s="1">
        <v>46239</v>
      </c>
      <c r="I79" s="2">
        <v>0.58333333333333337</v>
      </c>
      <c r="J79" s="2">
        <v>0.875</v>
      </c>
      <c r="K79" s="8" t="s">
        <v>108</v>
      </c>
      <c r="L79">
        <v>2</v>
      </c>
      <c r="M79" t="s">
        <v>4260</v>
      </c>
      <c r="N79" t="s">
        <v>107</v>
      </c>
      <c r="O79" t="s">
        <v>108</v>
      </c>
      <c r="P79" t="s">
        <v>21</v>
      </c>
      <c r="Q79">
        <v>7</v>
      </c>
    </row>
    <row r="80" spans="1:18" hidden="1" x14ac:dyDescent="0.25">
      <c r="A80" s="1">
        <v>46238</v>
      </c>
      <c r="B80">
        <v>1143374438</v>
      </c>
      <c r="C80" t="s">
        <v>154</v>
      </c>
      <c r="D80" t="s">
        <v>28</v>
      </c>
      <c r="E80" t="s">
        <v>4046</v>
      </c>
      <c r="F80" t="s">
        <v>16</v>
      </c>
      <c r="G80" s="1">
        <v>46209</v>
      </c>
      <c r="H80" s="1">
        <v>46238</v>
      </c>
      <c r="I80" s="2">
        <v>0.25</v>
      </c>
      <c r="J80" s="2">
        <v>0.54166666666666663</v>
      </c>
      <c r="K80" t="s">
        <v>151</v>
      </c>
      <c r="L80">
        <v>0</v>
      </c>
      <c r="M80" t="s">
        <v>4257</v>
      </c>
      <c r="N80" t="s">
        <v>150</v>
      </c>
      <c r="O80" t="s">
        <v>151</v>
      </c>
      <c r="P80" t="s">
        <v>4042</v>
      </c>
      <c r="Q80">
        <v>7</v>
      </c>
    </row>
    <row r="81" spans="1:18" hidden="1" x14ac:dyDescent="0.25">
      <c r="A81" s="1">
        <v>46238</v>
      </c>
      <c r="B81" t="s">
        <v>33</v>
      </c>
      <c r="C81" t="s">
        <v>34</v>
      </c>
      <c r="D81" t="s">
        <v>15</v>
      </c>
      <c r="E81" t="s">
        <v>4046</v>
      </c>
      <c r="F81" t="s">
        <v>16</v>
      </c>
      <c r="G81" s="1">
        <v>46224</v>
      </c>
      <c r="H81" s="1">
        <v>46239</v>
      </c>
      <c r="I81" s="2">
        <v>0.54166666666666663</v>
      </c>
      <c r="J81" s="2">
        <v>0.875</v>
      </c>
      <c r="K81" s="8" t="s">
        <v>223</v>
      </c>
      <c r="L81">
        <v>2</v>
      </c>
      <c r="M81" t="s">
        <v>4258</v>
      </c>
      <c r="N81" t="s">
        <v>222</v>
      </c>
      <c r="O81" t="s">
        <v>223</v>
      </c>
      <c r="P81" t="s">
        <v>21</v>
      </c>
      <c r="Q81">
        <v>8</v>
      </c>
    </row>
    <row r="82" spans="1:18" hidden="1" x14ac:dyDescent="0.25">
      <c r="A82" s="1">
        <v>46238</v>
      </c>
      <c r="B82">
        <v>1098777544</v>
      </c>
      <c r="C82" t="s">
        <v>131</v>
      </c>
      <c r="D82" t="s">
        <v>132</v>
      </c>
      <c r="E82" t="s">
        <v>4040</v>
      </c>
      <c r="F82" t="s">
        <v>16</v>
      </c>
      <c r="G82" s="1">
        <v>46217</v>
      </c>
      <c r="H82" s="1">
        <v>46246</v>
      </c>
      <c r="I82" s="2">
        <v>0.25</v>
      </c>
      <c r="J82" s="2">
        <v>0.54166666666666663</v>
      </c>
      <c r="K82" t="s">
        <v>194</v>
      </c>
      <c r="L82">
        <v>0</v>
      </c>
      <c r="M82" t="s">
        <v>4260</v>
      </c>
      <c r="N82" t="s">
        <v>193</v>
      </c>
      <c r="O82" t="s">
        <v>194</v>
      </c>
      <c r="P82" t="s">
        <v>4042</v>
      </c>
      <c r="Q82">
        <v>7</v>
      </c>
    </row>
    <row r="83" spans="1:18" hidden="1" x14ac:dyDescent="0.25">
      <c r="A83" s="1">
        <v>46238</v>
      </c>
      <c r="B83">
        <v>1001005240</v>
      </c>
      <c r="C83" t="s">
        <v>43</v>
      </c>
      <c r="D83" t="s">
        <v>44</v>
      </c>
      <c r="E83" t="s">
        <v>4045</v>
      </c>
      <c r="F83" t="s">
        <v>16</v>
      </c>
      <c r="G83" s="1">
        <v>46234</v>
      </c>
      <c r="H83" s="1">
        <v>46240</v>
      </c>
      <c r="I83" s="2">
        <v>0.25</v>
      </c>
      <c r="J83" s="2">
        <v>0.54166666666666663</v>
      </c>
      <c r="K83" t="s">
        <v>232</v>
      </c>
      <c r="L83">
        <v>0</v>
      </c>
      <c r="M83" t="s">
        <v>4257</v>
      </c>
      <c r="N83" t="s">
        <v>231</v>
      </c>
      <c r="O83" t="s">
        <v>232</v>
      </c>
      <c r="P83" t="s">
        <v>4042</v>
      </c>
      <c r="Q83">
        <v>7</v>
      </c>
    </row>
    <row r="84" spans="1:18" hidden="1" x14ac:dyDescent="0.25">
      <c r="A84" s="1">
        <v>46238</v>
      </c>
      <c r="B84">
        <v>1001851670</v>
      </c>
      <c r="C84" t="s">
        <v>50</v>
      </c>
      <c r="D84" t="s">
        <v>51</v>
      </c>
      <c r="E84" t="s">
        <v>4047</v>
      </c>
      <c r="F84" t="s">
        <v>36</v>
      </c>
      <c r="G84" s="1">
        <v>46237</v>
      </c>
      <c r="H84" s="1">
        <v>46366</v>
      </c>
      <c r="I84" s="2">
        <v>0.54166666666666663</v>
      </c>
      <c r="J84" s="2">
        <v>0.875</v>
      </c>
      <c r="K84" s="8" t="s">
        <v>298</v>
      </c>
      <c r="L84">
        <v>2</v>
      </c>
      <c r="M84" t="s">
        <v>4260</v>
      </c>
      <c r="N84" t="s">
        <v>297</v>
      </c>
      <c r="O84" t="s">
        <v>298</v>
      </c>
      <c r="P84" t="s">
        <v>21</v>
      </c>
      <c r="Q84">
        <v>8</v>
      </c>
    </row>
    <row r="85" spans="1:18" hidden="1" x14ac:dyDescent="0.25">
      <c r="A85" s="1">
        <v>46238</v>
      </c>
      <c r="B85">
        <v>1152208665</v>
      </c>
      <c r="C85" t="s">
        <v>1157</v>
      </c>
      <c r="D85" t="s">
        <v>344</v>
      </c>
      <c r="E85" t="s">
        <v>4056</v>
      </c>
      <c r="F85" t="s">
        <v>16</v>
      </c>
      <c r="G85" s="1">
        <v>46237</v>
      </c>
      <c r="H85" s="1">
        <v>46238</v>
      </c>
      <c r="I85" s="2">
        <v>0.25</v>
      </c>
      <c r="J85" s="2">
        <v>0.58333333333333337</v>
      </c>
      <c r="K85" t="s">
        <v>185</v>
      </c>
      <c r="L85">
        <v>0</v>
      </c>
      <c r="M85" t="s">
        <v>4255</v>
      </c>
      <c r="N85" t="s">
        <v>184</v>
      </c>
      <c r="O85" t="s">
        <v>185</v>
      </c>
      <c r="P85" t="s">
        <v>4042</v>
      </c>
      <c r="Q85">
        <v>8</v>
      </c>
    </row>
    <row r="86" spans="1:18" hidden="1" x14ac:dyDescent="0.25">
      <c r="A86" s="1">
        <v>46238</v>
      </c>
      <c r="B86">
        <v>1004841623</v>
      </c>
      <c r="C86" t="s">
        <v>4093</v>
      </c>
      <c r="D86" t="s">
        <v>492</v>
      </c>
      <c r="E86" t="s">
        <v>4045</v>
      </c>
      <c r="F86" t="s">
        <v>4050</v>
      </c>
      <c r="G86" s="1">
        <v>46237</v>
      </c>
      <c r="H86" s="1">
        <v>46241</v>
      </c>
      <c r="I86" s="2">
        <v>0.25</v>
      </c>
      <c r="J86" s="2">
        <v>0.54166666666666663</v>
      </c>
      <c r="K86" t="s">
        <v>210</v>
      </c>
      <c r="L86">
        <v>0</v>
      </c>
      <c r="M86" t="s">
        <v>4257</v>
      </c>
      <c r="N86" t="s">
        <v>209</v>
      </c>
      <c r="O86" t="s">
        <v>210</v>
      </c>
      <c r="P86" t="s">
        <v>4042</v>
      </c>
      <c r="Q86">
        <v>7</v>
      </c>
    </row>
    <row r="87" spans="1:18" hidden="1" x14ac:dyDescent="0.25">
      <c r="A87" s="1">
        <v>46238</v>
      </c>
      <c r="B87">
        <v>1143413583</v>
      </c>
      <c r="C87" t="s">
        <v>41</v>
      </c>
      <c r="D87" t="s">
        <v>28</v>
      </c>
      <c r="E87" t="s">
        <v>4046</v>
      </c>
      <c r="F87" t="s">
        <v>16</v>
      </c>
      <c r="G87" s="1">
        <v>46236</v>
      </c>
      <c r="H87" s="1">
        <v>46239</v>
      </c>
      <c r="I87" s="2">
        <v>0.25</v>
      </c>
      <c r="J87" s="2">
        <v>0.58333333333333337</v>
      </c>
      <c r="K87" t="s">
        <v>200</v>
      </c>
      <c r="L87">
        <v>0</v>
      </c>
      <c r="M87" t="s">
        <v>4257</v>
      </c>
      <c r="N87" t="s">
        <v>199</v>
      </c>
      <c r="O87" t="s">
        <v>200</v>
      </c>
      <c r="P87" t="s">
        <v>4042</v>
      </c>
      <c r="Q87">
        <v>8</v>
      </c>
    </row>
    <row r="88" spans="1:18" hidden="1" x14ac:dyDescent="0.25">
      <c r="A88" s="1">
        <v>46238</v>
      </c>
      <c r="B88">
        <v>1152436231</v>
      </c>
      <c r="C88" t="s">
        <v>142</v>
      </c>
      <c r="D88" t="s">
        <v>143</v>
      </c>
      <c r="E88" t="s">
        <v>4045</v>
      </c>
      <c r="F88" t="s">
        <v>16</v>
      </c>
      <c r="G88" s="1">
        <v>46237</v>
      </c>
      <c r="H88" s="1">
        <v>46240</v>
      </c>
      <c r="I88" s="2">
        <v>0.25</v>
      </c>
      <c r="J88" s="2">
        <v>0.54166666666666663</v>
      </c>
      <c r="K88" t="s">
        <v>120</v>
      </c>
      <c r="L88">
        <v>0</v>
      </c>
      <c r="M88" t="s">
        <v>4260</v>
      </c>
      <c r="N88" t="s">
        <v>119</v>
      </c>
      <c r="O88" t="s">
        <v>120</v>
      </c>
      <c r="P88" t="s">
        <v>4042</v>
      </c>
      <c r="Q88">
        <v>7</v>
      </c>
    </row>
    <row r="89" spans="1:18" hidden="1" x14ac:dyDescent="0.25">
      <c r="A89" s="1">
        <v>46238</v>
      </c>
      <c r="B89">
        <v>1193459665</v>
      </c>
      <c r="C89" t="s">
        <v>4063</v>
      </c>
      <c r="D89" t="s">
        <v>256</v>
      </c>
      <c r="E89" t="s">
        <v>4040</v>
      </c>
      <c r="F89" s="4" t="s">
        <v>4050</v>
      </c>
      <c r="G89" s="1">
        <v>46237</v>
      </c>
      <c r="H89" s="1">
        <v>46239</v>
      </c>
      <c r="I89" s="2">
        <v>0.54166666666666663</v>
      </c>
      <c r="J89" s="2">
        <v>0.875</v>
      </c>
      <c r="K89" s="8" t="s">
        <v>310</v>
      </c>
      <c r="L89">
        <v>2</v>
      </c>
      <c r="M89" t="s">
        <v>4260</v>
      </c>
      <c r="N89" t="s">
        <v>309</v>
      </c>
      <c r="O89" t="s">
        <v>310</v>
      </c>
      <c r="P89" t="s">
        <v>21</v>
      </c>
      <c r="Q89">
        <v>8</v>
      </c>
    </row>
    <row r="90" spans="1:18" hidden="1" x14ac:dyDescent="0.25">
      <c r="A90" s="1">
        <v>46238</v>
      </c>
      <c r="B90">
        <v>1072648283</v>
      </c>
      <c r="C90" t="s">
        <v>828</v>
      </c>
      <c r="D90" t="s">
        <v>272</v>
      </c>
      <c r="E90" t="s">
        <v>4056</v>
      </c>
      <c r="F90" t="s">
        <v>16</v>
      </c>
      <c r="G90" s="1">
        <v>46237</v>
      </c>
      <c r="H90" s="1">
        <v>46239</v>
      </c>
      <c r="I90" s="2">
        <v>0.25</v>
      </c>
      <c r="J90" s="2">
        <v>0.58333333333333337</v>
      </c>
      <c r="K90" s="4" t="s">
        <v>561</v>
      </c>
      <c r="L90">
        <v>0</v>
      </c>
      <c r="M90" t="s">
        <v>4255</v>
      </c>
      <c r="N90" t="s">
        <v>560</v>
      </c>
      <c r="O90" t="s">
        <v>561</v>
      </c>
      <c r="P90" t="s">
        <v>4042</v>
      </c>
      <c r="Q90">
        <v>8</v>
      </c>
      <c r="R90" s="8" t="s">
        <v>4262</v>
      </c>
    </row>
    <row r="91" spans="1:18" hidden="1" x14ac:dyDescent="0.25">
      <c r="A91" s="1">
        <v>46238</v>
      </c>
      <c r="B91">
        <v>1004373476</v>
      </c>
      <c r="C91" t="s">
        <v>3779</v>
      </c>
      <c r="D91" t="s">
        <v>15</v>
      </c>
      <c r="E91" t="s">
        <v>4046</v>
      </c>
      <c r="F91" t="s">
        <v>16</v>
      </c>
      <c r="G91" s="1">
        <v>46237</v>
      </c>
      <c r="H91" s="1">
        <v>46238</v>
      </c>
      <c r="I91" s="2">
        <v>0.58333333333333337</v>
      </c>
      <c r="J91" s="2">
        <v>0.875</v>
      </c>
      <c r="K91" s="8" t="s">
        <v>301</v>
      </c>
      <c r="L91">
        <v>2</v>
      </c>
      <c r="M91" t="s">
        <v>4258</v>
      </c>
      <c r="N91" t="s">
        <v>300</v>
      </c>
      <c r="O91" t="s">
        <v>301</v>
      </c>
      <c r="P91" t="s">
        <v>21</v>
      </c>
      <c r="Q91">
        <v>7</v>
      </c>
    </row>
    <row r="92" spans="1:18" hidden="1" x14ac:dyDescent="0.25">
      <c r="A92" s="1">
        <v>46238</v>
      </c>
      <c r="B92">
        <v>1020486493</v>
      </c>
      <c r="C92" t="s">
        <v>4105</v>
      </c>
      <c r="D92" t="s">
        <v>256</v>
      </c>
      <c r="E92" t="s">
        <v>4040</v>
      </c>
      <c r="F92" t="s">
        <v>4091</v>
      </c>
      <c r="G92" s="1">
        <v>46237</v>
      </c>
      <c r="H92" s="1">
        <v>46239</v>
      </c>
      <c r="I92" s="2">
        <v>0.54166666666666663</v>
      </c>
      <c r="J92" s="2">
        <v>0.875</v>
      </c>
      <c r="K92" s="8" t="s">
        <v>1383</v>
      </c>
      <c r="L92">
        <v>2</v>
      </c>
      <c r="M92" t="s">
        <v>4260</v>
      </c>
      <c r="N92" t="s">
        <v>1382</v>
      </c>
      <c r="O92" t="s">
        <v>1383</v>
      </c>
      <c r="P92" t="s">
        <v>21</v>
      </c>
      <c r="Q92">
        <v>8</v>
      </c>
    </row>
    <row r="93" spans="1:18" hidden="1" x14ac:dyDescent="0.25">
      <c r="A93" s="1">
        <v>46238</v>
      </c>
      <c r="B93" t="s">
        <v>4107</v>
      </c>
      <c r="C93" t="s">
        <v>4061</v>
      </c>
      <c r="D93" t="s">
        <v>256</v>
      </c>
      <c r="E93" t="s">
        <v>4040</v>
      </c>
      <c r="F93" t="s">
        <v>4091</v>
      </c>
      <c r="G93" s="1">
        <v>46237</v>
      </c>
      <c r="H93" s="1">
        <v>46239</v>
      </c>
      <c r="I93" s="2">
        <v>0.25</v>
      </c>
      <c r="J93" s="2">
        <v>0.58333333333333337</v>
      </c>
      <c r="K93" t="s">
        <v>117</v>
      </c>
      <c r="L93">
        <v>0</v>
      </c>
      <c r="M93" t="s">
        <v>4260</v>
      </c>
      <c r="N93" t="s">
        <v>116</v>
      </c>
      <c r="O93" t="s">
        <v>117</v>
      </c>
      <c r="P93" t="s">
        <v>4042</v>
      </c>
      <c r="Q93">
        <v>8</v>
      </c>
    </row>
    <row r="94" spans="1:18" hidden="1" x14ac:dyDescent="0.25">
      <c r="A94" s="1">
        <v>46238</v>
      </c>
      <c r="B94" t="s">
        <v>76</v>
      </c>
      <c r="C94" t="s">
        <v>77</v>
      </c>
      <c r="D94" t="s">
        <v>78</v>
      </c>
      <c r="E94" t="s">
        <v>4046</v>
      </c>
      <c r="F94" t="s">
        <v>16</v>
      </c>
      <c r="G94" s="1">
        <v>46237</v>
      </c>
      <c r="H94" s="1">
        <v>46241</v>
      </c>
      <c r="I94" s="2">
        <v>0.25</v>
      </c>
      <c r="J94" s="2">
        <v>0.54166666666666663</v>
      </c>
      <c r="K94" t="s">
        <v>74</v>
      </c>
      <c r="L94">
        <v>0</v>
      </c>
      <c r="M94" t="s">
        <v>4257</v>
      </c>
      <c r="N94" t="s">
        <v>73</v>
      </c>
      <c r="O94" t="s">
        <v>74</v>
      </c>
      <c r="P94" t="s">
        <v>4042</v>
      </c>
      <c r="Q94">
        <v>7</v>
      </c>
    </row>
    <row r="95" spans="1:18" hidden="1" x14ac:dyDescent="0.25">
      <c r="A95" s="1">
        <v>46238</v>
      </c>
      <c r="B95" t="s">
        <v>4118</v>
      </c>
      <c r="C95" t="s">
        <v>4049</v>
      </c>
      <c r="D95" t="s">
        <v>82</v>
      </c>
      <c r="E95" t="s">
        <v>4045</v>
      </c>
      <c r="F95" s="4" t="s">
        <v>4050</v>
      </c>
      <c r="G95" s="1">
        <v>46237</v>
      </c>
      <c r="H95" s="1">
        <v>46239</v>
      </c>
      <c r="I95" s="2">
        <v>0.54166666666666663</v>
      </c>
      <c r="J95" s="2">
        <v>0.83333333333333337</v>
      </c>
      <c r="K95" s="8" t="s">
        <v>265</v>
      </c>
      <c r="L95">
        <v>1</v>
      </c>
      <c r="M95" t="s">
        <v>4257</v>
      </c>
      <c r="N95" t="s">
        <v>264</v>
      </c>
      <c r="O95" t="s">
        <v>265</v>
      </c>
      <c r="P95" t="s">
        <v>21</v>
      </c>
      <c r="Q95">
        <v>7</v>
      </c>
    </row>
    <row r="96" spans="1:18" hidden="1" x14ac:dyDescent="0.25">
      <c r="A96" s="1">
        <v>46238</v>
      </c>
      <c r="B96" t="s">
        <v>113</v>
      </c>
      <c r="C96" t="s">
        <v>114</v>
      </c>
      <c r="D96" t="s">
        <v>51</v>
      </c>
      <c r="E96" t="s">
        <v>4047</v>
      </c>
      <c r="F96" t="s">
        <v>16</v>
      </c>
      <c r="G96" s="1">
        <v>46229</v>
      </c>
      <c r="H96" s="1">
        <v>46243</v>
      </c>
      <c r="I96" s="2">
        <v>0.25</v>
      </c>
      <c r="J96" s="2">
        <v>0.58333333333333337</v>
      </c>
      <c r="K96" t="s">
        <v>277</v>
      </c>
      <c r="L96">
        <v>0</v>
      </c>
      <c r="M96" t="s">
        <v>4259</v>
      </c>
      <c r="N96" t="s">
        <v>276</v>
      </c>
      <c r="O96" t="s">
        <v>277</v>
      </c>
      <c r="P96" t="s">
        <v>4042</v>
      </c>
      <c r="Q96">
        <v>8</v>
      </c>
    </row>
    <row r="97" spans="1:18" hidden="1" x14ac:dyDescent="0.25">
      <c r="A97" s="1">
        <v>46238</v>
      </c>
      <c r="B97" t="s">
        <v>4119</v>
      </c>
      <c r="C97" t="s">
        <v>4054</v>
      </c>
      <c r="D97" t="s">
        <v>482</v>
      </c>
      <c r="E97" t="s">
        <v>4040</v>
      </c>
      <c r="F97" t="s">
        <v>4050</v>
      </c>
      <c r="G97" s="1">
        <v>46235</v>
      </c>
      <c r="H97" s="1">
        <v>46238</v>
      </c>
      <c r="I97" s="2">
        <v>0.25</v>
      </c>
      <c r="J97" s="2">
        <v>0.54166666666666663</v>
      </c>
      <c r="K97" s="8" t="s">
        <v>283</v>
      </c>
      <c r="L97">
        <v>0</v>
      </c>
      <c r="M97" t="s">
        <v>4260</v>
      </c>
      <c r="N97" t="s">
        <v>282</v>
      </c>
      <c r="O97" t="s">
        <v>283</v>
      </c>
      <c r="P97" t="s">
        <v>4042</v>
      </c>
      <c r="Q97">
        <v>7</v>
      </c>
      <c r="R97" s="8" t="s">
        <v>4261</v>
      </c>
    </row>
    <row r="98" spans="1:18" hidden="1" x14ac:dyDescent="0.25">
      <c r="A98" s="1">
        <v>46238</v>
      </c>
      <c r="B98" t="s">
        <v>291</v>
      </c>
      <c r="C98" t="s">
        <v>292</v>
      </c>
      <c r="D98" t="s">
        <v>272</v>
      </c>
      <c r="E98" t="s">
        <v>4056</v>
      </c>
      <c r="F98" t="s">
        <v>92</v>
      </c>
      <c r="G98" s="1">
        <v>46233</v>
      </c>
      <c r="H98" s="1">
        <v>46238</v>
      </c>
      <c r="I98" s="2">
        <v>0.5</v>
      </c>
      <c r="J98" s="2">
        <v>0.83333333333333337</v>
      </c>
      <c r="K98" s="8" t="s">
        <v>286</v>
      </c>
      <c r="L98">
        <v>1</v>
      </c>
      <c r="M98" t="s">
        <v>4255</v>
      </c>
      <c r="N98" t="s">
        <v>285</v>
      </c>
      <c r="O98" t="s">
        <v>286</v>
      </c>
      <c r="P98" t="s">
        <v>21</v>
      </c>
      <c r="Q98">
        <v>8</v>
      </c>
      <c r="R98" s="8" t="s">
        <v>4262</v>
      </c>
    </row>
    <row r="99" spans="1:18" hidden="1" x14ac:dyDescent="0.25">
      <c r="A99" s="1">
        <v>46238</v>
      </c>
      <c r="B99" t="s">
        <v>4120</v>
      </c>
      <c r="C99" t="s">
        <v>4057</v>
      </c>
      <c r="D99" t="s">
        <v>482</v>
      </c>
      <c r="E99" t="s">
        <v>4040</v>
      </c>
      <c r="F99" t="s">
        <v>4050</v>
      </c>
      <c r="G99" s="1">
        <v>46235</v>
      </c>
      <c r="H99" s="1">
        <v>46238</v>
      </c>
      <c r="I99" s="2">
        <v>0.25</v>
      </c>
      <c r="J99" s="2">
        <v>0.58333333333333337</v>
      </c>
      <c r="K99" s="4" t="s">
        <v>247</v>
      </c>
      <c r="L99">
        <v>0</v>
      </c>
      <c r="M99" t="s">
        <v>4260</v>
      </c>
      <c r="N99" t="s">
        <v>246</v>
      </c>
      <c r="O99" t="s">
        <v>247</v>
      </c>
      <c r="P99" t="s">
        <v>4042</v>
      </c>
      <c r="Q99">
        <v>8</v>
      </c>
      <c r="R99" s="8" t="s">
        <v>4261</v>
      </c>
    </row>
    <row r="100" spans="1:18" hidden="1" x14ac:dyDescent="0.25">
      <c r="A100" s="1">
        <v>46238</v>
      </c>
      <c r="B100" t="s">
        <v>2362</v>
      </c>
      <c r="C100" t="s">
        <v>4072</v>
      </c>
      <c r="D100" t="s">
        <v>139</v>
      </c>
      <c r="E100" t="s">
        <v>4040</v>
      </c>
      <c r="F100" t="s">
        <v>158</v>
      </c>
      <c r="G100" s="1">
        <v>46230</v>
      </c>
      <c r="H100" s="1"/>
      <c r="I100" s="2">
        <v>0.25</v>
      </c>
      <c r="J100" s="2">
        <v>0.54166666666666663</v>
      </c>
      <c r="K100" t="s">
        <v>258</v>
      </c>
      <c r="L100">
        <v>0</v>
      </c>
      <c r="M100" t="s">
        <v>4260</v>
      </c>
      <c r="N100" t="s">
        <v>257</v>
      </c>
      <c r="O100" t="s">
        <v>258</v>
      </c>
      <c r="P100" t="s">
        <v>4042</v>
      </c>
      <c r="Q100">
        <v>7</v>
      </c>
    </row>
    <row r="101" spans="1:18" hidden="1" x14ac:dyDescent="0.25">
      <c r="A101" s="1">
        <v>46238</v>
      </c>
      <c r="B101" t="s">
        <v>3933</v>
      </c>
      <c r="C101" t="s">
        <v>3934</v>
      </c>
      <c r="D101" t="s">
        <v>68</v>
      </c>
      <c r="E101" t="s">
        <v>4040</v>
      </c>
      <c r="F101" t="s">
        <v>4123</v>
      </c>
      <c r="G101" s="1">
        <v>46238</v>
      </c>
      <c r="H101" s="1">
        <v>46240</v>
      </c>
      <c r="I101" s="2">
        <v>0.54166666666666663</v>
      </c>
      <c r="J101" s="2">
        <v>0.875</v>
      </c>
      <c r="K101" s="4" t="s">
        <v>1408</v>
      </c>
      <c r="L101">
        <v>2</v>
      </c>
      <c r="M101" t="s">
        <v>4260</v>
      </c>
      <c r="N101" t="s">
        <v>1407</v>
      </c>
      <c r="O101" t="s">
        <v>1408</v>
      </c>
      <c r="P101" t="s">
        <v>21</v>
      </c>
      <c r="Q101">
        <v>8</v>
      </c>
      <c r="R101" s="8" t="s">
        <v>4264</v>
      </c>
    </row>
    <row r="102" spans="1:18" hidden="1" x14ac:dyDescent="0.25">
      <c r="A102" s="1">
        <v>46238</v>
      </c>
      <c r="B102" t="s">
        <v>207</v>
      </c>
      <c r="C102" t="s">
        <v>208</v>
      </c>
      <c r="D102" t="s">
        <v>28</v>
      </c>
      <c r="E102" t="s">
        <v>4046</v>
      </c>
      <c r="F102" t="s">
        <v>16</v>
      </c>
      <c r="G102" s="1">
        <v>46235</v>
      </c>
      <c r="H102" s="1">
        <v>46240</v>
      </c>
      <c r="I102" s="2">
        <v>0.58333333333333337</v>
      </c>
      <c r="J102" s="2">
        <v>0.875</v>
      </c>
      <c r="K102" s="8" t="s">
        <v>304</v>
      </c>
      <c r="L102">
        <v>2</v>
      </c>
      <c r="M102" t="s">
        <v>4257</v>
      </c>
      <c r="N102" t="s">
        <v>303</v>
      </c>
      <c r="O102" t="s">
        <v>304</v>
      </c>
      <c r="P102" t="s">
        <v>21</v>
      </c>
      <c r="Q102">
        <v>7</v>
      </c>
    </row>
    <row r="103" spans="1:18" hidden="1" x14ac:dyDescent="0.25">
      <c r="A103" s="1">
        <v>46238</v>
      </c>
      <c r="B103" t="s">
        <v>156</v>
      </c>
      <c r="C103" t="s">
        <v>157</v>
      </c>
      <c r="D103" t="s">
        <v>44</v>
      </c>
      <c r="E103" t="s">
        <v>4045</v>
      </c>
      <c r="F103" t="s">
        <v>4062</v>
      </c>
      <c r="G103" s="1">
        <v>46232</v>
      </c>
      <c r="H103" s="1">
        <v>46239</v>
      </c>
      <c r="I103" s="2">
        <v>0.58333333333333337</v>
      </c>
      <c r="J103" s="2">
        <v>0.875</v>
      </c>
      <c r="K103" s="8" t="s">
        <v>97</v>
      </c>
      <c r="L103">
        <v>2</v>
      </c>
      <c r="M103" t="s">
        <v>4257</v>
      </c>
      <c r="N103" t="s">
        <v>96</v>
      </c>
      <c r="O103" t="s">
        <v>97</v>
      </c>
      <c r="P103" t="s">
        <v>21</v>
      </c>
      <c r="Q103">
        <v>7</v>
      </c>
    </row>
    <row r="104" spans="1:18" hidden="1" x14ac:dyDescent="0.25">
      <c r="A104" s="1">
        <v>46238</v>
      </c>
      <c r="B104" t="s">
        <v>53</v>
      </c>
      <c r="C104" t="s">
        <v>88</v>
      </c>
      <c r="D104" t="s">
        <v>55</v>
      </c>
      <c r="E104" t="s">
        <v>4047</v>
      </c>
      <c r="F104" t="s">
        <v>16</v>
      </c>
      <c r="G104" s="1">
        <v>46229</v>
      </c>
      <c r="H104" s="1">
        <v>46258</v>
      </c>
      <c r="I104" s="2">
        <v>0.25</v>
      </c>
      <c r="J104" s="2">
        <v>0.58333333333333337</v>
      </c>
      <c r="K104" t="s">
        <v>86</v>
      </c>
      <c r="L104">
        <v>0</v>
      </c>
      <c r="M104" t="s">
        <v>4259</v>
      </c>
      <c r="N104" t="s">
        <v>85</v>
      </c>
      <c r="O104" t="s">
        <v>86</v>
      </c>
      <c r="P104" t="s">
        <v>4042</v>
      </c>
      <c r="Q104">
        <v>8</v>
      </c>
    </row>
    <row r="105" spans="1:18" hidden="1" x14ac:dyDescent="0.25">
      <c r="A105" s="1">
        <v>46238</v>
      </c>
      <c r="B105" t="s">
        <v>57</v>
      </c>
      <c r="C105" t="s">
        <v>58</v>
      </c>
      <c r="D105" t="s">
        <v>59</v>
      </c>
      <c r="E105" t="s">
        <v>4047</v>
      </c>
      <c r="F105" t="s">
        <v>16</v>
      </c>
      <c r="G105" s="1">
        <v>46227</v>
      </c>
      <c r="H105" s="1">
        <v>46246</v>
      </c>
      <c r="I105" s="2">
        <v>0.25</v>
      </c>
      <c r="J105" s="2">
        <v>0.58333333333333337</v>
      </c>
      <c r="K105" t="s">
        <v>111</v>
      </c>
      <c r="L105">
        <v>0</v>
      </c>
      <c r="M105" t="s">
        <v>4259</v>
      </c>
      <c r="N105" t="s">
        <v>110</v>
      </c>
      <c r="O105" t="s">
        <v>111</v>
      </c>
      <c r="P105" t="s">
        <v>4042</v>
      </c>
      <c r="Q105">
        <v>8</v>
      </c>
    </row>
    <row r="106" spans="1:18" hidden="1" x14ac:dyDescent="0.25">
      <c r="A106" s="1">
        <v>46238</v>
      </c>
      <c r="B106" t="s">
        <v>219</v>
      </c>
      <c r="C106" t="s">
        <v>220</v>
      </c>
      <c r="D106" t="s">
        <v>55</v>
      </c>
      <c r="E106" t="s">
        <v>4047</v>
      </c>
      <c r="F106" t="s">
        <v>16</v>
      </c>
      <c r="G106" s="1">
        <v>46225</v>
      </c>
      <c r="H106" s="1">
        <v>46239</v>
      </c>
      <c r="I106" s="2">
        <v>0.54166666666666663</v>
      </c>
      <c r="J106" s="2">
        <v>0.875</v>
      </c>
      <c r="K106" s="8" t="s">
        <v>214</v>
      </c>
      <c r="L106">
        <v>2</v>
      </c>
      <c r="M106" t="s">
        <v>4257</v>
      </c>
      <c r="N106" t="s">
        <v>213</v>
      </c>
      <c r="O106" t="s">
        <v>214</v>
      </c>
      <c r="P106" t="s">
        <v>21</v>
      </c>
      <c r="Q106">
        <v>8</v>
      </c>
    </row>
    <row r="107" spans="1:18" hidden="1" x14ac:dyDescent="0.25">
      <c r="A107" s="1">
        <v>46238</v>
      </c>
      <c r="B107" t="s">
        <v>70</v>
      </c>
      <c r="C107" t="s">
        <v>71</v>
      </c>
      <c r="D107" t="s">
        <v>55</v>
      </c>
      <c r="E107" t="s">
        <v>4047</v>
      </c>
      <c r="F107" t="s">
        <v>16</v>
      </c>
      <c r="G107" s="1">
        <v>46226</v>
      </c>
      <c r="H107" s="1">
        <v>46246</v>
      </c>
      <c r="I107" s="2">
        <v>0.58333333333333337</v>
      </c>
      <c r="J107" s="2">
        <v>0.875</v>
      </c>
      <c r="K107" s="8" t="s">
        <v>178</v>
      </c>
      <c r="L107">
        <v>2</v>
      </c>
      <c r="M107" t="s">
        <v>4257</v>
      </c>
      <c r="N107" t="s">
        <v>177</v>
      </c>
      <c r="O107" t="s">
        <v>178</v>
      </c>
      <c r="P107" t="s">
        <v>21</v>
      </c>
      <c r="Q107">
        <v>7</v>
      </c>
    </row>
    <row r="108" spans="1:18" hidden="1" x14ac:dyDescent="0.25">
      <c r="A108" s="1">
        <v>46238</v>
      </c>
      <c r="B108" t="s">
        <v>26</v>
      </c>
      <c r="C108" t="s">
        <v>27</v>
      </c>
      <c r="D108" t="s">
        <v>28</v>
      </c>
      <c r="E108" t="s">
        <v>4046</v>
      </c>
      <c r="F108" t="s">
        <v>16</v>
      </c>
      <c r="G108" s="1">
        <v>46226</v>
      </c>
      <c r="H108" s="1">
        <v>46255</v>
      </c>
      <c r="I108" s="2">
        <v>0.25</v>
      </c>
      <c r="J108" s="2">
        <v>0.54166666666666663</v>
      </c>
      <c r="K108" t="s">
        <v>18</v>
      </c>
      <c r="L108">
        <v>0</v>
      </c>
      <c r="M108" t="s">
        <v>4258</v>
      </c>
      <c r="N108" t="s">
        <v>17</v>
      </c>
      <c r="O108" t="s">
        <v>18</v>
      </c>
      <c r="P108" t="s">
        <v>4042</v>
      </c>
      <c r="Q108">
        <v>7</v>
      </c>
    </row>
    <row r="109" spans="1:18" hidden="1" x14ac:dyDescent="0.25">
      <c r="A109" s="1">
        <v>46238</v>
      </c>
      <c r="B109" t="s">
        <v>62</v>
      </c>
      <c r="C109" t="s">
        <v>63</v>
      </c>
      <c r="D109" t="s">
        <v>64</v>
      </c>
      <c r="E109" t="s">
        <v>4046</v>
      </c>
      <c r="F109" t="s">
        <v>16</v>
      </c>
      <c r="G109" s="1">
        <v>46219</v>
      </c>
      <c r="H109" s="1">
        <v>46248</v>
      </c>
      <c r="I109" s="2">
        <v>0.25</v>
      </c>
      <c r="J109" s="2">
        <v>0.58333333333333337</v>
      </c>
      <c r="K109" s="4" t="s">
        <v>237</v>
      </c>
      <c r="L109">
        <v>0</v>
      </c>
      <c r="M109" t="s">
        <v>4255</v>
      </c>
      <c r="N109" t="s">
        <v>236</v>
      </c>
      <c r="O109" t="s">
        <v>237</v>
      </c>
      <c r="P109" t="s">
        <v>4042</v>
      </c>
      <c r="Q109">
        <v>8</v>
      </c>
      <c r="R109" s="8" t="s">
        <v>4256</v>
      </c>
    </row>
    <row r="110" spans="1:18" hidden="1" x14ac:dyDescent="0.25">
      <c r="A110" s="1">
        <v>46238</v>
      </c>
      <c r="B110" t="s">
        <v>30</v>
      </c>
      <c r="C110" t="s">
        <v>61</v>
      </c>
      <c r="D110" t="s">
        <v>28</v>
      </c>
      <c r="E110" t="s">
        <v>4046</v>
      </c>
      <c r="F110" t="s">
        <v>24</v>
      </c>
      <c r="G110" s="1">
        <v>46230</v>
      </c>
      <c r="H110" s="1">
        <v>46248</v>
      </c>
      <c r="I110" s="2">
        <v>0.58333333333333337</v>
      </c>
      <c r="J110" s="2">
        <v>0.875</v>
      </c>
      <c r="K110" s="8" t="s">
        <v>46</v>
      </c>
      <c r="L110">
        <v>2</v>
      </c>
      <c r="M110" t="s">
        <v>4260</v>
      </c>
      <c r="N110" t="s">
        <v>45</v>
      </c>
      <c r="O110" t="s">
        <v>46</v>
      </c>
      <c r="P110" t="s">
        <v>21</v>
      </c>
      <c r="Q110">
        <v>7</v>
      </c>
    </row>
    <row r="111" spans="1:18" hidden="1" x14ac:dyDescent="0.25">
      <c r="A111" s="1">
        <v>46238</v>
      </c>
      <c r="B111" t="s">
        <v>122</v>
      </c>
      <c r="C111" t="s">
        <v>123</v>
      </c>
      <c r="D111" t="s">
        <v>124</v>
      </c>
      <c r="E111" t="s">
        <v>4045</v>
      </c>
      <c r="F111" t="s">
        <v>16</v>
      </c>
      <c r="G111" s="1">
        <v>46224</v>
      </c>
      <c r="H111" s="1">
        <v>46238</v>
      </c>
      <c r="I111" s="2">
        <v>0.25</v>
      </c>
      <c r="J111" s="2">
        <v>0.54166666666666663</v>
      </c>
      <c r="K111" t="s">
        <v>274</v>
      </c>
      <c r="L111">
        <v>0</v>
      </c>
      <c r="M111" t="s">
        <v>4257</v>
      </c>
      <c r="N111" t="s">
        <v>273</v>
      </c>
      <c r="O111" t="s">
        <v>274</v>
      </c>
      <c r="P111" t="s">
        <v>4042</v>
      </c>
      <c r="Q111">
        <v>7</v>
      </c>
    </row>
    <row r="112" spans="1:18" hidden="1" x14ac:dyDescent="0.25">
      <c r="A112" s="1">
        <v>46238</v>
      </c>
      <c r="B112" t="s">
        <v>37</v>
      </c>
      <c r="C112" t="s">
        <v>38</v>
      </c>
      <c r="D112" t="s">
        <v>39</v>
      </c>
      <c r="E112" t="s">
        <v>4046</v>
      </c>
      <c r="F112" t="s">
        <v>36</v>
      </c>
      <c r="G112" s="1">
        <v>46217</v>
      </c>
      <c r="H112" s="1">
        <v>46342</v>
      </c>
      <c r="I112" s="2">
        <v>0.25</v>
      </c>
      <c r="J112" s="2">
        <v>0.58333333333333337</v>
      </c>
      <c r="K112" t="s">
        <v>149</v>
      </c>
      <c r="L112">
        <v>0</v>
      </c>
      <c r="M112" t="s">
        <v>4258</v>
      </c>
      <c r="N112" t="s">
        <v>148</v>
      </c>
      <c r="O112" t="s">
        <v>149</v>
      </c>
      <c r="P112" t="s">
        <v>4042</v>
      </c>
      <c r="Q112">
        <v>8</v>
      </c>
    </row>
    <row r="113" spans="1:18" hidden="1" x14ac:dyDescent="0.25">
      <c r="A113" s="1">
        <v>46238</v>
      </c>
      <c r="B113">
        <v>1152699151</v>
      </c>
      <c r="C113" t="s">
        <v>1020</v>
      </c>
      <c r="D113" t="s">
        <v>4125</v>
      </c>
      <c r="E113" t="s">
        <v>4046</v>
      </c>
      <c r="F113" t="s">
        <v>4123</v>
      </c>
      <c r="G113" s="1">
        <v>46238</v>
      </c>
      <c r="H113" s="1">
        <v>46240</v>
      </c>
      <c r="I113" s="2">
        <v>0.33333333333333331</v>
      </c>
      <c r="J113" s="2">
        <v>0.625</v>
      </c>
      <c r="K113" t="s">
        <v>3663</v>
      </c>
      <c r="L113">
        <v>0</v>
      </c>
      <c r="M113" t="s">
        <v>4255</v>
      </c>
      <c r="N113" t="s">
        <v>3662</v>
      </c>
      <c r="O113" t="s">
        <v>3663</v>
      </c>
      <c r="P113" t="s">
        <v>4042</v>
      </c>
      <c r="Q113">
        <v>7</v>
      </c>
    </row>
    <row r="114" spans="1:18" hidden="1" x14ac:dyDescent="0.25">
      <c r="A114" s="1">
        <v>46238</v>
      </c>
      <c r="B114">
        <v>1152470285</v>
      </c>
      <c r="C114" t="s">
        <v>3594</v>
      </c>
      <c r="D114" t="s">
        <v>82</v>
      </c>
      <c r="E114" t="s">
        <v>4045</v>
      </c>
      <c r="F114" t="s">
        <v>24</v>
      </c>
      <c r="G114" s="1">
        <v>46238</v>
      </c>
      <c r="H114" s="1">
        <v>46238</v>
      </c>
      <c r="I114" s="2">
        <v>0.25</v>
      </c>
      <c r="J114" s="2">
        <v>0.58333333333333337</v>
      </c>
      <c r="K114" t="s">
        <v>1492</v>
      </c>
      <c r="L114">
        <v>0</v>
      </c>
      <c r="M114" t="s">
        <v>4257</v>
      </c>
      <c r="N114" t="s">
        <v>1491</v>
      </c>
      <c r="O114" t="s">
        <v>1492</v>
      </c>
      <c r="P114" t="s">
        <v>4042</v>
      </c>
      <c r="Q114">
        <v>8</v>
      </c>
    </row>
    <row r="115" spans="1:18" hidden="1" x14ac:dyDescent="0.25">
      <c r="A115" s="1">
        <v>46238</v>
      </c>
      <c r="B115" t="s">
        <v>228</v>
      </c>
      <c r="C115" t="s">
        <v>229</v>
      </c>
      <c r="D115" t="s">
        <v>4078</v>
      </c>
      <c r="E115" t="s">
        <v>4046</v>
      </c>
      <c r="F115" t="s">
        <v>4079</v>
      </c>
      <c r="G115" s="1">
        <v>46238</v>
      </c>
      <c r="H115" s="1">
        <v>46238</v>
      </c>
      <c r="I115" s="2">
        <v>0.25</v>
      </c>
      <c r="J115" s="2">
        <v>0.58333333333333337</v>
      </c>
      <c r="K115" t="s">
        <v>229</v>
      </c>
      <c r="L115">
        <v>0</v>
      </c>
      <c r="M115" t="s">
        <v>4258</v>
      </c>
      <c r="N115" t="s">
        <v>228</v>
      </c>
      <c r="O115" t="s">
        <v>229</v>
      </c>
      <c r="P115" t="s">
        <v>4042</v>
      </c>
      <c r="Q115">
        <v>8</v>
      </c>
    </row>
    <row r="116" spans="1:18" hidden="1" x14ac:dyDescent="0.25">
      <c r="A116" s="1">
        <v>46238</v>
      </c>
      <c r="B116">
        <v>1193055266</v>
      </c>
      <c r="C116" t="s">
        <v>322</v>
      </c>
      <c r="D116" t="s">
        <v>4078</v>
      </c>
      <c r="E116" t="s">
        <v>4056</v>
      </c>
      <c r="F116" t="s">
        <v>4079</v>
      </c>
      <c r="G116" s="1">
        <v>46238</v>
      </c>
      <c r="H116" s="1">
        <v>46238</v>
      </c>
      <c r="I116" s="2">
        <v>0.25</v>
      </c>
      <c r="J116" s="2">
        <v>0.58333333333333337</v>
      </c>
      <c r="K116" t="s">
        <v>322</v>
      </c>
      <c r="L116">
        <v>0</v>
      </c>
      <c r="M116" t="s">
        <v>4255</v>
      </c>
      <c r="N116" t="s">
        <v>321</v>
      </c>
      <c r="O116" t="s">
        <v>322</v>
      </c>
      <c r="P116" t="s">
        <v>4042</v>
      </c>
      <c r="Q116">
        <v>8</v>
      </c>
    </row>
    <row r="117" spans="1:18" hidden="1" x14ac:dyDescent="0.25">
      <c r="A117" s="1">
        <v>46238</v>
      </c>
      <c r="B117">
        <v>1152687492</v>
      </c>
      <c r="C117" t="s">
        <v>4127</v>
      </c>
      <c r="D117" t="s">
        <v>414</v>
      </c>
      <c r="E117" t="s">
        <v>4056</v>
      </c>
      <c r="F117" t="s">
        <v>4050</v>
      </c>
      <c r="G117" s="1">
        <v>46238</v>
      </c>
      <c r="H117" s="1">
        <v>46240</v>
      </c>
      <c r="I117" s="2">
        <v>0.5</v>
      </c>
      <c r="J117" s="2">
        <v>0.79166666666666663</v>
      </c>
      <c r="K117" s="4" t="s">
        <v>268</v>
      </c>
      <c r="L117">
        <v>0</v>
      </c>
      <c r="M117" t="s">
        <v>4255</v>
      </c>
      <c r="N117" t="s">
        <v>267</v>
      </c>
      <c r="O117" t="s">
        <v>268</v>
      </c>
      <c r="P117" t="s">
        <v>4042</v>
      </c>
      <c r="Q117">
        <v>7</v>
      </c>
      <c r="R117" s="8" t="s">
        <v>4265</v>
      </c>
    </row>
    <row r="118" spans="1:18" hidden="1" x14ac:dyDescent="0.25">
      <c r="A118" s="1">
        <v>46238</v>
      </c>
      <c r="B118">
        <v>1117545007</v>
      </c>
      <c r="C118" t="s">
        <v>2375</v>
      </c>
      <c r="D118" t="s">
        <v>139</v>
      </c>
      <c r="E118" t="s">
        <v>4040</v>
      </c>
      <c r="F118" t="s">
        <v>16</v>
      </c>
      <c r="G118" s="1">
        <v>46237</v>
      </c>
      <c r="H118" s="1">
        <v>46239</v>
      </c>
      <c r="I118" s="2">
        <v>0.25</v>
      </c>
      <c r="J118" s="2">
        <v>0.58333333333333337</v>
      </c>
      <c r="K118" t="s">
        <v>315</v>
      </c>
      <c r="L118">
        <v>0</v>
      </c>
      <c r="M118" t="s">
        <v>4257</v>
      </c>
      <c r="N118" t="s">
        <v>314</v>
      </c>
      <c r="O118" t="s">
        <v>315</v>
      </c>
      <c r="P118" t="s">
        <v>4042</v>
      </c>
      <c r="Q118">
        <v>8</v>
      </c>
    </row>
    <row r="119" spans="1:18" hidden="1" x14ac:dyDescent="0.25">
      <c r="A119" s="1">
        <v>46238</v>
      </c>
      <c r="B119">
        <v>1001369228</v>
      </c>
      <c r="C119" t="s">
        <v>164</v>
      </c>
      <c r="D119" t="s">
        <v>4078</v>
      </c>
      <c r="E119" t="s">
        <v>4056</v>
      </c>
      <c r="F119" t="s">
        <v>16</v>
      </c>
      <c r="G119" s="1">
        <v>46238</v>
      </c>
      <c r="H119" s="1">
        <v>46239</v>
      </c>
      <c r="I119" s="2">
        <v>0.25</v>
      </c>
      <c r="J119" s="2">
        <v>0.58333333333333337</v>
      </c>
      <c r="K119" t="s">
        <v>4131</v>
      </c>
      <c r="L119">
        <v>0</v>
      </c>
      <c r="M119" t="s">
        <v>4255</v>
      </c>
      <c r="N119" t="s">
        <v>163</v>
      </c>
      <c r="O119" t="s">
        <v>164</v>
      </c>
      <c r="P119" t="s">
        <v>4042</v>
      </c>
      <c r="Q119">
        <v>8</v>
      </c>
    </row>
    <row r="120" spans="1:18" hidden="1" x14ac:dyDescent="0.25">
      <c r="A120" s="1">
        <v>46238</v>
      </c>
      <c r="B120">
        <v>1140899272</v>
      </c>
      <c r="C120" t="s">
        <v>588</v>
      </c>
      <c r="D120" t="s">
        <v>28</v>
      </c>
      <c r="E120" t="s">
        <v>4046</v>
      </c>
      <c r="F120" t="s">
        <v>4074</v>
      </c>
      <c r="G120" s="1">
        <v>46238</v>
      </c>
      <c r="H120" s="1">
        <v>46240</v>
      </c>
      <c r="I120" s="2"/>
      <c r="J120" s="2"/>
      <c r="K120" t="s">
        <v>4083</v>
      </c>
      <c r="L120">
        <v>0</v>
      </c>
      <c r="P120" t="s">
        <v>4042</v>
      </c>
      <c r="Q120">
        <v>0</v>
      </c>
    </row>
    <row r="121" spans="1:18" hidden="1" x14ac:dyDescent="0.25">
      <c r="A121" s="1">
        <v>46238</v>
      </c>
      <c r="B121" t="s">
        <v>181</v>
      </c>
      <c r="C121" t="s">
        <v>182</v>
      </c>
      <c r="D121" t="s">
        <v>245</v>
      </c>
      <c r="E121" t="s">
        <v>4040</v>
      </c>
      <c r="F121" t="s">
        <v>4104</v>
      </c>
      <c r="G121" s="1">
        <v>46238</v>
      </c>
      <c r="H121" s="1">
        <v>46238</v>
      </c>
      <c r="I121" s="2">
        <v>0.54166666666666663</v>
      </c>
      <c r="J121" s="2">
        <v>0.79166666666666663</v>
      </c>
      <c r="K121" t="s">
        <v>9</v>
      </c>
      <c r="L121">
        <v>0</v>
      </c>
      <c r="M121" t="s">
        <v>4260</v>
      </c>
      <c r="N121" t="s">
        <v>181</v>
      </c>
      <c r="O121" t="s">
        <v>182</v>
      </c>
      <c r="P121" t="s">
        <v>4042</v>
      </c>
      <c r="Q121">
        <v>6</v>
      </c>
    </row>
    <row r="122" spans="1:18" hidden="1" x14ac:dyDescent="0.25">
      <c r="A122" s="1">
        <v>46239</v>
      </c>
      <c r="B122">
        <v>1047505786</v>
      </c>
      <c r="C122" t="s">
        <v>114</v>
      </c>
      <c r="D122" t="s">
        <v>51</v>
      </c>
      <c r="E122" t="s">
        <v>4047</v>
      </c>
      <c r="F122" t="s">
        <v>16</v>
      </c>
      <c r="G122" s="1">
        <v>46229</v>
      </c>
      <c r="H122" s="1">
        <v>46243</v>
      </c>
      <c r="I122" s="2">
        <v>0.54166666666666663</v>
      </c>
      <c r="J122" s="2">
        <v>0.875</v>
      </c>
      <c r="K122" s="8" t="s">
        <v>111</v>
      </c>
      <c r="L122">
        <v>2</v>
      </c>
      <c r="M122" t="s">
        <v>4259</v>
      </c>
      <c r="N122" t="s">
        <v>110</v>
      </c>
      <c r="O122" t="s">
        <v>111</v>
      </c>
      <c r="P122" t="s">
        <v>21</v>
      </c>
      <c r="Q122">
        <v>8</v>
      </c>
    </row>
    <row r="123" spans="1:18" hidden="1" x14ac:dyDescent="0.25">
      <c r="A123" s="1">
        <v>46239</v>
      </c>
      <c r="B123">
        <v>1001940238</v>
      </c>
      <c r="C123" t="s">
        <v>4049</v>
      </c>
      <c r="D123" t="s">
        <v>82</v>
      </c>
      <c r="E123" t="s">
        <v>4045</v>
      </c>
      <c r="F123" s="4" t="s">
        <v>4050</v>
      </c>
      <c r="G123" s="1">
        <v>46237</v>
      </c>
      <c r="H123" s="1">
        <v>46239</v>
      </c>
      <c r="I123" s="2">
        <v>0.54166666666666663</v>
      </c>
      <c r="J123" s="2">
        <v>0.83333333333333337</v>
      </c>
      <c r="K123" s="8" t="s">
        <v>265</v>
      </c>
      <c r="L123">
        <v>1</v>
      </c>
      <c r="M123" t="s">
        <v>4257</v>
      </c>
      <c r="N123" t="s">
        <v>264</v>
      </c>
      <c r="O123" t="s">
        <v>265</v>
      </c>
      <c r="P123" t="s">
        <v>21</v>
      </c>
      <c r="Q123">
        <v>7</v>
      </c>
    </row>
    <row r="124" spans="1:18" hidden="1" x14ac:dyDescent="0.25">
      <c r="A124" s="1">
        <v>46239</v>
      </c>
      <c r="B124">
        <v>1143375080</v>
      </c>
      <c r="C124" t="s">
        <v>157</v>
      </c>
      <c r="D124" t="s">
        <v>44</v>
      </c>
      <c r="E124" t="s">
        <v>4045</v>
      </c>
      <c r="F124" t="s">
        <v>4062</v>
      </c>
      <c r="G124" s="1">
        <v>46232</v>
      </c>
      <c r="H124" s="1">
        <v>46239</v>
      </c>
      <c r="I124" s="2">
        <v>0.58333333333333337</v>
      </c>
      <c r="J124" s="2">
        <v>0.875</v>
      </c>
      <c r="K124" s="8" t="s">
        <v>283</v>
      </c>
      <c r="L124">
        <v>2</v>
      </c>
      <c r="M124" t="s">
        <v>4260</v>
      </c>
      <c r="N124" t="s">
        <v>282</v>
      </c>
      <c r="O124" t="s">
        <v>283</v>
      </c>
      <c r="P124" t="s">
        <v>21</v>
      </c>
      <c r="Q124">
        <v>7</v>
      </c>
    </row>
    <row r="125" spans="1:18" hidden="1" x14ac:dyDescent="0.25">
      <c r="A125" s="1">
        <v>46239</v>
      </c>
      <c r="B125">
        <v>1017264032</v>
      </c>
      <c r="C125" t="s">
        <v>88</v>
      </c>
      <c r="D125" t="s">
        <v>55</v>
      </c>
      <c r="E125" t="s">
        <v>4047</v>
      </c>
      <c r="F125" t="s">
        <v>16</v>
      </c>
      <c r="G125" s="1">
        <v>46229</v>
      </c>
      <c r="H125" s="1">
        <v>46258</v>
      </c>
      <c r="I125" s="2">
        <v>0.25</v>
      </c>
      <c r="J125" s="2">
        <v>0.58333333333333337</v>
      </c>
      <c r="K125" t="s">
        <v>117</v>
      </c>
      <c r="L125">
        <v>0</v>
      </c>
      <c r="M125" t="s">
        <v>4260</v>
      </c>
      <c r="N125" t="s">
        <v>116</v>
      </c>
      <c r="O125" t="s">
        <v>117</v>
      </c>
      <c r="P125" t="s">
        <v>4042</v>
      </c>
      <c r="Q125">
        <v>8</v>
      </c>
    </row>
    <row r="126" spans="1:18" hidden="1" x14ac:dyDescent="0.25">
      <c r="A126" s="1">
        <v>46239</v>
      </c>
      <c r="B126">
        <v>1036132488</v>
      </c>
      <c r="C126" t="s">
        <v>58</v>
      </c>
      <c r="D126" t="s">
        <v>59</v>
      </c>
      <c r="E126" t="s">
        <v>4047</v>
      </c>
      <c r="F126" t="s">
        <v>16</v>
      </c>
      <c r="G126" s="1">
        <v>46227</v>
      </c>
      <c r="H126" s="1">
        <v>46246</v>
      </c>
      <c r="I126" s="2">
        <v>0.25</v>
      </c>
      <c r="J126" s="2">
        <v>0.58333333333333337</v>
      </c>
      <c r="K126" t="s">
        <v>277</v>
      </c>
      <c r="L126">
        <v>0</v>
      </c>
      <c r="M126" t="s">
        <v>4259</v>
      </c>
      <c r="N126" t="s">
        <v>276</v>
      </c>
      <c r="O126" t="s">
        <v>277</v>
      </c>
      <c r="P126" t="s">
        <v>4042</v>
      </c>
      <c r="Q126">
        <v>8</v>
      </c>
    </row>
    <row r="127" spans="1:18" hidden="1" x14ac:dyDescent="0.25">
      <c r="A127" s="1">
        <v>46239</v>
      </c>
      <c r="B127">
        <v>1037631989</v>
      </c>
      <c r="C127" t="s">
        <v>27</v>
      </c>
      <c r="D127" t="s">
        <v>28</v>
      </c>
      <c r="E127" t="s">
        <v>4046</v>
      </c>
      <c r="F127" t="s">
        <v>16</v>
      </c>
      <c r="G127" s="1">
        <v>46226</v>
      </c>
      <c r="H127" s="1">
        <v>46255</v>
      </c>
      <c r="I127" s="2">
        <v>0.25</v>
      </c>
      <c r="J127" s="2">
        <v>0.54166666666666663</v>
      </c>
      <c r="K127" t="s">
        <v>97</v>
      </c>
      <c r="L127">
        <v>0</v>
      </c>
      <c r="M127" t="s">
        <v>4257</v>
      </c>
      <c r="N127" t="s">
        <v>96</v>
      </c>
      <c r="O127" t="s">
        <v>97</v>
      </c>
      <c r="P127" t="s">
        <v>4042</v>
      </c>
      <c r="Q127">
        <v>7</v>
      </c>
    </row>
    <row r="128" spans="1:18" hidden="1" x14ac:dyDescent="0.25">
      <c r="A128" s="1">
        <v>46239</v>
      </c>
      <c r="B128">
        <v>1037638426</v>
      </c>
      <c r="C128" t="s">
        <v>61</v>
      </c>
      <c r="D128" t="s">
        <v>28</v>
      </c>
      <c r="E128" t="s">
        <v>4046</v>
      </c>
      <c r="F128" t="s">
        <v>24</v>
      </c>
      <c r="G128" s="1">
        <v>46230</v>
      </c>
      <c r="H128" s="1">
        <v>46262</v>
      </c>
      <c r="I128" s="2">
        <v>0.54166666666666663</v>
      </c>
      <c r="J128" s="2">
        <v>0.875</v>
      </c>
      <c r="K128" s="8" t="s">
        <v>149</v>
      </c>
      <c r="L128">
        <v>2</v>
      </c>
      <c r="M128" t="s">
        <v>4258</v>
      </c>
      <c r="N128" t="s">
        <v>148</v>
      </c>
      <c r="O128" t="s">
        <v>149</v>
      </c>
      <c r="P128" t="s">
        <v>21</v>
      </c>
      <c r="Q128">
        <v>8</v>
      </c>
    </row>
    <row r="129" spans="1:18" hidden="1" x14ac:dyDescent="0.25">
      <c r="A129" s="1">
        <v>46239</v>
      </c>
      <c r="B129">
        <v>1121506548</v>
      </c>
      <c r="C129" t="s">
        <v>38</v>
      </c>
      <c r="D129" t="s">
        <v>39</v>
      </c>
      <c r="E129" t="s">
        <v>4046</v>
      </c>
      <c r="F129" t="s">
        <v>36</v>
      </c>
      <c r="G129" s="1">
        <v>46217</v>
      </c>
      <c r="H129" s="1">
        <v>46342</v>
      </c>
      <c r="I129" s="2">
        <v>0.25</v>
      </c>
      <c r="J129" s="2">
        <v>0.58333333333333337</v>
      </c>
      <c r="K129" t="s">
        <v>310</v>
      </c>
      <c r="L129">
        <v>0</v>
      </c>
      <c r="M129" t="s">
        <v>4260</v>
      </c>
      <c r="N129" t="s">
        <v>309</v>
      </c>
      <c r="O129" t="s">
        <v>310</v>
      </c>
      <c r="P129" t="s">
        <v>4042</v>
      </c>
      <c r="Q129">
        <v>8</v>
      </c>
    </row>
    <row r="130" spans="1:18" hidden="1" x14ac:dyDescent="0.25">
      <c r="A130" s="1">
        <v>46239</v>
      </c>
      <c r="B130">
        <v>1143460426</v>
      </c>
      <c r="C130" t="s">
        <v>4069</v>
      </c>
      <c r="D130" t="s">
        <v>64</v>
      </c>
      <c r="E130" t="s">
        <v>4046</v>
      </c>
      <c r="F130" t="s">
        <v>4050</v>
      </c>
      <c r="G130" s="1">
        <v>46195</v>
      </c>
      <c r="H130" s="1">
        <v>46198</v>
      </c>
      <c r="I130" s="2">
        <v>0.25</v>
      </c>
      <c r="J130" s="2">
        <v>0.54166666666666663</v>
      </c>
      <c r="K130" s="8" t="s">
        <v>237</v>
      </c>
      <c r="L130">
        <v>0</v>
      </c>
      <c r="M130" t="s">
        <v>4255</v>
      </c>
      <c r="N130" t="s">
        <v>236</v>
      </c>
      <c r="O130" t="s">
        <v>237</v>
      </c>
      <c r="P130" t="s">
        <v>4042</v>
      </c>
      <c r="Q130">
        <v>7</v>
      </c>
      <c r="R130" s="8" t="s">
        <v>4256</v>
      </c>
    </row>
    <row r="131" spans="1:18" hidden="1" x14ac:dyDescent="0.25">
      <c r="A131" s="1">
        <v>46239</v>
      </c>
      <c r="B131">
        <v>1152221372</v>
      </c>
      <c r="C131" t="s">
        <v>4072</v>
      </c>
      <c r="D131" t="s">
        <v>139</v>
      </c>
      <c r="E131" t="s">
        <v>4040</v>
      </c>
      <c r="F131" t="s">
        <v>158</v>
      </c>
      <c r="G131" s="1">
        <v>46230</v>
      </c>
      <c r="H131" s="1">
        <v>46230</v>
      </c>
      <c r="I131" s="2">
        <v>0.25</v>
      </c>
      <c r="J131" s="2">
        <v>0.54166666666666663</v>
      </c>
      <c r="K131" t="s">
        <v>315</v>
      </c>
      <c r="L131">
        <v>0</v>
      </c>
      <c r="M131" t="s">
        <v>4257</v>
      </c>
      <c r="N131" t="s">
        <v>314</v>
      </c>
      <c r="O131" t="s">
        <v>315</v>
      </c>
      <c r="P131" t="s">
        <v>4042</v>
      </c>
      <c r="Q131">
        <v>7</v>
      </c>
    </row>
    <row r="132" spans="1:18" hidden="1" x14ac:dyDescent="0.25">
      <c r="A132" s="1">
        <v>46239</v>
      </c>
      <c r="B132">
        <v>1098777544</v>
      </c>
      <c r="C132" t="s">
        <v>131</v>
      </c>
      <c r="D132" t="s">
        <v>132</v>
      </c>
      <c r="E132" t="s">
        <v>4040</v>
      </c>
      <c r="F132" t="s">
        <v>16</v>
      </c>
      <c r="G132" s="1">
        <v>46217</v>
      </c>
      <c r="H132" s="1">
        <v>46246</v>
      </c>
      <c r="I132" s="2">
        <v>0.25</v>
      </c>
      <c r="J132" s="2">
        <v>0.54166666666666663</v>
      </c>
      <c r="K132" t="s">
        <v>120</v>
      </c>
      <c r="L132">
        <v>0</v>
      </c>
      <c r="M132" t="s">
        <v>4260</v>
      </c>
      <c r="N132" t="s">
        <v>119</v>
      </c>
      <c r="O132" t="s">
        <v>120</v>
      </c>
      <c r="P132" t="s">
        <v>4042</v>
      </c>
      <c r="Q132">
        <v>7</v>
      </c>
    </row>
    <row r="133" spans="1:18" hidden="1" x14ac:dyDescent="0.25">
      <c r="A133" s="1">
        <v>46239</v>
      </c>
      <c r="B133">
        <v>1001005240</v>
      </c>
      <c r="C133" t="s">
        <v>43</v>
      </c>
      <c r="D133" t="s">
        <v>44</v>
      </c>
      <c r="E133" t="s">
        <v>4045</v>
      </c>
      <c r="F133" t="s">
        <v>16</v>
      </c>
      <c r="G133" s="1">
        <v>46234</v>
      </c>
      <c r="H133" s="1">
        <v>46240</v>
      </c>
      <c r="I133" s="2">
        <v>0.58333333333333337</v>
      </c>
      <c r="J133" s="2">
        <v>0.875</v>
      </c>
      <c r="K133" s="8" t="s">
        <v>46</v>
      </c>
      <c r="L133">
        <v>2</v>
      </c>
      <c r="M133" t="s">
        <v>4260</v>
      </c>
      <c r="N133" t="s">
        <v>45</v>
      </c>
      <c r="O133" t="s">
        <v>46</v>
      </c>
      <c r="P133" t="s">
        <v>21</v>
      </c>
      <c r="Q133">
        <v>7</v>
      </c>
    </row>
    <row r="134" spans="1:18" hidden="1" x14ac:dyDescent="0.25">
      <c r="A134" s="1">
        <v>46239</v>
      </c>
      <c r="B134">
        <v>1032491944</v>
      </c>
      <c r="C134" t="s">
        <v>77</v>
      </c>
      <c r="D134" t="s">
        <v>78</v>
      </c>
      <c r="E134" t="s">
        <v>4046</v>
      </c>
      <c r="F134" t="s">
        <v>16</v>
      </c>
      <c r="G134" s="1">
        <v>46237</v>
      </c>
      <c r="H134" s="1">
        <v>46241</v>
      </c>
      <c r="I134" s="2">
        <v>0.25</v>
      </c>
      <c r="J134" s="2">
        <v>0.58333333333333337</v>
      </c>
      <c r="K134" t="s">
        <v>223</v>
      </c>
      <c r="L134">
        <v>0</v>
      </c>
      <c r="M134" t="s">
        <v>4258</v>
      </c>
      <c r="N134" t="s">
        <v>222</v>
      </c>
      <c r="O134" s="10" t="s">
        <v>223</v>
      </c>
      <c r="P134" t="s">
        <v>4042</v>
      </c>
      <c r="Q134">
        <v>8</v>
      </c>
    </row>
    <row r="135" spans="1:18" hidden="1" x14ac:dyDescent="0.25">
      <c r="A135" s="1">
        <v>46239</v>
      </c>
      <c r="B135">
        <v>1001851670</v>
      </c>
      <c r="C135" t="s">
        <v>50</v>
      </c>
      <c r="D135" t="s">
        <v>51</v>
      </c>
      <c r="E135" t="s">
        <v>4047</v>
      </c>
      <c r="F135" t="s">
        <v>36</v>
      </c>
      <c r="G135" s="1">
        <v>46237</v>
      </c>
      <c r="H135" s="1">
        <v>46366</v>
      </c>
      <c r="I135" s="2">
        <v>0.25</v>
      </c>
      <c r="J135" s="2">
        <v>0.54166666666666663</v>
      </c>
      <c r="K135" t="s">
        <v>232</v>
      </c>
      <c r="L135">
        <v>0</v>
      </c>
      <c r="M135" t="s">
        <v>4257</v>
      </c>
      <c r="N135" t="s">
        <v>231</v>
      </c>
      <c r="O135" t="s">
        <v>232</v>
      </c>
      <c r="P135" t="s">
        <v>4042</v>
      </c>
      <c r="Q135">
        <v>7</v>
      </c>
    </row>
    <row r="136" spans="1:18" hidden="1" x14ac:dyDescent="0.25">
      <c r="A136" s="1">
        <v>46239</v>
      </c>
      <c r="B136">
        <v>1140851921</v>
      </c>
      <c r="C136" t="s">
        <v>4061</v>
      </c>
      <c r="D136" t="s">
        <v>256</v>
      </c>
      <c r="E136" t="s">
        <v>4040</v>
      </c>
      <c r="F136" t="s">
        <v>4091</v>
      </c>
      <c r="G136" s="1">
        <v>46237</v>
      </c>
      <c r="H136" s="1">
        <v>46239</v>
      </c>
      <c r="I136" s="2">
        <v>0.25</v>
      </c>
      <c r="J136" s="2">
        <v>0.58333333333333337</v>
      </c>
      <c r="K136" t="s">
        <v>1408</v>
      </c>
      <c r="L136">
        <v>0</v>
      </c>
      <c r="M136" t="s">
        <v>4260</v>
      </c>
      <c r="N136" t="s">
        <v>1407</v>
      </c>
      <c r="O136" t="s">
        <v>1408</v>
      </c>
      <c r="P136" t="s">
        <v>4042</v>
      </c>
      <c r="Q136">
        <v>8</v>
      </c>
    </row>
    <row r="137" spans="1:18" hidden="1" x14ac:dyDescent="0.25">
      <c r="A137" s="1">
        <v>46239</v>
      </c>
      <c r="B137">
        <v>1004841623</v>
      </c>
      <c r="C137" t="s">
        <v>4095</v>
      </c>
      <c r="D137" t="s">
        <v>492</v>
      </c>
      <c r="E137" t="s">
        <v>4045</v>
      </c>
      <c r="F137" s="4" t="s">
        <v>4050</v>
      </c>
      <c r="G137" s="1">
        <v>46237</v>
      </c>
      <c r="H137" s="1">
        <v>46241</v>
      </c>
      <c r="I137" s="2">
        <v>0.54166666666666663</v>
      </c>
      <c r="J137" s="2">
        <v>0.875</v>
      </c>
      <c r="K137" s="8" t="s">
        <v>214</v>
      </c>
      <c r="L137">
        <v>2</v>
      </c>
      <c r="M137" t="s">
        <v>4257</v>
      </c>
      <c r="N137" t="s">
        <v>213</v>
      </c>
      <c r="O137" t="s">
        <v>214</v>
      </c>
      <c r="P137" t="s">
        <v>21</v>
      </c>
      <c r="Q137">
        <v>8</v>
      </c>
    </row>
    <row r="138" spans="1:18" hidden="1" x14ac:dyDescent="0.25">
      <c r="A138" s="1">
        <v>46239</v>
      </c>
      <c r="B138">
        <v>1143413583</v>
      </c>
      <c r="C138" t="s">
        <v>41</v>
      </c>
      <c r="D138" t="s">
        <v>28</v>
      </c>
      <c r="E138" t="s">
        <v>4046</v>
      </c>
      <c r="F138" t="s">
        <v>16</v>
      </c>
      <c r="G138" s="1">
        <v>46236</v>
      </c>
      <c r="H138" s="1">
        <v>46239</v>
      </c>
      <c r="I138" s="2">
        <v>0.25</v>
      </c>
      <c r="J138" s="2">
        <v>0.54166666666666663</v>
      </c>
      <c r="K138" t="s">
        <v>18</v>
      </c>
      <c r="L138">
        <v>0</v>
      </c>
      <c r="M138" t="s">
        <v>4258</v>
      </c>
      <c r="N138" t="s">
        <v>17</v>
      </c>
      <c r="O138" t="s">
        <v>18</v>
      </c>
      <c r="P138" t="s">
        <v>4042</v>
      </c>
      <c r="Q138">
        <v>7</v>
      </c>
    </row>
    <row r="139" spans="1:18" hidden="1" x14ac:dyDescent="0.25">
      <c r="A139" s="1">
        <v>46239</v>
      </c>
      <c r="B139">
        <v>1152436231</v>
      </c>
      <c r="C139" t="s">
        <v>142</v>
      </c>
      <c r="D139" t="s">
        <v>143</v>
      </c>
      <c r="E139" t="s">
        <v>4045</v>
      </c>
      <c r="F139" t="s">
        <v>16</v>
      </c>
      <c r="G139" s="1">
        <v>46237</v>
      </c>
      <c r="H139" s="1">
        <v>46240</v>
      </c>
      <c r="I139" s="2">
        <v>0.54166666666666663</v>
      </c>
      <c r="J139" s="2">
        <v>0.875</v>
      </c>
      <c r="K139" s="8" t="s">
        <v>210</v>
      </c>
      <c r="L139">
        <v>2</v>
      </c>
      <c r="M139" t="s">
        <v>4257</v>
      </c>
      <c r="N139" t="s">
        <v>209</v>
      </c>
      <c r="O139" t="s">
        <v>210</v>
      </c>
      <c r="P139" t="s">
        <v>21</v>
      </c>
      <c r="Q139">
        <v>8</v>
      </c>
    </row>
    <row r="140" spans="1:18" hidden="1" x14ac:dyDescent="0.25">
      <c r="A140" s="1">
        <v>46239</v>
      </c>
      <c r="B140">
        <v>1193459665</v>
      </c>
      <c r="C140" t="s">
        <v>4098</v>
      </c>
      <c r="D140" t="s">
        <v>256</v>
      </c>
      <c r="E140" t="s">
        <v>4040</v>
      </c>
      <c r="F140" s="4" t="s">
        <v>4050</v>
      </c>
      <c r="G140" s="1">
        <v>46237</v>
      </c>
      <c r="H140" s="1">
        <v>46239</v>
      </c>
      <c r="I140" s="2">
        <v>0.58333333333333337</v>
      </c>
      <c r="J140" s="2">
        <v>0.875</v>
      </c>
      <c r="K140" s="8" t="s">
        <v>194</v>
      </c>
      <c r="L140">
        <v>2</v>
      </c>
      <c r="M140" t="s">
        <v>4260</v>
      </c>
      <c r="N140" t="s">
        <v>193</v>
      </c>
      <c r="O140" t="s">
        <v>194</v>
      </c>
      <c r="P140" t="s">
        <v>21</v>
      </c>
      <c r="Q140">
        <v>7</v>
      </c>
    </row>
    <row r="141" spans="1:18" hidden="1" x14ac:dyDescent="0.25">
      <c r="A141" s="1">
        <v>46239</v>
      </c>
      <c r="B141">
        <v>1072648283</v>
      </c>
      <c r="C141" t="s">
        <v>828</v>
      </c>
      <c r="D141" t="s">
        <v>272</v>
      </c>
      <c r="E141" t="s">
        <v>4056</v>
      </c>
      <c r="F141" t="s">
        <v>16</v>
      </c>
      <c r="G141" s="1">
        <v>46237</v>
      </c>
      <c r="H141" s="1">
        <v>46239</v>
      </c>
      <c r="I141" s="2">
        <v>0.58333333333333337</v>
      </c>
      <c r="J141" s="2">
        <v>0.875</v>
      </c>
      <c r="K141" s="4" t="s">
        <v>561</v>
      </c>
      <c r="L141">
        <v>2</v>
      </c>
      <c r="M141" t="s">
        <v>4255</v>
      </c>
      <c r="N141" t="s">
        <v>560</v>
      </c>
      <c r="O141" t="s">
        <v>561</v>
      </c>
      <c r="P141" t="s">
        <v>21</v>
      </c>
      <c r="Q141">
        <v>7</v>
      </c>
      <c r="R141" s="8" t="s">
        <v>4262</v>
      </c>
    </row>
    <row r="142" spans="1:18" hidden="1" x14ac:dyDescent="0.25">
      <c r="A142" s="1">
        <v>46239</v>
      </c>
      <c r="B142">
        <v>1020486493</v>
      </c>
      <c r="C142" t="s">
        <v>4105</v>
      </c>
      <c r="D142" t="s">
        <v>256</v>
      </c>
      <c r="E142" t="s">
        <v>4040</v>
      </c>
      <c r="F142" t="s">
        <v>4091</v>
      </c>
      <c r="G142" s="1">
        <v>46237</v>
      </c>
      <c r="H142" s="1">
        <v>46239</v>
      </c>
      <c r="I142" s="2">
        <v>0.25</v>
      </c>
      <c r="J142" s="2">
        <v>0.54166666666666663</v>
      </c>
      <c r="K142" t="s">
        <v>247</v>
      </c>
      <c r="L142">
        <v>0</v>
      </c>
      <c r="M142" t="s">
        <v>4260</v>
      </c>
      <c r="N142" t="s">
        <v>246</v>
      </c>
      <c r="O142" t="s">
        <v>247</v>
      </c>
      <c r="P142" t="s">
        <v>4042</v>
      </c>
      <c r="Q142">
        <v>7</v>
      </c>
    </row>
    <row r="143" spans="1:18" hidden="1" x14ac:dyDescent="0.25">
      <c r="A143" s="1">
        <v>46239</v>
      </c>
      <c r="B143">
        <v>1152699151</v>
      </c>
      <c r="C143" t="s">
        <v>1020</v>
      </c>
      <c r="D143" t="s">
        <v>4125</v>
      </c>
      <c r="E143" t="s">
        <v>4046</v>
      </c>
      <c r="F143" t="s">
        <v>4123</v>
      </c>
      <c r="G143" s="1">
        <v>46238</v>
      </c>
      <c r="H143" s="1">
        <v>46240</v>
      </c>
      <c r="I143" s="2">
        <v>0.33333333333333331</v>
      </c>
      <c r="J143" s="2">
        <v>0.625</v>
      </c>
      <c r="K143" t="s">
        <v>3663</v>
      </c>
      <c r="L143">
        <v>0</v>
      </c>
      <c r="M143" t="s">
        <v>4255</v>
      </c>
      <c r="N143" t="s">
        <v>3662</v>
      </c>
      <c r="O143" t="s">
        <v>3663</v>
      </c>
      <c r="P143" t="s">
        <v>4042</v>
      </c>
      <c r="Q143">
        <v>7</v>
      </c>
    </row>
    <row r="144" spans="1:18" hidden="1" x14ac:dyDescent="0.25">
      <c r="A144" s="1">
        <v>46239</v>
      </c>
      <c r="B144">
        <v>1152687492</v>
      </c>
      <c r="C144" t="s">
        <v>4127</v>
      </c>
      <c r="D144" t="s">
        <v>414</v>
      </c>
      <c r="E144" t="s">
        <v>4056</v>
      </c>
      <c r="F144" t="s">
        <v>4050</v>
      </c>
      <c r="G144" s="1">
        <v>46238</v>
      </c>
      <c r="H144" s="1">
        <v>46240</v>
      </c>
      <c r="I144" s="2">
        <v>0.45833333333333331</v>
      </c>
      <c r="J144" s="2">
        <v>0.79166666666666663</v>
      </c>
      <c r="K144" s="4" t="s">
        <v>286</v>
      </c>
      <c r="L144">
        <v>0</v>
      </c>
      <c r="M144" t="s">
        <v>4255</v>
      </c>
      <c r="N144" t="s">
        <v>285</v>
      </c>
      <c r="O144" t="s">
        <v>286</v>
      </c>
      <c r="P144" t="s">
        <v>4042</v>
      </c>
      <c r="Q144">
        <v>8</v>
      </c>
      <c r="R144" s="8" t="s">
        <v>4265</v>
      </c>
    </row>
    <row r="145" spans="1:18" hidden="1" x14ac:dyDescent="0.25">
      <c r="A145" s="1">
        <v>46239</v>
      </c>
      <c r="B145">
        <v>1117545007</v>
      </c>
      <c r="C145" t="s">
        <v>2375</v>
      </c>
      <c r="D145" t="s">
        <v>139</v>
      </c>
      <c r="E145" t="s">
        <v>4040</v>
      </c>
      <c r="F145" t="s">
        <v>16</v>
      </c>
      <c r="G145" s="1">
        <v>46237</v>
      </c>
      <c r="H145" s="1">
        <v>46239</v>
      </c>
      <c r="I145" s="2">
        <v>0.54166666666666663</v>
      </c>
      <c r="J145" s="2">
        <v>0.875</v>
      </c>
      <c r="K145" s="8" t="s">
        <v>74</v>
      </c>
      <c r="L145">
        <v>2</v>
      </c>
      <c r="M145" t="s">
        <v>4257</v>
      </c>
      <c r="N145" t="s">
        <v>73</v>
      </c>
      <c r="O145" t="s">
        <v>74</v>
      </c>
      <c r="P145" t="s">
        <v>21</v>
      </c>
      <c r="Q145">
        <v>8</v>
      </c>
    </row>
    <row r="146" spans="1:18" hidden="1" x14ac:dyDescent="0.25">
      <c r="A146" s="1">
        <v>46239</v>
      </c>
      <c r="B146">
        <v>1193104616</v>
      </c>
      <c r="C146" t="s">
        <v>2004</v>
      </c>
      <c r="D146" t="s">
        <v>55</v>
      </c>
      <c r="E146" t="s">
        <v>4047</v>
      </c>
      <c r="F146" t="s">
        <v>16</v>
      </c>
      <c r="G146" s="1">
        <v>46238</v>
      </c>
      <c r="H146" s="1">
        <v>46240</v>
      </c>
      <c r="I146" s="2">
        <v>0.25</v>
      </c>
      <c r="J146" s="2">
        <v>0.58333333333333337</v>
      </c>
      <c r="K146" t="s">
        <v>86</v>
      </c>
      <c r="L146">
        <v>0</v>
      </c>
      <c r="M146" t="s">
        <v>4259</v>
      </c>
      <c r="N146" t="s">
        <v>85</v>
      </c>
      <c r="O146" t="s">
        <v>86</v>
      </c>
      <c r="P146" t="s">
        <v>4042</v>
      </c>
      <c r="Q146">
        <v>8</v>
      </c>
    </row>
    <row r="147" spans="1:18" hidden="1" x14ac:dyDescent="0.25">
      <c r="A147" s="1">
        <v>46239</v>
      </c>
      <c r="B147">
        <v>1001369228</v>
      </c>
      <c r="C147" t="s">
        <v>164</v>
      </c>
      <c r="D147" t="s">
        <v>4078</v>
      </c>
      <c r="E147" t="s">
        <v>4056</v>
      </c>
      <c r="F147" t="s">
        <v>16</v>
      </c>
      <c r="G147" s="1">
        <v>46238</v>
      </c>
      <c r="H147" s="1">
        <v>46239</v>
      </c>
      <c r="I147" s="2">
        <v>0.25</v>
      </c>
      <c r="J147" s="2">
        <v>0.58333333333333337</v>
      </c>
      <c r="K147" t="s">
        <v>339</v>
      </c>
      <c r="L147">
        <v>0</v>
      </c>
      <c r="M147" t="s">
        <v>4255</v>
      </c>
      <c r="N147" t="s">
        <v>163</v>
      </c>
      <c r="O147" t="s">
        <v>164</v>
      </c>
      <c r="P147" t="s">
        <v>4042</v>
      </c>
      <c r="Q147">
        <v>8</v>
      </c>
    </row>
    <row r="148" spans="1:18" hidden="1" x14ac:dyDescent="0.25">
      <c r="A148" s="1">
        <v>46239</v>
      </c>
      <c r="B148">
        <v>1140899272</v>
      </c>
      <c r="C148" t="s">
        <v>4132</v>
      </c>
      <c r="D148" t="s">
        <v>28</v>
      </c>
      <c r="E148" t="s">
        <v>4046</v>
      </c>
      <c r="F148" t="s">
        <v>16</v>
      </c>
      <c r="G148" s="1">
        <v>46238</v>
      </c>
      <c r="H148" s="1">
        <v>46240</v>
      </c>
      <c r="I148" s="2">
        <v>0.54166666666666663</v>
      </c>
      <c r="J148" s="2">
        <v>0.875</v>
      </c>
      <c r="K148" s="8" t="s">
        <v>4133</v>
      </c>
      <c r="L148">
        <v>2</v>
      </c>
      <c r="M148" t="s">
        <v>4257</v>
      </c>
      <c r="N148" t="s">
        <v>303</v>
      </c>
      <c r="O148" t="s">
        <v>304</v>
      </c>
      <c r="P148" t="s">
        <v>21</v>
      </c>
      <c r="Q148">
        <v>8</v>
      </c>
    </row>
    <row r="149" spans="1:18" hidden="1" x14ac:dyDescent="0.25">
      <c r="A149" s="1">
        <v>46239</v>
      </c>
      <c r="B149">
        <v>1036656151</v>
      </c>
      <c r="C149" t="s">
        <v>1697</v>
      </c>
      <c r="D149" t="s">
        <v>15</v>
      </c>
      <c r="E149" t="s">
        <v>4046</v>
      </c>
      <c r="F149" t="s">
        <v>16</v>
      </c>
      <c r="G149" s="1">
        <v>46238</v>
      </c>
      <c r="H149" s="1">
        <v>46239</v>
      </c>
      <c r="I149" s="2">
        <v>0.25</v>
      </c>
      <c r="J149" s="2">
        <v>0.54166666666666663</v>
      </c>
      <c r="K149" t="s">
        <v>178</v>
      </c>
      <c r="L149">
        <v>0</v>
      </c>
      <c r="M149" t="s">
        <v>4257</v>
      </c>
      <c r="N149" t="s">
        <v>177</v>
      </c>
      <c r="O149" t="s">
        <v>178</v>
      </c>
      <c r="P149" t="s">
        <v>4042</v>
      </c>
      <c r="Q149">
        <v>7</v>
      </c>
    </row>
    <row r="150" spans="1:18" hidden="1" x14ac:dyDescent="0.25">
      <c r="A150" s="1">
        <v>46239</v>
      </c>
      <c r="B150">
        <v>1001901817</v>
      </c>
      <c r="C150" t="s">
        <v>4137</v>
      </c>
      <c r="D150" t="s">
        <v>634</v>
      </c>
      <c r="E150" t="s">
        <v>4045</v>
      </c>
      <c r="F150" t="s">
        <v>16</v>
      </c>
      <c r="G150" s="1">
        <v>46238</v>
      </c>
      <c r="H150" s="1">
        <v>46239</v>
      </c>
      <c r="I150" s="2">
        <v>0.54166666666666663</v>
      </c>
      <c r="J150" s="2">
        <v>0.875</v>
      </c>
      <c r="K150" s="8" t="s">
        <v>274</v>
      </c>
      <c r="L150">
        <v>2</v>
      </c>
      <c r="M150" t="s">
        <v>4257</v>
      </c>
      <c r="N150" t="s">
        <v>273</v>
      </c>
      <c r="O150" t="s">
        <v>274</v>
      </c>
      <c r="P150" t="s">
        <v>21</v>
      </c>
      <c r="Q150">
        <v>8</v>
      </c>
    </row>
    <row r="151" spans="1:18" hidden="1" x14ac:dyDescent="0.25">
      <c r="A151" s="1">
        <v>46239</v>
      </c>
      <c r="B151">
        <v>1037634709</v>
      </c>
      <c r="C151" t="s">
        <v>4044</v>
      </c>
      <c r="D151" t="s">
        <v>492</v>
      </c>
      <c r="E151" t="s">
        <v>4045</v>
      </c>
      <c r="F151" s="4" t="s">
        <v>4050</v>
      </c>
      <c r="G151" s="1">
        <v>46238</v>
      </c>
      <c r="H151" s="1">
        <v>46240</v>
      </c>
      <c r="I151" s="2">
        <v>0.54166666666666663</v>
      </c>
      <c r="J151" s="2">
        <v>0.875</v>
      </c>
      <c r="K151" s="8" t="s">
        <v>200</v>
      </c>
      <c r="L151">
        <v>2</v>
      </c>
      <c r="M151" t="s">
        <v>4257</v>
      </c>
      <c r="N151" t="s">
        <v>199</v>
      </c>
      <c r="O151" t="s">
        <v>200</v>
      </c>
      <c r="P151" t="s">
        <v>21</v>
      </c>
      <c r="Q151">
        <v>8</v>
      </c>
    </row>
    <row r="152" spans="1:18" hidden="1" x14ac:dyDescent="0.25">
      <c r="A152" s="1">
        <v>46239</v>
      </c>
      <c r="B152">
        <v>1143166909</v>
      </c>
      <c r="C152" t="s">
        <v>2717</v>
      </c>
      <c r="D152" t="s">
        <v>344</v>
      </c>
      <c r="E152" t="s">
        <v>4056</v>
      </c>
      <c r="F152" t="s">
        <v>4074</v>
      </c>
      <c r="G152" s="1">
        <v>46239</v>
      </c>
      <c r="H152" s="1"/>
      <c r="I152" s="2">
        <v>0.54166666666666663</v>
      </c>
      <c r="J152" s="2">
        <v>0.875</v>
      </c>
      <c r="K152" s="8" t="s">
        <v>4139</v>
      </c>
      <c r="L152">
        <v>2</v>
      </c>
      <c r="M152" t="s">
        <v>4255</v>
      </c>
      <c r="N152" t="s">
        <v>321</v>
      </c>
      <c r="O152" t="s">
        <v>322</v>
      </c>
      <c r="P152" t="s">
        <v>21</v>
      </c>
      <c r="Q152">
        <v>8</v>
      </c>
    </row>
    <row r="153" spans="1:18" hidden="1" x14ac:dyDescent="0.25">
      <c r="A153" s="1">
        <v>46239</v>
      </c>
      <c r="B153">
        <v>1083001678</v>
      </c>
      <c r="C153" t="s">
        <v>599</v>
      </c>
      <c r="D153" t="s">
        <v>139</v>
      </c>
      <c r="E153" t="s">
        <v>4040</v>
      </c>
      <c r="F153" t="s">
        <v>4140</v>
      </c>
      <c r="G153" s="1">
        <v>46239</v>
      </c>
      <c r="H153" s="1">
        <v>46239</v>
      </c>
      <c r="I153" s="2">
        <v>0.54166666666666663</v>
      </c>
      <c r="J153" s="2">
        <v>0.875</v>
      </c>
      <c r="K153" s="8" t="s">
        <v>1492</v>
      </c>
      <c r="L153">
        <v>2</v>
      </c>
      <c r="M153" t="s">
        <v>4257</v>
      </c>
      <c r="N153" t="s">
        <v>1491</v>
      </c>
      <c r="O153" t="s">
        <v>1492</v>
      </c>
      <c r="P153" t="s">
        <v>21</v>
      </c>
      <c r="Q153">
        <v>8</v>
      </c>
    </row>
    <row r="154" spans="1:18" hidden="1" x14ac:dyDescent="0.25">
      <c r="A154" s="1">
        <v>46239</v>
      </c>
      <c r="B154">
        <v>1020475954</v>
      </c>
      <c r="C154" t="s">
        <v>3934</v>
      </c>
      <c r="D154" t="s">
        <v>68</v>
      </c>
      <c r="E154" t="s">
        <v>4040</v>
      </c>
      <c r="F154" t="s">
        <v>4123</v>
      </c>
      <c r="G154" s="1">
        <v>46238</v>
      </c>
      <c r="H154" s="1">
        <v>46240</v>
      </c>
      <c r="I154" s="2">
        <v>0.54166666666666663</v>
      </c>
      <c r="J154" s="2">
        <v>0.875</v>
      </c>
      <c r="K154" s="8" t="s">
        <v>298</v>
      </c>
      <c r="L154">
        <v>2</v>
      </c>
      <c r="M154" t="s">
        <v>4260</v>
      </c>
      <c r="N154" t="s">
        <v>297</v>
      </c>
      <c r="O154" t="s">
        <v>298</v>
      </c>
      <c r="P154" t="s">
        <v>21</v>
      </c>
      <c r="Q154">
        <v>8</v>
      </c>
      <c r="R154" s="8" t="s">
        <v>4264</v>
      </c>
    </row>
    <row r="155" spans="1:18" hidden="1" x14ac:dyDescent="0.25">
      <c r="A155" s="1">
        <v>46239</v>
      </c>
      <c r="B155">
        <v>1045718883</v>
      </c>
      <c r="C155" t="s">
        <v>34</v>
      </c>
      <c r="D155" t="s">
        <v>15</v>
      </c>
      <c r="E155" t="s">
        <v>4046</v>
      </c>
      <c r="F155" t="s">
        <v>16</v>
      </c>
      <c r="G155" s="1">
        <v>46224</v>
      </c>
      <c r="H155" s="1">
        <v>46239</v>
      </c>
      <c r="I155" s="2">
        <v>0.25</v>
      </c>
      <c r="J155" s="2">
        <v>0.54166666666666663</v>
      </c>
      <c r="K155" t="s">
        <v>301</v>
      </c>
      <c r="L155">
        <v>0</v>
      </c>
      <c r="M155" t="s">
        <v>4258</v>
      </c>
      <c r="N155" t="s">
        <v>300</v>
      </c>
      <c r="O155" t="s">
        <v>301</v>
      </c>
      <c r="P155" t="s">
        <v>4042</v>
      </c>
      <c r="Q155">
        <v>7</v>
      </c>
    </row>
    <row r="156" spans="1:18" hidden="1" x14ac:dyDescent="0.25">
      <c r="A156" s="1">
        <v>46239</v>
      </c>
      <c r="B156">
        <v>1018466443</v>
      </c>
      <c r="C156" t="s">
        <v>4141</v>
      </c>
      <c r="D156" t="s">
        <v>482</v>
      </c>
      <c r="E156" t="s">
        <v>4040</v>
      </c>
      <c r="F156" t="s">
        <v>4123</v>
      </c>
      <c r="G156" s="1">
        <v>46239</v>
      </c>
      <c r="H156" s="1">
        <v>46244</v>
      </c>
      <c r="I156" s="2">
        <v>0.25</v>
      </c>
      <c r="J156" s="2">
        <v>0.58333333333333337</v>
      </c>
      <c r="K156" s="4" t="s">
        <v>1383</v>
      </c>
      <c r="L156">
        <v>0</v>
      </c>
      <c r="M156" t="s">
        <v>4260</v>
      </c>
      <c r="N156" t="s">
        <v>1382</v>
      </c>
      <c r="O156" t="s">
        <v>1383</v>
      </c>
      <c r="P156" t="s">
        <v>4042</v>
      </c>
      <c r="Q156">
        <v>8</v>
      </c>
      <c r="R156" s="8" t="s">
        <v>4261</v>
      </c>
    </row>
    <row r="157" spans="1:18" hidden="1" x14ac:dyDescent="0.25">
      <c r="A157" s="1">
        <v>46239</v>
      </c>
      <c r="B157" t="s">
        <v>228</v>
      </c>
      <c r="C157" t="s">
        <v>229</v>
      </c>
      <c r="D157" t="s">
        <v>4078</v>
      </c>
      <c r="E157" t="s">
        <v>4046</v>
      </c>
      <c r="F157" t="s">
        <v>4079</v>
      </c>
      <c r="G157" s="1">
        <v>46239</v>
      </c>
      <c r="H157" s="1">
        <v>46239</v>
      </c>
      <c r="I157" s="2">
        <v>0.25</v>
      </c>
      <c r="J157" s="2">
        <v>0.58333333333333337</v>
      </c>
      <c r="K157" t="s">
        <v>229</v>
      </c>
      <c r="L157">
        <v>0</v>
      </c>
      <c r="M157" t="s">
        <v>4258</v>
      </c>
      <c r="N157" t="s">
        <v>228</v>
      </c>
      <c r="O157" t="s">
        <v>229</v>
      </c>
      <c r="P157" t="s">
        <v>4042</v>
      </c>
      <c r="Q157">
        <v>8</v>
      </c>
    </row>
    <row r="158" spans="1:18" hidden="1" x14ac:dyDescent="0.25">
      <c r="A158" s="1">
        <v>46239</v>
      </c>
      <c r="B158">
        <v>1037669752</v>
      </c>
      <c r="C158" t="s">
        <v>3585</v>
      </c>
      <c r="D158" t="s">
        <v>143</v>
      </c>
      <c r="E158" t="s">
        <v>4045</v>
      </c>
      <c r="F158" t="s">
        <v>24</v>
      </c>
      <c r="G158" s="1">
        <v>46239</v>
      </c>
      <c r="H158" s="1">
        <v>46239</v>
      </c>
      <c r="I158" s="2">
        <v>0.54166666666666663</v>
      </c>
      <c r="J158" s="2">
        <v>0.875</v>
      </c>
      <c r="K158" s="8" t="s">
        <v>258</v>
      </c>
      <c r="L158">
        <v>2</v>
      </c>
      <c r="M158" t="s">
        <v>4260</v>
      </c>
      <c r="N158" t="s">
        <v>257</v>
      </c>
      <c r="O158" t="s">
        <v>258</v>
      </c>
      <c r="P158" t="s">
        <v>21</v>
      </c>
      <c r="Q158">
        <v>8</v>
      </c>
    </row>
    <row r="159" spans="1:18" hidden="1" x14ac:dyDescent="0.25">
      <c r="A159" s="1">
        <v>46239</v>
      </c>
      <c r="B159">
        <v>1005605946</v>
      </c>
      <c r="C159" t="s">
        <v>185</v>
      </c>
      <c r="D159" t="s">
        <v>4078</v>
      </c>
      <c r="E159" t="s">
        <v>4056</v>
      </c>
      <c r="F159" t="s">
        <v>4079</v>
      </c>
      <c r="G159" s="1">
        <v>46239</v>
      </c>
      <c r="H159" s="1">
        <v>46239</v>
      </c>
      <c r="I159" s="2">
        <v>0.25</v>
      </c>
      <c r="J159" s="2">
        <v>0.58333333333333337</v>
      </c>
      <c r="K159" t="s">
        <v>185</v>
      </c>
      <c r="L159">
        <v>0</v>
      </c>
      <c r="M159" t="s">
        <v>4255</v>
      </c>
      <c r="N159" t="s">
        <v>184</v>
      </c>
      <c r="O159" t="s">
        <v>185</v>
      </c>
      <c r="P159" t="s">
        <v>4042</v>
      </c>
      <c r="Q159">
        <v>8</v>
      </c>
    </row>
    <row r="160" spans="1:18" hidden="1" x14ac:dyDescent="0.25">
      <c r="A160" s="1">
        <v>46239</v>
      </c>
      <c r="B160">
        <v>42141273</v>
      </c>
      <c r="C160" t="s">
        <v>271</v>
      </c>
      <c r="D160" t="s">
        <v>272</v>
      </c>
      <c r="E160" t="s">
        <v>4056</v>
      </c>
      <c r="F160" t="s">
        <v>16</v>
      </c>
      <c r="G160" s="1">
        <v>46238</v>
      </c>
      <c r="H160" s="1">
        <v>46295</v>
      </c>
      <c r="I160" s="2">
        <v>0.25</v>
      </c>
      <c r="J160" s="2">
        <v>0.5</v>
      </c>
      <c r="K160" s="4" t="s">
        <v>268</v>
      </c>
      <c r="L160">
        <v>0</v>
      </c>
      <c r="M160" t="s">
        <v>4255</v>
      </c>
      <c r="N160" t="s">
        <v>267</v>
      </c>
      <c r="O160" t="s">
        <v>268</v>
      </c>
      <c r="P160" t="s">
        <v>4042</v>
      </c>
      <c r="Q160">
        <v>6</v>
      </c>
      <c r="R160" s="8" t="s">
        <v>4262</v>
      </c>
    </row>
    <row r="161" spans="1:18" hidden="1" x14ac:dyDescent="0.25">
      <c r="A161" s="1">
        <v>46239</v>
      </c>
      <c r="B161">
        <v>1001868101</v>
      </c>
      <c r="C161" t="s">
        <v>151</v>
      </c>
      <c r="D161" t="s">
        <v>4078</v>
      </c>
      <c r="E161" t="s">
        <v>4045</v>
      </c>
      <c r="F161" t="s">
        <v>4079</v>
      </c>
      <c r="G161" s="1">
        <v>46239</v>
      </c>
      <c r="H161" s="1">
        <v>46239</v>
      </c>
      <c r="I161" s="2">
        <v>0.5</v>
      </c>
      <c r="J161" s="2">
        <v>0.79166666666666663</v>
      </c>
      <c r="K161" t="s">
        <v>151</v>
      </c>
      <c r="L161">
        <v>0</v>
      </c>
      <c r="M161" t="s">
        <v>4257</v>
      </c>
      <c r="N161" t="s">
        <v>150</v>
      </c>
      <c r="O161" t="s">
        <v>151</v>
      </c>
      <c r="P161" t="s">
        <v>4042</v>
      </c>
      <c r="Q161">
        <v>7</v>
      </c>
    </row>
    <row r="162" spans="1:18" hidden="1" x14ac:dyDescent="0.25">
      <c r="A162" s="1">
        <v>46239</v>
      </c>
      <c r="B162">
        <v>1007223463</v>
      </c>
      <c r="C162" t="s">
        <v>561</v>
      </c>
      <c r="D162" t="s">
        <v>4078</v>
      </c>
      <c r="E162" t="s">
        <v>4056</v>
      </c>
      <c r="F162" t="s">
        <v>4099</v>
      </c>
      <c r="G162" s="1">
        <v>46239</v>
      </c>
      <c r="H162" s="1">
        <v>46239</v>
      </c>
      <c r="I162" s="2">
        <v>0.45833333333333331</v>
      </c>
      <c r="J162" s="2">
        <v>0.5</v>
      </c>
      <c r="K162" t="s">
        <v>339</v>
      </c>
      <c r="L162">
        <v>0</v>
      </c>
      <c r="M162" t="s">
        <v>4255</v>
      </c>
      <c r="N162" t="s">
        <v>560</v>
      </c>
      <c r="O162" t="s">
        <v>561</v>
      </c>
      <c r="P162" t="s">
        <v>4042</v>
      </c>
      <c r="Q162">
        <v>1</v>
      </c>
    </row>
    <row r="163" spans="1:18" hidden="1" x14ac:dyDescent="0.25">
      <c r="A163" s="1">
        <v>46240</v>
      </c>
      <c r="B163">
        <v>1017264032</v>
      </c>
      <c r="C163" t="s">
        <v>88</v>
      </c>
      <c r="D163" t="s">
        <v>55</v>
      </c>
      <c r="E163" t="s">
        <v>4047</v>
      </c>
      <c r="F163" t="s">
        <v>16</v>
      </c>
      <c r="G163" s="1">
        <v>46229</v>
      </c>
      <c r="H163" s="1">
        <v>46258</v>
      </c>
      <c r="I163" s="2">
        <v>0.58333333333333337</v>
      </c>
      <c r="J163" s="2">
        <v>0.875</v>
      </c>
      <c r="K163" s="8" t="s">
        <v>117</v>
      </c>
      <c r="L163">
        <v>2</v>
      </c>
      <c r="M163" t="s">
        <v>4260</v>
      </c>
      <c r="N163" t="s">
        <v>116</v>
      </c>
      <c r="O163" t="s">
        <v>117</v>
      </c>
      <c r="P163" t="s">
        <v>21</v>
      </c>
      <c r="Q163">
        <v>7</v>
      </c>
    </row>
    <row r="164" spans="1:18" hidden="1" x14ac:dyDescent="0.25">
      <c r="A164" s="1">
        <v>46240</v>
      </c>
      <c r="B164">
        <v>1036132488</v>
      </c>
      <c r="C164" t="s">
        <v>58</v>
      </c>
      <c r="D164" t="s">
        <v>59</v>
      </c>
      <c r="E164" t="s">
        <v>4047</v>
      </c>
      <c r="F164" t="s">
        <v>16</v>
      </c>
      <c r="G164" s="1">
        <v>46227</v>
      </c>
      <c r="H164" s="1">
        <v>46246</v>
      </c>
      <c r="I164" s="2">
        <v>0.25</v>
      </c>
      <c r="J164" s="2">
        <v>0.58333333333333337</v>
      </c>
      <c r="K164" t="s">
        <v>86</v>
      </c>
      <c r="L164">
        <v>0</v>
      </c>
      <c r="M164" t="s">
        <v>4259</v>
      </c>
      <c r="N164" t="s">
        <v>85</v>
      </c>
      <c r="O164" t="s">
        <v>86</v>
      </c>
      <c r="P164" t="s">
        <v>4042</v>
      </c>
      <c r="Q164">
        <v>8</v>
      </c>
    </row>
    <row r="165" spans="1:18" hidden="1" x14ac:dyDescent="0.25">
      <c r="A165" s="1">
        <v>46240</v>
      </c>
      <c r="B165">
        <v>43558465</v>
      </c>
      <c r="C165" t="s">
        <v>71</v>
      </c>
      <c r="D165" t="s">
        <v>55</v>
      </c>
      <c r="E165" t="s">
        <v>4047</v>
      </c>
      <c r="F165" t="s">
        <v>16</v>
      </c>
      <c r="G165" s="1">
        <v>46226</v>
      </c>
      <c r="H165" s="1">
        <v>46246</v>
      </c>
      <c r="I165" s="2">
        <v>0.25</v>
      </c>
      <c r="J165" s="2">
        <v>0.58333333333333337</v>
      </c>
      <c r="K165" s="8" t="s">
        <v>247</v>
      </c>
      <c r="L165">
        <v>0</v>
      </c>
      <c r="M165" t="s">
        <v>4260</v>
      </c>
      <c r="N165" t="s">
        <v>246</v>
      </c>
      <c r="O165" t="s">
        <v>247</v>
      </c>
      <c r="P165" t="s">
        <v>4042</v>
      </c>
      <c r="Q165">
        <v>8</v>
      </c>
    </row>
    <row r="166" spans="1:18" hidden="1" x14ac:dyDescent="0.25">
      <c r="A166" s="1">
        <v>46240</v>
      </c>
      <c r="B166">
        <v>1037631989</v>
      </c>
      <c r="C166" t="s">
        <v>27</v>
      </c>
      <c r="D166" t="s">
        <v>28</v>
      </c>
      <c r="E166" t="s">
        <v>4046</v>
      </c>
      <c r="F166" t="s">
        <v>16</v>
      </c>
      <c r="G166" s="1">
        <v>46226</v>
      </c>
      <c r="H166" s="1">
        <v>46255</v>
      </c>
      <c r="I166" s="2">
        <v>0.54166666666666663</v>
      </c>
      <c r="J166" s="2">
        <v>0.875</v>
      </c>
      <c r="K166" t="s">
        <v>18</v>
      </c>
      <c r="L166">
        <v>2</v>
      </c>
      <c r="M166" t="s">
        <v>4258</v>
      </c>
      <c r="N166" t="s">
        <v>17</v>
      </c>
      <c r="O166" t="s">
        <v>18</v>
      </c>
      <c r="P166" t="s">
        <v>21</v>
      </c>
      <c r="Q166">
        <v>8</v>
      </c>
    </row>
    <row r="167" spans="1:18" hidden="1" x14ac:dyDescent="0.25">
      <c r="A167" s="1">
        <v>46240</v>
      </c>
      <c r="B167">
        <v>1043006106</v>
      </c>
      <c r="C167" t="s">
        <v>63</v>
      </c>
      <c r="D167" t="s">
        <v>64</v>
      </c>
      <c r="E167" t="s">
        <v>4046</v>
      </c>
      <c r="F167" t="s">
        <v>16</v>
      </c>
      <c r="G167" s="1">
        <v>46219</v>
      </c>
      <c r="H167" s="1">
        <v>46248</v>
      </c>
      <c r="I167" s="2">
        <v>0.58333333333333337</v>
      </c>
      <c r="J167" s="2">
        <v>0.875</v>
      </c>
      <c r="K167" t="s">
        <v>46</v>
      </c>
      <c r="L167">
        <v>2</v>
      </c>
      <c r="M167" t="s">
        <v>4260</v>
      </c>
      <c r="N167" t="s">
        <v>45</v>
      </c>
      <c r="O167" t="s">
        <v>46</v>
      </c>
      <c r="P167" t="s">
        <v>21</v>
      </c>
      <c r="Q167">
        <v>7</v>
      </c>
      <c r="R167" s="10"/>
    </row>
    <row r="168" spans="1:18" hidden="1" x14ac:dyDescent="0.25">
      <c r="A168" s="1">
        <v>46240</v>
      </c>
      <c r="B168">
        <v>1037638426</v>
      </c>
      <c r="C168" t="s">
        <v>61</v>
      </c>
      <c r="D168" t="s">
        <v>28</v>
      </c>
      <c r="E168" t="s">
        <v>4046</v>
      </c>
      <c r="F168" t="s">
        <v>24</v>
      </c>
      <c r="G168" s="1">
        <v>46230</v>
      </c>
      <c r="H168" s="1">
        <v>46262</v>
      </c>
      <c r="I168" s="2">
        <v>0.25</v>
      </c>
      <c r="J168" s="2">
        <v>0.54166666666666663</v>
      </c>
      <c r="K168" s="8" t="s">
        <v>237</v>
      </c>
      <c r="L168">
        <v>0</v>
      </c>
      <c r="M168" t="s">
        <v>4255</v>
      </c>
      <c r="N168" t="s">
        <v>236</v>
      </c>
      <c r="O168" t="s">
        <v>237</v>
      </c>
      <c r="P168" t="s">
        <v>4042</v>
      </c>
      <c r="Q168">
        <v>7</v>
      </c>
      <c r="R168" t="s">
        <v>4256</v>
      </c>
    </row>
    <row r="169" spans="1:18" hidden="1" x14ac:dyDescent="0.25">
      <c r="A169" s="1">
        <v>46240</v>
      </c>
      <c r="B169">
        <v>1121506548</v>
      </c>
      <c r="C169" t="s">
        <v>38</v>
      </c>
      <c r="D169" t="s">
        <v>39</v>
      </c>
      <c r="E169" t="s">
        <v>4046</v>
      </c>
      <c r="F169" t="s">
        <v>36</v>
      </c>
      <c r="G169" s="1">
        <v>46217</v>
      </c>
      <c r="H169" s="1">
        <v>46342</v>
      </c>
      <c r="I169" s="2">
        <v>0.58333333333333337</v>
      </c>
      <c r="J169" s="2">
        <v>0.875</v>
      </c>
      <c r="K169" s="8" t="s">
        <v>301</v>
      </c>
      <c r="L169">
        <v>2</v>
      </c>
      <c r="M169" t="s">
        <v>4258</v>
      </c>
      <c r="N169" t="s">
        <v>300</v>
      </c>
      <c r="O169" t="s">
        <v>301</v>
      </c>
      <c r="P169" t="s">
        <v>21</v>
      </c>
      <c r="Q169">
        <v>7</v>
      </c>
    </row>
    <row r="170" spans="1:18" hidden="1" x14ac:dyDescent="0.25">
      <c r="A170" s="1">
        <v>46240</v>
      </c>
      <c r="B170">
        <v>1143460426</v>
      </c>
      <c r="C170" t="s">
        <v>4069</v>
      </c>
      <c r="D170" t="s">
        <v>64</v>
      </c>
      <c r="E170" t="s">
        <v>4046</v>
      </c>
      <c r="F170" t="s">
        <v>4050</v>
      </c>
      <c r="G170" s="1">
        <v>46195</v>
      </c>
      <c r="H170" s="1">
        <v>46198</v>
      </c>
      <c r="I170" s="2">
        <v>0.58333333333333337</v>
      </c>
      <c r="J170" s="2">
        <v>0.875</v>
      </c>
      <c r="K170" s="8" t="s">
        <v>283</v>
      </c>
      <c r="L170">
        <v>2</v>
      </c>
      <c r="M170" t="s">
        <v>4260</v>
      </c>
      <c r="N170" t="s">
        <v>282</v>
      </c>
      <c r="O170" t="s">
        <v>283</v>
      </c>
      <c r="P170" t="s">
        <v>21</v>
      </c>
      <c r="Q170">
        <v>7</v>
      </c>
    </row>
    <row r="171" spans="1:18" hidden="1" x14ac:dyDescent="0.25">
      <c r="A171" s="1">
        <v>46240</v>
      </c>
      <c r="B171">
        <v>1152221372</v>
      </c>
      <c r="C171" t="s">
        <v>4072</v>
      </c>
      <c r="D171" t="s">
        <v>139</v>
      </c>
      <c r="E171" t="s">
        <v>4040</v>
      </c>
      <c r="F171" t="s">
        <v>158</v>
      </c>
      <c r="G171" s="1">
        <v>46230</v>
      </c>
      <c r="H171" s="1">
        <v>46230</v>
      </c>
      <c r="I171" s="2">
        <v>0.54166666666666663</v>
      </c>
      <c r="J171" s="2">
        <v>0.875</v>
      </c>
      <c r="K171" s="8" t="s">
        <v>1492</v>
      </c>
      <c r="L171">
        <v>2</v>
      </c>
      <c r="M171" t="s">
        <v>4257</v>
      </c>
      <c r="N171" t="s">
        <v>1491</v>
      </c>
      <c r="O171" t="s">
        <v>1492</v>
      </c>
      <c r="P171" t="s">
        <v>21</v>
      </c>
      <c r="Q171">
        <v>8</v>
      </c>
    </row>
    <row r="172" spans="1:18" hidden="1" x14ac:dyDescent="0.25">
      <c r="A172" s="1">
        <v>46240</v>
      </c>
      <c r="B172">
        <v>1098777544</v>
      </c>
      <c r="C172" t="s">
        <v>131</v>
      </c>
      <c r="D172" t="s">
        <v>132</v>
      </c>
      <c r="E172" t="s">
        <v>4040</v>
      </c>
      <c r="F172" t="s">
        <v>16</v>
      </c>
      <c r="G172" s="1">
        <v>46217</v>
      </c>
      <c r="H172" s="1">
        <v>46246</v>
      </c>
      <c r="I172" s="2">
        <v>0.54166666666666663</v>
      </c>
      <c r="J172" s="2">
        <v>0.875</v>
      </c>
      <c r="K172" t="s">
        <v>265</v>
      </c>
      <c r="L172">
        <v>2</v>
      </c>
      <c r="M172" t="s">
        <v>4257</v>
      </c>
      <c r="N172" t="s">
        <v>264</v>
      </c>
      <c r="O172" t="s">
        <v>265</v>
      </c>
      <c r="P172" t="s">
        <v>21</v>
      </c>
      <c r="Q172">
        <v>8</v>
      </c>
    </row>
    <row r="173" spans="1:18" hidden="1" x14ac:dyDescent="0.25">
      <c r="A173" s="1">
        <v>46240</v>
      </c>
      <c r="B173">
        <v>1001005240</v>
      </c>
      <c r="C173" t="s">
        <v>43</v>
      </c>
      <c r="D173" t="s">
        <v>44</v>
      </c>
      <c r="E173" t="s">
        <v>4045</v>
      </c>
      <c r="F173" t="s">
        <v>16</v>
      </c>
      <c r="G173" s="1">
        <v>46234</v>
      </c>
      <c r="H173" s="1">
        <v>46240</v>
      </c>
      <c r="I173" s="2">
        <v>0.25</v>
      </c>
      <c r="J173" s="2">
        <v>0.54166666666666663</v>
      </c>
      <c r="K173" t="s">
        <v>214</v>
      </c>
      <c r="L173">
        <v>0</v>
      </c>
      <c r="M173" t="s">
        <v>4257</v>
      </c>
      <c r="N173" t="s">
        <v>213</v>
      </c>
      <c r="O173" t="s">
        <v>214</v>
      </c>
      <c r="P173" t="s">
        <v>4042</v>
      </c>
      <c r="Q173">
        <v>7</v>
      </c>
    </row>
    <row r="174" spans="1:18" hidden="1" x14ac:dyDescent="0.25">
      <c r="A174" s="1">
        <v>46240</v>
      </c>
      <c r="B174">
        <v>1032491944</v>
      </c>
      <c r="C174" t="s">
        <v>77</v>
      </c>
      <c r="D174" t="s">
        <v>78</v>
      </c>
      <c r="E174" t="s">
        <v>4046</v>
      </c>
      <c r="F174" t="s">
        <v>16</v>
      </c>
      <c r="G174" s="1">
        <v>46237</v>
      </c>
      <c r="H174" s="1">
        <v>46241</v>
      </c>
      <c r="I174" s="2">
        <v>0.58333333333333337</v>
      </c>
      <c r="J174" s="2">
        <v>0.875</v>
      </c>
      <c r="K174" s="8" t="s">
        <v>149</v>
      </c>
      <c r="L174">
        <v>2</v>
      </c>
      <c r="M174" t="s">
        <v>4258</v>
      </c>
      <c r="N174" t="s">
        <v>148</v>
      </c>
      <c r="O174" t="s">
        <v>149</v>
      </c>
      <c r="P174" t="s">
        <v>21</v>
      </c>
      <c r="Q174">
        <v>7</v>
      </c>
    </row>
    <row r="175" spans="1:18" hidden="1" x14ac:dyDescent="0.25">
      <c r="A175" s="1">
        <v>46240</v>
      </c>
      <c r="B175">
        <v>1037659560</v>
      </c>
      <c r="C175" t="s">
        <v>208</v>
      </c>
      <c r="D175" t="s">
        <v>28</v>
      </c>
      <c r="E175" t="s">
        <v>4046</v>
      </c>
      <c r="F175" t="s">
        <v>16</v>
      </c>
      <c r="G175" s="1">
        <v>46235</v>
      </c>
      <c r="H175" s="1">
        <v>46240</v>
      </c>
      <c r="I175" s="2">
        <v>0.25</v>
      </c>
      <c r="J175" s="2">
        <v>0.54166666666666663</v>
      </c>
      <c r="K175" s="4" t="s">
        <v>210</v>
      </c>
      <c r="L175">
        <v>0</v>
      </c>
      <c r="M175" t="s">
        <v>4257</v>
      </c>
      <c r="N175" t="s">
        <v>209</v>
      </c>
      <c r="O175" s="10" t="s">
        <v>210</v>
      </c>
      <c r="P175" t="s">
        <v>4042</v>
      </c>
      <c r="Q175">
        <v>7</v>
      </c>
      <c r="R175" s="8"/>
    </row>
    <row r="176" spans="1:18" hidden="1" x14ac:dyDescent="0.25">
      <c r="A176" s="1">
        <v>46240</v>
      </c>
      <c r="B176">
        <v>1001851670</v>
      </c>
      <c r="C176" t="s">
        <v>50</v>
      </c>
      <c r="D176" t="s">
        <v>51</v>
      </c>
      <c r="E176" t="s">
        <v>4047</v>
      </c>
      <c r="F176" t="s">
        <v>36</v>
      </c>
      <c r="G176" s="1">
        <v>46237</v>
      </c>
      <c r="H176" s="1">
        <v>46366</v>
      </c>
      <c r="I176" s="2">
        <v>0.54166666666666663</v>
      </c>
      <c r="J176" s="2">
        <v>0.875</v>
      </c>
      <c r="K176" t="s">
        <v>277</v>
      </c>
      <c r="L176">
        <v>2</v>
      </c>
      <c r="M176" t="s">
        <v>4259</v>
      </c>
      <c r="N176" t="s">
        <v>276</v>
      </c>
      <c r="O176" t="s">
        <v>277</v>
      </c>
      <c r="P176" t="s">
        <v>21</v>
      </c>
      <c r="Q176">
        <v>8</v>
      </c>
    </row>
    <row r="177" spans="1:18" hidden="1" x14ac:dyDescent="0.25">
      <c r="A177" s="1">
        <v>46240</v>
      </c>
      <c r="B177">
        <v>1005624879</v>
      </c>
      <c r="C177" t="s">
        <v>313</v>
      </c>
      <c r="D177" t="s">
        <v>143</v>
      </c>
      <c r="E177" t="s">
        <v>4045</v>
      </c>
      <c r="F177" t="s">
        <v>16</v>
      </c>
      <c r="G177" s="1">
        <v>46237</v>
      </c>
      <c r="H177" s="1">
        <v>46240</v>
      </c>
      <c r="I177" s="2">
        <v>0.25</v>
      </c>
      <c r="J177" s="2">
        <v>0.58333333333333337</v>
      </c>
      <c r="K177" t="s">
        <v>315</v>
      </c>
      <c r="L177">
        <v>0</v>
      </c>
      <c r="M177" t="s">
        <v>4257</v>
      </c>
      <c r="N177" t="s">
        <v>314</v>
      </c>
      <c r="O177" t="s">
        <v>315</v>
      </c>
      <c r="P177" t="s">
        <v>4042</v>
      </c>
      <c r="Q177">
        <v>8</v>
      </c>
    </row>
    <row r="178" spans="1:18" hidden="1" x14ac:dyDescent="0.25">
      <c r="A178" s="1">
        <v>46240</v>
      </c>
      <c r="B178">
        <v>1152436231</v>
      </c>
      <c r="C178" t="s">
        <v>142</v>
      </c>
      <c r="D178" t="s">
        <v>143</v>
      </c>
      <c r="E178" t="s">
        <v>4045</v>
      </c>
      <c r="F178" t="s">
        <v>16</v>
      </c>
      <c r="G178" s="1">
        <v>46237</v>
      </c>
      <c r="H178" s="1">
        <v>46240</v>
      </c>
      <c r="I178" s="2">
        <v>0.25</v>
      </c>
      <c r="J178" s="2">
        <v>0.54166666666666663</v>
      </c>
      <c r="K178" s="4" t="s">
        <v>200</v>
      </c>
      <c r="L178">
        <v>0</v>
      </c>
      <c r="M178" t="s">
        <v>4257</v>
      </c>
      <c r="N178" t="s">
        <v>199</v>
      </c>
      <c r="O178" t="s">
        <v>200</v>
      </c>
      <c r="P178" t="s">
        <v>4042</v>
      </c>
      <c r="Q178">
        <v>7</v>
      </c>
      <c r="R178" s="8"/>
    </row>
    <row r="179" spans="1:18" hidden="1" x14ac:dyDescent="0.25">
      <c r="A179" s="1">
        <v>46240</v>
      </c>
      <c r="B179">
        <v>1017267628</v>
      </c>
      <c r="C179" t="s">
        <v>255</v>
      </c>
      <c r="D179" t="s">
        <v>256</v>
      </c>
      <c r="E179" t="s">
        <v>4040</v>
      </c>
      <c r="F179" t="s">
        <v>158</v>
      </c>
      <c r="G179" s="1">
        <v>46237</v>
      </c>
      <c r="H179" s="1">
        <v>46243</v>
      </c>
      <c r="I179" s="2">
        <v>0.58333333333333337</v>
      </c>
      <c r="J179" s="2">
        <v>0.875</v>
      </c>
      <c r="K179" t="s">
        <v>258</v>
      </c>
      <c r="L179">
        <v>2</v>
      </c>
      <c r="M179" t="s">
        <v>4260</v>
      </c>
      <c r="N179" t="s">
        <v>257</v>
      </c>
      <c r="O179" t="s">
        <v>258</v>
      </c>
      <c r="P179" t="s">
        <v>21</v>
      </c>
      <c r="Q179">
        <v>7</v>
      </c>
    </row>
    <row r="180" spans="1:18" hidden="1" x14ac:dyDescent="0.25">
      <c r="A180" s="1">
        <v>46240</v>
      </c>
      <c r="B180">
        <v>1152699151</v>
      </c>
      <c r="C180" t="s">
        <v>1020</v>
      </c>
      <c r="D180" t="s">
        <v>4125</v>
      </c>
      <c r="E180" t="s">
        <v>4046</v>
      </c>
      <c r="F180" t="s">
        <v>4123</v>
      </c>
      <c r="G180" s="1">
        <v>46238</v>
      </c>
      <c r="H180" s="1">
        <v>46240</v>
      </c>
      <c r="I180" s="2">
        <v>0.33333333333333331</v>
      </c>
      <c r="J180" s="2">
        <v>0.625</v>
      </c>
      <c r="K180" s="8" t="s">
        <v>3663</v>
      </c>
      <c r="L180">
        <v>0</v>
      </c>
      <c r="M180" t="s">
        <v>4255</v>
      </c>
      <c r="N180" t="s">
        <v>3662</v>
      </c>
      <c r="O180" t="s">
        <v>3663</v>
      </c>
      <c r="P180" t="s">
        <v>4042</v>
      </c>
      <c r="Q180">
        <v>7</v>
      </c>
    </row>
    <row r="181" spans="1:18" hidden="1" x14ac:dyDescent="0.25">
      <c r="A181" s="1">
        <v>46240</v>
      </c>
      <c r="B181">
        <v>1005424850</v>
      </c>
      <c r="C181" t="s">
        <v>95</v>
      </c>
      <c r="D181" t="s">
        <v>82</v>
      </c>
      <c r="E181" t="s">
        <v>4045</v>
      </c>
      <c r="F181" t="s">
        <v>16</v>
      </c>
      <c r="G181" s="1">
        <v>46238</v>
      </c>
      <c r="H181" s="1">
        <v>46262</v>
      </c>
      <c r="I181" s="2">
        <v>0.5</v>
      </c>
      <c r="J181" s="2">
        <v>0.83333333333333337</v>
      </c>
      <c r="K181" t="s">
        <v>97</v>
      </c>
      <c r="L181">
        <v>1</v>
      </c>
      <c r="M181" t="s">
        <v>4257</v>
      </c>
      <c r="N181" t="s">
        <v>96</v>
      </c>
      <c r="O181" t="s">
        <v>97</v>
      </c>
      <c r="P181" t="s">
        <v>21</v>
      </c>
      <c r="Q181">
        <v>8</v>
      </c>
    </row>
    <row r="182" spans="1:18" hidden="1" x14ac:dyDescent="0.25">
      <c r="A182" s="1">
        <v>46240</v>
      </c>
      <c r="B182">
        <v>1037634709</v>
      </c>
      <c r="C182" t="s">
        <v>4044</v>
      </c>
      <c r="D182" t="s">
        <v>492</v>
      </c>
      <c r="E182" t="s">
        <v>4045</v>
      </c>
      <c r="F182" t="s">
        <v>4050</v>
      </c>
      <c r="G182" s="1">
        <v>46238</v>
      </c>
      <c r="H182" s="1">
        <v>46240</v>
      </c>
      <c r="I182" s="2">
        <v>0.54166666666666663</v>
      </c>
      <c r="J182" s="2">
        <v>0.875</v>
      </c>
      <c r="K182" t="s">
        <v>151</v>
      </c>
      <c r="L182">
        <v>2</v>
      </c>
      <c r="M182" t="s">
        <v>4257</v>
      </c>
      <c r="N182" t="s">
        <v>150</v>
      </c>
      <c r="O182" t="s">
        <v>151</v>
      </c>
      <c r="P182" t="s">
        <v>21</v>
      </c>
      <c r="Q182">
        <v>8</v>
      </c>
    </row>
    <row r="183" spans="1:18" hidden="1" x14ac:dyDescent="0.25">
      <c r="A183" s="1">
        <v>46240</v>
      </c>
      <c r="B183">
        <v>1000439437</v>
      </c>
      <c r="C183" t="s">
        <v>451</v>
      </c>
      <c r="D183" t="s">
        <v>139</v>
      </c>
      <c r="E183" t="s">
        <v>4040</v>
      </c>
      <c r="F183" t="s">
        <v>16</v>
      </c>
      <c r="G183" s="1">
        <v>46238</v>
      </c>
      <c r="H183" s="1">
        <v>46240</v>
      </c>
      <c r="I183" s="2">
        <v>0.54166666666666663</v>
      </c>
      <c r="J183" s="2">
        <v>0.875</v>
      </c>
      <c r="K183" s="8" t="s">
        <v>74</v>
      </c>
      <c r="L183">
        <v>2</v>
      </c>
      <c r="M183" t="s">
        <v>4257</v>
      </c>
      <c r="N183" t="s">
        <v>73</v>
      </c>
      <c r="O183" t="s">
        <v>74</v>
      </c>
      <c r="P183" t="s">
        <v>21</v>
      </c>
      <c r="Q183">
        <v>8</v>
      </c>
    </row>
    <row r="184" spans="1:18" hidden="1" x14ac:dyDescent="0.25">
      <c r="A184" s="1">
        <v>46240</v>
      </c>
      <c r="B184">
        <v>1020475954</v>
      </c>
      <c r="C184" t="s">
        <v>3934</v>
      </c>
      <c r="D184" t="s">
        <v>68</v>
      </c>
      <c r="E184" t="s">
        <v>4040</v>
      </c>
      <c r="F184" t="s">
        <v>4123</v>
      </c>
      <c r="G184" s="1">
        <v>46238</v>
      </c>
      <c r="H184" s="1">
        <v>46240</v>
      </c>
      <c r="I184" s="2">
        <v>0.25</v>
      </c>
      <c r="J184" s="2">
        <v>0.54166666666666663</v>
      </c>
      <c r="K184" s="8" t="s">
        <v>304</v>
      </c>
      <c r="L184">
        <v>0</v>
      </c>
      <c r="M184" t="s">
        <v>4257</v>
      </c>
      <c r="N184" t="s">
        <v>303</v>
      </c>
      <c r="O184" t="s">
        <v>304</v>
      </c>
      <c r="P184" t="s">
        <v>4042</v>
      </c>
      <c r="Q184">
        <v>7</v>
      </c>
      <c r="R184" t="s">
        <v>4264</v>
      </c>
    </row>
    <row r="185" spans="1:18" hidden="1" x14ac:dyDescent="0.25">
      <c r="A185" s="1">
        <v>46240</v>
      </c>
      <c r="B185">
        <v>1018466443</v>
      </c>
      <c r="C185" t="s">
        <v>4141</v>
      </c>
      <c r="D185" t="s">
        <v>482</v>
      </c>
      <c r="E185" t="s">
        <v>4040</v>
      </c>
      <c r="F185" t="s">
        <v>4123</v>
      </c>
      <c r="G185" s="1">
        <v>46239</v>
      </c>
      <c r="H185" s="1">
        <v>46244</v>
      </c>
      <c r="I185" s="2">
        <v>0.58333333333333337</v>
      </c>
      <c r="J185" s="2">
        <v>0.875</v>
      </c>
      <c r="K185" s="8" t="s">
        <v>194</v>
      </c>
      <c r="L185">
        <v>2</v>
      </c>
      <c r="M185" t="s">
        <v>4260</v>
      </c>
      <c r="N185" t="s">
        <v>193</v>
      </c>
      <c r="O185" t="s">
        <v>194</v>
      </c>
      <c r="P185" t="s">
        <v>21</v>
      </c>
      <c r="Q185">
        <v>7</v>
      </c>
      <c r="R185" s="8" t="s">
        <v>4261</v>
      </c>
    </row>
    <row r="186" spans="1:18" hidden="1" x14ac:dyDescent="0.25">
      <c r="A186" s="1">
        <v>46240</v>
      </c>
      <c r="B186">
        <v>1065664047</v>
      </c>
      <c r="C186" t="s">
        <v>1184</v>
      </c>
      <c r="D186" t="s">
        <v>162</v>
      </c>
      <c r="E186" t="s">
        <v>4056</v>
      </c>
      <c r="F186" t="s">
        <v>16</v>
      </c>
      <c r="G186" s="1">
        <v>46239</v>
      </c>
      <c r="H186" s="1">
        <v>46240</v>
      </c>
      <c r="I186" s="2">
        <v>0.58333333333333337</v>
      </c>
      <c r="J186" s="2">
        <v>0.875</v>
      </c>
      <c r="K186" s="4" t="s">
        <v>322</v>
      </c>
      <c r="L186">
        <v>2</v>
      </c>
      <c r="M186" t="s">
        <v>4255</v>
      </c>
      <c r="N186" t="s">
        <v>321</v>
      </c>
      <c r="O186" t="s">
        <v>322</v>
      </c>
      <c r="P186" t="s">
        <v>21</v>
      </c>
      <c r="Q186">
        <v>7</v>
      </c>
      <c r="R186" s="8"/>
    </row>
    <row r="187" spans="1:18" hidden="1" x14ac:dyDescent="0.25">
      <c r="A187" s="1">
        <v>46240</v>
      </c>
      <c r="B187">
        <v>1082896324</v>
      </c>
      <c r="C187" t="s">
        <v>127</v>
      </c>
      <c r="D187" t="s">
        <v>128</v>
      </c>
      <c r="E187" t="s">
        <v>4045</v>
      </c>
      <c r="F187" t="s">
        <v>16</v>
      </c>
      <c r="G187" s="1">
        <v>46239</v>
      </c>
      <c r="H187" s="1">
        <v>46240</v>
      </c>
      <c r="I187" s="2">
        <v>0.54166666666666663</v>
      </c>
      <c r="J187" s="2">
        <v>0.70833333333333337</v>
      </c>
      <c r="K187" s="8" t="s">
        <v>1383</v>
      </c>
      <c r="L187">
        <v>0</v>
      </c>
      <c r="M187" t="s">
        <v>4260</v>
      </c>
      <c r="N187" t="s">
        <v>1382</v>
      </c>
      <c r="O187" t="s">
        <v>1383</v>
      </c>
      <c r="P187" t="s">
        <v>4042</v>
      </c>
      <c r="Q187">
        <v>4</v>
      </c>
    </row>
    <row r="188" spans="1:18" hidden="1" x14ac:dyDescent="0.25">
      <c r="A188" s="1">
        <v>46240</v>
      </c>
      <c r="B188">
        <v>1235045754</v>
      </c>
      <c r="C188" t="s">
        <v>2420</v>
      </c>
      <c r="D188" t="s">
        <v>421</v>
      </c>
      <c r="E188" t="s">
        <v>4047</v>
      </c>
      <c r="F188" s="4" t="s">
        <v>16</v>
      </c>
      <c r="G188" s="1">
        <v>46238</v>
      </c>
      <c r="H188" s="1">
        <v>46240</v>
      </c>
      <c r="I188" s="2">
        <v>0.54166666666666663</v>
      </c>
      <c r="J188" s="2">
        <v>0.875</v>
      </c>
      <c r="K188" s="8" t="s">
        <v>111</v>
      </c>
      <c r="L188">
        <v>2</v>
      </c>
      <c r="M188" t="s">
        <v>4259</v>
      </c>
      <c r="N188" t="s">
        <v>110</v>
      </c>
      <c r="O188" t="s">
        <v>111</v>
      </c>
      <c r="P188" t="s">
        <v>21</v>
      </c>
      <c r="Q188">
        <v>8</v>
      </c>
    </row>
    <row r="189" spans="1:18" hidden="1" x14ac:dyDescent="0.25">
      <c r="A189" s="1">
        <v>46240</v>
      </c>
      <c r="B189">
        <v>1005569691</v>
      </c>
      <c r="C189" t="s">
        <v>3651</v>
      </c>
      <c r="D189" t="s">
        <v>256</v>
      </c>
      <c r="E189" t="s">
        <v>4040</v>
      </c>
      <c r="F189" t="s">
        <v>16</v>
      </c>
      <c r="G189" s="1">
        <v>46239</v>
      </c>
      <c r="H189" s="1">
        <v>46240</v>
      </c>
      <c r="I189" s="2">
        <v>0.58333333333333337</v>
      </c>
      <c r="J189" s="2">
        <v>0.875</v>
      </c>
      <c r="K189" s="8" t="s">
        <v>298</v>
      </c>
      <c r="L189">
        <v>2</v>
      </c>
      <c r="M189" t="s">
        <v>4260</v>
      </c>
      <c r="N189" t="s">
        <v>297</v>
      </c>
      <c r="O189" t="s">
        <v>298</v>
      </c>
      <c r="P189" t="s">
        <v>21</v>
      </c>
      <c r="Q189">
        <v>7</v>
      </c>
    </row>
    <row r="190" spans="1:18" hidden="1" x14ac:dyDescent="0.25">
      <c r="A190" s="1">
        <v>46240</v>
      </c>
      <c r="B190">
        <v>1041901478</v>
      </c>
      <c r="C190" t="s">
        <v>405</v>
      </c>
      <c r="D190" t="s">
        <v>256</v>
      </c>
      <c r="E190" t="s">
        <v>4040</v>
      </c>
      <c r="F190" t="s">
        <v>16</v>
      </c>
      <c r="G190" s="1">
        <v>46239</v>
      </c>
      <c r="H190" s="1">
        <v>46240</v>
      </c>
      <c r="I190" s="2">
        <v>0.54166666666666663</v>
      </c>
      <c r="J190" s="2">
        <v>0.875</v>
      </c>
      <c r="K190" s="8" t="s">
        <v>1408</v>
      </c>
      <c r="L190">
        <v>2</v>
      </c>
      <c r="M190" t="s">
        <v>4260</v>
      </c>
      <c r="N190" t="s">
        <v>1407</v>
      </c>
      <c r="O190" t="s">
        <v>1408</v>
      </c>
      <c r="P190" t="s">
        <v>21</v>
      </c>
      <c r="Q190">
        <v>8</v>
      </c>
    </row>
    <row r="191" spans="1:18" hidden="1" x14ac:dyDescent="0.25">
      <c r="A191" s="1">
        <v>46240</v>
      </c>
      <c r="B191">
        <v>1192923605</v>
      </c>
      <c r="C191" t="s">
        <v>395</v>
      </c>
      <c r="D191" t="s">
        <v>272</v>
      </c>
      <c r="E191" t="s">
        <v>4056</v>
      </c>
      <c r="F191" t="s">
        <v>16</v>
      </c>
      <c r="G191" s="1">
        <v>46239</v>
      </c>
      <c r="H191" s="1">
        <v>46240</v>
      </c>
      <c r="I191" s="2">
        <v>0.54166666666666663</v>
      </c>
      <c r="J191" s="2">
        <v>0.875</v>
      </c>
      <c r="K191" s="8" t="s">
        <v>268</v>
      </c>
      <c r="L191">
        <v>2</v>
      </c>
      <c r="M191" t="s">
        <v>4255</v>
      </c>
      <c r="N191" t="s">
        <v>267</v>
      </c>
      <c r="O191" t="s">
        <v>268</v>
      </c>
      <c r="P191" t="s">
        <v>21</v>
      </c>
      <c r="Q191">
        <v>8</v>
      </c>
      <c r="R191" t="s">
        <v>4262</v>
      </c>
    </row>
    <row r="192" spans="1:18" hidden="1" x14ac:dyDescent="0.25">
      <c r="A192" s="1">
        <v>46240</v>
      </c>
      <c r="B192">
        <v>1026156098</v>
      </c>
      <c r="C192" t="s">
        <v>3553</v>
      </c>
      <c r="D192" t="s">
        <v>15</v>
      </c>
      <c r="E192" t="s">
        <v>4046</v>
      </c>
      <c r="F192" s="4" t="s">
        <v>16</v>
      </c>
      <c r="G192" s="1">
        <v>46239</v>
      </c>
      <c r="H192" s="1">
        <v>46240</v>
      </c>
      <c r="I192" s="2">
        <v>0.25</v>
      </c>
      <c r="J192" s="2">
        <v>0.58333333333333337</v>
      </c>
      <c r="K192" s="8" t="s">
        <v>178</v>
      </c>
      <c r="L192">
        <v>0</v>
      </c>
      <c r="M192" t="s">
        <v>4257</v>
      </c>
      <c r="N192" t="s">
        <v>177</v>
      </c>
      <c r="O192" t="s">
        <v>178</v>
      </c>
      <c r="P192" t="s">
        <v>4042</v>
      </c>
      <c r="Q192">
        <v>8</v>
      </c>
    </row>
    <row r="193" spans="1:18" hidden="1" x14ac:dyDescent="0.25">
      <c r="A193" s="1">
        <v>46240</v>
      </c>
      <c r="B193">
        <v>1143394119</v>
      </c>
      <c r="C193" t="s">
        <v>917</v>
      </c>
      <c r="D193" t="s">
        <v>59</v>
      </c>
      <c r="E193" t="s">
        <v>4047</v>
      </c>
      <c r="F193" t="s">
        <v>4074</v>
      </c>
      <c r="G193" s="1">
        <v>46239</v>
      </c>
      <c r="H193" s="1">
        <v>46239</v>
      </c>
      <c r="I193" s="2">
        <v>0.25</v>
      </c>
      <c r="J193" s="2">
        <v>0.79166666666666663</v>
      </c>
      <c r="K193" s="8" t="s">
        <v>4144</v>
      </c>
      <c r="L193">
        <v>0</v>
      </c>
      <c r="P193" t="s">
        <v>4042</v>
      </c>
      <c r="Q193">
        <v>13</v>
      </c>
    </row>
    <row r="194" spans="1:18" hidden="1" x14ac:dyDescent="0.25">
      <c r="A194" s="1">
        <v>46240</v>
      </c>
      <c r="B194">
        <v>42141273</v>
      </c>
      <c r="C194" t="s">
        <v>271</v>
      </c>
      <c r="D194" t="s">
        <v>272</v>
      </c>
      <c r="E194" t="s">
        <v>4056</v>
      </c>
      <c r="F194" t="s">
        <v>4065</v>
      </c>
      <c r="G194" s="1">
        <v>46232</v>
      </c>
      <c r="H194" s="1">
        <v>46261</v>
      </c>
      <c r="I194" s="2">
        <v>0.25</v>
      </c>
      <c r="J194" s="2">
        <v>0.5</v>
      </c>
      <c r="K194" t="s">
        <v>561</v>
      </c>
      <c r="L194">
        <v>0</v>
      </c>
      <c r="M194" t="s">
        <v>4255</v>
      </c>
      <c r="N194" t="s">
        <v>560</v>
      </c>
      <c r="O194" t="s">
        <v>561</v>
      </c>
      <c r="P194" t="s">
        <v>4042</v>
      </c>
      <c r="Q194">
        <v>6</v>
      </c>
      <c r="R194" t="s">
        <v>4262</v>
      </c>
    </row>
    <row r="195" spans="1:18" hidden="1" x14ac:dyDescent="0.25">
      <c r="A195" s="1">
        <v>46240</v>
      </c>
      <c r="B195">
        <v>1035876080</v>
      </c>
      <c r="C195" t="s">
        <v>123</v>
      </c>
      <c r="D195" t="s">
        <v>124</v>
      </c>
      <c r="E195" t="s">
        <v>4045</v>
      </c>
      <c r="F195" t="s">
        <v>16</v>
      </c>
      <c r="G195" s="1">
        <v>46239</v>
      </c>
      <c r="H195" s="1">
        <v>46245</v>
      </c>
      <c r="I195" s="2">
        <v>0.25</v>
      </c>
      <c r="J195" s="2">
        <v>0.58333333333333337</v>
      </c>
      <c r="K195" s="8" t="s">
        <v>274</v>
      </c>
      <c r="L195">
        <v>0</v>
      </c>
      <c r="M195" t="s">
        <v>4257</v>
      </c>
      <c r="N195" t="s">
        <v>273</v>
      </c>
      <c r="O195" t="s">
        <v>274</v>
      </c>
      <c r="P195" t="s">
        <v>4042</v>
      </c>
      <c r="Q195">
        <v>8</v>
      </c>
      <c r="R195" s="8"/>
    </row>
    <row r="196" spans="1:18" hidden="1" x14ac:dyDescent="0.25">
      <c r="A196" s="1">
        <v>46240</v>
      </c>
      <c r="B196" t="s">
        <v>228</v>
      </c>
      <c r="C196" t="s">
        <v>229</v>
      </c>
      <c r="D196" t="s">
        <v>4078</v>
      </c>
      <c r="E196" t="s">
        <v>4046</v>
      </c>
      <c r="F196" t="s">
        <v>4079</v>
      </c>
      <c r="G196" s="1">
        <v>46240</v>
      </c>
      <c r="H196" s="1">
        <v>46240</v>
      </c>
      <c r="I196" s="2">
        <v>0.25</v>
      </c>
      <c r="J196" s="2">
        <v>0.58333333333333337</v>
      </c>
      <c r="K196" s="8" t="s">
        <v>229</v>
      </c>
      <c r="L196">
        <v>0</v>
      </c>
      <c r="M196" t="s">
        <v>4258</v>
      </c>
      <c r="N196" t="s">
        <v>228</v>
      </c>
      <c r="O196" t="s">
        <v>229</v>
      </c>
      <c r="P196" t="s">
        <v>4042</v>
      </c>
      <c r="Q196">
        <v>8</v>
      </c>
    </row>
    <row r="197" spans="1:18" hidden="1" x14ac:dyDescent="0.25">
      <c r="A197" s="1">
        <v>46240</v>
      </c>
      <c r="B197">
        <v>1036670630</v>
      </c>
      <c r="C197" t="s">
        <v>1163</v>
      </c>
      <c r="D197" t="s">
        <v>51</v>
      </c>
      <c r="E197" t="s">
        <v>4047</v>
      </c>
      <c r="F197" t="s">
        <v>24</v>
      </c>
      <c r="G197" s="1">
        <v>46240</v>
      </c>
      <c r="H197" s="1">
        <v>46240</v>
      </c>
      <c r="I197" s="2">
        <v>0.54166666666666663</v>
      </c>
      <c r="J197" s="2">
        <v>0.875</v>
      </c>
      <c r="K197" t="s">
        <v>232</v>
      </c>
      <c r="L197">
        <v>2</v>
      </c>
      <c r="M197" t="s">
        <v>4257</v>
      </c>
      <c r="N197" t="s">
        <v>231</v>
      </c>
      <c r="O197" t="s">
        <v>232</v>
      </c>
      <c r="P197" t="s">
        <v>21</v>
      </c>
      <c r="Q197">
        <v>8</v>
      </c>
    </row>
    <row r="198" spans="1:18" hidden="1" x14ac:dyDescent="0.25">
      <c r="A198" s="1">
        <v>46240</v>
      </c>
      <c r="B198">
        <v>1001947708</v>
      </c>
      <c r="C198" t="s">
        <v>1444</v>
      </c>
      <c r="D198" t="s">
        <v>128</v>
      </c>
      <c r="E198" t="s">
        <v>4045</v>
      </c>
      <c r="F198" t="s">
        <v>4147</v>
      </c>
      <c r="G198" s="1">
        <v>46240</v>
      </c>
      <c r="H198" s="1">
        <v>46240</v>
      </c>
      <c r="I198" s="2">
        <v>0.375</v>
      </c>
      <c r="J198" s="2">
        <v>0.54166666666666663</v>
      </c>
      <c r="K198" t="s">
        <v>1383</v>
      </c>
      <c r="L198">
        <v>0</v>
      </c>
      <c r="M198" t="s">
        <v>4260</v>
      </c>
      <c r="N198" t="s">
        <v>1382</v>
      </c>
      <c r="O198" t="s">
        <v>1383</v>
      </c>
      <c r="P198" t="s">
        <v>4042</v>
      </c>
      <c r="Q198">
        <v>4</v>
      </c>
    </row>
    <row r="199" spans="1:18" hidden="1" x14ac:dyDescent="0.25">
      <c r="A199" s="1">
        <v>46240</v>
      </c>
      <c r="B199" t="s">
        <v>4148</v>
      </c>
      <c r="C199" t="s">
        <v>4137</v>
      </c>
      <c r="D199" t="s">
        <v>634</v>
      </c>
      <c r="E199" t="s">
        <v>4045</v>
      </c>
      <c r="F199" t="s">
        <v>4074</v>
      </c>
      <c r="G199" s="1">
        <v>46240</v>
      </c>
      <c r="H199" s="1">
        <v>46240</v>
      </c>
      <c r="I199" s="2">
        <v>0.58333333333333337</v>
      </c>
      <c r="J199" s="2">
        <v>0.875</v>
      </c>
      <c r="K199" s="8" t="s">
        <v>4149</v>
      </c>
      <c r="L199">
        <v>2</v>
      </c>
      <c r="M199" t="s">
        <v>4260</v>
      </c>
      <c r="N199" t="s">
        <v>119</v>
      </c>
      <c r="O199" t="s">
        <v>120</v>
      </c>
      <c r="P199" t="s">
        <v>21</v>
      </c>
      <c r="Q199">
        <v>7</v>
      </c>
    </row>
    <row r="200" spans="1:18" hidden="1" x14ac:dyDescent="0.25">
      <c r="A200" s="1">
        <v>46240</v>
      </c>
      <c r="B200">
        <v>1037630337</v>
      </c>
      <c r="C200" t="s">
        <v>1524</v>
      </c>
      <c r="D200" t="s">
        <v>51</v>
      </c>
      <c r="E200" t="s">
        <v>4047</v>
      </c>
      <c r="F200" t="s">
        <v>24</v>
      </c>
      <c r="G200" s="1">
        <v>46240</v>
      </c>
      <c r="H200" s="1">
        <v>46240</v>
      </c>
      <c r="I200" s="2">
        <v>0.25</v>
      </c>
      <c r="J200" s="2">
        <v>0.58333333333333337</v>
      </c>
      <c r="K200" t="s">
        <v>223</v>
      </c>
      <c r="L200">
        <v>0</v>
      </c>
      <c r="M200" t="s">
        <v>4258</v>
      </c>
      <c r="N200" t="s">
        <v>222</v>
      </c>
      <c r="O200" t="s">
        <v>223</v>
      </c>
      <c r="P200" t="s">
        <v>4042</v>
      </c>
      <c r="Q200">
        <v>8</v>
      </c>
    </row>
    <row r="201" spans="1:18" hidden="1" x14ac:dyDescent="0.25">
      <c r="A201" s="1">
        <v>46240</v>
      </c>
      <c r="B201">
        <v>1067963513</v>
      </c>
      <c r="C201" t="s">
        <v>84</v>
      </c>
      <c r="D201" t="s">
        <v>68</v>
      </c>
      <c r="E201" t="s">
        <v>4040</v>
      </c>
      <c r="F201" t="s">
        <v>24</v>
      </c>
      <c r="G201" s="1">
        <v>46240</v>
      </c>
      <c r="H201" s="1">
        <v>46265</v>
      </c>
      <c r="I201" s="2">
        <v>0.25</v>
      </c>
      <c r="J201" s="2">
        <v>0.58333333333333337</v>
      </c>
      <c r="K201" s="9" t="s">
        <v>310</v>
      </c>
      <c r="L201">
        <v>0</v>
      </c>
      <c r="M201" t="s">
        <v>4260</v>
      </c>
      <c r="N201" t="s">
        <v>309</v>
      </c>
      <c r="O201" s="10" t="s">
        <v>310</v>
      </c>
      <c r="P201" t="s">
        <v>4042</v>
      </c>
      <c r="Q201">
        <v>8</v>
      </c>
      <c r="R201" s="8" t="s">
        <v>4264</v>
      </c>
    </row>
    <row r="202" spans="1:18" hidden="1" x14ac:dyDescent="0.25">
      <c r="A202" s="1">
        <v>46240</v>
      </c>
      <c r="B202">
        <v>1072648283</v>
      </c>
      <c r="C202" t="s">
        <v>828</v>
      </c>
      <c r="D202" t="s">
        <v>272</v>
      </c>
      <c r="E202" t="s">
        <v>4056</v>
      </c>
      <c r="F202" t="s">
        <v>4074</v>
      </c>
      <c r="G202" s="1">
        <v>46240</v>
      </c>
      <c r="H202" s="1">
        <v>46240</v>
      </c>
      <c r="I202" s="2">
        <v>0.54166666666666663</v>
      </c>
      <c r="J202" s="2">
        <v>0.875</v>
      </c>
      <c r="K202" s="8" t="s">
        <v>4092</v>
      </c>
      <c r="L202">
        <v>2</v>
      </c>
      <c r="M202" t="s">
        <v>4255</v>
      </c>
      <c r="N202" t="s">
        <v>184</v>
      </c>
      <c r="O202" t="s">
        <v>185</v>
      </c>
      <c r="P202" t="s">
        <v>21</v>
      </c>
      <c r="Q202">
        <v>8</v>
      </c>
      <c r="R202" s="8" t="s">
        <v>4262</v>
      </c>
    </row>
    <row r="203" spans="1:18" hidden="1" x14ac:dyDescent="0.25">
      <c r="A203" s="1">
        <v>46240</v>
      </c>
      <c r="B203">
        <v>1126251297</v>
      </c>
      <c r="C203" t="s">
        <v>286</v>
      </c>
      <c r="D203" t="s">
        <v>344</v>
      </c>
      <c r="E203" t="s">
        <v>4056</v>
      </c>
      <c r="F203" t="s">
        <v>4073</v>
      </c>
      <c r="G203" s="1">
        <v>46240</v>
      </c>
      <c r="H203" s="1">
        <v>46240</v>
      </c>
      <c r="I203" s="2">
        <v>0.58333333333333337</v>
      </c>
      <c r="J203" s="2">
        <v>0.875</v>
      </c>
      <c r="K203" s="8" t="s">
        <v>4150</v>
      </c>
      <c r="L203">
        <v>2</v>
      </c>
      <c r="M203" t="s">
        <v>4255</v>
      </c>
      <c r="N203" t="s">
        <v>285</v>
      </c>
      <c r="O203" t="s">
        <v>286</v>
      </c>
      <c r="P203" t="s">
        <v>21</v>
      </c>
      <c r="Q203">
        <v>7</v>
      </c>
    </row>
    <row r="204" spans="1:18" hidden="1" x14ac:dyDescent="0.25">
      <c r="A204" s="1">
        <v>46240</v>
      </c>
      <c r="B204">
        <v>1193537336</v>
      </c>
      <c r="C204" t="s">
        <v>2134</v>
      </c>
      <c r="D204" t="s">
        <v>492</v>
      </c>
      <c r="E204" t="s">
        <v>4045</v>
      </c>
      <c r="F204" t="s">
        <v>4074</v>
      </c>
      <c r="G204" s="1">
        <v>46240</v>
      </c>
      <c r="H204" s="1">
        <v>46240</v>
      </c>
      <c r="I204" s="2"/>
      <c r="J204" s="2"/>
      <c r="K204" t="s">
        <v>4083</v>
      </c>
      <c r="L204">
        <v>0</v>
      </c>
      <c r="P204" t="s">
        <v>4042</v>
      </c>
      <c r="Q204">
        <v>0</v>
      </c>
    </row>
    <row r="205" spans="1:18" hidden="1" x14ac:dyDescent="0.25">
      <c r="A205" s="1">
        <v>46240</v>
      </c>
      <c r="B205">
        <v>45529043</v>
      </c>
      <c r="C205" t="s">
        <v>798</v>
      </c>
      <c r="D205" t="s">
        <v>344</v>
      </c>
      <c r="E205" t="s">
        <v>4056</v>
      </c>
      <c r="F205" t="s">
        <v>16</v>
      </c>
      <c r="G205" s="1">
        <v>46240</v>
      </c>
      <c r="H205" s="1">
        <v>46240</v>
      </c>
      <c r="I205" s="2">
        <v>0.25</v>
      </c>
      <c r="J205" s="2">
        <v>0.58333333333333337</v>
      </c>
      <c r="K205" t="s">
        <v>4155</v>
      </c>
      <c r="L205">
        <v>0</v>
      </c>
      <c r="M205" t="s">
        <v>4255</v>
      </c>
      <c r="N205" t="s">
        <v>163</v>
      </c>
      <c r="O205" t="s">
        <v>164</v>
      </c>
      <c r="P205" t="s">
        <v>4042</v>
      </c>
      <c r="Q205">
        <v>8</v>
      </c>
    </row>
    <row r="206" spans="1:18" hidden="1" x14ac:dyDescent="0.25">
      <c r="A206" s="1">
        <v>46242</v>
      </c>
      <c r="B206">
        <v>1047505786</v>
      </c>
      <c r="C206" t="s">
        <v>114</v>
      </c>
      <c r="D206" t="s">
        <v>51</v>
      </c>
      <c r="E206" t="s">
        <v>4047</v>
      </c>
      <c r="F206" t="s">
        <v>16</v>
      </c>
      <c r="G206" s="1">
        <v>46229</v>
      </c>
      <c r="H206" s="1">
        <v>46243</v>
      </c>
      <c r="I206" s="2">
        <v>0.25</v>
      </c>
      <c r="J206" s="2">
        <v>0.66666666666666663</v>
      </c>
      <c r="K206" s="9" t="s">
        <v>111</v>
      </c>
      <c r="L206">
        <v>0</v>
      </c>
      <c r="M206" t="s">
        <v>4259</v>
      </c>
      <c r="N206" t="s">
        <v>110</v>
      </c>
      <c r="O206" t="s">
        <v>111</v>
      </c>
      <c r="P206" t="s">
        <v>4042</v>
      </c>
      <c r="Q206">
        <v>10</v>
      </c>
      <c r="R206" s="8"/>
    </row>
    <row r="207" spans="1:18" hidden="1" x14ac:dyDescent="0.25">
      <c r="A207" s="1">
        <v>46242</v>
      </c>
      <c r="B207">
        <v>1017264032</v>
      </c>
      <c r="C207" t="s">
        <v>88</v>
      </c>
      <c r="D207" t="s">
        <v>55</v>
      </c>
      <c r="E207" t="s">
        <v>4047</v>
      </c>
      <c r="F207" t="s">
        <v>16</v>
      </c>
      <c r="G207" s="1">
        <v>46229</v>
      </c>
      <c r="H207" s="1">
        <v>46258</v>
      </c>
      <c r="I207" s="2"/>
      <c r="J207" s="2"/>
      <c r="K207" s="8" t="s">
        <v>341</v>
      </c>
      <c r="L207">
        <v>0</v>
      </c>
      <c r="P207" t="s">
        <v>4042</v>
      </c>
      <c r="Q207">
        <v>0</v>
      </c>
    </row>
    <row r="208" spans="1:18" hidden="1" x14ac:dyDescent="0.25">
      <c r="A208" s="1">
        <v>46242</v>
      </c>
      <c r="B208">
        <v>1036132488</v>
      </c>
      <c r="C208" t="s">
        <v>58</v>
      </c>
      <c r="D208" t="s">
        <v>59</v>
      </c>
      <c r="E208" t="s">
        <v>4047</v>
      </c>
      <c r="F208" t="s">
        <v>16</v>
      </c>
      <c r="G208" s="1">
        <v>46227</v>
      </c>
      <c r="H208" s="1">
        <v>46246</v>
      </c>
      <c r="I208" s="2">
        <v>0.25</v>
      </c>
      <c r="J208" s="2">
        <v>0.58333333333333337</v>
      </c>
      <c r="K208" t="s">
        <v>298</v>
      </c>
      <c r="L208">
        <v>0</v>
      </c>
      <c r="M208" t="s">
        <v>4260</v>
      </c>
      <c r="N208" t="s">
        <v>297</v>
      </c>
      <c r="O208" t="s">
        <v>298</v>
      </c>
      <c r="P208" t="s">
        <v>4042</v>
      </c>
      <c r="Q208">
        <v>8</v>
      </c>
    </row>
    <row r="209" spans="1:17" hidden="1" x14ac:dyDescent="0.25">
      <c r="A209" s="1">
        <v>46242</v>
      </c>
      <c r="B209">
        <v>43558465</v>
      </c>
      <c r="C209" t="s">
        <v>71</v>
      </c>
      <c r="D209" t="s">
        <v>55</v>
      </c>
      <c r="E209" t="s">
        <v>4047</v>
      </c>
      <c r="F209" t="s">
        <v>16</v>
      </c>
      <c r="G209" s="1">
        <v>46226</v>
      </c>
      <c r="H209" s="1">
        <v>46246</v>
      </c>
      <c r="I209" s="2">
        <v>0.25</v>
      </c>
      <c r="J209" s="2">
        <v>0.66666666666666663</v>
      </c>
      <c r="K209" t="s">
        <v>258</v>
      </c>
      <c r="L209">
        <v>0</v>
      </c>
      <c r="M209" t="s">
        <v>4260</v>
      </c>
      <c r="N209" t="s">
        <v>257</v>
      </c>
      <c r="O209" t="s">
        <v>258</v>
      </c>
      <c r="P209" t="s">
        <v>4042</v>
      </c>
      <c r="Q209">
        <v>10</v>
      </c>
    </row>
    <row r="210" spans="1:17" hidden="1" x14ac:dyDescent="0.25">
      <c r="A210" s="1">
        <v>46242</v>
      </c>
      <c r="B210">
        <v>1037631989</v>
      </c>
      <c r="C210" t="s">
        <v>27</v>
      </c>
      <c r="D210" t="s">
        <v>28</v>
      </c>
      <c r="E210" t="s">
        <v>4046</v>
      </c>
      <c r="F210" t="s">
        <v>16</v>
      </c>
      <c r="G210" s="1">
        <v>46226</v>
      </c>
      <c r="H210" s="1">
        <v>46255</v>
      </c>
      <c r="I210" s="2"/>
      <c r="J210" s="2"/>
      <c r="K210" t="s">
        <v>341</v>
      </c>
      <c r="L210">
        <v>0</v>
      </c>
      <c r="P210" t="s">
        <v>4042</v>
      </c>
      <c r="Q210">
        <v>0</v>
      </c>
    </row>
    <row r="211" spans="1:17" hidden="1" x14ac:dyDescent="0.25">
      <c r="A211" s="1">
        <v>46242</v>
      </c>
      <c r="B211">
        <v>1043006106</v>
      </c>
      <c r="C211" t="s">
        <v>63</v>
      </c>
      <c r="D211" t="s">
        <v>64</v>
      </c>
      <c r="E211" t="s">
        <v>4046</v>
      </c>
      <c r="F211" t="s">
        <v>16</v>
      </c>
      <c r="G211" s="1">
        <v>46219</v>
      </c>
      <c r="H211" s="1">
        <v>46248</v>
      </c>
      <c r="I211" s="2"/>
      <c r="J211" s="2"/>
      <c r="K211" t="s">
        <v>341</v>
      </c>
      <c r="L211">
        <v>0</v>
      </c>
      <c r="P211" t="s">
        <v>4042</v>
      </c>
      <c r="Q211">
        <v>0</v>
      </c>
    </row>
    <row r="212" spans="1:17" hidden="1" x14ac:dyDescent="0.25">
      <c r="A212" s="1">
        <v>46242</v>
      </c>
      <c r="B212">
        <v>1037638426</v>
      </c>
      <c r="C212" t="s">
        <v>61</v>
      </c>
      <c r="D212" t="s">
        <v>28</v>
      </c>
      <c r="E212" t="s">
        <v>4046</v>
      </c>
      <c r="F212" t="s">
        <v>24</v>
      </c>
      <c r="G212" s="1">
        <v>46230</v>
      </c>
      <c r="H212" s="1">
        <v>46262</v>
      </c>
      <c r="I212" s="2"/>
      <c r="J212" s="2"/>
      <c r="K212" t="s">
        <v>341</v>
      </c>
      <c r="L212">
        <v>0</v>
      </c>
      <c r="P212" t="s">
        <v>4042</v>
      </c>
      <c r="Q212">
        <v>0</v>
      </c>
    </row>
    <row r="213" spans="1:17" hidden="1" x14ac:dyDescent="0.25">
      <c r="A213" s="1">
        <v>46242</v>
      </c>
      <c r="B213">
        <v>1121506548</v>
      </c>
      <c r="C213" t="s">
        <v>38</v>
      </c>
      <c r="D213" t="s">
        <v>39</v>
      </c>
      <c r="E213" t="s">
        <v>4046</v>
      </c>
      <c r="F213" t="s">
        <v>36</v>
      </c>
      <c r="G213" s="1">
        <v>46217</v>
      </c>
      <c r="H213" s="1">
        <v>46342</v>
      </c>
      <c r="I213" s="2"/>
      <c r="J213" s="2"/>
      <c r="K213" t="s">
        <v>341</v>
      </c>
      <c r="L213">
        <v>0</v>
      </c>
      <c r="P213" t="s">
        <v>4042</v>
      </c>
      <c r="Q213">
        <v>0</v>
      </c>
    </row>
    <row r="214" spans="1:17" hidden="1" x14ac:dyDescent="0.25">
      <c r="A214" s="1">
        <v>46242</v>
      </c>
      <c r="B214">
        <v>1143460426</v>
      </c>
      <c r="C214" t="s">
        <v>4069</v>
      </c>
      <c r="D214" t="s">
        <v>64</v>
      </c>
      <c r="E214" t="s">
        <v>4046</v>
      </c>
      <c r="F214" t="s">
        <v>4050</v>
      </c>
      <c r="G214" s="1">
        <v>46195</v>
      </c>
      <c r="H214" s="1">
        <v>46198</v>
      </c>
      <c r="I214" s="2">
        <v>0.25</v>
      </c>
      <c r="J214" s="2">
        <v>0.66666666666666663</v>
      </c>
      <c r="K214" t="s">
        <v>274</v>
      </c>
      <c r="L214">
        <v>0</v>
      </c>
      <c r="M214" t="s">
        <v>4257</v>
      </c>
      <c r="N214" t="s">
        <v>273</v>
      </c>
      <c r="O214" t="s">
        <v>274</v>
      </c>
      <c r="P214" t="s">
        <v>4042</v>
      </c>
      <c r="Q214">
        <v>10</v>
      </c>
    </row>
    <row r="215" spans="1:17" hidden="1" x14ac:dyDescent="0.25">
      <c r="A215" s="1">
        <v>46242</v>
      </c>
      <c r="B215">
        <v>1152221372</v>
      </c>
      <c r="C215" t="s">
        <v>4072</v>
      </c>
      <c r="D215" t="s">
        <v>139</v>
      </c>
      <c r="E215" t="s">
        <v>4040</v>
      </c>
      <c r="F215" t="s">
        <v>158</v>
      </c>
      <c r="G215" s="1">
        <v>46230</v>
      </c>
      <c r="H215" s="1">
        <v>46230</v>
      </c>
      <c r="I215" s="2"/>
      <c r="J215" s="2"/>
      <c r="K215" t="s">
        <v>341</v>
      </c>
      <c r="L215">
        <v>0</v>
      </c>
      <c r="P215" t="s">
        <v>4042</v>
      </c>
      <c r="Q215">
        <v>0</v>
      </c>
    </row>
    <row r="216" spans="1:17" hidden="1" x14ac:dyDescent="0.25">
      <c r="A216" s="1">
        <v>46242</v>
      </c>
      <c r="B216">
        <v>1098777544</v>
      </c>
      <c r="C216" t="s">
        <v>131</v>
      </c>
      <c r="D216" t="s">
        <v>132</v>
      </c>
      <c r="E216" t="s">
        <v>4040</v>
      </c>
      <c r="F216" t="s">
        <v>16</v>
      </c>
      <c r="G216" s="1">
        <v>46217</v>
      </c>
      <c r="H216" s="1">
        <v>46246</v>
      </c>
      <c r="I216" s="2"/>
      <c r="J216" s="2"/>
      <c r="K216" t="s">
        <v>341</v>
      </c>
      <c r="L216">
        <v>0</v>
      </c>
      <c r="P216" t="s">
        <v>4042</v>
      </c>
      <c r="Q216">
        <v>0</v>
      </c>
    </row>
    <row r="217" spans="1:17" hidden="1" x14ac:dyDescent="0.25">
      <c r="A217" s="1">
        <v>46242</v>
      </c>
      <c r="B217">
        <v>1001851670</v>
      </c>
      <c r="C217" t="s">
        <v>50</v>
      </c>
      <c r="D217" t="s">
        <v>51</v>
      </c>
      <c r="E217" t="s">
        <v>4047</v>
      </c>
      <c r="F217" t="s">
        <v>36</v>
      </c>
      <c r="G217" s="1">
        <v>46237</v>
      </c>
      <c r="H217" s="1">
        <v>46366</v>
      </c>
      <c r="I217" s="2">
        <v>0.25</v>
      </c>
      <c r="J217" s="2">
        <v>0.66666666666666663</v>
      </c>
      <c r="K217" t="s">
        <v>46</v>
      </c>
      <c r="L217">
        <v>0</v>
      </c>
      <c r="M217" t="s">
        <v>4260</v>
      </c>
      <c r="N217" t="s">
        <v>45</v>
      </c>
      <c r="O217" t="s">
        <v>46</v>
      </c>
      <c r="P217" t="s">
        <v>4042</v>
      </c>
      <c r="Q217">
        <v>10</v>
      </c>
    </row>
    <row r="218" spans="1:17" hidden="1" x14ac:dyDescent="0.25">
      <c r="A218" s="1">
        <v>46242</v>
      </c>
      <c r="B218">
        <v>1102808787</v>
      </c>
      <c r="C218" t="s">
        <v>135</v>
      </c>
      <c r="D218" t="s">
        <v>39</v>
      </c>
      <c r="E218" t="s">
        <v>4046</v>
      </c>
      <c r="F218" t="s">
        <v>16</v>
      </c>
      <c r="G218" s="1">
        <v>46237</v>
      </c>
      <c r="H218" s="1">
        <v>46276</v>
      </c>
      <c r="I218" s="2"/>
      <c r="J218" s="2"/>
      <c r="K218" t="s">
        <v>341</v>
      </c>
      <c r="L218">
        <v>0</v>
      </c>
      <c r="P218" t="s">
        <v>4042</v>
      </c>
      <c r="Q218">
        <v>0</v>
      </c>
    </row>
    <row r="219" spans="1:17" hidden="1" x14ac:dyDescent="0.25">
      <c r="A219" s="1">
        <v>46242</v>
      </c>
      <c r="B219">
        <v>1152436231</v>
      </c>
      <c r="C219" t="s">
        <v>142</v>
      </c>
      <c r="D219" t="s">
        <v>143</v>
      </c>
      <c r="E219" t="s">
        <v>4045</v>
      </c>
      <c r="F219" t="s">
        <v>16</v>
      </c>
      <c r="G219" s="1">
        <v>46237</v>
      </c>
      <c r="H219" s="1">
        <v>46240</v>
      </c>
      <c r="I219" s="2"/>
      <c r="J219" s="2"/>
      <c r="K219" t="s">
        <v>341</v>
      </c>
      <c r="L219">
        <v>0</v>
      </c>
      <c r="P219" t="s">
        <v>4042</v>
      </c>
      <c r="Q219">
        <v>0</v>
      </c>
    </row>
    <row r="220" spans="1:17" hidden="1" x14ac:dyDescent="0.25">
      <c r="A220" s="1">
        <v>46242</v>
      </c>
      <c r="B220">
        <v>1017267628</v>
      </c>
      <c r="C220" t="s">
        <v>4103</v>
      </c>
      <c r="D220" t="s">
        <v>256</v>
      </c>
      <c r="E220" t="s">
        <v>4040</v>
      </c>
      <c r="F220" t="s">
        <v>158</v>
      </c>
      <c r="G220" s="1">
        <v>46237</v>
      </c>
      <c r="H220" s="1">
        <v>46243</v>
      </c>
      <c r="I220" s="2"/>
      <c r="J220" s="2"/>
      <c r="K220" t="s">
        <v>341</v>
      </c>
      <c r="L220">
        <v>0</v>
      </c>
      <c r="P220" t="s">
        <v>4042</v>
      </c>
      <c r="Q220">
        <v>0</v>
      </c>
    </row>
    <row r="221" spans="1:17" hidden="1" x14ac:dyDescent="0.25">
      <c r="A221" s="1">
        <v>46242</v>
      </c>
      <c r="B221">
        <v>1005424850</v>
      </c>
      <c r="C221" t="s">
        <v>95</v>
      </c>
      <c r="D221" t="s">
        <v>82</v>
      </c>
      <c r="E221" t="s">
        <v>4045</v>
      </c>
      <c r="F221" t="s">
        <v>16</v>
      </c>
      <c r="G221" s="1">
        <v>46238</v>
      </c>
      <c r="H221" s="1">
        <v>46262</v>
      </c>
      <c r="I221" s="2"/>
      <c r="J221" s="2"/>
      <c r="K221" t="s">
        <v>341</v>
      </c>
      <c r="L221">
        <v>0</v>
      </c>
      <c r="P221" t="s">
        <v>4042</v>
      </c>
      <c r="Q221">
        <v>0</v>
      </c>
    </row>
    <row r="222" spans="1:17" hidden="1" x14ac:dyDescent="0.25">
      <c r="A222" s="1">
        <v>46242</v>
      </c>
      <c r="B222">
        <v>1018466443</v>
      </c>
      <c r="C222" t="s">
        <v>4141</v>
      </c>
      <c r="D222" t="s">
        <v>482</v>
      </c>
      <c r="E222" t="s">
        <v>4040</v>
      </c>
      <c r="F222" t="s">
        <v>4123</v>
      </c>
      <c r="G222" s="1">
        <v>46239</v>
      </c>
      <c r="H222" s="1">
        <v>46244</v>
      </c>
      <c r="I222" s="2"/>
      <c r="J222" s="2"/>
      <c r="K222" t="s">
        <v>341</v>
      </c>
      <c r="L222">
        <v>0</v>
      </c>
      <c r="P222" t="s">
        <v>4042</v>
      </c>
      <c r="Q222">
        <v>0</v>
      </c>
    </row>
    <row r="223" spans="1:17" hidden="1" x14ac:dyDescent="0.25">
      <c r="A223" s="1">
        <v>46242</v>
      </c>
      <c r="B223">
        <v>1143374438</v>
      </c>
      <c r="C223" t="s">
        <v>154</v>
      </c>
      <c r="D223" t="s">
        <v>28</v>
      </c>
      <c r="E223" t="s">
        <v>4046</v>
      </c>
      <c r="F223" t="s">
        <v>16</v>
      </c>
      <c r="G223" s="1">
        <v>46239</v>
      </c>
      <c r="H223" s="1">
        <v>46268</v>
      </c>
      <c r="I223" s="2"/>
      <c r="J223" s="2"/>
      <c r="K223" t="s">
        <v>341</v>
      </c>
      <c r="L223">
        <v>0</v>
      </c>
      <c r="P223" t="s">
        <v>4042</v>
      </c>
      <c r="Q223">
        <v>0</v>
      </c>
    </row>
    <row r="224" spans="1:17" hidden="1" x14ac:dyDescent="0.25">
      <c r="A224" s="1">
        <v>46242</v>
      </c>
      <c r="B224">
        <v>1001014608</v>
      </c>
      <c r="C224" t="s">
        <v>573</v>
      </c>
      <c r="D224" t="s">
        <v>55</v>
      </c>
      <c r="E224" t="s">
        <v>4047</v>
      </c>
      <c r="F224" t="s">
        <v>16</v>
      </c>
      <c r="G224" s="1">
        <v>46239</v>
      </c>
      <c r="H224" s="1">
        <v>46268</v>
      </c>
      <c r="I224" s="2"/>
      <c r="J224" s="2"/>
      <c r="K224" t="s">
        <v>341</v>
      </c>
      <c r="L224">
        <v>0</v>
      </c>
      <c r="P224" t="s">
        <v>4042</v>
      </c>
      <c r="Q224">
        <v>0</v>
      </c>
    </row>
    <row r="225" spans="1:18" hidden="1" x14ac:dyDescent="0.25">
      <c r="A225" s="1">
        <v>46242</v>
      </c>
      <c r="B225">
        <v>42141273</v>
      </c>
      <c r="C225" t="s">
        <v>271</v>
      </c>
      <c r="D225" t="s">
        <v>272</v>
      </c>
      <c r="E225" t="s">
        <v>4056</v>
      </c>
      <c r="F225" t="s">
        <v>4065</v>
      </c>
      <c r="G225" s="1">
        <v>46232</v>
      </c>
      <c r="H225" s="1">
        <v>46261</v>
      </c>
      <c r="I225" s="2"/>
      <c r="J225" s="2"/>
      <c r="K225" t="s">
        <v>341</v>
      </c>
      <c r="L225">
        <v>0</v>
      </c>
      <c r="P225" t="s">
        <v>4042</v>
      </c>
      <c r="Q225">
        <v>0</v>
      </c>
    </row>
    <row r="226" spans="1:18" hidden="1" x14ac:dyDescent="0.25">
      <c r="A226" s="1">
        <v>46242</v>
      </c>
      <c r="B226">
        <v>1035876080</v>
      </c>
      <c r="C226" t="s">
        <v>123</v>
      </c>
      <c r="D226" t="s">
        <v>124</v>
      </c>
      <c r="E226" t="s">
        <v>4045</v>
      </c>
      <c r="F226" t="s">
        <v>16</v>
      </c>
      <c r="G226" s="1">
        <v>46239</v>
      </c>
      <c r="H226" s="1">
        <v>46245</v>
      </c>
      <c r="I226" s="2"/>
      <c r="J226" s="2"/>
      <c r="K226" t="s">
        <v>341</v>
      </c>
      <c r="L226">
        <v>0</v>
      </c>
      <c r="P226" t="s">
        <v>4042</v>
      </c>
      <c r="Q226">
        <v>0</v>
      </c>
    </row>
    <row r="227" spans="1:18" hidden="1" x14ac:dyDescent="0.25">
      <c r="A227" s="1">
        <v>46242</v>
      </c>
      <c r="B227">
        <v>1067963513</v>
      </c>
      <c r="C227" t="s">
        <v>84</v>
      </c>
      <c r="D227" t="s">
        <v>68</v>
      </c>
      <c r="E227" t="s">
        <v>4040</v>
      </c>
      <c r="F227" t="s">
        <v>24</v>
      </c>
      <c r="G227" s="1">
        <v>46240</v>
      </c>
      <c r="H227" s="1">
        <v>46265</v>
      </c>
      <c r="I227" s="2"/>
      <c r="J227" s="2"/>
      <c r="K227" t="s">
        <v>341</v>
      </c>
      <c r="L227">
        <v>0</v>
      </c>
      <c r="O227" s="10"/>
      <c r="P227" t="s">
        <v>4042</v>
      </c>
      <c r="Q227">
        <v>0</v>
      </c>
    </row>
    <row r="228" spans="1:18" hidden="1" x14ac:dyDescent="0.25">
      <c r="A228" s="1">
        <v>46242</v>
      </c>
      <c r="B228">
        <v>1072648283</v>
      </c>
      <c r="C228" t="s">
        <v>828</v>
      </c>
      <c r="D228" t="s">
        <v>272</v>
      </c>
      <c r="E228" t="s">
        <v>4056</v>
      </c>
      <c r="F228" t="s">
        <v>16</v>
      </c>
      <c r="G228" s="1">
        <v>46240</v>
      </c>
      <c r="H228" s="1">
        <v>46240</v>
      </c>
      <c r="I228" s="2"/>
      <c r="J228" s="2"/>
      <c r="K228" t="s">
        <v>4083</v>
      </c>
      <c r="L228">
        <v>0</v>
      </c>
      <c r="P228" t="s">
        <v>4042</v>
      </c>
      <c r="Q228">
        <v>0</v>
      </c>
    </row>
    <row r="229" spans="1:18" hidden="1" x14ac:dyDescent="0.25">
      <c r="A229" s="1">
        <v>46242</v>
      </c>
      <c r="B229">
        <v>1001853191</v>
      </c>
      <c r="C229" t="s">
        <v>3240</v>
      </c>
      <c r="D229" t="s">
        <v>15</v>
      </c>
      <c r="E229" t="s">
        <v>4046</v>
      </c>
      <c r="F229" t="s">
        <v>16</v>
      </c>
      <c r="G229" s="1">
        <v>46240</v>
      </c>
      <c r="H229" s="1">
        <v>46242</v>
      </c>
      <c r="I229" s="2">
        <v>0.45833333333333331</v>
      </c>
      <c r="J229" s="2">
        <v>0.875</v>
      </c>
      <c r="K229" t="s">
        <v>74</v>
      </c>
      <c r="L229">
        <v>2</v>
      </c>
      <c r="M229" t="s">
        <v>4257</v>
      </c>
      <c r="N229" t="s">
        <v>73</v>
      </c>
      <c r="O229" t="s">
        <v>74</v>
      </c>
      <c r="P229" t="s">
        <v>21</v>
      </c>
      <c r="Q229">
        <v>10</v>
      </c>
    </row>
    <row r="230" spans="1:18" hidden="1" x14ac:dyDescent="0.25">
      <c r="A230" s="1">
        <v>46242</v>
      </c>
      <c r="B230">
        <v>1006490561</v>
      </c>
      <c r="C230" t="s">
        <v>4151</v>
      </c>
      <c r="D230" t="s">
        <v>482</v>
      </c>
      <c r="E230" t="s">
        <v>4040</v>
      </c>
      <c r="F230" t="s">
        <v>16</v>
      </c>
      <c r="G230" s="1">
        <v>46240</v>
      </c>
      <c r="H230" s="1">
        <v>46242</v>
      </c>
      <c r="I230" s="2">
        <v>0.25</v>
      </c>
      <c r="J230" s="2">
        <v>0.66666666666666663</v>
      </c>
      <c r="K230" t="s">
        <v>310</v>
      </c>
      <c r="L230">
        <v>0</v>
      </c>
      <c r="M230" t="s">
        <v>4260</v>
      </c>
      <c r="N230" t="s">
        <v>309</v>
      </c>
      <c r="O230" t="s">
        <v>310</v>
      </c>
      <c r="P230" t="s">
        <v>4042</v>
      </c>
      <c r="Q230">
        <v>10</v>
      </c>
      <c r="R230" t="s">
        <v>4261</v>
      </c>
    </row>
    <row r="231" spans="1:18" hidden="1" x14ac:dyDescent="0.25">
      <c r="A231" s="1">
        <v>46242</v>
      </c>
      <c r="B231">
        <v>1084253148</v>
      </c>
      <c r="C231" t="s">
        <v>1125</v>
      </c>
      <c r="D231" t="s">
        <v>272</v>
      </c>
      <c r="E231" t="s">
        <v>4056</v>
      </c>
      <c r="F231" t="s">
        <v>4074</v>
      </c>
      <c r="G231" s="1">
        <v>46240</v>
      </c>
      <c r="H231" s="1">
        <v>46240</v>
      </c>
      <c r="I231" s="2"/>
      <c r="J231" s="2"/>
      <c r="K231" t="s">
        <v>4083</v>
      </c>
      <c r="L231">
        <v>0</v>
      </c>
      <c r="P231" t="s">
        <v>4042</v>
      </c>
      <c r="Q231">
        <v>0</v>
      </c>
    </row>
    <row r="232" spans="1:18" hidden="1" x14ac:dyDescent="0.25">
      <c r="A232" s="1">
        <v>46242</v>
      </c>
      <c r="B232">
        <v>1127074377</v>
      </c>
      <c r="C232" t="s">
        <v>422</v>
      </c>
      <c r="D232" t="s">
        <v>421</v>
      </c>
      <c r="E232" t="s">
        <v>4047</v>
      </c>
      <c r="F232" t="s">
        <v>4087</v>
      </c>
      <c r="G232" s="1">
        <v>46242</v>
      </c>
      <c r="H232" s="1">
        <v>46242</v>
      </c>
      <c r="I232" s="2">
        <v>0.25</v>
      </c>
      <c r="J232" s="2">
        <v>0.66666666666666663</v>
      </c>
      <c r="K232" t="s">
        <v>1383</v>
      </c>
      <c r="L232">
        <v>0</v>
      </c>
      <c r="M232" t="s">
        <v>4260</v>
      </c>
      <c r="N232" t="s">
        <v>1382</v>
      </c>
      <c r="O232" t="s">
        <v>1383</v>
      </c>
      <c r="P232" t="s">
        <v>4042</v>
      </c>
      <c r="Q232">
        <v>10</v>
      </c>
    </row>
    <row r="233" spans="1:18" hidden="1" x14ac:dyDescent="0.25">
      <c r="A233" s="1">
        <v>46242</v>
      </c>
      <c r="B233">
        <v>1042422897</v>
      </c>
      <c r="C233" t="s">
        <v>4100</v>
      </c>
      <c r="D233" t="s">
        <v>256</v>
      </c>
      <c r="E233" t="s">
        <v>4040</v>
      </c>
      <c r="F233" t="s">
        <v>4050</v>
      </c>
      <c r="G233" s="1">
        <v>46242</v>
      </c>
      <c r="H233" s="1">
        <v>46245</v>
      </c>
      <c r="I233" s="2">
        <v>0.25</v>
      </c>
      <c r="J233" s="2">
        <v>0.66666666666666663</v>
      </c>
      <c r="K233" t="s">
        <v>117</v>
      </c>
      <c r="L233">
        <v>0</v>
      </c>
      <c r="M233" t="s">
        <v>4260</v>
      </c>
      <c r="N233" t="s">
        <v>116</v>
      </c>
      <c r="O233" t="s">
        <v>117</v>
      </c>
      <c r="P233" t="s">
        <v>4042</v>
      </c>
      <c r="Q233">
        <v>10</v>
      </c>
    </row>
    <row r="234" spans="1:18" hidden="1" x14ac:dyDescent="0.25">
      <c r="A234" s="1">
        <v>46242</v>
      </c>
      <c r="B234">
        <v>1045718883</v>
      </c>
      <c r="C234" t="s">
        <v>34</v>
      </c>
      <c r="D234" t="s">
        <v>15</v>
      </c>
      <c r="E234" t="s">
        <v>4046</v>
      </c>
      <c r="F234" t="s">
        <v>4074</v>
      </c>
      <c r="G234" s="1">
        <v>46240</v>
      </c>
      <c r="H234" s="1">
        <v>46249</v>
      </c>
      <c r="I234" s="2">
        <v>0.25</v>
      </c>
      <c r="J234" s="2">
        <v>0.66666666666666663</v>
      </c>
      <c r="K234" t="s">
        <v>223</v>
      </c>
      <c r="L234">
        <v>0</v>
      </c>
      <c r="M234" t="s">
        <v>4258</v>
      </c>
      <c r="N234" t="s">
        <v>222</v>
      </c>
      <c r="O234" t="s">
        <v>223</v>
      </c>
      <c r="P234" t="s">
        <v>4042</v>
      </c>
      <c r="Q234">
        <v>10</v>
      </c>
    </row>
    <row r="235" spans="1:18" hidden="1" x14ac:dyDescent="0.25">
      <c r="A235" s="1">
        <v>46242</v>
      </c>
      <c r="B235">
        <v>1001446162</v>
      </c>
      <c r="C235" t="s">
        <v>3663</v>
      </c>
      <c r="D235" t="s">
        <v>4078</v>
      </c>
      <c r="E235" t="s">
        <v>4056</v>
      </c>
      <c r="F235" t="s">
        <v>4079</v>
      </c>
      <c r="G235" s="1">
        <v>46242</v>
      </c>
      <c r="H235" s="1">
        <v>46242</v>
      </c>
      <c r="I235" s="2">
        <v>0.25</v>
      </c>
      <c r="J235" s="2">
        <v>0.58333333333333337</v>
      </c>
      <c r="K235" t="s">
        <v>3663</v>
      </c>
      <c r="L235">
        <v>0</v>
      </c>
      <c r="M235" t="s">
        <v>4255</v>
      </c>
      <c r="N235" t="s">
        <v>3662</v>
      </c>
      <c r="O235" t="s">
        <v>3663</v>
      </c>
      <c r="P235" t="s">
        <v>4042</v>
      </c>
      <c r="Q235">
        <v>8</v>
      </c>
    </row>
    <row r="236" spans="1:18" hidden="1" x14ac:dyDescent="0.25">
      <c r="A236" s="1">
        <v>46242</v>
      </c>
      <c r="B236">
        <v>1001369228</v>
      </c>
      <c r="C236" t="s">
        <v>164</v>
      </c>
      <c r="D236" t="s">
        <v>4078</v>
      </c>
      <c r="E236" t="s">
        <v>4056</v>
      </c>
      <c r="F236" t="s">
        <v>4079</v>
      </c>
      <c r="G236" s="1">
        <v>46242</v>
      </c>
      <c r="H236" s="1">
        <v>46242</v>
      </c>
      <c r="I236" s="2">
        <v>0.25</v>
      </c>
      <c r="J236" s="2">
        <v>0.58333333333333337</v>
      </c>
      <c r="K236" t="s">
        <v>164</v>
      </c>
      <c r="L236">
        <v>0</v>
      </c>
      <c r="M236" t="s">
        <v>4255</v>
      </c>
      <c r="N236" t="s">
        <v>163</v>
      </c>
      <c r="O236" t="s">
        <v>164</v>
      </c>
      <c r="P236" t="s">
        <v>4042</v>
      </c>
      <c r="Q236">
        <v>8</v>
      </c>
    </row>
    <row r="237" spans="1:18" hidden="1" x14ac:dyDescent="0.25">
      <c r="A237" s="1">
        <v>46242</v>
      </c>
      <c r="B237">
        <v>1003000892</v>
      </c>
      <c r="C237" t="s">
        <v>182</v>
      </c>
      <c r="D237" t="s">
        <v>139</v>
      </c>
      <c r="E237" t="s">
        <v>4040</v>
      </c>
      <c r="F237" t="s">
        <v>4104</v>
      </c>
      <c r="G237" s="1">
        <v>46242</v>
      </c>
      <c r="H237" s="1">
        <v>46242</v>
      </c>
      <c r="I237" s="2">
        <v>0.25</v>
      </c>
      <c r="J237" s="2">
        <v>0.54166666666666663</v>
      </c>
      <c r="K237" t="s">
        <v>339</v>
      </c>
      <c r="L237">
        <v>0</v>
      </c>
      <c r="M237" t="s">
        <v>4260</v>
      </c>
      <c r="N237" t="s">
        <v>181</v>
      </c>
      <c r="O237" t="s">
        <v>182</v>
      </c>
      <c r="P237" t="s">
        <v>4042</v>
      </c>
      <c r="Q237">
        <v>7</v>
      </c>
    </row>
    <row r="238" spans="1:18" hidden="1" x14ac:dyDescent="0.25">
      <c r="A238" s="1">
        <v>46242</v>
      </c>
      <c r="B238">
        <v>1000921455</v>
      </c>
      <c r="C238" t="s">
        <v>14</v>
      </c>
      <c r="D238" t="s">
        <v>15</v>
      </c>
      <c r="E238" t="s">
        <v>4046</v>
      </c>
      <c r="F238" t="s">
        <v>16</v>
      </c>
      <c r="G238" s="1">
        <v>46239</v>
      </c>
      <c r="H238" s="1">
        <v>46246</v>
      </c>
      <c r="I238" s="2">
        <v>0.25</v>
      </c>
      <c r="J238" s="2">
        <v>0.66666666666666663</v>
      </c>
      <c r="K238" t="s">
        <v>18</v>
      </c>
      <c r="L238">
        <v>0</v>
      </c>
      <c r="M238" t="s">
        <v>4258</v>
      </c>
      <c r="N238" t="s">
        <v>17</v>
      </c>
      <c r="O238" t="s">
        <v>18</v>
      </c>
      <c r="P238" t="s">
        <v>4042</v>
      </c>
      <c r="Q238">
        <v>10</v>
      </c>
    </row>
    <row r="239" spans="1:18" hidden="1" x14ac:dyDescent="0.25">
      <c r="A239" s="1">
        <v>46242</v>
      </c>
      <c r="B239">
        <v>1143413583</v>
      </c>
      <c r="C239" t="s">
        <v>41</v>
      </c>
      <c r="D239" t="s">
        <v>28</v>
      </c>
      <c r="E239" t="s">
        <v>4046</v>
      </c>
      <c r="F239" t="s">
        <v>4050</v>
      </c>
      <c r="G239" s="1">
        <v>46240</v>
      </c>
      <c r="H239" s="1">
        <v>46244</v>
      </c>
      <c r="I239" s="2">
        <v>0.25</v>
      </c>
      <c r="J239" s="2">
        <v>0.66666666666666663</v>
      </c>
      <c r="K239" t="s">
        <v>232</v>
      </c>
      <c r="L239">
        <v>0</v>
      </c>
      <c r="M239" t="s">
        <v>4257</v>
      </c>
      <c r="N239" t="s">
        <v>231</v>
      </c>
      <c r="O239" t="s">
        <v>232</v>
      </c>
      <c r="P239" t="s">
        <v>4042</v>
      </c>
      <c r="Q239">
        <v>10</v>
      </c>
    </row>
    <row r="240" spans="1:18" hidden="1" x14ac:dyDescent="0.25">
      <c r="A240" s="1">
        <v>46242</v>
      </c>
      <c r="B240">
        <v>1037668455</v>
      </c>
      <c r="C240" t="s">
        <v>3013</v>
      </c>
      <c r="D240" t="s">
        <v>78</v>
      </c>
      <c r="E240" t="s">
        <v>4046</v>
      </c>
      <c r="F240" t="s">
        <v>16</v>
      </c>
      <c r="G240" s="1">
        <v>46241</v>
      </c>
      <c r="H240" s="1">
        <v>46242</v>
      </c>
      <c r="I240" s="2">
        <v>0.25</v>
      </c>
      <c r="J240" s="2">
        <v>0.66666666666666663</v>
      </c>
      <c r="K240" s="4" t="s">
        <v>210</v>
      </c>
      <c r="L240">
        <v>0</v>
      </c>
      <c r="M240" t="s">
        <v>4257</v>
      </c>
      <c r="N240" t="s">
        <v>209</v>
      </c>
      <c r="O240" t="s">
        <v>210</v>
      </c>
      <c r="P240" t="s">
        <v>4042</v>
      </c>
      <c r="Q240">
        <v>10</v>
      </c>
    </row>
    <row r="241" spans="1:18" hidden="1" x14ac:dyDescent="0.25">
      <c r="A241" s="1">
        <v>46242</v>
      </c>
      <c r="B241">
        <v>1026134762</v>
      </c>
      <c r="C241" t="s">
        <v>1359</v>
      </c>
      <c r="D241" t="s">
        <v>15</v>
      </c>
      <c r="E241" t="s">
        <v>4046</v>
      </c>
      <c r="F241" t="s">
        <v>16</v>
      </c>
      <c r="G241" s="1">
        <v>46242</v>
      </c>
      <c r="H241" s="1">
        <v>46242</v>
      </c>
      <c r="I241" s="2">
        <v>0.25</v>
      </c>
      <c r="J241" s="2">
        <v>0.66666666666666663</v>
      </c>
      <c r="K241" t="s">
        <v>120</v>
      </c>
      <c r="L241">
        <v>0</v>
      </c>
      <c r="M241" t="s">
        <v>4260</v>
      </c>
      <c r="N241" t="s">
        <v>119</v>
      </c>
      <c r="O241" t="s">
        <v>120</v>
      </c>
      <c r="P241" t="s">
        <v>4042</v>
      </c>
      <c r="Q241">
        <v>10</v>
      </c>
    </row>
    <row r="242" spans="1:18" hidden="1" x14ac:dyDescent="0.25">
      <c r="A242" s="1">
        <v>46242</v>
      </c>
      <c r="B242">
        <v>1152446353</v>
      </c>
      <c r="C242" t="s">
        <v>205</v>
      </c>
      <c r="D242" t="s">
        <v>51</v>
      </c>
      <c r="E242" t="s">
        <v>4047</v>
      </c>
      <c r="F242" t="s">
        <v>92</v>
      </c>
      <c r="G242" s="1"/>
      <c r="H242" s="1"/>
      <c r="I242" s="2"/>
      <c r="J242" s="2"/>
      <c r="K242" t="s">
        <v>346</v>
      </c>
      <c r="L242">
        <v>0</v>
      </c>
      <c r="P242" t="s">
        <v>4042</v>
      </c>
      <c r="Q242">
        <v>0</v>
      </c>
    </row>
    <row r="243" spans="1:18" hidden="1" x14ac:dyDescent="0.25">
      <c r="A243" s="1">
        <v>46242</v>
      </c>
      <c r="B243">
        <v>1010246557</v>
      </c>
      <c r="C243" t="s">
        <v>3461</v>
      </c>
      <c r="D243" t="s">
        <v>256</v>
      </c>
      <c r="E243" t="s">
        <v>4040</v>
      </c>
      <c r="F243" t="s">
        <v>16</v>
      </c>
      <c r="G243" s="1">
        <v>46242</v>
      </c>
      <c r="H243" s="1">
        <v>46242</v>
      </c>
      <c r="I243" s="2">
        <v>0.25</v>
      </c>
      <c r="J243" s="2">
        <v>0.66666666666666663</v>
      </c>
      <c r="K243" t="s">
        <v>4157</v>
      </c>
      <c r="L243">
        <v>0</v>
      </c>
      <c r="M243" t="s">
        <v>4260</v>
      </c>
      <c r="N243" t="s">
        <v>193</v>
      </c>
      <c r="O243" t="s">
        <v>194</v>
      </c>
      <c r="P243" t="s">
        <v>4042</v>
      </c>
      <c r="Q243">
        <v>10</v>
      </c>
    </row>
    <row r="244" spans="1:18" hidden="1" x14ac:dyDescent="0.25">
      <c r="A244" s="1">
        <v>46242</v>
      </c>
      <c r="B244">
        <v>1107046318</v>
      </c>
      <c r="C244" t="s">
        <v>268</v>
      </c>
      <c r="D244" t="s">
        <v>344</v>
      </c>
      <c r="E244" t="s">
        <v>4056</v>
      </c>
      <c r="F244" t="s">
        <v>4079</v>
      </c>
      <c r="G244" s="1">
        <v>46242</v>
      </c>
      <c r="H244" s="1">
        <v>46242</v>
      </c>
      <c r="I244" s="2">
        <v>0.29166666666666669</v>
      </c>
      <c r="J244" s="2">
        <v>0.66666666666666663</v>
      </c>
      <c r="K244" t="s">
        <v>339</v>
      </c>
      <c r="L244">
        <v>0</v>
      </c>
      <c r="M244" t="s">
        <v>4255</v>
      </c>
      <c r="N244" t="s">
        <v>267</v>
      </c>
      <c r="O244" t="s">
        <v>268</v>
      </c>
      <c r="P244" t="s">
        <v>4042</v>
      </c>
      <c r="Q244">
        <v>9</v>
      </c>
    </row>
    <row r="245" spans="1:18" hidden="1" x14ac:dyDescent="0.25">
      <c r="A245" s="1">
        <v>46242</v>
      </c>
      <c r="B245">
        <v>1001445343</v>
      </c>
      <c r="C245" t="s">
        <v>1432</v>
      </c>
      <c r="D245" t="s">
        <v>344</v>
      </c>
      <c r="E245" t="s">
        <v>4056</v>
      </c>
      <c r="F245" t="s">
        <v>16</v>
      </c>
      <c r="G245" s="1">
        <v>46242</v>
      </c>
      <c r="H245" s="1">
        <v>46242</v>
      </c>
      <c r="I245" s="2">
        <v>0.25</v>
      </c>
      <c r="J245" s="2">
        <v>0.58333333333333337</v>
      </c>
      <c r="K245" t="s">
        <v>185</v>
      </c>
      <c r="L245">
        <v>0</v>
      </c>
      <c r="M245" t="s">
        <v>4255</v>
      </c>
      <c r="N245" t="s">
        <v>184</v>
      </c>
      <c r="O245" t="s">
        <v>185</v>
      </c>
      <c r="P245" t="s">
        <v>4042</v>
      </c>
      <c r="Q245">
        <v>8</v>
      </c>
    </row>
    <row r="246" spans="1:18" hidden="1" x14ac:dyDescent="0.25">
      <c r="A246" s="1">
        <v>46244</v>
      </c>
      <c r="B246">
        <v>1017264032</v>
      </c>
      <c r="C246" t="s">
        <v>88</v>
      </c>
      <c r="D246" t="s">
        <v>55</v>
      </c>
      <c r="E246" t="s">
        <v>4047</v>
      </c>
      <c r="F246" t="s">
        <v>16</v>
      </c>
      <c r="G246" s="1">
        <v>46229</v>
      </c>
      <c r="H246" s="1">
        <v>46258</v>
      </c>
      <c r="I246" s="2">
        <v>0.58333333333333337</v>
      </c>
      <c r="J246" s="2">
        <v>0.875</v>
      </c>
      <c r="K246" t="s">
        <v>304</v>
      </c>
      <c r="L246">
        <v>2</v>
      </c>
      <c r="M246" t="s">
        <v>4257</v>
      </c>
      <c r="N246" t="s">
        <v>303</v>
      </c>
      <c r="O246" t="s">
        <v>304</v>
      </c>
      <c r="P246" t="s">
        <v>21</v>
      </c>
      <c r="Q246">
        <v>7</v>
      </c>
    </row>
    <row r="247" spans="1:18" hidden="1" x14ac:dyDescent="0.25">
      <c r="A247" s="1">
        <v>46244</v>
      </c>
      <c r="B247">
        <v>1036132488</v>
      </c>
      <c r="C247" t="s">
        <v>58</v>
      </c>
      <c r="D247" t="s">
        <v>59</v>
      </c>
      <c r="E247" t="s">
        <v>4047</v>
      </c>
      <c r="F247" t="s">
        <v>16</v>
      </c>
      <c r="G247" s="1">
        <v>46227</v>
      </c>
      <c r="H247" s="1">
        <v>46246</v>
      </c>
      <c r="I247" s="2">
        <v>0.25</v>
      </c>
      <c r="J247" s="2">
        <v>0.5</v>
      </c>
      <c r="K247" s="4" t="s">
        <v>46</v>
      </c>
      <c r="L247">
        <v>0</v>
      </c>
      <c r="M247" t="s">
        <v>4260</v>
      </c>
      <c r="N247" t="s">
        <v>45</v>
      </c>
      <c r="O247" t="s">
        <v>46</v>
      </c>
      <c r="P247" t="s">
        <v>4042</v>
      </c>
      <c r="Q247">
        <v>6</v>
      </c>
      <c r="R247" s="8"/>
    </row>
    <row r="248" spans="1:18" hidden="1" x14ac:dyDescent="0.25">
      <c r="A248" s="1">
        <v>46244</v>
      </c>
      <c r="B248">
        <v>1037631989</v>
      </c>
      <c r="C248" t="s">
        <v>27</v>
      </c>
      <c r="D248" t="s">
        <v>28</v>
      </c>
      <c r="E248" t="s">
        <v>4046</v>
      </c>
      <c r="F248" t="s">
        <v>16</v>
      </c>
      <c r="G248" s="1">
        <v>46226</v>
      </c>
      <c r="H248" s="1">
        <v>46255</v>
      </c>
      <c r="I248" s="2">
        <v>0.25</v>
      </c>
      <c r="J248" s="2">
        <v>0.54166666666666663</v>
      </c>
      <c r="K248" t="s">
        <v>229</v>
      </c>
      <c r="L248">
        <v>0</v>
      </c>
      <c r="M248" t="s">
        <v>4258</v>
      </c>
      <c r="N248" t="s">
        <v>228</v>
      </c>
      <c r="O248" t="s">
        <v>229</v>
      </c>
      <c r="P248" t="s">
        <v>4042</v>
      </c>
      <c r="Q248">
        <v>7</v>
      </c>
    </row>
    <row r="249" spans="1:18" hidden="1" x14ac:dyDescent="0.25">
      <c r="A249" s="1">
        <v>46244</v>
      </c>
      <c r="B249">
        <v>1043006106</v>
      </c>
      <c r="C249" t="s">
        <v>63</v>
      </c>
      <c r="D249" t="s">
        <v>64</v>
      </c>
      <c r="E249" t="s">
        <v>4046</v>
      </c>
      <c r="F249" t="s">
        <v>16</v>
      </c>
      <c r="G249" s="1">
        <v>46219</v>
      </c>
      <c r="H249" s="1">
        <v>46248</v>
      </c>
      <c r="I249" s="2">
        <v>0.25</v>
      </c>
      <c r="J249" s="2">
        <v>0.54166666666666663</v>
      </c>
      <c r="K249" s="4" t="s">
        <v>237</v>
      </c>
      <c r="L249">
        <v>0</v>
      </c>
      <c r="M249" t="s">
        <v>4255</v>
      </c>
      <c r="N249" t="s">
        <v>236</v>
      </c>
      <c r="O249" t="s">
        <v>237</v>
      </c>
      <c r="P249" t="s">
        <v>4042</v>
      </c>
      <c r="Q249">
        <v>7</v>
      </c>
      <c r="R249" s="8" t="s">
        <v>4256</v>
      </c>
    </row>
    <row r="250" spans="1:18" hidden="1" x14ac:dyDescent="0.25">
      <c r="A250" s="1">
        <v>46244</v>
      </c>
      <c r="B250">
        <v>1037638426</v>
      </c>
      <c r="C250" t="s">
        <v>61</v>
      </c>
      <c r="D250" t="s">
        <v>28</v>
      </c>
      <c r="E250" t="s">
        <v>4046</v>
      </c>
      <c r="F250" t="s">
        <v>24</v>
      </c>
      <c r="G250" s="1">
        <v>46230</v>
      </c>
      <c r="H250" s="1">
        <v>46262</v>
      </c>
      <c r="I250" s="2">
        <v>0.58333333333333337</v>
      </c>
      <c r="J250" s="2">
        <v>0.875</v>
      </c>
      <c r="K250" t="s">
        <v>301</v>
      </c>
      <c r="L250">
        <v>2</v>
      </c>
      <c r="M250" t="s">
        <v>4258</v>
      </c>
      <c r="N250" t="s">
        <v>300</v>
      </c>
      <c r="O250" t="s">
        <v>301</v>
      </c>
      <c r="P250" t="s">
        <v>21</v>
      </c>
      <c r="Q250">
        <v>7</v>
      </c>
    </row>
    <row r="251" spans="1:18" hidden="1" x14ac:dyDescent="0.25">
      <c r="A251" s="1">
        <v>46244</v>
      </c>
      <c r="B251">
        <v>1121506548</v>
      </c>
      <c r="C251" t="s">
        <v>38</v>
      </c>
      <c r="D251" t="s">
        <v>39</v>
      </c>
      <c r="E251" t="s">
        <v>4046</v>
      </c>
      <c r="F251" t="s">
        <v>36</v>
      </c>
      <c r="G251" s="1">
        <v>46217</v>
      </c>
      <c r="H251" s="1">
        <v>46342</v>
      </c>
      <c r="I251" s="2">
        <v>0.25</v>
      </c>
      <c r="J251" s="2">
        <v>0.54166666666666663</v>
      </c>
      <c r="K251" t="s">
        <v>18</v>
      </c>
      <c r="L251">
        <v>0</v>
      </c>
      <c r="M251" t="s">
        <v>4258</v>
      </c>
      <c r="N251" t="s">
        <v>17</v>
      </c>
      <c r="O251" t="s">
        <v>18</v>
      </c>
      <c r="P251" t="s">
        <v>4042</v>
      </c>
      <c r="Q251">
        <v>7</v>
      </c>
    </row>
    <row r="252" spans="1:18" hidden="1" x14ac:dyDescent="0.25">
      <c r="A252" s="1">
        <v>46244</v>
      </c>
      <c r="B252">
        <v>1152221372</v>
      </c>
      <c r="C252" t="s">
        <v>4072</v>
      </c>
      <c r="D252" t="s">
        <v>139</v>
      </c>
      <c r="E252" t="s">
        <v>4040</v>
      </c>
      <c r="F252" t="s">
        <v>158</v>
      </c>
      <c r="G252" s="1">
        <v>46230</v>
      </c>
      <c r="H252" s="1">
        <v>46230</v>
      </c>
      <c r="I252" s="2">
        <v>0.25</v>
      </c>
      <c r="J252" s="2">
        <v>0.58333333333333337</v>
      </c>
      <c r="K252" t="s">
        <v>120</v>
      </c>
      <c r="L252">
        <v>0</v>
      </c>
      <c r="M252" t="s">
        <v>4260</v>
      </c>
      <c r="N252" t="s">
        <v>119</v>
      </c>
      <c r="O252" t="s">
        <v>120</v>
      </c>
      <c r="P252" t="s">
        <v>4042</v>
      </c>
      <c r="Q252">
        <v>8</v>
      </c>
    </row>
    <row r="253" spans="1:18" hidden="1" x14ac:dyDescent="0.25">
      <c r="A253" s="1">
        <v>46244</v>
      </c>
      <c r="B253">
        <v>1098777544</v>
      </c>
      <c r="C253" t="s">
        <v>131</v>
      </c>
      <c r="D253" t="s">
        <v>132</v>
      </c>
      <c r="E253" t="s">
        <v>4040</v>
      </c>
      <c r="F253" t="s">
        <v>16</v>
      </c>
      <c r="G253" s="1">
        <v>46217</v>
      </c>
      <c r="H253" s="1">
        <v>46246</v>
      </c>
      <c r="I253" s="2">
        <v>0.58333333333333337</v>
      </c>
      <c r="J253" s="2">
        <v>0.875</v>
      </c>
      <c r="K253" s="8" t="s">
        <v>151</v>
      </c>
      <c r="L253">
        <v>2</v>
      </c>
      <c r="M253" t="s">
        <v>4257</v>
      </c>
      <c r="N253" t="s">
        <v>150</v>
      </c>
      <c r="O253" t="s">
        <v>151</v>
      </c>
      <c r="P253" t="s">
        <v>21</v>
      </c>
      <c r="Q253">
        <v>7</v>
      </c>
    </row>
    <row r="254" spans="1:18" hidden="1" x14ac:dyDescent="0.25">
      <c r="A254" s="1">
        <v>46244</v>
      </c>
      <c r="B254">
        <v>1005424850</v>
      </c>
      <c r="C254" t="s">
        <v>95</v>
      </c>
      <c r="D254" t="s">
        <v>82</v>
      </c>
      <c r="E254" t="s">
        <v>4045</v>
      </c>
      <c r="F254" t="s">
        <v>16</v>
      </c>
      <c r="G254" s="1">
        <v>46238</v>
      </c>
      <c r="H254" s="1">
        <v>46262</v>
      </c>
      <c r="I254" s="2">
        <v>0.25</v>
      </c>
      <c r="J254" s="2">
        <v>0.54166666666666663</v>
      </c>
      <c r="K254" t="s">
        <v>200</v>
      </c>
      <c r="L254">
        <v>0</v>
      </c>
      <c r="M254" t="s">
        <v>4257</v>
      </c>
      <c r="N254" t="s">
        <v>199</v>
      </c>
      <c r="O254" t="s">
        <v>200</v>
      </c>
      <c r="P254" t="s">
        <v>4042</v>
      </c>
      <c r="Q254">
        <v>7</v>
      </c>
    </row>
    <row r="255" spans="1:18" hidden="1" x14ac:dyDescent="0.25">
      <c r="A255" s="1">
        <v>46244</v>
      </c>
      <c r="B255">
        <v>1018466443</v>
      </c>
      <c r="C255" t="s">
        <v>4141</v>
      </c>
      <c r="D255" t="s">
        <v>482</v>
      </c>
      <c r="E255" t="s">
        <v>4040</v>
      </c>
      <c r="F255" t="s">
        <v>4123</v>
      </c>
      <c r="G255" s="1">
        <v>46239</v>
      </c>
      <c r="H255" s="1">
        <v>46244</v>
      </c>
      <c r="I255" s="2">
        <v>0.25</v>
      </c>
      <c r="J255" s="2">
        <v>0.58333333333333337</v>
      </c>
      <c r="K255" s="8" t="s">
        <v>232</v>
      </c>
      <c r="L255">
        <v>0</v>
      </c>
      <c r="M255" t="s">
        <v>4257</v>
      </c>
      <c r="N255" t="s">
        <v>231</v>
      </c>
      <c r="O255" t="s">
        <v>232</v>
      </c>
      <c r="P255" t="s">
        <v>4042</v>
      </c>
      <c r="Q255">
        <v>8</v>
      </c>
      <c r="R255" t="s">
        <v>4261</v>
      </c>
    </row>
    <row r="256" spans="1:18" hidden="1" x14ac:dyDescent="0.25">
      <c r="A256" s="1">
        <v>46244</v>
      </c>
      <c r="B256">
        <v>42141273</v>
      </c>
      <c r="C256" t="s">
        <v>271</v>
      </c>
      <c r="D256" t="s">
        <v>272</v>
      </c>
      <c r="E256" t="s">
        <v>4056</v>
      </c>
      <c r="F256" t="s">
        <v>4065</v>
      </c>
      <c r="G256" s="1">
        <v>46232</v>
      </c>
      <c r="H256" s="1">
        <v>46261</v>
      </c>
      <c r="I256" s="2">
        <v>0.25</v>
      </c>
      <c r="J256" s="2">
        <v>0.5</v>
      </c>
      <c r="K256" s="8" t="s">
        <v>185</v>
      </c>
      <c r="L256">
        <v>0</v>
      </c>
      <c r="M256" t="s">
        <v>4255</v>
      </c>
      <c r="N256" t="s">
        <v>184</v>
      </c>
      <c r="O256" t="s">
        <v>185</v>
      </c>
      <c r="P256" t="s">
        <v>4042</v>
      </c>
      <c r="Q256">
        <v>6</v>
      </c>
      <c r="R256" s="8" t="s">
        <v>4262</v>
      </c>
    </row>
    <row r="257" spans="1:18" hidden="1" x14ac:dyDescent="0.25">
      <c r="A257" s="1">
        <v>46244</v>
      </c>
      <c r="B257">
        <v>1035876080</v>
      </c>
      <c r="C257" t="s">
        <v>123</v>
      </c>
      <c r="D257" t="s">
        <v>124</v>
      </c>
      <c r="E257" t="s">
        <v>4045</v>
      </c>
      <c r="F257" t="s">
        <v>16</v>
      </c>
      <c r="G257" s="1">
        <v>46239</v>
      </c>
      <c r="H257" s="1">
        <v>46245</v>
      </c>
      <c r="I257" s="2">
        <v>0.25</v>
      </c>
      <c r="J257" s="2">
        <v>0.58333333333333337</v>
      </c>
      <c r="K257" t="s">
        <v>310</v>
      </c>
      <c r="L257">
        <v>0</v>
      </c>
      <c r="M257" t="s">
        <v>4260</v>
      </c>
      <c r="N257" t="s">
        <v>309</v>
      </c>
      <c r="O257" t="s">
        <v>310</v>
      </c>
      <c r="P257" t="s">
        <v>4042</v>
      </c>
      <c r="Q257">
        <v>8</v>
      </c>
    </row>
    <row r="258" spans="1:18" hidden="1" x14ac:dyDescent="0.25">
      <c r="A258" s="1">
        <v>46244</v>
      </c>
      <c r="B258">
        <v>1067963513</v>
      </c>
      <c r="C258" t="s">
        <v>84</v>
      </c>
      <c r="D258" t="s">
        <v>68</v>
      </c>
      <c r="E258" t="s">
        <v>4040</v>
      </c>
      <c r="F258" s="4" t="s">
        <v>24</v>
      </c>
      <c r="G258" s="1">
        <v>46240</v>
      </c>
      <c r="H258" s="1">
        <v>46265</v>
      </c>
      <c r="I258" s="2">
        <v>0.58333333333333337</v>
      </c>
      <c r="J258" s="2">
        <v>0.875</v>
      </c>
      <c r="K258" s="8" t="s">
        <v>74</v>
      </c>
      <c r="L258">
        <v>2</v>
      </c>
      <c r="M258" t="s">
        <v>4257</v>
      </c>
      <c r="N258" t="s">
        <v>73</v>
      </c>
      <c r="O258" t="s">
        <v>74</v>
      </c>
      <c r="P258" t="s">
        <v>21</v>
      </c>
      <c r="Q258">
        <v>7</v>
      </c>
      <c r="R258" t="s">
        <v>4264</v>
      </c>
    </row>
    <row r="259" spans="1:18" hidden="1" x14ac:dyDescent="0.25">
      <c r="A259" s="1">
        <v>46244</v>
      </c>
      <c r="B259">
        <v>1042422897</v>
      </c>
      <c r="C259" t="s">
        <v>4100</v>
      </c>
      <c r="D259" t="s">
        <v>256</v>
      </c>
      <c r="E259" t="s">
        <v>4040</v>
      </c>
      <c r="F259" t="s">
        <v>4050</v>
      </c>
      <c r="G259" s="1">
        <v>46242</v>
      </c>
      <c r="H259" s="1">
        <v>46245</v>
      </c>
      <c r="I259" s="2">
        <v>0.54166666666666663</v>
      </c>
      <c r="J259" s="2">
        <v>0.875</v>
      </c>
      <c r="K259" s="8" t="s">
        <v>117</v>
      </c>
      <c r="L259">
        <v>2</v>
      </c>
      <c r="M259" t="s">
        <v>4260</v>
      </c>
      <c r="N259" t="s">
        <v>116</v>
      </c>
      <c r="O259" t="s">
        <v>117</v>
      </c>
      <c r="P259" t="s">
        <v>21</v>
      </c>
      <c r="Q259">
        <v>8</v>
      </c>
    </row>
    <row r="260" spans="1:18" hidden="1" x14ac:dyDescent="0.25">
      <c r="A260" s="1">
        <v>46244</v>
      </c>
      <c r="B260">
        <v>1152446353</v>
      </c>
      <c r="C260" t="s">
        <v>205</v>
      </c>
      <c r="D260" t="s">
        <v>51</v>
      </c>
      <c r="E260" t="s">
        <v>4047</v>
      </c>
      <c r="F260" t="s">
        <v>92</v>
      </c>
      <c r="G260" s="1"/>
      <c r="H260" s="1"/>
      <c r="I260" s="2"/>
      <c r="J260" s="2"/>
      <c r="K260" s="4" t="s">
        <v>346</v>
      </c>
      <c r="L260">
        <v>0</v>
      </c>
      <c r="P260" t="s">
        <v>4042</v>
      </c>
      <c r="Q260">
        <v>0</v>
      </c>
      <c r="R260" s="8"/>
    </row>
    <row r="261" spans="1:18" hidden="1" x14ac:dyDescent="0.25">
      <c r="A261" s="1">
        <v>46244</v>
      </c>
      <c r="B261">
        <v>1015483595</v>
      </c>
      <c r="C261" t="s">
        <v>221</v>
      </c>
      <c r="D261" t="s">
        <v>15</v>
      </c>
      <c r="E261" t="s">
        <v>4046</v>
      </c>
      <c r="F261" t="s">
        <v>24</v>
      </c>
      <c r="G261" s="1">
        <v>46244</v>
      </c>
      <c r="H261" s="1">
        <v>46265</v>
      </c>
      <c r="I261" s="2">
        <v>0.25</v>
      </c>
      <c r="J261" s="2">
        <v>0.54166666666666663</v>
      </c>
      <c r="K261" t="s">
        <v>223</v>
      </c>
      <c r="L261">
        <v>0</v>
      </c>
      <c r="M261" t="s">
        <v>4258</v>
      </c>
      <c r="N261" t="s">
        <v>222</v>
      </c>
      <c r="O261" t="s">
        <v>223</v>
      </c>
      <c r="P261" t="s">
        <v>4042</v>
      </c>
      <c r="Q261">
        <v>7</v>
      </c>
    </row>
    <row r="262" spans="1:18" hidden="1" x14ac:dyDescent="0.25">
      <c r="A262" s="1">
        <v>46244</v>
      </c>
      <c r="B262">
        <v>1071169507</v>
      </c>
      <c r="C262" t="s">
        <v>161</v>
      </c>
      <c r="D262" t="s">
        <v>162</v>
      </c>
      <c r="E262" t="s">
        <v>4056</v>
      </c>
      <c r="F262" t="s">
        <v>92</v>
      </c>
      <c r="G262" s="1">
        <v>46242</v>
      </c>
      <c r="H262" s="1">
        <v>46247</v>
      </c>
      <c r="I262" s="2">
        <v>0.25</v>
      </c>
      <c r="J262" s="2">
        <v>0.58333333333333337</v>
      </c>
      <c r="K262" t="s">
        <v>164</v>
      </c>
      <c r="L262">
        <v>0</v>
      </c>
      <c r="M262" t="s">
        <v>4255</v>
      </c>
      <c r="N262" t="s">
        <v>163</v>
      </c>
      <c r="O262" t="s">
        <v>164</v>
      </c>
      <c r="P262" t="s">
        <v>4042</v>
      </c>
      <c r="Q262">
        <v>8</v>
      </c>
    </row>
    <row r="263" spans="1:18" hidden="1" x14ac:dyDescent="0.25">
      <c r="A263" s="1">
        <v>46244</v>
      </c>
      <c r="B263">
        <v>1036670630</v>
      </c>
      <c r="C263" t="s">
        <v>1163</v>
      </c>
      <c r="D263" t="s">
        <v>51</v>
      </c>
      <c r="E263" t="s">
        <v>4047</v>
      </c>
      <c r="F263" t="s">
        <v>24</v>
      </c>
      <c r="G263" s="1">
        <v>46244</v>
      </c>
      <c r="H263" s="1">
        <v>46244</v>
      </c>
      <c r="I263" s="2">
        <v>0.25</v>
      </c>
      <c r="J263" s="2">
        <v>0.54166666666666663</v>
      </c>
      <c r="K263" t="s">
        <v>86</v>
      </c>
      <c r="L263">
        <v>0</v>
      </c>
      <c r="M263" t="s">
        <v>4259</v>
      </c>
      <c r="N263" t="s">
        <v>85</v>
      </c>
      <c r="O263" t="s">
        <v>86</v>
      </c>
      <c r="P263" t="s">
        <v>4042</v>
      </c>
      <c r="Q263">
        <v>7</v>
      </c>
    </row>
    <row r="264" spans="1:18" hidden="1" x14ac:dyDescent="0.25">
      <c r="A264" s="1">
        <v>46244</v>
      </c>
      <c r="B264">
        <v>1007842898</v>
      </c>
      <c r="C264" t="s">
        <v>4159</v>
      </c>
      <c r="D264" t="s">
        <v>421</v>
      </c>
      <c r="E264" t="s">
        <v>4047</v>
      </c>
      <c r="F264" s="4" t="s">
        <v>4050</v>
      </c>
      <c r="G264" s="1">
        <v>46242</v>
      </c>
      <c r="H264" s="1"/>
      <c r="I264" s="2">
        <v>0.54166666666666663</v>
      </c>
      <c r="J264" s="2">
        <v>0.875</v>
      </c>
      <c r="K264" s="8" t="s">
        <v>214</v>
      </c>
      <c r="L264">
        <v>2</v>
      </c>
      <c r="M264" t="s">
        <v>4257</v>
      </c>
      <c r="N264" t="s">
        <v>213</v>
      </c>
      <c r="O264" t="s">
        <v>214</v>
      </c>
      <c r="P264" t="s">
        <v>21</v>
      </c>
      <c r="Q264">
        <v>8</v>
      </c>
    </row>
    <row r="265" spans="1:18" hidden="1" x14ac:dyDescent="0.25">
      <c r="A265" s="1">
        <v>46244</v>
      </c>
      <c r="B265">
        <v>1001446162</v>
      </c>
      <c r="C265" t="s">
        <v>3663</v>
      </c>
      <c r="D265" t="s">
        <v>4078</v>
      </c>
      <c r="E265" t="s">
        <v>4056</v>
      </c>
      <c r="F265" t="s">
        <v>4160</v>
      </c>
      <c r="G265" s="1">
        <v>46244</v>
      </c>
      <c r="H265" s="1">
        <v>46244</v>
      </c>
      <c r="I265" s="2">
        <v>0.33333333333333331</v>
      </c>
      <c r="J265" s="2">
        <v>0.625</v>
      </c>
      <c r="K265" t="s">
        <v>3663</v>
      </c>
      <c r="L265">
        <v>0</v>
      </c>
      <c r="M265" t="s">
        <v>4255</v>
      </c>
      <c r="N265" t="s">
        <v>3662</v>
      </c>
      <c r="O265" t="s">
        <v>3663</v>
      </c>
      <c r="P265" t="s">
        <v>4042</v>
      </c>
      <c r="Q265">
        <v>7</v>
      </c>
    </row>
    <row r="266" spans="1:18" hidden="1" x14ac:dyDescent="0.25">
      <c r="A266" s="1">
        <v>46244</v>
      </c>
      <c r="B266">
        <v>1107046318</v>
      </c>
      <c r="C266" t="s">
        <v>268</v>
      </c>
      <c r="D266" t="s">
        <v>4078</v>
      </c>
      <c r="E266" t="s">
        <v>4056</v>
      </c>
      <c r="F266" t="s">
        <v>4079</v>
      </c>
      <c r="G266" s="1">
        <v>46244</v>
      </c>
      <c r="H266" s="1">
        <v>46244</v>
      </c>
      <c r="I266" s="2">
        <v>0.25</v>
      </c>
      <c r="J266" s="2">
        <v>0.54166666666666663</v>
      </c>
      <c r="K266" t="s">
        <v>268</v>
      </c>
      <c r="L266">
        <v>0</v>
      </c>
      <c r="M266" t="s">
        <v>4255</v>
      </c>
      <c r="N266" t="s">
        <v>267</v>
      </c>
      <c r="O266" t="s">
        <v>268</v>
      </c>
      <c r="P266" t="s">
        <v>4042</v>
      </c>
      <c r="Q266">
        <v>7</v>
      </c>
    </row>
    <row r="267" spans="1:18" hidden="1" x14ac:dyDescent="0.25">
      <c r="A267" s="1">
        <v>46244</v>
      </c>
      <c r="B267">
        <v>1037646627</v>
      </c>
      <c r="C267" t="s">
        <v>3293</v>
      </c>
      <c r="D267" t="s">
        <v>124</v>
      </c>
      <c r="E267" t="s">
        <v>4045</v>
      </c>
      <c r="F267" t="s">
        <v>16</v>
      </c>
      <c r="G267" s="1">
        <v>46244</v>
      </c>
      <c r="H267" s="1">
        <v>46245</v>
      </c>
      <c r="I267" s="2"/>
      <c r="J267" s="2"/>
      <c r="K267" t="s">
        <v>4083</v>
      </c>
      <c r="L267">
        <v>0</v>
      </c>
      <c r="P267" t="s">
        <v>4042</v>
      </c>
      <c r="Q267">
        <v>0</v>
      </c>
    </row>
    <row r="268" spans="1:18" hidden="1" x14ac:dyDescent="0.25">
      <c r="A268" s="1">
        <v>46244</v>
      </c>
      <c r="B268">
        <v>1003000892</v>
      </c>
      <c r="C268" t="s">
        <v>182</v>
      </c>
      <c r="D268" t="s">
        <v>51</v>
      </c>
      <c r="E268" t="s">
        <v>4047</v>
      </c>
      <c r="F268" t="s">
        <v>4104</v>
      </c>
      <c r="G268" s="1">
        <v>46244</v>
      </c>
      <c r="H268" s="1">
        <v>46244</v>
      </c>
      <c r="I268" s="2">
        <v>0.5</v>
      </c>
      <c r="J268" s="2">
        <v>0.79166666666666663</v>
      </c>
      <c r="K268" t="s">
        <v>4161</v>
      </c>
      <c r="L268">
        <v>0</v>
      </c>
      <c r="M268" t="s">
        <v>4260</v>
      </c>
      <c r="N268" t="s">
        <v>181</v>
      </c>
      <c r="O268" t="s">
        <v>182</v>
      </c>
      <c r="P268" t="s">
        <v>4042</v>
      </c>
      <c r="Q268">
        <v>7</v>
      </c>
    </row>
    <row r="269" spans="1:18" hidden="1" x14ac:dyDescent="0.25">
      <c r="A269" s="1">
        <v>46244</v>
      </c>
      <c r="B269">
        <v>1193568408</v>
      </c>
      <c r="C269" t="s">
        <v>448</v>
      </c>
      <c r="D269" t="s">
        <v>344</v>
      </c>
      <c r="E269" t="s">
        <v>4056</v>
      </c>
      <c r="F269" t="s">
        <v>16</v>
      </c>
      <c r="G269" s="1">
        <v>46244</v>
      </c>
      <c r="H269" s="1">
        <v>46245</v>
      </c>
      <c r="I269" s="2">
        <v>0.58333333333333337</v>
      </c>
      <c r="J269" s="2">
        <v>0.875</v>
      </c>
      <c r="K269" s="8" t="s">
        <v>4162</v>
      </c>
      <c r="L269">
        <v>2</v>
      </c>
      <c r="M269" t="s">
        <v>4255</v>
      </c>
      <c r="N269" t="s">
        <v>285</v>
      </c>
      <c r="O269" t="s">
        <v>286</v>
      </c>
      <c r="P269" t="s">
        <v>21</v>
      </c>
      <c r="Q269">
        <v>7</v>
      </c>
    </row>
    <row r="270" spans="1:18" hidden="1" x14ac:dyDescent="0.25">
      <c r="A270" s="1">
        <v>46245</v>
      </c>
      <c r="B270">
        <v>1017264032</v>
      </c>
      <c r="C270" t="s">
        <v>54</v>
      </c>
      <c r="D270" t="s">
        <v>55</v>
      </c>
      <c r="E270" t="s">
        <v>4047</v>
      </c>
      <c r="F270" t="s">
        <v>16</v>
      </c>
      <c r="G270" s="1">
        <v>46229</v>
      </c>
      <c r="H270" s="1">
        <v>46258</v>
      </c>
      <c r="I270" s="2">
        <v>0.25</v>
      </c>
      <c r="J270" s="2">
        <v>0.58333333333333337</v>
      </c>
      <c r="K270" s="8" t="s">
        <v>46</v>
      </c>
      <c r="L270">
        <v>0</v>
      </c>
      <c r="M270" t="s">
        <v>4260</v>
      </c>
      <c r="N270" t="s">
        <v>45</v>
      </c>
      <c r="O270" t="s">
        <v>46</v>
      </c>
      <c r="P270" t="s">
        <v>4042</v>
      </c>
      <c r="Q270">
        <v>8</v>
      </c>
    </row>
    <row r="271" spans="1:18" hidden="1" x14ac:dyDescent="0.25">
      <c r="A271" s="1">
        <v>46245</v>
      </c>
      <c r="B271">
        <v>1036132488</v>
      </c>
      <c r="C271" t="s">
        <v>89</v>
      </c>
      <c r="D271" t="s">
        <v>59</v>
      </c>
      <c r="E271" t="s">
        <v>4047</v>
      </c>
      <c r="F271" t="s">
        <v>16</v>
      </c>
      <c r="G271" s="1">
        <v>46227</v>
      </c>
      <c r="H271" s="1">
        <v>46246</v>
      </c>
      <c r="I271" s="2">
        <v>0.25</v>
      </c>
      <c r="J271" s="2">
        <v>0.58333333333333337</v>
      </c>
      <c r="K271" s="8" t="s">
        <v>310</v>
      </c>
      <c r="L271">
        <v>0</v>
      </c>
      <c r="M271" t="s">
        <v>4260</v>
      </c>
      <c r="N271" t="s">
        <v>309</v>
      </c>
      <c r="O271" t="s">
        <v>310</v>
      </c>
      <c r="P271" t="s">
        <v>4042</v>
      </c>
      <c r="Q271">
        <v>8</v>
      </c>
    </row>
    <row r="272" spans="1:18" hidden="1" x14ac:dyDescent="0.25">
      <c r="A272" s="1">
        <v>46245</v>
      </c>
      <c r="B272">
        <v>1043006106</v>
      </c>
      <c r="C272" t="s">
        <v>202</v>
      </c>
      <c r="D272" t="s">
        <v>64</v>
      </c>
      <c r="E272" t="s">
        <v>4046</v>
      </c>
      <c r="F272" t="s">
        <v>16</v>
      </c>
      <c r="G272" s="1">
        <v>46219</v>
      </c>
      <c r="H272" s="1">
        <v>46248</v>
      </c>
      <c r="I272" s="2">
        <v>0.25</v>
      </c>
      <c r="J272" s="2">
        <v>0.58333333333333337</v>
      </c>
      <c r="K272" t="s">
        <v>237</v>
      </c>
      <c r="L272">
        <v>0</v>
      </c>
      <c r="M272" t="s">
        <v>4255</v>
      </c>
      <c r="N272" t="s">
        <v>236</v>
      </c>
      <c r="O272" t="s">
        <v>237</v>
      </c>
      <c r="P272" t="s">
        <v>4042</v>
      </c>
      <c r="Q272">
        <v>8</v>
      </c>
      <c r="R272" s="10" t="s">
        <v>4256</v>
      </c>
    </row>
    <row r="273" spans="1:18" hidden="1" x14ac:dyDescent="0.25">
      <c r="A273" s="1">
        <v>46245</v>
      </c>
      <c r="B273">
        <v>1037638426</v>
      </c>
      <c r="C273" t="s">
        <v>31</v>
      </c>
      <c r="D273" t="s">
        <v>28</v>
      </c>
      <c r="E273" t="s">
        <v>4046</v>
      </c>
      <c r="F273" t="s">
        <v>24</v>
      </c>
      <c r="G273" s="1">
        <v>46230</v>
      </c>
      <c r="H273" s="1">
        <v>46262</v>
      </c>
      <c r="I273" s="2">
        <v>0.54166666666666663</v>
      </c>
      <c r="J273" s="2">
        <v>0.875</v>
      </c>
      <c r="K273" s="8" t="s">
        <v>18</v>
      </c>
      <c r="L273">
        <v>2</v>
      </c>
      <c r="M273" t="s">
        <v>4258</v>
      </c>
      <c r="N273" t="s">
        <v>17</v>
      </c>
      <c r="O273" t="s">
        <v>18</v>
      </c>
      <c r="P273" t="s">
        <v>21</v>
      </c>
      <c r="Q273">
        <v>8</v>
      </c>
      <c r="R273" s="8"/>
    </row>
    <row r="274" spans="1:18" hidden="1" x14ac:dyDescent="0.25">
      <c r="A274" s="1">
        <v>46245</v>
      </c>
      <c r="B274">
        <v>1143460426</v>
      </c>
      <c r="C274" t="s">
        <v>4069</v>
      </c>
      <c r="D274" t="s">
        <v>64</v>
      </c>
      <c r="E274" t="s">
        <v>4046</v>
      </c>
      <c r="F274" t="s">
        <v>4050</v>
      </c>
      <c r="G274" s="1">
        <v>46195</v>
      </c>
      <c r="H274" s="1">
        <v>46198</v>
      </c>
      <c r="I274" s="2">
        <v>0.25</v>
      </c>
      <c r="J274" s="2">
        <v>0.58333333333333337</v>
      </c>
      <c r="K274" s="4" t="s">
        <v>200</v>
      </c>
      <c r="L274">
        <v>0</v>
      </c>
      <c r="M274" t="s">
        <v>4257</v>
      </c>
      <c r="N274" t="s">
        <v>199</v>
      </c>
      <c r="O274" t="s">
        <v>200</v>
      </c>
      <c r="P274" t="s">
        <v>4042</v>
      </c>
      <c r="Q274">
        <v>8</v>
      </c>
      <c r="R274" s="8"/>
    </row>
    <row r="275" spans="1:18" hidden="1" x14ac:dyDescent="0.25">
      <c r="A275" s="1">
        <v>46245</v>
      </c>
      <c r="B275">
        <v>1152221372</v>
      </c>
      <c r="C275" t="s">
        <v>2363</v>
      </c>
      <c r="D275" t="s">
        <v>139</v>
      </c>
      <c r="E275" t="s">
        <v>4040</v>
      </c>
      <c r="F275" t="s">
        <v>158</v>
      </c>
      <c r="G275" s="1">
        <v>46230</v>
      </c>
      <c r="H275" s="1">
        <v>46230</v>
      </c>
      <c r="I275" s="2">
        <v>0.25</v>
      </c>
      <c r="J275" s="2">
        <v>0.54166666666666663</v>
      </c>
      <c r="K275" s="8" t="s">
        <v>86</v>
      </c>
      <c r="L275">
        <v>0</v>
      </c>
      <c r="M275" t="s">
        <v>4259</v>
      </c>
      <c r="N275" t="s">
        <v>85</v>
      </c>
      <c r="O275" t="s">
        <v>86</v>
      </c>
      <c r="P275" t="s">
        <v>4042</v>
      </c>
      <c r="Q275">
        <v>7</v>
      </c>
    </row>
    <row r="276" spans="1:18" hidden="1" x14ac:dyDescent="0.25">
      <c r="A276" s="1">
        <v>46245</v>
      </c>
      <c r="B276">
        <v>1005424850</v>
      </c>
      <c r="C276" t="s">
        <v>95</v>
      </c>
      <c r="D276" t="s">
        <v>82</v>
      </c>
      <c r="E276" t="s">
        <v>4045</v>
      </c>
      <c r="F276" t="s">
        <v>16</v>
      </c>
      <c r="G276" s="1">
        <v>46238</v>
      </c>
      <c r="H276" s="1">
        <v>46262</v>
      </c>
      <c r="I276" s="2">
        <v>0.25</v>
      </c>
      <c r="J276" s="2">
        <v>0.54166666666666663</v>
      </c>
      <c r="K276" t="s">
        <v>232</v>
      </c>
      <c r="L276">
        <v>0</v>
      </c>
      <c r="M276" t="s">
        <v>4257</v>
      </c>
      <c r="N276" t="s">
        <v>231</v>
      </c>
      <c r="O276" t="s">
        <v>232</v>
      </c>
      <c r="P276" t="s">
        <v>4042</v>
      </c>
      <c r="Q276">
        <v>7</v>
      </c>
    </row>
    <row r="277" spans="1:18" hidden="1" x14ac:dyDescent="0.25">
      <c r="A277" s="1">
        <v>46245</v>
      </c>
      <c r="B277">
        <v>1143374438</v>
      </c>
      <c r="C277" t="s">
        <v>154</v>
      </c>
      <c r="D277" t="s">
        <v>28</v>
      </c>
      <c r="E277" t="s">
        <v>4046</v>
      </c>
      <c r="F277" t="s">
        <v>16</v>
      </c>
      <c r="G277" s="1">
        <v>46239</v>
      </c>
      <c r="H277" s="1">
        <v>46268</v>
      </c>
      <c r="I277" s="2">
        <v>0.25</v>
      </c>
      <c r="J277" s="2">
        <v>0.54166666666666663</v>
      </c>
      <c r="K277" t="s">
        <v>214</v>
      </c>
      <c r="L277">
        <v>0</v>
      </c>
      <c r="M277" t="s">
        <v>4257</v>
      </c>
      <c r="N277" t="s">
        <v>213</v>
      </c>
      <c r="O277" t="s">
        <v>214</v>
      </c>
      <c r="P277" t="s">
        <v>4042</v>
      </c>
      <c r="Q277">
        <v>7</v>
      </c>
    </row>
    <row r="278" spans="1:18" hidden="1" x14ac:dyDescent="0.25">
      <c r="A278" s="1">
        <v>46245</v>
      </c>
      <c r="B278">
        <v>42141273</v>
      </c>
      <c r="C278" t="s">
        <v>271</v>
      </c>
      <c r="D278" t="s">
        <v>272</v>
      </c>
      <c r="E278" t="s">
        <v>4056</v>
      </c>
      <c r="F278" t="s">
        <v>4065</v>
      </c>
      <c r="G278" s="1">
        <v>46232</v>
      </c>
      <c r="H278" s="1">
        <v>46261</v>
      </c>
      <c r="I278" s="2">
        <v>0.25</v>
      </c>
      <c r="J278" s="2">
        <v>0.5</v>
      </c>
      <c r="K278" t="s">
        <v>286</v>
      </c>
      <c r="L278">
        <v>0</v>
      </c>
      <c r="M278" t="s">
        <v>4255</v>
      </c>
      <c r="N278" t="s">
        <v>285</v>
      </c>
      <c r="O278" t="s">
        <v>286</v>
      </c>
      <c r="P278" t="s">
        <v>4042</v>
      </c>
      <c r="Q278">
        <v>6</v>
      </c>
      <c r="R278" t="s">
        <v>4262</v>
      </c>
    </row>
    <row r="279" spans="1:18" hidden="1" x14ac:dyDescent="0.25">
      <c r="A279" s="1">
        <v>46245</v>
      </c>
      <c r="B279">
        <v>1035876080</v>
      </c>
      <c r="C279" t="s">
        <v>123</v>
      </c>
      <c r="D279" t="s">
        <v>124</v>
      </c>
      <c r="E279" t="s">
        <v>4045</v>
      </c>
      <c r="F279" t="s">
        <v>16</v>
      </c>
      <c r="G279" s="1">
        <v>46239</v>
      </c>
      <c r="H279" s="1">
        <v>46245</v>
      </c>
      <c r="I279" s="2">
        <v>0.25</v>
      </c>
      <c r="J279" s="2">
        <v>0.54166666666666663</v>
      </c>
      <c r="K279" t="s">
        <v>120</v>
      </c>
      <c r="L279">
        <v>0</v>
      </c>
      <c r="M279" t="s">
        <v>4260</v>
      </c>
      <c r="N279" t="s">
        <v>119</v>
      </c>
      <c r="O279" t="s">
        <v>120</v>
      </c>
      <c r="P279" t="s">
        <v>4042</v>
      </c>
      <c r="Q279">
        <v>7</v>
      </c>
    </row>
    <row r="280" spans="1:18" hidden="1" x14ac:dyDescent="0.25">
      <c r="A280" s="1">
        <v>46245</v>
      </c>
      <c r="B280">
        <v>1067963513</v>
      </c>
      <c r="C280" t="s">
        <v>67</v>
      </c>
      <c r="D280" t="s">
        <v>68</v>
      </c>
      <c r="E280" t="s">
        <v>4040</v>
      </c>
      <c r="F280" t="s">
        <v>24</v>
      </c>
      <c r="G280" s="1">
        <v>46240</v>
      </c>
      <c r="H280" s="1">
        <v>46265</v>
      </c>
      <c r="I280" s="2">
        <v>0.54166666666666663</v>
      </c>
      <c r="J280" s="2">
        <v>0.875</v>
      </c>
      <c r="K280" t="s">
        <v>117</v>
      </c>
      <c r="L280">
        <v>2</v>
      </c>
      <c r="M280" t="s">
        <v>4260</v>
      </c>
      <c r="N280" t="s">
        <v>116</v>
      </c>
      <c r="O280" t="s">
        <v>117</v>
      </c>
      <c r="P280" t="s">
        <v>21</v>
      </c>
      <c r="Q280">
        <v>8</v>
      </c>
      <c r="R280" t="s">
        <v>4264</v>
      </c>
    </row>
    <row r="281" spans="1:18" hidden="1" x14ac:dyDescent="0.25">
      <c r="A281" s="1">
        <v>46245</v>
      </c>
      <c r="B281">
        <v>1045718883</v>
      </c>
      <c r="C281" t="s">
        <v>34</v>
      </c>
      <c r="D281" t="s">
        <v>15</v>
      </c>
      <c r="E281" t="s">
        <v>4046</v>
      </c>
      <c r="F281" t="s">
        <v>16</v>
      </c>
      <c r="G281" s="1">
        <v>46240</v>
      </c>
      <c r="H281" s="1">
        <v>46249</v>
      </c>
      <c r="I281" s="2">
        <v>0.54166666666666663</v>
      </c>
      <c r="J281" s="2">
        <v>0.875</v>
      </c>
      <c r="K281" s="4" t="s">
        <v>301</v>
      </c>
      <c r="L281">
        <v>2</v>
      </c>
      <c r="M281" t="s">
        <v>4258</v>
      </c>
      <c r="N281" t="s">
        <v>300</v>
      </c>
      <c r="O281" t="s">
        <v>301</v>
      </c>
      <c r="P281" t="s">
        <v>21</v>
      </c>
      <c r="Q281">
        <v>8</v>
      </c>
      <c r="R281" s="8"/>
    </row>
    <row r="282" spans="1:18" hidden="1" x14ac:dyDescent="0.25">
      <c r="A282" s="1">
        <v>46245</v>
      </c>
      <c r="B282">
        <v>1071169507</v>
      </c>
      <c r="C282" t="s">
        <v>161</v>
      </c>
      <c r="D282" t="s">
        <v>162</v>
      </c>
      <c r="E282" t="s">
        <v>4056</v>
      </c>
      <c r="F282" t="s">
        <v>92</v>
      </c>
      <c r="G282" s="1">
        <v>46242</v>
      </c>
      <c r="H282" s="1">
        <v>46247</v>
      </c>
      <c r="I282" s="2">
        <v>0.25</v>
      </c>
      <c r="J282" s="2">
        <v>0.58333333333333337</v>
      </c>
      <c r="K282" s="8" t="s">
        <v>185</v>
      </c>
      <c r="L282">
        <v>0</v>
      </c>
      <c r="M282" t="s">
        <v>4255</v>
      </c>
      <c r="N282" t="s">
        <v>184</v>
      </c>
      <c r="O282" t="s">
        <v>185</v>
      </c>
      <c r="P282" t="s">
        <v>4042</v>
      </c>
      <c r="Q282">
        <v>8</v>
      </c>
    </row>
    <row r="283" spans="1:18" hidden="1" x14ac:dyDescent="0.25">
      <c r="A283" s="1">
        <v>46245</v>
      </c>
      <c r="B283">
        <v>1082896324</v>
      </c>
      <c r="C283" t="s">
        <v>127</v>
      </c>
      <c r="D283" t="s">
        <v>128</v>
      </c>
      <c r="E283" t="s">
        <v>4045</v>
      </c>
      <c r="F283" t="s">
        <v>16</v>
      </c>
      <c r="G283" s="1">
        <v>46242</v>
      </c>
      <c r="H283" s="1">
        <v>46272</v>
      </c>
      <c r="I283" s="2">
        <v>0.25</v>
      </c>
      <c r="J283" s="2">
        <v>0.54166666666666663</v>
      </c>
      <c r="K283" t="s">
        <v>151</v>
      </c>
      <c r="L283">
        <v>0</v>
      </c>
      <c r="M283" t="s">
        <v>4257</v>
      </c>
      <c r="N283" t="s">
        <v>150</v>
      </c>
      <c r="O283" t="s">
        <v>151</v>
      </c>
      <c r="P283" t="s">
        <v>4042</v>
      </c>
      <c r="Q283">
        <v>7</v>
      </c>
    </row>
    <row r="284" spans="1:18" hidden="1" x14ac:dyDescent="0.25">
      <c r="A284" s="1">
        <v>46245</v>
      </c>
      <c r="B284">
        <v>1037646627</v>
      </c>
      <c r="C284" t="s">
        <v>3293</v>
      </c>
      <c r="D284" t="s">
        <v>124</v>
      </c>
      <c r="E284" t="s">
        <v>4045</v>
      </c>
      <c r="F284" t="s">
        <v>16</v>
      </c>
      <c r="G284" s="1">
        <v>46244</v>
      </c>
      <c r="H284" s="1">
        <v>46245</v>
      </c>
      <c r="I284" s="2">
        <v>0.58333333333333337</v>
      </c>
      <c r="J284" s="2">
        <v>0.875</v>
      </c>
      <c r="K284" t="s">
        <v>304</v>
      </c>
      <c r="L284">
        <v>2</v>
      </c>
      <c r="M284" t="s">
        <v>4257</v>
      </c>
      <c r="N284" t="s">
        <v>303</v>
      </c>
      <c r="O284" t="s">
        <v>304</v>
      </c>
      <c r="P284" t="s">
        <v>21</v>
      </c>
      <c r="Q284">
        <v>7</v>
      </c>
    </row>
    <row r="285" spans="1:18" hidden="1" x14ac:dyDescent="0.25">
      <c r="A285" s="1">
        <v>46245</v>
      </c>
      <c r="B285">
        <v>1039468657</v>
      </c>
      <c r="C285" t="s">
        <v>2389</v>
      </c>
      <c r="D285" t="s">
        <v>2069</v>
      </c>
      <c r="E285" t="s">
        <v>4046</v>
      </c>
      <c r="F285" t="s">
        <v>16</v>
      </c>
      <c r="G285" s="1">
        <v>46244</v>
      </c>
      <c r="H285" s="1">
        <v>46245</v>
      </c>
      <c r="I285" s="2">
        <v>0.29166666666666669</v>
      </c>
      <c r="J285" s="2">
        <v>0.58333333333333337</v>
      </c>
      <c r="K285" s="4" t="s">
        <v>223</v>
      </c>
      <c r="L285">
        <v>0</v>
      </c>
      <c r="M285" t="s">
        <v>4258</v>
      </c>
      <c r="N285" t="s">
        <v>222</v>
      </c>
      <c r="O285" t="s">
        <v>223</v>
      </c>
      <c r="P285" t="s">
        <v>4042</v>
      </c>
      <c r="Q285">
        <v>7</v>
      </c>
      <c r="R285" s="8" t="s">
        <v>4266</v>
      </c>
    </row>
    <row r="286" spans="1:18" hidden="1" x14ac:dyDescent="0.25">
      <c r="A286" s="1">
        <v>46245</v>
      </c>
      <c r="B286">
        <v>1001851670</v>
      </c>
      <c r="C286" t="s">
        <v>50</v>
      </c>
      <c r="D286" t="s">
        <v>51</v>
      </c>
      <c r="E286" t="s">
        <v>4047</v>
      </c>
      <c r="F286" t="s">
        <v>36</v>
      </c>
      <c r="G286" s="1">
        <v>46241</v>
      </c>
      <c r="H286" s="1">
        <v>46366</v>
      </c>
      <c r="I286" s="2">
        <v>0.54166666666666663</v>
      </c>
      <c r="J286" s="2">
        <v>0.875</v>
      </c>
      <c r="K286" t="s">
        <v>74</v>
      </c>
      <c r="L286">
        <v>2</v>
      </c>
      <c r="M286" t="s">
        <v>4257</v>
      </c>
      <c r="N286" t="s">
        <v>73</v>
      </c>
      <c r="O286" t="s">
        <v>74</v>
      </c>
      <c r="P286" t="s">
        <v>21</v>
      </c>
      <c r="Q286">
        <v>8</v>
      </c>
    </row>
    <row r="287" spans="1:18" hidden="1" x14ac:dyDescent="0.25">
      <c r="A287" s="1">
        <v>46245</v>
      </c>
      <c r="B287">
        <v>1036965348</v>
      </c>
      <c r="C287" t="s">
        <v>229</v>
      </c>
      <c r="D287" t="s">
        <v>4078</v>
      </c>
      <c r="E287" t="s">
        <v>4046</v>
      </c>
      <c r="F287" t="s">
        <v>4079</v>
      </c>
      <c r="G287" s="1">
        <v>46245</v>
      </c>
      <c r="H287" s="1">
        <v>46245</v>
      </c>
      <c r="I287" s="2">
        <v>0.25</v>
      </c>
      <c r="J287" s="2">
        <v>0.58333333333333337</v>
      </c>
      <c r="K287" t="s">
        <v>339</v>
      </c>
      <c r="L287">
        <v>0</v>
      </c>
      <c r="M287" t="s">
        <v>4258</v>
      </c>
      <c r="N287" t="s">
        <v>228</v>
      </c>
      <c r="O287" t="s">
        <v>229</v>
      </c>
      <c r="P287" t="s">
        <v>4042</v>
      </c>
      <c r="Q287">
        <v>8</v>
      </c>
    </row>
    <row r="288" spans="1:18" hidden="1" x14ac:dyDescent="0.25">
      <c r="A288" s="1">
        <v>46245</v>
      </c>
      <c r="B288">
        <v>1193568408</v>
      </c>
      <c r="C288" t="s">
        <v>448</v>
      </c>
      <c r="D288" t="s">
        <v>344</v>
      </c>
      <c r="E288" t="s">
        <v>4056</v>
      </c>
      <c r="F288" t="s">
        <v>16</v>
      </c>
      <c r="G288" s="1">
        <v>46244</v>
      </c>
      <c r="H288" s="1">
        <v>46245</v>
      </c>
      <c r="I288" s="2">
        <v>0.25</v>
      </c>
      <c r="J288" s="2">
        <v>0.58333333333333337</v>
      </c>
      <c r="K288" t="s">
        <v>3663</v>
      </c>
      <c r="L288">
        <v>0</v>
      </c>
      <c r="M288" t="s">
        <v>4255</v>
      </c>
      <c r="N288" t="s">
        <v>3662</v>
      </c>
      <c r="O288" t="s">
        <v>3663</v>
      </c>
      <c r="P288" t="s">
        <v>4042</v>
      </c>
      <c r="Q288">
        <v>8</v>
      </c>
    </row>
    <row r="289" spans="1:18" hidden="1" x14ac:dyDescent="0.25">
      <c r="A289" s="1">
        <v>46245</v>
      </c>
      <c r="B289">
        <v>1003000892</v>
      </c>
      <c r="C289" t="s">
        <v>182</v>
      </c>
      <c r="D289" t="s">
        <v>256</v>
      </c>
      <c r="E289" t="s">
        <v>4040</v>
      </c>
      <c r="F289" t="s">
        <v>4104</v>
      </c>
      <c r="G289" s="1">
        <v>46245</v>
      </c>
      <c r="H289" s="1">
        <v>46245</v>
      </c>
      <c r="I289" s="2">
        <v>0.25</v>
      </c>
      <c r="J289" s="2">
        <v>0.58333333333333337</v>
      </c>
      <c r="K289" t="s">
        <v>339</v>
      </c>
      <c r="L289">
        <v>0</v>
      </c>
      <c r="M289" t="s">
        <v>4260</v>
      </c>
      <c r="N289" t="s">
        <v>181</v>
      </c>
      <c r="O289" t="s">
        <v>182</v>
      </c>
      <c r="P289" t="s">
        <v>4042</v>
      </c>
      <c r="Q289">
        <v>8</v>
      </c>
    </row>
    <row r="290" spans="1:18" hidden="1" x14ac:dyDescent="0.25">
      <c r="A290" s="1">
        <v>46245</v>
      </c>
      <c r="B290">
        <v>1001369228</v>
      </c>
      <c r="C290" t="s">
        <v>164</v>
      </c>
      <c r="D290" t="s">
        <v>4079</v>
      </c>
      <c r="E290" t="s">
        <v>4056</v>
      </c>
      <c r="F290" t="s">
        <v>4079</v>
      </c>
      <c r="G290" s="1">
        <v>46245</v>
      </c>
      <c r="H290" s="1">
        <v>46245</v>
      </c>
      <c r="I290" s="2">
        <v>0.25</v>
      </c>
      <c r="J290" s="2">
        <v>0.58333333333333337</v>
      </c>
      <c r="K290" t="s">
        <v>339</v>
      </c>
      <c r="L290">
        <v>0</v>
      </c>
      <c r="M290" t="s">
        <v>4255</v>
      </c>
      <c r="N290" t="s">
        <v>163</v>
      </c>
      <c r="O290" t="s">
        <v>164</v>
      </c>
      <c r="P290" t="s">
        <v>4042</v>
      </c>
      <c r="Q290">
        <v>8</v>
      </c>
    </row>
    <row r="291" spans="1:18" hidden="1" x14ac:dyDescent="0.25">
      <c r="A291" s="1">
        <v>46245</v>
      </c>
      <c r="B291">
        <v>1007223463</v>
      </c>
      <c r="C291" t="s">
        <v>561</v>
      </c>
      <c r="D291" t="s">
        <v>4078</v>
      </c>
      <c r="E291" t="s">
        <v>4056</v>
      </c>
      <c r="F291" t="s">
        <v>4079</v>
      </c>
      <c r="G291" s="1">
        <v>46245</v>
      </c>
      <c r="H291" s="1">
        <v>46245</v>
      </c>
      <c r="I291" s="2">
        <v>0.29166666666666669</v>
      </c>
      <c r="J291" s="2">
        <v>0.58333333333333337</v>
      </c>
      <c r="K291" t="s">
        <v>561</v>
      </c>
      <c r="L291">
        <v>0</v>
      </c>
      <c r="M291" t="s">
        <v>4255</v>
      </c>
      <c r="N291" t="s">
        <v>560</v>
      </c>
      <c r="O291" t="s">
        <v>561</v>
      </c>
      <c r="P291" t="s">
        <v>4042</v>
      </c>
      <c r="Q291">
        <v>7</v>
      </c>
    </row>
    <row r="292" spans="1:18" hidden="1" x14ac:dyDescent="0.25">
      <c r="A292" s="1">
        <v>46245</v>
      </c>
      <c r="B292">
        <v>1107046318</v>
      </c>
      <c r="C292" t="s">
        <v>268</v>
      </c>
      <c r="D292" t="s">
        <v>344</v>
      </c>
      <c r="E292" t="s">
        <v>4056</v>
      </c>
      <c r="F292" t="s">
        <v>4073</v>
      </c>
      <c r="G292" s="1">
        <v>46245</v>
      </c>
      <c r="H292" s="1">
        <v>46245</v>
      </c>
      <c r="I292" s="2">
        <v>0.25</v>
      </c>
      <c r="J292" s="2">
        <v>0.58333333333333337</v>
      </c>
      <c r="K292" t="s">
        <v>268</v>
      </c>
      <c r="L292">
        <v>0</v>
      </c>
      <c r="M292" t="s">
        <v>4255</v>
      </c>
      <c r="N292" t="s">
        <v>267</v>
      </c>
      <c r="O292" t="s">
        <v>268</v>
      </c>
      <c r="P292" t="s">
        <v>4042</v>
      </c>
      <c r="Q292">
        <v>8</v>
      </c>
    </row>
    <row r="293" spans="1:18" hidden="1" x14ac:dyDescent="0.25">
      <c r="A293" s="1">
        <v>46246</v>
      </c>
      <c r="B293">
        <v>1082896324</v>
      </c>
      <c r="C293" t="s">
        <v>127</v>
      </c>
      <c r="D293" t="s">
        <v>128</v>
      </c>
      <c r="E293" t="s">
        <v>4045</v>
      </c>
      <c r="F293" t="s">
        <v>16</v>
      </c>
      <c r="G293" s="1">
        <v>46242</v>
      </c>
      <c r="H293" s="1">
        <v>46272</v>
      </c>
      <c r="I293" s="2">
        <v>0.25</v>
      </c>
      <c r="J293" s="2">
        <v>0.58333333333333337</v>
      </c>
      <c r="K293" t="s">
        <v>232</v>
      </c>
      <c r="L293">
        <v>0</v>
      </c>
      <c r="M293" t="s">
        <v>4257</v>
      </c>
      <c r="N293" t="s">
        <v>231</v>
      </c>
      <c r="O293" t="s">
        <v>232</v>
      </c>
      <c r="P293" t="s">
        <v>4042</v>
      </c>
      <c r="Q293">
        <v>8</v>
      </c>
    </row>
    <row r="294" spans="1:18" hidden="1" x14ac:dyDescent="0.25">
      <c r="A294" s="1">
        <v>46246</v>
      </c>
      <c r="B294">
        <v>1015483595</v>
      </c>
      <c r="C294" t="s">
        <v>23</v>
      </c>
      <c r="D294" t="s">
        <v>15</v>
      </c>
      <c r="E294" t="s">
        <v>4046</v>
      </c>
      <c r="F294" t="s">
        <v>24</v>
      </c>
      <c r="G294" s="1">
        <v>46244</v>
      </c>
      <c r="H294" s="1">
        <v>46265</v>
      </c>
      <c r="I294" s="2">
        <v>0.25</v>
      </c>
      <c r="J294" s="2">
        <v>0.54166666666666663</v>
      </c>
      <c r="K294" t="s">
        <v>301</v>
      </c>
      <c r="L294">
        <v>0</v>
      </c>
      <c r="M294" t="s">
        <v>4258</v>
      </c>
      <c r="N294" t="s">
        <v>300</v>
      </c>
      <c r="O294" t="s">
        <v>301</v>
      </c>
      <c r="P294" t="s">
        <v>4042</v>
      </c>
      <c r="Q294">
        <v>7</v>
      </c>
    </row>
    <row r="295" spans="1:18" hidden="1" x14ac:dyDescent="0.25">
      <c r="A295" s="1">
        <v>46246</v>
      </c>
      <c r="B295">
        <v>1001851670</v>
      </c>
      <c r="C295" t="s">
        <v>50</v>
      </c>
      <c r="D295" t="s">
        <v>51</v>
      </c>
      <c r="E295" t="s">
        <v>4047</v>
      </c>
      <c r="F295" t="s">
        <v>36</v>
      </c>
      <c r="G295" s="1">
        <v>46241</v>
      </c>
      <c r="H295" s="1">
        <v>46366</v>
      </c>
      <c r="I295" s="2">
        <v>0.25</v>
      </c>
      <c r="J295" s="2">
        <v>0.54166666666666663</v>
      </c>
      <c r="K295" t="s">
        <v>310</v>
      </c>
      <c r="L295">
        <v>0</v>
      </c>
      <c r="M295" t="s">
        <v>4260</v>
      </c>
      <c r="N295" t="s">
        <v>309</v>
      </c>
      <c r="O295" t="s">
        <v>310</v>
      </c>
      <c r="P295" t="s">
        <v>4042</v>
      </c>
      <c r="Q295">
        <v>7</v>
      </c>
    </row>
    <row r="296" spans="1:18" hidden="1" x14ac:dyDescent="0.25">
      <c r="A296" s="1">
        <v>46246</v>
      </c>
      <c r="B296">
        <v>1067963513</v>
      </c>
      <c r="C296" t="s">
        <v>67</v>
      </c>
      <c r="D296" t="s">
        <v>68</v>
      </c>
      <c r="E296" t="s">
        <v>4040</v>
      </c>
      <c r="F296" t="s">
        <v>24</v>
      </c>
      <c r="G296" s="1">
        <v>46240</v>
      </c>
      <c r="H296" s="1">
        <v>46265</v>
      </c>
      <c r="I296" s="2">
        <v>0.58333333333333337</v>
      </c>
      <c r="J296" s="2">
        <v>0.875</v>
      </c>
      <c r="K296" s="8" t="s">
        <v>46</v>
      </c>
      <c r="L296">
        <v>2</v>
      </c>
      <c r="M296" t="s">
        <v>4260</v>
      </c>
      <c r="N296" t="s">
        <v>45</v>
      </c>
      <c r="O296" t="s">
        <v>46</v>
      </c>
      <c r="P296" t="s">
        <v>21</v>
      </c>
      <c r="Q296">
        <v>7</v>
      </c>
      <c r="R296" s="8" t="s">
        <v>4264</v>
      </c>
    </row>
    <row r="297" spans="1:18" hidden="1" x14ac:dyDescent="0.25">
      <c r="A297" s="1">
        <v>46246</v>
      </c>
      <c r="B297">
        <v>42141273</v>
      </c>
      <c r="C297" t="s">
        <v>271</v>
      </c>
      <c r="D297" t="s">
        <v>272</v>
      </c>
      <c r="E297" t="s">
        <v>4056</v>
      </c>
      <c r="F297" t="s">
        <v>4065</v>
      </c>
      <c r="G297" s="1">
        <v>46232</v>
      </c>
      <c r="H297" s="1">
        <v>46261</v>
      </c>
      <c r="I297" s="2">
        <v>0.25</v>
      </c>
      <c r="J297" s="2">
        <v>0.5</v>
      </c>
      <c r="K297" s="8" t="s">
        <v>286</v>
      </c>
      <c r="L297">
        <v>0</v>
      </c>
      <c r="M297" t="s">
        <v>4255</v>
      </c>
      <c r="N297" t="s">
        <v>285</v>
      </c>
      <c r="O297" t="s">
        <v>286</v>
      </c>
      <c r="P297" t="s">
        <v>4042</v>
      </c>
      <c r="Q297">
        <v>6</v>
      </c>
      <c r="R297" s="8" t="s">
        <v>4262</v>
      </c>
    </row>
    <row r="298" spans="1:18" hidden="1" x14ac:dyDescent="0.25">
      <c r="A298" s="1">
        <v>46246</v>
      </c>
      <c r="B298">
        <v>1001137222</v>
      </c>
      <c r="C298" t="s">
        <v>2908</v>
      </c>
      <c r="D298" t="s">
        <v>102</v>
      </c>
      <c r="E298" t="s">
        <v>4046</v>
      </c>
      <c r="F298" t="s">
        <v>4140</v>
      </c>
      <c r="G298" s="1">
        <v>46246</v>
      </c>
      <c r="H298" s="1">
        <v>46246</v>
      </c>
      <c r="I298" s="2">
        <v>0.54166666666666663</v>
      </c>
      <c r="J298" s="2">
        <v>0.875</v>
      </c>
      <c r="K298" s="8" t="s">
        <v>18</v>
      </c>
      <c r="L298">
        <v>2</v>
      </c>
      <c r="M298" t="s">
        <v>4258</v>
      </c>
      <c r="N298" t="s">
        <v>17</v>
      </c>
      <c r="O298" t="s">
        <v>18</v>
      </c>
      <c r="P298" t="s">
        <v>21</v>
      </c>
      <c r="Q298">
        <v>8</v>
      </c>
    </row>
    <row r="299" spans="1:18" hidden="1" x14ac:dyDescent="0.25">
      <c r="A299" s="1">
        <v>46246</v>
      </c>
      <c r="B299">
        <v>1152221372</v>
      </c>
      <c r="C299" t="s">
        <v>2363</v>
      </c>
      <c r="D299" t="s">
        <v>139</v>
      </c>
      <c r="E299" t="s">
        <v>4040</v>
      </c>
      <c r="F299" t="s">
        <v>158</v>
      </c>
      <c r="G299" s="1">
        <v>46230</v>
      </c>
      <c r="H299" s="1">
        <v>46230</v>
      </c>
      <c r="I299" s="2">
        <v>0.25</v>
      </c>
      <c r="J299" s="2">
        <v>0.54166666666666663</v>
      </c>
      <c r="K299" s="9" t="s">
        <v>120</v>
      </c>
      <c r="L299">
        <v>0</v>
      </c>
      <c r="M299" t="s">
        <v>4260</v>
      </c>
      <c r="N299" t="s">
        <v>119</v>
      </c>
      <c r="O299" s="10" t="s">
        <v>120</v>
      </c>
      <c r="P299" t="s">
        <v>4042</v>
      </c>
      <c r="Q299">
        <v>7</v>
      </c>
    </row>
    <row r="300" spans="1:18" hidden="1" x14ac:dyDescent="0.25">
      <c r="A300" s="1">
        <v>46246</v>
      </c>
      <c r="B300">
        <v>1094275204</v>
      </c>
      <c r="C300" t="s">
        <v>1879</v>
      </c>
      <c r="D300" t="s">
        <v>272</v>
      </c>
      <c r="E300" t="s">
        <v>4056</v>
      </c>
      <c r="F300" t="s">
        <v>4140</v>
      </c>
      <c r="G300" s="1">
        <v>46246</v>
      </c>
      <c r="H300" s="1">
        <v>46246</v>
      </c>
      <c r="I300" s="2">
        <v>0.58333333333333337</v>
      </c>
      <c r="J300" s="2">
        <v>0.875</v>
      </c>
      <c r="K300" s="4" t="s">
        <v>3663</v>
      </c>
      <c r="L300">
        <v>2</v>
      </c>
      <c r="M300" t="s">
        <v>4255</v>
      </c>
      <c r="N300" t="s">
        <v>3662</v>
      </c>
      <c r="O300" t="s">
        <v>3663</v>
      </c>
      <c r="P300" t="s">
        <v>21</v>
      </c>
      <c r="Q300">
        <v>7</v>
      </c>
      <c r="R300" s="8" t="s">
        <v>4262</v>
      </c>
    </row>
    <row r="301" spans="1:18" hidden="1" x14ac:dyDescent="0.25">
      <c r="A301" s="1">
        <v>46246</v>
      </c>
      <c r="B301">
        <v>1004960056</v>
      </c>
      <c r="C301" t="s">
        <v>644</v>
      </c>
      <c r="D301" t="s">
        <v>634</v>
      </c>
      <c r="E301" t="s">
        <v>4045</v>
      </c>
      <c r="F301" t="s">
        <v>4091</v>
      </c>
      <c r="G301" s="1">
        <v>46246</v>
      </c>
      <c r="H301" s="1">
        <v>46247</v>
      </c>
      <c r="I301" s="2">
        <v>0.25</v>
      </c>
      <c r="J301" s="2">
        <v>0.54166666666666663</v>
      </c>
      <c r="K301" s="4" t="s">
        <v>214</v>
      </c>
      <c r="L301">
        <v>0</v>
      </c>
      <c r="M301" t="s">
        <v>4257</v>
      </c>
      <c r="N301" t="s">
        <v>213</v>
      </c>
      <c r="O301" t="s">
        <v>214</v>
      </c>
      <c r="P301" t="s">
        <v>4042</v>
      </c>
      <c r="Q301">
        <v>7</v>
      </c>
    </row>
    <row r="302" spans="1:18" hidden="1" x14ac:dyDescent="0.25">
      <c r="A302" s="1">
        <v>46246</v>
      </c>
      <c r="B302">
        <v>1071169507</v>
      </c>
      <c r="C302" t="s">
        <v>161</v>
      </c>
      <c r="D302" t="s">
        <v>162</v>
      </c>
      <c r="E302" t="s">
        <v>4056</v>
      </c>
      <c r="F302" t="s">
        <v>92</v>
      </c>
      <c r="G302" s="1">
        <v>46242</v>
      </c>
      <c r="H302" s="1">
        <v>46247</v>
      </c>
      <c r="I302" s="2">
        <v>0.25</v>
      </c>
      <c r="J302" s="2">
        <v>0.58333333333333337</v>
      </c>
      <c r="K302" t="s">
        <v>164</v>
      </c>
      <c r="L302">
        <v>0</v>
      </c>
      <c r="M302" t="s">
        <v>4255</v>
      </c>
      <c r="N302" t="s">
        <v>163</v>
      </c>
      <c r="O302" t="s">
        <v>164</v>
      </c>
      <c r="P302" t="s">
        <v>4042</v>
      </c>
      <c r="Q302">
        <v>8</v>
      </c>
    </row>
    <row r="303" spans="1:18" hidden="1" x14ac:dyDescent="0.25">
      <c r="A303" s="1">
        <v>46246</v>
      </c>
      <c r="B303">
        <v>1036132488</v>
      </c>
      <c r="C303" t="s">
        <v>89</v>
      </c>
      <c r="D303" t="s">
        <v>59</v>
      </c>
      <c r="E303" t="s">
        <v>4047</v>
      </c>
      <c r="F303" t="s">
        <v>16</v>
      </c>
      <c r="G303" s="1">
        <v>46227</v>
      </c>
      <c r="H303" s="1">
        <v>46246</v>
      </c>
      <c r="I303" s="2">
        <v>0.25</v>
      </c>
      <c r="J303" s="2">
        <v>0.58333333333333337</v>
      </c>
      <c r="K303" t="s">
        <v>86</v>
      </c>
      <c r="L303">
        <v>0</v>
      </c>
      <c r="M303" t="s">
        <v>4259</v>
      </c>
      <c r="N303" t="s">
        <v>85</v>
      </c>
      <c r="O303" t="s">
        <v>86</v>
      </c>
      <c r="P303" t="s">
        <v>4042</v>
      </c>
      <c r="Q303">
        <v>8</v>
      </c>
    </row>
    <row r="304" spans="1:18" hidden="1" x14ac:dyDescent="0.25">
      <c r="A304" s="1">
        <v>46246</v>
      </c>
      <c r="B304">
        <v>1037638426</v>
      </c>
      <c r="C304" t="s">
        <v>31</v>
      </c>
      <c r="D304" t="s">
        <v>28</v>
      </c>
      <c r="E304" t="s">
        <v>4046</v>
      </c>
      <c r="F304" t="s">
        <v>24</v>
      </c>
      <c r="G304" s="1">
        <v>46230</v>
      </c>
      <c r="H304" s="1">
        <v>46262</v>
      </c>
      <c r="I304" s="2">
        <v>0.54166666666666663</v>
      </c>
      <c r="J304" s="2">
        <v>0.875</v>
      </c>
      <c r="K304" s="8" t="s">
        <v>223</v>
      </c>
      <c r="L304">
        <v>2</v>
      </c>
      <c r="M304" t="s">
        <v>4258</v>
      </c>
      <c r="N304" t="s">
        <v>222</v>
      </c>
      <c r="O304" t="s">
        <v>223</v>
      </c>
      <c r="P304" t="s">
        <v>21</v>
      </c>
      <c r="Q304">
        <v>8</v>
      </c>
    </row>
    <row r="305" spans="1:18" hidden="1" x14ac:dyDescent="0.25">
      <c r="A305" s="1">
        <v>46246</v>
      </c>
      <c r="B305">
        <v>1121506548</v>
      </c>
      <c r="C305" t="s">
        <v>38</v>
      </c>
      <c r="D305" t="s">
        <v>39</v>
      </c>
      <c r="E305" t="s">
        <v>4046</v>
      </c>
      <c r="F305" t="s">
        <v>36</v>
      </c>
      <c r="G305" s="1">
        <v>46217</v>
      </c>
      <c r="H305" s="1">
        <v>46342</v>
      </c>
      <c r="I305" s="2">
        <v>0.25</v>
      </c>
      <c r="J305" s="2">
        <v>0.58333333333333337</v>
      </c>
      <c r="K305" s="4" t="s">
        <v>304</v>
      </c>
      <c r="L305">
        <v>0</v>
      </c>
      <c r="M305" t="s">
        <v>4257</v>
      </c>
      <c r="N305" t="s">
        <v>303</v>
      </c>
      <c r="O305" t="s">
        <v>304</v>
      </c>
      <c r="P305" t="s">
        <v>4042</v>
      </c>
      <c r="Q305">
        <v>8</v>
      </c>
    </row>
    <row r="306" spans="1:18" hidden="1" x14ac:dyDescent="0.25">
      <c r="A306" s="1">
        <v>46246</v>
      </c>
      <c r="B306">
        <v>1143460426</v>
      </c>
      <c r="C306" t="s">
        <v>4069</v>
      </c>
      <c r="D306" t="s">
        <v>64</v>
      </c>
      <c r="E306" t="s">
        <v>4046</v>
      </c>
      <c r="F306" t="s">
        <v>4050</v>
      </c>
      <c r="G306" s="1">
        <v>46195</v>
      </c>
      <c r="H306" s="1">
        <v>46198</v>
      </c>
      <c r="I306" s="2">
        <v>0.25</v>
      </c>
      <c r="J306" s="2">
        <v>0.54166666666666663</v>
      </c>
      <c r="K306" s="8" t="s">
        <v>237</v>
      </c>
      <c r="L306">
        <v>0</v>
      </c>
      <c r="M306" t="s">
        <v>4255</v>
      </c>
      <c r="N306" t="s">
        <v>236</v>
      </c>
      <c r="O306" t="s">
        <v>237</v>
      </c>
      <c r="P306" t="s">
        <v>4042</v>
      </c>
      <c r="Q306">
        <v>7</v>
      </c>
      <c r="R306" s="8" t="s">
        <v>4256</v>
      </c>
    </row>
    <row r="307" spans="1:18" hidden="1" x14ac:dyDescent="0.25">
      <c r="A307" s="1">
        <v>46246</v>
      </c>
      <c r="B307">
        <v>1000416307</v>
      </c>
      <c r="C307" t="s">
        <v>3062</v>
      </c>
      <c r="D307" t="s">
        <v>132</v>
      </c>
      <c r="E307" t="s">
        <v>4040</v>
      </c>
      <c r="F307" t="s">
        <v>16</v>
      </c>
      <c r="G307" s="1">
        <v>46245</v>
      </c>
      <c r="H307" s="1">
        <v>46246</v>
      </c>
      <c r="I307" s="2">
        <v>0.25</v>
      </c>
      <c r="J307" s="2">
        <v>0.54166666666666663</v>
      </c>
      <c r="K307" s="4" t="s">
        <v>117</v>
      </c>
      <c r="L307">
        <v>0</v>
      </c>
      <c r="M307" t="s">
        <v>4260</v>
      </c>
      <c r="N307" t="s">
        <v>116</v>
      </c>
      <c r="O307" t="s">
        <v>117</v>
      </c>
      <c r="P307" t="s">
        <v>4042</v>
      </c>
      <c r="Q307">
        <v>7</v>
      </c>
    </row>
    <row r="308" spans="1:18" hidden="1" x14ac:dyDescent="0.25">
      <c r="A308" s="1">
        <v>46246</v>
      </c>
      <c r="B308">
        <v>1047503032</v>
      </c>
      <c r="C308" t="s">
        <v>3019</v>
      </c>
      <c r="D308" t="s">
        <v>162</v>
      </c>
      <c r="E308" t="s">
        <v>4056</v>
      </c>
      <c r="F308" t="s">
        <v>16</v>
      </c>
      <c r="G308" s="1">
        <v>46245</v>
      </c>
      <c r="H308" s="1">
        <v>46246</v>
      </c>
      <c r="I308" s="2">
        <v>0.25</v>
      </c>
      <c r="J308" s="2">
        <v>0.58333333333333337</v>
      </c>
      <c r="K308" s="4" t="s">
        <v>268</v>
      </c>
      <c r="L308">
        <v>0</v>
      </c>
      <c r="M308" t="s">
        <v>4255</v>
      </c>
      <c r="N308" t="s">
        <v>267</v>
      </c>
      <c r="O308" t="s">
        <v>268</v>
      </c>
      <c r="P308" t="s">
        <v>4042</v>
      </c>
      <c r="Q308">
        <v>8</v>
      </c>
    </row>
    <row r="309" spans="1:18" hidden="1" x14ac:dyDescent="0.25">
      <c r="A309" s="1">
        <v>46246</v>
      </c>
      <c r="B309">
        <v>1036965348</v>
      </c>
      <c r="C309" t="s">
        <v>229</v>
      </c>
      <c r="D309" t="s">
        <v>4079</v>
      </c>
      <c r="E309" t="s">
        <v>4046</v>
      </c>
      <c r="F309" t="s">
        <v>4079</v>
      </c>
      <c r="G309" s="1">
        <v>46246</v>
      </c>
      <c r="H309" s="1">
        <v>46246</v>
      </c>
      <c r="I309" s="2">
        <v>0.25</v>
      </c>
      <c r="J309" s="2">
        <v>0.58333333333333337</v>
      </c>
      <c r="K309" s="4" t="s">
        <v>339</v>
      </c>
      <c r="L309">
        <v>0</v>
      </c>
      <c r="M309" t="s">
        <v>4258</v>
      </c>
      <c r="N309" t="s">
        <v>228</v>
      </c>
      <c r="O309" t="s">
        <v>229</v>
      </c>
      <c r="P309" t="s">
        <v>4042</v>
      </c>
      <c r="Q309">
        <v>8</v>
      </c>
    </row>
    <row r="310" spans="1:18" hidden="1" x14ac:dyDescent="0.25">
      <c r="A310" s="1">
        <v>46246</v>
      </c>
      <c r="B310">
        <v>1143373273</v>
      </c>
      <c r="C310" t="s">
        <v>2037</v>
      </c>
      <c r="D310" t="s">
        <v>272</v>
      </c>
      <c r="E310" t="s">
        <v>4056</v>
      </c>
      <c r="F310" t="s">
        <v>16</v>
      </c>
      <c r="G310" s="1">
        <v>46245</v>
      </c>
      <c r="H310" s="1">
        <v>46247</v>
      </c>
      <c r="I310" s="2">
        <v>0.54166666666666663</v>
      </c>
      <c r="J310" s="2">
        <v>0.875</v>
      </c>
      <c r="K310" s="4" t="s">
        <v>185</v>
      </c>
      <c r="L310">
        <v>2</v>
      </c>
      <c r="M310" t="s">
        <v>4255</v>
      </c>
      <c r="N310" t="s">
        <v>184</v>
      </c>
      <c r="O310" t="s">
        <v>185</v>
      </c>
      <c r="P310" t="s">
        <v>21</v>
      </c>
      <c r="Q310">
        <v>8</v>
      </c>
      <c r="R310" s="8" t="s">
        <v>4262</v>
      </c>
    </row>
    <row r="311" spans="1:18" hidden="1" x14ac:dyDescent="0.25">
      <c r="A311" s="1">
        <v>46246</v>
      </c>
      <c r="B311">
        <v>1085265026</v>
      </c>
      <c r="C311" t="s">
        <v>91</v>
      </c>
      <c r="D311" t="s">
        <v>55</v>
      </c>
      <c r="E311" t="s">
        <v>4047</v>
      </c>
      <c r="F311" t="s">
        <v>4165</v>
      </c>
      <c r="G311" s="1">
        <v>46245</v>
      </c>
      <c r="H311" s="1">
        <v>46249</v>
      </c>
      <c r="I311" s="2">
        <v>0.58333333333333337</v>
      </c>
      <c r="J311" s="2">
        <v>0.875</v>
      </c>
      <c r="K311" s="8" t="s">
        <v>200</v>
      </c>
      <c r="L311">
        <v>2</v>
      </c>
      <c r="M311" t="s">
        <v>4257</v>
      </c>
      <c r="N311" t="s">
        <v>199</v>
      </c>
      <c r="O311" t="s">
        <v>200</v>
      </c>
      <c r="P311" t="s">
        <v>21</v>
      </c>
      <c r="Q311">
        <v>7</v>
      </c>
    </row>
    <row r="312" spans="1:18" hidden="1" x14ac:dyDescent="0.25">
      <c r="A312" s="1">
        <v>46246</v>
      </c>
      <c r="B312">
        <v>1045718883</v>
      </c>
      <c r="C312" t="s">
        <v>34</v>
      </c>
      <c r="D312" t="s">
        <v>15</v>
      </c>
      <c r="E312" t="s">
        <v>4046</v>
      </c>
      <c r="F312" t="s">
        <v>36</v>
      </c>
      <c r="G312" s="1">
        <v>46245</v>
      </c>
      <c r="H312" s="1">
        <v>46340</v>
      </c>
      <c r="I312" s="2">
        <v>0.25</v>
      </c>
      <c r="J312" s="2">
        <v>0.54166666666666663</v>
      </c>
      <c r="K312" t="s">
        <v>151</v>
      </c>
      <c r="L312">
        <v>0</v>
      </c>
      <c r="M312" t="s">
        <v>4257</v>
      </c>
      <c r="N312" t="s">
        <v>150</v>
      </c>
      <c r="O312" t="s">
        <v>151</v>
      </c>
      <c r="P312" t="s">
        <v>4042</v>
      </c>
      <c r="Q312">
        <v>7</v>
      </c>
    </row>
    <row r="313" spans="1:18" hidden="1" x14ac:dyDescent="0.25">
      <c r="A313" s="1">
        <v>46246</v>
      </c>
      <c r="B313">
        <v>1094971283</v>
      </c>
      <c r="C313" t="s">
        <v>3374</v>
      </c>
      <c r="D313" t="s">
        <v>256</v>
      </c>
      <c r="E313" t="s">
        <v>4040</v>
      </c>
      <c r="F313" t="s">
        <v>4179</v>
      </c>
      <c r="G313" s="1">
        <v>46245</v>
      </c>
      <c r="H313" s="1">
        <v>46247</v>
      </c>
      <c r="I313" s="2">
        <v>0.25</v>
      </c>
      <c r="J313" s="2">
        <v>0.58333333333333337</v>
      </c>
      <c r="K313" t="s">
        <v>182</v>
      </c>
      <c r="L313">
        <v>0</v>
      </c>
      <c r="M313" t="s">
        <v>4260</v>
      </c>
      <c r="N313" t="s">
        <v>181</v>
      </c>
      <c r="O313" t="s">
        <v>182</v>
      </c>
      <c r="P313" t="s">
        <v>4042</v>
      </c>
      <c r="Q313">
        <v>8</v>
      </c>
    </row>
    <row r="314" spans="1:18" hidden="1" x14ac:dyDescent="0.25">
      <c r="A314" s="1">
        <v>46246</v>
      </c>
      <c r="B314">
        <v>1007223463</v>
      </c>
      <c r="C314" t="s">
        <v>561</v>
      </c>
      <c r="D314" t="s">
        <v>4079</v>
      </c>
      <c r="E314" t="s">
        <v>4056</v>
      </c>
      <c r="F314" t="s">
        <v>4079</v>
      </c>
      <c r="G314" s="1">
        <v>46246</v>
      </c>
      <c r="H314" s="1">
        <v>46246</v>
      </c>
      <c r="I314" s="2">
        <v>0.25</v>
      </c>
      <c r="J314" s="2">
        <v>0.58333333333333337</v>
      </c>
      <c r="K314" t="s">
        <v>339</v>
      </c>
      <c r="L314">
        <v>0</v>
      </c>
      <c r="M314" t="s">
        <v>4255</v>
      </c>
      <c r="N314" t="s">
        <v>560</v>
      </c>
      <c r="O314" t="s">
        <v>561</v>
      </c>
      <c r="P314" t="s">
        <v>4042</v>
      </c>
      <c r="Q314">
        <v>8</v>
      </c>
    </row>
    <row r="315" spans="1:18" hidden="1" x14ac:dyDescent="0.25">
      <c r="A315" s="1">
        <v>46246</v>
      </c>
      <c r="B315">
        <v>1000532653</v>
      </c>
      <c r="C315" t="s">
        <v>1187</v>
      </c>
      <c r="D315" t="s">
        <v>132</v>
      </c>
      <c r="E315" t="s">
        <v>4040</v>
      </c>
      <c r="F315" t="s">
        <v>16</v>
      </c>
      <c r="G315" s="1">
        <v>46246</v>
      </c>
      <c r="H315" s="1">
        <v>46246</v>
      </c>
      <c r="I315" s="2">
        <v>0.58333333333333337</v>
      </c>
      <c r="J315" s="2">
        <v>0.875</v>
      </c>
      <c r="K315" s="8" t="s">
        <v>74</v>
      </c>
      <c r="L315">
        <v>2</v>
      </c>
      <c r="M315" t="s">
        <v>4257</v>
      </c>
      <c r="N315" t="s">
        <v>73</v>
      </c>
      <c r="O315" t="s">
        <v>74</v>
      </c>
      <c r="P315" t="s">
        <v>21</v>
      </c>
      <c r="Q315">
        <v>7</v>
      </c>
    </row>
    <row r="316" spans="1:18" hidden="1" x14ac:dyDescent="0.25">
      <c r="A316" s="1">
        <v>46246</v>
      </c>
      <c r="B316">
        <v>1001140238</v>
      </c>
      <c r="C316" t="s">
        <v>74</v>
      </c>
      <c r="D316" t="s">
        <v>132</v>
      </c>
      <c r="E316" t="s">
        <v>4040</v>
      </c>
      <c r="F316" t="s">
        <v>4099</v>
      </c>
      <c r="G316" s="1">
        <v>46246</v>
      </c>
      <c r="H316" s="1">
        <v>46246</v>
      </c>
      <c r="I316" s="2">
        <v>0.58333333333333337</v>
      </c>
      <c r="J316" s="2">
        <v>0.625</v>
      </c>
      <c r="K316" t="s">
        <v>339</v>
      </c>
      <c r="L316">
        <v>0</v>
      </c>
      <c r="M316" t="s">
        <v>4257</v>
      </c>
      <c r="N316" t="s">
        <v>73</v>
      </c>
      <c r="O316" t="s">
        <v>74</v>
      </c>
      <c r="P316" t="s">
        <v>4042</v>
      </c>
      <c r="Q316">
        <v>1</v>
      </c>
    </row>
    <row r="317" spans="1:18" hidden="1" x14ac:dyDescent="0.25">
      <c r="A317" s="1">
        <v>46247</v>
      </c>
      <c r="B317">
        <v>1035876080</v>
      </c>
      <c r="C317" t="s">
        <v>123</v>
      </c>
      <c r="D317" t="s">
        <v>124</v>
      </c>
      <c r="E317" t="s">
        <v>4045</v>
      </c>
      <c r="F317" t="s">
        <v>16</v>
      </c>
      <c r="G317" s="1">
        <v>46246</v>
      </c>
      <c r="H317" s="1">
        <v>46254</v>
      </c>
      <c r="I317" s="2">
        <v>0.25</v>
      </c>
      <c r="J317" s="2">
        <v>0.58333333333333337</v>
      </c>
      <c r="K317" t="s">
        <v>151</v>
      </c>
      <c r="L317">
        <v>0</v>
      </c>
      <c r="M317" t="s">
        <v>4257</v>
      </c>
      <c r="N317" t="s">
        <v>150</v>
      </c>
      <c r="O317" t="s">
        <v>151</v>
      </c>
      <c r="P317" t="s">
        <v>4042</v>
      </c>
      <c r="Q317">
        <v>8</v>
      </c>
    </row>
    <row r="318" spans="1:18" hidden="1" x14ac:dyDescent="0.25">
      <c r="A318" s="1">
        <v>46247</v>
      </c>
      <c r="B318">
        <v>1007111078</v>
      </c>
      <c r="C318" t="s">
        <v>3672</v>
      </c>
      <c r="D318" t="s">
        <v>4175</v>
      </c>
      <c r="E318" t="s">
        <v>4056</v>
      </c>
      <c r="F318" t="s">
        <v>4087</v>
      </c>
      <c r="G318" s="1">
        <v>46247</v>
      </c>
      <c r="H318" s="1">
        <v>46247</v>
      </c>
      <c r="I318" s="2">
        <v>0.29166666666666669</v>
      </c>
      <c r="J318" s="2">
        <v>0.66666666666666663</v>
      </c>
      <c r="K318" s="8" t="s">
        <v>286</v>
      </c>
      <c r="L318">
        <v>0</v>
      </c>
      <c r="M318" t="s">
        <v>4255</v>
      </c>
      <c r="N318" t="s">
        <v>285</v>
      </c>
      <c r="O318" t="s">
        <v>286</v>
      </c>
      <c r="P318" t="s">
        <v>4042</v>
      </c>
      <c r="Q318">
        <v>9</v>
      </c>
      <c r="R318" s="8" t="s">
        <v>4263</v>
      </c>
    </row>
    <row r="319" spans="1:18" hidden="1" x14ac:dyDescent="0.25">
      <c r="A319" s="1">
        <v>46247</v>
      </c>
      <c r="B319">
        <v>1077462479</v>
      </c>
      <c r="C319" t="s">
        <v>4027</v>
      </c>
      <c r="D319" t="s">
        <v>59</v>
      </c>
      <c r="E319" t="s">
        <v>4047</v>
      </c>
      <c r="F319" t="s">
        <v>4087</v>
      </c>
      <c r="G319" s="1">
        <v>46245</v>
      </c>
      <c r="H319" s="1">
        <v>46247</v>
      </c>
      <c r="I319" s="2">
        <v>0.5</v>
      </c>
      <c r="J319" s="2">
        <v>0.83333333333333337</v>
      </c>
      <c r="K319" s="8" t="s">
        <v>46</v>
      </c>
      <c r="L319">
        <v>1</v>
      </c>
      <c r="M319" t="s">
        <v>4260</v>
      </c>
      <c r="N319" t="s">
        <v>45</v>
      </c>
      <c r="O319" t="s">
        <v>46</v>
      </c>
      <c r="P319" t="s">
        <v>21</v>
      </c>
      <c r="Q319">
        <v>8</v>
      </c>
    </row>
    <row r="320" spans="1:18" hidden="1" x14ac:dyDescent="0.25">
      <c r="A320" s="1">
        <v>46247</v>
      </c>
      <c r="B320">
        <v>1015483595</v>
      </c>
      <c r="C320" t="s">
        <v>23</v>
      </c>
      <c r="D320" t="s">
        <v>15</v>
      </c>
      <c r="E320" t="s">
        <v>4046</v>
      </c>
      <c r="F320" t="s">
        <v>24</v>
      </c>
      <c r="G320" s="1">
        <v>46244</v>
      </c>
      <c r="H320" s="1">
        <v>46265</v>
      </c>
      <c r="I320" s="2">
        <v>0.54166666666666663</v>
      </c>
      <c r="J320" s="2">
        <v>0.875</v>
      </c>
      <c r="K320" s="8" t="s">
        <v>223</v>
      </c>
      <c r="L320">
        <v>2</v>
      </c>
      <c r="M320" t="s">
        <v>4258</v>
      </c>
      <c r="N320" t="s">
        <v>222</v>
      </c>
      <c r="O320" t="s">
        <v>223</v>
      </c>
      <c r="P320" t="s">
        <v>21</v>
      </c>
      <c r="Q320">
        <v>8</v>
      </c>
    </row>
    <row r="321" spans="1:18" hidden="1" x14ac:dyDescent="0.25">
      <c r="A321" s="1">
        <v>46247</v>
      </c>
      <c r="B321">
        <v>1001851670</v>
      </c>
      <c r="C321" t="s">
        <v>50</v>
      </c>
      <c r="D321" t="s">
        <v>51</v>
      </c>
      <c r="E321" t="s">
        <v>4047</v>
      </c>
      <c r="F321" t="s">
        <v>36</v>
      </c>
      <c r="G321" s="1">
        <v>46241</v>
      </c>
      <c r="H321" s="1">
        <v>46366</v>
      </c>
      <c r="I321" s="2">
        <v>0.54166666666666663</v>
      </c>
      <c r="J321" s="2">
        <v>0.875</v>
      </c>
      <c r="K321" s="8" t="s">
        <v>310</v>
      </c>
      <c r="L321">
        <v>2</v>
      </c>
      <c r="M321" t="s">
        <v>4260</v>
      </c>
      <c r="N321" t="s">
        <v>309</v>
      </c>
      <c r="O321" t="s">
        <v>310</v>
      </c>
      <c r="P321" t="s">
        <v>21</v>
      </c>
      <c r="Q321">
        <v>8</v>
      </c>
    </row>
    <row r="322" spans="1:18" hidden="1" x14ac:dyDescent="0.25">
      <c r="A322" s="1">
        <v>46247</v>
      </c>
      <c r="B322">
        <v>1067963513</v>
      </c>
      <c r="C322" t="s">
        <v>67</v>
      </c>
      <c r="D322" t="s">
        <v>68</v>
      </c>
      <c r="E322" t="s">
        <v>4040</v>
      </c>
      <c r="F322" t="s">
        <v>24</v>
      </c>
      <c r="G322" s="1">
        <v>46240</v>
      </c>
      <c r="H322" s="1">
        <v>46265</v>
      </c>
      <c r="I322" s="2">
        <v>0.25</v>
      </c>
      <c r="J322" s="2">
        <v>0.54166666666666663</v>
      </c>
      <c r="K322" t="s">
        <v>346</v>
      </c>
      <c r="L322">
        <v>0</v>
      </c>
      <c r="P322" t="s">
        <v>4042</v>
      </c>
      <c r="Q322">
        <v>7</v>
      </c>
    </row>
    <row r="323" spans="1:18" hidden="1" x14ac:dyDescent="0.25">
      <c r="A323" s="1">
        <v>46247</v>
      </c>
      <c r="B323">
        <v>42141273</v>
      </c>
      <c r="C323" t="s">
        <v>271</v>
      </c>
      <c r="D323" t="s">
        <v>272</v>
      </c>
      <c r="E323" t="s">
        <v>4056</v>
      </c>
      <c r="F323" t="s">
        <v>4065</v>
      </c>
      <c r="G323" s="1">
        <v>46232</v>
      </c>
      <c r="H323" s="1">
        <v>46261</v>
      </c>
      <c r="I323" s="2">
        <v>0.25</v>
      </c>
      <c r="J323" s="2">
        <v>0.5</v>
      </c>
      <c r="K323" s="4" t="s">
        <v>185</v>
      </c>
      <c r="L323">
        <v>0</v>
      </c>
      <c r="M323" t="s">
        <v>4255</v>
      </c>
      <c r="N323" t="s">
        <v>184</v>
      </c>
      <c r="O323" t="s">
        <v>185</v>
      </c>
      <c r="P323" t="s">
        <v>4042</v>
      </c>
      <c r="Q323">
        <v>6</v>
      </c>
      <c r="R323" s="8" t="s">
        <v>4262</v>
      </c>
    </row>
    <row r="324" spans="1:18" hidden="1" x14ac:dyDescent="0.25">
      <c r="A324" s="1">
        <v>46247</v>
      </c>
      <c r="B324">
        <v>1010246557</v>
      </c>
      <c r="C324" t="s">
        <v>3461</v>
      </c>
      <c r="D324" t="s">
        <v>256</v>
      </c>
      <c r="E324" t="s">
        <v>4040</v>
      </c>
      <c r="F324" t="s">
        <v>4140</v>
      </c>
      <c r="G324" s="1">
        <v>46247</v>
      </c>
      <c r="H324" s="1">
        <v>46247</v>
      </c>
      <c r="I324" s="2">
        <v>0.25</v>
      </c>
      <c r="J324" s="2">
        <v>0.54166666666666663</v>
      </c>
      <c r="K324" t="s">
        <v>117</v>
      </c>
      <c r="L324">
        <v>0</v>
      </c>
      <c r="M324" t="s">
        <v>4260</v>
      </c>
      <c r="N324" t="s">
        <v>116</v>
      </c>
      <c r="O324" t="s">
        <v>117</v>
      </c>
      <c r="P324" t="s">
        <v>4042</v>
      </c>
      <c r="Q324">
        <v>7</v>
      </c>
    </row>
    <row r="325" spans="1:18" hidden="1" x14ac:dyDescent="0.25">
      <c r="A325" s="1">
        <v>46247</v>
      </c>
      <c r="B325">
        <v>1004960056</v>
      </c>
      <c r="C325" t="s">
        <v>644</v>
      </c>
      <c r="D325" t="s">
        <v>634</v>
      </c>
      <c r="E325" t="s">
        <v>4045</v>
      </c>
      <c r="F325" t="s">
        <v>4091</v>
      </c>
      <c r="G325" s="1">
        <v>46246</v>
      </c>
      <c r="H325" s="1">
        <v>46247</v>
      </c>
      <c r="I325" s="2">
        <v>0.25</v>
      </c>
      <c r="J325" s="2">
        <v>0.54166666666666663</v>
      </c>
      <c r="K325" t="s">
        <v>200</v>
      </c>
      <c r="L325">
        <v>0</v>
      </c>
      <c r="M325" t="s">
        <v>4257</v>
      </c>
      <c r="N325" t="s">
        <v>199</v>
      </c>
      <c r="O325" t="s">
        <v>200</v>
      </c>
      <c r="P325" t="s">
        <v>4042</v>
      </c>
      <c r="Q325">
        <v>7</v>
      </c>
    </row>
    <row r="326" spans="1:18" hidden="1" x14ac:dyDescent="0.25">
      <c r="A326" s="1">
        <v>46247</v>
      </c>
      <c r="B326">
        <v>1071169507</v>
      </c>
      <c r="C326" t="s">
        <v>161</v>
      </c>
      <c r="D326" t="s">
        <v>162</v>
      </c>
      <c r="E326" t="s">
        <v>4056</v>
      </c>
      <c r="F326" t="s">
        <v>92</v>
      </c>
      <c r="G326" s="1">
        <v>46242</v>
      </c>
      <c r="H326" s="1">
        <v>46247</v>
      </c>
      <c r="I326" s="2">
        <v>0.58333333333333337</v>
      </c>
      <c r="J326" s="2">
        <v>0.875</v>
      </c>
      <c r="K326" s="8" t="s">
        <v>268</v>
      </c>
      <c r="L326">
        <v>2</v>
      </c>
      <c r="M326" t="s">
        <v>4255</v>
      </c>
      <c r="N326" t="s">
        <v>267</v>
      </c>
      <c r="O326" t="s">
        <v>268</v>
      </c>
      <c r="P326" t="s">
        <v>21</v>
      </c>
      <c r="Q326">
        <v>7</v>
      </c>
    </row>
    <row r="327" spans="1:18" hidden="1" x14ac:dyDescent="0.25">
      <c r="A327" s="1">
        <v>46247</v>
      </c>
      <c r="B327">
        <v>1143414481</v>
      </c>
      <c r="C327" t="s">
        <v>2447</v>
      </c>
      <c r="D327" t="s">
        <v>28</v>
      </c>
      <c r="E327" t="s">
        <v>4046</v>
      </c>
      <c r="F327" t="s">
        <v>4123</v>
      </c>
      <c r="G327" s="1">
        <v>46247</v>
      </c>
      <c r="H327" s="1">
        <v>46252</v>
      </c>
      <c r="I327" s="2">
        <v>0.54166666666666663</v>
      </c>
      <c r="J327" s="2">
        <v>0.875</v>
      </c>
      <c r="K327" s="8" t="s">
        <v>74</v>
      </c>
      <c r="L327">
        <v>2</v>
      </c>
      <c r="M327" t="s">
        <v>4257</v>
      </c>
      <c r="N327" t="s">
        <v>73</v>
      </c>
      <c r="O327" t="s">
        <v>74</v>
      </c>
      <c r="P327" t="s">
        <v>21</v>
      </c>
      <c r="Q327">
        <v>8</v>
      </c>
    </row>
    <row r="328" spans="1:18" hidden="1" x14ac:dyDescent="0.25">
      <c r="A328" s="1">
        <v>46247</v>
      </c>
      <c r="B328">
        <v>1043006106</v>
      </c>
      <c r="C328" t="s">
        <v>202</v>
      </c>
      <c r="D328" t="s">
        <v>64</v>
      </c>
      <c r="E328" t="s">
        <v>4046</v>
      </c>
      <c r="F328" t="s">
        <v>16</v>
      </c>
      <c r="G328" s="1">
        <v>46219</v>
      </c>
      <c r="H328" s="1">
        <v>46248</v>
      </c>
      <c r="I328" s="2">
        <v>0.58333333333333337</v>
      </c>
      <c r="J328" s="2">
        <v>0.875</v>
      </c>
      <c r="K328" s="8" t="s">
        <v>232</v>
      </c>
      <c r="L328">
        <v>2</v>
      </c>
      <c r="M328" t="s">
        <v>4257</v>
      </c>
      <c r="N328" t="s">
        <v>231</v>
      </c>
      <c r="O328" t="s">
        <v>232</v>
      </c>
      <c r="P328" t="s">
        <v>21</v>
      </c>
      <c r="Q328">
        <v>7</v>
      </c>
    </row>
    <row r="329" spans="1:18" hidden="1" x14ac:dyDescent="0.25">
      <c r="A329" s="1">
        <v>46247</v>
      </c>
      <c r="B329">
        <v>1037638426</v>
      </c>
      <c r="C329" t="s">
        <v>31</v>
      </c>
      <c r="D329" t="s">
        <v>28</v>
      </c>
      <c r="E329" t="s">
        <v>4046</v>
      </c>
      <c r="F329" t="s">
        <v>24</v>
      </c>
      <c r="G329" s="1">
        <v>46230</v>
      </c>
      <c r="H329" s="1">
        <v>46262</v>
      </c>
      <c r="I329" s="2">
        <v>0.25</v>
      </c>
      <c r="J329" s="2">
        <v>0.54166666666666663</v>
      </c>
      <c r="K329" t="s">
        <v>301</v>
      </c>
      <c r="L329">
        <v>0</v>
      </c>
      <c r="M329" t="s">
        <v>4258</v>
      </c>
      <c r="N329" t="s">
        <v>300</v>
      </c>
      <c r="O329" t="s">
        <v>301</v>
      </c>
      <c r="P329" t="s">
        <v>4042</v>
      </c>
      <c r="Q329">
        <v>7</v>
      </c>
    </row>
    <row r="330" spans="1:18" hidden="1" x14ac:dyDescent="0.25">
      <c r="A330" s="1">
        <v>46247</v>
      </c>
      <c r="B330">
        <v>1037630071</v>
      </c>
      <c r="C330" t="s">
        <v>3579</v>
      </c>
      <c r="D330" t="s">
        <v>176</v>
      </c>
      <c r="E330" t="s">
        <v>4040</v>
      </c>
      <c r="F330" t="s">
        <v>4062</v>
      </c>
      <c r="G330" s="1">
        <v>46247</v>
      </c>
      <c r="H330" s="1">
        <v>46265</v>
      </c>
      <c r="I330" s="2">
        <v>0.25</v>
      </c>
      <c r="J330" s="2">
        <v>0.58333333333333337</v>
      </c>
      <c r="K330" t="s">
        <v>86</v>
      </c>
      <c r="L330">
        <v>0</v>
      </c>
      <c r="M330" t="s">
        <v>4259</v>
      </c>
      <c r="N330" t="s">
        <v>85</v>
      </c>
      <c r="O330" t="s">
        <v>86</v>
      </c>
      <c r="P330" t="s">
        <v>4042</v>
      </c>
      <c r="Q330">
        <v>8</v>
      </c>
    </row>
    <row r="331" spans="1:18" hidden="1" x14ac:dyDescent="0.25">
      <c r="A331" s="1">
        <v>46247</v>
      </c>
      <c r="B331">
        <v>1143460426</v>
      </c>
      <c r="C331" t="s">
        <v>4069</v>
      </c>
      <c r="D331" t="s">
        <v>64</v>
      </c>
      <c r="E331" t="s">
        <v>4046</v>
      </c>
      <c r="F331" t="s">
        <v>4050</v>
      </c>
      <c r="G331" s="1">
        <v>46195</v>
      </c>
      <c r="H331" s="1">
        <v>46198</v>
      </c>
      <c r="I331" s="2">
        <v>0.58333333333333337</v>
      </c>
      <c r="J331" s="2">
        <v>0.875</v>
      </c>
      <c r="K331" s="9" t="s">
        <v>237</v>
      </c>
      <c r="L331">
        <v>2</v>
      </c>
      <c r="M331" t="s">
        <v>4255</v>
      </c>
      <c r="N331" t="s">
        <v>236</v>
      </c>
      <c r="O331" t="s">
        <v>237</v>
      </c>
      <c r="P331" t="s">
        <v>21</v>
      </c>
      <c r="Q331">
        <v>7</v>
      </c>
      <c r="R331" s="8" t="s">
        <v>4256</v>
      </c>
    </row>
    <row r="332" spans="1:18" hidden="1" x14ac:dyDescent="0.25">
      <c r="A332" s="1">
        <v>46247</v>
      </c>
      <c r="B332">
        <v>1082896324</v>
      </c>
      <c r="C332" t="s">
        <v>127</v>
      </c>
      <c r="D332" t="s">
        <v>128</v>
      </c>
      <c r="E332" t="s">
        <v>4045</v>
      </c>
      <c r="F332" t="s">
        <v>16</v>
      </c>
      <c r="G332" s="1">
        <v>46242</v>
      </c>
      <c r="H332" s="1">
        <v>46272</v>
      </c>
      <c r="I332" s="2">
        <v>0.58333333333333337</v>
      </c>
      <c r="J332" s="2">
        <v>0.875</v>
      </c>
      <c r="K332" s="8" t="s">
        <v>214</v>
      </c>
      <c r="L332">
        <v>2</v>
      </c>
      <c r="M332" t="s">
        <v>4257</v>
      </c>
      <c r="N332" t="s">
        <v>213</v>
      </c>
      <c r="O332" t="s">
        <v>214</v>
      </c>
      <c r="P332" t="s">
        <v>21</v>
      </c>
      <c r="Q332">
        <v>7</v>
      </c>
    </row>
    <row r="333" spans="1:18" hidden="1" x14ac:dyDescent="0.25">
      <c r="A333" s="1">
        <v>46247</v>
      </c>
      <c r="B333">
        <v>1045718883</v>
      </c>
      <c r="C333" t="s">
        <v>34</v>
      </c>
      <c r="D333" t="s">
        <v>15</v>
      </c>
      <c r="E333" t="s">
        <v>4046</v>
      </c>
      <c r="F333" t="s">
        <v>36</v>
      </c>
      <c r="G333" s="1">
        <v>46245</v>
      </c>
      <c r="H333" s="1">
        <v>46340</v>
      </c>
      <c r="I333" s="2">
        <v>0.25</v>
      </c>
      <c r="J333" s="2">
        <v>0.54166666666666663</v>
      </c>
      <c r="K333" t="s">
        <v>18</v>
      </c>
      <c r="L333">
        <v>0</v>
      </c>
      <c r="M333" t="s">
        <v>4258</v>
      </c>
      <c r="N333" t="s">
        <v>17</v>
      </c>
      <c r="O333" t="s">
        <v>18</v>
      </c>
      <c r="P333" t="s">
        <v>4042</v>
      </c>
      <c r="Q333">
        <v>7</v>
      </c>
    </row>
    <row r="334" spans="1:18" hidden="1" x14ac:dyDescent="0.25">
      <c r="A334" s="1">
        <v>46247</v>
      </c>
      <c r="B334">
        <v>1005424850</v>
      </c>
      <c r="C334" t="s">
        <v>95</v>
      </c>
      <c r="D334" t="s">
        <v>82</v>
      </c>
      <c r="E334" t="s">
        <v>4045</v>
      </c>
      <c r="F334" t="s">
        <v>4062</v>
      </c>
      <c r="G334" s="1">
        <v>46247</v>
      </c>
      <c r="H334" s="1">
        <v>46262</v>
      </c>
      <c r="I334" s="2">
        <v>0.5</v>
      </c>
      <c r="J334" s="2">
        <v>0.83333333333333337</v>
      </c>
      <c r="K334" s="8" t="s">
        <v>304</v>
      </c>
      <c r="L334">
        <v>1</v>
      </c>
      <c r="M334" t="s">
        <v>4257</v>
      </c>
      <c r="N334" t="s">
        <v>303</v>
      </c>
      <c r="O334" t="s">
        <v>304</v>
      </c>
      <c r="P334" t="s">
        <v>21</v>
      </c>
      <c r="Q334">
        <v>8</v>
      </c>
    </row>
    <row r="335" spans="1:18" hidden="1" x14ac:dyDescent="0.25">
      <c r="A335" s="1">
        <v>46247</v>
      </c>
      <c r="B335">
        <v>1143373273</v>
      </c>
      <c r="C335" t="s">
        <v>2037</v>
      </c>
      <c r="D335" t="s">
        <v>272</v>
      </c>
      <c r="E335" t="s">
        <v>4056</v>
      </c>
      <c r="F335" t="s">
        <v>16</v>
      </c>
      <c r="G335" s="1">
        <v>46245</v>
      </c>
      <c r="H335" s="1">
        <v>46247</v>
      </c>
      <c r="I335" s="2">
        <v>0.25</v>
      </c>
      <c r="J335" s="2">
        <v>0.58333333333333337</v>
      </c>
      <c r="K335" s="9" t="s">
        <v>3663</v>
      </c>
      <c r="L335">
        <v>0</v>
      </c>
      <c r="M335" t="s">
        <v>4255</v>
      </c>
      <c r="N335" t="s">
        <v>3662</v>
      </c>
      <c r="O335" t="s">
        <v>3663</v>
      </c>
      <c r="P335" t="s">
        <v>4042</v>
      </c>
      <c r="Q335">
        <v>8</v>
      </c>
      <c r="R335" s="8" t="s">
        <v>4262</v>
      </c>
    </row>
    <row r="336" spans="1:18" hidden="1" x14ac:dyDescent="0.25">
      <c r="A336" s="1">
        <v>46247</v>
      </c>
      <c r="B336">
        <v>1036965348</v>
      </c>
      <c r="C336" t="s">
        <v>229</v>
      </c>
      <c r="D336" t="s">
        <v>4079</v>
      </c>
      <c r="E336" t="s">
        <v>4046</v>
      </c>
      <c r="F336" t="s">
        <v>4079</v>
      </c>
      <c r="G336" s="1">
        <v>46247</v>
      </c>
      <c r="H336" s="1">
        <v>46247</v>
      </c>
      <c r="I336" s="2">
        <v>0.25</v>
      </c>
      <c r="J336" s="2">
        <v>0.58333333333333337</v>
      </c>
      <c r="K336" t="s">
        <v>339</v>
      </c>
      <c r="L336">
        <v>0</v>
      </c>
      <c r="M336" t="s">
        <v>4258</v>
      </c>
      <c r="N336" t="s">
        <v>228</v>
      </c>
      <c r="O336" t="s">
        <v>229</v>
      </c>
      <c r="P336" t="s">
        <v>4042</v>
      </c>
      <c r="Q336">
        <v>8</v>
      </c>
    </row>
    <row r="337" spans="1:18" hidden="1" x14ac:dyDescent="0.25">
      <c r="A337" s="1">
        <v>46247</v>
      </c>
      <c r="B337">
        <v>1152462501</v>
      </c>
      <c r="C337" t="s">
        <v>3056</v>
      </c>
      <c r="D337" t="s">
        <v>28</v>
      </c>
      <c r="E337" t="s">
        <v>4046</v>
      </c>
      <c r="F337" t="s">
        <v>16</v>
      </c>
      <c r="G337" s="1">
        <v>46247</v>
      </c>
      <c r="H337" s="1">
        <v>46248</v>
      </c>
      <c r="I337" s="2">
        <v>0.58333333333333337</v>
      </c>
      <c r="J337" s="2">
        <v>0.875</v>
      </c>
      <c r="K337" s="8" t="s">
        <v>120</v>
      </c>
      <c r="L337">
        <v>2</v>
      </c>
      <c r="M337" t="s">
        <v>4257</v>
      </c>
      <c r="N337" t="s">
        <v>119</v>
      </c>
      <c r="O337" t="s">
        <v>120</v>
      </c>
      <c r="P337" t="s">
        <v>21</v>
      </c>
      <c r="Q337">
        <v>7</v>
      </c>
    </row>
    <row r="338" spans="1:18" hidden="1" x14ac:dyDescent="0.25">
      <c r="A338" s="1">
        <v>46247</v>
      </c>
      <c r="B338">
        <v>1053860403</v>
      </c>
      <c r="C338" t="s">
        <v>2322</v>
      </c>
      <c r="D338" t="s">
        <v>272</v>
      </c>
      <c r="E338" t="s">
        <v>4056</v>
      </c>
      <c r="F338" s="4" t="s">
        <v>16</v>
      </c>
      <c r="G338" s="1">
        <v>46247</v>
      </c>
      <c r="H338" s="1">
        <v>46249</v>
      </c>
      <c r="I338" s="2">
        <v>0.54166666666666663</v>
      </c>
      <c r="J338" s="2">
        <v>0.875</v>
      </c>
      <c r="K338" s="8" t="s">
        <v>561</v>
      </c>
      <c r="L338">
        <v>2</v>
      </c>
      <c r="M338" t="s">
        <v>4255</v>
      </c>
      <c r="N338" t="s">
        <v>560</v>
      </c>
      <c r="O338" t="s">
        <v>561</v>
      </c>
      <c r="P338" t="s">
        <v>21</v>
      </c>
      <c r="Q338">
        <v>8</v>
      </c>
      <c r="R338" s="8" t="s">
        <v>4262</v>
      </c>
    </row>
    <row r="339" spans="1:18" hidden="1" x14ac:dyDescent="0.25">
      <c r="A339" s="1">
        <v>46247</v>
      </c>
      <c r="B339">
        <v>1001369228</v>
      </c>
      <c r="C339" t="s">
        <v>164</v>
      </c>
      <c r="D339" t="s">
        <v>4079</v>
      </c>
      <c r="E339" t="s">
        <v>4056</v>
      </c>
      <c r="F339" t="s">
        <v>4079</v>
      </c>
      <c r="G339" s="1">
        <v>46247</v>
      </c>
      <c r="H339" s="1">
        <v>46248</v>
      </c>
      <c r="I339" s="2">
        <v>0.25</v>
      </c>
      <c r="J339" s="2">
        <v>0.58333333333333337</v>
      </c>
      <c r="K339" t="s">
        <v>339</v>
      </c>
      <c r="L339">
        <v>0</v>
      </c>
      <c r="M339" t="s">
        <v>4255</v>
      </c>
      <c r="N339" t="s">
        <v>163</v>
      </c>
      <c r="O339" t="s">
        <v>164</v>
      </c>
      <c r="P339" t="s">
        <v>4042</v>
      </c>
      <c r="Q339">
        <v>8</v>
      </c>
    </row>
    <row r="340" spans="1:18" hidden="1" x14ac:dyDescent="0.25">
      <c r="A340" s="1">
        <v>46247</v>
      </c>
      <c r="B340">
        <v>1001140238</v>
      </c>
      <c r="C340" t="s">
        <v>74</v>
      </c>
      <c r="D340" t="s">
        <v>28</v>
      </c>
      <c r="E340" t="s">
        <v>4046</v>
      </c>
      <c r="F340" t="s">
        <v>4099</v>
      </c>
      <c r="G340" s="1">
        <v>46247</v>
      </c>
      <c r="H340" s="1">
        <v>46247</v>
      </c>
      <c r="I340" s="2">
        <v>0.5</v>
      </c>
      <c r="J340" s="2">
        <v>0.54166666666666663</v>
      </c>
      <c r="K340" t="s">
        <v>339</v>
      </c>
      <c r="L340">
        <v>0</v>
      </c>
      <c r="M340" t="s">
        <v>4257</v>
      </c>
      <c r="N340" t="s">
        <v>73</v>
      </c>
      <c r="O340" t="s">
        <v>74</v>
      </c>
      <c r="P340" t="s">
        <v>4042</v>
      </c>
      <c r="Q340">
        <v>1</v>
      </c>
    </row>
    <row r="341" spans="1:18" hidden="1" x14ac:dyDescent="0.25">
      <c r="A341" s="1">
        <v>46247</v>
      </c>
      <c r="B341">
        <v>1000348983</v>
      </c>
      <c r="C341" t="s">
        <v>235</v>
      </c>
      <c r="D341" t="s">
        <v>162</v>
      </c>
      <c r="E341" t="s">
        <v>4056</v>
      </c>
      <c r="F341" t="s">
        <v>16</v>
      </c>
      <c r="G341" s="1">
        <v>46247</v>
      </c>
      <c r="H341" s="1"/>
      <c r="I341" s="2">
        <v>0.25</v>
      </c>
      <c r="J341" s="2">
        <v>0.58333333333333337</v>
      </c>
      <c r="K341" t="s">
        <v>4085</v>
      </c>
      <c r="L341">
        <v>0</v>
      </c>
      <c r="P341" t="s">
        <v>4042</v>
      </c>
      <c r="Q341">
        <v>8</v>
      </c>
    </row>
    <row r="342" spans="1:18" hidden="1" x14ac:dyDescent="0.25">
      <c r="A342" s="1">
        <v>46248</v>
      </c>
      <c r="B342">
        <v>1234090551</v>
      </c>
      <c r="C342" t="s">
        <v>2250</v>
      </c>
      <c r="D342" t="s">
        <v>162</v>
      </c>
      <c r="E342" t="s">
        <v>4056</v>
      </c>
      <c r="F342" t="s">
        <v>16</v>
      </c>
      <c r="G342" s="1">
        <v>46247</v>
      </c>
      <c r="H342" s="1">
        <v>46248</v>
      </c>
      <c r="I342" s="2">
        <v>0.58333333333333337</v>
      </c>
      <c r="J342" s="2">
        <v>0.875</v>
      </c>
      <c r="K342" s="8" t="s">
        <v>286</v>
      </c>
      <c r="L342">
        <v>2</v>
      </c>
      <c r="M342" t="s">
        <v>4255</v>
      </c>
      <c r="N342" t="s">
        <v>285</v>
      </c>
      <c r="O342" t="s">
        <v>286</v>
      </c>
      <c r="P342" t="s">
        <v>21</v>
      </c>
      <c r="Q342">
        <v>7</v>
      </c>
    </row>
    <row r="343" spans="1:18" hidden="1" x14ac:dyDescent="0.25">
      <c r="A343" s="1">
        <v>46248</v>
      </c>
      <c r="B343">
        <v>1036132488</v>
      </c>
      <c r="C343" t="s">
        <v>89</v>
      </c>
      <c r="D343" t="s">
        <v>59</v>
      </c>
      <c r="E343" t="s">
        <v>4047</v>
      </c>
      <c r="F343" t="s">
        <v>16</v>
      </c>
      <c r="G343" s="1">
        <v>46247</v>
      </c>
      <c r="H343" s="1">
        <v>46248</v>
      </c>
      <c r="I343" s="2">
        <v>0.25</v>
      </c>
      <c r="J343" s="2">
        <v>0.54166666666666663</v>
      </c>
      <c r="K343" t="s">
        <v>120</v>
      </c>
      <c r="L343">
        <v>0</v>
      </c>
      <c r="M343" t="s">
        <v>4257</v>
      </c>
      <c r="N343" t="s">
        <v>119</v>
      </c>
      <c r="O343" t="s">
        <v>120</v>
      </c>
      <c r="P343" t="s">
        <v>4042</v>
      </c>
      <c r="Q343">
        <v>7</v>
      </c>
    </row>
    <row r="344" spans="1:18" hidden="1" x14ac:dyDescent="0.25">
      <c r="A344" s="1">
        <v>46248</v>
      </c>
      <c r="B344">
        <v>1152462501</v>
      </c>
      <c r="C344" t="s">
        <v>3056</v>
      </c>
      <c r="D344" t="s">
        <v>28</v>
      </c>
      <c r="E344" t="s">
        <v>4046</v>
      </c>
      <c r="F344" t="s">
        <v>16</v>
      </c>
      <c r="G344" s="1">
        <v>46247</v>
      </c>
      <c r="H344" s="1">
        <v>46248</v>
      </c>
      <c r="I344" s="2">
        <v>0.29166666666666669</v>
      </c>
      <c r="J344" s="2">
        <v>0.66666666666666663</v>
      </c>
      <c r="K344" t="s">
        <v>232</v>
      </c>
      <c r="L344">
        <v>0</v>
      </c>
      <c r="M344" t="s">
        <v>4257</v>
      </c>
      <c r="N344" t="s">
        <v>231</v>
      </c>
      <c r="O344" t="s">
        <v>232</v>
      </c>
      <c r="P344" t="s">
        <v>4042</v>
      </c>
      <c r="Q344">
        <v>9</v>
      </c>
    </row>
    <row r="345" spans="1:18" hidden="1" x14ac:dyDescent="0.25">
      <c r="A345" s="1">
        <v>46248</v>
      </c>
      <c r="B345">
        <v>43986125</v>
      </c>
      <c r="C345" t="s">
        <v>1299</v>
      </c>
      <c r="D345" t="s">
        <v>55</v>
      </c>
      <c r="E345" t="s">
        <v>4047</v>
      </c>
      <c r="F345" t="s">
        <v>16</v>
      </c>
      <c r="G345" s="1">
        <v>46246</v>
      </c>
      <c r="H345" s="1">
        <v>46248</v>
      </c>
      <c r="I345" s="2">
        <v>0.25</v>
      </c>
      <c r="J345" s="2">
        <v>0.58333333333333337</v>
      </c>
      <c r="K345" t="s">
        <v>182</v>
      </c>
      <c r="L345">
        <v>0</v>
      </c>
      <c r="M345" t="s">
        <v>4260</v>
      </c>
      <c r="N345" t="s">
        <v>181</v>
      </c>
      <c r="O345" t="s">
        <v>182</v>
      </c>
      <c r="P345" t="s">
        <v>4042</v>
      </c>
      <c r="Q345">
        <v>8</v>
      </c>
    </row>
    <row r="346" spans="1:18" hidden="1" x14ac:dyDescent="0.25">
      <c r="A346" s="1">
        <v>46248</v>
      </c>
      <c r="B346">
        <v>1143267842</v>
      </c>
      <c r="C346" t="s">
        <v>1501</v>
      </c>
      <c r="D346" t="s">
        <v>128</v>
      </c>
      <c r="E346" t="s">
        <v>4045</v>
      </c>
      <c r="F346" t="s">
        <v>16</v>
      </c>
      <c r="G346" s="1">
        <v>46246</v>
      </c>
      <c r="H346" s="1">
        <v>46248</v>
      </c>
      <c r="I346" s="2">
        <v>0.58333333333333337</v>
      </c>
      <c r="J346" s="2">
        <v>0.875</v>
      </c>
      <c r="K346" s="8" t="s">
        <v>200</v>
      </c>
      <c r="L346">
        <v>2</v>
      </c>
      <c r="M346" t="s">
        <v>4257</v>
      </c>
      <c r="N346" t="s">
        <v>199</v>
      </c>
      <c r="O346" t="s">
        <v>200</v>
      </c>
      <c r="P346" t="s">
        <v>21</v>
      </c>
      <c r="Q346">
        <v>7</v>
      </c>
    </row>
    <row r="347" spans="1:18" hidden="1" x14ac:dyDescent="0.25">
      <c r="A347" s="1">
        <v>46248</v>
      </c>
      <c r="B347">
        <v>1082926383</v>
      </c>
      <c r="C347" t="s">
        <v>663</v>
      </c>
      <c r="D347" t="s">
        <v>132</v>
      </c>
      <c r="E347" t="s">
        <v>4040</v>
      </c>
      <c r="F347" t="s">
        <v>16</v>
      </c>
      <c r="G347" s="1">
        <v>46246</v>
      </c>
      <c r="H347" s="1">
        <v>46248</v>
      </c>
      <c r="I347" s="2">
        <v>0.25</v>
      </c>
      <c r="J347" s="2">
        <v>0.54166666666666663</v>
      </c>
      <c r="K347" t="s">
        <v>310</v>
      </c>
      <c r="L347">
        <v>0</v>
      </c>
      <c r="M347" t="s">
        <v>4260</v>
      </c>
      <c r="N347" t="s">
        <v>309</v>
      </c>
      <c r="O347" t="s">
        <v>310</v>
      </c>
      <c r="P347" t="s">
        <v>4042</v>
      </c>
      <c r="Q347">
        <v>7</v>
      </c>
    </row>
    <row r="348" spans="1:18" hidden="1" x14ac:dyDescent="0.25">
      <c r="A348" s="1">
        <v>46248</v>
      </c>
      <c r="B348">
        <v>1035876080</v>
      </c>
      <c r="C348" t="s">
        <v>123</v>
      </c>
      <c r="D348" t="s">
        <v>124</v>
      </c>
      <c r="E348" t="s">
        <v>4045</v>
      </c>
      <c r="F348" t="s">
        <v>16</v>
      </c>
      <c r="G348" s="1">
        <v>46246</v>
      </c>
      <c r="H348" s="1">
        <v>46254</v>
      </c>
      <c r="I348" s="2">
        <v>0.25</v>
      </c>
      <c r="J348" s="2">
        <v>0.58333333333333337</v>
      </c>
      <c r="K348" t="s">
        <v>214</v>
      </c>
      <c r="L348">
        <v>0</v>
      </c>
      <c r="M348" t="s">
        <v>4257</v>
      </c>
      <c r="N348" t="s">
        <v>213</v>
      </c>
      <c r="O348" t="s">
        <v>214</v>
      </c>
      <c r="P348" t="s">
        <v>4042</v>
      </c>
      <c r="Q348">
        <v>8</v>
      </c>
    </row>
    <row r="349" spans="1:18" hidden="1" x14ac:dyDescent="0.25">
      <c r="A349" s="1">
        <v>46248</v>
      </c>
      <c r="B349">
        <v>1085265026</v>
      </c>
      <c r="C349" t="s">
        <v>91</v>
      </c>
      <c r="D349" t="s">
        <v>55</v>
      </c>
      <c r="E349" t="s">
        <v>4047</v>
      </c>
      <c r="F349" t="s">
        <v>92</v>
      </c>
      <c r="G349" s="1">
        <v>46245</v>
      </c>
      <c r="H349" s="1">
        <v>46249</v>
      </c>
      <c r="I349" s="2">
        <v>0.25</v>
      </c>
      <c r="J349" s="2">
        <v>0.54166666666666663</v>
      </c>
      <c r="K349" t="s">
        <v>86</v>
      </c>
      <c r="L349">
        <v>0</v>
      </c>
      <c r="M349" t="s">
        <v>4259</v>
      </c>
      <c r="N349" t="s">
        <v>85</v>
      </c>
      <c r="O349" t="s">
        <v>86</v>
      </c>
      <c r="P349" t="s">
        <v>4042</v>
      </c>
      <c r="Q349">
        <v>7</v>
      </c>
    </row>
    <row r="350" spans="1:18" hidden="1" x14ac:dyDescent="0.25">
      <c r="A350" s="1">
        <v>46248</v>
      </c>
      <c r="B350">
        <v>1037638426</v>
      </c>
      <c r="C350" t="s">
        <v>31</v>
      </c>
      <c r="D350" t="s">
        <v>28</v>
      </c>
      <c r="E350" t="s">
        <v>4046</v>
      </c>
      <c r="F350" t="s">
        <v>24</v>
      </c>
      <c r="G350" s="1">
        <v>46230</v>
      </c>
      <c r="H350" s="1">
        <v>46262</v>
      </c>
      <c r="I350" s="2">
        <v>0.25</v>
      </c>
      <c r="J350" s="2">
        <v>0.58333333333333337</v>
      </c>
      <c r="K350" t="s">
        <v>223</v>
      </c>
      <c r="L350">
        <v>0</v>
      </c>
      <c r="M350" t="s">
        <v>4258</v>
      </c>
      <c r="N350" t="s">
        <v>222</v>
      </c>
      <c r="O350" t="s">
        <v>223</v>
      </c>
      <c r="P350" t="s">
        <v>4042</v>
      </c>
      <c r="Q350">
        <v>8</v>
      </c>
    </row>
    <row r="351" spans="1:18" hidden="1" x14ac:dyDescent="0.25">
      <c r="A351" s="1">
        <v>46248</v>
      </c>
      <c r="B351">
        <v>1015483595</v>
      </c>
      <c r="C351" t="s">
        <v>23</v>
      </c>
      <c r="D351" t="s">
        <v>15</v>
      </c>
      <c r="E351" t="s">
        <v>4046</v>
      </c>
      <c r="F351" t="s">
        <v>24</v>
      </c>
      <c r="G351" s="1">
        <v>46244</v>
      </c>
      <c r="H351" s="1">
        <v>46265</v>
      </c>
      <c r="I351" s="2">
        <v>0.54166666666666663</v>
      </c>
      <c r="J351" s="2">
        <v>0.875</v>
      </c>
      <c r="K351" s="8" t="s">
        <v>18</v>
      </c>
      <c r="L351">
        <v>2</v>
      </c>
      <c r="M351" t="s">
        <v>4258</v>
      </c>
      <c r="N351" t="s">
        <v>17</v>
      </c>
      <c r="O351" t="s">
        <v>18</v>
      </c>
      <c r="P351" t="s">
        <v>21</v>
      </c>
      <c r="Q351">
        <v>8</v>
      </c>
    </row>
    <row r="352" spans="1:18" hidden="1" x14ac:dyDescent="0.25">
      <c r="A352" s="1">
        <v>46248</v>
      </c>
      <c r="B352">
        <v>1001851670</v>
      </c>
      <c r="C352" t="s">
        <v>50</v>
      </c>
      <c r="D352" t="s">
        <v>51</v>
      </c>
      <c r="E352" t="s">
        <v>4047</v>
      </c>
      <c r="F352" t="s">
        <v>36</v>
      </c>
      <c r="G352" s="1">
        <v>46241</v>
      </c>
      <c r="H352" s="1">
        <v>46366</v>
      </c>
      <c r="I352" s="2">
        <v>0.25</v>
      </c>
      <c r="J352" s="2">
        <v>0.54166666666666663</v>
      </c>
      <c r="K352" t="s">
        <v>74</v>
      </c>
      <c r="L352">
        <v>0</v>
      </c>
      <c r="M352" t="s">
        <v>4257</v>
      </c>
      <c r="N352" t="s">
        <v>73</v>
      </c>
      <c r="O352" t="s">
        <v>74</v>
      </c>
      <c r="P352" t="s">
        <v>4042</v>
      </c>
      <c r="Q352">
        <v>7</v>
      </c>
    </row>
    <row r="353" spans="1:18" hidden="1" x14ac:dyDescent="0.25">
      <c r="A353" s="1">
        <v>46248</v>
      </c>
      <c r="B353">
        <v>1067963513</v>
      </c>
      <c r="C353" t="s">
        <v>67</v>
      </c>
      <c r="D353" t="s">
        <v>68</v>
      </c>
      <c r="E353" t="s">
        <v>4040</v>
      </c>
      <c r="F353" t="s">
        <v>24</v>
      </c>
      <c r="G353" s="1">
        <v>46240</v>
      </c>
      <c r="H353" s="1">
        <v>46265</v>
      </c>
      <c r="I353" s="2"/>
      <c r="J353" s="2"/>
      <c r="K353" t="s">
        <v>346</v>
      </c>
      <c r="L353">
        <v>0</v>
      </c>
      <c r="P353" t="s">
        <v>4042</v>
      </c>
      <c r="Q353">
        <v>0</v>
      </c>
    </row>
    <row r="354" spans="1:18" hidden="1" x14ac:dyDescent="0.25">
      <c r="A354" s="1">
        <v>46248</v>
      </c>
      <c r="B354">
        <v>1005424850</v>
      </c>
      <c r="C354" t="s">
        <v>95</v>
      </c>
      <c r="D354" t="s">
        <v>82</v>
      </c>
      <c r="E354" t="s">
        <v>4045</v>
      </c>
      <c r="F354" t="s">
        <v>4062</v>
      </c>
      <c r="G354" s="1">
        <v>46247</v>
      </c>
      <c r="H354" s="1">
        <v>46262</v>
      </c>
      <c r="I354" s="2">
        <v>0.5</v>
      </c>
      <c r="J354" s="2">
        <v>0.83333333333333337</v>
      </c>
      <c r="K354" s="8" t="s">
        <v>304</v>
      </c>
      <c r="L354">
        <v>1</v>
      </c>
      <c r="M354" t="s">
        <v>4257</v>
      </c>
      <c r="N354" t="s">
        <v>303</v>
      </c>
      <c r="O354" t="s">
        <v>304</v>
      </c>
      <c r="P354" t="s">
        <v>21</v>
      </c>
      <c r="Q354">
        <v>8</v>
      </c>
    </row>
    <row r="355" spans="1:18" hidden="1" x14ac:dyDescent="0.25">
      <c r="A355" s="1">
        <v>46248</v>
      </c>
      <c r="B355">
        <v>1152221372</v>
      </c>
      <c r="C355" t="s">
        <v>2363</v>
      </c>
      <c r="D355" t="s">
        <v>139</v>
      </c>
      <c r="E355" t="s">
        <v>4040</v>
      </c>
      <c r="F355" t="s">
        <v>158</v>
      </c>
      <c r="G355" s="1">
        <v>46230</v>
      </c>
      <c r="H355" s="1">
        <v>46230</v>
      </c>
      <c r="I355" s="2">
        <v>0.58333333333333337</v>
      </c>
      <c r="J355" s="2">
        <v>0.875</v>
      </c>
      <c r="K355" s="8" t="s">
        <v>117</v>
      </c>
      <c r="L355">
        <v>2</v>
      </c>
      <c r="M355" t="s">
        <v>4260</v>
      </c>
      <c r="N355" t="s">
        <v>116</v>
      </c>
      <c r="O355" t="s">
        <v>117</v>
      </c>
      <c r="P355" t="s">
        <v>21</v>
      </c>
      <c r="Q355">
        <v>7</v>
      </c>
    </row>
    <row r="356" spans="1:18" hidden="1" x14ac:dyDescent="0.25">
      <c r="A356" s="1">
        <v>46248</v>
      </c>
      <c r="B356">
        <v>1121506548</v>
      </c>
      <c r="C356" t="s">
        <v>38</v>
      </c>
      <c r="D356" t="s">
        <v>39</v>
      </c>
      <c r="E356" t="s">
        <v>4046</v>
      </c>
      <c r="F356" t="s">
        <v>36</v>
      </c>
      <c r="G356" s="1">
        <v>46217</v>
      </c>
      <c r="H356" s="1">
        <v>46342</v>
      </c>
      <c r="I356" s="2">
        <v>0.58333333333333337</v>
      </c>
      <c r="J356" s="2">
        <v>0.875</v>
      </c>
      <c r="K356" s="8" t="s">
        <v>301</v>
      </c>
      <c r="L356">
        <v>2</v>
      </c>
      <c r="M356" t="s">
        <v>4258</v>
      </c>
      <c r="N356" t="s">
        <v>300</v>
      </c>
      <c r="O356" t="s">
        <v>301</v>
      </c>
      <c r="P356" t="s">
        <v>21</v>
      </c>
      <c r="Q356">
        <v>7</v>
      </c>
    </row>
    <row r="357" spans="1:18" hidden="1" x14ac:dyDescent="0.25">
      <c r="A357" s="1">
        <v>46248</v>
      </c>
      <c r="B357">
        <v>1037630071</v>
      </c>
      <c r="C357" t="s">
        <v>3579</v>
      </c>
      <c r="D357" t="s">
        <v>176</v>
      </c>
      <c r="E357" t="s">
        <v>4040</v>
      </c>
      <c r="F357" t="s">
        <v>4062</v>
      </c>
      <c r="G357" s="1">
        <v>46247</v>
      </c>
      <c r="H357" s="1">
        <v>46265</v>
      </c>
      <c r="I357" s="2">
        <v>0.25</v>
      </c>
      <c r="J357" s="2">
        <v>0.58333333333333337</v>
      </c>
      <c r="K357" t="s">
        <v>46</v>
      </c>
      <c r="L357">
        <v>0</v>
      </c>
      <c r="M357" t="s">
        <v>4260</v>
      </c>
      <c r="N357" t="s">
        <v>45</v>
      </c>
      <c r="O357" t="s">
        <v>46</v>
      </c>
      <c r="P357" t="s">
        <v>4042</v>
      </c>
      <c r="Q357">
        <v>8</v>
      </c>
    </row>
    <row r="358" spans="1:18" hidden="1" x14ac:dyDescent="0.25">
      <c r="A358" s="1">
        <v>46248</v>
      </c>
      <c r="B358">
        <v>1143460426</v>
      </c>
      <c r="C358" t="s">
        <v>4069</v>
      </c>
      <c r="D358" t="s">
        <v>64</v>
      </c>
      <c r="E358" t="s">
        <v>4046</v>
      </c>
      <c r="F358" t="s">
        <v>4050</v>
      </c>
      <c r="G358" s="1">
        <v>46195</v>
      </c>
      <c r="H358" s="1">
        <v>46198</v>
      </c>
      <c r="I358" s="2">
        <v>0.58333333333333337</v>
      </c>
      <c r="J358" s="2">
        <v>0.875</v>
      </c>
      <c r="K358" s="8" t="s">
        <v>237</v>
      </c>
      <c r="L358">
        <v>2</v>
      </c>
      <c r="M358" t="s">
        <v>4255</v>
      </c>
      <c r="N358" t="s">
        <v>236</v>
      </c>
      <c r="O358" t="s">
        <v>237</v>
      </c>
      <c r="P358" t="s">
        <v>21</v>
      </c>
      <c r="Q358">
        <v>7</v>
      </c>
      <c r="R358" s="8" t="s">
        <v>4256</v>
      </c>
    </row>
    <row r="359" spans="1:18" hidden="1" x14ac:dyDescent="0.25">
      <c r="A359" s="1">
        <v>46248</v>
      </c>
      <c r="B359">
        <v>1045718883</v>
      </c>
      <c r="C359" t="s">
        <v>34</v>
      </c>
      <c r="D359" t="s">
        <v>15</v>
      </c>
      <c r="E359" t="s">
        <v>4046</v>
      </c>
      <c r="F359" t="s">
        <v>36</v>
      </c>
      <c r="G359" s="1">
        <v>46245</v>
      </c>
      <c r="H359" s="1">
        <v>46340</v>
      </c>
      <c r="I359" s="2">
        <v>0.25</v>
      </c>
      <c r="J359" s="2">
        <v>0.54166666666666663</v>
      </c>
      <c r="K359" t="s">
        <v>151</v>
      </c>
      <c r="L359">
        <v>0</v>
      </c>
      <c r="M359" t="s">
        <v>4257</v>
      </c>
      <c r="N359" t="s">
        <v>150</v>
      </c>
      <c r="O359" t="s">
        <v>151</v>
      </c>
      <c r="P359" t="s">
        <v>4042</v>
      </c>
      <c r="Q359">
        <v>7</v>
      </c>
    </row>
    <row r="360" spans="1:18" hidden="1" x14ac:dyDescent="0.25">
      <c r="A360" s="1">
        <v>46248</v>
      </c>
      <c r="B360">
        <v>1053860403</v>
      </c>
      <c r="C360" t="s">
        <v>2322</v>
      </c>
      <c r="D360" t="s">
        <v>272</v>
      </c>
      <c r="E360" t="s">
        <v>4056</v>
      </c>
      <c r="F360" t="s">
        <v>16</v>
      </c>
      <c r="G360" s="1">
        <v>46247</v>
      </c>
      <c r="H360" s="1">
        <v>46249</v>
      </c>
      <c r="I360" s="2">
        <v>0.25</v>
      </c>
      <c r="J360" s="2">
        <v>0.54166666666666663</v>
      </c>
      <c r="K360" s="4" t="s">
        <v>185</v>
      </c>
      <c r="L360">
        <v>0</v>
      </c>
      <c r="M360" t="s">
        <v>4255</v>
      </c>
      <c r="N360" t="s">
        <v>184</v>
      </c>
      <c r="O360" t="s">
        <v>185</v>
      </c>
      <c r="P360" t="s">
        <v>4042</v>
      </c>
      <c r="Q360">
        <v>7</v>
      </c>
      <c r="R360" s="8" t="s">
        <v>4262</v>
      </c>
    </row>
    <row r="361" spans="1:18" hidden="1" x14ac:dyDescent="0.25">
      <c r="A361" s="1">
        <v>46248</v>
      </c>
      <c r="B361">
        <v>1001369228</v>
      </c>
      <c r="C361" t="s">
        <v>164</v>
      </c>
      <c r="D361" t="s">
        <v>4078</v>
      </c>
      <c r="E361" t="s">
        <v>4056</v>
      </c>
      <c r="F361" t="s">
        <v>4079</v>
      </c>
      <c r="G361" s="1">
        <v>46248</v>
      </c>
      <c r="H361" s="1">
        <v>46248</v>
      </c>
      <c r="I361" s="2">
        <v>0.25</v>
      </c>
      <c r="J361" s="2">
        <v>0.58333333333333337</v>
      </c>
      <c r="K361" t="s">
        <v>339</v>
      </c>
      <c r="L361">
        <v>0</v>
      </c>
      <c r="M361" t="s">
        <v>4255</v>
      </c>
      <c r="N361" t="s">
        <v>163</v>
      </c>
      <c r="O361" t="s">
        <v>164</v>
      </c>
      <c r="P361" t="s">
        <v>4042</v>
      </c>
      <c r="Q361">
        <v>8</v>
      </c>
    </row>
    <row r="362" spans="1:18" hidden="1" x14ac:dyDescent="0.25">
      <c r="A362" s="1">
        <v>46248</v>
      </c>
      <c r="B362">
        <v>1036965348</v>
      </c>
      <c r="C362" t="s">
        <v>229</v>
      </c>
      <c r="D362" t="s">
        <v>4078</v>
      </c>
      <c r="E362" t="s">
        <v>4046</v>
      </c>
      <c r="F362" t="s">
        <v>4079</v>
      </c>
      <c r="G362" s="1">
        <v>46248</v>
      </c>
      <c r="H362" s="1">
        <v>46248</v>
      </c>
      <c r="I362" s="2">
        <v>0.25</v>
      </c>
      <c r="J362" s="2">
        <v>0.58333333333333337</v>
      </c>
      <c r="K362" t="s">
        <v>339</v>
      </c>
      <c r="L362">
        <v>0</v>
      </c>
      <c r="M362" t="s">
        <v>4258</v>
      </c>
      <c r="N362" t="s">
        <v>228</v>
      </c>
      <c r="O362" t="s">
        <v>229</v>
      </c>
      <c r="P362" t="s">
        <v>4042</v>
      </c>
      <c r="Q362">
        <v>8</v>
      </c>
    </row>
    <row r="363" spans="1:18" hidden="1" x14ac:dyDescent="0.25">
      <c r="A363" s="1">
        <v>46248</v>
      </c>
      <c r="B363">
        <v>1001446162</v>
      </c>
      <c r="C363" t="s">
        <v>3663</v>
      </c>
      <c r="D363" t="s">
        <v>4125</v>
      </c>
      <c r="E363" t="s">
        <v>4056</v>
      </c>
      <c r="F363" t="s">
        <v>4125</v>
      </c>
      <c r="G363" s="1">
        <v>46248</v>
      </c>
      <c r="H363" s="1">
        <v>46248</v>
      </c>
      <c r="I363" s="2">
        <v>0.29166666666666669</v>
      </c>
      <c r="J363" s="2">
        <v>0.625</v>
      </c>
      <c r="K363" t="s">
        <v>339</v>
      </c>
      <c r="L363">
        <v>0</v>
      </c>
      <c r="M363" t="s">
        <v>4255</v>
      </c>
      <c r="N363" t="s">
        <v>3662</v>
      </c>
      <c r="O363" t="s">
        <v>3663</v>
      </c>
      <c r="P363" t="s">
        <v>4042</v>
      </c>
      <c r="Q363">
        <v>8</v>
      </c>
    </row>
    <row r="364" spans="1:18" hidden="1" x14ac:dyDescent="0.25">
      <c r="A364" s="1">
        <v>46248</v>
      </c>
      <c r="B364">
        <v>1067959066</v>
      </c>
      <c r="C364" t="s">
        <v>3479</v>
      </c>
      <c r="D364" t="s">
        <v>344</v>
      </c>
      <c r="E364" t="s">
        <v>4056</v>
      </c>
      <c r="F364" t="s">
        <v>16</v>
      </c>
      <c r="G364" s="1">
        <v>46247</v>
      </c>
      <c r="H364" s="1">
        <v>46248</v>
      </c>
      <c r="I364" s="2">
        <v>0.58333333333333337</v>
      </c>
      <c r="J364" s="2">
        <v>0.875</v>
      </c>
      <c r="K364" s="8" t="s">
        <v>4184</v>
      </c>
      <c r="L364">
        <v>2</v>
      </c>
      <c r="M364" t="s">
        <v>4255</v>
      </c>
      <c r="N364" t="s">
        <v>267</v>
      </c>
      <c r="O364" t="s">
        <v>268</v>
      </c>
      <c r="P364" t="s">
        <v>21</v>
      </c>
      <c r="Q364">
        <v>7</v>
      </c>
    </row>
    <row r="365" spans="1:18" hidden="1" x14ac:dyDescent="0.25">
      <c r="A365" s="1">
        <v>46248</v>
      </c>
      <c r="B365">
        <v>73189515</v>
      </c>
      <c r="C365" t="s">
        <v>773</v>
      </c>
      <c r="D365" t="s">
        <v>272</v>
      </c>
      <c r="E365" t="s">
        <v>4056</v>
      </c>
      <c r="F365" s="4" t="s">
        <v>4087</v>
      </c>
      <c r="G365" s="1">
        <v>46248</v>
      </c>
      <c r="H365" s="1">
        <v>46252</v>
      </c>
      <c r="I365" s="2">
        <v>0.58333333333333337</v>
      </c>
      <c r="J365" s="2">
        <v>0.875</v>
      </c>
      <c r="K365" s="8" t="s">
        <v>561</v>
      </c>
      <c r="L365">
        <v>2</v>
      </c>
      <c r="M365" t="s">
        <v>4255</v>
      </c>
      <c r="N365" t="s">
        <v>560</v>
      </c>
      <c r="O365" t="s">
        <v>561</v>
      </c>
      <c r="P365" t="s">
        <v>21</v>
      </c>
      <c r="Q365">
        <v>7</v>
      </c>
      <c r="R365" s="8" t="s">
        <v>4262</v>
      </c>
    </row>
    <row r="366" spans="1:18" hidden="1" x14ac:dyDescent="0.25">
      <c r="A366" s="1">
        <v>46248</v>
      </c>
      <c r="B366">
        <v>1007223463</v>
      </c>
      <c r="C366" t="s">
        <v>561</v>
      </c>
      <c r="D366" t="s">
        <v>272</v>
      </c>
      <c r="E366" t="s">
        <v>4056</v>
      </c>
      <c r="F366" t="s">
        <v>4099</v>
      </c>
      <c r="G366" s="1">
        <v>46248</v>
      </c>
      <c r="H366" s="1">
        <v>46248</v>
      </c>
      <c r="I366" s="2">
        <v>0.58333333333333337</v>
      </c>
      <c r="J366" s="2">
        <v>0.625</v>
      </c>
      <c r="K366" t="s">
        <v>339</v>
      </c>
      <c r="L366">
        <v>0</v>
      </c>
      <c r="M366" t="s">
        <v>4255</v>
      </c>
      <c r="N366" t="s">
        <v>560</v>
      </c>
      <c r="O366" t="s">
        <v>561</v>
      </c>
      <c r="P366" t="s">
        <v>4042</v>
      </c>
      <c r="Q366">
        <v>1</v>
      </c>
      <c r="R366" t="s">
        <v>4262</v>
      </c>
    </row>
    <row r="367" spans="1:18" hidden="1" x14ac:dyDescent="0.25">
      <c r="A367" s="1">
        <v>46249</v>
      </c>
      <c r="B367">
        <v>1003382575</v>
      </c>
      <c r="C367" t="s">
        <v>4187</v>
      </c>
      <c r="D367" t="s">
        <v>124</v>
      </c>
      <c r="E367" t="s">
        <v>4045</v>
      </c>
      <c r="F367" t="s">
        <v>16</v>
      </c>
      <c r="G367" s="1">
        <v>46248</v>
      </c>
      <c r="H367" s="1">
        <v>46249</v>
      </c>
      <c r="I367" s="2">
        <v>0.25</v>
      </c>
      <c r="J367" s="2">
        <v>0.66666666666666663</v>
      </c>
      <c r="K367" t="s">
        <v>252</v>
      </c>
      <c r="L367">
        <v>0</v>
      </c>
      <c r="M367" t="s">
        <v>4259</v>
      </c>
      <c r="N367" t="s">
        <v>251</v>
      </c>
      <c r="O367" t="s">
        <v>252</v>
      </c>
      <c r="P367" t="s">
        <v>4042</v>
      </c>
      <c r="Q367">
        <v>10</v>
      </c>
    </row>
    <row r="368" spans="1:18" hidden="1" x14ac:dyDescent="0.25">
      <c r="A368" s="1">
        <v>46249</v>
      </c>
      <c r="B368">
        <v>1143403750</v>
      </c>
      <c r="C368" t="s">
        <v>4167</v>
      </c>
      <c r="D368" t="s">
        <v>492</v>
      </c>
      <c r="E368" t="s">
        <v>4045</v>
      </c>
      <c r="F368" t="s">
        <v>4050</v>
      </c>
      <c r="G368" s="1">
        <v>46247</v>
      </c>
      <c r="H368" s="1">
        <v>46251</v>
      </c>
      <c r="I368" s="2"/>
      <c r="J368" s="2"/>
      <c r="K368" t="s">
        <v>341</v>
      </c>
      <c r="L368">
        <v>0</v>
      </c>
      <c r="P368" t="s">
        <v>4042</v>
      </c>
      <c r="Q368">
        <v>0</v>
      </c>
    </row>
    <row r="369" spans="1:18" hidden="1" x14ac:dyDescent="0.25">
      <c r="A369" s="1">
        <v>46249</v>
      </c>
      <c r="B369">
        <v>1152434926</v>
      </c>
      <c r="C369" t="s">
        <v>217</v>
      </c>
      <c r="D369" t="s">
        <v>59</v>
      </c>
      <c r="E369" t="s">
        <v>4047</v>
      </c>
      <c r="F369" t="s">
        <v>16</v>
      </c>
      <c r="G369" s="1">
        <v>46247</v>
      </c>
      <c r="H369" s="1">
        <v>46249</v>
      </c>
      <c r="I369" s="2">
        <v>0.25</v>
      </c>
      <c r="J369" s="2">
        <v>0.66666666666666663</v>
      </c>
      <c r="K369" t="s">
        <v>151</v>
      </c>
      <c r="L369">
        <v>0</v>
      </c>
      <c r="M369" t="s">
        <v>4257</v>
      </c>
      <c r="N369" t="s">
        <v>150</v>
      </c>
      <c r="O369" t="s">
        <v>151</v>
      </c>
      <c r="P369" t="s">
        <v>4042</v>
      </c>
      <c r="Q369">
        <v>10</v>
      </c>
    </row>
    <row r="370" spans="1:18" hidden="1" x14ac:dyDescent="0.25">
      <c r="A370" s="1">
        <v>46249</v>
      </c>
      <c r="B370">
        <v>1045718883</v>
      </c>
      <c r="C370" t="s">
        <v>34</v>
      </c>
      <c r="D370" t="s">
        <v>15</v>
      </c>
      <c r="E370" t="s">
        <v>4046</v>
      </c>
      <c r="F370" t="s">
        <v>36</v>
      </c>
      <c r="G370" s="1">
        <v>46245</v>
      </c>
      <c r="H370" s="1">
        <v>46340</v>
      </c>
      <c r="I370" s="2"/>
      <c r="J370" s="2"/>
      <c r="K370" t="s">
        <v>341</v>
      </c>
      <c r="L370">
        <v>0</v>
      </c>
      <c r="P370" t="s">
        <v>4042</v>
      </c>
      <c r="Q370">
        <v>0</v>
      </c>
    </row>
    <row r="371" spans="1:18" hidden="1" x14ac:dyDescent="0.25">
      <c r="A371" s="1">
        <v>46249</v>
      </c>
      <c r="B371">
        <v>1035876080</v>
      </c>
      <c r="C371" t="s">
        <v>123</v>
      </c>
      <c r="D371" t="s">
        <v>124</v>
      </c>
      <c r="E371" t="s">
        <v>4045</v>
      </c>
      <c r="F371" t="s">
        <v>16</v>
      </c>
      <c r="G371" s="1">
        <v>46246</v>
      </c>
      <c r="H371" s="1">
        <v>46254</v>
      </c>
      <c r="I371" s="2">
        <v>0.25</v>
      </c>
      <c r="J371" s="2">
        <v>0.66666666666666663</v>
      </c>
      <c r="K371" t="s">
        <v>214</v>
      </c>
      <c r="L371">
        <v>0</v>
      </c>
      <c r="M371" t="s">
        <v>4257</v>
      </c>
      <c r="N371" t="s">
        <v>213</v>
      </c>
      <c r="O371" t="s">
        <v>214</v>
      </c>
      <c r="P371" t="s">
        <v>4042</v>
      </c>
      <c r="Q371">
        <v>10</v>
      </c>
    </row>
    <row r="372" spans="1:18" hidden="1" x14ac:dyDescent="0.25">
      <c r="A372" s="1">
        <v>46249</v>
      </c>
      <c r="B372">
        <v>1085265026</v>
      </c>
      <c r="C372" t="s">
        <v>91</v>
      </c>
      <c r="D372" t="s">
        <v>55</v>
      </c>
      <c r="E372" t="s">
        <v>4047</v>
      </c>
      <c r="F372" t="s">
        <v>92</v>
      </c>
      <c r="G372" s="1">
        <v>46245</v>
      </c>
      <c r="H372" s="1">
        <v>46249</v>
      </c>
      <c r="I372" s="2"/>
      <c r="J372" s="2"/>
      <c r="K372" t="s">
        <v>341</v>
      </c>
      <c r="L372">
        <v>0</v>
      </c>
      <c r="P372" t="s">
        <v>4042</v>
      </c>
      <c r="Q372">
        <v>0</v>
      </c>
    </row>
    <row r="373" spans="1:18" hidden="1" x14ac:dyDescent="0.25">
      <c r="A373" s="1">
        <v>46249</v>
      </c>
      <c r="B373">
        <v>1037638426</v>
      </c>
      <c r="C373" t="s">
        <v>61</v>
      </c>
      <c r="D373" t="s">
        <v>28</v>
      </c>
      <c r="E373" t="s">
        <v>4046</v>
      </c>
      <c r="F373" t="s">
        <v>24</v>
      </c>
      <c r="G373" s="1">
        <v>46249</v>
      </c>
      <c r="H373" s="1">
        <v>46262</v>
      </c>
      <c r="I373" s="2">
        <v>0.25</v>
      </c>
      <c r="J373" s="2">
        <v>0.66666666666666663</v>
      </c>
      <c r="K373" t="s">
        <v>301</v>
      </c>
      <c r="L373">
        <v>0</v>
      </c>
      <c r="M373" t="s">
        <v>4258</v>
      </c>
      <c r="N373" t="s">
        <v>300</v>
      </c>
      <c r="O373" t="s">
        <v>301</v>
      </c>
      <c r="P373" t="s">
        <v>4042</v>
      </c>
      <c r="Q373">
        <v>10</v>
      </c>
    </row>
    <row r="374" spans="1:18" hidden="1" x14ac:dyDescent="0.25">
      <c r="A374" s="1">
        <v>46249</v>
      </c>
      <c r="B374">
        <v>1082896324</v>
      </c>
      <c r="C374" t="s">
        <v>127</v>
      </c>
      <c r="D374" t="s">
        <v>128</v>
      </c>
      <c r="E374" t="s">
        <v>4045</v>
      </c>
      <c r="F374" t="s">
        <v>16</v>
      </c>
      <c r="G374" s="1">
        <v>46242</v>
      </c>
      <c r="H374" s="1">
        <v>46272</v>
      </c>
      <c r="I374" s="2"/>
      <c r="J374" s="2"/>
      <c r="K374" t="s">
        <v>341</v>
      </c>
      <c r="L374">
        <v>0</v>
      </c>
      <c r="P374" t="s">
        <v>4042</v>
      </c>
      <c r="Q374">
        <v>0</v>
      </c>
    </row>
    <row r="375" spans="1:18" hidden="1" x14ac:dyDescent="0.25">
      <c r="A375" s="1">
        <v>46249</v>
      </c>
      <c r="B375">
        <v>1015483595</v>
      </c>
      <c r="C375" t="s">
        <v>221</v>
      </c>
      <c r="D375" t="s">
        <v>15</v>
      </c>
      <c r="E375" t="s">
        <v>4046</v>
      </c>
      <c r="F375" t="s">
        <v>24</v>
      </c>
      <c r="G375" s="1">
        <v>46244</v>
      </c>
      <c r="H375" s="1">
        <v>46265</v>
      </c>
      <c r="I375" s="2"/>
      <c r="J375" s="2"/>
      <c r="K375" t="s">
        <v>341</v>
      </c>
      <c r="L375">
        <v>0</v>
      </c>
      <c r="P375" t="s">
        <v>4042</v>
      </c>
      <c r="Q375">
        <v>0</v>
      </c>
    </row>
    <row r="376" spans="1:18" hidden="1" x14ac:dyDescent="0.25">
      <c r="A376" s="1">
        <v>46249</v>
      </c>
      <c r="B376">
        <v>1001851670</v>
      </c>
      <c r="C376" t="s">
        <v>50</v>
      </c>
      <c r="D376" t="s">
        <v>51</v>
      </c>
      <c r="E376" t="s">
        <v>4047</v>
      </c>
      <c r="F376" t="s">
        <v>36</v>
      </c>
      <c r="G376" s="1">
        <v>46241</v>
      </c>
      <c r="H376" s="1">
        <v>46366</v>
      </c>
      <c r="I376" s="2"/>
      <c r="J376" s="2"/>
      <c r="K376" t="s">
        <v>341</v>
      </c>
      <c r="L376">
        <v>0</v>
      </c>
      <c r="P376" t="s">
        <v>4042</v>
      </c>
      <c r="Q376">
        <v>0</v>
      </c>
    </row>
    <row r="377" spans="1:18" hidden="1" x14ac:dyDescent="0.25">
      <c r="A377" s="1">
        <v>46249</v>
      </c>
      <c r="B377">
        <v>42141273</v>
      </c>
      <c r="C377" t="s">
        <v>271</v>
      </c>
      <c r="D377" t="s">
        <v>272</v>
      </c>
      <c r="E377" t="s">
        <v>4056</v>
      </c>
      <c r="F377" t="s">
        <v>4065</v>
      </c>
      <c r="G377" s="1">
        <v>46238</v>
      </c>
      <c r="H377" s="1">
        <v>46295</v>
      </c>
      <c r="I377" s="2"/>
      <c r="J377" s="2"/>
      <c r="K377" t="s">
        <v>341</v>
      </c>
      <c r="L377">
        <v>0</v>
      </c>
      <c r="P377" t="s">
        <v>4042</v>
      </c>
      <c r="Q377">
        <v>0</v>
      </c>
    </row>
    <row r="378" spans="1:18" hidden="1" x14ac:dyDescent="0.25">
      <c r="A378" s="1">
        <v>46249</v>
      </c>
      <c r="B378">
        <v>1005424850</v>
      </c>
      <c r="C378" t="s">
        <v>95</v>
      </c>
      <c r="D378" t="s">
        <v>82</v>
      </c>
      <c r="E378" t="s">
        <v>4045</v>
      </c>
      <c r="F378" t="s">
        <v>4062</v>
      </c>
      <c r="G378" s="1">
        <v>46238</v>
      </c>
      <c r="H378" s="1">
        <v>46262</v>
      </c>
      <c r="I378" s="2"/>
      <c r="J378" s="2"/>
      <c r="K378" t="s">
        <v>4195</v>
      </c>
      <c r="L378">
        <v>0</v>
      </c>
      <c r="P378" t="s">
        <v>4042</v>
      </c>
      <c r="Q378">
        <v>0</v>
      </c>
    </row>
    <row r="379" spans="1:18" hidden="1" x14ac:dyDescent="0.25">
      <c r="A379" s="1">
        <v>46249</v>
      </c>
      <c r="B379">
        <v>1152221372</v>
      </c>
      <c r="C379" t="s">
        <v>4072</v>
      </c>
      <c r="D379" t="s">
        <v>139</v>
      </c>
      <c r="E379" t="s">
        <v>4040</v>
      </c>
      <c r="F379" t="s">
        <v>158</v>
      </c>
      <c r="G379" s="1">
        <v>46230</v>
      </c>
      <c r="H379" s="1">
        <v>46230</v>
      </c>
      <c r="I379" s="2">
        <v>0.25</v>
      </c>
      <c r="J379" s="2">
        <v>0.66666666666666663</v>
      </c>
      <c r="K379" t="s">
        <v>182</v>
      </c>
      <c r="L379">
        <v>0</v>
      </c>
      <c r="M379" t="s">
        <v>4260</v>
      </c>
      <c r="N379" t="s">
        <v>181</v>
      </c>
      <c r="O379" t="s">
        <v>182</v>
      </c>
      <c r="P379" t="s">
        <v>4042</v>
      </c>
      <c r="Q379">
        <v>10</v>
      </c>
    </row>
    <row r="380" spans="1:18" hidden="1" x14ac:dyDescent="0.25">
      <c r="A380" s="1">
        <v>46249</v>
      </c>
      <c r="B380">
        <v>1017264032</v>
      </c>
      <c r="C380" t="s">
        <v>88</v>
      </c>
      <c r="D380" t="s">
        <v>55</v>
      </c>
      <c r="E380" t="s">
        <v>4047</v>
      </c>
      <c r="F380" t="s">
        <v>16</v>
      </c>
      <c r="G380" s="1">
        <v>46229</v>
      </c>
      <c r="H380" s="1">
        <v>46258</v>
      </c>
      <c r="I380" s="2">
        <v>0.25</v>
      </c>
      <c r="J380" s="2">
        <v>0.66666666666666663</v>
      </c>
      <c r="K380" t="s">
        <v>86</v>
      </c>
      <c r="L380">
        <v>0</v>
      </c>
      <c r="M380" t="s">
        <v>4259</v>
      </c>
      <c r="N380" t="s">
        <v>85</v>
      </c>
      <c r="O380" t="s">
        <v>86</v>
      </c>
      <c r="P380" t="s">
        <v>4042</v>
      </c>
      <c r="Q380">
        <v>10</v>
      </c>
    </row>
    <row r="381" spans="1:18" hidden="1" x14ac:dyDescent="0.25">
      <c r="A381" s="1">
        <v>46249</v>
      </c>
      <c r="B381">
        <v>1037631989</v>
      </c>
      <c r="C381" t="s">
        <v>27</v>
      </c>
      <c r="D381" t="s">
        <v>28</v>
      </c>
      <c r="E381" t="s">
        <v>4046</v>
      </c>
      <c r="F381" t="s">
        <v>16</v>
      </c>
      <c r="G381" s="1">
        <v>46226</v>
      </c>
      <c r="H381" s="1">
        <v>46255</v>
      </c>
      <c r="I381" s="2">
        <v>0.25</v>
      </c>
      <c r="J381" s="2">
        <v>0.66666666666666663</v>
      </c>
      <c r="K381" s="4" t="s">
        <v>200</v>
      </c>
      <c r="L381">
        <v>0</v>
      </c>
      <c r="M381" t="s">
        <v>4257</v>
      </c>
      <c r="N381" t="s">
        <v>199</v>
      </c>
      <c r="O381" t="s">
        <v>200</v>
      </c>
      <c r="P381" t="s">
        <v>4042</v>
      </c>
      <c r="Q381">
        <v>10</v>
      </c>
      <c r="R381" s="8"/>
    </row>
    <row r="382" spans="1:18" hidden="1" x14ac:dyDescent="0.25">
      <c r="A382" s="1">
        <v>46249</v>
      </c>
      <c r="B382">
        <v>1143414481</v>
      </c>
      <c r="C382" t="s">
        <v>2447</v>
      </c>
      <c r="D382" t="s">
        <v>28</v>
      </c>
      <c r="E382" t="s">
        <v>4046</v>
      </c>
      <c r="F382" t="s">
        <v>4123</v>
      </c>
      <c r="G382" s="1">
        <v>46247</v>
      </c>
      <c r="H382" s="1">
        <v>46252</v>
      </c>
      <c r="I382" s="2"/>
      <c r="J382" s="2"/>
      <c r="K382" t="s">
        <v>341</v>
      </c>
      <c r="L382">
        <v>0</v>
      </c>
      <c r="P382" t="s">
        <v>4042</v>
      </c>
      <c r="Q382">
        <v>0</v>
      </c>
    </row>
    <row r="383" spans="1:18" hidden="1" x14ac:dyDescent="0.25">
      <c r="A383" s="1">
        <v>46249</v>
      </c>
      <c r="B383">
        <v>1043006106</v>
      </c>
      <c r="C383" t="s">
        <v>63</v>
      </c>
      <c r="D383" t="s">
        <v>64</v>
      </c>
      <c r="E383" t="s">
        <v>4046</v>
      </c>
      <c r="F383" t="s">
        <v>16</v>
      </c>
      <c r="G383" s="1">
        <v>46219</v>
      </c>
      <c r="H383" s="1">
        <v>46248</v>
      </c>
      <c r="I383" s="2">
        <v>0.25</v>
      </c>
      <c r="J383" s="2">
        <v>0.66666666666666663</v>
      </c>
      <c r="K383" t="s">
        <v>237</v>
      </c>
      <c r="L383">
        <v>0</v>
      </c>
      <c r="M383" t="s">
        <v>4255</v>
      </c>
      <c r="N383" t="s">
        <v>236</v>
      </c>
      <c r="O383" t="s">
        <v>237</v>
      </c>
      <c r="P383" t="s">
        <v>4042</v>
      </c>
      <c r="Q383">
        <v>10</v>
      </c>
      <c r="R383" t="s">
        <v>4256</v>
      </c>
    </row>
    <row r="384" spans="1:18" hidden="1" x14ac:dyDescent="0.25">
      <c r="A384" s="1">
        <v>46249</v>
      </c>
      <c r="B384">
        <v>1037630071</v>
      </c>
      <c r="C384" t="s">
        <v>4196</v>
      </c>
      <c r="D384" t="s">
        <v>176</v>
      </c>
      <c r="E384" t="s">
        <v>4040</v>
      </c>
      <c r="F384" t="s">
        <v>4062</v>
      </c>
      <c r="G384" s="1">
        <v>46247</v>
      </c>
      <c r="H384" s="1">
        <v>46265</v>
      </c>
      <c r="I384" s="2">
        <v>0.25</v>
      </c>
      <c r="J384" s="2">
        <v>0.66666666666666663</v>
      </c>
      <c r="K384" t="s">
        <v>304</v>
      </c>
      <c r="L384">
        <v>0</v>
      </c>
      <c r="M384" t="s">
        <v>4257</v>
      </c>
      <c r="N384" t="s">
        <v>303</v>
      </c>
      <c r="O384" t="s">
        <v>304</v>
      </c>
      <c r="P384" t="s">
        <v>4042</v>
      </c>
      <c r="Q384">
        <v>10</v>
      </c>
    </row>
    <row r="385" spans="1:18" hidden="1" x14ac:dyDescent="0.25">
      <c r="A385" s="1">
        <v>46249</v>
      </c>
      <c r="B385">
        <v>1143460426</v>
      </c>
      <c r="C385" t="s">
        <v>4069</v>
      </c>
      <c r="D385" t="s">
        <v>64</v>
      </c>
      <c r="E385" t="s">
        <v>4046</v>
      </c>
      <c r="F385" t="s">
        <v>4050</v>
      </c>
      <c r="G385" s="1">
        <v>46195</v>
      </c>
      <c r="H385" s="1">
        <v>46198</v>
      </c>
      <c r="I385" s="2"/>
      <c r="J385" s="2"/>
      <c r="K385" s="4" t="s">
        <v>341</v>
      </c>
      <c r="L385">
        <v>0</v>
      </c>
      <c r="P385" t="s">
        <v>4042</v>
      </c>
      <c r="Q385">
        <v>0</v>
      </c>
      <c r="R385" s="8"/>
    </row>
    <row r="386" spans="1:18" hidden="1" x14ac:dyDescent="0.25">
      <c r="A386" s="1">
        <v>46249</v>
      </c>
      <c r="B386">
        <v>1001996913</v>
      </c>
      <c r="C386" t="s">
        <v>3174</v>
      </c>
      <c r="D386" t="s">
        <v>28</v>
      </c>
      <c r="E386" t="s">
        <v>4046</v>
      </c>
      <c r="F386" t="s">
        <v>4074</v>
      </c>
      <c r="G386" s="1">
        <v>46248</v>
      </c>
      <c r="H386" s="1">
        <v>46249</v>
      </c>
      <c r="I386" s="2"/>
      <c r="J386" s="2"/>
      <c r="K386" t="s">
        <v>4083</v>
      </c>
      <c r="L386">
        <v>0</v>
      </c>
      <c r="P386" t="s">
        <v>4042</v>
      </c>
      <c r="Q386">
        <v>0</v>
      </c>
    </row>
    <row r="387" spans="1:18" hidden="1" x14ac:dyDescent="0.25">
      <c r="A387" s="1">
        <v>46249</v>
      </c>
      <c r="B387">
        <v>73189515</v>
      </c>
      <c r="C387" t="s">
        <v>773</v>
      </c>
      <c r="D387" t="s">
        <v>272</v>
      </c>
      <c r="E387" t="s">
        <v>4056</v>
      </c>
      <c r="F387" t="s">
        <v>4087</v>
      </c>
      <c r="G387" s="1">
        <v>46248</v>
      </c>
      <c r="H387" s="1">
        <v>46252</v>
      </c>
      <c r="I387" s="2">
        <v>0.25</v>
      </c>
      <c r="J387" s="2">
        <v>0.58333333333333337</v>
      </c>
      <c r="K387" t="s">
        <v>561</v>
      </c>
      <c r="L387">
        <v>0</v>
      </c>
      <c r="M387" t="s">
        <v>4255</v>
      </c>
      <c r="N387" t="s">
        <v>560</v>
      </c>
      <c r="O387" t="s">
        <v>561</v>
      </c>
      <c r="P387" t="s">
        <v>4042</v>
      </c>
      <c r="Q387">
        <v>8</v>
      </c>
      <c r="R387" t="s">
        <v>4262</v>
      </c>
    </row>
    <row r="388" spans="1:18" hidden="1" x14ac:dyDescent="0.25">
      <c r="A388" s="1">
        <v>46249</v>
      </c>
      <c r="B388">
        <v>43978621</v>
      </c>
      <c r="C388" t="s">
        <v>1600</v>
      </c>
      <c r="D388" t="s">
        <v>272</v>
      </c>
      <c r="E388" t="s">
        <v>4056</v>
      </c>
      <c r="F388" t="s">
        <v>4074</v>
      </c>
      <c r="G388" s="1">
        <v>46248</v>
      </c>
      <c r="H388" s="1"/>
      <c r="I388" s="2">
        <v>0.25</v>
      </c>
      <c r="J388" s="2">
        <v>0.58333333333333337</v>
      </c>
      <c r="K388" t="s">
        <v>4162</v>
      </c>
      <c r="L388">
        <v>0</v>
      </c>
      <c r="M388" t="s">
        <v>4255</v>
      </c>
      <c r="N388" t="s">
        <v>285</v>
      </c>
      <c r="O388" t="s">
        <v>286</v>
      </c>
      <c r="P388" t="s">
        <v>4042</v>
      </c>
      <c r="Q388">
        <v>8</v>
      </c>
      <c r="R388" t="s">
        <v>4262</v>
      </c>
    </row>
    <row r="389" spans="1:18" hidden="1" x14ac:dyDescent="0.25">
      <c r="A389" s="1">
        <v>46249</v>
      </c>
      <c r="B389">
        <v>1001032700</v>
      </c>
      <c r="C389" t="s">
        <v>340</v>
      </c>
      <c r="D389" t="s">
        <v>421</v>
      </c>
      <c r="E389" t="s">
        <v>4047</v>
      </c>
      <c r="F389" t="s">
        <v>4104</v>
      </c>
      <c r="G389" s="1">
        <v>46249</v>
      </c>
      <c r="H389" s="1">
        <v>46249</v>
      </c>
      <c r="I389" s="2">
        <v>0.25</v>
      </c>
      <c r="J389" s="2">
        <v>0.58333333333333337</v>
      </c>
      <c r="K389" t="s">
        <v>339</v>
      </c>
      <c r="L389">
        <v>0</v>
      </c>
      <c r="M389" t="s">
        <v>4257</v>
      </c>
      <c r="N389" t="s">
        <v>4202</v>
      </c>
      <c r="O389" t="s">
        <v>340</v>
      </c>
      <c r="P389" t="s">
        <v>4042</v>
      </c>
      <c r="Q389">
        <v>8</v>
      </c>
    </row>
    <row r="390" spans="1:18" hidden="1" x14ac:dyDescent="0.25">
      <c r="A390" s="1">
        <v>46249</v>
      </c>
      <c r="B390">
        <v>1143880690</v>
      </c>
      <c r="C390" t="s">
        <v>307</v>
      </c>
      <c r="D390" t="s">
        <v>421</v>
      </c>
      <c r="E390" t="s">
        <v>4047</v>
      </c>
      <c r="F390" t="s">
        <v>4104</v>
      </c>
      <c r="G390" s="1">
        <v>46249</v>
      </c>
      <c r="H390" s="1">
        <v>46249</v>
      </c>
      <c r="I390" s="2">
        <v>0.25</v>
      </c>
      <c r="J390" s="2">
        <v>0.58333333333333337</v>
      </c>
      <c r="K390" t="s">
        <v>339</v>
      </c>
      <c r="L390">
        <v>0</v>
      </c>
      <c r="M390" t="s">
        <v>4257</v>
      </c>
      <c r="N390" t="s">
        <v>306</v>
      </c>
      <c r="O390" t="s">
        <v>307</v>
      </c>
      <c r="P390" t="s">
        <v>4042</v>
      </c>
      <c r="Q390">
        <v>8</v>
      </c>
    </row>
    <row r="391" spans="1:18" hidden="1" x14ac:dyDescent="0.25">
      <c r="A391" s="1">
        <v>46249</v>
      </c>
      <c r="B391">
        <v>1193454765</v>
      </c>
      <c r="C391" t="s">
        <v>1428</v>
      </c>
      <c r="D391" t="s">
        <v>634</v>
      </c>
      <c r="E391" t="s">
        <v>4040</v>
      </c>
      <c r="F391" t="s">
        <v>4104</v>
      </c>
      <c r="G391" s="1">
        <v>46249</v>
      </c>
      <c r="H391" s="1">
        <v>46249</v>
      </c>
      <c r="I391" s="2">
        <v>0.25</v>
      </c>
      <c r="J391" s="2">
        <v>0.54166666666666663</v>
      </c>
      <c r="K391" t="s">
        <v>4197</v>
      </c>
      <c r="L391">
        <v>0</v>
      </c>
      <c r="M391" t="s">
        <v>4260</v>
      </c>
      <c r="N391" t="s">
        <v>1427</v>
      </c>
      <c r="O391" t="s">
        <v>1428</v>
      </c>
      <c r="P391" t="s">
        <v>4042</v>
      </c>
      <c r="Q391">
        <v>7</v>
      </c>
    </row>
    <row r="392" spans="1:18" hidden="1" x14ac:dyDescent="0.25">
      <c r="A392" s="1">
        <v>46249</v>
      </c>
      <c r="B392">
        <v>1065013348</v>
      </c>
      <c r="C392" t="s">
        <v>252</v>
      </c>
      <c r="D392" t="s">
        <v>634</v>
      </c>
      <c r="E392" t="s">
        <v>4047</v>
      </c>
      <c r="F392" t="s">
        <v>4104</v>
      </c>
      <c r="G392" s="1">
        <v>46249</v>
      </c>
      <c r="H392" s="1">
        <v>46249</v>
      </c>
      <c r="I392" s="2">
        <v>0.25</v>
      </c>
      <c r="J392" s="2">
        <v>0.54166666666666663</v>
      </c>
      <c r="K392" t="s">
        <v>4198</v>
      </c>
      <c r="L392">
        <v>0</v>
      </c>
      <c r="M392" t="s">
        <v>4259</v>
      </c>
      <c r="N392" t="s">
        <v>251</v>
      </c>
      <c r="O392" t="s">
        <v>252</v>
      </c>
      <c r="P392" t="s">
        <v>4042</v>
      </c>
      <c r="Q392">
        <v>7</v>
      </c>
    </row>
    <row r="393" spans="1:18" hidden="1" x14ac:dyDescent="0.25">
      <c r="A393" s="1">
        <v>46249</v>
      </c>
      <c r="B393">
        <v>1047363064</v>
      </c>
      <c r="C393" t="s">
        <v>241</v>
      </c>
      <c r="D393" t="s">
        <v>143</v>
      </c>
      <c r="E393" t="s">
        <v>4045</v>
      </c>
      <c r="F393" t="s">
        <v>4104</v>
      </c>
      <c r="G393" s="1">
        <v>46249</v>
      </c>
      <c r="H393" s="1">
        <v>46249</v>
      </c>
      <c r="I393" s="2">
        <v>0.25</v>
      </c>
      <c r="J393" s="2">
        <v>0.54166666666666663</v>
      </c>
      <c r="K393" t="s">
        <v>4199</v>
      </c>
      <c r="L393">
        <v>0</v>
      </c>
      <c r="M393" t="s">
        <v>4257</v>
      </c>
      <c r="N393" t="s">
        <v>240</v>
      </c>
      <c r="O393" t="s">
        <v>241</v>
      </c>
      <c r="P393" t="s">
        <v>4042</v>
      </c>
      <c r="Q393">
        <v>7</v>
      </c>
    </row>
    <row r="394" spans="1:18" hidden="1" x14ac:dyDescent="0.25">
      <c r="A394" s="1">
        <v>46249</v>
      </c>
      <c r="B394">
        <v>1017261828</v>
      </c>
      <c r="C394" t="s">
        <v>210</v>
      </c>
      <c r="D394" t="s">
        <v>28</v>
      </c>
      <c r="E394" t="s">
        <v>4046</v>
      </c>
      <c r="F394" t="s">
        <v>16</v>
      </c>
      <c r="G394" s="1">
        <v>46248</v>
      </c>
      <c r="H394" s="1">
        <v>46249</v>
      </c>
      <c r="I394" s="2"/>
      <c r="J394" s="2"/>
      <c r="K394" t="s">
        <v>341</v>
      </c>
      <c r="L394">
        <v>0</v>
      </c>
      <c r="P394" t="s">
        <v>4042</v>
      </c>
      <c r="Q394">
        <v>0</v>
      </c>
    </row>
    <row r="395" spans="1:18" hidden="1" x14ac:dyDescent="0.25">
      <c r="A395" s="1">
        <v>46249</v>
      </c>
      <c r="B395">
        <v>1036132488</v>
      </c>
      <c r="C395" t="s">
        <v>58</v>
      </c>
      <c r="D395" t="s">
        <v>59</v>
      </c>
      <c r="E395" t="s">
        <v>4047</v>
      </c>
      <c r="F395" t="s">
        <v>4074</v>
      </c>
      <c r="G395" s="1">
        <v>46248</v>
      </c>
      <c r="H395" s="1">
        <v>46249</v>
      </c>
      <c r="I395" s="2"/>
      <c r="J395" s="2"/>
      <c r="K395" t="s">
        <v>4083</v>
      </c>
      <c r="L395">
        <v>0</v>
      </c>
      <c r="P395" t="s">
        <v>4042</v>
      </c>
      <c r="Q395">
        <v>0</v>
      </c>
    </row>
    <row r="396" spans="1:18" hidden="1" x14ac:dyDescent="0.25">
      <c r="A396" s="1">
        <v>46249</v>
      </c>
      <c r="B396">
        <v>1001014608</v>
      </c>
      <c r="C396" t="s">
        <v>573</v>
      </c>
      <c r="D396" t="s">
        <v>55</v>
      </c>
      <c r="E396" t="s">
        <v>4040</v>
      </c>
      <c r="F396" t="s">
        <v>4074</v>
      </c>
      <c r="G396" s="1">
        <v>46249</v>
      </c>
      <c r="H396" s="1">
        <v>46249</v>
      </c>
      <c r="I396" s="2"/>
      <c r="J396" s="2"/>
      <c r="K396" t="s">
        <v>4083</v>
      </c>
      <c r="L396">
        <v>0</v>
      </c>
      <c r="P396" t="s">
        <v>4042</v>
      </c>
      <c r="Q396">
        <v>0</v>
      </c>
    </row>
    <row r="397" spans="1:18" hidden="1" x14ac:dyDescent="0.25">
      <c r="A397" s="1">
        <v>46252</v>
      </c>
      <c r="B397">
        <v>1102808787</v>
      </c>
      <c r="C397" t="s">
        <v>135</v>
      </c>
      <c r="D397" t="s">
        <v>39</v>
      </c>
      <c r="E397" t="s">
        <v>4046</v>
      </c>
      <c r="F397" t="s">
        <v>16</v>
      </c>
      <c r="G397" s="1">
        <v>46237</v>
      </c>
      <c r="H397" s="1">
        <v>46276</v>
      </c>
      <c r="I397" s="2">
        <v>0.25</v>
      </c>
      <c r="J397" s="2">
        <v>0.58333333333333337</v>
      </c>
      <c r="K397" t="s">
        <v>319</v>
      </c>
      <c r="L397">
        <v>0</v>
      </c>
      <c r="M397" t="s">
        <v>4258</v>
      </c>
      <c r="N397" t="s">
        <v>318</v>
      </c>
      <c r="O397" t="s">
        <v>319</v>
      </c>
      <c r="P397" t="s">
        <v>4042</v>
      </c>
      <c r="Q397">
        <v>8</v>
      </c>
    </row>
    <row r="398" spans="1:18" hidden="1" x14ac:dyDescent="0.25">
      <c r="A398" s="1">
        <v>46252</v>
      </c>
      <c r="B398">
        <v>1045718883</v>
      </c>
      <c r="C398" t="s">
        <v>34</v>
      </c>
      <c r="D398" t="s">
        <v>15</v>
      </c>
      <c r="E398" t="s">
        <v>4046</v>
      </c>
      <c r="F398" t="s">
        <v>36</v>
      </c>
      <c r="G398" s="1">
        <v>46245</v>
      </c>
      <c r="H398" s="1">
        <v>46340</v>
      </c>
      <c r="I398" s="2">
        <v>0.54166666666666663</v>
      </c>
      <c r="J398" s="2">
        <v>0.875</v>
      </c>
      <c r="K398" s="4" t="s">
        <v>18</v>
      </c>
      <c r="L398">
        <v>2</v>
      </c>
      <c r="M398" t="s">
        <v>4258</v>
      </c>
      <c r="N398" t="s">
        <v>17</v>
      </c>
      <c r="O398" t="s">
        <v>18</v>
      </c>
      <c r="P398" t="s">
        <v>21</v>
      </c>
      <c r="Q398">
        <v>8</v>
      </c>
    </row>
    <row r="399" spans="1:18" hidden="1" x14ac:dyDescent="0.25">
      <c r="A399" s="1">
        <v>46252</v>
      </c>
      <c r="B399">
        <v>1035876080</v>
      </c>
      <c r="C399" t="s">
        <v>123</v>
      </c>
      <c r="D399" t="s">
        <v>124</v>
      </c>
      <c r="E399" t="s">
        <v>4045</v>
      </c>
      <c r="F399" t="s">
        <v>16</v>
      </c>
      <c r="G399" s="1">
        <v>46246</v>
      </c>
      <c r="H399" s="1">
        <v>46254</v>
      </c>
      <c r="I399" s="2">
        <v>0.25</v>
      </c>
      <c r="J399" s="2">
        <v>0.54166666666666663</v>
      </c>
      <c r="K399" t="s">
        <v>120</v>
      </c>
      <c r="L399">
        <v>0</v>
      </c>
      <c r="M399" t="s">
        <v>4257</v>
      </c>
      <c r="N399" t="s">
        <v>119</v>
      </c>
      <c r="O399" t="s">
        <v>120</v>
      </c>
      <c r="P399" t="s">
        <v>4042</v>
      </c>
      <c r="Q399">
        <v>7</v>
      </c>
    </row>
    <row r="400" spans="1:18" hidden="1" x14ac:dyDescent="0.25">
      <c r="A400" s="1">
        <v>46252</v>
      </c>
      <c r="B400">
        <v>1037638426</v>
      </c>
      <c r="C400" t="s">
        <v>31</v>
      </c>
      <c r="D400" t="s">
        <v>28</v>
      </c>
      <c r="E400" t="s">
        <v>4046</v>
      </c>
      <c r="F400" t="s">
        <v>24</v>
      </c>
      <c r="G400" s="1">
        <v>46249</v>
      </c>
      <c r="H400" s="1">
        <v>46262</v>
      </c>
      <c r="I400" s="2">
        <v>0.54166666666666663</v>
      </c>
      <c r="J400" s="2">
        <v>0.875</v>
      </c>
      <c r="K400" s="4" t="s">
        <v>223</v>
      </c>
      <c r="L400">
        <v>2</v>
      </c>
      <c r="M400" t="s">
        <v>4258</v>
      </c>
      <c r="N400" t="s">
        <v>222</v>
      </c>
      <c r="O400" t="s">
        <v>223</v>
      </c>
      <c r="P400" t="s">
        <v>21</v>
      </c>
      <c r="Q400">
        <v>8</v>
      </c>
    </row>
    <row r="401" spans="1:18" hidden="1" x14ac:dyDescent="0.25">
      <c r="A401" s="1">
        <v>46252</v>
      </c>
      <c r="B401">
        <v>1082896324</v>
      </c>
      <c r="C401" t="s">
        <v>127</v>
      </c>
      <c r="D401" t="s">
        <v>128</v>
      </c>
      <c r="E401" t="s">
        <v>4045</v>
      </c>
      <c r="F401" t="s">
        <v>16</v>
      </c>
      <c r="G401" s="1">
        <v>46242</v>
      </c>
      <c r="H401" s="1">
        <v>46272</v>
      </c>
      <c r="I401" s="2">
        <v>0.25</v>
      </c>
      <c r="J401" s="2">
        <v>0.54166666666666663</v>
      </c>
      <c r="K401" t="s">
        <v>151</v>
      </c>
      <c r="L401">
        <v>0</v>
      </c>
      <c r="M401" t="s">
        <v>4257</v>
      </c>
      <c r="N401" t="s">
        <v>150</v>
      </c>
      <c r="O401" t="s">
        <v>151</v>
      </c>
      <c r="P401" t="s">
        <v>4042</v>
      </c>
      <c r="Q401">
        <v>7</v>
      </c>
    </row>
    <row r="402" spans="1:18" hidden="1" x14ac:dyDescent="0.25">
      <c r="A402" s="1">
        <v>46252</v>
      </c>
      <c r="B402">
        <v>1015483595</v>
      </c>
      <c r="C402" t="s">
        <v>23</v>
      </c>
      <c r="D402" t="s">
        <v>15</v>
      </c>
      <c r="E402" t="s">
        <v>4046</v>
      </c>
      <c r="F402" t="s">
        <v>24</v>
      </c>
      <c r="G402" s="1">
        <v>46244</v>
      </c>
      <c r="H402" s="1">
        <v>46265</v>
      </c>
      <c r="I402" s="2">
        <v>0.25</v>
      </c>
      <c r="J402" s="2">
        <v>0.58333333333333337</v>
      </c>
      <c r="K402" t="s">
        <v>104</v>
      </c>
      <c r="L402">
        <v>0</v>
      </c>
      <c r="M402" t="s">
        <v>4258</v>
      </c>
      <c r="N402" t="s">
        <v>103</v>
      </c>
      <c r="O402" t="s">
        <v>104</v>
      </c>
      <c r="P402" t="s">
        <v>4042</v>
      </c>
      <c r="Q402">
        <v>8</v>
      </c>
    </row>
    <row r="403" spans="1:18" hidden="1" x14ac:dyDescent="0.25">
      <c r="A403" s="1">
        <v>46252</v>
      </c>
      <c r="B403">
        <v>1001851670</v>
      </c>
      <c r="C403" t="s">
        <v>50</v>
      </c>
      <c r="D403" t="s">
        <v>51</v>
      </c>
      <c r="E403" t="s">
        <v>4047</v>
      </c>
      <c r="F403" t="s">
        <v>36</v>
      </c>
      <c r="G403" s="1">
        <v>46241</v>
      </c>
      <c r="H403" s="1">
        <v>46366</v>
      </c>
      <c r="I403" s="2">
        <v>0.54166666666666663</v>
      </c>
      <c r="J403" s="2">
        <v>0.875</v>
      </c>
      <c r="K403" s="4" t="s">
        <v>46</v>
      </c>
      <c r="L403">
        <v>2</v>
      </c>
      <c r="M403" t="s">
        <v>4260</v>
      </c>
      <c r="N403" t="s">
        <v>45</v>
      </c>
      <c r="O403" t="s">
        <v>46</v>
      </c>
      <c r="P403" t="s">
        <v>21</v>
      </c>
      <c r="Q403">
        <v>8</v>
      </c>
    </row>
    <row r="404" spans="1:18" hidden="1" x14ac:dyDescent="0.25">
      <c r="A404" s="1">
        <v>46252</v>
      </c>
      <c r="B404">
        <v>42141273</v>
      </c>
      <c r="C404" t="s">
        <v>271</v>
      </c>
      <c r="D404" t="s">
        <v>272</v>
      </c>
      <c r="E404" t="s">
        <v>4056</v>
      </c>
      <c r="F404" t="s">
        <v>4065</v>
      </c>
      <c r="G404" s="1">
        <v>46238</v>
      </c>
      <c r="H404" s="1">
        <v>46295</v>
      </c>
      <c r="I404" s="2">
        <v>0.25</v>
      </c>
      <c r="J404" s="2">
        <v>0.5</v>
      </c>
      <c r="K404" t="s">
        <v>185</v>
      </c>
      <c r="L404">
        <v>0</v>
      </c>
      <c r="M404" t="s">
        <v>4255</v>
      </c>
      <c r="N404" t="s">
        <v>184</v>
      </c>
      <c r="O404" t="s">
        <v>185</v>
      </c>
      <c r="P404" t="s">
        <v>4042</v>
      </c>
      <c r="Q404">
        <v>6</v>
      </c>
      <c r="R404" t="s">
        <v>4262</v>
      </c>
    </row>
    <row r="405" spans="1:18" hidden="1" x14ac:dyDescent="0.25">
      <c r="A405" s="1">
        <v>46252</v>
      </c>
      <c r="B405">
        <v>1152221372</v>
      </c>
      <c r="C405" t="s">
        <v>2363</v>
      </c>
      <c r="D405" t="s">
        <v>139</v>
      </c>
      <c r="E405" t="s">
        <v>4040</v>
      </c>
      <c r="F405" t="s">
        <v>158</v>
      </c>
      <c r="G405" s="1">
        <v>46230</v>
      </c>
      <c r="H405" s="1">
        <v>46230</v>
      </c>
      <c r="I405" s="2">
        <v>0.25</v>
      </c>
      <c r="J405" s="2">
        <v>0.54166666666666663</v>
      </c>
      <c r="K405" t="s">
        <v>182</v>
      </c>
      <c r="L405">
        <v>0</v>
      </c>
      <c r="M405" t="s">
        <v>4260</v>
      </c>
      <c r="N405" t="s">
        <v>181</v>
      </c>
      <c r="O405" t="s">
        <v>182</v>
      </c>
      <c r="P405" t="s">
        <v>4042</v>
      </c>
      <c r="Q405">
        <v>7</v>
      </c>
    </row>
    <row r="406" spans="1:18" hidden="1" x14ac:dyDescent="0.25">
      <c r="A406" s="1">
        <v>46252</v>
      </c>
      <c r="B406">
        <v>1017264032</v>
      </c>
      <c r="C406" t="s">
        <v>54</v>
      </c>
      <c r="D406" t="s">
        <v>55</v>
      </c>
      <c r="E406" t="s">
        <v>4047</v>
      </c>
      <c r="F406" t="s">
        <v>16</v>
      </c>
      <c r="G406" s="1">
        <v>46229</v>
      </c>
      <c r="H406" s="1">
        <v>46258</v>
      </c>
      <c r="I406" s="2">
        <v>0.25</v>
      </c>
      <c r="J406" s="2">
        <v>0.58333333333333337</v>
      </c>
      <c r="K406" t="s">
        <v>86</v>
      </c>
      <c r="L406">
        <v>0</v>
      </c>
      <c r="M406" t="s">
        <v>4259</v>
      </c>
      <c r="N406" t="s">
        <v>85</v>
      </c>
      <c r="O406" t="s">
        <v>86</v>
      </c>
      <c r="P406" t="s">
        <v>4042</v>
      </c>
      <c r="Q406">
        <v>8</v>
      </c>
    </row>
    <row r="407" spans="1:18" hidden="1" x14ac:dyDescent="0.25">
      <c r="A407" s="1">
        <v>46252</v>
      </c>
      <c r="B407">
        <v>1143414481</v>
      </c>
      <c r="C407" t="s">
        <v>2447</v>
      </c>
      <c r="D407" t="s">
        <v>28</v>
      </c>
      <c r="E407" t="s">
        <v>4046</v>
      </c>
      <c r="F407" t="s">
        <v>4123</v>
      </c>
      <c r="G407" s="1">
        <v>46247</v>
      </c>
      <c r="H407" s="1">
        <v>46252</v>
      </c>
      <c r="I407" s="2">
        <v>0.25</v>
      </c>
      <c r="J407" s="2">
        <v>0.54166666666666663</v>
      </c>
      <c r="K407" t="s">
        <v>295</v>
      </c>
      <c r="L407">
        <v>0</v>
      </c>
      <c r="M407" t="s">
        <v>4258</v>
      </c>
      <c r="N407" t="s">
        <v>294</v>
      </c>
      <c r="O407" t="s">
        <v>295</v>
      </c>
      <c r="P407" t="s">
        <v>4042</v>
      </c>
      <c r="Q407">
        <v>7</v>
      </c>
    </row>
    <row r="408" spans="1:18" hidden="1" x14ac:dyDescent="0.25">
      <c r="A408" s="1">
        <v>46252</v>
      </c>
      <c r="B408">
        <v>1037630071</v>
      </c>
      <c r="C408" t="s">
        <v>3579</v>
      </c>
      <c r="D408" t="s">
        <v>176</v>
      </c>
      <c r="E408" t="s">
        <v>4040</v>
      </c>
      <c r="F408" t="s">
        <v>4062</v>
      </c>
      <c r="G408" s="1">
        <v>46247</v>
      </c>
      <c r="H408" s="1">
        <v>46265</v>
      </c>
      <c r="I408" s="2">
        <v>0.25</v>
      </c>
      <c r="J408" s="2">
        <v>0.58333333333333337</v>
      </c>
      <c r="K408" t="s">
        <v>252</v>
      </c>
      <c r="L408">
        <v>0</v>
      </c>
      <c r="M408" t="s">
        <v>4259</v>
      </c>
      <c r="N408" t="s">
        <v>251</v>
      </c>
      <c r="O408" t="s">
        <v>252</v>
      </c>
      <c r="P408" t="s">
        <v>4042</v>
      </c>
      <c r="Q408">
        <v>8</v>
      </c>
    </row>
    <row r="409" spans="1:18" hidden="1" x14ac:dyDescent="0.25">
      <c r="A409" s="1">
        <v>46252</v>
      </c>
      <c r="B409">
        <v>1143460426</v>
      </c>
      <c r="C409" t="s">
        <v>4069</v>
      </c>
      <c r="D409" t="s">
        <v>64</v>
      </c>
      <c r="E409" t="s">
        <v>4046</v>
      </c>
      <c r="F409" t="s">
        <v>4050</v>
      </c>
      <c r="G409" s="1">
        <v>46195</v>
      </c>
      <c r="H409" s="1">
        <v>46198</v>
      </c>
      <c r="I409" s="2">
        <v>0.25</v>
      </c>
      <c r="J409" s="2">
        <v>0.58333333333333337</v>
      </c>
      <c r="K409" t="s">
        <v>237</v>
      </c>
      <c r="L409">
        <v>0</v>
      </c>
      <c r="M409" t="s">
        <v>4255</v>
      </c>
      <c r="N409" t="s">
        <v>236</v>
      </c>
      <c r="O409" t="s">
        <v>237</v>
      </c>
      <c r="P409" t="s">
        <v>4042</v>
      </c>
      <c r="Q409">
        <v>8</v>
      </c>
      <c r="R409" t="s">
        <v>4256</v>
      </c>
    </row>
    <row r="410" spans="1:18" hidden="1" x14ac:dyDescent="0.25">
      <c r="A410" s="1">
        <v>46252</v>
      </c>
      <c r="B410">
        <v>73189515</v>
      </c>
      <c r="C410" t="s">
        <v>773</v>
      </c>
      <c r="D410" t="s">
        <v>272</v>
      </c>
      <c r="E410" t="s">
        <v>4056</v>
      </c>
      <c r="F410" t="s">
        <v>4087</v>
      </c>
      <c r="G410" s="1">
        <v>46248</v>
      </c>
      <c r="H410" s="1">
        <v>46252</v>
      </c>
      <c r="I410" s="2">
        <v>0.54166666666666663</v>
      </c>
      <c r="J410" s="2">
        <v>0.875</v>
      </c>
      <c r="K410" s="4" t="s">
        <v>268</v>
      </c>
      <c r="L410">
        <v>2</v>
      </c>
      <c r="M410" t="s">
        <v>4255</v>
      </c>
      <c r="N410" t="s">
        <v>267</v>
      </c>
      <c r="O410" t="s">
        <v>268</v>
      </c>
      <c r="P410" t="s">
        <v>21</v>
      </c>
      <c r="Q410">
        <v>8</v>
      </c>
      <c r="R410" t="s">
        <v>4262</v>
      </c>
    </row>
    <row r="411" spans="1:18" hidden="1" x14ac:dyDescent="0.25">
      <c r="A411" s="1">
        <v>46252</v>
      </c>
      <c r="B411">
        <v>1140903391</v>
      </c>
      <c r="C411" t="s">
        <v>301</v>
      </c>
      <c r="D411" t="s">
        <v>39</v>
      </c>
      <c r="E411" t="s">
        <v>4046</v>
      </c>
      <c r="F411" t="s">
        <v>4168</v>
      </c>
      <c r="G411" s="1">
        <v>46252</v>
      </c>
      <c r="H411" s="1">
        <v>46252</v>
      </c>
      <c r="I411" s="2">
        <v>0.33333333333333331</v>
      </c>
      <c r="J411" s="2">
        <v>0.66666666666666663</v>
      </c>
      <c r="K411" t="s">
        <v>339</v>
      </c>
      <c r="L411">
        <v>0</v>
      </c>
      <c r="M411" t="s">
        <v>4258</v>
      </c>
      <c r="N411" t="s">
        <v>300</v>
      </c>
      <c r="O411" t="s">
        <v>301</v>
      </c>
      <c r="P411" t="s">
        <v>4042</v>
      </c>
      <c r="Q411">
        <v>8</v>
      </c>
    </row>
    <row r="412" spans="1:18" hidden="1" x14ac:dyDescent="0.25">
      <c r="A412" s="1">
        <v>46252</v>
      </c>
      <c r="B412">
        <v>1040755197</v>
      </c>
      <c r="C412" t="s">
        <v>171</v>
      </c>
      <c r="D412" t="s">
        <v>172</v>
      </c>
      <c r="E412" t="s">
        <v>4046</v>
      </c>
      <c r="F412" t="s">
        <v>4074</v>
      </c>
      <c r="G412" s="1">
        <v>46252</v>
      </c>
      <c r="H412" s="1">
        <v>46262</v>
      </c>
      <c r="I412" s="2">
        <v>0.25</v>
      </c>
      <c r="J412" s="2">
        <v>0.54166666666666663</v>
      </c>
      <c r="K412" t="s">
        <v>4169</v>
      </c>
      <c r="L412">
        <v>0</v>
      </c>
      <c r="M412" t="s">
        <v>4257</v>
      </c>
      <c r="N412" t="s">
        <v>303</v>
      </c>
      <c r="O412" t="s">
        <v>304</v>
      </c>
      <c r="P412" t="s">
        <v>4042</v>
      </c>
      <c r="Q412">
        <v>7</v>
      </c>
    </row>
    <row r="413" spans="1:18" hidden="1" x14ac:dyDescent="0.25">
      <c r="A413" s="1">
        <v>46252</v>
      </c>
      <c r="B413">
        <v>1043006106</v>
      </c>
      <c r="C413" t="s">
        <v>202</v>
      </c>
      <c r="D413" t="s">
        <v>64</v>
      </c>
      <c r="E413" t="s">
        <v>4046</v>
      </c>
      <c r="F413" t="s">
        <v>16</v>
      </c>
      <c r="G413" s="1">
        <v>46248</v>
      </c>
      <c r="H413" s="1">
        <v>46277</v>
      </c>
      <c r="I413" s="2">
        <v>0.25</v>
      </c>
      <c r="J413" s="2">
        <v>0.58333333333333337</v>
      </c>
      <c r="K413" t="s">
        <v>200</v>
      </c>
      <c r="L413">
        <v>0</v>
      </c>
      <c r="M413" t="s">
        <v>4257</v>
      </c>
      <c r="N413" t="s">
        <v>199</v>
      </c>
      <c r="O413" t="s">
        <v>200</v>
      </c>
      <c r="P413" t="s">
        <v>4042</v>
      </c>
      <c r="Q413">
        <v>8</v>
      </c>
    </row>
    <row r="414" spans="1:18" hidden="1" x14ac:dyDescent="0.25">
      <c r="A414" s="1">
        <v>46252</v>
      </c>
      <c r="B414">
        <v>1152187746</v>
      </c>
      <c r="C414" t="s">
        <v>4007</v>
      </c>
      <c r="D414" t="s">
        <v>619</v>
      </c>
      <c r="E414" t="s">
        <v>4045</v>
      </c>
      <c r="F414" t="s">
        <v>4074</v>
      </c>
      <c r="G414" s="1">
        <v>46249</v>
      </c>
      <c r="H414" s="1"/>
      <c r="I414" s="2">
        <v>0.25</v>
      </c>
      <c r="J414" s="2">
        <v>0.54166666666666663</v>
      </c>
      <c r="K414" t="s">
        <v>4170</v>
      </c>
      <c r="L414">
        <v>0</v>
      </c>
      <c r="M414" t="s">
        <v>4257</v>
      </c>
      <c r="N414" t="s">
        <v>167</v>
      </c>
      <c r="O414" t="s">
        <v>168</v>
      </c>
      <c r="P414" t="s">
        <v>4042</v>
      </c>
      <c r="Q414">
        <v>7</v>
      </c>
    </row>
    <row r="415" spans="1:18" hidden="1" x14ac:dyDescent="0.25">
      <c r="A415" s="1">
        <v>46252</v>
      </c>
      <c r="B415">
        <v>1001446162</v>
      </c>
      <c r="C415" t="s">
        <v>3663</v>
      </c>
      <c r="D415" t="s">
        <v>4125</v>
      </c>
      <c r="E415" t="s">
        <v>4056</v>
      </c>
      <c r="F415" t="s">
        <v>4125</v>
      </c>
      <c r="G415" s="1">
        <v>46252</v>
      </c>
      <c r="H415" s="1">
        <v>46252</v>
      </c>
      <c r="I415" s="2">
        <v>0.25</v>
      </c>
      <c r="J415" s="2">
        <v>0.58333333333333337</v>
      </c>
      <c r="K415" t="s">
        <v>339</v>
      </c>
      <c r="L415">
        <v>0</v>
      </c>
      <c r="M415" t="s">
        <v>4255</v>
      </c>
      <c r="N415" t="s">
        <v>3662</v>
      </c>
      <c r="O415" t="s">
        <v>3663</v>
      </c>
      <c r="P415" t="s">
        <v>4042</v>
      </c>
      <c r="Q415">
        <v>8</v>
      </c>
    </row>
    <row r="416" spans="1:18" hidden="1" x14ac:dyDescent="0.25">
      <c r="A416" s="1">
        <v>46252</v>
      </c>
      <c r="B416">
        <v>1036965348</v>
      </c>
      <c r="C416" t="s">
        <v>229</v>
      </c>
      <c r="D416" t="s">
        <v>4079</v>
      </c>
      <c r="E416" t="s">
        <v>4046</v>
      </c>
      <c r="F416" t="s">
        <v>4079</v>
      </c>
      <c r="G416" s="1">
        <v>46252</v>
      </c>
      <c r="H416" s="1">
        <v>46252</v>
      </c>
      <c r="I416" s="2">
        <v>0.25</v>
      </c>
      <c r="J416" s="2">
        <v>0.58333333333333337</v>
      </c>
      <c r="K416" t="s">
        <v>339</v>
      </c>
      <c r="L416">
        <v>0</v>
      </c>
      <c r="M416" t="s">
        <v>4258</v>
      </c>
      <c r="N416" t="s">
        <v>228</v>
      </c>
      <c r="O416" t="s">
        <v>229</v>
      </c>
      <c r="P416" t="s">
        <v>4042</v>
      </c>
      <c r="Q416">
        <v>8</v>
      </c>
    </row>
    <row r="417" spans="1:18" hidden="1" x14ac:dyDescent="0.25">
      <c r="A417" s="1">
        <v>46252</v>
      </c>
      <c r="B417">
        <v>1143880690</v>
      </c>
      <c r="C417" t="s">
        <v>307</v>
      </c>
      <c r="D417" t="s">
        <v>128</v>
      </c>
      <c r="E417" t="s">
        <v>4045</v>
      </c>
      <c r="F417" t="s">
        <v>4104</v>
      </c>
      <c r="G417" s="1">
        <v>46252</v>
      </c>
      <c r="H417" s="1">
        <v>46252</v>
      </c>
      <c r="I417" s="2">
        <v>0.25</v>
      </c>
      <c r="J417" s="2">
        <v>0.58333333333333337</v>
      </c>
      <c r="K417" t="s">
        <v>339</v>
      </c>
      <c r="L417">
        <v>0</v>
      </c>
      <c r="M417" t="s">
        <v>4257</v>
      </c>
      <c r="N417" t="s">
        <v>306</v>
      </c>
      <c r="O417" t="s">
        <v>307</v>
      </c>
      <c r="P417" t="s">
        <v>4042</v>
      </c>
      <c r="Q417">
        <v>8</v>
      </c>
    </row>
    <row r="418" spans="1:18" hidden="1" x14ac:dyDescent="0.25">
      <c r="A418" s="1">
        <v>46252</v>
      </c>
      <c r="B418">
        <v>1193454765</v>
      </c>
      <c r="C418" t="s">
        <v>1428</v>
      </c>
      <c r="D418" t="s">
        <v>128</v>
      </c>
      <c r="E418" t="s">
        <v>4040</v>
      </c>
      <c r="F418" t="s">
        <v>4104</v>
      </c>
      <c r="G418" s="1">
        <v>46252</v>
      </c>
      <c r="H418" s="1">
        <v>46252</v>
      </c>
      <c r="I418" s="2">
        <v>0.5</v>
      </c>
      <c r="J418" s="2">
        <v>0.79166666666666663</v>
      </c>
      <c r="K418" t="s">
        <v>339</v>
      </c>
      <c r="L418">
        <v>0</v>
      </c>
      <c r="M418" t="s">
        <v>4260</v>
      </c>
      <c r="N418" t="s">
        <v>1427</v>
      </c>
      <c r="O418" t="s">
        <v>1428</v>
      </c>
      <c r="P418" t="s">
        <v>4042</v>
      </c>
      <c r="Q418">
        <v>7</v>
      </c>
    </row>
    <row r="419" spans="1:18" hidden="1" x14ac:dyDescent="0.25">
      <c r="A419" s="1">
        <v>46252</v>
      </c>
      <c r="B419">
        <v>52932342</v>
      </c>
      <c r="C419" t="s">
        <v>564</v>
      </c>
      <c r="D419" t="s">
        <v>421</v>
      </c>
      <c r="E419" t="s">
        <v>4047</v>
      </c>
      <c r="F419" t="s">
        <v>4074</v>
      </c>
      <c r="G419" s="1">
        <v>46252</v>
      </c>
      <c r="H419" s="1">
        <v>46254</v>
      </c>
      <c r="I419" s="2">
        <v>0.25</v>
      </c>
      <c r="J419" s="2">
        <v>0.58333333333333337</v>
      </c>
      <c r="K419" t="s">
        <v>4171</v>
      </c>
      <c r="L419">
        <v>0</v>
      </c>
      <c r="M419" t="s">
        <v>4257</v>
      </c>
      <c r="N419" t="s">
        <v>4202</v>
      </c>
      <c r="O419" t="s">
        <v>340</v>
      </c>
      <c r="P419" t="s">
        <v>4042</v>
      </c>
      <c r="Q419">
        <v>8</v>
      </c>
    </row>
    <row r="420" spans="1:18" hidden="1" x14ac:dyDescent="0.25">
      <c r="A420" s="1">
        <v>46252</v>
      </c>
      <c r="B420">
        <v>1040047481</v>
      </c>
      <c r="C420" t="s">
        <v>2331</v>
      </c>
      <c r="D420" t="s">
        <v>272</v>
      </c>
      <c r="E420" t="s">
        <v>4056</v>
      </c>
      <c r="F420" t="s">
        <v>36</v>
      </c>
      <c r="G420" s="1">
        <v>46244</v>
      </c>
      <c r="H420" s="1">
        <v>46369</v>
      </c>
      <c r="I420" s="2"/>
      <c r="J420" s="2"/>
      <c r="K420" t="s">
        <v>341</v>
      </c>
      <c r="L420">
        <v>0</v>
      </c>
      <c r="P420" t="s">
        <v>4042</v>
      </c>
      <c r="Q420">
        <v>0</v>
      </c>
    </row>
    <row r="421" spans="1:18" hidden="1" x14ac:dyDescent="0.25">
      <c r="A421" s="1">
        <v>46252</v>
      </c>
      <c r="B421">
        <v>43453341</v>
      </c>
      <c r="C421" t="s">
        <v>146</v>
      </c>
      <c r="D421" t="s">
        <v>124</v>
      </c>
      <c r="E421" t="s">
        <v>4045</v>
      </c>
      <c r="F421" t="s">
        <v>4074</v>
      </c>
      <c r="G421" s="1">
        <v>46252</v>
      </c>
      <c r="H421" s="1">
        <v>46253</v>
      </c>
      <c r="I421" s="2">
        <v>0.25</v>
      </c>
      <c r="J421" s="2">
        <v>0.54166666666666663</v>
      </c>
      <c r="K421" t="s">
        <v>4172</v>
      </c>
      <c r="L421">
        <v>0</v>
      </c>
      <c r="M421" t="s">
        <v>4257</v>
      </c>
      <c r="N421" t="s">
        <v>73</v>
      </c>
      <c r="O421" t="s">
        <v>74</v>
      </c>
      <c r="P421" t="s">
        <v>4042</v>
      </c>
      <c r="Q421">
        <v>7</v>
      </c>
    </row>
    <row r="422" spans="1:18" hidden="1" x14ac:dyDescent="0.25">
      <c r="A422" s="1">
        <v>46252</v>
      </c>
      <c r="B422">
        <v>1193037165</v>
      </c>
      <c r="C422" t="s">
        <v>3800</v>
      </c>
      <c r="D422" t="s">
        <v>78</v>
      </c>
      <c r="E422" t="s">
        <v>4046</v>
      </c>
      <c r="F422" t="s">
        <v>4074</v>
      </c>
      <c r="G422" s="1">
        <v>46252</v>
      </c>
      <c r="H422" s="1">
        <v>46253</v>
      </c>
      <c r="I422" s="2">
        <v>0.58333333333333337</v>
      </c>
      <c r="J422" s="2">
        <v>0.875</v>
      </c>
      <c r="K422" s="4" t="s">
        <v>4173</v>
      </c>
      <c r="L422">
        <v>2</v>
      </c>
      <c r="M422" t="s">
        <v>4257</v>
      </c>
      <c r="N422" t="s">
        <v>240</v>
      </c>
      <c r="O422" t="s">
        <v>241</v>
      </c>
      <c r="P422" t="s">
        <v>21</v>
      </c>
      <c r="Q422">
        <v>7</v>
      </c>
    </row>
    <row r="423" spans="1:18" hidden="1" x14ac:dyDescent="0.25">
      <c r="A423" s="1">
        <v>46252</v>
      </c>
      <c r="B423">
        <v>1143375080</v>
      </c>
      <c r="C423" t="s">
        <v>203</v>
      </c>
      <c r="D423" t="s">
        <v>44</v>
      </c>
      <c r="E423" t="s">
        <v>4045</v>
      </c>
      <c r="F423" t="s">
        <v>158</v>
      </c>
      <c r="G423" s="1">
        <v>46252</v>
      </c>
      <c r="H423" s="1"/>
      <c r="I423" s="2">
        <v>0.54166666666666663</v>
      </c>
      <c r="J423" s="2">
        <v>0.875</v>
      </c>
      <c r="K423" s="4" t="s">
        <v>232</v>
      </c>
      <c r="L423">
        <v>2</v>
      </c>
      <c r="M423" t="s">
        <v>4257</v>
      </c>
      <c r="N423" t="s">
        <v>231</v>
      </c>
      <c r="O423" t="s">
        <v>232</v>
      </c>
      <c r="P423" t="s">
        <v>21</v>
      </c>
      <c r="Q423">
        <v>8</v>
      </c>
    </row>
    <row r="424" spans="1:18" hidden="1" x14ac:dyDescent="0.25">
      <c r="A424" s="1">
        <v>46252</v>
      </c>
      <c r="B424">
        <v>1007223463</v>
      </c>
      <c r="C424" t="s">
        <v>561</v>
      </c>
      <c r="D424" t="s">
        <v>4079</v>
      </c>
      <c r="E424" t="s">
        <v>4056</v>
      </c>
      <c r="F424" t="s">
        <v>4079</v>
      </c>
      <c r="G424" s="1">
        <v>46252</v>
      </c>
      <c r="H424" s="1">
        <v>46252</v>
      </c>
      <c r="I424" s="2">
        <v>0.29166666666666669</v>
      </c>
      <c r="J424" s="2">
        <v>0.58333333333333337</v>
      </c>
      <c r="K424" t="s">
        <v>339</v>
      </c>
      <c r="L424">
        <v>0</v>
      </c>
      <c r="M424" t="s">
        <v>4255</v>
      </c>
      <c r="N424" t="s">
        <v>560</v>
      </c>
      <c r="O424" t="s">
        <v>561</v>
      </c>
      <c r="P424" t="s">
        <v>4042</v>
      </c>
      <c r="Q424">
        <v>7</v>
      </c>
    </row>
    <row r="425" spans="1:18" hidden="1" x14ac:dyDescent="0.25">
      <c r="A425" s="1">
        <v>46252</v>
      </c>
      <c r="B425">
        <v>1017277147</v>
      </c>
      <c r="C425" t="s">
        <v>214</v>
      </c>
      <c r="D425" t="s">
        <v>44</v>
      </c>
      <c r="E425" t="s">
        <v>4045</v>
      </c>
      <c r="F425" t="s">
        <v>4073</v>
      </c>
      <c r="G425" s="1">
        <v>46252</v>
      </c>
      <c r="H425" s="1">
        <v>46252</v>
      </c>
      <c r="I425" s="2">
        <v>0.25</v>
      </c>
      <c r="J425" s="2">
        <v>0.58333333333333337</v>
      </c>
      <c r="K425" t="s">
        <v>4174</v>
      </c>
      <c r="L425">
        <v>0</v>
      </c>
      <c r="M425" t="s">
        <v>4257</v>
      </c>
      <c r="N425" t="s">
        <v>213</v>
      </c>
      <c r="O425" t="s">
        <v>214</v>
      </c>
      <c r="P425" t="s">
        <v>4042</v>
      </c>
      <c r="Q425">
        <v>8</v>
      </c>
    </row>
    <row r="426" spans="1:18" hidden="1" x14ac:dyDescent="0.25">
      <c r="A426" s="1">
        <v>46252</v>
      </c>
      <c r="B426">
        <v>1000348983</v>
      </c>
      <c r="C426" t="s">
        <v>235</v>
      </c>
      <c r="D426" t="s">
        <v>4175</v>
      </c>
      <c r="E426" t="s">
        <v>4056</v>
      </c>
      <c r="F426" t="s">
        <v>4074</v>
      </c>
      <c r="G426" s="1">
        <v>46252</v>
      </c>
      <c r="H426" s="1"/>
      <c r="I426" s="2">
        <v>0.5</v>
      </c>
      <c r="J426" s="2">
        <v>0.79166666666666663</v>
      </c>
      <c r="K426" t="s">
        <v>4176</v>
      </c>
      <c r="L426">
        <v>0</v>
      </c>
      <c r="M426" t="s">
        <v>4255</v>
      </c>
      <c r="N426" t="s">
        <v>163</v>
      </c>
      <c r="O426" t="s">
        <v>164</v>
      </c>
      <c r="P426" t="s">
        <v>4042</v>
      </c>
      <c r="Q426">
        <v>7</v>
      </c>
      <c r="R426" t="s">
        <v>4263</v>
      </c>
    </row>
    <row r="427" spans="1:18" hidden="1" x14ac:dyDescent="0.25">
      <c r="A427" s="1">
        <v>46252</v>
      </c>
      <c r="B427">
        <v>1037661959</v>
      </c>
      <c r="C427" t="s">
        <v>4080</v>
      </c>
      <c r="D427" t="s">
        <v>482</v>
      </c>
      <c r="E427" t="s">
        <v>4040</v>
      </c>
      <c r="F427" t="s">
        <v>4050</v>
      </c>
      <c r="G427" s="1">
        <v>46253</v>
      </c>
      <c r="H427" s="1">
        <v>46255</v>
      </c>
      <c r="I427" s="2">
        <v>0.54166666666666663</v>
      </c>
      <c r="J427" s="2">
        <v>0.875</v>
      </c>
      <c r="K427" s="4" t="s">
        <v>262</v>
      </c>
      <c r="L427">
        <v>2</v>
      </c>
      <c r="M427" t="s">
        <v>4260</v>
      </c>
      <c r="N427" t="s">
        <v>261</v>
      </c>
      <c r="O427" t="s">
        <v>262</v>
      </c>
      <c r="P427" t="s">
        <v>21</v>
      </c>
      <c r="Q427">
        <v>8</v>
      </c>
    </row>
    <row r="428" spans="1:18" hidden="1" x14ac:dyDescent="0.25">
      <c r="A428" s="1">
        <v>46252</v>
      </c>
      <c r="B428">
        <v>1126251297</v>
      </c>
      <c r="C428" t="s">
        <v>286</v>
      </c>
      <c r="D428" t="s">
        <v>162</v>
      </c>
      <c r="E428" t="s">
        <v>4056</v>
      </c>
      <c r="F428" t="s">
        <v>4073</v>
      </c>
      <c r="G428" s="1">
        <v>46252</v>
      </c>
      <c r="H428" s="1">
        <v>46252</v>
      </c>
      <c r="I428" s="2">
        <v>0.58333333333333337</v>
      </c>
      <c r="J428" s="2">
        <v>0.875</v>
      </c>
      <c r="K428" s="4" t="s">
        <v>4307</v>
      </c>
      <c r="L428">
        <v>2</v>
      </c>
      <c r="M428" t="s">
        <v>4255</v>
      </c>
      <c r="N428" t="s">
        <v>285</v>
      </c>
      <c r="O428" t="s">
        <v>286</v>
      </c>
      <c r="P428" t="s">
        <v>21</v>
      </c>
      <c r="Q428">
        <v>7</v>
      </c>
    </row>
    <row r="429" spans="1:18" hidden="1" x14ac:dyDescent="0.25">
      <c r="A429" s="1">
        <v>46252</v>
      </c>
      <c r="B429">
        <v>1001140238</v>
      </c>
      <c r="C429" t="s">
        <v>74</v>
      </c>
      <c r="D429" t="s">
        <v>4078</v>
      </c>
      <c r="E429" t="s">
        <v>4045</v>
      </c>
      <c r="F429" t="s">
        <v>4099</v>
      </c>
      <c r="G429" s="1">
        <v>46252</v>
      </c>
      <c r="H429" s="1">
        <v>46252</v>
      </c>
      <c r="I429" s="2">
        <v>0.54166666666666663</v>
      </c>
      <c r="J429" s="2">
        <v>0.58333333333333337</v>
      </c>
      <c r="K429" t="s">
        <v>339</v>
      </c>
      <c r="L429">
        <v>0</v>
      </c>
      <c r="M429" t="s">
        <v>4257</v>
      </c>
      <c r="N429" t="s">
        <v>73</v>
      </c>
      <c r="O429" t="s">
        <v>74</v>
      </c>
      <c r="P429" t="s">
        <v>4042</v>
      </c>
      <c r="Q429">
        <v>1</v>
      </c>
    </row>
    <row r="430" spans="1:18" hidden="1" x14ac:dyDescent="0.25">
      <c r="A430" s="1">
        <v>46252</v>
      </c>
      <c r="B430">
        <v>1010115185</v>
      </c>
      <c r="C430" t="s">
        <v>197</v>
      </c>
      <c r="D430" t="s">
        <v>39</v>
      </c>
      <c r="E430" t="s">
        <v>4046</v>
      </c>
      <c r="F430" t="s">
        <v>4073</v>
      </c>
      <c r="G430" s="1">
        <v>46252</v>
      </c>
      <c r="H430" s="1">
        <v>46252</v>
      </c>
      <c r="I430" s="2">
        <v>0.58333333333333337</v>
      </c>
      <c r="J430" s="2">
        <v>0.875</v>
      </c>
      <c r="K430" s="4" t="s">
        <v>4177</v>
      </c>
      <c r="L430">
        <v>2</v>
      </c>
      <c r="M430" t="s">
        <v>4257</v>
      </c>
      <c r="N430" t="s">
        <v>196</v>
      </c>
      <c r="O430" t="s">
        <v>197</v>
      </c>
      <c r="P430" t="s">
        <v>21</v>
      </c>
      <c r="Q430">
        <v>7</v>
      </c>
    </row>
    <row r="431" spans="1:18" x14ac:dyDescent="0.25">
      <c r="A431" s="1">
        <v>46253</v>
      </c>
      <c r="B431">
        <v>1143267842</v>
      </c>
      <c r="C431" t="s">
        <v>1501</v>
      </c>
      <c r="D431" t="s">
        <v>128</v>
      </c>
      <c r="E431" t="s">
        <v>4045</v>
      </c>
      <c r="F431" t="s">
        <v>16</v>
      </c>
      <c r="G431" s="1">
        <v>46252</v>
      </c>
      <c r="H431" s="1">
        <v>46253</v>
      </c>
      <c r="I431" s="2">
        <v>0.58333333333333337</v>
      </c>
      <c r="J431" s="2">
        <v>0.875</v>
      </c>
      <c r="K431" t="s">
        <v>104</v>
      </c>
      <c r="L431">
        <v>2</v>
      </c>
      <c r="M431" t="s">
        <v>4258</v>
      </c>
      <c r="N431" t="s">
        <v>103</v>
      </c>
      <c r="O431" t="s">
        <v>104</v>
      </c>
      <c r="P431" t="s">
        <v>21</v>
      </c>
      <c r="Q431">
        <v>7</v>
      </c>
    </row>
    <row r="432" spans="1:18" hidden="1" x14ac:dyDescent="0.25">
      <c r="A432" s="1">
        <v>46253</v>
      </c>
      <c r="B432">
        <v>1152467583</v>
      </c>
      <c r="C432" t="s">
        <v>3788</v>
      </c>
      <c r="D432" t="s">
        <v>68</v>
      </c>
      <c r="E432" t="s">
        <v>4040</v>
      </c>
      <c r="F432" t="s">
        <v>16</v>
      </c>
      <c r="G432" s="1">
        <v>46252</v>
      </c>
      <c r="H432" s="1">
        <v>46253</v>
      </c>
      <c r="I432" s="2">
        <v>0.25</v>
      </c>
      <c r="J432" s="2">
        <v>0.58333333333333337</v>
      </c>
      <c r="K432" t="s">
        <v>241</v>
      </c>
      <c r="L432">
        <v>0</v>
      </c>
      <c r="M432" t="s">
        <v>4257</v>
      </c>
      <c r="N432" t="s">
        <v>240</v>
      </c>
      <c r="O432" t="s">
        <v>241</v>
      </c>
      <c r="P432" t="s">
        <v>4042</v>
      </c>
      <c r="Q432">
        <v>8</v>
      </c>
      <c r="R432" t="s">
        <v>4264</v>
      </c>
    </row>
    <row r="433" spans="1:18" hidden="1" x14ac:dyDescent="0.25">
      <c r="A433" s="1">
        <v>46253</v>
      </c>
      <c r="B433">
        <v>43453341</v>
      </c>
      <c r="C433" t="s">
        <v>146</v>
      </c>
      <c r="D433" t="s">
        <v>124</v>
      </c>
      <c r="E433" t="s">
        <v>4045</v>
      </c>
      <c r="F433" t="s">
        <v>16</v>
      </c>
      <c r="G433" s="1">
        <v>46252</v>
      </c>
      <c r="H433" s="1">
        <v>46253</v>
      </c>
      <c r="I433" s="2">
        <v>0.25</v>
      </c>
      <c r="J433" s="2">
        <v>0.54166666666666663</v>
      </c>
      <c r="K433" t="s">
        <v>151</v>
      </c>
      <c r="L433">
        <v>0</v>
      </c>
      <c r="M433" t="s">
        <v>4257</v>
      </c>
      <c r="N433" t="s">
        <v>150</v>
      </c>
      <c r="O433" t="s">
        <v>151</v>
      </c>
      <c r="P433" t="s">
        <v>4042</v>
      </c>
      <c r="Q433">
        <v>7</v>
      </c>
    </row>
    <row r="434" spans="1:18" hidden="1" x14ac:dyDescent="0.25">
      <c r="A434" s="1">
        <v>46253</v>
      </c>
      <c r="B434">
        <v>1045718883</v>
      </c>
      <c r="C434" t="s">
        <v>34</v>
      </c>
      <c r="D434" t="s">
        <v>15</v>
      </c>
      <c r="E434" t="s">
        <v>4046</v>
      </c>
      <c r="F434" t="s">
        <v>36</v>
      </c>
      <c r="G434" s="1">
        <v>46244</v>
      </c>
      <c r="H434" s="1">
        <v>46393</v>
      </c>
      <c r="I434" s="2">
        <v>0.25</v>
      </c>
      <c r="J434" s="2">
        <v>0.54166666666666663</v>
      </c>
      <c r="K434" t="s">
        <v>295</v>
      </c>
      <c r="L434">
        <v>0</v>
      </c>
      <c r="M434" t="s">
        <v>4258</v>
      </c>
      <c r="N434" t="s">
        <v>294</v>
      </c>
      <c r="O434" t="s">
        <v>295</v>
      </c>
      <c r="P434" t="s">
        <v>4042</v>
      </c>
      <c r="Q434">
        <v>7</v>
      </c>
    </row>
    <row r="435" spans="1:18" hidden="1" x14ac:dyDescent="0.25">
      <c r="A435" s="1">
        <v>46253</v>
      </c>
      <c r="B435">
        <v>1043006106</v>
      </c>
      <c r="C435" t="s">
        <v>202</v>
      </c>
      <c r="D435" t="s">
        <v>64</v>
      </c>
      <c r="E435" t="s">
        <v>4046</v>
      </c>
      <c r="F435" t="s">
        <v>16</v>
      </c>
      <c r="G435" s="1">
        <v>46249</v>
      </c>
      <c r="H435" s="1">
        <v>46278</v>
      </c>
      <c r="I435" s="2">
        <v>0.25</v>
      </c>
      <c r="J435" s="2">
        <v>0.58333333333333337</v>
      </c>
      <c r="K435" t="s">
        <v>223</v>
      </c>
      <c r="L435">
        <v>0</v>
      </c>
      <c r="M435" t="s">
        <v>4258</v>
      </c>
      <c r="N435" t="s">
        <v>222</v>
      </c>
      <c r="O435" t="s">
        <v>223</v>
      </c>
      <c r="P435" t="s">
        <v>4042</v>
      </c>
      <c r="Q435">
        <v>8</v>
      </c>
    </row>
    <row r="436" spans="1:18" x14ac:dyDescent="0.25">
      <c r="A436" s="1">
        <v>46253</v>
      </c>
      <c r="B436">
        <v>1040755197</v>
      </c>
      <c r="C436" t="s">
        <v>171</v>
      </c>
      <c r="D436" t="s">
        <v>172</v>
      </c>
      <c r="E436" t="s">
        <v>4046</v>
      </c>
      <c r="F436" t="s">
        <v>16</v>
      </c>
      <c r="G436" s="1">
        <v>46252</v>
      </c>
      <c r="H436" s="1">
        <v>46262</v>
      </c>
      <c r="I436" s="2">
        <v>0.54166666666666663</v>
      </c>
      <c r="J436" s="2">
        <v>0.875</v>
      </c>
      <c r="K436" s="4" t="s">
        <v>200</v>
      </c>
      <c r="L436">
        <v>2</v>
      </c>
      <c r="M436" t="s">
        <v>4257</v>
      </c>
      <c r="N436" t="s">
        <v>199</v>
      </c>
      <c r="O436" t="s">
        <v>200</v>
      </c>
      <c r="P436" t="s">
        <v>21</v>
      </c>
      <c r="Q436">
        <v>8</v>
      </c>
    </row>
    <row r="437" spans="1:18" hidden="1" x14ac:dyDescent="0.25">
      <c r="A437" s="1">
        <v>46253</v>
      </c>
      <c r="B437">
        <v>1001479648</v>
      </c>
      <c r="C437" t="s">
        <v>2970</v>
      </c>
      <c r="D437" t="s">
        <v>414</v>
      </c>
      <c r="E437" t="s">
        <v>4056</v>
      </c>
      <c r="F437" t="s">
        <v>4140</v>
      </c>
      <c r="G437" s="1">
        <v>46253</v>
      </c>
      <c r="H437" s="1">
        <v>46253</v>
      </c>
      <c r="I437" s="2">
        <v>0.45833333333333331</v>
      </c>
      <c r="J437" s="2">
        <v>0.79166666666666663</v>
      </c>
      <c r="K437" t="s">
        <v>185</v>
      </c>
      <c r="L437">
        <v>0</v>
      </c>
      <c r="M437" t="s">
        <v>4255</v>
      </c>
      <c r="N437" t="s">
        <v>184</v>
      </c>
      <c r="O437" t="s">
        <v>185</v>
      </c>
      <c r="P437" t="s">
        <v>4042</v>
      </c>
      <c r="Q437">
        <v>8</v>
      </c>
      <c r="R437" t="s">
        <v>4265</v>
      </c>
    </row>
    <row r="438" spans="1:18" hidden="1" x14ac:dyDescent="0.25">
      <c r="A438" s="1">
        <v>46253</v>
      </c>
      <c r="B438">
        <v>1035876080</v>
      </c>
      <c r="C438" t="s">
        <v>123</v>
      </c>
      <c r="D438" t="s">
        <v>124</v>
      </c>
      <c r="E438" t="s">
        <v>4045</v>
      </c>
      <c r="F438" t="s">
        <v>16</v>
      </c>
      <c r="G438" s="1">
        <v>46246</v>
      </c>
      <c r="H438" s="1">
        <v>46254</v>
      </c>
      <c r="I438" s="2">
        <v>0.25</v>
      </c>
      <c r="J438" s="2">
        <v>0.54166666666666663</v>
      </c>
      <c r="K438" t="s">
        <v>304</v>
      </c>
      <c r="L438">
        <v>0</v>
      </c>
      <c r="M438" t="s">
        <v>4257</v>
      </c>
      <c r="N438" t="s">
        <v>303</v>
      </c>
      <c r="O438" t="s">
        <v>304</v>
      </c>
      <c r="P438" t="s">
        <v>4042</v>
      </c>
      <c r="Q438">
        <v>7</v>
      </c>
    </row>
    <row r="439" spans="1:18" x14ac:dyDescent="0.25">
      <c r="A439" s="1">
        <v>46253</v>
      </c>
      <c r="B439">
        <v>1037638426</v>
      </c>
      <c r="C439" t="s">
        <v>31</v>
      </c>
      <c r="D439" t="s">
        <v>28</v>
      </c>
      <c r="E439" t="s">
        <v>4046</v>
      </c>
      <c r="F439" t="s">
        <v>24</v>
      </c>
      <c r="G439" s="1">
        <v>46249</v>
      </c>
      <c r="H439" s="1">
        <v>46262</v>
      </c>
      <c r="I439" s="2">
        <v>0.54166666666666663</v>
      </c>
      <c r="J439" s="2">
        <v>0.875</v>
      </c>
      <c r="K439" t="s">
        <v>18</v>
      </c>
      <c r="L439">
        <v>2</v>
      </c>
      <c r="M439" t="s">
        <v>4258</v>
      </c>
      <c r="N439" t="s">
        <v>17</v>
      </c>
      <c r="O439" t="s">
        <v>18</v>
      </c>
      <c r="P439" t="s">
        <v>21</v>
      </c>
      <c r="Q439">
        <v>8</v>
      </c>
    </row>
    <row r="440" spans="1:18" hidden="1" x14ac:dyDescent="0.25">
      <c r="A440" s="1">
        <v>46253</v>
      </c>
      <c r="B440">
        <v>1082896324</v>
      </c>
      <c r="C440" t="s">
        <v>127</v>
      </c>
      <c r="D440" t="s">
        <v>128</v>
      </c>
      <c r="E440" t="s">
        <v>4045</v>
      </c>
      <c r="F440" t="s">
        <v>16</v>
      </c>
      <c r="G440" s="1">
        <v>46242</v>
      </c>
      <c r="H440" s="1">
        <v>46272</v>
      </c>
      <c r="I440" s="2">
        <v>0.25</v>
      </c>
      <c r="J440" s="2">
        <v>0.58333333333333337</v>
      </c>
      <c r="K440" t="s">
        <v>168</v>
      </c>
      <c r="L440">
        <v>0</v>
      </c>
      <c r="M440" t="s">
        <v>4257</v>
      </c>
      <c r="N440" t="s">
        <v>167</v>
      </c>
      <c r="O440" t="s">
        <v>168</v>
      </c>
      <c r="P440" t="s">
        <v>4042</v>
      </c>
      <c r="Q440">
        <v>8</v>
      </c>
    </row>
    <row r="441" spans="1:18" hidden="1" x14ac:dyDescent="0.25">
      <c r="A441" s="1">
        <v>46253</v>
      </c>
      <c r="B441">
        <v>1017270214</v>
      </c>
      <c r="C441" t="s">
        <v>1016</v>
      </c>
      <c r="D441" t="s">
        <v>139</v>
      </c>
      <c r="E441" t="s">
        <v>4040</v>
      </c>
      <c r="F441" t="s">
        <v>326</v>
      </c>
      <c r="G441" s="1">
        <v>46253</v>
      </c>
      <c r="H441" s="1">
        <v>46255</v>
      </c>
      <c r="I441" s="2">
        <v>0.25</v>
      </c>
      <c r="J441" s="2">
        <v>0.54166666666666663</v>
      </c>
      <c r="K441" t="s">
        <v>86</v>
      </c>
      <c r="L441">
        <v>0</v>
      </c>
      <c r="M441" t="s">
        <v>4259</v>
      </c>
      <c r="N441" t="s">
        <v>85</v>
      </c>
      <c r="O441" t="s">
        <v>86</v>
      </c>
      <c r="P441" t="s">
        <v>4042</v>
      </c>
      <c r="Q441">
        <v>7</v>
      </c>
    </row>
    <row r="442" spans="1:18" hidden="1" x14ac:dyDescent="0.25">
      <c r="A442" s="1">
        <v>46253</v>
      </c>
      <c r="B442">
        <v>1015483595</v>
      </c>
      <c r="C442" t="s">
        <v>23</v>
      </c>
      <c r="D442" t="s">
        <v>15</v>
      </c>
      <c r="E442" t="s">
        <v>4046</v>
      </c>
      <c r="F442" t="s">
        <v>24</v>
      </c>
      <c r="G442" s="1">
        <v>46244</v>
      </c>
      <c r="H442" s="1">
        <v>46265</v>
      </c>
      <c r="I442" s="2">
        <v>0.25</v>
      </c>
      <c r="J442" s="2">
        <v>0.58333333333333337</v>
      </c>
      <c r="K442" t="s">
        <v>301</v>
      </c>
      <c r="L442">
        <v>0</v>
      </c>
      <c r="M442" t="s">
        <v>4258</v>
      </c>
      <c r="N442" t="s">
        <v>300</v>
      </c>
      <c r="O442" t="s">
        <v>301</v>
      </c>
      <c r="P442" t="s">
        <v>4042</v>
      </c>
      <c r="Q442">
        <v>8</v>
      </c>
    </row>
    <row r="443" spans="1:18" hidden="1" x14ac:dyDescent="0.25">
      <c r="A443" s="1">
        <v>46253</v>
      </c>
      <c r="B443">
        <v>1235045754</v>
      </c>
      <c r="C443" t="s">
        <v>2420</v>
      </c>
      <c r="D443" t="s">
        <v>421</v>
      </c>
      <c r="E443" t="s">
        <v>4047</v>
      </c>
      <c r="F443" t="s">
        <v>4140</v>
      </c>
      <c r="G443" s="1">
        <v>46253</v>
      </c>
      <c r="H443" s="1">
        <v>46253</v>
      </c>
      <c r="I443" s="2">
        <v>0.25</v>
      </c>
      <c r="J443" s="2">
        <v>0.54166666666666663</v>
      </c>
      <c r="K443" t="s">
        <v>197</v>
      </c>
      <c r="L443">
        <v>0</v>
      </c>
      <c r="M443" t="s">
        <v>4257</v>
      </c>
      <c r="N443" t="s">
        <v>196</v>
      </c>
      <c r="O443" t="s">
        <v>197</v>
      </c>
      <c r="P443" t="s">
        <v>4042</v>
      </c>
      <c r="Q443">
        <v>7</v>
      </c>
    </row>
    <row r="444" spans="1:18" hidden="1" x14ac:dyDescent="0.25">
      <c r="A444" s="1">
        <v>46253</v>
      </c>
      <c r="B444">
        <v>1001851670</v>
      </c>
      <c r="C444" t="s">
        <v>50</v>
      </c>
      <c r="D444" t="s">
        <v>51</v>
      </c>
      <c r="E444" t="s">
        <v>4047</v>
      </c>
      <c r="F444" t="s">
        <v>36</v>
      </c>
      <c r="G444" s="1">
        <v>46241</v>
      </c>
      <c r="H444" s="1">
        <v>46366</v>
      </c>
      <c r="I444" s="2">
        <v>0.25</v>
      </c>
      <c r="J444" s="2">
        <v>0.54166666666666663</v>
      </c>
      <c r="K444" t="s">
        <v>340</v>
      </c>
      <c r="L444">
        <v>0</v>
      </c>
      <c r="M444" t="s">
        <v>4257</v>
      </c>
      <c r="N444" t="s">
        <v>4202</v>
      </c>
      <c r="O444" t="s">
        <v>340</v>
      </c>
      <c r="P444" t="s">
        <v>4042</v>
      </c>
      <c r="Q444">
        <v>7</v>
      </c>
    </row>
    <row r="445" spans="1:18" hidden="1" x14ac:dyDescent="0.25">
      <c r="A445" s="1">
        <v>46253</v>
      </c>
      <c r="B445">
        <v>1152221372</v>
      </c>
      <c r="C445" t="s">
        <v>2363</v>
      </c>
      <c r="D445" t="s">
        <v>139</v>
      </c>
      <c r="E445" t="s">
        <v>4040</v>
      </c>
      <c r="F445" t="s">
        <v>158</v>
      </c>
      <c r="G445" s="1">
        <v>46230</v>
      </c>
      <c r="H445" s="1">
        <v>46230</v>
      </c>
      <c r="I445" s="2">
        <v>0.25</v>
      </c>
      <c r="J445" s="2">
        <v>0.54166666666666663</v>
      </c>
      <c r="K445" t="s">
        <v>46</v>
      </c>
      <c r="L445">
        <v>0</v>
      </c>
      <c r="M445" t="s">
        <v>4260</v>
      </c>
      <c r="N445" t="s">
        <v>45</v>
      </c>
      <c r="O445" t="s">
        <v>46</v>
      </c>
      <c r="P445" t="s">
        <v>4042</v>
      </c>
      <c r="Q445">
        <v>7</v>
      </c>
    </row>
    <row r="446" spans="1:18" x14ac:dyDescent="0.25">
      <c r="A446" s="1">
        <v>46253</v>
      </c>
      <c r="B446">
        <v>1152439743</v>
      </c>
      <c r="C446" t="s">
        <v>2079</v>
      </c>
      <c r="D446" t="s">
        <v>245</v>
      </c>
      <c r="E446" t="s">
        <v>4040</v>
      </c>
      <c r="F446" t="s">
        <v>4140</v>
      </c>
      <c r="G446" s="1">
        <v>46253</v>
      </c>
      <c r="H446" s="1">
        <v>46253</v>
      </c>
      <c r="I446" s="2">
        <v>0.54166666666666663</v>
      </c>
      <c r="J446" s="2">
        <v>0.875</v>
      </c>
      <c r="K446" s="4" t="s">
        <v>252</v>
      </c>
      <c r="L446">
        <v>2</v>
      </c>
      <c r="M446" t="s">
        <v>4259</v>
      </c>
      <c r="N446" t="s">
        <v>251</v>
      </c>
      <c r="O446" t="s">
        <v>252</v>
      </c>
      <c r="P446" t="s">
        <v>21</v>
      </c>
      <c r="Q446">
        <v>8</v>
      </c>
    </row>
    <row r="447" spans="1:18" hidden="1" x14ac:dyDescent="0.25">
      <c r="A447" s="1">
        <v>46253</v>
      </c>
      <c r="B447">
        <v>1017264032</v>
      </c>
      <c r="C447" t="s">
        <v>54</v>
      </c>
      <c r="D447" t="s">
        <v>55</v>
      </c>
      <c r="E447" t="s">
        <v>4047</v>
      </c>
      <c r="F447" t="s">
        <v>16</v>
      </c>
      <c r="G447" s="1">
        <v>46229</v>
      </c>
      <c r="H447" s="1">
        <v>46258</v>
      </c>
      <c r="I447" s="2">
        <v>0.25</v>
      </c>
      <c r="J447" s="2">
        <v>0.58333333333333337</v>
      </c>
      <c r="K447" t="s">
        <v>262</v>
      </c>
      <c r="L447">
        <v>0</v>
      </c>
      <c r="M447" t="s">
        <v>4260</v>
      </c>
      <c r="N447" t="s">
        <v>261</v>
      </c>
      <c r="O447" t="s">
        <v>262</v>
      </c>
      <c r="P447" t="s">
        <v>4042</v>
      </c>
      <c r="Q447">
        <v>8</v>
      </c>
    </row>
    <row r="448" spans="1:18" hidden="1" x14ac:dyDescent="0.25">
      <c r="A448" s="1">
        <v>46253</v>
      </c>
      <c r="B448">
        <v>1037630071</v>
      </c>
      <c r="C448" t="s">
        <v>3579</v>
      </c>
      <c r="D448" t="s">
        <v>176</v>
      </c>
      <c r="E448" t="s">
        <v>4040</v>
      </c>
      <c r="F448" t="s">
        <v>4062</v>
      </c>
      <c r="G448" s="1">
        <v>46247</v>
      </c>
      <c r="H448" s="1">
        <v>46265</v>
      </c>
      <c r="I448" s="2">
        <v>0.25</v>
      </c>
      <c r="J448" s="2">
        <v>0.54166666666666663</v>
      </c>
      <c r="K448" t="s">
        <v>182</v>
      </c>
      <c r="L448">
        <v>0</v>
      </c>
      <c r="M448" t="s">
        <v>4260</v>
      </c>
      <c r="N448" t="s">
        <v>181</v>
      </c>
      <c r="O448" t="s">
        <v>182</v>
      </c>
      <c r="P448" t="s">
        <v>4042</v>
      </c>
      <c r="Q448">
        <v>7</v>
      </c>
    </row>
    <row r="449" spans="1:18" hidden="1" x14ac:dyDescent="0.25">
      <c r="A449" s="1">
        <v>46253</v>
      </c>
      <c r="B449">
        <v>1143460426</v>
      </c>
      <c r="C449" t="s">
        <v>4069</v>
      </c>
      <c r="D449" t="s">
        <v>64</v>
      </c>
      <c r="E449" t="s">
        <v>4046</v>
      </c>
      <c r="F449" t="s">
        <v>4050</v>
      </c>
      <c r="G449" s="1">
        <v>46195</v>
      </c>
      <c r="H449" s="1">
        <v>46198</v>
      </c>
      <c r="I449" s="2">
        <v>0.25</v>
      </c>
      <c r="J449" s="2">
        <v>0.54166666666666663</v>
      </c>
      <c r="K449" t="s">
        <v>237</v>
      </c>
      <c r="L449">
        <v>0</v>
      </c>
      <c r="M449" t="s">
        <v>4255</v>
      </c>
      <c r="N449" t="s">
        <v>236</v>
      </c>
      <c r="O449" t="s">
        <v>237</v>
      </c>
      <c r="P449" t="s">
        <v>4042</v>
      </c>
      <c r="Q449">
        <v>7</v>
      </c>
      <c r="R449" t="s">
        <v>4256</v>
      </c>
    </row>
    <row r="450" spans="1:18" hidden="1" x14ac:dyDescent="0.25">
      <c r="A450" s="1">
        <v>46253</v>
      </c>
      <c r="B450">
        <v>1152434926</v>
      </c>
      <c r="C450" t="s">
        <v>217</v>
      </c>
      <c r="D450" t="s">
        <v>59</v>
      </c>
      <c r="E450" t="s">
        <v>4047</v>
      </c>
      <c r="F450" t="s">
        <v>16</v>
      </c>
      <c r="G450" s="1">
        <v>46252</v>
      </c>
      <c r="H450" s="1">
        <v>46255</v>
      </c>
      <c r="I450" s="2">
        <v>0.25</v>
      </c>
      <c r="J450" s="2">
        <v>0.58333333333333337</v>
      </c>
      <c r="K450" t="s">
        <v>214</v>
      </c>
      <c r="L450">
        <v>0</v>
      </c>
      <c r="M450" t="s">
        <v>4257</v>
      </c>
      <c r="N450" t="s">
        <v>213</v>
      </c>
      <c r="O450" t="s">
        <v>214</v>
      </c>
      <c r="P450" t="s">
        <v>4042</v>
      </c>
      <c r="Q450">
        <v>8</v>
      </c>
    </row>
    <row r="451" spans="1:18" hidden="1" x14ac:dyDescent="0.25">
      <c r="A451" s="1">
        <v>46253</v>
      </c>
      <c r="B451">
        <v>1143375080</v>
      </c>
      <c r="C451" t="s">
        <v>203</v>
      </c>
      <c r="D451" t="s">
        <v>44</v>
      </c>
      <c r="E451" t="s">
        <v>4045</v>
      </c>
      <c r="F451" t="s">
        <v>158</v>
      </c>
      <c r="G451" s="1">
        <v>46252</v>
      </c>
      <c r="H451" s="1"/>
      <c r="I451" s="2">
        <v>0.25</v>
      </c>
      <c r="J451" s="2">
        <v>0.58333333333333337</v>
      </c>
      <c r="K451" t="s">
        <v>120</v>
      </c>
      <c r="L451">
        <v>0</v>
      </c>
      <c r="M451" t="s">
        <v>4257</v>
      </c>
      <c r="N451" t="s">
        <v>119</v>
      </c>
      <c r="O451" t="s">
        <v>120</v>
      </c>
      <c r="P451" t="s">
        <v>4042</v>
      </c>
      <c r="Q451">
        <v>8</v>
      </c>
    </row>
    <row r="452" spans="1:18" hidden="1" x14ac:dyDescent="0.25">
      <c r="A452" s="1">
        <v>46253</v>
      </c>
      <c r="B452">
        <v>43628997</v>
      </c>
      <c r="C452" t="s">
        <v>3256</v>
      </c>
      <c r="D452" t="s">
        <v>64</v>
      </c>
      <c r="E452" t="s">
        <v>4046</v>
      </c>
      <c r="F452" t="s">
        <v>16</v>
      </c>
      <c r="G452" s="1">
        <v>46252</v>
      </c>
      <c r="H452" s="1">
        <v>46253</v>
      </c>
      <c r="I452" s="2">
        <v>0.25</v>
      </c>
      <c r="J452" s="2">
        <v>0.5</v>
      </c>
      <c r="K452" t="s">
        <v>319</v>
      </c>
      <c r="L452">
        <v>0</v>
      </c>
      <c r="M452" t="s">
        <v>4258</v>
      </c>
      <c r="N452" t="s">
        <v>318</v>
      </c>
      <c r="O452" t="s">
        <v>319</v>
      </c>
      <c r="P452" t="s">
        <v>4042</v>
      </c>
      <c r="Q452">
        <v>6</v>
      </c>
    </row>
    <row r="453" spans="1:18" hidden="1" x14ac:dyDescent="0.25">
      <c r="A453" s="1">
        <v>46253</v>
      </c>
      <c r="B453">
        <v>1036965348</v>
      </c>
      <c r="C453" t="s">
        <v>229</v>
      </c>
      <c r="D453" t="s">
        <v>4079</v>
      </c>
      <c r="E453" t="s">
        <v>4046</v>
      </c>
      <c r="F453" t="s">
        <v>4079</v>
      </c>
      <c r="G453" s="1">
        <v>46253</v>
      </c>
      <c r="H453" s="1">
        <v>46253</v>
      </c>
      <c r="I453" s="2">
        <v>0.25</v>
      </c>
      <c r="J453" s="2">
        <v>0.58333333333333337</v>
      </c>
      <c r="K453" t="s">
        <v>339</v>
      </c>
      <c r="L453">
        <v>0</v>
      </c>
      <c r="M453" t="s">
        <v>4258</v>
      </c>
      <c r="N453" t="s">
        <v>228</v>
      </c>
      <c r="O453" t="s">
        <v>229</v>
      </c>
      <c r="P453" t="s">
        <v>4042</v>
      </c>
      <c r="Q453">
        <v>8</v>
      </c>
    </row>
    <row r="454" spans="1:18" hidden="1" x14ac:dyDescent="0.25">
      <c r="A454" s="1">
        <v>46253</v>
      </c>
      <c r="B454">
        <v>42141273</v>
      </c>
      <c r="C454" t="s">
        <v>271</v>
      </c>
      <c r="D454" t="s">
        <v>272</v>
      </c>
      <c r="E454" t="s">
        <v>4056</v>
      </c>
      <c r="F454" t="s">
        <v>4065</v>
      </c>
      <c r="G454" s="1">
        <v>46238</v>
      </c>
      <c r="H454" s="1">
        <v>46295</v>
      </c>
      <c r="I454" s="2">
        <v>0.25</v>
      </c>
      <c r="J454" s="2">
        <v>0.5</v>
      </c>
      <c r="K454" t="s">
        <v>286</v>
      </c>
      <c r="L454">
        <v>0</v>
      </c>
      <c r="M454" t="s">
        <v>4255</v>
      </c>
      <c r="N454" t="s">
        <v>285</v>
      </c>
      <c r="O454" t="s">
        <v>286</v>
      </c>
      <c r="P454" t="s">
        <v>4042</v>
      </c>
      <c r="Q454">
        <v>6</v>
      </c>
      <c r="R454" t="s">
        <v>4262</v>
      </c>
    </row>
    <row r="455" spans="1:18" x14ac:dyDescent="0.25">
      <c r="A455" s="1">
        <v>46253</v>
      </c>
      <c r="B455">
        <v>1000348983</v>
      </c>
      <c r="C455" t="s">
        <v>235</v>
      </c>
      <c r="D455" t="s">
        <v>162</v>
      </c>
      <c r="E455" t="s">
        <v>4056</v>
      </c>
      <c r="F455" t="s">
        <v>16</v>
      </c>
      <c r="G455" s="1">
        <v>46251</v>
      </c>
      <c r="H455" s="1">
        <v>46255</v>
      </c>
      <c r="I455" s="2">
        <v>0.54166666666666663</v>
      </c>
      <c r="J455" s="2">
        <v>0.875</v>
      </c>
      <c r="K455" s="4" t="s">
        <v>268</v>
      </c>
      <c r="L455">
        <v>2</v>
      </c>
      <c r="M455" t="s">
        <v>4255</v>
      </c>
      <c r="N455" t="s">
        <v>267</v>
      </c>
      <c r="O455" t="s">
        <v>268</v>
      </c>
      <c r="P455" t="s">
        <v>21</v>
      </c>
      <c r="Q455">
        <v>8</v>
      </c>
    </row>
    <row r="456" spans="1:18" hidden="1" x14ac:dyDescent="0.25">
      <c r="A456" s="1">
        <v>46253</v>
      </c>
      <c r="B456">
        <v>1037661959</v>
      </c>
      <c r="C456" t="s">
        <v>4080</v>
      </c>
      <c r="D456" t="s">
        <v>482</v>
      </c>
      <c r="E456" t="s">
        <v>4040</v>
      </c>
      <c r="F456" t="s">
        <v>4050</v>
      </c>
      <c r="G456" s="1">
        <v>46253</v>
      </c>
      <c r="H456" s="1">
        <v>46255</v>
      </c>
      <c r="I456" s="2">
        <v>0.25</v>
      </c>
      <c r="J456" s="2">
        <v>0.54166666666666663</v>
      </c>
      <c r="K456" t="s">
        <v>232</v>
      </c>
      <c r="L456">
        <v>0</v>
      </c>
      <c r="M456" t="s">
        <v>4257</v>
      </c>
      <c r="N456" t="s">
        <v>231</v>
      </c>
      <c r="O456" t="s">
        <v>232</v>
      </c>
      <c r="P456" t="s">
        <v>4042</v>
      </c>
      <c r="Q456">
        <v>7</v>
      </c>
      <c r="R456" t="s">
        <v>4261</v>
      </c>
    </row>
    <row r="457" spans="1:18" x14ac:dyDescent="0.25">
      <c r="A457" s="1">
        <v>46253</v>
      </c>
      <c r="B457">
        <v>1193512212</v>
      </c>
      <c r="C457" t="s">
        <v>2155</v>
      </c>
      <c r="D457" t="s">
        <v>256</v>
      </c>
      <c r="E457" t="s">
        <v>4040</v>
      </c>
      <c r="F457" t="s">
        <v>16</v>
      </c>
      <c r="G457" s="1">
        <v>46252</v>
      </c>
      <c r="H457" s="1">
        <v>46253</v>
      </c>
      <c r="I457" s="2">
        <v>0.58333333333333337</v>
      </c>
      <c r="J457" s="2">
        <v>0.875</v>
      </c>
      <c r="K457" t="s">
        <v>307</v>
      </c>
      <c r="L457">
        <v>2</v>
      </c>
      <c r="M457" t="s">
        <v>4257</v>
      </c>
      <c r="N457" t="s">
        <v>306</v>
      </c>
      <c r="O457" t="s">
        <v>307</v>
      </c>
      <c r="P457" t="s">
        <v>21</v>
      </c>
      <c r="Q457">
        <v>7</v>
      </c>
    </row>
    <row r="458" spans="1:18" hidden="1" x14ac:dyDescent="0.25">
      <c r="A458" s="1">
        <v>46253</v>
      </c>
      <c r="B458">
        <v>1090420169</v>
      </c>
      <c r="C458" t="s">
        <v>1658</v>
      </c>
      <c r="D458" t="s">
        <v>51</v>
      </c>
      <c r="E458" t="s">
        <v>4047</v>
      </c>
      <c r="F458" t="s">
        <v>4147</v>
      </c>
      <c r="G458" s="1">
        <v>46253</v>
      </c>
      <c r="H458" s="1">
        <v>46253</v>
      </c>
      <c r="I458" s="2">
        <v>0.25</v>
      </c>
      <c r="J458" s="2">
        <v>0.58333333333333337</v>
      </c>
      <c r="K458" t="s">
        <v>74</v>
      </c>
      <c r="L458">
        <v>0</v>
      </c>
      <c r="M458" t="s">
        <v>4257</v>
      </c>
      <c r="N458" t="s">
        <v>73</v>
      </c>
      <c r="O458" t="s">
        <v>74</v>
      </c>
      <c r="P458" t="s">
        <v>4042</v>
      </c>
      <c r="Q458">
        <v>8</v>
      </c>
    </row>
    <row r="459" spans="1:18" x14ac:dyDescent="0.25">
      <c r="A459" s="1">
        <v>46253</v>
      </c>
      <c r="B459">
        <v>1038412205</v>
      </c>
      <c r="C459" t="s">
        <v>2848</v>
      </c>
      <c r="D459" t="s">
        <v>482</v>
      </c>
      <c r="E459" t="s">
        <v>4040</v>
      </c>
      <c r="F459" t="s">
        <v>16</v>
      </c>
      <c r="G459" s="1">
        <v>46252</v>
      </c>
      <c r="H459" s="1">
        <v>46253</v>
      </c>
      <c r="I459" s="2">
        <v>0.58333333333333337</v>
      </c>
      <c r="J459" s="2">
        <v>0.83333333333333337</v>
      </c>
      <c r="K459" t="s">
        <v>4203</v>
      </c>
      <c r="L459">
        <v>1</v>
      </c>
      <c r="N459" t="s">
        <v>3427</v>
      </c>
      <c r="O459" t="s">
        <v>4203</v>
      </c>
      <c r="P459" t="s">
        <v>21</v>
      </c>
      <c r="Q459">
        <v>6</v>
      </c>
    </row>
    <row r="460" spans="1:18" hidden="1" x14ac:dyDescent="0.25">
      <c r="A460" s="1">
        <v>46253</v>
      </c>
      <c r="B460">
        <v>1007223463</v>
      </c>
      <c r="C460" t="s">
        <v>561</v>
      </c>
      <c r="D460" t="s">
        <v>344</v>
      </c>
      <c r="E460" t="s">
        <v>4056</v>
      </c>
      <c r="F460" t="s">
        <v>4073</v>
      </c>
      <c r="G460" s="1">
        <v>46254</v>
      </c>
      <c r="H460" s="1">
        <v>46254</v>
      </c>
      <c r="I460" s="2">
        <v>0.25</v>
      </c>
      <c r="J460" s="2">
        <v>0.58333333333333337</v>
      </c>
      <c r="K460" t="s">
        <v>339</v>
      </c>
      <c r="L460">
        <v>0</v>
      </c>
      <c r="M460" t="s">
        <v>4255</v>
      </c>
      <c r="N460" t="s">
        <v>560</v>
      </c>
      <c r="O460" t="s">
        <v>561</v>
      </c>
      <c r="P460" t="s">
        <v>4042</v>
      </c>
      <c r="Q460">
        <v>8</v>
      </c>
    </row>
    <row r="461" spans="1:18" hidden="1" x14ac:dyDescent="0.25">
      <c r="A461" s="1">
        <v>46253</v>
      </c>
      <c r="B461">
        <v>1001369228</v>
      </c>
      <c r="C461" t="s">
        <v>164</v>
      </c>
      <c r="D461" t="s">
        <v>344</v>
      </c>
      <c r="E461" t="s">
        <v>4056</v>
      </c>
      <c r="F461" t="s">
        <v>4073</v>
      </c>
      <c r="G461" s="1">
        <v>46253</v>
      </c>
      <c r="H461" s="1">
        <v>46253</v>
      </c>
      <c r="I461" s="2">
        <v>0.29166666666666669</v>
      </c>
      <c r="J461" s="2">
        <v>0.58333333333333337</v>
      </c>
      <c r="K461" t="s">
        <v>339</v>
      </c>
      <c r="L461">
        <v>0</v>
      </c>
      <c r="M461" t="s">
        <v>4255</v>
      </c>
      <c r="N461" t="s">
        <v>163</v>
      </c>
      <c r="O461" t="s">
        <v>164</v>
      </c>
      <c r="P461" t="s">
        <v>4042</v>
      </c>
      <c r="Q461">
        <v>7</v>
      </c>
    </row>
    <row r="462" spans="1:18" x14ac:dyDescent="0.25">
      <c r="A462" s="1">
        <v>46253</v>
      </c>
      <c r="B462">
        <v>1001446162</v>
      </c>
      <c r="C462" t="s">
        <v>3663</v>
      </c>
      <c r="D462" t="s">
        <v>162</v>
      </c>
      <c r="E462" t="s">
        <v>4056</v>
      </c>
      <c r="F462" t="s">
        <v>4073</v>
      </c>
      <c r="G462" s="1">
        <v>46253</v>
      </c>
      <c r="H462" s="1">
        <v>46253</v>
      </c>
      <c r="I462" s="2">
        <v>0.58333333333333337</v>
      </c>
      <c r="J462" s="2">
        <v>0.875</v>
      </c>
      <c r="K462" t="s">
        <v>339</v>
      </c>
      <c r="L462">
        <v>2</v>
      </c>
      <c r="M462" t="s">
        <v>4255</v>
      </c>
      <c r="N462" t="s">
        <v>3662</v>
      </c>
      <c r="O462" t="s">
        <v>3663</v>
      </c>
      <c r="P462" t="s">
        <v>21</v>
      </c>
      <c r="Q462">
        <v>7</v>
      </c>
    </row>
    <row r="463" spans="1:18" hidden="1" x14ac:dyDescent="0.25">
      <c r="A463" s="1">
        <v>46253</v>
      </c>
      <c r="B463">
        <v>1193454765</v>
      </c>
      <c r="C463" t="s">
        <v>1428</v>
      </c>
      <c r="D463" t="s">
        <v>256</v>
      </c>
      <c r="E463" t="s">
        <v>4040</v>
      </c>
      <c r="F463" t="s">
        <v>4104</v>
      </c>
      <c r="G463" s="1">
        <v>46253</v>
      </c>
      <c r="H463" s="1">
        <v>46253</v>
      </c>
      <c r="I463" s="2">
        <v>0.5</v>
      </c>
      <c r="J463" s="2">
        <v>0.79166666666666663</v>
      </c>
      <c r="K463" t="s">
        <v>339</v>
      </c>
      <c r="L463">
        <v>0</v>
      </c>
      <c r="M463" t="s">
        <v>4260</v>
      </c>
      <c r="N463" t="s">
        <v>1427</v>
      </c>
      <c r="O463" t="s">
        <v>1428</v>
      </c>
      <c r="P463" t="s">
        <v>4042</v>
      </c>
      <c r="Q463">
        <v>7</v>
      </c>
    </row>
    <row r="464" spans="1:18" hidden="1" x14ac:dyDescent="0.25">
      <c r="A464" s="1">
        <v>46254</v>
      </c>
      <c r="B464">
        <v>1037661959</v>
      </c>
      <c r="C464" t="s">
        <v>4080</v>
      </c>
      <c r="D464" t="s">
        <v>482</v>
      </c>
      <c r="E464" t="s">
        <v>4040</v>
      </c>
      <c r="F464" t="s">
        <v>4050</v>
      </c>
      <c r="G464" s="1">
        <v>46253</v>
      </c>
      <c r="H464" s="1">
        <v>46255</v>
      </c>
      <c r="I464" s="2">
        <v>0.54166666666666663</v>
      </c>
      <c r="J464" s="2">
        <v>0.875</v>
      </c>
      <c r="K464" t="s">
        <v>252</v>
      </c>
      <c r="L464">
        <v>2</v>
      </c>
      <c r="M464" t="s">
        <v>4259</v>
      </c>
      <c r="N464" t="s">
        <v>251</v>
      </c>
      <c r="O464" t="s">
        <v>252</v>
      </c>
      <c r="P464" t="s">
        <v>21</v>
      </c>
      <c r="Q464">
        <v>8</v>
      </c>
      <c r="R464" t="s">
        <v>4261</v>
      </c>
    </row>
    <row r="465" spans="1:18" hidden="1" x14ac:dyDescent="0.25">
      <c r="A465" s="1">
        <v>46254</v>
      </c>
      <c r="B465">
        <v>1143375080</v>
      </c>
      <c r="C465" t="s">
        <v>203</v>
      </c>
      <c r="D465" t="s">
        <v>44</v>
      </c>
      <c r="E465" t="s">
        <v>4045</v>
      </c>
      <c r="F465" t="s">
        <v>158</v>
      </c>
      <c r="G465" s="1">
        <v>46249</v>
      </c>
      <c r="H465" s="1"/>
      <c r="I465" s="2">
        <v>0.25</v>
      </c>
      <c r="J465" s="2">
        <v>0.58333333333333337</v>
      </c>
      <c r="K465" t="s">
        <v>307</v>
      </c>
      <c r="L465">
        <v>0</v>
      </c>
      <c r="M465" t="s">
        <v>4257</v>
      </c>
      <c r="N465" t="s">
        <v>306</v>
      </c>
      <c r="O465" t="s">
        <v>307</v>
      </c>
      <c r="P465" t="s">
        <v>4042</v>
      </c>
      <c r="Q465">
        <v>8</v>
      </c>
    </row>
    <row r="466" spans="1:18" hidden="1" x14ac:dyDescent="0.25">
      <c r="A466" s="1">
        <v>46254</v>
      </c>
      <c r="B466">
        <v>1001996913</v>
      </c>
      <c r="C466" t="s">
        <v>3174</v>
      </c>
      <c r="D466" t="s">
        <v>28</v>
      </c>
      <c r="E466" t="s">
        <v>4046</v>
      </c>
      <c r="F466" t="s">
        <v>16</v>
      </c>
      <c r="G466" s="1">
        <v>46252</v>
      </c>
      <c r="H466" s="1">
        <v>46254</v>
      </c>
      <c r="I466" s="2">
        <v>0.54166666666666663</v>
      </c>
      <c r="J466" s="2">
        <v>0.875</v>
      </c>
      <c r="K466" t="s">
        <v>241</v>
      </c>
      <c r="L466">
        <v>2</v>
      </c>
      <c r="M466" t="s">
        <v>4257</v>
      </c>
      <c r="N466" t="s">
        <v>240</v>
      </c>
      <c r="O466" t="s">
        <v>241</v>
      </c>
      <c r="P466" t="s">
        <v>21</v>
      </c>
      <c r="Q466">
        <v>8</v>
      </c>
    </row>
    <row r="467" spans="1:18" hidden="1" x14ac:dyDescent="0.25">
      <c r="A467" s="1">
        <v>46254</v>
      </c>
      <c r="B467">
        <v>1045718883</v>
      </c>
      <c r="C467" t="s">
        <v>34</v>
      </c>
      <c r="D467" t="s">
        <v>15</v>
      </c>
      <c r="E467" t="s">
        <v>4046</v>
      </c>
      <c r="F467" t="s">
        <v>36</v>
      </c>
      <c r="G467" s="1">
        <v>46244</v>
      </c>
      <c r="H467" s="1">
        <v>46393</v>
      </c>
      <c r="I467" s="2">
        <v>0.25</v>
      </c>
      <c r="J467" s="2">
        <v>0.54166666666666663</v>
      </c>
      <c r="K467" t="s">
        <v>18</v>
      </c>
      <c r="L467">
        <v>0</v>
      </c>
      <c r="M467" t="s">
        <v>4258</v>
      </c>
      <c r="N467" t="s">
        <v>17</v>
      </c>
      <c r="O467" t="s">
        <v>18</v>
      </c>
      <c r="P467" t="s">
        <v>4042</v>
      </c>
      <c r="Q467">
        <v>7</v>
      </c>
    </row>
    <row r="468" spans="1:18" hidden="1" x14ac:dyDescent="0.25">
      <c r="A468" s="1">
        <v>46254</v>
      </c>
      <c r="B468">
        <v>1040755197</v>
      </c>
      <c r="C468" t="s">
        <v>171</v>
      </c>
      <c r="D468" t="s">
        <v>172</v>
      </c>
      <c r="E468" t="s">
        <v>4046</v>
      </c>
      <c r="F468" t="s">
        <v>16</v>
      </c>
      <c r="G468" s="1">
        <v>46252</v>
      </c>
      <c r="H468" s="1">
        <v>46262</v>
      </c>
      <c r="I468" s="2">
        <v>0.25</v>
      </c>
      <c r="J468" s="2">
        <v>0.58333333333333337</v>
      </c>
      <c r="K468" t="s">
        <v>200</v>
      </c>
      <c r="L468">
        <v>0</v>
      </c>
      <c r="M468" t="s">
        <v>4257</v>
      </c>
      <c r="N468" t="s">
        <v>199</v>
      </c>
      <c r="O468" t="s">
        <v>200</v>
      </c>
      <c r="P468" t="s">
        <v>4042</v>
      </c>
      <c r="Q468">
        <v>8</v>
      </c>
    </row>
    <row r="469" spans="1:18" hidden="1" x14ac:dyDescent="0.25">
      <c r="A469" s="1">
        <v>46254</v>
      </c>
      <c r="B469">
        <v>1102808787</v>
      </c>
      <c r="C469" t="s">
        <v>135</v>
      </c>
      <c r="D469" t="s">
        <v>39</v>
      </c>
      <c r="E469" t="s">
        <v>4046</v>
      </c>
      <c r="F469" t="s">
        <v>16</v>
      </c>
      <c r="G469" s="1">
        <v>46237</v>
      </c>
      <c r="H469" s="1">
        <v>46276</v>
      </c>
      <c r="I469" s="2">
        <v>0.25</v>
      </c>
      <c r="J469" s="2">
        <v>0.54166666666666663</v>
      </c>
      <c r="K469" t="s">
        <v>223</v>
      </c>
      <c r="L469">
        <v>0</v>
      </c>
      <c r="M469" t="s">
        <v>4258</v>
      </c>
      <c r="N469" t="s">
        <v>222</v>
      </c>
      <c r="O469" t="s">
        <v>223</v>
      </c>
      <c r="P469" t="s">
        <v>4042</v>
      </c>
      <c r="Q469">
        <v>7</v>
      </c>
    </row>
    <row r="470" spans="1:18" hidden="1" x14ac:dyDescent="0.25">
      <c r="A470" s="1">
        <v>46254</v>
      </c>
      <c r="B470">
        <v>1035876080</v>
      </c>
      <c r="C470" t="s">
        <v>123</v>
      </c>
      <c r="D470" t="s">
        <v>124</v>
      </c>
      <c r="E470" t="s">
        <v>4045</v>
      </c>
      <c r="F470" t="s">
        <v>16</v>
      </c>
      <c r="G470" s="1">
        <v>46246</v>
      </c>
      <c r="H470" s="1">
        <v>46254</v>
      </c>
      <c r="I470" s="2">
        <v>0.25</v>
      </c>
      <c r="J470" s="2">
        <v>0.58333333333333337</v>
      </c>
      <c r="K470" t="s">
        <v>168</v>
      </c>
      <c r="L470">
        <v>0</v>
      </c>
      <c r="M470" t="s">
        <v>4257</v>
      </c>
      <c r="N470" t="s">
        <v>167</v>
      </c>
      <c r="O470" t="s">
        <v>168</v>
      </c>
      <c r="P470" t="s">
        <v>4042</v>
      </c>
      <c r="Q470">
        <v>8</v>
      </c>
    </row>
    <row r="471" spans="1:18" hidden="1" x14ac:dyDescent="0.25">
      <c r="A471" s="1">
        <v>46254</v>
      </c>
      <c r="B471">
        <v>1037638426</v>
      </c>
      <c r="C471" t="s">
        <v>31</v>
      </c>
      <c r="D471" t="s">
        <v>28</v>
      </c>
      <c r="E471" t="s">
        <v>4046</v>
      </c>
      <c r="F471" t="s">
        <v>24</v>
      </c>
      <c r="G471" s="1">
        <v>46249</v>
      </c>
      <c r="H471" s="1">
        <v>46262</v>
      </c>
      <c r="I471" s="2">
        <v>0.25</v>
      </c>
      <c r="J471" s="2">
        <v>0.54166666666666663</v>
      </c>
      <c r="K471" t="s">
        <v>237</v>
      </c>
      <c r="L471">
        <v>0</v>
      </c>
      <c r="M471" t="s">
        <v>4255</v>
      </c>
      <c r="N471" t="s">
        <v>236</v>
      </c>
      <c r="O471" t="s">
        <v>237</v>
      </c>
      <c r="P471" t="s">
        <v>4042</v>
      </c>
      <c r="Q471">
        <v>7</v>
      </c>
      <c r="R471" t="s">
        <v>4256</v>
      </c>
    </row>
    <row r="472" spans="1:18" hidden="1" x14ac:dyDescent="0.25">
      <c r="A472" s="1">
        <v>46254</v>
      </c>
      <c r="B472">
        <v>1082896324</v>
      </c>
      <c r="C472" t="s">
        <v>127</v>
      </c>
      <c r="D472" t="s">
        <v>128</v>
      </c>
      <c r="E472" t="s">
        <v>4045</v>
      </c>
      <c r="F472" t="s">
        <v>16</v>
      </c>
      <c r="G472" s="1">
        <v>46242</v>
      </c>
      <c r="H472" s="1">
        <v>46272</v>
      </c>
      <c r="I472" s="2">
        <v>0.58333333333333337</v>
      </c>
      <c r="J472" s="2">
        <v>0.875</v>
      </c>
      <c r="K472" t="s">
        <v>120</v>
      </c>
      <c r="L472">
        <v>2</v>
      </c>
      <c r="M472" t="s">
        <v>4257</v>
      </c>
      <c r="N472" t="s">
        <v>119</v>
      </c>
      <c r="O472" t="s">
        <v>120</v>
      </c>
      <c r="P472" t="s">
        <v>21</v>
      </c>
      <c r="Q472">
        <v>7</v>
      </c>
    </row>
    <row r="473" spans="1:18" hidden="1" x14ac:dyDescent="0.25">
      <c r="A473" s="1">
        <v>46254</v>
      </c>
      <c r="B473">
        <v>1017270214</v>
      </c>
      <c r="C473" t="s">
        <v>1016</v>
      </c>
      <c r="D473" t="s">
        <v>139</v>
      </c>
      <c r="E473" t="s">
        <v>4040</v>
      </c>
      <c r="F473" t="s">
        <v>326</v>
      </c>
      <c r="G473" s="1">
        <v>46253</v>
      </c>
      <c r="H473" s="1">
        <v>46255</v>
      </c>
      <c r="I473" s="2">
        <v>0.25</v>
      </c>
      <c r="J473" s="2">
        <v>0.54166666666666663</v>
      </c>
      <c r="K473" t="s">
        <v>86</v>
      </c>
      <c r="L473">
        <v>0</v>
      </c>
      <c r="M473" t="s">
        <v>4259</v>
      </c>
      <c r="N473" t="s">
        <v>85</v>
      </c>
      <c r="O473" t="s">
        <v>86</v>
      </c>
      <c r="P473" t="s">
        <v>4042</v>
      </c>
      <c r="Q473">
        <v>7</v>
      </c>
    </row>
    <row r="474" spans="1:18" hidden="1" x14ac:dyDescent="0.25">
      <c r="A474" s="1">
        <v>46254</v>
      </c>
      <c r="B474">
        <v>1015483595</v>
      </c>
      <c r="C474" t="s">
        <v>23</v>
      </c>
      <c r="D474" t="s">
        <v>15</v>
      </c>
      <c r="E474" t="s">
        <v>4046</v>
      </c>
      <c r="F474" t="s">
        <v>24</v>
      </c>
      <c r="G474" s="1">
        <v>46244</v>
      </c>
      <c r="H474" s="1">
        <v>46265</v>
      </c>
      <c r="I474" s="2">
        <v>0.54166666666666663</v>
      </c>
      <c r="J474" s="2">
        <v>0.875</v>
      </c>
      <c r="K474" t="s">
        <v>295</v>
      </c>
      <c r="L474">
        <v>2</v>
      </c>
      <c r="M474" t="s">
        <v>4258</v>
      </c>
      <c r="N474" t="s">
        <v>294</v>
      </c>
      <c r="O474" t="s">
        <v>295</v>
      </c>
      <c r="P474" t="s">
        <v>21</v>
      </c>
      <c r="Q474">
        <v>8</v>
      </c>
    </row>
    <row r="475" spans="1:18" hidden="1" x14ac:dyDescent="0.25">
      <c r="A475" s="1">
        <v>46254</v>
      </c>
      <c r="B475">
        <v>1001851670</v>
      </c>
      <c r="C475" t="s">
        <v>50</v>
      </c>
      <c r="D475" t="s">
        <v>51</v>
      </c>
      <c r="E475" t="s">
        <v>4047</v>
      </c>
      <c r="F475" t="s">
        <v>36</v>
      </c>
      <c r="G475" s="1">
        <v>46241</v>
      </c>
      <c r="H475" s="1">
        <v>46366</v>
      </c>
      <c r="I475" s="2">
        <v>0.54166666666666663</v>
      </c>
      <c r="J475" s="2">
        <v>0.875</v>
      </c>
      <c r="K475" t="s">
        <v>340</v>
      </c>
      <c r="L475">
        <v>2</v>
      </c>
      <c r="M475" t="s">
        <v>4257</v>
      </c>
      <c r="N475" t="s">
        <v>4202</v>
      </c>
      <c r="O475" t="s">
        <v>340</v>
      </c>
      <c r="P475" t="s">
        <v>21</v>
      </c>
      <c r="Q475">
        <v>8</v>
      </c>
    </row>
    <row r="476" spans="1:18" hidden="1" x14ac:dyDescent="0.25">
      <c r="A476" s="1">
        <v>46254</v>
      </c>
      <c r="B476">
        <v>42141273</v>
      </c>
      <c r="C476" t="s">
        <v>271</v>
      </c>
      <c r="D476" t="s">
        <v>272</v>
      </c>
      <c r="E476" t="s">
        <v>4056</v>
      </c>
      <c r="F476" t="s">
        <v>4065</v>
      </c>
      <c r="G476" s="1">
        <v>46238</v>
      </c>
      <c r="H476" s="1">
        <v>46295</v>
      </c>
      <c r="I476" s="2">
        <v>0.25</v>
      </c>
      <c r="J476" s="2">
        <v>0.5</v>
      </c>
      <c r="K476" t="s">
        <v>185</v>
      </c>
      <c r="L476">
        <v>0</v>
      </c>
      <c r="M476" t="s">
        <v>4255</v>
      </c>
      <c r="N476" t="s">
        <v>184</v>
      </c>
      <c r="O476" t="s">
        <v>185</v>
      </c>
      <c r="P476" t="s">
        <v>4042</v>
      </c>
      <c r="Q476">
        <v>6</v>
      </c>
      <c r="R476" t="s">
        <v>4262</v>
      </c>
    </row>
    <row r="477" spans="1:18" hidden="1" x14ac:dyDescent="0.25">
      <c r="A477" s="1">
        <v>46254</v>
      </c>
      <c r="B477">
        <v>1005424850</v>
      </c>
      <c r="C477" t="s">
        <v>95</v>
      </c>
      <c r="D477" t="s">
        <v>82</v>
      </c>
      <c r="E477" t="s">
        <v>4045</v>
      </c>
      <c r="F477" t="s">
        <v>4062</v>
      </c>
      <c r="G477" s="1">
        <v>46254</v>
      </c>
      <c r="H477" s="1">
        <v>46255</v>
      </c>
      <c r="I477" s="2">
        <v>0.5</v>
      </c>
      <c r="J477" s="2">
        <v>0.83333333333333337</v>
      </c>
      <c r="K477" t="s">
        <v>304</v>
      </c>
      <c r="L477">
        <v>1</v>
      </c>
      <c r="M477" t="s">
        <v>4257</v>
      </c>
      <c r="N477" t="s">
        <v>303</v>
      </c>
      <c r="O477" t="s">
        <v>304</v>
      </c>
      <c r="P477" t="s">
        <v>21</v>
      </c>
      <c r="Q477">
        <v>8</v>
      </c>
    </row>
    <row r="478" spans="1:18" hidden="1" x14ac:dyDescent="0.25">
      <c r="A478" s="1">
        <v>46254</v>
      </c>
      <c r="B478">
        <v>1152221372</v>
      </c>
      <c r="C478" t="s">
        <v>2363</v>
      </c>
      <c r="D478" t="s">
        <v>139</v>
      </c>
      <c r="E478" t="s">
        <v>4040</v>
      </c>
      <c r="F478" t="s">
        <v>158</v>
      </c>
      <c r="G478" s="1">
        <v>46230</v>
      </c>
      <c r="H478" s="1">
        <v>46230</v>
      </c>
      <c r="I478" s="2">
        <v>0.54166666666666663</v>
      </c>
      <c r="J478" s="2">
        <v>0.875</v>
      </c>
      <c r="K478" t="s">
        <v>214</v>
      </c>
      <c r="L478">
        <v>2</v>
      </c>
      <c r="M478" t="s">
        <v>4257</v>
      </c>
      <c r="N478" t="s">
        <v>213</v>
      </c>
      <c r="O478" t="s">
        <v>214</v>
      </c>
      <c r="P478" t="s">
        <v>21</v>
      </c>
      <c r="Q478">
        <v>8</v>
      </c>
    </row>
    <row r="479" spans="1:18" hidden="1" x14ac:dyDescent="0.25">
      <c r="A479" s="1">
        <v>46254</v>
      </c>
      <c r="B479">
        <v>1037630071</v>
      </c>
      <c r="C479" t="s">
        <v>3579</v>
      </c>
      <c r="D479" t="s">
        <v>176</v>
      </c>
      <c r="E479" t="s">
        <v>4040</v>
      </c>
      <c r="F479" t="s">
        <v>4062</v>
      </c>
      <c r="G479" s="1">
        <v>46247</v>
      </c>
      <c r="H479" s="1">
        <v>46265</v>
      </c>
      <c r="I479" s="2">
        <v>0.25</v>
      </c>
      <c r="J479" s="2">
        <v>0.58333333333333337</v>
      </c>
      <c r="K479" t="s">
        <v>197</v>
      </c>
      <c r="L479">
        <v>0</v>
      </c>
      <c r="M479" t="s">
        <v>4257</v>
      </c>
      <c r="N479" t="s">
        <v>196</v>
      </c>
      <c r="O479" t="s">
        <v>197</v>
      </c>
      <c r="P479" t="s">
        <v>4042</v>
      </c>
      <c r="Q479">
        <v>8</v>
      </c>
    </row>
    <row r="480" spans="1:18" hidden="1" x14ac:dyDescent="0.25">
      <c r="A480" s="1">
        <v>46254</v>
      </c>
      <c r="B480">
        <v>1143460426</v>
      </c>
      <c r="C480" t="s">
        <v>4069</v>
      </c>
      <c r="D480" t="s">
        <v>64</v>
      </c>
      <c r="E480" t="s">
        <v>4046</v>
      </c>
      <c r="F480" t="s">
        <v>4050</v>
      </c>
      <c r="G480" s="1">
        <v>46195</v>
      </c>
      <c r="H480" s="1">
        <v>46198</v>
      </c>
      <c r="I480" s="2">
        <v>0.58333333333333337</v>
      </c>
      <c r="J480" s="2">
        <v>0.875</v>
      </c>
      <c r="K480" t="s">
        <v>301</v>
      </c>
      <c r="L480">
        <v>2</v>
      </c>
      <c r="M480" t="s">
        <v>4258</v>
      </c>
      <c r="N480" t="s">
        <v>300</v>
      </c>
      <c r="O480" t="s">
        <v>301</v>
      </c>
      <c r="P480" t="s">
        <v>21</v>
      </c>
      <c r="Q480">
        <v>7</v>
      </c>
    </row>
    <row r="481" spans="1:17" hidden="1" x14ac:dyDescent="0.25">
      <c r="A481" s="1">
        <v>46254</v>
      </c>
      <c r="B481">
        <v>1020414545</v>
      </c>
      <c r="C481" t="s">
        <v>2893</v>
      </c>
      <c r="D481" t="s">
        <v>256</v>
      </c>
      <c r="E481" t="s">
        <v>4040</v>
      </c>
      <c r="F481" t="s">
        <v>16</v>
      </c>
      <c r="G481" s="1">
        <v>46253</v>
      </c>
      <c r="H481" s="1">
        <v>46254</v>
      </c>
      <c r="I481" s="2">
        <v>0.25</v>
      </c>
      <c r="J481" s="2">
        <v>0.58333333333333337</v>
      </c>
      <c r="K481" t="s">
        <v>262</v>
      </c>
      <c r="L481">
        <v>0</v>
      </c>
      <c r="M481" t="s">
        <v>4260</v>
      </c>
      <c r="N481" t="s">
        <v>261</v>
      </c>
      <c r="O481" t="s">
        <v>262</v>
      </c>
      <c r="P481" t="s">
        <v>4042</v>
      </c>
      <c r="Q481">
        <v>8</v>
      </c>
    </row>
    <row r="482" spans="1:17" hidden="1" x14ac:dyDescent="0.25">
      <c r="A482" s="1">
        <v>46254</v>
      </c>
      <c r="B482">
        <v>1098774597</v>
      </c>
      <c r="C482" t="s">
        <v>1745</v>
      </c>
      <c r="D482" t="s">
        <v>132</v>
      </c>
      <c r="E482" t="s">
        <v>4040</v>
      </c>
      <c r="F482" t="s">
        <v>16</v>
      </c>
      <c r="G482" s="1">
        <v>46253</v>
      </c>
      <c r="H482" s="1">
        <v>46255</v>
      </c>
      <c r="I482" s="2">
        <v>0.25</v>
      </c>
      <c r="J482" s="2">
        <v>0.58333333333333337</v>
      </c>
      <c r="K482" t="s">
        <v>151</v>
      </c>
      <c r="L482">
        <v>0</v>
      </c>
      <c r="M482" t="s">
        <v>4257</v>
      </c>
      <c r="N482" t="s">
        <v>150</v>
      </c>
      <c r="O482" t="s">
        <v>151</v>
      </c>
      <c r="P482" t="s">
        <v>4042</v>
      </c>
      <c r="Q482">
        <v>8</v>
      </c>
    </row>
    <row r="483" spans="1:17" hidden="1" x14ac:dyDescent="0.25">
      <c r="A483" s="1">
        <v>46254</v>
      </c>
      <c r="B483">
        <v>1140891109</v>
      </c>
      <c r="C483" t="s">
        <v>1287</v>
      </c>
      <c r="D483" t="s">
        <v>51</v>
      </c>
      <c r="E483" t="s">
        <v>4047</v>
      </c>
      <c r="F483" t="s">
        <v>4147</v>
      </c>
      <c r="G483" s="1">
        <v>46254</v>
      </c>
      <c r="H483" s="1">
        <v>46254</v>
      </c>
      <c r="I483" s="2">
        <v>0.25</v>
      </c>
      <c r="J483" s="2">
        <v>0.54166666666666663</v>
      </c>
      <c r="K483" t="s">
        <v>74</v>
      </c>
      <c r="L483">
        <v>0</v>
      </c>
      <c r="M483" t="s">
        <v>4257</v>
      </c>
      <c r="N483" t="s">
        <v>73</v>
      </c>
      <c r="O483" t="s">
        <v>74</v>
      </c>
      <c r="P483" t="s">
        <v>4042</v>
      </c>
      <c r="Q483">
        <v>7</v>
      </c>
    </row>
    <row r="484" spans="1:17" hidden="1" x14ac:dyDescent="0.25">
      <c r="A484" s="1">
        <v>46254</v>
      </c>
      <c r="B484">
        <v>52932342</v>
      </c>
      <c r="C484" t="s">
        <v>564</v>
      </c>
      <c r="D484" t="s">
        <v>421</v>
      </c>
      <c r="E484" t="s">
        <v>4047</v>
      </c>
      <c r="F484" t="s">
        <v>16</v>
      </c>
      <c r="G484" s="1">
        <v>46252</v>
      </c>
      <c r="H484" s="1">
        <v>46254</v>
      </c>
      <c r="I484" s="2">
        <v>0.58333333333333337</v>
      </c>
      <c r="J484" s="2">
        <v>0.875</v>
      </c>
      <c r="K484" t="s">
        <v>232</v>
      </c>
      <c r="L484">
        <v>2</v>
      </c>
      <c r="M484" t="s">
        <v>4257</v>
      </c>
      <c r="N484" t="s">
        <v>231</v>
      </c>
      <c r="O484" t="s">
        <v>232</v>
      </c>
      <c r="P484" t="s">
        <v>21</v>
      </c>
      <c r="Q484">
        <v>7</v>
      </c>
    </row>
    <row r="485" spans="1:17" hidden="1" x14ac:dyDescent="0.25">
      <c r="A485" s="1">
        <v>46254</v>
      </c>
      <c r="B485">
        <v>1096223065</v>
      </c>
      <c r="C485" t="s">
        <v>3428</v>
      </c>
      <c r="D485" t="s">
        <v>59</v>
      </c>
      <c r="E485" t="s">
        <v>4047</v>
      </c>
      <c r="F485" t="s">
        <v>24</v>
      </c>
      <c r="G485" s="1">
        <v>46253</v>
      </c>
      <c r="H485" s="1">
        <v>46265</v>
      </c>
      <c r="I485" s="2">
        <v>0.54166666666666663</v>
      </c>
      <c r="J485" s="2">
        <v>0.83333333333333337</v>
      </c>
      <c r="K485" t="s">
        <v>182</v>
      </c>
      <c r="L485">
        <v>1</v>
      </c>
      <c r="M485" t="s">
        <v>4260</v>
      </c>
      <c r="N485" t="s">
        <v>181</v>
      </c>
      <c r="O485" t="s">
        <v>182</v>
      </c>
      <c r="P485" t="s">
        <v>21</v>
      </c>
      <c r="Q485">
        <v>7</v>
      </c>
    </row>
    <row r="486" spans="1:17" hidden="1" x14ac:dyDescent="0.25">
      <c r="A486" s="1">
        <v>46254</v>
      </c>
      <c r="B486">
        <v>32299090</v>
      </c>
      <c r="C486" t="s">
        <v>3249</v>
      </c>
      <c r="D486" t="s">
        <v>55</v>
      </c>
      <c r="E486" t="s">
        <v>4047</v>
      </c>
      <c r="F486" t="s">
        <v>16</v>
      </c>
      <c r="G486" s="1">
        <v>46253</v>
      </c>
      <c r="H486" s="1">
        <v>46255</v>
      </c>
      <c r="I486" s="2">
        <v>0.25</v>
      </c>
      <c r="J486" s="2">
        <v>0.58333333333333337</v>
      </c>
      <c r="K486" t="s">
        <v>46</v>
      </c>
      <c r="L486">
        <v>0</v>
      </c>
      <c r="M486" t="s">
        <v>4260</v>
      </c>
      <c r="N486" t="s">
        <v>45</v>
      </c>
      <c r="O486" t="s">
        <v>46</v>
      </c>
      <c r="P486" t="s">
        <v>4042</v>
      </c>
      <c r="Q486">
        <v>8</v>
      </c>
    </row>
    <row r="487" spans="1:17" hidden="1" x14ac:dyDescent="0.25">
      <c r="A487" s="1">
        <v>46254</v>
      </c>
      <c r="B487">
        <v>1002029407</v>
      </c>
      <c r="C487" t="s">
        <v>101</v>
      </c>
      <c r="D487" t="s">
        <v>102</v>
      </c>
      <c r="E487" t="s">
        <v>4046</v>
      </c>
      <c r="F487" t="s">
        <v>16</v>
      </c>
      <c r="G487" s="1">
        <v>46253</v>
      </c>
      <c r="H487" s="1">
        <v>46256</v>
      </c>
      <c r="I487" s="2">
        <v>0.5</v>
      </c>
      <c r="J487" s="2">
        <v>0.79166666666666663</v>
      </c>
      <c r="K487" t="s">
        <v>104</v>
      </c>
      <c r="L487">
        <v>0</v>
      </c>
      <c r="M487" t="s">
        <v>4258</v>
      </c>
      <c r="N487" t="s">
        <v>103</v>
      </c>
      <c r="O487" t="s">
        <v>104</v>
      </c>
      <c r="P487" t="s">
        <v>4042</v>
      </c>
      <c r="Q487">
        <v>7</v>
      </c>
    </row>
    <row r="488" spans="1:17" hidden="1" x14ac:dyDescent="0.25">
      <c r="A488" s="1">
        <v>46254</v>
      </c>
      <c r="B488">
        <v>1036965348</v>
      </c>
      <c r="C488" t="s">
        <v>229</v>
      </c>
      <c r="D488" t="s">
        <v>4079</v>
      </c>
      <c r="E488" t="s">
        <v>4046</v>
      </c>
      <c r="F488" t="s">
        <v>4079</v>
      </c>
      <c r="G488" s="1">
        <v>46254</v>
      </c>
      <c r="H488" s="1">
        <v>46254</v>
      </c>
      <c r="I488" s="2">
        <v>0.25</v>
      </c>
      <c r="J488" s="2">
        <v>0.58333333333333337</v>
      </c>
      <c r="K488" t="s">
        <v>339</v>
      </c>
      <c r="L488">
        <v>0</v>
      </c>
      <c r="M488" t="s">
        <v>4258</v>
      </c>
      <c r="N488" t="s">
        <v>228</v>
      </c>
      <c r="O488" t="s">
        <v>229</v>
      </c>
      <c r="P488" t="s">
        <v>4042</v>
      </c>
      <c r="Q488">
        <v>8</v>
      </c>
    </row>
    <row r="489" spans="1:17" hidden="1" x14ac:dyDescent="0.25">
      <c r="A489" s="1">
        <v>46254</v>
      </c>
      <c r="B489">
        <v>1000348983</v>
      </c>
      <c r="C489" t="s">
        <v>235</v>
      </c>
      <c r="D489" t="s">
        <v>162</v>
      </c>
      <c r="E489" t="s">
        <v>4056</v>
      </c>
      <c r="F489" t="s">
        <v>16</v>
      </c>
      <c r="G489" s="1">
        <v>46251</v>
      </c>
      <c r="H489" s="1">
        <v>46255</v>
      </c>
      <c r="I489" s="2">
        <v>0.625</v>
      </c>
      <c r="J489" s="2">
        <v>0.875</v>
      </c>
      <c r="K489" t="s">
        <v>286</v>
      </c>
      <c r="L489">
        <v>2</v>
      </c>
      <c r="M489" t="s">
        <v>4255</v>
      </c>
      <c r="N489" t="s">
        <v>285</v>
      </c>
      <c r="O489" t="s">
        <v>286</v>
      </c>
      <c r="P489" t="s">
        <v>21</v>
      </c>
      <c r="Q489">
        <v>6</v>
      </c>
    </row>
    <row r="490" spans="1:17" hidden="1" x14ac:dyDescent="0.25">
      <c r="A490" s="1">
        <v>46254</v>
      </c>
      <c r="B490">
        <v>1036683729</v>
      </c>
      <c r="C490" t="s">
        <v>954</v>
      </c>
      <c r="D490" t="s">
        <v>82</v>
      </c>
      <c r="E490" t="s">
        <v>4045</v>
      </c>
      <c r="F490" t="s">
        <v>16</v>
      </c>
      <c r="G490" s="1">
        <v>46253</v>
      </c>
      <c r="H490" s="1">
        <v>46255</v>
      </c>
      <c r="I490" s="2">
        <v>0.5</v>
      </c>
      <c r="J490" s="2">
        <v>0.83333333333333337</v>
      </c>
      <c r="K490" t="s">
        <v>319</v>
      </c>
      <c r="L490">
        <v>1</v>
      </c>
      <c r="M490" t="s">
        <v>4258</v>
      </c>
      <c r="N490" t="s">
        <v>318</v>
      </c>
      <c r="O490" t="s">
        <v>319</v>
      </c>
      <c r="P490" t="s">
        <v>21</v>
      </c>
      <c r="Q490">
        <v>8</v>
      </c>
    </row>
    <row r="491" spans="1:17" hidden="1" x14ac:dyDescent="0.25">
      <c r="A491" s="1">
        <v>46254</v>
      </c>
      <c r="B491">
        <v>33204315</v>
      </c>
      <c r="C491" t="s">
        <v>585</v>
      </c>
      <c r="D491" t="s">
        <v>162</v>
      </c>
      <c r="E491" t="s">
        <v>4056</v>
      </c>
      <c r="F491" t="s">
        <v>16</v>
      </c>
      <c r="G491" s="1">
        <v>46254</v>
      </c>
      <c r="H491" s="1">
        <v>46255</v>
      </c>
      <c r="I491" s="2">
        <v>0.25</v>
      </c>
      <c r="J491" s="2">
        <v>0.58333333333333337</v>
      </c>
      <c r="K491" t="s">
        <v>164</v>
      </c>
      <c r="L491">
        <v>0</v>
      </c>
      <c r="M491" t="s">
        <v>4255</v>
      </c>
      <c r="N491" t="s">
        <v>163</v>
      </c>
      <c r="O491" t="s">
        <v>164</v>
      </c>
      <c r="P491" t="s">
        <v>4042</v>
      </c>
      <c r="Q491">
        <v>8</v>
      </c>
    </row>
    <row r="492" spans="1:17" hidden="1" x14ac:dyDescent="0.25">
      <c r="A492" s="1">
        <v>46254</v>
      </c>
      <c r="B492">
        <v>1001446162</v>
      </c>
      <c r="C492" t="s">
        <v>3663</v>
      </c>
      <c r="D492" t="s">
        <v>4079</v>
      </c>
      <c r="E492" t="s">
        <v>4056</v>
      </c>
      <c r="F492" t="s">
        <v>4079</v>
      </c>
      <c r="G492" s="1">
        <v>46254</v>
      </c>
      <c r="H492" s="1">
        <v>46254</v>
      </c>
      <c r="I492" s="2">
        <v>0.29166666666666669</v>
      </c>
      <c r="J492" s="2">
        <v>0.58333333333333337</v>
      </c>
      <c r="K492" t="s">
        <v>339</v>
      </c>
      <c r="L492">
        <v>0</v>
      </c>
      <c r="M492" t="s">
        <v>4255</v>
      </c>
      <c r="N492" t="s">
        <v>3662</v>
      </c>
      <c r="O492" t="s">
        <v>3663</v>
      </c>
      <c r="P492" t="s">
        <v>4042</v>
      </c>
      <c r="Q492">
        <v>7</v>
      </c>
    </row>
    <row r="493" spans="1:17" hidden="1" x14ac:dyDescent="0.25">
      <c r="A493" s="1">
        <v>46254</v>
      </c>
      <c r="B493">
        <v>1107046318</v>
      </c>
      <c r="C493" t="s">
        <v>268</v>
      </c>
      <c r="D493" t="s">
        <v>4079</v>
      </c>
      <c r="E493" t="s">
        <v>4056</v>
      </c>
      <c r="F493" t="s">
        <v>4079</v>
      </c>
      <c r="G493" s="1">
        <v>46254</v>
      </c>
      <c r="H493" s="1">
        <v>46254</v>
      </c>
      <c r="I493" s="2">
        <v>0.45833333333333331</v>
      </c>
      <c r="J493" s="2">
        <v>0.79166666666666663</v>
      </c>
      <c r="K493" t="s">
        <v>339</v>
      </c>
      <c r="L493">
        <v>0</v>
      </c>
      <c r="M493" t="s">
        <v>4255</v>
      </c>
      <c r="N493" t="s">
        <v>267</v>
      </c>
      <c r="O493" t="s">
        <v>268</v>
      </c>
      <c r="P493" t="s">
        <v>4042</v>
      </c>
      <c r="Q493">
        <v>8</v>
      </c>
    </row>
    <row r="494" spans="1:17" hidden="1" x14ac:dyDescent="0.25">
      <c r="A494" s="1">
        <v>46254</v>
      </c>
      <c r="B494">
        <v>1007223463</v>
      </c>
      <c r="C494" t="s">
        <v>561</v>
      </c>
      <c r="D494" t="s">
        <v>4079</v>
      </c>
      <c r="E494" t="s">
        <v>4056</v>
      </c>
      <c r="F494" t="s">
        <v>4079</v>
      </c>
      <c r="G494" s="1">
        <v>46254</v>
      </c>
      <c r="H494" s="1">
        <v>46254</v>
      </c>
      <c r="I494" s="2">
        <v>0.45833333333333331</v>
      </c>
      <c r="J494" s="2">
        <v>0.79166666666666663</v>
      </c>
      <c r="K494" t="s">
        <v>339</v>
      </c>
      <c r="L494">
        <v>0</v>
      </c>
      <c r="M494" t="s">
        <v>4255</v>
      </c>
      <c r="N494" t="s">
        <v>560</v>
      </c>
      <c r="O494" t="s">
        <v>561</v>
      </c>
      <c r="P494" t="s">
        <v>4042</v>
      </c>
      <c r="Q494">
        <v>8</v>
      </c>
    </row>
    <row r="495" spans="1:17" hidden="1" x14ac:dyDescent="0.25">
      <c r="A495" s="1">
        <v>46254</v>
      </c>
      <c r="B495">
        <v>1193454765</v>
      </c>
      <c r="C495" t="s">
        <v>1428</v>
      </c>
      <c r="D495" t="s">
        <v>132</v>
      </c>
      <c r="E495" t="s">
        <v>4040</v>
      </c>
      <c r="F495" t="s">
        <v>4104</v>
      </c>
      <c r="G495" s="1">
        <v>46254</v>
      </c>
      <c r="H495" s="1">
        <v>46254</v>
      </c>
      <c r="I495" s="2">
        <v>0.5</v>
      </c>
      <c r="J495" s="2">
        <v>0.79166666666666663</v>
      </c>
      <c r="K495" t="s">
        <v>339</v>
      </c>
      <c r="L495">
        <v>0</v>
      </c>
      <c r="M495" t="s">
        <v>4260</v>
      </c>
      <c r="N495" t="s">
        <v>1427</v>
      </c>
      <c r="O495" t="s">
        <v>1428</v>
      </c>
      <c r="P495" t="s">
        <v>4042</v>
      </c>
      <c r="Q495">
        <v>7</v>
      </c>
    </row>
    <row r="496" spans="1:17" hidden="1" x14ac:dyDescent="0.25">
      <c r="A496" s="1">
        <v>46255</v>
      </c>
      <c r="B496">
        <v>33204315</v>
      </c>
      <c r="C496" t="s">
        <v>585</v>
      </c>
      <c r="D496" t="s">
        <v>162</v>
      </c>
      <c r="E496" t="s">
        <v>4056</v>
      </c>
      <c r="F496" t="s">
        <v>16</v>
      </c>
      <c r="G496" s="1">
        <v>46254</v>
      </c>
      <c r="H496" s="1">
        <v>46255</v>
      </c>
      <c r="I496" s="2">
        <v>0.58333333333333337</v>
      </c>
      <c r="J496" s="2">
        <v>0.875</v>
      </c>
      <c r="K496" t="s">
        <v>185</v>
      </c>
      <c r="L496">
        <v>2</v>
      </c>
      <c r="M496" t="s">
        <v>4255</v>
      </c>
      <c r="N496" t="s">
        <v>184</v>
      </c>
      <c r="O496" t="s">
        <v>185</v>
      </c>
      <c r="P496" t="s">
        <v>21</v>
      </c>
      <c r="Q496">
        <v>7</v>
      </c>
    </row>
    <row r="497" spans="1:18" hidden="1" x14ac:dyDescent="0.25">
      <c r="A497" s="1">
        <v>46255</v>
      </c>
      <c r="B497">
        <v>1152198083</v>
      </c>
      <c r="C497" t="s">
        <v>2010</v>
      </c>
      <c r="D497" t="s">
        <v>421</v>
      </c>
      <c r="E497" t="s">
        <v>4047</v>
      </c>
      <c r="F497" t="s">
        <v>16</v>
      </c>
      <c r="G497" s="1">
        <v>46254</v>
      </c>
      <c r="H497" s="1">
        <v>46255</v>
      </c>
      <c r="I497" s="2">
        <v>0.25</v>
      </c>
      <c r="J497" s="2">
        <v>0.5</v>
      </c>
      <c r="K497" t="s">
        <v>319</v>
      </c>
      <c r="L497">
        <v>0</v>
      </c>
      <c r="M497" t="s">
        <v>4258</v>
      </c>
      <c r="N497" t="s">
        <v>318</v>
      </c>
      <c r="O497" t="s">
        <v>319</v>
      </c>
      <c r="P497" t="s">
        <v>4042</v>
      </c>
      <c r="Q497">
        <v>6</v>
      </c>
    </row>
    <row r="498" spans="1:18" hidden="1" x14ac:dyDescent="0.25">
      <c r="A498" s="1">
        <v>46255</v>
      </c>
      <c r="B498">
        <v>1007959114</v>
      </c>
      <c r="C498" t="s">
        <v>337</v>
      </c>
      <c r="D498" t="s">
        <v>39</v>
      </c>
      <c r="E498" t="s">
        <v>4046</v>
      </c>
      <c r="F498" t="s">
        <v>16</v>
      </c>
      <c r="G498" s="1">
        <v>46254</v>
      </c>
      <c r="H498" s="1">
        <v>46255</v>
      </c>
      <c r="I498" s="2">
        <v>0.25</v>
      </c>
      <c r="J498" s="2">
        <v>0.54166666666666663</v>
      </c>
      <c r="K498" t="s">
        <v>197</v>
      </c>
      <c r="L498">
        <v>0</v>
      </c>
      <c r="M498" t="s">
        <v>4257</v>
      </c>
      <c r="N498" t="s">
        <v>196</v>
      </c>
      <c r="O498" t="s">
        <v>197</v>
      </c>
      <c r="P498" t="s">
        <v>4042</v>
      </c>
      <c r="Q498">
        <v>7</v>
      </c>
    </row>
    <row r="499" spans="1:18" hidden="1" x14ac:dyDescent="0.25">
      <c r="A499" s="1">
        <v>46255</v>
      </c>
      <c r="B499">
        <v>1045718883</v>
      </c>
      <c r="C499" t="s">
        <v>34</v>
      </c>
      <c r="D499" t="s">
        <v>15</v>
      </c>
      <c r="E499" t="s">
        <v>4046</v>
      </c>
      <c r="F499" t="s">
        <v>36</v>
      </c>
      <c r="G499" s="1">
        <v>46244</v>
      </c>
      <c r="H499" s="1">
        <v>46393</v>
      </c>
      <c r="I499" s="2">
        <v>0.25</v>
      </c>
      <c r="J499" s="2">
        <v>0.54166666666666663</v>
      </c>
      <c r="K499" t="s">
        <v>223</v>
      </c>
      <c r="L499">
        <v>0</v>
      </c>
      <c r="M499" t="s">
        <v>4258</v>
      </c>
      <c r="N499" t="s">
        <v>222</v>
      </c>
      <c r="O499" t="s">
        <v>223</v>
      </c>
      <c r="P499" t="s">
        <v>4042</v>
      </c>
      <c r="Q499">
        <v>7</v>
      </c>
    </row>
    <row r="500" spans="1:18" hidden="1" x14ac:dyDescent="0.25">
      <c r="A500" s="1">
        <v>46255</v>
      </c>
      <c r="B500">
        <v>1015483595</v>
      </c>
      <c r="C500" t="s">
        <v>23</v>
      </c>
      <c r="D500" t="s">
        <v>15</v>
      </c>
      <c r="E500" t="s">
        <v>4046</v>
      </c>
      <c r="F500" t="s">
        <v>24</v>
      </c>
      <c r="G500" s="1">
        <v>46244</v>
      </c>
      <c r="H500" s="1">
        <v>46265</v>
      </c>
      <c r="I500" s="2">
        <v>0.58333333333333337</v>
      </c>
      <c r="J500" s="2">
        <v>0.875</v>
      </c>
      <c r="K500" t="s">
        <v>18</v>
      </c>
      <c r="L500">
        <v>2</v>
      </c>
      <c r="M500" t="s">
        <v>4258</v>
      </c>
      <c r="N500" t="s">
        <v>17</v>
      </c>
      <c r="O500" t="s">
        <v>18</v>
      </c>
      <c r="P500" t="s">
        <v>21</v>
      </c>
      <c r="Q500">
        <v>7</v>
      </c>
    </row>
    <row r="501" spans="1:18" hidden="1" x14ac:dyDescent="0.25">
      <c r="A501" s="1">
        <v>46255</v>
      </c>
      <c r="B501">
        <v>1098774597</v>
      </c>
      <c r="C501" t="s">
        <v>1745</v>
      </c>
      <c r="D501" t="s">
        <v>132</v>
      </c>
      <c r="E501" t="s">
        <v>4040</v>
      </c>
      <c r="F501" t="s">
        <v>16</v>
      </c>
      <c r="G501" s="1">
        <v>46253</v>
      </c>
      <c r="H501" s="1">
        <v>46255</v>
      </c>
      <c r="I501" s="2">
        <v>0.25</v>
      </c>
      <c r="J501" s="2">
        <v>0.54166666666666663</v>
      </c>
      <c r="K501" t="s">
        <v>214</v>
      </c>
      <c r="L501">
        <v>0</v>
      </c>
      <c r="M501" t="s">
        <v>4257</v>
      </c>
      <c r="N501" t="s">
        <v>213</v>
      </c>
      <c r="O501" t="s">
        <v>214</v>
      </c>
      <c r="P501" t="s">
        <v>4042</v>
      </c>
      <c r="Q501">
        <v>7</v>
      </c>
    </row>
    <row r="502" spans="1:18" hidden="1" x14ac:dyDescent="0.25">
      <c r="A502" s="1">
        <v>46255</v>
      </c>
      <c r="B502">
        <v>1037661959</v>
      </c>
      <c r="C502" t="s">
        <v>4080</v>
      </c>
      <c r="D502" t="s">
        <v>482</v>
      </c>
      <c r="E502" t="s">
        <v>4040</v>
      </c>
      <c r="F502" t="s">
        <v>4050</v>
      </c>
      <c r="G502" s="1">
        <v>46253</v>
      </c>
      <c r="H502" s="1">
        <v>46255</v>
      </c>
      <c r="I502" s="2">
        <v>0.25</v>
      </c>
      <c r="J502" s="2">
        <v>0.54166666666666663</v>
      </c>
      <c r="K502" t="s">
        <v>262</v>
      </c>
      <c r="L502">
        <v>0</v>
      </c>
      <c r="M502" t="s">
        <v>4260</v>
      </c>
      <c r="N502" t="s">
        <v>261</v>
      </c>
      <c r="O502" t="s">
        <v>262</v>
      </c>
      <c r="P502" t="s">
        <v>4042</v>
      </c>
      <c r="Q502">
        <v>7</v>
      </c>
      <c r="R502" t="s">
        <v>4261</v>
      </c>
    </row>
    <row r="503" spans="1:18" hidden="1" x14ac:dyDescent="0.25">
      <c r="A503" s="1">
        <v>46255</v>
      </c>
      <c r="B503">
        <v>1007334260</v>
      </c>
      <c r="C503" t="s">
        <v>4207</v>
      </c>
      <c r="D503" t="s">
        <v>344</v>
      </c>
      <c r="E503" t="s">
        <v>4056</v>
      </c>
      <c r="F503" t="s">
        <v>4050</v>
      </c>
      <c r="G503" s="1">
        <v>46255</v>
      </c>
      <c r="H503" s="1">
        <v>46259</v>
      </c>
      <c r="I503" s="2">
        <v>0.25</v>
      </c>
      <c r="J503" s="2">
        <v>0.58333333333333337</v>
      </c>
      <c r="K503" t="s">
        <v>286</v>
      </c>
      <c r="L503">
        <v>0</v>
      </c>
      <c r="M503" t="s">
        <v>4255</v>
      </c>
      <c r="N503" t="s">
        <v>285</v>
      </c>
      <c r="O503" t="s">
        <v>286</v>
      </c>
      <c r="P503" t="s">
        <v>4042</v>
      </c>
      <c r="Q503">
        <v>8</v>
      </c>
    </row>
    <row r="504" spans="1:18" hidden="1" x14ac:dyDescent="0.25">
      <c r="A504" s="1">
        <v>46255</v>
      </c>
      <c r="B504">
        <v>1143375080</v>
      </c>
      <c r="C504" t="s">
        <v>203</v>
      </c>
      <c r="D504" t="s">
        <v>44</v>
      </c>
      <c r="E504" t="s">
        <v>4045</v>
      </c>
      <c r="F504" t="s">
        <v>158</v>
      </c>
      <c r="G504" s="1">
        <v>46249</v>
      </c>
      <c r="H504" s="1"/>
      <c r="I504" s="2">
        <v>0.25</v>
      </c>
      <c r="J504" s="2">
        <v>0.54166666666666663</v>
      </c>
      <c r="K504" t="s">
        <v>200</v>
      </c>
      <c r="L504">
        <v>0</v>
      </c>
      <c r="M504" t="s">
        <v>4257</v>
      </c>
      <c r="N504" t="s">
        <v>199</v>
      </c>
      <c r="O504" t="s">
        <v>200</v>
      </c>
      <c r="P504" t="s">
        <v>4042</v>
      </c>
      <c r="Q504">
        <v>7</v>
      </c>
    </row>
    <row r="505" spans="1:18" hidden="1" x14ac:dyDescent="0.25">
      <c r="A505" s="1">
        <v>46255</v>
      </c>
      <c r="B505">
        <v>1040755197</v>
      </c>
      <c r="C505" t="s">
        <v>171</v>
      </c>
      <c r="D505" t="s">
        <v>172</v>
      </c>
      <c r="E505" t="s">
        <v>4046</v>
      </c>
      <c r="F505" t="s">
        <v>16</v>
      </c>
      <c r="G505" s="1">
        <v>46252</v>
      </c>
      <c r="H505" s="1">
        <v>46262</v>
      </c>
      <c r="I505" s="2">
        <v>0.54166666666666663</v>
      </c>
      <c r="J505" s="2">
        <v>0.875</v>
      </c>
      <c r="K505" t="s">
        <v>168</v>
      </c>
      <c r="L505">
        <v>2</v>
      </c>
      <c r="M505" t="s">
        <v>4257</v>
      </c>
      <c r="N505" t="s">
        <v>167</v>
      </c>
      <c r="O505" t="s">
        <v>168</v>
      </c>
      <c r="P505" t="s">
        <v>21</v>
      </c>
      <c r="Q505">
        <v>8</v>
      </c>
    </row>
    <row r="506" spans="1:18" hidden="1" x14ac:dyDescent="0.25">
      <c r="A506" s="1">
        <v>46255</v>
      </c>
      <c r="B506">
        <v>1082896324</v>
      </c>
      <c r="C506" t="s">
        <v>127</v>
      </c>
      <c r="D506" t="s">
        <v>128</v>
      </c>
      <c r="E506" t="s">
        <v>4045</v>
      </c>
      <c r="F506" t="s">
        <v>16</v>
      </c>
      <c r="G506" s="1">
        <v>46242</v>
      </c>
      <c r="H506" s="1">
        <v>46272</v>
      </c>
      <c r="I506" s="2">
        <v>0.25</v>
      </c>
      <c r="J506" s="2">
        <v>0.54166666666666663</v>
      </c>
      <c r="K506" t="s">
        <v>241</v>
      </c>
      <c r="L506">
        <v>0</v>
      </c>
      <c r="M506" t="s">
        <v>4257</v>
      </c>
      <c r="N506" t="s">
        <v>240</v>
      </c>
      <c r="O506" t="s">
        <v>241</v>
      </c>
      <c r="P506" t="s">
        <v>4042</v>
      </c>
      <c r="Q506">
        <v>7</v>
      </c>
    </row>
    <row r="507" spans="1:18" hidden="1" x14ac:dyDescent="0.25">
      <c r="A507" s="1">
        <v>46255</v>
      </c>
      <c r="B507">
        <v>1001851670</v>
      </c>
      <c r="C507" t="s">
        <v>50</v>
      </c>
      <c r="D507" t="s">
        <v>51</v>
      </c>
      <c r="E507" t="s">
        <v>4047</v>
      </c>
      <c r="F507" t="s">
        <v>36</v>
      </c>
      <c r="G507" s="1">
        <v>46241</v>
      </c>
      <c r="H507" s="1">
        <v>46366</v>
      </c>
      <c r="I507" s="2">
        <v>0.25</v>
      </c>
      <c r="J507" s="2">
        <v>0.54166666666666663</v>
      </c>
      <c r="K507" t="s">
        <v>86</v>
      </c>
      <c r="L507">
        <v>0</v>
      </c>
      <c r="M507" t="s">
        <v>4259</v>
      </c>
      <c r="N507" t="s">
        <v>85</v>
      </c>
      <c r="O507" t="s">
        <v>86</v>
      </c>
      <c r="P507" t="s">
        <v>4042</v>
      </c>
      <c r="Q507">
        <v>7</v>
      </c>
    </row>
    <row r="508" spans="1:18" hidden="1" x14ac:dyDescent="0.25">
      <c r="A508" s="1">
        <v>46255</v>
      </c>
      <c r="B508">
        <v>42141273</v>
      </c>
      <c r="C508" t="s">
        <v>271</v>
      </c>
      <c r="D508" t="s">
        <v>272</v>
      </c>
      <c r="E508" t="s">
        <v>4056</v>
      </c>
      <c r="F508" t="s">
        <v>4065</v>
      </c>
      <c r="G508" s="1">
        <v>46238</v>
      </c>
      <c r="H508" s="1">
        <v>46295</v>
      </c>
      <c r="I508" s="2">
        <v>0.25</v>
      </c>
      <c r="J508" s="2">
        <v>0.5</v>
      </c>
      <c r="K508" t="s">
        <v>561</v>
      </c>
      <c r="L508">
        <v>0</v>
      </c>
      <c r="M508" t="s">
        <v>4255</v>
      </c>
      <c r="N508" t="s">
        <v>560</v>
      </c>
      <c r="O508" t="s">
        <v>561</v>
      </c>
      <c r="P508" t="s">
        <v>4042</v>
      </c>
      <c r="Q508">
        <v>6</v>
      </c>
      <c r="R508" t="s">
        <v>4262</v>
      </c>
    </row>
    <row r="509" spans="1:18" hidden="1" x14ac:dyDescent="0.25">
      <c r="A509" s="1">
        <v>46255</v>
      </c>
      <c r="B509">
        <v>1005424850</v>
      </c>
      <c r="C509" t="s">
        <v>95</v>
      </c>
      <c r="D509" t="s">
        <v>82</v>
      </c>
      <c r="E509" t="s">
        <v>4045</v>
      </c>
      <c r="F509" t="s">
        <v>4062</v>
      </c>
      <c r="G509" s="1">
        <v>46254</v>
      </c>
      <c r="H509" s="1">
        <v>46255</v>
      </c>
      <c r="I509" s="2">
        <v>0.5</v>
      </c>
      <c r="J509" s="2">
        <v>0.83333333333333337</v>
      </c>
      <c r="K509" t="s">
        <v>4208</v>
      </c>
      <c r="L509">
        <v>1</v>
      </c>
      <c r="M509" t="s">
        <v>4257</v>
      </c>
      <c r="N509" t="s">
        <v>303</v>
      </c>
      <c r="O509" t="s">
        <v>304</v>
      </c>
      <c r="P509" t="s">
        <v>21</v>
      </c>
      <c r="Q509">
        <v>8</v>
      </c>
    </row>
    <row r="510" spans="1:18" hidden="1" x14ac:dyDescent="0.25">
      <c r="A510" s="1">
        <v>46255</v>
      </c>
      <c r="B510">
        <v>1017264032</v>
      </c>
      <c r="C510" t="s">
        <v>54</v>
      </c>
      <c r="D510" t="s">
        <v>55</v>
      </c>
      <c r="E510" t="s">
        <v>4047</v>
      </c>
      <c r="F510" t="s">
        <v>16</v>
      </c>
      <c r="G510" s="1">
        <v>46229</v>
      </c>
      <c r="H510" s="1">
        <v>46258</v>
      </c>
      <c r="I510" s="2">
        <v>0.58333333333333337</v>
      </c>
      <c r="J510" s="2">
        <v>0.875</v>
      </c>
      <c r="K510" t="s">
        <v>120</v>
      </c>
      <c r="L510">
        <v>2</v>
      </c>
      <c r="M510" t="s">
        <v>4257</v>
      </c>
      <c r="N510" t="s">
        <v>119</v>
      </c>
      <c r="O510" t="s">
        <v>120</v>
      </c>
      <c r="P510" t="s">
        <v>21</v>
      </c>
      <c r="Q510">
        <v>7</v>
      </c>
    </row>
    <row r="511" spans="1:18" hidden="1" x14ac:dyDescent="0.25">
      <c r="A511" s="1">
        <v>46255</v>
      </c>
      <c r="B511">
        <v>1037630071</v>
      </c>
      <c r="C511" t="s">
        <v>3579</v>
      </c>
      <c r="D511" t="s">
        <v>176</v>
      </c>
      <c r="E511" t="s">
        <v>4040</v>
      </c>
      <c r="F511" t="s">
        <v>4062</v>
      </c>
      <c r="G511" s="1">
        <v>46247</v>
      </c>
      <c r="H511" s="1">
        <v>46265</v>
      </c>
      <c r="I511" s="2">
        <v>0.25</v>
      </c>
      <c r="J511" s="2">
        <v>0.58333333333333337</v>
      </c>
      <c r="K511" t="s">
        <v>252</v>
      </c>
      <c r="L511">
        <v>0</v>
      </c>
      <c r="M511" t="s">
        <v>4259</v>
      </c>
      <c r="N511" t="s">
        <v>251</v>
      </c>
      <c r="O511" t="s">
        <v>252</v>
      </c>
      <c r="P511" t="s">
        <v>4042</v>
      </c>
      <c r="Q511">
        <v>8</v>
      </c>
    </row>
    <row r="512" spans="1:18" hidden="1" x14ac:dyDescent="0.25">
      <c r="A512" s="1">
        <v>46255</v>
      </c>
      <c r="B512">
        <v>1143460426</v>
      </c>
      <c r="C512" t="s">
        <v>4069</v>
      </c>
      <c r="D512" t="s">
        <v>64</v>
      </c>
      <c r="E512" t="s">
        <v>4046</v>
      </c>
      <c r="F512" t="s">
        <v>4050</v>
      </c>
      <c r="G512" s="1">
        <v>46195</v>
      </c>
      <c r="H512" s="1">
        <v>46198</v>
      </c>
      <c r="I512" s="2">
        <v>0.58333333333333337</v>
      </c>
      <c r="J512" s="2">
        <v>0.875</v>
      </c>
      <c r="K512" t="s">
        <v>232</v>
      </c>
      <c r="L512">
        <v>2</v>
      </c>
      <c r="M512" t="s">
        <v>4257</v>
      </c>
      <c r="N512" t="s">
        <v>231</v>
      </c>
      <c r="O512" t="s">
        <v>232</v>
      </c>
      <c r="P512" t="s">
        <v>21</v>
      </c>
      <c r="Q512">
        <v>7</v>
      </c>
    </row>
    <row r="513" spans="1:18" hidden="1" x14ac:dyDescent="0.25">
      <c r="A513" s="1">
        <v>46255</v>
      </c>
      <c r="B513">
        <v>32299090</v>
      </c>
      <c r="C513" t="s">
        <v>3249</v>
      </c>
      <c r="D513" t="s">
        <v>55</v>
      </c>
      <c r="E513" t="s">
        <v>4047</v>
      </c>
      <c r="F513" t="s">
        <v>16</v>
      </c>
      <c r="G513" s="1">
        <v>46253</v>
      </c>
      <c r="H513" s="1">
        <v>46255</v>
      </c>
      <c r="I513" s="2">
        <v>0.25</v>
      </c>
      <c r="J513" s="2">
        <v>0.54166666666666663</v>
      </c>
      <c r="K513" t="s">
        <v>307</v>
      </c>
      <c r="L513">
        <v>0</v>
      </c>
      <c r="M513" t="s">
        <v>4257</v>
      </c>
      <c r="N513" t="s">
        <v>306</v>
      </c>
      <c r="O513" t="s">
        <v>307</v>
      </c>
      <c r="P513" t="s">
        <v>4042</v>
      </c>
      <c r="Q513">
        <v>7</v>
      </c>
    </row>
    <row r="514" spans="1:18" hidden="1" x14ac:dyDescent="0.25">
      <c r="A514" s="1">
        <v>46255</v>
      </c>
      <c r="B514">
        <v>1017270214</v>
      </c>
      <c r="C514" t="s">
        <v>1016</v>
      </c>
      <c r="D514" t="s">
        <v>139</v>
      </c>
      <c r="E514" t="s">
        <v>4040</v>
      </c>
      <c r="F514" t="s">
        <v>326</v>
      </c>
      <c r="G514" s="1">
        <v>46253</v>
      </c>
      <c r="H514" s="1">
        <v>46255</v>
      </c>
      <c r="I514" s="2">
        <v>0.25</v>
      </c>
      <c r="J514" s="2">
        <v>0.54166666666666663</v>
      </c>
      <c r="K514" t="s">
        <v>295</v>
      </c>
      <c r="L514">
        <v>0</v>
      </c>
      <c r="M514" t="s">
        <v>4258</v>
      </c>
      <c r="N514" t="s">
        <v>294</v>
      </c>
      <c r="O514" t="s">
        <v>295</v>
      </c>
      <c r="P514" t="s">
        <v>4042</v>
      </c>
      <c r="Q514">
        <v>7</v>
      </c>
    </row>
    <row r="515" spans="1:18" hidden="1" x14ac:dyDescent="0.25">
      <c r="A515" s="1">
        <v>46255</v>
      </c>
      <c r="B515">
        <v>43453341</v>
      </c>
      <c r="C515" t="s">
        <v>146</v>
      </c>
      <c r="D515" t="s">
        <v>124</v>
      </c>
      <c r="E515" t="s">
        <v>4045</v>
      </c>
      <c r="F515" t="s">
        <v>16</v>
      </c>
      <c r="G515" s="1">
        <v>46254</v>
      </c>
      <c r="H515" s="1">
        <v>46268</v>
      </c>
      <c r="I515" s="2">
        <v>0.25</v>
      </c>
      <c r="J515" s="2">
        <v>0.54166666666666663</v>
      </c>
      <c r="K515" t="s">
        <v>151</v>
      </c>
      <c r="L515">
        <v>0</v>
      </c>
      <c r="M515" t="s">
        <v>4257</v>
      </c>
      <c r="N515" t="s">
        <v>150</v>
      </c>
      <c r="O515" t="s">
        <v>151</v>
      </c>
      <c r="P515" t="s">
        <v>4042</v>
      </c>
      <c r="Q515">
        <v>7</v>
      </c>
    </row>
    <row r="516" spans="1:18" hidden="1" x14ac:dyDescent="0.25">
      <c r="A516" s="1">
        <v>46255</v>
      </c>
      <c r="B516">
        <v>1000348983</v>
      </c>
      <c r="C516" t="s">
        <v>235</v>
      </c>
      <c r="D516" t="s">
        <v>162</v>
      </c>
      <c r="E516" t="s">
        <v>4056</v>
      </c>
      <c r="F516" t="s">
        <v>16</v>
      </c>
      <c r="G516" s="1">
        <v>46251</v>
      </c>
      <c r="H516" s="1">
        <v>46255</v>
      </c>
      <c r="I516" s="2">
        <v>0.25</v>
      </c>
      <c r="J516" s="2">
        <v>0.58333333333333337</v>
      </c>
      <c r="K516" t="s">
        <v>237</v>
      </c>
      <c r="L516">
        <v>0</v>
      </c>
      <c r="M516" t="s">
        <v>4255</v>
      </c>
      <c r="N516" t="s">
        <v>236</v>
      </c>
      <c r="O516" t="s">
        <v>237</v>
      </c>
      <c r="P516" t="s">
        <v>4042</v>
      </c>
      <c r="Q516">
        <v>8</v>
      </c>
    </row>
    <row r="517" spans="1:18" hidden="1" x14ac:dyDescent="0.25">
      <c r="A517" s="1">
        <v>46255</v>
      </c>
      <c r="B517">
        <v>1037638426</v>
      </c>
      <c r="C517" t="s">
        <v>31</v>
      </c>
      <c r="D517" t="s">
        <v>28</v>
      </c>
      <c r="E517" t="s">
        <v>4046</v>
      </c>
      <c r="F517" t="s">
        <v>24</v>
      </c>
      <c r="G517" s="1">
        <v>46249</v>
      </c>
      <c r="H517" s="1">
        <v>46262</v>
      </c>
      <c r="I517" s="2">
        <v>0.25</v>
      </c>
      <c r="J517" s="2">
        <v>0.58333333333333337</v>
      </c>
      <c r="K517" t="s">
        <v>104</v>
      </c>
      <c r="L517">
        <v>0</v>
      </c>
      <c r="M517" t="s">
        <v>4258</v>
      </c>
      <c r="N517" t="s">
        <v>103</v>
      </c>
      <c r="O517" t="s">
        <v>104</v>
      </c>
      <c r="P517" t="s">
        <v>4042</v>
      </c>
      <c r="Q517">
        <v>8</v>
      </c>
    </row>
    <row r="518" spans="1:18" hidden="1" x14ac:dyDescent="0.25">
      <c r="A518" s="1">
        <v>46255</v>
      </c>
      <c r="B518">
        <v>1001782820</v>
      </c>
      <c r="C518" t="s">
        <v>2956</v>
      </c>
      <c r="D518" t="s">
        <v>28</v>
      </c>
      <c r="E518" t="s">
        <v>4046</v>
      </c>
      <c r="F518" t="s">
        <v>16</v>
      </c>
      <c r="G518" s="1">
        <v>46254</v>
      </c>
      <c r="H518" s="1">
        <v>46255</v>
      </c>
      <c r="I518" s="2">
        <v>0.25</v>
      </c>
      <c r="J518" s="2">
        <v>0.54166666666666663</v>
      </c>
      <c r="K518" t="s">
        <v>74</v>
      </c>
      <c r="L518">
        <v>0</v>
      </c>
      <c r="M518" t="s">
        <v>4257</v>
      </c>
      <c r="N518" t="s">
        <v>73</v>
      </c>
      <c r="O518" t="s">
        <v>74</v>
      </c>
      <c r="P518" t="s">
        <v>4042</v>
      </c>
      <c r="Q518">
        <v>7</v>
      </c>
    </row>
    <row r="519" spans="1:18" hidden="1" x14ac:dyDescent="0.25">
      <c r="A519" s="1">
        <v>46255</v>
      </c>
      <c r="B519">
        <v>1036965348</v>
      </c>
      <c r="C519" t="s">
        <v>229</v>
      </c>
      <c r="D519" t="s">
        <v>4079</v>
      </c>
      <c r="E519" t="s">
        <v>4046</v>
      </c>
      <c r="F519" t="s">
        <v>4079</v>
      </c>
      <c r="G519" s="1">
        <v>46255</v>
      </c>
      <c r="H519" s="1">
        <v>46255</v>
      </c>
      <c r="I519" s="2">
        <v>0.25</v>
      </c>
      <c r="J519" s="2">
        <v>0.58333333333333337</v>
      </c>
      <c r="K519" t="s">
        <v>339</v>
      </c>
      <c r="L519">
        <v>0</v>
      </c>
      <c r="M519" t="s">
        <v>4258</v>
      </c>
      <c r="N519" t="s">
        <v>228</v>
      </c>
      <c r="O519" t="s">
        <v>229</v>
      </c>
      <c r="P519" t="s">
        <v>4042</v>
      </c>
      <c r="Q519">
        <v>8</v>
      </c>
    </row>
    <row r="520" spans="1:18" hidden="1" x14ac:dyDescent="0.25">
      <c r="A520" s="1">
        <v>46255</v>
      </c>
      <c r="B520">
        <v>1001446162</v>
      </c>
      <c r="C520" t="s">
        <v>3663</v>
      </c>
      <c r="D520" t="s">
        <v>4125</v>
      </c>
      <c r="E520" t="s">
        <v>4056</v>
      </c>
      <c r="F520" t="s">
        <v>4125</v>
      </c>
      <c r="G520" s="1">
        <v>46255</v>
      </c>
      <c r="H520" s="1">
        <v>46255</v>
      </c>
      <c r="I520" s="2">
        <v>0.29166666666666669</v>
      </c>
      <c r="J520" s="2">
        <v>0.625</v>
      </c>
      <c r="K520" t="s">
        <v>339</v>
      </c>
      <c r="L520">
        <v>0</v>
      </c>
      <c r="M520" t="s">
        <v>4255</v>
      </c>
      <c r="N520" t="s">
        <v>3662</v>
      </c>
      <c r="O520" t="s">
        <v>3663</v>
      </c>
      <c r="P520" t="s">
        <v>4042</v>
      </c>
      <c r="Q520">
        <v>8</v>
      </c>
    </row>
    <row r="521" spans="1:18" hidden="1" x14ac:dyDescent="0.25">
      <c r="A521" s="1">
        <v>46255</v>
      </c>
      <c r="B521">
        <v>1035876080</v>
      </c>
      <c r="C521" t="s">
        <v>123</v>
      </c>
      <c r="D521" t="s">
        <v>124</v>
      </c>
      <c r="E521" t="s">
        <v>4045</v>
      </c>
      <c r="F521" t="s">
        <v>158</v>
      </c>
      <c r="G521" s="1">
        <v>46254</v>
      </c>
      <c r="H521" s="1"/>
      <c r="I521" s="2">
        <v>0.25</v>
      </c>
      <c r="J521" s="2">
        <v>0.58333333333333337</v>
      </c>
      <c r="K521" t="s">
        <v>301</v>
      </c>
      <c r="L521">
        <v>0</v>
      </c>
      <c r="M521" t="s">
        <v>4258</v>
      </c>
      <c r="N521" t="s">
        <v>300</v>
      </c>
      <c r="O521" t="s">
        <v>301</v>
      </c>
      <c r="P521" t="s">
        <v>4042</v>
      </c>
      <c r="Q521">
        <v>8</v>
      </c>
    </row>
    <row r="522" spans="1:18" hidden="1" x14ac:dyDescent="0.25">
      <c r="A522" s="1">
        <v>46255</v>
      </c>
      <c r="B522">
        <v>73189515</v>
      </c>
      <c r="C522" t="s">
        <v>773</v>
      </c>
      <c r="D522" t="s">
        <v>272</v>
      </c>
      <c r="E522" t="s">
        <v>4056</v>
      </c>
      <c r="F522" t="s">
        <v>4209</v>
      </c>
      <c r="G522" s="1">
        <v>46255</v>
      </c>
      <c r="H522" s="1">
        <v>46255</v>
      </c>
      <c r="I522" s="2">
        <v>0.54166666666666663</v>
      </c>
      <c r="J522" s="2">
        <v>0.875</v>
      </c>
      <c r="K522" t="s">
        <v>268</v>
      </c>
      <c r="L522">
        <v>2</v>
      </c>
      <c r="M522" t="s">
        <v>4255</v>
      </c>
      <c r="N522" t="s">
        <v>267</v>
      </c>
      <c r="O522" t="s">
        <v>268</v>
      </c>
      <c r="P522" t="s">
        <v>21</v>
      </c>
      <c r="Q522">
        <v>8</v>
      </c>
      <c r="R522" t="s">
        <v>4262</v>
      </c>
    </row>
    <row r="523" spans="1:18" hidden="1" x14ac:dyDescent="0.25">
      <c r="A523" s="1">
        <v>46255</v>
      </c>
      <c r="B523">
        <v>1004463773</v>
      </c>
      <c r="C523" t="s">
        <v>3213</v>
      </c>
      <c r="D523" t="s">
        <v>176</v>
      </c>
      <c r="E523" t="s">
        <v>4040</v>
      </c>
      <c r="F523" t="s">
        <v>4074</v>
      </c>
      <c r="G523" s="1">
        <v>46255</v>
      </c>
      <c r="H523" s="1">
        <v>46256</v>
      </c>
      <c r="I523" s="2">
        <v>0.41666666666666669</v>
      </c>
      <c r="J523" s="2">
        <v>0.79166666666666663</v>
      </c>
      <c r="K523" t="s">
        <v>4210</v>
      </c>
      <c r="L523">
        <v>0</v>
      </c>
      <c r="M523" t="s">
        <v>4260</v>
      </c>
      <c r="N523" t="s">
        <v>45</v>
      </c>
      <c r="O523" t="s">
        <v>46</v>
      </c>
      <c r="P523" t="s">
        <v>4042</v>
      </c>
      <c r="Q523">
        <v>9</v>
      </c>
    </row>
    <row r="524" spans="1:18" hidden="1" x14ac:dyDescent="0.25">
      <c r="A524" s="1">
        <v>46255</v>
      </c>
      <c r="B524">
        <v>1065647062</v>
      </c>
      <c r="C524" t="s">
        <v>415</v>
      </c>
      <c r="D524" t="s">
        <v>414</v>
      </c>
      <c r="E524" t="s">
        <v>4056</v>
      </c>
      <c r="F524" t="s">
        <v>16</v>
      </c>
      <c r="G524" s="1">
        <v>46255</v>
      </c>
      <c r="H524" s="1">
        <v>46255</v>
      </c>
      <c r="I524" s="2">
        <v>0.5</v>
      </c>
      <c r="J524" s="2">
        <v>0.79166666666666663</v>
      </c>
      <c r="K524" t="s">
        <v>164</v>
      </c>
      <c r="L524">
        <v>0</v>
      </c>
      <c r="M524" t="s">
        <v>4255</v>
      </c>
      <c r="N524" t="s">
        <v>163</v>
      </c>
      <c r="O524" t="s">
        <v>164</v>
      </c>
      <c r="P524" t="s">
        <v>4042</v>
      </c>
      <c r="Q524">
        <v>7</v>
      </c>
      <c r="R524" t="s">
        <v>4265</v>
      </c>
    </row>
    <row r="525" spans="1:18" hidden="1" x14ac:dyDescent="0.25">
      <c r="A525" s="1">
        <v>46255</v>
      </c>
      <c r="B525">
        <v>1036932341</v>
      </c>
      <c r="C525" t="s">
        <v>343</v>
      </c>
      <c r="D525" t="s">
        <v>344</v>
      </c>
      <c r="E525" t="s">
        <v>4056</v>
      </c>
      <c r="F525" t="s">
        <v>16</v>
      </c>
      <c r="G525" s="1">
        <v>46255</v>
      </c>
      <c r="H525" s="1">
        <v>46268</v>
      </c>
      <c r="I525" s="2"/>
      <c r="J525" s="2"/>
      <c r="K525" t="s">
        <v>341</v>
      </c>
      <c r="L525">
        <v>0</v>
      </c>
      <c r="P525" t="s">
        <v>4042</v>
      </c>
      <c r="Q525">
        <v>0</v>
      </c>
    </row>
    <row r="526" spans="1:18" hidden="1" x14ac:dyDescent="0.25">
      <c r="A526" s="1">
        <v>46255</v>
      </c>
      <c r="B526">
        <v>1193454765</v>
      </c>
      <c r="C526" t="s">
        <v>1428</v>
      </c>
      <c r="D526" t="s">
        <v>132</v>
      </c>
      <c r="E526" t="s">
        <v>4040</v>
      </c>
      <c r="F526" t="s">
        <v>4104</v>
      </c>
      <c r="G526" s="1">
        <v>46255</v>
      </c>
      <c r="H526" s="1">
        <v>46255</v>
      </c>
      <c r="I526" s="2">
        <v>0.5</v>
      </c>
      <c r="J526" s="2">
        <v>0.79166666666666663</v>
      </c>
      <c r="K526" t="s">
        <v>339</v>
      </c>
      <c r="L526">
        <v>0</v>
      </c>
      <c r="M526" t="s">
        <v>4260</v>
      </c>
      <c r="N526" t="s">
        <v>1427</v>
      </c>
      <c r="O526" t="s">
        <v>1428</v>
      </c>
      <c r="P526" t="s">
        <v>4042</v>
      </c>
      <c r="Q526">
        <v>7</v>
      </c>
    </row>
    <row r="527" spans="1:18" hidden="1" x14ac:dyDescent="0.25">
      <c r="A527" s="1">
        <v>46255</v>
      </c>
      <c r="B527">
        <v>1003000892</v>
      </c>
      <c r="C527" t="s">
        <v>182</v>
      </c>
      <c r="D527" t="s">
        <v>59</v>
      </c>
      <c r="E527" t="s">
        <v>4046</v>
      </c>
      <c r="F527" t="s">
        <v>4104</v>
      </c>
      <c r="G527" s="1">
        <v>46255</v>
      </c>
      <c r="H527" s="1">
        <v>46255</v>
      </c>
      <c r="I527" s="2">
        <v>0.54166666666666663</v>
      </c>
      <c r="J527" s="2">
        <v>0.83333333333333337</v>
      </c>
      <c r="K527" t="s">
        <v>339</v>
      </c>
      <c r="L527">
        <v>1</v>
      </c>
      <c r="M527" t="s">
        <v>4260</v>
      </c>
      <c r="N527" t="s">
        <v>181</v>
      </c>
      <c r="O527" t="s">
        <v>182</v>
      </c>
      <c r="P527" t="s">
        <v>21</v>
      </c>
      <c r="Q527">
        <v>7</v>
      </c>
    </row>
    <row r="528" spans="1:18" hidden="1" x14ac:dyDescent="0.25">
      <c r="A528" s="1">
        <v>46255</v>
      </c>
      <c r="B528">
        <v>1001140238</v>
      </c>
      <c r="C528" t="s">
        <v>74</v>
      </c>
      <c r="D528" t="s">
        <v>4078</v>
      </c>
      <c r="E528" t="s">
        <v>4045</v>
      </c>
      <c r="F528" t="s">
        <v>4099</v>
      </c>
      <c r="G528" s="1">
        <v>46255</v>
      </c>
      <c r="H528" s="1">
        <v>46255</v>
      </c>
      <c r="I528" s="2">
        <v>0.54166666666666663</v>
      </c>
      <c r="J528" s="2">
        <v>0.58333333333333337</v>
      </c>
      <c r="K528" t="s">
        <v>339</v>
      </c>
      <c r="L528">
        <v>0</v>
      </c>
      <c r="M528" t="s">
        <v>4257</v>
      </c>
      <c r="N528" t="s">
        <v>73</v>
      </c>
      <c r="O528" t="s">
        <v>74</v>
      </c>
      <c r="P528" t="s">
        <v>4042</v>
      </c>
      <c r="Q528">
        <v>1</v>
      </c>
    </row>
    <row r="529" spans="1:17" hidden="1" x14ac:dyDescent="0.25">
      <c r="A529" s="1">
        <v>46256</v>
      </c>
      <c r="B529">
        <v>1037485093</v>
      </c>
      <c r="C529" t="s">
        <v>4211</v>
      </c>
      <c r="D529" t="s">
        <v>344</v>
      </c>
      <c r="E529" t="s">
        <v>4056</v>
      </c>
      <c r="F529" t="s">
        <v>4091</v>
      </c>
      <c r="G529" s="1">
        <v>46255</v>
      </c>
      <c r="H529" s="1">
        <v>46258</v>
      </c>
      <c r="I529" s="2"/>
      <c r="J529" s="2"/>
      <c r="K529" t="s">
        <v>341</v>
      </c>
      <c r="L529">
        <v>0</v>
      </c>
      <c r="P529" t="s">
        <v>4042</v>
      </c>
      <c r="Q529">
        <v>0</v>
      </c>
    </row>
    <row r="530" spans="1:17" hidden="1" x14ac:dyDescent="0.25">
      <c r="A530" s="1">
        <v>46256</v>
      </c>
      <c r="B530">
        <v>1096223065</v>
      </c>
      <c r="C530" t="s">
        <v>3428</v>
      </c>
      <c r="D530" t="s">
        <v>59</v>
      </c>
      <c r="E530" t="s">
        <v>4047</v>
      </c>
      <c r="F530" t="s">
        <v>24</v>
      </c>
      <c r="G530" s="1">
        <v>46253</v>
      </c>
      <c r="H530" s="1">
        <v>46265</v>
      </c>
      <c r="I530" s="2">
        <v>0.25</v>
      </c>
      <c r="J530" s="2">
        <v>0.66666666666666663</v>
      </c>
      <c r="K530" t="s">
        <v>46</v>
      </c>
      <c r="L530">
        <v>0</v>
      </c>
      <c r="M530" t="s">
        <v>4260</v>
      </c>
      <c r="N530" t="s">
        <v>45</v>
      </c>
      <c r="O530" t="s">
        <v>46</v>
      </c>
      <c r="P530" t="s">
        <v>4042</v>
      </c>
      <c r="Q530">
        <v>10</v>
      </c>
    </row>
    <row r="531" spans="1:17" hidden="1" x14ac:dyDescent="0.25">
      <c r="A531" s="1">
        <v>46256</v>
      </c>
      <c r="B531">
        <v>1002029407</v>
      </c>
      <c r="C531" t="s">
        <v>101</v>
      </c>
      <c r="D531" t="s">
        <v>102</v>
      </c>
      <c r="E531" t="s">
        <v>4046</v>
      </c>
      <c r="F531" t="s">
        <v>16</v>
      </c>
      <c r="G531" s="1">
        <v>46253</v>
      </c>
      <c r="H531" s="1">
        <v>46256</v>
      </c>
      <c r="I531" s="2">
        <v>0.29166666666666669</v>
      </c>
      <c r="J531" s="2">
        <v>0.54166666666666663</v>
      </c>
      <c r="K531" t="s">
        <v>232</v>
      </c>
      <c r="L531">
        <v>0</v>
      </c>
      <c r="M531" t="s">
        <v>4257</v>
      </c>
      <c r="N531" t="s">
        <v>231</v>
      </c>
      <c r="O531" t="s">
        <v>232</v>
      </c>
      <c r="P531" t="s">
        <v>4042</v>
      </c>
      <c r="Q531">
        <v>6</v>
      </c>
    </row>
    <row r="532" spans="1:17" hidden="1" x14ac:dyDescent="0.25">
      <c r="A532" s="1">
        <v>46256</v>
      </c>
      <c r="B532">
        <v>1007334260</v>
      </c>
      <c r="C532" t="s">
        <v>4207</v>
      </c>
      <c r="D532" t="s">
        <v>344</v>
      </c>
      <c r="E532" t="s">
        <v>4056</v>
      </c>
      <c r="F532" t="s">
        <v>4050</v>
      </c>
      <c r="G532" s="1">
        <v>46255</v>
      </c>
      <c r="H532" s="1">
        <v>46259</v>
      </c>
      <c r="I532" s="2"/>
      <c r="J532" s="2"/>
      <c r="K532" t="s">
        <v>341</v>
      </c>
      <c r="L532">
        <v>0</v>
      </c>
      <c r="P532" t="s">
        <v>4042</v>
      </c>
      <c r="Q532">
        <v>0</v>
      </c>
    </row>
    <row r="533" spans="1:17" hidden="1" x14ac:dyDescent="0.25">
      <c r="A533" s="1">
        <v>46256</v>
      </c>
      <c r="B533">
        <v>1143375080</v>
      </c>
      <c r="C533" t="s">
        <v>203</v>
      </c>
      <c r="D533" t="s">
        <v>44</v>
      </c>
      <c r="E533" t="s">
        <v>4045</v>
      </c>
      <c r="F533" t="s">
        <v>158</v>
      </c>
      <c r="G533" s="1">
        <v>46249</v>
      </c>
      <c r="H533" s="1"/>
      <c r="I533" s="2"/>
      <c r="J533" s="2"/>
      <c r="K533" t="s">
        <v>341</v>
      </c>
      <c r="L533">
        <v>0</v>
      </c>
      <c r="P533" t="s">
        <v>4042</v>
      </c>
      <c r="Q533">
        <v>0</v>
      </c>
    </row>
    <row r="534" spans="1:17" hidden="1" x14ac:dyDescent="0.25">
      <c r="A534" s="1">
        <v>46256</v>
      </c>
      <c r="B534">
        <v>1045718883</v>
      </c>
      <c r="C534" t="s">
        <v>34</v>
      </c>
      <c r="D534" t="s">
        <v>15</v>
      </c>
      <c r="E534" t="s">
        <v>4046</v>
      </c>
      <c r="F534" t="s">
        <v>36</v>
      </c>
      <c r="G534" s="1">
        <v>46244</v>
      </c>
      <c r="H534" s="1">
        <v>46393</v>
      </c>
      <c r="I534" s="2">
        <v>0.25</v>
      </c>
      <c r="J534" s="2">
        <v>0.66666666666666663</v>
      </c>
      <c r="K534" t="s">
        <v>319</v>
      </c>
      <c r="L534">
        <v>0</v>
      </c>
      <c r="M534" t="s">
        <v>4258</v>
      </c>
      <c r="N534" t="s">
        <v>318</v>
      </c>
      <c r="O534" t="s">
        <v>319</v>
      </c>
      <c r="P534" t="s">
        <v>4042</v>
      </c>
      <c r="Q534">
        <v>10</v>
      </c>
    </row>
    <row r="535" spans="1:17" hidden="1" x14ac:dyDescent="0.25">
      <c r="A535" s="1">
        <v>46256</v>
      </c>
      <c r="B535">
        <v>1040755197</v>
      </c>
      <c r="C535" t="s">
        <v>171</v>
      </c>
      <c r="D535" t="s">
        <v>172</v>
      </c>
      <c r="E535" t="s">
        <v>4046</v>
      </c>
      <c r="F535" t="s">
        <v>16</v>
      </c>
      <c r="G535" s="1">
        <v>46252</v>
      </c>
      <c r="H535" s="1">
        <v>46262</v>
      </c>
      <c r="I535" s="2">
        <v>0.25</v>
      </c>
      <c r="J535" s="2">
        <v>0.66666666666666663</v>
      </c>
      <c r="K535" t="s">
        <v>223</v>
      </c>
      <c r="L535">
        <v>0</v>
      </c>
      <c r="M535" t="s">
        <v>4258</v>
      </c>
      <c r="N535" t="s">
        <v>222</v>
      </c>
      <c r="O535" t="s">
        <v>223</v>
      </c>
      <c r="P535" t="s">
        <v>4042</v>
      </c>
      <c r="Q535">
        <v>10</v>
      </c>
    </row>
    <row r="536" spans="1:17" hidden="1" x14ac:dyDescent="0.25">
      <c r="A536" s="1">
        <v>46256</v>
      </c>
      <c r="B536">
        <v>1082896324</v>
      </c>
      <c r="C536" t="s">
        <v>127</v>
      </c>
      <c r="D536" t="s">
        <v>128</v>
      </c>
      <c r="E536" t="s">
        <v>4045</v>
      </c>
      <c r="F536" t="s">
        <v>16</v>
      </c>
      <c r="G536" s="1">
        <v>46242</v>
      </c>
      <c r="H536" s="1">
        <v>46272</v>
      </c>
      <c r="I536" s="2"/>
      <c r="J536" s="2"/>
      <c r="K536" t="s">
        <v>341</v>
      </c>
      <c r="L536">
        <v>0</v>
      </c>
      <c r="P536" t="s">
        <v>4042</v>
      </c>
      <c r="Q536">
        <v>0</v>
      </c>
    </row>
    <row r="537" spans="1:17" hidden="1" x14ac:dyDescent="0.25">
      <c r="A537" s="1">
        <v>46256</v>
      </c>
      <c r="B537">
        <v>1015483595</v>
      </c>
      <c r="C537" t="s">
        <v>23</v>
      </c>
      <c r="D537" t="s">
        <v>15</v>
      </c>
      <c r="E537" t="s">
        <v>4046</v>
      </c>
      <c r="F537" t="s">
        <v>24</v>
      </c>
      <c r="G537" s="1">
        <v>46244</v>
      </c>
      <c r="H537" s="1">
        <v>46265</v>
      </c>
      <c r="I537" s="2">
        <v>0.25</v>
      </c>
      <c r="J537" s="2">
        <v>0.66666666666666663</v>
      </c>
      <c r="K537" t="s">
        <v>18</v>
      </c>
      <c r="L537">
        <v>0</v>
      </c>
      <c r="M537" t="s">
        <v>4258</v>
      </c>
      <c r="N537" t="s">
        <v>17</v>
      </c>
      <c r="O537" t="s">
        <v>18</v>
      </c>
      <c r="P537" t="s">
        <v>4042</v>
      </c>
      <c r="Q537">
        <v>10</v>
      </c>
    </row>
    <row r="538" spans="1:17" hidden="1" x14ac:dyDescent="0.25">
      <c r="A538" s="1">
        <v>46256</v>
      </c>
      <c r="B538">
        <v>1001851670</v>
      </c>
      <c r="C538" t="s">
        <v>50</v>
      </c>
      <c r="D538" t="s">
        <v>51</v>
      </c>
      <c r="E538" t="s">
        <v>4047</v>
      </c>
      <c r="F538" t="s">
        <v>36</v>
      </c>
      <c r="G538" s="1">
        <v>46241</v>
      </c>
      <c r="H538" s="1">
        <v>46366</v>
      </c>
      <c r="I538" s="2">
        <v>0.25</v>
      </c>
      <c r="J538" s="2">
        <v>0.66666666666666663</v>
      </c>
      <c r="K538" t="s">
        <v>74</v>
      </c>
      <c r="L538">
        <v>0</v>
      </c>
      <c r="M538" t="s">
        <v>4257</v>
      </c>
      <c r="N538" t="s">
        <v>73</v>
      </c>
      <c r="O538" t="s">
        <v>74</v>
      </c>
      <c r="P538" t="s">
        <v>4042</v>
      </c>
      <c r="Q538">
        <v>10</v>
      </c>
    </row>
    <row r="539" spans="1:17" hidden="1" x14ac:dyDescent="0.25">
      <c r="A539" s="1">
        <v>46256</v>
      </c>
      <c r="B539">
        <v>42141273</v>
      </c>
      <c r="C539" t="s">
        <v>271</v>
      </c>
      <c r="D539" t="s">
        <v>272</v>
      </c>
      <c r="E539" t="s">
        <v>4056</v>
      </c>
      <c r="F539" t="s">
        <v>4065</v>
      </c>
      <c r="G539" s="1">
        <v>46238</v>
      </c>
      <c r="H539" s="1">
        <v>46295</v>
      </c>
      <c r="I539" s="2"/>
      <c r="J539" s="2"/>
      <c r="K539" t="s">
        <v>341</v>
      </c>
      <c r="L539">
        <v>0</v>
      </c>
      <c r="P539" t="s">
        <v>4042</v>
      </c>
      <c r="Q539">
        <v>0</v>
      </c>
    </row>
    <row r="540" spans="1:17" hidden="1" x14ac:dyDescent="0.25">
      <c r="A540" s="1">
        <v>46256</v>
      </c>
      <c r="B540">
        <v>1005424850</v>
      </c>
      <c r="C540" t="s">
        <v>95</v>
      </c>
      <c r="D540" t="s">
        <v>82</v>
      </c>
      <c r="E540" t="s">
        <v>4045</v>
      </c>
      <c r="F540" t="s">
        <v>4062</v>
      </c>
      <c r="G540" s="1">
        <v>46254</v>
      </c>
      <c r="H540" s="1">
        <v>46255</v>
      </c>
      <c r="I540" s="2"/>
      <c r="J540" s="2"/>
      <c r="K540" t="s">
        <v>341</v>
      </c>
      <c r="L540">
        <v>0</v>
      </c>
      <c r="P540" t="s">
        <v>4042</v>
      </c>
      <c r="Q540">
        <v>0</v>
      </c>
    </row>
    <row r="541" spans="1:17" hidden="1" x14ac:dyDescent="0.25">
      <c r="A541" s="1">
        <v>46256</v>
      </c>
      <c r="B541">
        <v>1152221372</v>
      </c>
      <c r="C541" t="s">
        <v>2363</v>
      </c>
      <c r="D541" t="s">
        <v>139</v>
      </c>
      <c r="E541" t="s">
        <v>4040</v>
      </c>
      <c r="F541" t="s">
        <v>158</v>
      </c>
      <c r="G541" s="1">
        <v>46230</v>
      </c>
      <c r="H541" s="1">
        <v>46230</v>
      </c>
      <c r="I541" s="2"/>
      <c r="J541" s="2"/>
      <c r="K541" t="s">
        <v>341</v>
      </c>
      <c r="L541">
        <v>0</v>
      </c>
      <c r="P541" t="s">
        <v>4042</v>
      </c>
      <c r="Q541">
        <v>0</v>
      </c>
    </row>
    <row r="542" spans="1:17" hidden="1" x14ac:dyDescent="0.25">
      <c r="A542" s="1">
        <v>46256</v>
      </c>
      <c r="B542">
        <v>1017264032</v>
      </c>
      <c r="C542" t="s">
        <v>54</v>
      </c>
      <c r="D542" t="s">
        <v>55</v>
      </c>
      <c r="E542" t="s">
        <v>4047</v>
      </c>
      <c r="F542" t="s">
        <v>16</v>
      </c>
      <c r="G542" s="1">
        <v>46229</v>
      </c>
      <c r="H542" s="1">
        <v>46258</v>
      </c>
      <c r="I542" s="2"/>
      <c r="J542" s="2"/>
      <c r="K542" t="s">
        <v>341</v>
      </c>
      <c r="L542">
        <v>0</v>
      </c>
      <c r="P542" t="s">
        <v>4042</v>
      </c>
      <c r="Q542">
        <v>0</v>
      </c>
    </row>
    <row r="543" spans="1:17" hidden="1" x14ac:dyDescent="0.25">
      <c r="A543" s="1">
        <v>46256</v>
      </c>
      <c r="B543">
        <v>1037630071</v>
      </c>
      <c r="C543" t="s">
        <v>3579</v>
      </c>
      <c r="D543" t="s">
        <v>176</v>
      </c>
      <c r="E543" t="s">
        <v>4040</v>
      </c>
      <c r="F543" t="s">
        <v>4062</v>
      </c>
      <c r="G543" s="1">
        <v>46247</v>
      </c>
      <c r="H543" s="1">
        <v>46265</v>
      </c>
      <c r="I543" s="2"/>
      <c r="J543" s="2"/>
      <c r="K543" t="s">
        <v>341</v>
      </c>
      <c r="L543">
        <v>0</v>
      </c>
      <c r="P543" t="s">
        <v>4042</v>
      </c>
      <c r="Q543">
        <v>0</v>
      </c>
    </row>
    <row r="544" spans="1:17" hidden="1" x14ac:dyDescent="0.25">
      <c r="A544" s="1">
        <v>46256</v>
      </c>
      <c r="B544">
        <v>1020414545</v>
      </c>
      <c r="C544" t="s">
        <v>2893</v>
      </c>
      <c r="D544" t="s">
        <v>256</v>
      </c>
      <c r="E544" t="s">
        <v>4040</v>
      </c>
      <c r="F544" t="s">
        <v>16</v>
      </c>
      <c r="G544" s="1">
        <v>46255</v>
      </c>
      <c r="H544" s="1">
        <v>46256</v>
      </c>
      <c r="I544" s="2">
        <v>0.25</v>
      </c>
      <c r="J544" s="2">
        <v>0.66666666666666663</v>
      </c>
      <c r="K544" t="s">
        <v>104</v>
      </c>
      <c r="L544">
        <v>0</v>
      </c>
      <c r="M544" t="s">
        <v>4258</v>
      </c>
      <c r="N544" t="s">
        <v>103</v>
      </c>
      <c r="O544" t="s">
        <v>104</v>
      </c>
      <c r="P544" t="s">
        <v>4042</v>
      </c>
      <c r="Q544">
        <v>10</v>
      </c>
    </row>
    <row r="545" spans="1:18" hidden="1" x14ac:dyDescent="0.25">
      <c r="A545" s="1">
        <v>46256</v>
      </c>
      <c r="B545">
        <v>1004463773</v>
      </c>
      <c r="C545" t="s">
        <v>3213</v>
      </c>
      <c r="D545" t="s">
        <v>176</v>
      </c>
      <c r="E545" t="s">
        <v>4040</v>
      </c>
      <c r="F545" t="s">
        <v>16</v>
      </c>
      <c r="G545" s="1">
        <v>46255</v>
      </c>
      <c r="H545" s="1">
        <v>46256</v>
      </c>
      <c r="I545" s="2">
        <v>0.25</v>
      </c>
      <c r="J545" s="2">
        <v>0.66666666666666663</v>
      </c>
      <c r="K545" t="s">
        <v>182</v>
      </c>
      <c r="L545">
        <v>0</v>
      </c>
      <c r="M545" t="s">
        <v>4260</v>
      </c>
      <c r="N545" t="s">
        <v>181</v>
      </c>
      <c r="O545" t="s">
        <v>182</v>
      </c>
      <c r="P545" t="s">
        <v>4042</v>
      </c>
      <c r="Q545">
        <v>10</v>
      </c>
    </row>
    <row r="546" spans="1:18" hidden="1" x14ac:dyDescent="0.25">
      <c r="A546" s="1">
        <v>46256</v>
      </c>
      <c r="B546">
        <v>43453341</v>
      </c>
      <c r="C546" t="s">
        <v>146</v>
      </c>
      <c r="D546" t="s">
        <v>124</v>
      </c>
      <c r="E546" t="s">
        <v>4045</v>
      </c>
      <c r="F546" t="s">
        <v>16</v>
      </c>
      <c r="G546" s="1">
        <v>46254</v>
      </c>
      <c r="H546" s="1">
        <v>46268</v>
      </c>
      <c r="I546" s="2">
        <v>0.25</v>
      </c>
      <c r="J546" s="2">
        <v>0.66666666666666663</v>
      </c>
      <c r="K546" t="s">
        <v>120</v>
      </c>
      <c r="L546">
        <v>0</v>
      </c>
      <c r="M546" t="s">
        <v>4257</v>
      </c>
      <c r="N546" t="s">
        <v>119</v>
      </c>
      <c r="O546" t="s">
        <v>120</v>
      </c>
      <c r="P546" t="s">
        <v>4042</v>
      </c>
      <c r="Q546">
        <v>10</v>
      </c>
    </row>
    <row r="547" spans="1:18" hidden="1" x14ac:dyDescent="0.25">
      <c r="A547" s="1">
        <v>46256</v>
      </c>
      <c r="B547">
        <v>1035876080</v>
      </c>
      <c r="C547" t="s">
        <v>123</v>
      </c>
      <c r="D547" t="s">
        <v>124</v>
      </c>
      <c r="E547" t="s">
        <v>4045</v>
      </c>
      <c r="F547" t="s">
        <v>158</v>
      </c>
      <c r="G547" s="1">
        <v>46254</v>
      </c>
      <c r="H547" s="1"/>
      <c r="I547" s="2"/>
      <c r="J547" s="2"/>
      <c r="K547" t="s">
        <v>341</v>
      </c>
      <c r="L547">
        <v>0</v>
      </c>
      <c r="P547" t="s">
        <v>4042</v>
      </c>
      <c r="Q547">
        <v>0</v>
      </c>
    </row>
    <row r="548" spans="1:18" hidden="1" x14ac:dyDescent="0.25">
      <c r="A548" s="1">
        <v>46256</v>
      </c>
      <c r="B548">
        <v>1143166984</v>
      </c>
      <c r="C548" t="s">
        <v>2638</v>
      </c>
      <c r="D548" t="s">
        <v>272</v>
      </c>
      <c r="E548" t="s">
        <v>4056</v>
      </c>
      <c r="F548" t="s">
        <v>16</v>
      </c>
      <c r="G548" s="1">
        <v>46255</v>
      </c>
      <c r="H548" s="1">
        <v>46256</v>
      </c>
      <c r="I548" s="2">
        <v>0.25</v>
      </c>
      <c r="J548" s="2">
        <v>0.58333333333333337</v>
      </c>
      <c r="K548" t="s">
        <v>268</v>
      </c>
      <c r="L548">
        <v>0</v>
      </c>
      <c r="M548" t="s">
        <v>4255</v>
      </c>
      <c r="N548" t="s">
        <v>267</v>
      </c>
      <c r="O548" t="s">
        <v>268</v>
      </c>
      <c r="P548" t="s">
        <v>4042</v>
      </c>
      <c r="Q548">
        <v>8</v>
      </c>
      <c r="R548" t="s">
        <v>4262</v>
      </c>
    </row>
    <row r="549" spans="1:18" hidden="1" x14ac:dyDescent="0.25">
      <c r="A549" s="1">
        <v>46256</v>
      </c>
      <c r="B549">
        <v>45547324</v>
      </c>
      <c r="C549" t="s">
        <v>3312</v>
      </c>
      <c r="D549" t="s">
        <v>162</v>
      </c>
      <c r="E549" t="s">
        <v>4056</v>
      </c>
      <c r="F549" t="s">
        <v>16</v>
      </c>
      <c r="G549" s="1">
        <v>46255</v>
      </c>
      <c r="H549" s="1">
        <v>46256</v>
      </c>
      <c r="I549" s="2">
        <v>0.25</v>
      </c>
      <c r="J549" s="2">
        <v>0.58333333333333337</v>
      </c>
      <c r="K549" t="s">
        <v>3663</v>
      </c>
      <c r="L549">
        <v>0</v>
      </c>
      <c r="M549" t="s">
        <v>4255</v>
      </c>
      <c r="N549" t="s">
        <v>3662</v>
      </c>
      <c r="O549" t="s">
        <v>3663</v>
      </c>
      <c r="P549" t="s">
        <v>4042</v>
      </c>
      <c r="Q549">
        <v>8</v>
      </c>
    </row>
    <row r="550" spans="1:18" hidden="1" x14ac:dyDescent="0.25">
      <c r="A550" s="1">
        <v>46256</v>
      </c>
      <c r="B550">
        <v>1036932341</v>
      </c>
      <c r="C550" t="s">
        <v>343</v>
      </c>
      <c r="D550" t="s">
        <v>344</v>
      </c>
      <c r="E550" t="s">
        <v>4056</v>
      </c>
      <c r="F550" t="s">
        <v>16</v>
      </c>
      <c r="G550" s="1">
        <v>46255</v>
      </c>
      <c r="H550" s="1">
        <v>46268</v>
      </c>
      <c r="I550" s="2"/>
      <c r="J550" s="2"/>
      <c r="K550" t="s">
        <v>341</v>
      </c>
      <c r="L550">
        <v>0</v>
      </c>
      <c r="P550" t="s">
        <v>4042</v>
      </c>
      <c r="Q550">
        <v>0</v>
      </c>
    </row>
    <row r="551" spans="1:18" hidden="1" x14ac:dyDescent="0.25">
      <c r="A551" s="1">
        <v>46256</v>
      </c>
      <c r="B551">
        <v>1037638426</v>
      </c>
      <c r="C551" t="s">
        <v>31</v>
      </c>
      <c r="D551" t="s">
        <v>28</v>
      </c>
      <c r="E551" t="s">
        <v>4046</v>
      </c>
      <c r="F551" t="s">
        <v>24</v>
      </c>
      <c r="G551" s="1">
        <v>46249</v>
      </c>
      <c r="H551" s="1">
        <v>46262</v>
      </c>
      <c r="I551" s="2"/>
      <c r="J551" s="2"/>
      <c r="K551" t="s">
        <v>341</v>
      </c>
      <c r="L551">
        <v>0</v>
      </c>
      <c r="P551" t="s">
        <v>4042</v>
      </c>
      <c r="Q551">
        <v>0</v>
      </c>
    </row>
    <row r="552" spans="1:18" hidden="1" x14ac:dyDescent="0.25">
      <c r="A552" s="1">
        <v>46256</v>
      </c>
      <c r="B552">
        <v>1043006106</v>
      </c>
      <c r="C552" t="s">
        <v>202</v>
      </c>
      <c r="D552" t="s">
        <v>64</v>
      </c>
      <c r="E552" t="s">
        <v>4046</v>
      </c>
      <c r="F552" t="s">
        <v>16</v>
      </c>
      <c r="G552" s="1">
        <v>46249</v>
      </c>
      <c r="H552" s="1">
        <v>46278</v>
      </c>
      <c r="I552" s="2"/>
      <c r="J552" s="2"/>
      <c r="K552" t="s">
        <v>341</v>
      </c>
      <c r="L552">
        <v>0</v>
      </c>
      <c r="P552" t="s">
        <v>4042</v>
      </c>
      <c r="Q552">
        <v>0</v>
      </c>
    </row>
    <row r="553" spans="1:18" hidden="1" x14ac:dyDescent="0.25">
      <c r="A553" s="1">
        <v>46256</v>
      </c>
      <c r="B553">
        <v>1102808787</v>
      </c>
      <c r="C553" t="s">
        <v>135</v>
      </c>
      <c r="D553" t="s">
        <v>39</v>
      </c>
      <c r="E553" t="s">
        <v>4046</v>
      </c>
      <c r="F553" t="s">
        <v>16</v>
      </c>
      <c r="G553" s="1">
        <v>46237</v>
      </c>
      <c r="H553" s="1">
        <v>46276</v>
      </c>
      <c r="I553" s="2"/>
      <c r="J553" s="2"/>
      <c r="K553" t="s">
        <v>341</v>
      </c>
      <c r="L553">
        <v>0</v>
      </c>
      <c r="P553" t="s">
        <v>4042</v>
      </c>
      <c r="Q553">
        <v>0</v>
      </c>
    </row>
    <row r="554" spans="1:18" hidden="1" x14ac:dyDescent="0.25">
      <c r="A554" s="1">
        <v>46256</v>
      </c>
      <c r="B554">
        <v>1143460426</v>
      </c>
      <c r="C554" t="s">
        <v>4069</v>
      </c>
      <c r="D554" t="s">
        <v>64</v>
      </c>
      <c r="E554" t="s">
        <v>4046</v>
      </c>
      <c r="F554" t="s">
        <v>4050</v>
      </c>
      <c r="G554" s="1">
        <v>46195</v>
      </c>
      <c r="H554" s="1">
        <v>46198</v>
      </c>
      <c r="I554" s="2">
        <v>0.25</v>
      </c>
      <c r="J554" s="2">
        <v>0.66666666666666663</v>
      </c>
      <c r="K554" t="s">
        <v>197</v>
      </c>
      <c r="L554">
        <v>0</v>
      </c>
      <c r="M554" t="s">
        <v>4257</v>
      </c>
      <c r="N554" t="s">
        <v>196</v>
      </c>
      <c r="O554" t="s">
        <v>197</v>
      </c>
      <c r="P554" t="s">
        <v>4042</v>
      </c>
      <c r="Q554">
        <v>10</v>
      </c>
    </row>
    <row r="555" spans="1:18" hidden="1" x14ac:dyDescent="0.25">
      <c r="A555" s="1">
        <v>46256</v>
      </c>
      <c r="B555">
        <v>1007624721</v>
      </c>
      <c r="C555" t="s">
        <v>2274</v>
      </c>
      <c r="D555" t="s">
        <v>39</v>
      </c>
      <c r="E555" t="s">
        <v>4046</v>
      </c>
      <c r="F555" t="s">
        <v>16</v>
      </c>
      <c r="G555" s="1">
        <v>46255</v>
      </c>
      <c r="H555" s="1">
        <v>46256</v>
      </c>
      <c r="I555" s="2">
        <v>0.25</v>
      </c>
      <c r="J555" s="2">
        <v>0.66666666666666663</v>
      </c>
      <c r="K555" t="s">
        <v>295</v>
      </c>
      <c r="L555">
        <v>0</v>
      </c>
      <c r="M555" t="s">
        <v>4258</v>
      </c>
      <c r="N555" t="s">
        <v>294</v>
      </c>
      <c r="O555" t="s">
        <v>295</v>
      </c>
      <c r="P555" t="s">
        <v>4042</v>
      </c>
      <c r="Q555">
        <v>10</v>
      </c>
    </row>
    <row r="556" spans="1:18" hidden="1" x14ac:dyDescent="0.25">
      <c r="A556" s="1">
        <v>46256</v>
      </c>
      <c r="B556">
        <v>1041901478</v>
      </c>
      <c r="C556" t="s">
        <v>405</v>
      </c>
      <c r="D556" t="s">
        <v>256</v>
      </c>
      <c r="E556" t="s">
        <v>4040</v>
      </c>
      <c r="F556" t="s">
        <v>16</v>
      </c>
      <c r="G556" s="1">
        <v>46255</v>
      </c>
      <c r="H556" s="1">
        <v>46256</v>
      </c>
      <c r="I556" s="2">
        <v>0.25</v>
      </c>
      <c r="J556" s="2">
        <v>0.66666666666666663</v>
      </c>
      <c r="K556" t="s">
        <v>168</v>
      </c>
      <c r="L556">
        <v>0</v>
      </c>
      <c r="M556" t="s">
        <v>4257</v>
      </c>
      <c r="N556" t="s">
        <v>167</v>
      </c>
      <c r="O556" t="s">
        <v>168</v>
      </c>
      <c r="P556" t="s">
        <v>4042</v>
      </c>
      <c r="Q556">
        <v>10</v>
      </c>
    </row>
    <row r="557" spans="1:18" hidden="1" x14ac:dyDescent="0.25">
      <c r="A557" s="1">
        <v>46256</v>
      </c>
      <c r="B557">
        <v>1001445343</v>
      </c>
      <c r="C557" t="s">
        <v>1432</v>
      </c>
      <c r="D557" t="s">
        <v>344</v>
      </c>
      <c r="E557" t="s">
        <v>4056</v>
      </c>
      <c r="F557" t="s">
        <v>4074</v>
      </c>
      <c r="G557" s="1">
        <v>46256</v>
      </c>
      <c r="H557" s="1">
        <v>46256</v>
      </c>
      <c r="I557" s="2">
        <v>0.25</v>
      </c>
      <c r="J557" s="2">
        <v>0.58333333333333337</v>
      </c>
      <c r="K557" t="s">
        <v>4214</v>
      </c>
      <c r="L557">
        <v>0</v>
      </c>
      <c r="M557" t="s">
        <v>4255</v>
      </c>
      <c r="N557" t="s">
        <v>184</v>
      </c>
      <c r="O557" t="s">
        <v>185</v>
      </c>
      <c r="P557" t="s">
        <v>4042</v>
      </c>
      <c r="Q557">
        <v>8</v>
      </c>
    </row>
    <row r="558" spans="1:18" hidden="1" x14ac:dyDescent="0.25">
      <c r="A558" s="1">
        <v>46256</v>
      </c>
      <c r="B558">
        <v>1036965348</v>
      </c>
      <c r="C558" t="s">
        <v>229</v>
      </c>
      <c r="D558" t="s">
        <v>4078</v>
      </c>
      <c r="E558" t="s">
        <v>4046</v>
      </c>
      <c r="F558" t="s">
        <v>4079</v>
      </c>
      <c r="G558" s="1">
        <v>46256</v>
      </c>
      <c r="H558" s="1">
        <v>46256</v>
      </c>
      <c r="I558" s="2">
        <v>0.25</v>
      </c>
      <c r="J558" s="2">
        <v>0.58333333333333337</v>
      </c>
      <c r="K558" t="s">
        <v>339</v>
      </c>
      <c r="L558">
        <v>0</v>
      </c>
      <c r="M558" t="s">
        <v>4258</v>
      </c>
      <c r="N558" t="s">
        <v>228</v>
      </c>
      <c r="O558" t="s">
        <v>229</v>
      </c>
      <c r="P558" t="s">
        <v>4042</v>
      </c>
      <c r="Q558">
        <v>8</v>
      </c>
    </row>
    <row r="559" spans="1:18" hidden="1" x14ac:dyDescent="0.25">
      <c r="A559" s="1">
        <v>46256</v>
      </c>
      <c r="B559">
        <v>1001369228</v>
      </c>
      <c r="C559" t="s">
        <v>164</v>
      </c>
      <c r="D559" t="s">
        <v>4078</v>
      </c>
      <c r="E559" t="s">
        <v>4056</v>
      </c>
      <c r="F559" t="s">
        <v>4079</v>
      </c>
      <c r="G559" s="1">
        <v>46256</v>
      </c>
      <c r="H559" s="1">
        <v>46256</v>
      </c>
      <c r="I559" s="2">
        <v>0.29166666666666669</v>
      </c>
      <c r="J559" s="2">
        <v>0.66666666666666663</v>
      </c>
      <c r="K559" t="s">
        <v>339</v>
      </c>
      <c r="L559">
        <v>0</v>
      </c>
      <c r="M559" t="s">
        <v>4255</v>
      </c>
      <c r="N559" t="s">
        <v>163</v>
      </c>
      <c r="O559" t="s">
        <v>164</v>
      </c>
      <c r="P559" t="s">
        <v>4042</v>
      </c>
      <c r="Q559">
        <v>9</v>
      </c>
    </row>
    <row r="560" spans="1:18" hidden="1" x14ac:dyDescent="0.25">
      <c r="A560" s="1">
        <v>46258</v>
      </c>
      <c r="B560">
        <v>1037644923</v>
      </c>
      <c r="C560" t="s">
        <v>4218</v>
      </c>
      <c r="D560" t="s">
        <v>492</v>
      </c>
      <c r="E560" t="s">
        <v>4045</v>
      </c>
      <c r="F560" t="s">
        <v>4074</v>
      </c>
      <c r="G560" s="1">
        <v>46258</v>
      </c>
      <c r="H560" s="1">
        <v>46260</v>
      </c>
      <c r="I560" s="2">
        <v>0.25</v>
      </c>
      <c r="J560" s="2">
        <v>0.54166666666666663</v>
      </c>
      <c r="K560" t="s">
        <v>4219</v>
      </c>
      <c r="L560">
        <v>0</v>
      </c>
      <c r="M560" t="s">
        <v>4258</v>
      </c>
      <c r="N560" t="s">
        <v>318</v>
      </c>
      <c r="O560" t="s">
        <v>319</v>
      </c>
      <c r="P560" t="s">
        <v>4042</v>
      </c>
      <c r="Q560">
        <v>7</v>
      </c>
    </row>
    <row r="561" spans="1:18" hidden="1" x14ac:dyDescent="0.25">
      <c r="A561" s="1">
        <v>46258</v>
      </c>
      <c r="B561">
        <v>1036932341</v>
      </c>
      <c r="C561" t="s">
        <v>343</v>
      </c>
      <c r="D561" t="s">
        <v>344</v>
      </c>
      <c r="E561" t="s">
        <v>4056</v>
      </c>
      <c r="F561" t="s">
        <v>16</v>
      </c>
      <c r="G561" s="1">
        <v>46254</v>
      </c>
      <c r="H561" s="1">
        <v>46268</v>
      </c>
      <c r="I561" s="2">
        <v>0.54166666666666663</v>
      </c>
      <c r="J561" s="2">
        <v>0.83333333333333337</v>
      </c>
      <c r="K561" t="s">
        <v>341</v>
      </c>
      <c r="L561">
        <v>1</v>
      </c>
      <c r="P561" t="s">
        <v>4042</v>
      </c>
      <c r="Q561">
        <v>7</v>
      </c>
    </row>
    <row r="562" spans="1:18" hidden="1" x14ac:dyDescent="0.25">
      <c r="A562" s="1">
        <v>46258</v>
      </c>
      <c r="B562">
        <v>1043006106</v>
      </c>
      <c r="C562" t="s">
        <v>63</v>
      </c>
      <c r="D562" t="s">
        <v>64</v>
      </c>
      <c r="E562" t="s">
        <v>4046</v>
      </c>
      <c r="F562" t="s">
        <v>16</v>
      </c>
      <c r="G562" s="1">
        <v>46249</v>
      </c>
      <c r="H562" s="1">
        <v>46278</v>
      </c>
      <c r="I562" s="2">
        <v>0.25</v>
      </c>
      <c r="J562" s="2">
        <v>0.54166666666666663</v>
      </c>
      <c r="K562" t="s">
        <v>197</v>
      </c>
      <c r="L562">
        <v>0</v>
      </c>
      <c r="M562" t="s">
        <v>4257</v>
      </c>
      <c r="N562" t="s">
        <v>196</v>
      </c>
      <c r="O562" t="s">
        <v>197</v>
      </c>
      <c r="P562" t="s">
        <v>4042</v>
      </c>
      <c r="Q562">
        <v>7</v>
      </c>
    </row>
    <row r="563" spans="1:18" hidden="1" x14ac:dyDescent="0.25">
      <c r="A563" s="1">
        <v>46258</v>
      </c>
      <c r="B563">
        <v>1096223065</v>
      </c>
      <c r="C563" t="s">
        <v>3428</v>
      </c>
      <c r="D563" t="s">
        <v>59</v>
      </c>
      <c r="E563" t="s">
        <v>4047</v>
      </c>
      <c r="F563" t="s">
        <v>24</v>
      </c>
      <c r="G563" s="1">
        <v>46253</v>
      </c>
      <c r="H563" s="1">
        <v>46265</v>
      </c>
      <c r="I563" s="2">
        <v>0.25</v>
      </c>
      <c r="J563" s="2">
        <v>0.54166666666666663</v>
      </c>
      <c r="K563" t="s">
        <v>86</v>
      </c>
      <c r="L563">
        <v>0</v>
      </c>
      <c r="M563" t="s">
        <v>4259</v>
      </c>
      <c r="N563" t="s">
        <v>85</v>
      </c>
      <c r="O563" t="s">
        <v>86</v>
      </c>
      <c r="P563" t="s">
        <v>4042</v>
      </c>
      <c r="Q563">
        <v>7</v>
      </c>
    </row>
    <row r="564" spans="1:18" hidden="1" x14ac:dyDescent="0.25">
      <c r="A564" s="1">
        <v>46258</v>
      </c>
      <c r="B564">
        <v>1007334260</v>
      </c>
      <c r="C564" t="s">
        <v>4207</v>
      </c>
      <c r="D564" t="s">
        <v>344</v>
      </c>
      <c r="E564" t="s">
        <v>4056</v>
      </c>
      <c r="F564" t="s">
        <v>4050</v>
      </c>
      <c r="G564" s="1">
        <v>46255</v>
      </c>
      <c r="H564" s="1">
        <v>46259</v>
      </c>
      <c r="I564" s="2">
        <v>0.25</v>
      </c>
      <c r="J564" s="2">
        <v>0.58333333333333337</v>
      </c>
      <c r="K564" t="s">
        <v>561</v>
      </c>
      <c r="L564">
        <v>0</v>
      </c>
      <c r="M564" t="s">
        <v>4255</v>
      </c>
      <c r="N564" t="s">
        <v>560</v>
      </c>
      <c r="O564" t="s">
        <v>561</v>
      </c>
      <c r="P564" t="s">
        <v>4042</v>
      </c>
      <c r="Q564">
        <v>8</v>
      </c>
    </row>
    <row r="565" spans="1:18" hidden="1" x14ac:dyDescent="0.25">
      <c r="A565" s="1">
        <v>46258</v>
      </c>
      <c r="B565">
        <v>1143375080</v>
      </c>
      <c r="C565" t="s">
        <v>157</v>
      </c>
      <c r="D565" t="s">
        <v>44</v>
      </c>
      <c r="E565" t="s">
        <v>4045</v>
      </c>
      <c r="F565" t="s">
        <v>158</v>
      </c>
      <c r="G565" s="1">
        <v>46249</v>
      </c>
      <c r="H565" s="1"/>
      <c r="I565" s="2">
        <v>0.625</v>
      </c>
      <c r="J565" s="2">
        <v>0.875</v>
      </c>
      <c r="K565" t="s">
        <v>151</v>
      </c>
      <c r="L565">
        <v>2</v>
      </c>
      <c r="M565" t="s">
        <v>4257</v>
      </c>
      <c r="N565" t="s">
        <v>150</v>
      </c>
      <c r="O565" t="s">
        <v>151</v>
      </c>
      <c r="P565" t="s">
        <v>21</v>
      </c>
      <c r="Q565">
        <v>6</v>
      </c>
    </row>
    <row r="566" spans="1:18" hidden="1" x14ac:dyDescent="0.25">
      <c r="A566" s="1">
        <v>46258</v>
      </c>
      <c r="B566">
        <v>1045718883</v>
      </c>
      <c r="C566" t="s">
        <v>34</v>
      </c>
      <c r="D566" t="s">
        <v>15</v>
      </c>
      <c r="E566" t="s">
        <v>4046</v>
      </c>
      <c r="F566" t="s">
        <v>36</v>
      </c>
      <c r="G566" s="1">
        <v>46244</v>
      </c>
      <c r="H566" s="1">
        <v>46393</v>
      </c>
      <c r="I566" s="2">
        <v>0.54166666666666663</v>
      </c>
      <c r="J566" s="2">
        <v>0.875</v>
      </c>
      <c r="K566" t="s">
        <v>104</v>
      </c>
      <c r="L566">
        <v>2</v>
      </c>
      <c r="M566" t="s">
        <v>4258</v>
      </c>
      <c r="N566" t="s">
        <v>103</v>
      </c>
      <c r="O566" t="s">
        <v>104</v>
      </c>
      <c r="P566" t="s">
        <v>21</v>
      </c>
      <c r="Q566">
        <v>8</v>
      </c>
    </row>
    <row r="567" spans="1:18" hidden="1" x14ac:dyDescent="0.25">
      <c r="A567" s="1">
        <v>46258</v>
      </c>
      <c r="B567">
        <v>1040755197</v>
      </c>
      <c r="C567" t="s">
        <v>171</v>
      </c>
      <c r="D567" t="s">
        <v>172</v>
      </c>
      <c r="E567" t="s">
        <v>4046</v>
      </c>
      <c r="F567" t="s">
        <v>16</v>
      </c>
      <c r="G567" s="1">
        <v>46252</v>
      </c>
      <c r="H567" s="1">
        <v>46262</v>
      </c>
      <c r="I567" s="2">
        <v>0.54166666666666663</v>
      </c>
      <c r="J567" s="2">
        <v>0.875</v>
      </c>
      <c r="K567" t="s">
        <v>304</v>
      </c>
      <c r="L567">
        <v>2</v>
      </c>
      <c r="M567" t="s">
        <v>4257</v>
      </c>
      <c r="N567" t="s">
        <v>303</v>
      </c>
      <c r="O567" t="s">
        <v>304</v>
      </c>
      <c r="P567" t="s">
        <v>21</v>
      </c>
      <c r="Q567">
        <v>8</v>
      </c>
    </row>
    <row r="568" spans="1:18" hidden="1" x14ac:dyDescent="0.25">
      <c r="A568" s="1">
        <v>46258</v>
      </c>
      <c r="B568">
        <v>1102808787</v>
      </c>
      <c r="C568" t="s">
        <v>135</v>
      </c>
      <c r="D568" t="s">
        <v>39</v>
      </c>
      <c r="E568" t="s">
        <v>4046</v>
      </c>
      <c r="F568" t="s">
        <v>16</v>
      </c>
      <c r="G568" s="1">
        <v>46237</v>
      </c>
      <c r="H568" s="1">
        <v>46276</v>
      </c>
      <c r="I568" s="2">
        <v>0.25</v>
      </c>
      <c r="J568" s="2">
        <v>0.54166666666666663</v>
      </c>
      <c r="K568" t="s">
        <v>120</v>
      </c>
      <c r="L568">
        <v>0</v>
      </c>
      <c r="M568" t="s">
        <v>4257</v>
      </c>
      <c r="N568" t="s">
        <v>119</v>
      </c>
      <c r="O568" t="s">
        <v>120</v>
      </c>
      <c r="P568" t="s">
        <v>4042</v>
      </c>
      <c r="Q568">
        <v>7</v>
      </c>
    </row>
    <row r="569" spans="1:18" hidden="1" x14ac:dyDescent="0.25">
      <c r="A569" s="1">
        <v>46258</v>
      </c>
      <c r="B569">
        <v>1082896324</v>
      </c>
      <c r="C569" t="s">
        <v>127</v>
      </c>
      <c r="D569" t="s">
        <v>128</v>
      </c>
      <c r="E569" t="s">
        <v>4045</v>
      </c>
      <c r="F569" t="s">
        <v>16</v>
      </c>
      <c r="G569" s="1">
        <v>46242</v>
      </c>
      <c r="H569" s="1">
        <v>46272</v>
      </c>
      <c r="I569" s="2">
        <v>0.25</v>
      </c>
      <c r="J569" s="2">
        <v>0.54166666666666663</v>
      </c>
      <c r="K569" t="s">
        <v>182</v>
      </c>
      <c r="L569">
        <v>0</v>
      </c>
      <c r="M569" t="s">
        <v>4260</v>
      </c>
      <c r="N569" t="s">
        <v>181</v>
      </c>
      <c r="O569" t="s">
        <v>182</v>
      </c>
      <c r="P569" t="s">
        <v>4042</v>
      </c>
      <c r="Q569">
        <v>7</v>
      </c>
    </row>
    <row r="570" spans="1:18" hidden="1" x14ac:dyDescent="0.25">
      <c r="A570" s="1">
        <v>46258</v>
      </c>
      <c r="B570">
        <v>1015483595</v>
      </c>
      <c r="C570" t="s">
        <v>23</v>
      </c>
      <c r="D570" t="s">
        <v>15</v>
      </c>
      <c r="E570" t="s">
        <v>4046</v>
      </c>
      <c r="F570" t="s">
        <v>24</v>
      </c>
      <c r="G570" s="1">
        <v>46244</v>
      </c>
      <c r="H570" s="1">
        <v>46265</v>
      </c>
      <c r="I570" s="2">
        <v>0.25</v>
      </c>
      <c r="J570" s="2">
        <v>0.54166666666666663</v>
      </c>
      <c r="K570" t="s">
        <v>295</v>
      </c>
      <c r="L570">
        <v>0</v>
      </c>
      <c r="M570" t="s">
        <v>4258</v>
      </c>
      <c r="N570" t="s">
        <v>294</v>
      </c>
      <c r="O570" t="s">
        <v>295</v>
      </c>
      <c r="P570" t="s">
        <v>4042</v>
      </c>
      <c r="Q570">
        <v>7</v>
      </c>
    </row>
    <row r="571" spans="1:18" hidden="1" x14ac:dyDescent="0.25">
      <c r="A571" s="1">
        <v>46258</v>
      </c>
      <c r="B571">
        <v>1001851670</v>
      </c>
      <c r="C571" t="s">
        <v>50</v>
      </c>
      <c r="D571" t="s">
        <v>51</v>
      </c>
      <c r="E571" t="s">
        <v>4047</v>
      </c>
      <c r="F571" t="s">
        <v>36</v>
      </c>
      <c r="G571" s="1">
        <v>46241</v>
      </c>
      <c r="H571" s="1">
        <v>46366</v>
      </c>
      <c r="I571" s="2">
        <v>0.25</v>
      </c>
      <c r="J571" s="2">
        <v>0.54166666666666663</v>
      </c>
      <c r="K571" t="s">
        <v>262</v>
      </c>
      <c r="L571">
        <v>0</v>
      </c>
      <c r="M571" t="s">
        <v>4259</v>
      </c>
      <c r="N571" t="s">
        <v>261</v>
      </c>
      <c r="O571" t="s">
        <v>262</v>
      </c>
      <c r="P571" t="s">
        <v>4042</v>
      </c>
      <c r="Q571">
        <v>7</v>
      </c>
    </row>
    <row r="572" spans="1:18" hidden="1" x14ac:dyDescent="0.25">
      <c r="A572" s="1">
        <v>46258</v>
      </c>
      <c r="B572">
        <v>42141273</v>
      </c>
      <c r="C572" t="s">
        <v>271</v>
      </c>
      <c r="D572" t="s">
        <v>272</v>
      </c>
      <c r="E572" t="s">
        <v>4056</v>
      </c>
      <c r="F572" t="s">
        <v>4065</v>
      </c>
      <c r="G572" s="1">
        <v>46238</v>
      </c>
      <c r="H572" s="1">
        <v>46295</v>
      </c>
      <c r="I572" s="2">
        <v>0.25</v>
      </c>
      <c r="J572" s="2">
        <v>0.5</v>
      </c>
      <c r="K572" t="s">
        <v>237</v>
      </c>
      <c r="L572">
        <v>0</v>
      </c>
      <c r="M572" t="s">
        <v>4255</v>
      </c>
      <c r="N572" t="s">
        <v>236</v>
      </c>
      <c r="O572" t="s">
        <v>237</v>
      </c>
      <c r="P572" t="s">
        <v>4042</v>
      </c>
      <c r="Q572">
        <v>6</v>
      </c>
      <c r="R572" t="s">
        <v>4262</v>
      </c>
    </row>
    <row r="573" spans="1:18" hidden="1" x14ac:dyDescent="0.25">
      <c r="A573" s="1">
        <v>46258</v>
      </c>
      <c r="B573">
        <v>1152221372</v>
      </c>
      <c r="C573" t="s">
        <v>4072</v>
      </c>
      <c r="D573" t="s">
        <v>139</v>
      </c>
      <c r="E573" t="s">
        <v>4040</v>
      </c>
      <c r="F573" t="s">
        <v>158</v>
      </c>
      <c r="G573" s="1">
        <v>46230</v>
      </c>
      <c r="H573" s="1">
        <v>46230</v>
      </c>
      <c r="I573" s="2">
        <v>0.25</v>
      </c>
      <c r="J573" s="2">
        <v>0.58333333333333337</v>
      </c>
      <c r="K573" t="s">
        <v>46</v>
      </c>
      <c r="L573">
        <v>0</v>
      </c>
      <c r="M573" t="s">
        <v>4260</v>
      </c>
      <c r="N573" t="s">
        <v>45</v>
      </c>
      <c r="O573" t="s">
        <v>46</v>
      </c>
      <c r="P573" t="s">
        <v>4042</v>
      </c>
      <c r="Q573">
        <v>8</v>
      </c>
    </row>
    <row r="574" spans="1:18" hidden="1" x14ac:dyDescent="0.25">
      <c r="A574" s="1">
        <v>46258</v>
      </c>
      <c r="B574">
        <v>1017264032</v>
      </c>
      <c r="C574" t="s">
        <v>88</v>
      </c>
      <c r="D574" t="s">
        <v>55</v>
      </c>
      <c r="E574" t="s">
        <v>4047</v>
      </c>
      <c r="F574" t="s">
        <v>16</v>
      </c>
      <c r="G574" s="1">
        <v>46229</v>
      </c>
      <c r="H574" s="1">
        <v>46258</v>
      </c>
      <c r="I574" s="2">
        <v>0.58333333333333337</v>
      </c>
      <c r="J574" s="2">
        <v>0.875</v>
      </c>
      <c r="K574" t="s">
        <v>214</v>
      </c>
      <c r="L574">
        <v>2</v>
      </c>
      <c r="M574" t="s">
        <v>4257</v>
      </c>
      <c r="N574" t="s">
        <v>213</v>
      </c>
      <c r="O574" t="s">
        <v>214</v>
      </c>
      <c r="P574" t="s">
        <v>21</v>
      </c>
      <c r="Q574">
        <v>7</v>
      </c>
    </row>
    <row r="575" spans="1:18" hidden="1" x14ac:dyDescent="0.25">
      <c r="A575" s="1">
        <v>46258</v>
      </c>
      <c r="B575">
        <v>1037630071</v>
      </c>
      <c r="C575" t="s">
        <v>3579</v>
      </c>
      <c r="D575" t="s">
        <v>176</v>
      </c>
      <c r="E575" t="s">
        <v>4040</v>
      </c>
      <c r="F575" t="s">
        <v>4062</v>
      </c>
      <c r="G575" s="1">
        <v>46247</v>
      </c>
      <c r="H575" s="1">
        <v>46265</v>
      </c>
      <c r="I575" s="2">
        <v>0.54166666666666663</v>
      </c>
      <c r="J575" s="2">
        <v>0.79166666666666663</v>
      </c>
      <c r="K575" t="s">
        <v>283</v>
      </c>
      <c r="L575">
        <v>0</v>
      </c>
      <c r="M575" t="s">
        <v>4260</v>
      </c>
      <c r="N575" t="s">
        <v>282</v>
      </c>
      <c r="O575" t="s">
        <v>283</v>
      </c>
      <c r="P575" t="s">
        <v>4042</v>
      </c>
      <c r="Q575">
        <v>6</v>
      </c>
    </row>
    <row r="576" spans="1:18" hidden="1" x14ac:dyDescent="0.25">
      <c r="A576" s="1">
        <v>46258</v>
      </c>
      <c r="B576">
        <v>1143460426</v>
      </c>
      <c r="C576" t="s">
        <v>4069</v>
      </c>
      <c r="D576" t="s">
        <v>64</v>
      </c>
      <c r="E576" t="s">
        <v>4046</v>
      </c>
      <c r="F576" t="s">
        <v>4050</v>
      </c>
      <c r="G576" s="1">
        <v>46195</v>
      </c>
      <c r="H576" s="1">
        <v>46198</v>
      </c>
      <c r="I576" s="2">
        <v>0.25</v>
      </c>
      <c r="J576" s="2">
        <v>0.58333333333333337</v>
      </c>
      <c r="K576" t="s">
        <v>223</v>
      </c>
      <c r="L576">
        <v>0</v>
      </c>
      <c r="M576" t="s">
        <v>4258</v>
      </c>
      <c r="N576" t="s">
        <v>222</v>
      </c>
      <c r="O576" t="s">
        <v>223</v>
      </c>
      <c r="P576" t="s">
        <v>4042</v>
      </c>
      <c r="Q576">
        <v>8</v>
      </c>
    </row>
    <row r="577" spans="1:17" hidden="1" x14ac:dyDescent="0.25">
      <c r="A577" s="1">
        <v>46258</v>
      </c>
      <c r="B577">
        <v>43453341</v>
      </c>
      <c r="C577" t="s">
        <v>146</v>
      </c>
      <c r="D577" t="s">
        <v>124</v>
      </c>
      <c r="E577" t="s">
        <v>4045</v>
      </c>
      <c r="F577" t="s">
        <v>16</v>
      </c>
      <c r="G577" s="1">
        <v>46254</v>
      </c>
      <c r="H577" s="1">
        <v>46268</v>
      </c>
      <c r="I577" s="2">
        <v>0.54166666666666663</v>
      </c>
      <c r="J577" s="2">
        <v>0.875</v>
      </c>
      <c r="K577" t="s">
        <v>232</v>
      </c>
      <c r="L577">
        <v>2</v>
      </c>
      <c r="M577" t="s">
        <v>4257</v>
      </c>
      <c r="N577" t="s">
        <v>231</v>
      </c>
      <c r="O577" t="s">
        <v>232</v>
      </c>
      <c r="P577" t="s">
        <v>21</v>
      </c>
      <c r="Q577">
        <v>8</v>
      </c>
    </row>
    <row r="578" spans="1:17" hidden="1" x14ac:dyDescent="0.25">
      <c r="A578" s="1">
        <v>46258</v>
      </c>
      <c r="B578">
        <v>1035876080</v>
      </c>
      <c r="C578" t="s">
        <v>123</v>
      </c>
      <c r="D578" t="s">
        <v>124</v>
      </c>
      <c r="E578" t="s">
        <v>4045</v>
      </c>
      <c r="F578" t="s">
        <v>158</v>
      </c>
      <c r="G578" s="1">
        <v>46254</v>
      </c>
      <c r="H578" s="1"/>
      <c r="I578" s="2">
        <v>0.25</v>
      </c>
      <c r="J578" s="2">
        <v>0.58333333333333337</v>
      </c>
      <c r="K578" t="s">
        <v>241</v>
      </c>
      <c r="L578">
        <v>0</v>
      </c>
      <c r="M578" t="s">
        <v>4257</v>
      </c>
      <c r="N578" t="s">
        <v>240</v>
      </c>
      <c r="O578" t="s">
        <v>241</v>
      </c>
      <c r="P578" t="s">
        <v>4042</v>
      </c>
      <c r="Q578">
        <v>8</v>
      </c>
    </row>
    <row r="579" spans="1:17" hidden="1" x14ac:dyDescent="0.25">
      <c r="A579" s="1">
        <v>46258</v>
      </c>
      <c r="B579">
        <v>1000098388</v>
      </c>
      <c r="C579" t="s">
        <v>4231</v>
      </c>
      <c r="D579" t="s">
        <v>28</v>
      </c>
      <c r="E579" t="s">
        <v>4046</v>
      </c>
      <c r="F579" t="s">
        <v>4050</v>
      </c>
      <c r="G579" s="1">
        <v>46258</v>
      </c>
      <c r="H579" s="1">
        <v>46260</v>
      </c>
      <c r="I579" s="2">
        <v>0.54166666666666663</v>
      </c>
      <c r="J579" s="2">
        <v>0.875</v>
      </c>
      <c r="K579" t="s">
        <v>301</v>
      </c>
      <c r="L579">
        <v>2</v>
      </c>
      <c r="M579" t="s">
        <v>4258</v>
      </c>
      <c r="N579" t="s">
        <v>300</v>
      </c>
      <c r="O579" t="s">
        <v>301</v>
      </c>
      <c r="P579" t="s">
        <v>21</v>
      </c>
      <c r="Q579">
        <v>8</v>
      </c>
    </row>
    <row r="580" spans="1:17" hidden="1" x14ac:dyDescent="0.25">
      <c r="A580" s="1">
        <v>46258</v>
      </c>
      <c r="B580">
        <v>1037638426</v>
      </c>
      <c r="C580" t="s">
        <v>31</v>
      </c>
      <c r="D580" t="s">
        <v>28</v>
      </c>
      <c r="E580" t="s">
        <v>4046</v>
      </c>
      <c r="F580" t="s">
        <v>24</v>
      </c>
      <c r="G580" s="1">
        <v>46249</v>
      </c>
      <c r="H580" s="1">
        <v>46262</v>
      </c>
      <c r="I580" s="2">
        <v>0.58333333333333337</v>
      </c>
      <c r="J580" s="2">
        <v>0.875</v>
      </c>
      <c r="K580" t="s">
        <v>252</v>
      </c>
      <c r="L580">
        <v>2</v>
      </c>
      <c r="M580" t="s">
        <v>4259</v>
      </c>
      <c r="N580" t="s">
        <v>251</v>
      </c>
      <c r="O580" t="s">
        <v>252</v>
      </c>
      <c r="P580" t="s">
        <v>21</v>
      </c>
      <c r="Q580">
        <v>7</v>
      </c>
    </row>
    <row r="581" spans="1:17" hidden="1" x14ac:dyDescent="0.25">
      <c r="A581" s="1">
        <v>46258</v>
      </c>
      <c r="B581">
        <v>1036965348</v>
      </c>
      <c r="C581" t="s">
        <v>229</v>
      </c>
      <c r="D581" t="s">
        <v>4078</v>
      </c>
      <c r="E581" t="s">
        <v>4046</v>
      </c>
      <c r="F581" t="s">
        <v>4079</v>
      </c>
      <c r="G581" s="1">
        <v>46258</v>
      </c>
      <c r="H581" s="1">
        <v>46258</v>
      </c>
      <c r="I581" s="2">
        <v>0.25</v>
      </c>
      <c r="J581" s="2">
        <v>0.58333333333333337</v>
      </c>
      <c r="K581" t="s">
        <v>339</v>
      </c>
      <c r="L581">
        <v>0</v>
      </c>
      <c r="M581" t="s">
        <v>4258</v>
      </c>
      <c r="N581" t="s">
        <v>228</v>
      </c>
      <c r="O581" t="s">
        <v>229</v>
      </c>
      <c r="P581" t="s">
        <v>4042</v>
      </c>
      <c r="Q581">
        <v>8</v>
      </c>
    </row>
    <row r="582" spans="1:17" hidden="1" x14ac:dyDescent="0.25">
      <c r="A582" s="1">
        <v>46258</v>
      </c>
      <c r="B582">
        <v>1116283658</v>
      </c>
      <c r="C582" t="s">
        <v>283</v>
      </c>
      <c r="D582" t="s">
        <v>256</v>
      </c>
      <c r="E582" t="s">
        <v>4040</v>
      </c>
      <c r="F582" t="s">
        <v>24</v>
      </c>
      <c r="G582" s="1">
        <v>46258</v>
      </c>
      <c r="H582" s="1">
        <v>46265</v>
      </c>
      <c r="I582" s="2">
        <v>0.54166666666666663</v>
      </c>
      <c r="J582" s="2">
        <v>0.875</v>
      </c>
      <c r="K582" t="s">
        <v>1428</v>
      </c>
      <c r="L582">
        <v>2</v>
      </c>
      <c r="M582" t="s">
        <v>4260</v>
      </c>
      <c r="N582" t="s">
        <v>1427</v>
      </c>
      <c r="O582" t="s">
        <v>1428</v>
      </c>
      <c r="P582" t="s">
        <v>21</v>
      </c>
      <c r="Q582">
        <v>8</v>
      </c>
    </row>
    <row r="583" spans="1:17" hidden="1" x14ac:dyDescent="0.25">
      <c r="A583" s="1">
        <v>46258</v>
      </c>
      <c r="B583">
        <v>1001446162</v>
      </c>
      <c r="C583" t="s">
        <v>3663</v>
      </c>
      <c r="D583" t="s">
        <v>4125</v>
      </c>
      <c r="E583" t="s">
        <v>4056</v>
      </c>
      <c r="F583" t="s">
        <v>4125</v>
      </c>
      <c r="G583" s="1">
        <v>46258</v>
      </c>
      <c r="H583" s="1">
        <v>46258</v>
      </c>
      <c r="I583" s="2">
        <v>0.29166666666666669</v>
      </c>
      <c r="J583" s="2">
        <v>0.625</v>
      </c>
      <c r="K583" t="s">
        <v>339</v>
      </c>
      <c r="L583">
        <v>0</v>
      </c>
      <c r="M583" t="s">
        <v>4255</v>
      </c>
      <c r="N583" t="s">
        <v>3662</v>
      </c>
      <c r="O583" t="s">
        <v>3663</v>
      </c>
      <c r="P583" t="s">
        <v>4042</v>
      </c>
      <c r="Q583">
        <v>8</v>
      </c>
    </row>
    <row r="584" spans="1:17" hidden="1" x14ac:dyDescent="0.25">
      <c r="A584" s="1">
        <v>46258</v>
      </c>
      <c r="B584">
        <v>1005605946</v>
      </c>
      <c r="C584" t="s">
        <v>185</v>
      </c>
      <c r="D584" t="s">
        <v>344</v>
      </c>
      <c r="E584" t="s">
        <v>4056</v>
      </c>
      <c r="F584" t="s">
        <v>4079</v>
      </c>
      <c r="G584" s="1">
        <v>46258</v>
      </c>
      <c r="H584" s="1">
        <v>46258</v>
      </c>
      <c r="I584" s="2">
        <v>0.25</v>
      </c>
      <c r="J584" s="2">
        <v>0.58333333333333337</v>
      </c>
      <c r="K584" t="s">
        <v>339</v>
      </c>
      <c r="L584">
        <v>0</v>
      </c>
      <c r="M584" t="s">
        <v>4255</v>
      </c>
      <c r="N584" t="s">
        <v>184</v>
      </c>
      <c r="O584" t="s">
        <v>185</v>
      </c>
      <c r="P584" t="s">
        <v>4042</v>
      </c>
      <c r="Q584">
        <v>8</v>
      </c>
    </row>
    <row r="585" spans="1:17" hidden="1" x14ac:dyDescent="0.25">
      <c r="A585" s="1">
        <v>46258</v>
      </c>
      <c r="B585">
        <v>1152446353</v>
      </c>
      <c r="C585" t="s">
        <v>205</v>
      </c>
      <c r="D585" t="s">
        <v>51</v>
      </c>
      <c r="E585" t="s">
        <v>4047</v>
      </c>
      <c r="F585" t="s">
        <v>92</v>
      </c>
      <c r="G585" s="1">
        <v>46258</v>
      </c>
      <c r="H585" s="1">
        <v>46262</v>
      </c>
      <c r="I585" s="2">
        <v>0.25</v>
      </c>
      <c r="J585" s="2">
        <v>0.54166666666666663</v>
      </c>
      <c r="K585" t="s">
        <v>200</v>
      </c>
      <c r="L585">
        <v>0</v>
      </c>
      <c r="M585" t="s">
        <v>4257</v>
      </c>
      <c r="N585" t="s">
        <v>199</v>
      </c>
      <c r="O585" t="s">
        <v>200</v>
      </c>
      <c r="P585" t="s">
        <v>4042</v>
      </c>
      <c r="Q585">
        <v>7</v>
      </c>
    </row>
    <row r="586" spans="1:17" hidden="1" x14ac:dyDescent="0.25">
      <c r="A586" s="1">
        <v>46258</v>
      </c>
      <c r="B586">
        <v>1080901556</v>
      </c>
      <c r="C586" t="s">
        <v>4223</v>
      </c>
      <c r="D586" t="s">
        <v>256</v>
      </c>
      <c r="E586" t="s">
        <v>4040</v>
      </c>
      <c r="F586" t="s">
        <v>16</v>
      </c>
      <c r="G586" s="1">
        <v>46258</v>
      </c>
      <c r="H586" s="1">
        <v>46259</v>
      </c>
      <c r="I586" s="2">
        <v>0.25</v>
      </c>
      <c r="J586" s="2">
        <v>0.54166666666666663</v>
      </c>
      <c r="K586" t="s">
        <v>168</v>
      </c>
      <c r="L586">
        <v>0</v>
      </c>
      <c r="M586" t="s">
        <v>4257</v>
      </c>
      <c r="N586" t="s">
        <v>167</v>
      </c>
      <c r="O586" t="s">
        <v>168</v>
      </c>
      <c r="P586" t="s">
        <v>4042</v>
      </c>
      <c r="Q586">
        <v>7</v>
      </c>
    </row>
    <row r="587" spans="1:17" hidden="1" x14ac:dyDescent="0.25">
      <c r="A587" s="1">
        <v>46258</v>
      </c>
      <c r="B587">
        <v>1007959114</v>
      </c>
      <c r="C587" t="s">
        <v>337</v>
      </c>
      <c r="D587" t="s">
        <v>39</v>
      </c>
      <c r="E587" t="s">
        <v>4046</v>
      </c>
      <c r="F587" t="s">
        <v>4074</v>
      </c>
      <c r="G587" s="1">
        <v>46258</v>
      </c>
      <c r="H587" s="1">
        <v>46260</v>
      </c>
      <c r="I587" s="2">
        <v>0.54166666666666663</v>
      </c>
      <c r="J587" s="2">
        <v>0.875</v>
      </c>
      <c r="K587" t="s">
        <v>4232</v>
      </c>
      <c r="L587">
        <v>2</v>
      </c>
      <c r="M587" t="s">
        <v>4258</v>
      </c>
      <c r="N587" t="s">
        <v>17</v>
      </c>
      <c r="O587" t="s">
        <v>18</v>
      </c>
      <c r="P587" t="s">
        <v>21</v>
      </c>
      <c r="Q587">
        <v>8</v>
      </c>
    </row>
    <row r="588" spans="1:17" hidden="1" x14ac:dyDescent="0.25">
      <c r="A588" s="1">
        <v>46258</v>
      </c>
      <c r="B588">
        <v>1143880690</v>
      </c>
      <c r="C588" t="s">
        <v>307</v>
      </c>
      <c r="D588" t="s">
        <v>4078</v>
      </c>
      <c r="F588" t="s">
        <v>4074</v>
      </c>
      <c r="G588" s="1">
        <v>46258</v>
      </c>
      <c r="H588" s="1"/>
      <c r="I588" s="2">
        <v>0.25</v>
      </c>
      <c r="J588" s="2">
        <v>0.58333333333333337</v>
      </c>
      <c r="K588" t="s">
        <v>4247</v>
      </c>
      <c r="L588">
        <v>0</v>
      </c>
      <c r="M588" t="s">
        <v>4257</v>
      </c>
      <c r="N588" t="s">
        <v>306</v>
      </c>
      <c r="O588" t="s">
        <v>307</v>
      </c>
      <c r="P588" t="s">
        <v>4042</v>
      </c>
      <c r="Q588">
        <v>8</v>
      </c>
    </row>
    <row r="589" spans="1:17" hidden="1" x14ac:dyDescent="0.25">
      <c r="A589" s="1">
        <v>46258</v>
      </c>
      <c r="B589">
        <v>1001369228</v>
      </c>
      <c r="C589" t="s">
        <v>164</v>
      </c>
      <c r="D589" t="s">
        <v>344</v>
      </c>
      <c r="E589" t="s">
        <v>4056</v>
      </c>
      <c r="F589" t="s">
        <v>4073</v>
      </c>
      <c r="G589" s="1">
        <v>46258</v>
      </c>
      <c r="H589" s="1">
        <v>46259</v>
      </c>
      <c r="I589" s="2">
        <v>0.58333333333333337</v>
      </c>
      <c r="J589" s="2">
        <v>0.875</v>
      </c>
      <c r="K589" t="s">
        <v>4233</v>
      </c>
      <c r="L589">
        <v>2</v>
      </c>
      <c r="M589" t="s">
        <v>4255</v>
      </c>
      <c r="N589" t="s">
        <v>163</v>
      </c>
      <c r="O589" t="s">
        <v>164</v>
      </c>
      <c r="P589" t="s">
        <v>21</v>
      </c>
      <c r="Q589">
        <v>7</v>
      </c>
    </row>
    <row r="590" spans="1:17" hidden="1" x14ac:dyDescent="0.25">
      <c r="A590" s="1">
        <v>46258</v>
      </c>
      <c r="B590">
        <v>1152709914</v>
      </c>
      <c r="C590" t="s">
        <v>3437</v>
      </c>
      <c r="D590" t="s">
        <v>139</v>
      </c>
      <c r="E590" t="s">
        <v>4040</v>
      </c>
      <c r="F590" t="s">
        <v>16</v>
      </c>
      <c r="G590" s="1">
        <v>46258</v>
      </c>
      <c r="H590" s="1">
        <v>46259</v>
      </c>
      <c r="I590" s="2">
        <v>0.625</v>
      </c>
      <c r="J590" s="2">
        <v>0.875</v>
      </c>
      <c r="K590" t="s">
        <v>4235</v>
      </c>
      <c r="L590">
        <v>2</v>
      </c>
      <c r="M590" t="s">
        <v>4257</v>
      </c>
      <c r="N590" t="s">
        <v>73</v>
      </c>
      <c r="O590" t="s">
        <v>74</v>
      </c>
      <c r="P590" t="s">
        <v>21</v>
      </c>
      <c r="Q590">
        <v>6</v>
      </c>
    </row>
    <row r="591" spans="1:17" hidden="1" x14ac:dyDescent="0.25">
      <c r="A591" s="1">
        <v>46258</v>
      </c>
      <c r="B591">
        <v>1003305205</v>
      </c>
      <c r="C591" t="s">
        <v>1398</v>
      </c>
      <c r="D591" t="s">
        <v>162</v>
      </c>
      <c r="E591" t="s">
        <v>4056</v>
      </c>
      <c r="F591" t="s">
        <v>4074</v>
      </c>
      <c r="G591" s="1">
        <v>46258</v>
      </c>
      <c r="H591" s="1">
        <v>46260</v>
      </c>
      <c r="I591" s="2">
        <v>0.54166666666666663</v>
      </c>
      <c r="J591" s="2">
        <v>0.875</v>
      </c>
      <c r="K591" t="s">
        <v>4236</v>
      </c>
      <c r="L591">
        <v>2</v>
      </c>
      <c r="M591" t="s">
        <v>4255</v>
      </c>
      <c r="N591" t="s">
        <v>285</v>
      </c>
      <c r="O591" t="s">
        <v>286</v>
      </c>
      <c r="P591" t="s">
        <v>21</v>
      </c>
      <c r="Q591">
        <v>8</v>
      </c>
    </row>
    <row r="592" spans="1:17" hidden="1" x14ac:dyDescent="0.25">
      <c r="A592" s="1">
        <v>46259</v>
      </c>
      <c r="B592">
        <v>1116283658</v>
      </c>
      <c r="C592" t="s">
        <v>283</v>
      </c>
      <c r="D592" t="s">
        <v>256</v>
      </c>
      <c r="E592" t="s">
        <v>4040</v>
      </c>
      <c r="F592" t="s">
        <v>24</v>
      </c>
      <c r="G592" s="1">
        <v>46258</v>
      </c>
      <c r="H592" s="1">
        <v>46265</v>
      </c>
      <c r="I592" s="2">
        <v>0.25</v>
      </c>
      <c r="J592" s="2">
        <v>0.58333333333333337</v>
      </c>
      <c r="K592" t="s">
        <v>182</v>
      </c>
      <c r="L592">
        <v>0</v>
      </c>
      <c r="M592" t="s">
        <v>4260</v>
      </c>
      <c r="N592" t="s">
        <v>181</v>
      </c>
      <c r="O592" t="s">
        <v>182</v>
      </c>
      <c r="P592" t="s">
        <v>4042</v>
      </c>
      <c r="Q592">
        <v>8</v>
      </c>
    </row>
    <row r="593" spans="1:18" hidden="1" x14ac:dyDescent="0.25">
      <c r="A593" s="1">
        <v>46259</v>
      </c>
      <c r="B593">
        <v>1000098388</v>
      </c>
      <c r="C593" t="s">
        <v>4231</v>
      </c>
      <c r="D593" t="s">
        <v>28</v>
      </c>
      <c r="E593" t="s">
        <v>4046</v>
      </c>
      <c r="F593" t="s">
        <v>4050</v>
      </c>
      <c r="G593" s="1">
        <v>46258</v>
      </c>
      <c r="H593" s="1">
        <v>46260</v>
      </c>
      <c r="I593" s="2">
        <v>0.58333333333333337</v>
      </c>
      <c r="J593" s="2">
        <v>0.875</v>
      </c>
      <c r="K593" t="s">
        <v>237</v>
      </c>
      <c r="L593">
        <v>2</v>
      </c>
      <c r="M593" t="s">
        <v>4255</v>
      </c>
      <c r="N593" t="s">
        <v>236</v>
      </c>
      <c r="O593" t="s">
        <v>237</v>
      </c>
      <c r="P593" t="s">
        <v>21</v>
      </c>
      <c r="Q593">
        <v>7</v>
      </c>
      <c r="R593" t="s">
        <v>4256</v>
      </c>
    </row>
    <row r="594" spans="1:18" hidden="1" x14ac:dyDescent="0.25">
      <c r="A594" s="1">
        <v>46259</v>
      </c>
      <c r="B594">
        <v>1043006106</v>
      </c>
      <c r="C594" t="s">
        <v>63</v>
      </c>
      <c r="D594" t="s">
        <v>64</v>
      </c>
      <c r="E594" t="s">
        <v>4046</v>
      </c>
      <c r="F594" t="s">
        <v>16</v>
      </c>
      <c r="G594" s="1">
        <v>46249</v>
      </c>
      <c r="H594" s="1">
        <v>46278</v>
      </c>
      <c r="I594" s="2">
        <v>0.25</v>
      </c>
      <c r="J594" s="2">
        <v>0.58333333333333337</v>
      </c>
      <c r="K594" t="s">
        <v>319</v>
      </c>
      <c r="L594">
        <v>0</v>
      </c>
      <c r="M594" t="s">
        <v>4258</v>
      </c>
      <c r="N594" t="s">
        <v>318</v>
      </c>
      <c r="O594" t="s">
        <v>319</v>
      </c>
      <c r="P594" t="s">
        <v>4042</v>
      </c>
      <c r="Q594">
        <v>8</v>
      </c>
    </row>
    <row r="595" spans="1:18" hidden="1" x14ac:dyDescent="0.25">
      <c r="A595" s="1">
        <v>46259</v>
      </c>
      <c r="B595">
        <v>1096223065</v>
      </c>
      <c r="C595" t="s">
        <v>3428</v>
      </c>
      <c r="D595" t="s">
        <v>59</v>
      </c>
      <c r="E595" t="s">
        <v>4047</v>
      </c>
      <c r="F595" t="s">
        <v>24</v>
      </c>
      <c r="G595" s="1">
        <v>46253</v>
      </c>
      <c r="H595" s="1">
        <v>46265</v>
      </c>
      <c r="I595" s="2">
        <v>0.25</v>
      </c>
      <c r="J595" s="2">
        <v>0.54166666666666663</v>
      </c>
      <c r="K595" t="s">
        <v>86</v>
      </c>
      <c r="L595">
        <v>0</v>
      </c>
      <c r="M595" t="s">
        <v>4259</v>
      </c>
      <c r="N595" t="s">
        <v>85</v>
      </c>
      <c r="O595" t="s">
        <v>86</v>
      </c>
      <c r="P595" t="s">
        <v>4042</v>
      </c>
      <c r="Q595">
        <v>7</v>
      </c>
    </row>
    <row r="596" spans="1:18" hidden="1" x14ac:dyDescent="0.25">
      <c r="A596" s="1">
        <v>46259</v>
      </c>
      <c r="B596">
        <v>1007334260</v>
      </c>
      <c r="C596" t="s">
        <v>4207</v>
      </c>
      <c r="D596" t="s">
        <v>344</v>
      </c>
      <c r="E596" t="s">
        <v>4056</v>
      </c>
      <c r="F596" t="s">
        <v>4050</v>
      </c>
      <c r="G596" s="1">
        <v>46255</v>
      </c>
      <c r="H596" s="1">
        <v>46259</v>
      </c>
      <c r="I596" s="2">
        <v>0.625</v>
      </c>
      <c r="J596" s="2">
        <v>0.875</v>
      </c>
      <c r="K596" t="s">
        <v>561</v>
      </c>
      <c r="L596">
        <v>2</v>
      </c>
      <c r="M596" t="s">
        <v>4255</v>
      </c>
      <c r="N596" t="s">
        <v>560</v>
      </c>
      <c r="O596" t="s">
        <v>561</v>
      </c>
      <c r="P596" t="s">
        <v>21</v>
      </c>
      <c r="Q596">
        <v>6</v>
      </c>
    </row>
    <row r="597" spans="1:18" hidden="1" x14ac:dyDescent="0.25">
      <c r="A597" s="1">
        <v>46259</v>
      </c>
      <c r="B597">
        <v>1040755197</v>
      </c>
      <c r="C597" t="s">
        <v>171</v>
      </c>
      <c r="D597" t="s">
        <v>172</v>
      </c>
      <c r="E597" t="s">
        <v>4046</v>
      </c>
      <c r="F597" t="s">
        <v>16</v>
      </c>
      <c r="G597" s="1">
        <v>46252</v>
      </c>
      <c r="H597" s="1">
        <v>46262</v>
      </c>
      <c r="I597" s="2">
        <v>0.25</v>
      </c>
      <c r="J597" s="2">
        <v>0.54166666666666663</v>
      </c>
      <c r="K597" t="s">
        <v>295</v>
      </c>
      <c r="L597">
        <v>0</v>
      </c>
      <c r="M597" t="s">
        <v>4258</v>
      </c>
      <c r="N597" t="s">
        <v>294</v>
      </c>
      <c r="O597" t="s">
        <v>295</v>
      </c>
      <c r="P597" t="s">
        <v>4042</v>
      </c>
      <c r="Q597">
        <v>7</v>
      </c>
    </row>
    <row r="598" spans="1:18" hidden="1" x14ac:dyDescent="0.25">
      <c r="A598" s="1">
        <v>46259</v>
      </c>
      <c r="B598">
        <v>1152446353</v>
      </c>
      <c r="C598" t="s">
        <v>205</v>
      </c>
      <c r="D598" t="s">
        <v>51</v>
      </c>
      <c r="E598" t="s">
        <v>4047</v>
      </c>
      <c r="F598" t="s">
        <v>92</v>
      </c>
      <c r="G598" s="1">
        <v>46258</v>
      </c>
      <c r="H598" s="1">
        <v>46262</v>
      </c>
      <c r="I598" s="2">
        <v>0.54166666666666663</v>
      </c>
      <c r="J598" s="2">
        <v>0.875</v>
      </c>
      <c r="K598" t="s">
        <v>262</v>
      </c>
      <c r="L598">
        <v>2</v>
      </c>
      <c r="M598" t="s">
        <v>4259</v>
      </c>
      <c r="N598" t="s">
        <v>261</v>
      </c>
      <c r="O598" t="s">
        <v>262</v>
      </c>
      <c r="P598" t="s">
        <v>21</v>
      </c>
      <c r="Q598">
        <v>8</v>
      </c>
    </row>
    <row r="599" spans="1:18" hidden="1" x14ac:dyDescent="0.25">
      <c r="A599" s="1">
        <v>46259</v>
      </c>
      <c r="B599">
        <v>1015483595</v>
      </c>
      <c r="C599" t="s">
        <v>221</v>
      </c>
      <c r="D599" t="s">
        <v>15</v>
      </c>
      <c r="E599" t="s">
        <v>4046</v>
      </c>
      <c r="F599" t="s">
        <v>24</v>
      </c>
      <c r="G599" s="1">
        <v>46244</v>
      </c>
      <c r="H599" s="1">
        <v>46265</v>
      </c>
      <c r="I599" s="2">
        <v>0.58333333333333337</v>
      </c>
      <c r="J599" s="2">
        <v>0.875</v>
      </c>
      <c r="K599" t="s">
        <v>252</v>
      </c>
      <c r="L599">
        <v>2</v>
      </c>
      <c r="M599" t="s">
        <v>4259</v>
      </c>
      <c r="N599" t="s">
        <v>251</v>
      </c>
      <c r="O599" t="s">
        <v>252</v>
      </c>
      <c r="P599" t="s">
        <v>21</v>
      </c>
      <c r="Q599">
        <v>7</v>
      </c>
    </row>
    <row r="600" spans="1:18" hidden="1" x14ac:dyDescent="0.25">
      <c r="A600" s="1">
        <v>46259</v>
      </c>
      <c r="B600">
        <v>1000415206</v>
      </c>
      <c r="C600" t="s">
        <v>325</v>
      </c>
      <c r="D600" t="s">
        <v>128</v>
      </c>
      <c r="E600" t="s">
        <v>4045</v>
      </c>
      <c r="F600" t="s">
        <v>326</v>
      </c>
      <c r="G600" s="1">
        <v>46258</v>
      </c>
      <c r="H600" s="1">
        <v>46262</v>
      </c>
      <c r="I600" s="2">
        <v>0.25</v>
      </c>
      <c r="J600" s="2">
        <v>0.5</v>
      </c>
      <c r="K600" t="s">
        <v>46</v>
      </c>
      <c r="L600">
        <v>0</v>
      </c>
      <c r="M600" t="s">
        <v>4260</v>
      </c>
      <c r="N600" t="s">
        <v>45</v>
      </c>
      <c r="O600" t="s">
        <v>46</v>
      </c>
      <c r="P600" t="s">
        <v>4042</v>
      </c>
      <c r="Q600">
        <v>6</v>
      </c>
    </row>
    <row r="601" spans="1:18" hidden="1" x14ac:dyDescent="0.25">
      <c r="A601" s="1">
        <v>46259</v>
      </c>
      <c r="B601">
        <v>42141273</v>
      </c>
      <c r="C601" t="s">
        <v>271</v>
      </c>
      <c r="D601" t="s">
        <v>272</v>
      </c>
      <c r="E601" t="s">
        <v>4056</v>
      </c>
      <c r="F601" t="s">
        <v>4065</v>
      </c>
      <c r="G601" s="1">
        <v>46238</v>
      </c>
      <c r="H601" s="1">
        <v>46295</v>
      </c>
      <c r="I601" s="2">
        <v>0.25</v>
      </c>
      <c r="J601" s="2">
        <v>0.5</v>
      </c>
      <c r="K601" t="s">
        <v>185</v>
      </c>
      <c r="L601">
        <v>0</v>
      </c>
      <c r="M601" t="s">
        <v>4255</v>
      </c>
      <c r="N601" t="s">
        <v>184</v>
      </c>
      <c r="O601" t="s">
        <v>185</v>
      </c>
      <c r="P601" t="s">
        <v>4042</v>
      </c>
      <c r="Q601">
        <v>6</v>
      </c>
      <c r="R601" t="s">
        <v>4262</v>
      </c>
    </row>
    <row r="602" spans="1:18" hidden="1" x14ac:dyDescent="0.25">
      <c r="A602" s="1">
        <v>46259</v>
      </c>
      <c r="B602">
        <v>1017264032</v>
      </c>
      <c r="C602" t="s">
        <v>88</v>
      </c>
      <c r="D602" t="s">
        <v>55</v>
      </c>
      <c r="E602" t="s">
        <v>4047</v>
      </c>
      <c r="F602" t="s">
        <v>16</v>
      </c>
      <c r="G602" s="1">
        <v>46229</v>
      </c>
      <c r="H602" s="1">
        <v>46258</v>
      </c>
      <c r="I602" s="2">
        <v>0.25</v>
      </c>
      <c r="J602" s="2">
        <v>0.58333333333333337</v>
      </c>
      <c r="K602" t="s">
        <v>151</v>
      </c>
      <c r="L602">
        <v>0</v>
      </c>
      <c r="M602" t="s">
        <v>4257</v>
      </c>
      <c r="N602" t="s">
        <v>150</v>
      </c>
      <c r="O602" t="s">
        <v>151</v>
      </c>
      <c r="P602" t="s">
        <v>4042</v>
      </c>
      <c r="Q602">
        <v>8</v>
      </c>
    </row>
    <row r="603" spans="1:18" hidden="1" x14ac:dyDescent="0.25">
      <c r="A603" s="1">
        <v>46259</v>
      </c>
      <c r="B603">
        <v>1037630071</v>
      </c>
      <c r="C603" t="s">
        <v>4196</v>
      </c>
      <c r="D603" t="s">
        <v>176</v>
      </c>
      <c r="E603" t="s">
        <v>4040</v>
      </c>
      <c r="F603" t="s">
        <v>4062</v>
      </c>
      <c r="G603" s="1">
        <v>46247</v>
      </c>
      <c r="H603" s="1">
        <v>46265</v>
      </c>
      <c r="I603" s="2">
        <v>0.25</v>
      </c>
      <c r="J603" s="2">
        <v>0.58333333333333337</v>
      </c>
      <c r="K603" t="s">
        <v>200</v>
      </c>
      <c r="L603">
        <v>0</v>
      </c>
      <c r="M603" t="s">
        <v>4257</v>
      </c>
      <c r="N603" t="s">
        <v>199</v>
      </c>
      <c r="O603" t="s">
        <v>200</v>
      </c>
      <c r="P603" t="s">
        <v>4042</v>
      </c>
      <c r="Q603">
        <v>8</v>
      </c>
    </row>
    <row r="604" spans="1:18" hidden="1" x14ac:dyDescent="0.25">
      <c r="A604" s="1">
        <v>46259</v>
      </c>
      <c r="B604">
        <v>1143460426</v>
      </c>
      <c r="C604" t="s">
        <v>4069</v>
      </c>
      <c r="D604" t="s">
        <v>64</v>
      </c>
      <c r="E604" t="s">
        <v>4046</v>
      </c>
      <c r="F604" t="s">
        <v>4050</v>
      </c>
      <c r="G604" s="1">
        <v>46195</v>
      </c>
      <c r="H604" s="1">
        <v>46198</v>
      </c>
      <c r="I604" s="2">
        <v>0.25</v>
      </c>
      <c r="J604" s="2">
        <v>0.58333333333333337</v>
      </c>
      <c r="K604" t="s">
        <v>104</v>
      </c>
      <c r="L604">
        <v>0</v>
      </c>
      <c r="M604" t="s">
        <v>4258</v>
      </c>
      <c r="N604" t="s">
        <v>103</v>
      </c>
      <c r="O604" t="s">
        <v>104</v>
      </c>
      <c r="P604" t="s">
        <v>4042</v>
      </c>
      <c r="Q604">
        <v>8</v>
      </c>
    </row>
    <row r="605" spans="1:18" hidden="1" x14ac:dyDescent="0.25">
      <c r="A605" s="1">
        <v>46259</v>
      </c>
      <c r="B605">
        <v>1235539927</v>
      </c>
      <c r="C605" t="s">
        <v>2591</v>
      </c>
      <c r="D605" t="s">
        <v>132</v>
      </c>
      <c r="E605" t="s">
        <v>4040</v>
      </c>
      <c r="F605" t="s">
        <v>16</v>
      </c>
      <c r="G605" s="1">
        <v>46258</v>
      </c>
      <c r="H605" s="1">
        <v>46260</v>
      </c>
      <c r="I605" s="2">
        <v>0.25</v>
      </c>
      <c r="J605" s="2">
        <v>0.58333333333333337</v>
      </c>
      <c r="K605" t="s">
        <v>168</v>
      </c>
      <c r="L605">
        <v>0</v>
      </c>
      <c r="M605" t="s">
        <v>4257</v>
      </c>
      <c r="N605" t="s">
        <v>167</v>
      </c>
      <c r="O605" t="s">
        <v>168</v>
      </c>
      <c r="P605" t="s">
        <v>4042</v>
      </c>
      <c r="Q605">
        <v>8</v>
      </c>
    </row>
    <row r="606" spans="1:18" hidden="1" x14ac:dyDescent="0.25">
      <c r="A606" s="1">
        <v>46259</v>
      </c>
      <c r="B606">
        <v>43453341</v>
      </c>
      <c r="C606" t="s">
        <v>146</v>
      </c>
      <c r="D606" t="s">
        <v>124</v>
      </c>
      <c r="E606" t="s">
        <v>4045</v>
      </c>
      <c r="F606" t="s">
        <v>16</v>
      </c>
      <c r="G606" s="1">
        <v>46254</v>
      </c>
      <c r="H606" s="1">
        <v>46268</v>
      </c>
      <c r="I606" s="2">
        <v>0.25</v>
      </c>
      <c r="J606" s="2">
        <v>0.5</v>
      </c>
      <c r="K606" t="s">
        <v>241</v>
      </c>
      <c r="L606">
        <v>0</v>
      </c>
      <c r="M606" t="s">
        <v>4257</v>
      </c>
      <c r="N606" t="s">
        <v>240</v>
      </c>
      <c r="O606" t="s">
        <v>241</v>
      </c>
      <c r="P606" t="s">
        <v>4042</v>
      </c>
      <c r="Q606">
        <v>6</v>
      </c>
    </row>
    <row r="607" spans="1:18" hidden="1" x14ac:dyDescent="0.25">
      <c r="A607" s="1">
        <v>46259</v>
      </c>
      <c r="B607">
        <v>1035876080</v>
      </c>
      <c r="C607" t="s">
        <v>123</v>
      </c>
      <c r="D607" t="s">
        <v>124</v>
      </c>
      <c r="E607" t="s">
        <v>4045</v>
      </c>
      <c r="F607" t="s">
        <v>158</v>
      </c>
      <c r="G607" s="1">
        <v>46254</v>
      </c>
      <c r="H607" s="1"/>
      <c r="I607" s="2">
        <v>0.25</v>
      </c>
      <c r="J607" s="2">
        <v>0.54166666666666663</v>
      </c>
      <c r="K607" t="s">
        <v>1428</v>
      </c>
      <c r="L607">
        <v>0</v>
      </c>
      <c r="M607" t="s">
        <v>4260</v>
      </c>
      <c r="N607" t="s">
        <v>1427</v>
      </c>
      <c r="O607" t="s">
        <v>1428</v>
      </c>
      <c r="P607" t="s">
        <v>4042</v>
      </c>
      <c r="Q607">
        <v>7</v>
      </c>
    </row>
    <row r="608" spans="1:18" hidden="1" x14ac:dyDescent="0.25">
      <c r="A608" s="1">
        <v>46259</v>
      </c>
      <c r="B608">
        <v>1001003778</v>
      </c>
      <c r="C608" t="s">
        <v>1959</v>
      </c>
      <c r="D608" t="s">
        <v>492</v>
      </c>
      <c r="E608" t="s">
        <v>4045</v>
      </c>
      <c r="F608" t="s">
        <v>16</v>
      </c>
      <c r="G608" s="1">
        <v>46258</v>
      </c>
      <c r="H608" s="1">
        <v>46259</v>
      </c>
      <c r="I608" s="2">
        <v>0.25</v>
      </c>
      <c r="J608" s="2">
        <v>0.54166666666666663</v>
      </c>
      <c r="K608" t="s">
        <v>214</v>
      </c>
      <c r="L608">
        <v>0</v>
      </c>
      <c r="M608" t="s">
        <v>4257</v>
      </c>
      <c r="N608" t="s">
        <v>213</v>
      </c>
      <c r="O608" t="s">
        <v>214</v>
      </c>
      <c r="P608" t="s">
        <v>4042</v>
      </c>
      <c r="Q608">
        <v>7</v>
      </c>
    </row>
    <row r="609" spans="1:18" hidden="1" x14ac:dyDescent="0.25">
      <c r="A609" s="1">
        <v>46259</v>
      </c>
      <c r="B609">
        <v>1067959066</v>
      </c>
      <c r="C609" t="s">
        <v>3479</v>
      </c>
      <c r="D609" t="s">
        <v>344</v>
      </c>
      <c r="E609" t="s">
        <v>4056</v>
      </c>
      <c r="F609" t="s">
        <v>16</v>
      </c>
      <c r="G609" s="1">
        <v>46258</v>
      </c>
      <c r="H609" s="1">
        <v>46259</v>
      </c>
      <c r="I609" s="2">
        <v>0.25</v>
      </c>
      <c r="J609" s="2">
        <v>0.58333333333333337</v>
      </c>
      <c r="K609" t="s">
        <v>3663</v>
      </c>
      <c r="L609">
        <v>0</v>
      </c>
      <c r="M609" t="s">
        <v>4255</v>
      </c>
      <c r="N609" t="s">
        <v>3662</v>
      </c>
      <c r="O609" t="s">
        <v>3663</v>
      </c>
      <c r="P609" t="s">
        <v>4042</v>
      </c>
      <c r="Q609">
        <v>8</v>
      </c>
    </row>
    <row r="610" spans="1:18" hidden="1" x14ac:dyDescent="0.25">
      <c r="A610" s="1">
        <v>46259</v>
      </c>
      <c r="B610">
        <v>1045718883</v>
      </c>
      <c r="C610" t="s">
        <v>34</v>
      </c>
      <c r="D610" t="s">
        <v>15</v>
      </c>
      <c r="E610" t="s">
        <v>4046</v>
      </c>
      <c r="F610" t="s">
        <v>36</v>
      </c>
      <c r="G610" s="1">
        <v>46244</v>
      </c>
      <c r="H610" s="1">
        <v>46393</v>
      </c>
      <c r="I610" s="2">
        <v>0.54166666666666663</v>
      </c>
      <c r="J610" s="2">
        <v>0.875</v>
      </c>
      <c r="K610" t="s">
        <v>18</v>
      </c>
      <c r="L610">
        <v>2</v>
      </c>
      <c r="M610" t="s">
        <v>4258</v>
      </c>
      <c r="N610" t="s">
        <v>17</v>
      </c>
      <c r="O610" t="s">
        <v>18</v>
      </c>
      <c r="P610" t="s">
        <v>21</v>
      </c>
      <c r="Q610">
        <v>8</v>
      </c>
    </row>
    <row r="611" spans="1:18" hidden="1" x14ac:dyDescent="0.25">
      <c r="A611" s="1">
        <v>46259</v>
      </c>
      <c r="B611">
        <v>1037638426</v>
      </c>
      <c r="C611" t="s">
        <v>31</v>
      </c>
      <c r="D611" t="s">
        <v>28</v>
      </c>
      <c r="E611" t="s">
        <v>4046</v>
      </c>
      <c r="F611" t="s">
        <v>24</v>
      </c>
      <c r="G611" s="1">
        <v>46249</v>
      </c>
      <c r="H611" s="1">
        <v>46262</v>
      </c>
      <c r="I611" s="2">
        <v>0.54166666666666663</v>
      </c>
      <c r="J611" s="2">
        <v>0.875</v>
      </c>
      <c r="K611" t="s">
        <v>301</v>
      </c>
      <c r="L611">
        <v>2</v>
      </c>
      <c r="M611" t="s">
        <v>4258</v>
      </c>
      <c r="N611" t="s">
        <v>300</v>
      </c>
      <c r="O611" t="s">
        <v>301</v>
      </c>
      <c r="P611" t="s">
        <v>21</v>
      </c>
      <c r="Q611">
        <v>8</v>
      </c>
    </row>
    <row r="612" spans="1:18" hidden="1" x14ac:dyDescent="0.25">
      <c r="A612" s="1">
        <v>46259</v>
      </c>
      <c r="B612">
        <v>1152709914</v>
      </c>
      <c r="C612" t="s">
        <v>3437</v>
      </c>
      <c r="D612" t="s">
        <v>139</v>
      </c>
      <c r="E612" t="s">
        <v>4040</v>
      </c>
      <c r="F612" t="s">
        <v>16</v>
      </c>
      <c r="G612" s="1">
        <v>46258</v>
      </c>
      <c r="H612" s="1">
        <v>46259</v>
      </c>
      <c r="I612" s="2">
        <v>0.58333333333333337</v>
      </c>
      <c r="J612" s="2">
        <v>0.875</v>
      </c>
      <c r="K612" t="s">
        <v>120</v>
      </c>
      <c r="L612">
        <v>2</v>
      </c>
      <c r="M612" t="s">
        <v>4257</v>
      </c>
      <c r="N612" t="s">
        <v>119</v>
      </c>
      <c r="O612" t="s">
        <v>120</v>
      </c>
      <c r="P612" t="s">
        <v>21</v>
      </c>
      <c r="Q612">
        <v>7</v>
      </c>
    </row>
    <row r="613" spans="1:18" hidden="1" x14ac:dyDescent="0.25">
      <c r="A613" s="1">
        <v>46259</v>
      </c>
      <c r="B613">
        <v>1037645530</v>
      </c>
      <c r="C613" t="s">
        <v>1736</v>
      </c>
      <c r="D613" t="s">
        <v>82</v>
      </c>
      <c r="E613" t="s">
        <v>4045</v>
      </c>
      <c r="F613" t="s">
        <v>24</v>
      </c>
      <c r="G613" s="1">
        <v>46259</v>
      </c>
      <c r="H613" s="1">
        <v>46259</v>
      </c>
      <c r="I613" s="2">
        <v>0.25</v>
      </c>
      <c r="J613" s="2">
        <v>0.58333333333333337</v>
      </c>
      <c r="K613" t="s">
        <v>74</v>
      </c>
      <c r="L613">
        <v>0</v>
      </c>
      <c r="M613" t="s">
        <v>4257</v>
      </c>
      <c r="N613" t="s">
        <v>73</v>
      </c>
      <c r="O613" t="s">
        <v>74</v>
      </c>
      <c r="P613" t="s">
        <v>4042</v>
      </c>
      <c r="Q613">
        <v>8</v>
      </c>
    </row>
    <row r="614" spans="1:18" hidden="1" x14ac:dyDescent="0.25">
      <c r="A614" s="1">
        <v>46259</v>
      </c>
      <c r="B614">
        <v>1037661959</v>
      </c>
      <c r="C614" t="s">
        <v>4080</v>
      </c>
      <c r="D614" t="s">
        <v>482</v>
      </c>
      <c r="E614" t="s">
        <v>4040</v>
      </c>
      <c r="F614" t="s">
        <v>4073</v>
      </c>
      <c r="G614" s="1">
        <v>46259</v>
      </c>
      <c r="H614" s="1">
        <v>46261</v>
      </c>
      <c r="I614" s="2">
        <v>0.54166666666666663</v>
      </c>
      <c r="J614" s="2">
        <v>0.875</v>
      </c>
      <c r="K614" t="s">
        <v>232</v>
      </c>
      <c r="L614">
        <v>2</v>
      </c>
      <c r="M614" t="s">
        <v>4257</v>
      </c>
      <c r="N614" t="s">
        <v>231</v>
      </c>
      <c r="O614" t="s">
        <v>232</v>
      </c>
      <c r="P614" t="s">
        <v>21</v>
      </c>
      <c r="Q614">
        <v>8</v>
      </c>
      <c r="R614" t="s">
        <v>4261</v>
      </c>
    </row>
    <row r="615" spans="1:18" hidden="1" x14ac:dyDescent="0.25">
      <c r="A615" s="1">
        <v>46259</v>
      </c>
      <c r="B615">
        <v>1036965348</v>
      </c>
      <c r="C615" t="s">
        <v>229</v>
      </c>
      <c r="D615" t="s">
        <v>4078</v>
      </c>
      <c r="E615" t="s">
        <v>4046</v>
      </c>
      <c r="F615" t="s">
        <v>4079</v>
      </c>
      <c r="G615" s="1">
        <v>46259</v>
      </c>
      <c r="H615" s="1">
        <v>46259</v>
      </c>
      <c r="I615" s="2">
        <v>0.25</v>
      </c>
      <c r="J615" s="2">
        <v>0.54166666666666663</v>
      </c>
      <c r="K615" t="s">
        <v>229</v>
      </c>
      <c r="L615">
        <v>0</v>
      </c>
      <c r="M615" t="s">
        <v>4258</v>
      </c>
      <c r="N615" t="s">
        <v>228</v>
      </c>
      <c r="O615" t="s">
        <v>229</v>
      </c>
      <c r="P615" t="s">
        <v>4042</v>
      </c>
      <c r="Q615">
        <v>7</v>
      </c>
    </row>
    <row r="616" spans="1:18" hidden="1" x14ac:dyDescent="0.25">
      <c r="A616" s="1">
        <v>46259</v>
      </c>
      <c r="B616">
        <v>1003305205</v>
      </c>
      <c r="C616" t="s">
        <v>1398</v>
      </c>
      <c r="D616" t="s">
        <v>162</v>
      </c>
      <c r="E616" t="s">
        <v>4056</v>
      </c>
      <c r="F616" t="s">
        <v>16</v>
      </c>
      <c r="G616" s="1">
        <v>46258</v>
      </c>
      <c r="H616" s="1">
        <v>46260</v>
      </c>
      <c r="I616" s="2">
        <v>0.25</v>
      </c>
      <c r="J616" s="2">
        <v>0.54166666666666663</v>
      </c>
      <c r="K616" t="s">
        <v>4162</v>
      </c>
      <c r="L616">
        <v>0</v>
      </c>
      <c r="M616" t="s">
        <v>4255</v>
      </c>
      <c r="N616" t="s">
        <v>285</v>
      </c>
      <c r="O616" t="s">
        <v>286</v>
      </c>
      <c r="P616" t="s">
        <v>4042</v>
      </c>
      <c r="Q616">
        <v>7</v>
      </c>
    </row>
    <row r="617" spans="1:18" hidden="1" x14ac:dyDescent="0.25">
      <c r="A617" s="1">
        <v>46259</v>
      </c>
      <c r="B617">
        <v>1143388920</v>
      </c>
      <c r="C617" t="s">
        <v>304</v>
      </c>
      <c r="D617" t="s">
        <v>82</v>
      </c>
      <c r="E617" t="s">
        <v>4045</v>
      </c>
      <c r="F617" t="s">
        <v>4168</v>
      </c>
      <c r="G617" s="1">
        <v>46259</v>
      </c>
      <c r="H617" s="1">
        <v>46259</v>
      </c>
      <c r="I617" s="2">
        <v>0.33333333333333331</v>
      </c>
      <c r="J617" s="2">
        <v>0.66666666666666663</v>
      </c>
      <c r="K617" t="s">
        <v>304</v>
      </c>
      <c r="L617">
        <v>0</v>
      </c>
      <c r="M617" t="s">
        <v>4257</v>
      </c>
      <c r="N617" t="s">
        <v>303</v>
      </c>
      <c r="O617" t="s">
        <v>304</v>
      </c>
      <c r="P617" t="s">
        <v>4042</v>
      </c>
      <c r="Q617">
        <v>8</v>
      </c>
    </row>
    <row r="618" spans="1:18" hidden="1" x14ac:dyDescent="0.25">
      <c r="A618" s="1">
        <v>46259</v>
      </c>
      <c r="B618">
        <v>1143375080</v>
      </c>
      <c r="C618" t="s">
        <v>157</v>
      </c>
      <c r="D618" t="s">
        <v>44</v>
      </c>
      <c r="E618" t="s">
        <v>4045</v>
      </c>
      <c r="F618" t="s">
        <v>16</v>
      </c>
      <c r="G618" s="1">
        <v>46258</v>
      </c>
      <c r="H618" s="1">
        <v>46287</v>
      </c>
      <c r="I618" s="2">
        <v>0.54166666666666663</v>
      </c>
      <c r="J618" s="2">
        <v>0.875</v>
      </c>
      <c r="K618" t="s">
        <v>197</v>
      </c>
      <c r="L618">
        <v>2</v>
      </c>
      <c r="M618" t="s">
        <v>4257</v>
      </c>
      <c r="N618" t="s">
        <v>196</v>
      </c>
      <c r="O618" t="s">
        <v>197</v>
      </c>
      <c r="P618" t="s">
        <v>21</v>
      </c>
      <c r="Q618">
        <v>8</v>
      </c>
    </row>
    <row r="619" spans="1:18" hidden="1" x14ac:dyDescent="0.25">
      <c r="A619" s="1">
        <v>46259</v>
      </c>
      <c r="B619">
        <v>1116283658</v>
      </c>
      <c r="C619" t="s">
        <v>283</v>
      </c>
      <c r="D619" t="s">
        <v>4078</v>
      </c>
      <c r="E619" t="s">
        <v>4040</v>
      </c>
      <c r="F619" t="s">
        <v>4079</v>
      </c>
      <c r="G619" s="1">
        <v>46259</v>
      </c>
      <c r="H619" s="1">
        <v>46259</v>
      </c>
      <c r="I619" s="2">
        <v>0.25</v>
      </c>
      <c r="J619" s="2">
        <v>0.58333333333333337</v>
      </c>
      <c r="K619" t="s">
        <v>283</v>
      </c>
      <c r="L619">
        <v>0</v>
      </c>
      <c r="M619" t="s">
        <v>4260</v>
      </c>
      <c r="N619" t="s">
        <v>282</v>
      </c>
      <c r="O619" t="s">
        <v>283</v>
      </c>
      <c r="P619" t="s">
        <v>4042</v>
      </c>
      <c r="Q619">
        <v>8</v>
      </c>
    </row>
    <row r="620" spans="1:18" hidden="1" x14ac:dyDescent="0.25">
      <c r="A620" s="1">
        <v>46259</v>
      </c>
      <c r="B620">
        <v>1143373273</v>
      </c>
      <c r="C620" t="s">
        <v>2037</v>
      </c>
      <c r="D620" t="s">
        <v>272</v>
      </c>
      <c r="E620" t="s">
        <v>4056</v>
      </c>
      <c r="F620" t="s">
        <v>4074</v>
      </c>
      <c r="G620" s="1">
        <v>46259</v>
      </c>
      <c r="H620" s="1">
        <v>46266</v>
      </c>
      <c r="I620" s="2">
        <v>0.58333333333333337</v>
      </c>
      <c r="J620" s="2">
        <v>0.875</v>
      </c>
      <c r="K620" t="s">
        <v>4176</v>
      </c>
      <c r="L620">
        <v>2</v>
      </c>
      <c r="M620" t="s">
        <v>4255</v>
      </c>
      <c r="N620" t="s">
        <v>163</v>
      </c>
      <c r="O620" t="s">
        <v>164</v>
      </c>
      <c r="P620" t="s">
        <v>21</v>
      </c>
      <c r="Q620">
        <v>7</v>
      </c>
      <c r="R620" t="s">
        <v>4262</v>
      </c>
    </row>
    <row r="621" spans="1:18" hidden="1" x14ac:dyDescent="0.25">
      <c r="A621" s="1">
        <v>46259</v>
      </c>
      <c r="B621">
        <v>1143880690</v>
      </c>
      <c r="C621" t="s">
        <v>4238</v>
      </c>
      <c r="D621" t="s">
        <v>4078</v>
      </c>
      <c r="E621" t="s">
        <v>4045</v>
      </c>
      <c r="F621" t="s">
        <v>4074</v>
      </c>
      <c r="G621" s="1">
        <v>46257</v>
      </c>
      <c r="H621" s="1"/>
      <c r="I621" s="2">
        <v>0.58333333333333337</v>
      </c>
      <c r="J621" s="2">
        <v>0.875</v>
      </c>
      <c r="K621" t="s">
        <v>307</v>
      </c>
      <c r="L621">
        <v>2</v>
      </c>
      <c r="M621" t="s">
        <v>4257</v>
      </c>
      <c r="N621" t="s">
        <v>306</v>
      </c>
      <c r="O621" t="s">
        <v>307</v>
      </c>
      <c r="P621" t="s">
        <v>21</v>
      </c>
      <c r="Q621">
        <v>7</v>
      </c>
    </row>
    <row r="622" spans="1:18" hidden="1" x14ac:dyDescent="0.25">
      <c r="A622" s="1">
        <v>46259</v>
      </c>
      <c r="B622">
        <v>1095832090</v>
      </c>
      <c r="C622" t="s">
        <v>1441</v>
      </c>
      <c r="D622" t="s">
        <v>55</v>
      </c>
      <c r="E622" t="s">
        <v>4047</v>
      </c>
      <c r="F622" t="s">
        <v>16</v>
      </c>
      <c r="G622" s="1">
        <v>46257</v>
      </c>
      <c r="H622" s="1">
        <v>46259</v>
      </c>
      <c r="I622" s="2"/>
      <c r="J622" s="2"/>
      <c r="K622" t="s">
        <v>341</v>
      </c>
      <c r="L622">
        <v>0</v>
      </c>
      <c r="P622" t="s">
        <v>4042</v>
      </c>
      <c r="Q622">
        <v>0</v>
      </c>
    </row>
    <row r="623" spans="1:18" hidden="1" x14ac:dyDescent="0.25">
      <c r="A623" s="1">
        <v>46259</v>
      </c>
      <c r="B623">
        <v>1140902203</v>
      </c>
      <c r="C623" t="s">
        <v>648</v>
      </c>
      <c r="D623" t="s">
        <v>272</v>
      </c>
      <c r="E623" t="s">
        <v>4056</v>
      </c>
      <c r="F623" t="s">
        <v>4074</v>
      </c>
      <c r="G623" s="1"/>
      <c r="H623" s="1"/>
      <c r="I623" s="2">
        <v>0.58333333333333337</v>
      </c>
      <c r="J623" s="2">
        <v>0.875</v>
      </c>
      <c r="K623" t="s">
        <v>4310</v>
      </c>
      <c r="L623">
        <v>2</v>
      </c>
      <c r="M623" t="s">
        <v>4255</v>
      </c>
      <c r="N623" t="s">
        <v>267</v>
      </c>
      <c r="O623" t="s">
        <v>268</v>
      </c>
      <c r="P623" t="s">
        <v>21</v>
      </c>
      <c r="Q623">
        <v>7</v>
      </c>
      <c r="R623" t="s">
        <v>4262</v>
      </c>
    </row>
    <row r="624" spans="1:18" hidden="1" x14ac:dyDescent="0.25">
      <c r="A624" s="1">
        <v>46259</v>
      </c>
      <c r="B624">
        <v>1036624789</v>
      </c>
      <c r="C624" t="s">
        <v>223</v>
      </c>
      <c r="D624" t="s">
        <v>4078</v>
      </c>
      <c r="E624" t="s">
        <v>4046</v>
      </c>
      <c r="F624" t="s">
        <v>4074</v>
      </c>
      <c r="G624" s="1">
        <v>46259</v>
      </c>
      <c r="H624" s="1"/>
      <c r="I624" s="2">
        <v>0.25</v>
      </c>
      <c r="J624" s="2">
        <v>0.54166666666666663</v>
      </c>
      <c r="K624" t="s">
        <v>223</v>
      </c>
      <c r="L624">
        <v>0</v>
      </c>
      <c r="M624" t="s">
        <v>4258</v>
      </c>
      <c r="N624" t="s">
        <v>222</v>
      </c>
      <c r="O624" t="s">
        <v>223</v>
      </c>
      <c r="P624" t="s">
        <v>4042</v>
      </c>
      <c r="Q624">
        <v>7</v>
      </c>
    </row>
    <row r="625" spans="1:18" hidden="1" x14ac:dyDescent="0.25">
      <c r="A625" s="1">
        <v>46259</v>
      </c>
      <c r="B625">
        <v>1017277147</v>
      </c>
      <c r="C625" t="s">
        <v>214</v>
      </c>
      <c r="D625" t="s">
        <v>4078</v>
      </c>
      <c r="E625" t="s">
        <v>4045</v>
      </c>
      <c r="F625" t="s">
        <v>4099</v>
      </c>
      <c r="G625" s="1">
        <v>46259</v>
      </c>
      <c r="H625" s="1">
        <v>46259</v>
      </c>
      <c r="I625" s="2">
        <v>0.54166666666666663</v>
      </c>
      <c r="J625" s="2">
        <v>0.58333333333333337</v>
      </c>
      <c r="K625" t="s">
        <v>339</v>
      </c>
      <c r="L625">
        <v>0</v>
      </c>
      <c r="M625" t="s">
        <v>4257</v>
      </c>
      <c r="N625" t="s">
        <v>213</v>
      </c>
      <c r="O625" t="s">
        <v>214</v>
      </c>
      <c r="P625" t="s">
        <v>4042</v>
      </c>
      <c r="Q625">
        <v>1</v>
      </c>
    </row>
    <row r="626" spans="1:18" hidden="1" x14ac:dyDescent="0.25">
      <c r="A626" s="1">
        <v>46259</v>
      </c>
      <c r="B626">
        <v>1001140238</v>
      </c>
      <c r="C626" t="s">
        <v>74</v>
      </c>
      <c r="D626" t="s">
        <v>4078</v>
      </c>
      <c r="E626" t="s">
        <v>4045</v>
      </c>
      <c r="F626" t="s">
        <v>4099</v>
      </c>
      <c r="G626" s="1">
        <v>46259</v>
      </c>
      <c r="H626" s="1">
        <v>46259</v>
      </c>
      <c r="I626" s="2">
        <v>0.58333333333333337</v>
      </c>
      <c r="J626" s="2">
        <v>0.625</v>
      </c>
      <c r="K626" t="s">
        <v>339</v>
      </c>
      <c r="L626">
        <v>0</v>
      </c>
      <c r="M626" t="s">
        <v>4257</v>
      </c>
      <c r="N626" t="s">
        <v>73</v>
      </c>
      <c r="O626" t="s">
        <v>74</v>
      </c>
      <c r="P626" t="s">
        <v>4042</v>
      </c>
      <c r="Q626">
        <v>1</v>
      </c>
    </row>
    <row r="627" spans="1:18" hidden="1" x14ac:dyDescent="0.25">
      <c r="A627" s="1">
        <v>46260</v>
      </c>
      <c r="B627">
        <v>1032488873</v>
      </c>
      <c r="C627" t="s">
        <v>4240</v>
      </c>
      <c r="D627" t="s">
        <v>55</v>
      </c>
      <c r="E627" t="s">
        <v>4047</v>
      </c>
      <c r="F627" t="s">
        <v>16</v>
      </c>
      <c r="G627" s="1">
        <v>46259</v>
      </c>
      <c r="H627" s="1">
        <v>46263</v>
      </c>
      <c r="I627" s="2">
        <v>0.25</v>
      </c>
      <c r="J627" s="2">
        <v>0.54166666666666663</v>
      </c>
      <c r="K627" t="s">
        <v>74</v>
      </c>
      <c r="L627">
        <v>0</v>
      </c>
      <c r="M627" t="s">
        <v>4257</v>
      </c>
      <c r="N627" t="s">
        <v>73</v>
      </c>
      <c r="O627" t="s">
        <v>74</v>
      </c>
      <c r="P627" t="s">
        <v>4042</v>
      </c>
      <c r="Q627">
        <v>7</v>
      </c>
    </row>
    <row r="628" spans="1:18" hidden="1" x14ac:dyDescent="0.25">
      <c r="A628" s="1">
        <v>46260</v>
      </c>
      <c r="B628">
        <v>1143880690</v>
      </c>
      <c r="C628" t="s">
        <v>4238</v>
      </c>
      <c r="D628" t="s">
        <v>4078</v>
      </c>
      <c r="E628" t="s">
        <v>4045</v>
      </c>
      <c r="F628" t="s">
        <v>158</v>
      </c>
      <c r="G628" s="1">
        <v>46258</v>
      </c>
      <c r="H628" s="1"/>
      <c r="I628" s="2">
        <v>0.25</v>
      </c>
      <c r="J628" s="2">
        <v>0.54166666666666663</v>
      </c>
      <c r="K628" t="s">
        <v>307</v>
      </c>
      <c r="L628">
        <v>0</v>
      </c>
      <c r="M628" t="s">
        <v>4257</v>
      </c>
      <c r="N628" t="s">
        <v>306</v>
      </c>
      <c r="O628" t="s">
        <v>307</v>
      </c>
      <c r="P628" t="s">
        <v>4042</v>
      </c>
      <c r="Q628">
        <v>7</v>
      </c>
    </row>
    <row r="629" spans="1:18" hidden="1" x14ac:dyDescent="0.25">
      <c r="A629" s="1">
        <v>46260</v>
      </c>
      <c r="B629">
        <v>1096223065</v>
      </c>
      <c r="C629" t="s">
        <v>3428</v>
      </c>
      <c r="D629" t="s">
        <v>59</v>
      </c>
      <c r="E629" t="s">
        <v>4047</v>
      </c>
      <c r="F629" t="s">
        <v>24</v>
      </c>
      <c r="G629" s="1">
        <v>46253</v>
      </c>
      <c r="H629" s="1">
        <v>46265</v>
      </c>
      <c r="I629" s="2">
        <v>0.25</v>
      </c>
      <c r="J629" s="2">
        <v>0.54166666666666663</v>
      </c>
      <c r="K629" t="s">
        <v>86</v>
      </c>
      <c r="L629">
        <v>0</v>
      </c>
      <c r="M629" t="s">
        <v>4259</v>
      </c>
      <c r="N629" t="s">
        <v>85</v>
      </c>
      <c r="O629" t="s">
        <v>86</v>
      </c>
      <c r="P629" t="s">
        <v>4042</v>
      </c>
      <c r="Q629">
        <v>7</v>
      </c>
    </row>
    <row r="630" spans="1:18" hidden="1" x14ac:dyDescent="0.25">
      <c r="A630" s="1">
        <v>46260</v>
      </c>
      <c r="B630">
        <v>1017236556</v>
      </c>
      <c r="C630" t="s">
        <v>3891</v>
      </c>
      <c r="D630" t="s">
        <v>51</v>
      </c>
      <c r="E630" t="s">
        <v>4047</v>
      </c>
      <c r="F630" t="s">
        <v>4147</v>
      </c>
      <c r="G630" s="1">
        <v>46260</v>
      </c>
      <c r="H630" s="1">
        <v>46260</v>
      </c>
      <c r="I630" s="2">
        <v>0.25</v>
      </c>
      <c r="J630" s="2">
        <v>0.58333333333333337</v>
      </c>
      <c r="K630" t="s">
        <v>1428</v>
      </c>
      <c r="L630">
        <v>0</v>
      </c>
      <c r="M630" t="s">
        <v>4260</v>
      </c>
      <c r="N630" t="s">
        <v>1427</v>
      </c>
      <c r="O630" t="s">
        <v>1428</v>
      </c>
      <c r="P630" t="s">
        <v>4042</v>
      </c>
      <c r="Q630">
        <v>8</v>
      </c>
    </row>
    <row r="631" spans="1:18" hidden="1" x14ac:dyDescent="0.25">
      <c r="A631" s="1">
        <v>46260</v>
      </c>
      <c r="B631">
        <v>1043006106</v>
      </c>
      <c r="C631" t="s">
        <v>63</v>
      </c>
      <c r="D631" t="s">
        <v>64</v>
      </c>
      <c r="E631" t="s">
        <v>4046</v>
      </c>
      <c r="F631" t="s">
        <v>16</v>
      </c>
      <c r="G631" s="1">
        <v>46249</v>
      </c>
      <c r="H631" s="1">
        <v>46278</v>
      </c>
      <c r="I631" s="2">
        <v>0.25</v>
      </c>
      <c r="J631" s="2">
        <v>0.58333333333333337</v>
      </c>
      <c r="K631" t="s">
        <v>200</v>
      </c>
      <c r="L631">
        <v>0</v>
      </c>
      <c r="M631" t="s">
        <v>4257</v>
      </c>
      <c r="N631" t="s">
        <v>199</v>
      </c>
      <c r="O631" t="s">
        <v>200</v>
      </c>
      <c r="P631" t="s">
        <v>4042</v>
      </c>
      <c r="Q631">
        <v>8</v>
      </c>
    </row>
    <row r="632" spans="1:18" hidden="1" x14ac:dyDescent="0.25">
      <c r="A632" s="1">
        <v>46260</v>
      </c>
      <c r="B632">
        <v>1040755197</v>
      </c>
      <c r="C632" t="s">
        <v>171</v>
      </c>
      <c r="D632" t="s">
        <v>172</v>
      </c>
      <c r="E632" t="s">
        <v>4046</v>
      </c>
      <c r="F632" t="s">
        <v>16</v>
      </c>
      <c r="G632" s="1">
        <v>46252</v>
      </c>
      <c r="H632" s="1">
        <v>46262</v>
      </c>
      <c r="I632" s="2">
        <v>0.54166666666666663</v>
      </c>
      <c r="J632" s="2">
        <v>0.875</v>
      </c>
      <c r="K632" t="s">
        <v>237</v>
      </c>
      <c r="L632">
        <v>2</v>
      </c>
      <c r="M632" t="s">
        <v>4255</v>
      </c>
      <c r="N632" t="s">
        <v>236</v>
      </c>
      <c r="O632" t="s">
        <v>237</v>
      </c>
      <c r="P632" t="s">
        <v>21</v>
      </c>
      <c r="Q632">
        <v>8</v>
      </c>
      <c r="R632" t="s">
        <v>4256</v>
      </c>
    </row>
    <row r="633" spans="1:18" hidden="1" x14ac:dyDescent="0.25">
      <c r="A633" s="1">
        <v>46260</v>
      </c>
      <c r="B633">
        <v>1152446353</v>
      </c>
      <c r="C633" t="s">
        <v>205</v>
      </c>
      <c r="D633" t="s">
        <v>51</v>
      </c>
      <c r="E633" t="s">
        <v>4047</v>
      </c>
      <c r="F633" t="s">
        <v>92</v>
      </c>
      <c r="G633" s="1">
        <v>46236</v>
      </c>
      <c r="H633" s="1">
        <v>46262</v>
      </c>
      <c r="I633" s="2">
        <v>0.25</v>
      </c>
      <c r="J633" s="2">
        <v>0.54166666666666663</v>
      </c>
      <c r="K633" t="s">
        <v>252</v>
      </c>
      <c r="L633">
        <v>0</v>
      </c>
      <c r="M633" t="s">
        <v>4259</v>
      </c>
      <c r="N633" t="s">
        <v>251</v>
      </c>
      <c r="O633" t="s">
        <v>252</v>
      </c>
      <c r="P633" t="s">
        <v>4042</v>
      </c>
      <c r="Q633">
        <v>7</v>
      </c>
    </row>
    <row r="634" spans="1:18" hidden="1" x14ac:dyDescent="0.25">
      <c r="A634" s="1">
        <v>46260</v>
      </c>
      <c r="B634">
        <v>1015483595</v>
      </c>
      <c r="C634" t="s">
        <v>221</v>
      </c>
      <c r="D634" t="s">
        <v>15</v>
      </c>
      <c r="E634" t="s">
        <v>4046</v>
      </c>
      <c r="F634" t="s">
        <v>24</v>
      </c>
      <c r="G634" s="1">
        <v>46244</v>
      </c>
      <c r="H634" s="1">
        <v>46265</v>
      </c>
      <c r="I634" s="2">
        <v>0.25</v>
      </c>
      <c r="J634" s="2">
        <v>0.54166666666666663</v>
      </c>
      <c r="K634" t="s">
        <v>104</v>
      </c>
      <c r="L634">
        <v>0</v>
      </c>
      <c r="M634" t="s">
        <v>4258</v>
      </c>
      <c r="N634" t="s">
        <v>103</v>
      </c>
      <c r="O634" t="s">
        <v>104</v>
      </c>
      <c r="P634" t="s">
        <v>4042</v>
      </c>
      <c r="Q634">
        <v>7</v>
      </c>
    </row>
    <row r="635" spans="1:18" hidden="1" x14ac:dyDescent="0.25">
      <c r="A635" s="1">
        <v>46260</v>
      </c>
      <c r="B635">
        <v>1001851670</v>
      </c>
      <c r="C635" t="s">
        <v>50</v>
      </c>
      <c r="D635" t="s">
        <v>51</v>
      </c>
      <c r="E635" t="s">
        <v>4047</v>
      </c>
      <c r="F635" t="s">
        <v>36</v>
      </c>
      <c r="G635" s="1">
        <v>46241</v>
      </c>
      <c r="H635" s="1">
        <v>46366</v>
      </c>
      <c r="I635" s="2">
        <v>0.25</v>
      </c>
      <c r="J635" s="2">
        <v>0.54166666666666663</v>
      </c>
      <c r="K635" t="s">
        <v>262</v>
      </c>
      <c r="L635">
        <v>0</v>
      </c>
      <c r="M635" t="s">
        <v>4259</v>
      </c>
      <c r="N635" t="s">
        <v>261</v>
      </c>
      <c r="O635" t="s">
        <v>262</v>
      </c>
      <c r="P635" t="s">
        <v>4042</v>
      </c>
      <c r="Q635">
        <v>7</v>
      </c>
    </row>
    <row r="636" spans="1:18" hidden="1" x14ac:dyDescent="0.25">
      <c r="A636" s="1">
        <v>46260</v>
      </c>
      <c r="B636">
        <v>1000415206</v>
      </c>
      <c r="C636" t="s">
        <v>325</v>
      </c>
      <c r="D636" t="s">
        <v>82</v>
      </c>
      <c r="E636" t="s">
        <v>4045</v>
      </c>
      <c r="F636" t="s">
        <v>326</v>
      </c>
      <c r="G636" s="1">
        <v>46258</v>
      </c>
      <c r="H636" s="1">
        <v>46262</v>
      </c>
      <c r="I636" s="2">
        <v>0.54166666666666663</v>
      </c>
      <c r="J636" s="2">
        <v>0.83333333333333337</v>
      </c>
      <c r="K636" t="s">
        <v>304</v>
      </c>
      <c r="L636">
        <v>1</v>
      </c>
      <c r="M636" t="s">
        <v>4257</v>
      </c>
      <c r="N636" t="s">
        <v>303</v>
      </c>
      <c r="O636" t="s">
        <v>304</v>
      </c>
      <c r="P636" t="s">
        <v>21</v>
      </c>
      <c r="Q636">
        <v>7</v>
      </c>
    </row>
    <row r="637" spans="1:18" hidden="1" x14ac:dyDescent="0.25">
      <c r="A637" s="1">
        <v>46260</v>
      </c>
      <c r="B637">
        <v>42141273</v>
      </c>
      <c r="C637" t="s">
        <v>271</v>
      </c>
      <c r="D637" t="s">
        <v>272</v>
      </c>
      <c r="E637" t="s">
        <v>4056</v>
      </c>
      <c r="F637" t="s">
        <v>4065</v>
      </c>
      <c r="G637" s="1">
        <v>46238</v>
      </c>
      <c r="H637" s="1">
        <v>46295</v>
      </c>
      <c r="I637" s="2">
        <v>0.25</v>
      </c>
      <c r="J637" s="2">
        <v>0.5</v>
      </c>
      <c r="K637" t="s">
        <v>185</v>
      </c>
      <c r="L637">
        <v>0</v>
      </c>
      <c r="M637" t="s">
        <v>4255</v>
      </c>
      <c r="N637" t="s">
        <v>184</v>
      </c>
      <c r="O637" t="s">
        <v>185</v>
      </c>
      <c r="P637" t="s">
        <v>4042</v>
      </c>
      <c r="Q637">
        <v>6</v>
      </c>
      <c r="R637" t="s">
        <v>4262</v>
      </c>
    </row>
    <row r="638" spans="1:18" hidden="1" x14ac:dyDescent="0.25">
      <c r="A638" s="1">
        <v>46260</v>
      </c>
      <c r="B638">
        <v>1000294973</v>
      </c>
      <c r="C638" t="s">
        <v>1266</v>
      </c>
      <c r="D638" t="s">
        <v>15</v>
      </c>
      <c r="E638" t="s">
        <v>4046</v>
      </c>
      <c r="F638" t="s">
        <v>4123</v>
      </c>
      <c r="G638" s="1">
        <v>46260</v>
      </c>
      <c r="H638" s="1">
        <v>46262</v>
      </c>
      <c r="I638" s="2">
        <v>0.25</v>
      </c>
      <c r="J638" s="2">
        <v>0.54166666666666663</v>
      </c>
      <c r="K638" t="s">
        <v>18</v>
      </c>
      <c r="L638">
        <v>0</v>
      </c>
      <c r="M638" t="s">
        <v>4258</v>
      </c>
      <c r="N638" t="s">
        <v>17</v>
      </c>
      <c r="O638" t="s">
        <v>18</v>
      </c>
      <c r="P638" t="s">
        <v>4042</v>
      </c>
      <c r="Q638">
        <v>7</v>
      </c>
    </row>
    <row r="639" spans="1:18" hidden="1" x14ac:dyDescent="0.25">
      <c r="A639" s="1">
        <v>46260</v>
      </c>
      <c r="B639">
        <v>1045718883</v>
      </c>
      <c r="C639" t="s">
        <v>34</v>
      </c>
      <c r="D639" t="s">
        <v>15</v>
      </c>
      <c r="E639" t="s">
        <v>4046</v>
      </c>
      <c r="F639" t="s">
        <v>36</v>
      </c>
      <c r="G639" s="1">
        <v>46244</v>
      </c>
      <c r="H639" s="1">
        <v>46393</v>
      </c>
      <c r="I639" s="2">
        <v>0.25</v>
      </c>
      <c r="J639" s="2">
        <v>0.54166666666666663</v>
      </c>
      <c r="K639" t="s">
        <v>319</v>
      </c>
      <c r="L639">
        <v>0</v>
      </c>
      <c r="M639" t="s">
        <v>4258</v>
      </c>
      <c r="N639" t="s">
        <v>318</v>
      </c>
      <c r="O639" t="s">
        <v>319</v>
      </c>
      <c r="P639" t="s">
        <v>4042</v>
      </c>
      <c r="Q639">
        <v>7</v>
      </c>
    </row>
    <row r="640" spans="1:18" hidden="1" x14ac:dyDescent="0.25">
      <c r="A640" s="1">
        <v>46260</v>
      </c>
      <c r="B640">
        <v>1000944725</v>
      </c>
      <c r="C640" t="s">
        <v>3007</v>
      </c>
      <c r="D640" t="s">
        <v>78</v>
      </c>
      <c r="E640" t="s">
        <v>4046</v>
      </c>
      <c r="F640" t="s">
        <v>16</v>
      </c>
      <c r="G640" s="1">
        <v>46258</v>
      </c>
      <c r="H640" s="1">
        <v>46267</v>
      </c>
      <c r="I640" s="2">
        <v>0.25</v>
      </c>
      <c r="J640" s="2">
        <v>0.58333333333333337</v>
      </c>
      <c r="K640" t="s">
        <v>241</v>
      </c>
      <c r="L640">
        <v>0</v>
      </c>
      <c r="M640" t="s">
        <v>4257</v>
      </c>
      <c r="N640" t="s">
        <v>240</v>
      </c>
      <c r="O640" t="s">
        <v>241</v>
      </c>
      <c r="P640" t="s">
        <v>4042</v>
      </c>
      <c r="Q640">
        <v>8</v>
      </c>
    </row>
    <row r="641" spans="1:18" hidden="1" x14ac:dyDescent="0.25">
      <c r="A641" s="1">
        <v>46260</v>
      </c>
      <c r="B641">
        <v>1037638426</v>
      </c>
      <c r="C641" t="s">
        <v>31</v>
      </c>
      <c r="D641" t="s">
        <v>28</v>
      </c>
      <c r="E641" t="s">
        <v>4046</v>
      </c>
      <c r="F641" t="s">
        <v>24</v>
      </c>
      <c r="G641" s="1">
        <v>46249</v>
      </c>
      <c r="H641" s="1">
        <v>46262</v>
      </c>
      <c r="I641" s="2">
        <v>0.54166666666666663</v>
      </c>
      <c r="J641" s="2">
        <v>0.875</v>
      </c>
      <c r="K641" t="s">
        <v>301</v>
      </c>
      <c r="L641">
        <v>2</v>
      </c>
      <c r="M641" t="s">
        <v>4258</v>
      </c>
      <c r="N641" t="s">
        <v>300</v>
      </c>
      <c r="O641" t="s">
        <v>301</v>
      </c>
      <c r="P641" t="s">
        <v>21</v>
      </c>
      <c r="Q641">
        <v>8</v>
      </c>
    </row>
    <row r="642" spans="1:18" hidden="1" x14ac:dyDescent="0.25">
      <c r="A642" s="1">
        <v>46260</v>
      </c>
      <c r="B642">
        <v>1017254059</v>
      </c>
      <c r="C642" t="s">
        <v>2878</v>
      </c>
      <c r="D642" t="s">
        <v>132</v>
      </c>
      <c r="E642" t="s">
        <v>4040</v>
      </c>
      <c r="F642" t="s">
        <v>16</v>
      </c>
      <c r="G642" s="1">
        <v>46259</v>
      </c>
      <c r="H642" s="1">
        <v>46260</v>
      </c>
      <c r="I642" s="2">
        <v>0.58333333333333337</v>
      </c>
      <c r="J642" s="2">
        <v>0.875</v>
      </c>
      <c r="K642" t="s">
        <v>120</v>
      </c>
      <c r="L642">
        <v>2</v>
      </c>
      <c r="M642" t="s">
        <v>4257</v>
      </c>
      <c r="N642" t="s">
        <v>119</v>
      </c>
      <c r="O642" t="s">
        <v>120</v>
      </c>
      <c r="P642" t="s">
        <v>21</v>
      </c>
      <c r="Q642">
        <v>7</v>
      </c>
    </row>
    <row r="643" spans="1:18" hidden="1" x14ac:dyDescent="0.25">
      <c r="A643" s="1">
        <v>46260</v>
      </c>
      <c r="B643">
        <v>1116283658</v>
      </c>
      <c r="C643" t="s">
        <v>283</v>
      </c>
      <c r="D643" t="s">
        <v>256</v>
      </c>
      <c r="E643" t="s">
        <v>4040</v>
      </c>
      <c r="F643" t="s">
        <v>24</v>
      </c>
      <c r="G643" s="1">
        <v>46258</v>
      </c>
      <c r="H643" s="1">
        <v>46265</v>
      </c>
      <c r="I643" s="2">
        <v>0.25</v>
      </c>
      <c r="J643" s="2">
        <v>0.54166666666666663</v>
      </c>
      <c r="K643" t="s">
        <v>182</v>
      </c>
      <c r="L643">
        <v>0</v>
      </c>
      <c r="M643" t="s">
        <v>4260</v>
      </c>
      <c r="N643" t="s">
        <v>181</v>
      </c>
      <c r="O643" t="s">
        <v>182</v>
      </c>
      <c r="P643" t="s">
        <v>4042</v>
      </c>
      <c r="Q643">
        <v>7</v>
      </c>
    </row>
    <row r="644" spans="1:18" hidden="1" x14ac:dyDescent="0.25">
      <c r="A644" s="1">
        <v>46260</v>
      </c>
      <c r="B644">
        <v>1035876080</v>
      </c>
      <c r="C644" t="s">
        <v>123</v>
      </c>
      <c r="D644" t="s">
        <v>124</v>
      </c>
      <c r="E644" t="s">
        <v>4045</v>
      </c>
      <c r="F644" t="s">
        <v>158</v>
      </c>
      <c r="G644" s="1">
        <v>46254</v>
      </c>
      <c r="H644" s="1"/>
      <c r="I644" s="2">
        <v>0.25</v>
      </c>
      <c r="J644" s="2">
        <v>0.54166666666666663</v>
      </c>
      <c r="K644" t="s">
        <v>197</v>
      </c>
      <c r="L644">
        <v>0</v>
      </c>
      <c r="M644" t="s">
        <v>4257</v>
      </c>
      <c r="N644" t="s">
        <v>196</v>
      </c>
      <c r="O644" t="s">
        <v>197</v>
      </c>
      <c r="P644" t="s">
        <v>4042</v>
      </c>
      <c r="Q644">
        <v>7</v>
      </c>
    </row>
    <row r="645" spans="1:18" hidden="1" x14ac:dyDescent="0.25">
      <c r="A645" s="1">
        <v>46260</v>
      </c>
      <c r="B645">
        <v>1143375080</v>
      </c>
      <c r="C645" t="s">
        <v>157</v>
      </c>
      <c r="D645" t="s">
        <v>44</v>
      </c>
      <c r="E645" t="s">
        <v>4045</v>
      </c>
      <c r="F645" t="s">
        <v>16</v>
      </c>
      <c r="G645" s="1">
        <v>46258</v>
      </c>
      <c r="H645" s="1">
        <v>46287</v>
      </c>
      <c r="I645" s="2">
        <v>0.25</v>
      </c>
      <c r="J645" s="2">
        <v>0.58333333333333337</v>
      </c>
      <c r="K645" t="s">
        <v>168</v>
      </c>
      <c r="L645">
        <v>0</v>
      </c>
      <c r="M645" t="s">
        <v>4257</v>
      </c>
      <c r="N645" t="s">
        <v>167</v>
      </c>
      <c r="O645" t="s">
        <v>168</v>
      </c>
      <c r="P645" t="s">
        <v>4042</v>
      </c>
      <c r="Q645">
        <v>8</v>
      </c>
    </row>
    <row r="646" spans="1:18" hidden="1" x14ac:dyDescent="0.25">
      <c r="A646" s="1">
        <v>46260</v>
      </c>
      <c r="B646">
        <v>1143373273</v>
      </c>
      <c r="C646" t="s">
        <v>2037</v>
      </c>
      <c r="D646" t="s">
        <v>272</v>
      </c>
      <c r="E646" t="s">
        <v>4056</v>
      </c>
      <c r="F646" t="s">
        <v>16</v>
      </c>
      <c r="G646" s="1">
        <v>46259</v>
      </c>
      <c r="H646" s="1">
        <v>46266</v>
      </c>
      <c r="I646" s="2">
        <v>0.54166666666666663</v>
      </c>
      <c r="J646" s="2">
        <v>0.875</v>
      </c>
      <c r="K646" t="s">
        <v>286</v>
      </c>
      <c r="L646">
        <v>2</v>
      </c>
      <c r="M646" t="s">
        <v>4255</v>
      </c>
      <c r="N646" t="s">
        <v>285</v>
      </c>
      <c r="O646" t="s">
        <v>286</v>
      </c>
      <c r="P646" t="s">
        <v>21</v>
      </c>
      <c r="Q646">
        <v>8</v>
      </c>
      <c r="R646" t="s">
        <v>4262</v>
      </c>
    </row>
    <row r="647" spans="1:18" hidden="1" x14ac:dyDescent="0.25">
      <c r="A647" s="1">
        <v>46260</v>
      </c>
      <c r="B647">
        <v>1143406315</v>
      </c>
      <c r="C647" t="s">
        <v>735</v>
      </c>
      <c r="D647" t="s">
        <v>272</v>
      </c>
      <c r="E647" t="s">
        <v>4056</v>
      </c>
      <c r="F647" t="s">
        <v>16</v>
      </c>
      <c r="G647" s="1">
        <v>46259</v>
      </c>
      <c r="H647" s="1">
        <v>46260</v>
      </c>
      <c r="I647" s="2">
        <v>8.3333333333333329E-2</v>
      </c>
      <c r="J647" s="2">
        <v>0.875</v>
      </c>
      <c r="K647" t="s">
        <v>561</v>
      </c>
      <c r="L647">
        <v>2</v>
      </c>
      <c r="M647" t="s">
        <v>4255</v>
      </c>
      <c r="N647" t="s">
        <v>560</v>
      </c>
      <c r="O647" t="s">
        <v>561</v>
      </c>
      <c r="P647" t="s">
        <v>21</v>
      </c>
      <c r="Q647">
        <v>19</v>
      </c>
      <c r="R647" t="s">
        <v>4262</v>
      </c>
    </row>
    <row r="648" spans="1:18" hidden="1" x14ac:dyDescent="0.25">
      <c r="A648" s="1">
        <v>46260</v>
      </c>
      <c r="B648">
        <v>1000439437</v>
      </c>
      <c r="C648" t="s">
        <v>451</v>
      </c>
      <c r="D648" t="s">
        <v>139</v>
      </c>
      <c r="E648" t="s">
        <v>4040</v>
      </c>
      <c r="F648" t="s">
        <v>16</v>
      </c>
      <c r="G648" s="1">
        <v>46259</v>
      </c>
      <c r="H648" s="1">
        <v>46260</v>
      </c>
      <c r="I648" s="2">
        <v>0.25</v>
      </c>
      <c r="J648" s="2">
        <v>0.54166666666666663</v>
      </c>
      <c r="K648" t="s">
        <v>295</v>
      </c>
      <c r="L648">
        <v>0</v>
      </c>
      <c r="M648" t="s">
        <v>4260</v>
      </c>
      <c r="N648" t="s">
        <v>294</v>
      </c>
      <c r="O648" t="s">
        <v>295</v>
      </c>
      <c r="P648" t="s">
        <v>4042</v>
      </c>
      <c r="Q648">
        <v>7</v>
      </c>
    </row>
    <row r="649" spans="1:18" hidden="1" x14ac:dyDescent="0.25">
      <c r="A649" s="1">
        <v>46260</v>
      </c>
      <c r="B649">
        <v>1083048590</v>
      </c>
      <c r="C649" t="s">
        <v>2487</v>
      </c>
      <c r="D649" t="s">
        <v>28</v>
      </c>
      <c r="E649" t="s">
        <v>4046</v>
      </c>
      <c r="F649" t="s">
        <v>16</v>
      </c>
      <c r="G649" s="1">
        <v>46259</v>
      </c>
      <c r="H649" s="1">
        <v>46260</v>
      </c>
      <c r="I649" s="2">
        <v>0.25</v>
      </c>
      <c r="J649" s="2">
        <v>0.5</v>
      </c>
      <c r="K649" t="s">
        <v>151</v>
      </c>
      <c r="L649">
        <v>0</v>
      </c>
      <c r="M649" t="s">
        <v>4257</v>
      </c>
      <c r="N649" t="s">
        <v>150</v>
      </c>
      <c r="O649" t="s">
        <v>151</v>
      </c>
      <c r="P649" t="s">
        <v>4042</v>
      </c>
      <c r="Q649">
        <v>6</v>
      </c>
    </row>
    <row r="650" spans="1:18" hidden="1" x14ac:dyDescent="0.25">
      <c r="A650" s="1">
        <v>46260</v>
      </c>
      <c r="B650">
        <v>1000416383</v>
      </c>
      <c r="C650" t="s">
        <v>1245</v>
      </c>
      <c r="D650" t="s">
        <v>172</v>
      </c>
      <c r="E650" t="s">
        <v>4046</v>
      </c>
      <c r="F650" t="s">
        <v>24</v>
      </c>
      <c r="G650" s="1">
        <v>46260</v>
      </c>
      <c r="H650" s="1">
        <v>46260</v>
      </c>
      <c r="I650" s="2">
        <v>0.25</v>
      </c>
      <c r="J650" s="2">
        <v>0.58333333333333337</v>
      </c>
      <c r="K650" t="s">
        <v>232</v>
      </c>
      <c r="L650">
        <v>0</v>
      </c>
      <c r="M650" t="s">
        <v>4257</v>
      </c>
      <c r="N650" t="s">
        <v>231</v>
      </c>
      <c r="O650" t="s">
        <v>232</v>
      </c>
      <c r="P650" t="s">
        <v>4042</v>
      </c>
      <c r="Q650">
        <v>8</v>
      </c>
    </row>
    <row r="651" spans="1:18" hidden="1" x14ac:dyDescent="0.25">
      <c r="A651" s="1">
        <v>46260</v>
      </c>
      <c r="B651">
        <v>1001999023</v>
      </c>
      <c r="C651" t="s">
        <v>149</v>
      </c>
      <c r="D651" t="s">
        <v>492</v>
      </c>
      <c r="E651" t="s">
        <v>4045</v>
      </c>
      <c r="F651" t="s">
        <v>4050</v>
      </c>
      <c r="G651" s="1">
        <v>46260</v>
      </c>
      <c r="H651" s="1">
        <v>46262</v>
      </c>
      <c r="I651" s="2"/>
      <c r="J651" s="2"/>
      <c r="K651" t="s">
        <v>341</v>
      </c>
      <c r="L651">
        <v>0</v>
      </c>
      <c r="P651" t="s">
        <v>4042</v>
      </c>
      <c r="Q651">
        <v>0</v>
      </c>
    </row>
    <row r="652" spans="1:18" hidden="1" x14ac:dyDescent="0.25">
      <c r="A652" s="1">
        <v>46260</v>
      </c>
      <c r="B652">
        <v>1116283658</v>
      </c>
      <c r="C652" t="s">
        <v>283</v>
      </c>
      <c r="D652" t="s">
        <v>4078</v>
      </c>
      <c r="E652" t="s">
        <v>4040</v>
      </c>
      <c r="F652" t="s">
        <v>4079</v>
      </c>
      <c r="G652" s="1">
        <v>46260</v>
      </c>
      <c r="H652" s="1">
        <v>46260</v>
      </c>
      <c r="I652" s="2">
        <v>0.25</v>
      </c>
      <c r="J652" s="2">
        <v>0.58333333333333337</v>
      </c>
      <c r="K652" t="s">
        <v>283</v>
      </c>
      <c r="L652">
        <v>0</v>
      </c>
      <c r="M652" t="s">
        <v>4260</v>
      </c>
      <c r="N652" t="s">
        <v>282</v>
      </c>
      <c r="O652" t="s">
        <v>283</v>
      </c>
      <c r="P652" t="s">
        <v>4042</v>
      </c>
      <c r="Q652">
        <v>8</v>
      </c>
    </row>
    <row r="653" spans="1:18" hidden="1" x14ac:dyDescent="0.25">
      <c r="A653" s="1">
        <v>46260</v>
      </c>
      <c r="B653">
        <v>1037662189</v>
      </c>
      <c r="C653" t="s">
        <v>3657</v>
      </c>
      <c r="D653" t="s">
        <v>68</v>
      </c>
      <c r="E653" t="s">
        <v>4040</v>
      </c>
      <c r="F653" t="s">
        <v>4091</v>
      </c>
      <c r="G653" s="1">
        <v>46260</v>
      </c>
      <c r="H653" s="1">
        <v>46260</v>
      </c>
      <c r="I653" s="2">
        <v>0.25</v>
      </c>
      <c r="J653" s="2">
        <v>0.54166666666666663</v>
      </c>
      <c r="K653" t="s">
        <v>214</v>
      </c>
      <c r="L653">
        <v>0</v>
      </c>
      <c r="M653" t="s">
        <v>4257</v>
      </c>
      <c r="N653" t="s">
        <v>213</v>
      </c>
      <c r="O653" t="s">
        <v>214</v>
      </c>
      <c r="P653" t="s">
        <v>4042</v>
      </c>
      <c r="Q653">
        <v>7</v>
      </c>
      <c r="R653" t="s">
        <v>4264</v>
      </c>
    </row>
    <row r="654" spans="1:18" hidden="1" x14ac:dyDescent="0.25">
      <c r="A654" s="1">
        <v>46260</v>
      </c>
      <c r="B654">
        <v>1037630071</v>
      </c>
      <c r="C654" t="s">
        <v>4196</v>
      </c>
      <c r="D654" t="s">
        <v>176</v>
      </c>
      <c r="E654" t="s">
        <v>4040</v>
      </c>
      <c r="F654" t="s">
        <v>4062</v>
      </c>
      <c r="G654" s="1">
        <v>46247</v>
      </c>
      <c r="H654" s="1">
        <v>46265</v>
      </c>
      <c r="I654" s="2">
        <v>0.25</v>
      </c>
      <c r="J654" s="2">
        <v>0.54166666666666663</v>
      </c>
      <c r="K654" t="s">
        <v>46</v>
      </c>
      <c r="L654">
        <v>0</v>
      </c>
      <c r="M654" t="s">
        <v>4260</v>
      </c>
      <c r="N654" t="s">
        <v>45</v>
      </c>
      <c r="O654" t="s">
        <v>46</v>
      </c>
      <c r="P654" t="s">
        <v>4042</v>
      </c>
      <c r="Q654">
        <v>7</v>
      </c>
    </row>
    <row r="655" spans="1:18" hidden="1" x14ac:dyDescent="0.25">
      <c r="A655" s="1">
        <v>46260</v>
      </c>
      <c r="B655">
        <v>1095832090</v>
      </c>
      <c r="C655" t="s">
        <v>4243</v>
      </c>
      <c r="D655" t="s">
        <v>55</v>
      </c>
      <c r="E655" t="s">
        <v>4047</v>
      </c>
      <c r="F655" t="s">
        <v>4074</v>
      </c>
      <c r="G655" s="1">
        <v>46260</v>
      </c>
      <c r="H655" s="1">
        <v>46274</v>
      </c>
      <c r="I655" s="2"/>
      <c r="J655" s="2"/>
      <c r="K655" t="s">
        <v>4083</v>
      </c>
      <c r="L655">
        <v>0</v>
      </c>
      <c r="P655" t="s">
        <v>4042</v>
      </c>
      <c r="Q655">
        <v>0</v>
      </c>
    </row>
    <row r="656" spans="1:18" hidden="1" x14ac:dyDescent="0.25">
      <c r="A656" s="1">
        <v>46260</v>
      </c>
      <c r="B656">
        <v>1010149319</v>
      </c>
      <c r="C656" t="s">
        <v>3177</v>
      </c>
      <c r="D656" t="s">
        <v>59</v>
      </c>
      <c r="E656" t="s">
        <v>4047</v>
      </c>
      <c r="F656" t="s">
        <v>4074</v>
      </c>
      <c r="G656" s="1">
        <v>46260</v>
      </c>
      <c r="H656" s="1">
        <v>46260</v>
      </c>
      <c r="I656" s="2">
        <v>0.25</v>
      </c>
      <c r="J656" s="2">
        <v>0.58333333333333337</v>
      </c>
      <c r="K656" t="s">
        <v>4309</v>
      </c>
      <c r="L656">
        <v>0</v>
      </c>
      <c r="M656" t="s">
        <v>4258</v>
      </c>
      <c r="N656" t="s">
        <v>222</v>
      </c>
      <c r="O656" t="s">
        <v>223</v>
      </c>
      <c r="P656" t="s">
        <v>4042</v>
      </c>
      <c r="Q656">
        <v>8</v>
      </c>
    </row>
    <row r="657" spans="1:18" hidden="1" x14ac:dyDescent="0.25">
      <c r="A657" s="1">
        <v>46260</v>
      </c>
      <c r="B657">
        <v>1001446162</v>
      </c>
      <c r="C657" t="s">
        <v>3663</v>
      </c>
      <c r="D657" t="s">
        <v>344</v>
      </c>
      <c r="E657" t="s">
        <v>4056</v>
      </c>
      <c r="F657" t="s">
        <v>4073</v>
      </c>
      <c r="G657" s="1">
        <v>46260</v>
      </c>
      <c r="H657" s="1">
        <v>46260</v>
      </c>
      <c r="I657" s="2">
        <v>0.58333333333333337</v>
      </c>
      <c r="J657" s="2">
        <v>0.875</v>
      </c>
      <c r="K657" t="s">
        <v>4308</v>
      </c>
      <c r="L657">
        <v>2</v>
      </c>
      <c r="M657" t="s">
        <v>4255</v>
      </c>
      <c r="N657" t="s">
        <v>3662</v>
      </c>
      <c r="O657" t="s">
        <v>3663</v>
      </c>
      <c r="P657" t="s">
        <v>21</v>
      </c>
      <c r="Q657">
        <v>7</v>
      </c>
    </row>
    <row r="658" spans="1:18" hidden="1" x14ac:dyDescent="0.25">
      <c r="A658" s="1">
        <v>46260</v>
      </c>
      <c r="B658">
        <v>1001369228</v>
      </c>
      <c r="C658" t="s">
        <v>164</v>
      </c>
      <c r="D658" t="s">
        <v>4079</v>
      </c>
      <c r="E658" t="s">
        <v>4056</v>
      </c>
      <c r="F658" t="s">
        <v>4079</v>
      </c>
      <c r="G658" s="1">
        <v>46260</v>
      </c>
      <c r="H658" s="1">
        <v>46260</v>
      </c>
      <c r="I658" s="2">
        <v>0.5</v>
      </c>
      <c r="J658" s="2">
        <v>0.79166666666666663</v>
      </c>
      <c r="K658" t="s">
        <v>339</v>
      </c>
      <c r="L658">
        <v>0</v>
      </c>
      <c r="M658" t="s">
        <v>4255</v>
      </c>
      <c r="N658" t="s">
        <v>163</v>
      </c>
      <c r="O658" t="s">
        <v>164</v>
      </c>
      <c r="P658" t="s">
        <v>4042</v>
      </c>
      <c r="Q658">
        <v>7</v>
      </c>
    </row>
    <row r="659" spans="1:18" hidden="1" x14ac:dyDescent="0.25">
      <c r="A659" s="1">
        <v>46260</v>
      </c>
      <c r="B659">
        <v>1107046318</v>
      </c>
      <c r="C659" t="s">
        <v>268</v>
      </c>
      <c r="D659" t="s">
        <v>4078</v>
      </c>
      <c r="E659" t="s">
        <v>4056</v>
      </c>
      <c r="F659" t="s">
        <v>4087</v>
      </c>
      <c r="G659" s="1">
        <v>46260</v>
      </c>
      <c r="H659" s="1">
        <v>46260</v>
      </c>
      <c r="I659" s="2">
        <v>0.58333333333333337</v>
      </c>
      <c r="J659" s="2">
        <v>0.875</v>
      </c>
      <c r="K659" t="s">
        <v>339</v>
      </c>
      <c r="L659">
        <v>2</v>
      </c>
      <c r="M659" t="s">
        <v>4255</v>
      </c>
      <c r="N659" t="s">
        <v>267</v>
      </c>
      <c r="O659" t="s">
        <v>268</v>
      </c>
      <c r="P659" t="s">
        <v>21</v>
      </c>
      <c r="Q659">
        <v>7</v>
      </c>
    </row>
    <row r="660" spans="1:18" hidden="1" x14ac:dyDescent="0.25">
      <c r="A660" s="1">
        <v>46261</v>
      </c>
      <c r="B660">
        <v>1015483595</v>
      </c>
      <c r="C660" t="s">
        <v>221</v>
      </c>
      <c r="D660" t="s">
        <v>15</v>
      </c>
      <c r="E660" t="s">
        <v>4046</v>
      </c>
      <c r="F660" t="s">
        <v>24</v>
      </c>
      <c r="G660" s="1">
        <v>46244</v>
      </c>
      <c r="H660" s="1">
        <v>46265</v>
      </c>
      <c r="I660" s="2">
        <v>0.54166666666666663</v>
      </c>
      <c r="J660" s="2">
        <v>0.875</v>
      </c>
      <c r="K660" t="s">
        <v>104</v>
      </c>
      <c r="L660">
        <v>2</v>
      </c>
      <c r="M660" t="s">
        <v>4258</v>
      </c>
      <c r="N660" t="s">
        <v>103</v>
      </c>
      <c r="O660" t="s">
        <v>104</v>
      </c>
      <c r="P660" t="s">
        <v>21</v>
      </c>
      <c r="Q660">
        <v>8</v>
      </c>
    </row>
    <row r="661" spans="1:18" hidden="1" x14ac:dyDescent="0.25">
      <c r="A661" s="1">
        <v>46261</v>
      </c>
      <c r="B661">
        <v>1017238267</v>
      </c>
      <c r="C661" t="s">
        <v>2537</v>
      </c>
      <c r="D661" t="s">
        <v>55</v>
      </c>
      <c r="E661" t="s">
        <v>4047</v>
      </c>
      <c r="F661" t="s">
        <v>16</v>
      </c>
      <c r="G661" s="1">
        <v>46259</v>
      </c>
      <c r="H661" s="1">
        <v>46261</v>
      </c>
      <c r="I661" s="2">
        <v>0.25</v>
      </c>
      <c r="J661" s="2">
        <v>0.58333333333333337</v>
      </c>
      <c r="K661" t="s">
        <v>200</v>
      </c>
      <c r="L661">
        <v>0</v>
      </c>
      <c r="M661" t="s">
        <v>4257</v>
      </c>
      <c r="N661" t="s">
        <v>199</v>
      </c>
      <c r="O661" t="s">
        <v>200</v>
      </c>
      <c r="P661" t="s">
        <v>4042</v>
      </c>
      <c r="Q661">
        <v>8</v>
      </c>
    </row>
    <row r="662" spans="1:18" hidden="1" x14ac:dyDescent="0.25">
      <c r="A662" s="1">
        <v>46261</v>
      </c>
      <c r="B662">
        <v>1143375080</v>
      </c>
      <c r="C662" t="s">
        <v>157</v>
      </c>
      <c r="D662" t="s">
        <v>44</v>
      </c>
      <c r="E662" t="s">
        <v>4045</v>
      </c>
      <c r="F662" t="s">
        <v>16</v>
      </c>
      <c r="G662" s="1">
        <v>46258</v>
      </c>
      <c r="H662" s="1">
        <v>46287</v>
      </c>
      <c r="I662" s="2">
        <v>0.25</v>
      </c>
      <c r="J662" s="2">
        <v>0.58333333333333337</v>
      </c>
      <c r="K662" t="s">
        <v>241</v>
      </c>
      <c r="L662">
        <v>0</v>
      </c>
      <c r="M662" t="s">
        <v>4257</v>
      </c>
      <c r="N662" t="s">
        <v>240</v>
      </c>
      <c r="O662" t="s">
        <v>241</v>
      </c>
      <c r="P662" t="s">
        <v>4042</v>
      </c>
      <c r="Q662">
        <v>8</v>
      </c>
    </row>
    <row r="663" spans="1:18" hidden="1" x14ac:dyDescent="0.25">
      <c r="A663" s="1">
        <v>46261</v>
      </c>
      <c r="B663">
        <v>1017264032</v>
      </c>
      <c r="C663" t="s">
        <v>88</v>
      </c>
      <c r="D663" t="s">
        <v>55</v>
      </c>
      <c r="E663" t="s">
        <v>4047</v>
      </c>
      <c r="F663" t="s">
        <v>16</v>
      </c>
      <c r="G663" s="1">
        <v>46259</v>
      </c>
      <c r="H663" s="1">
        <v>46265</v>
      </c>
      <c r="I663" s="2">
        <v>0.58333333333333337</v>
      </c>
      <c r="J663" s="2">
        <v>0.875</v>
      </c>
      <c r="K663" t="s">
        <v>214</v>
      </c>
      <c r="L663">
        <v>2</v>
      </c>
      <c r="M663" t="s">
        <v>4257</v>
      </c>
      <c r="N663" t="s">
        <v>213</v>
      </c>
      <c r="O663" t="s">
        <v>214</v>
      </c>
      <c r="P663" t="s">
        <v>21</v>
      </c>
      <c r="Q663">
        <v>7</v>
      </c>
    </row>
    <row r="664" spans="1:18" hidden="1" x14ac:dyDescent="0.25">
      <c r="A664" s="1">
        <v>46261</v>
      </c>
      <c r="B664">
        <v>1143267842</v>
      </c>
      <c r="C664" t="s">
        <v>1501</v>
      </c>
      <c r="D664" t="s">
        <v>128</v>
      </c>
      <c r="E664" t="s">
        <v>4045</v>
      </c>
      <c r="F664" t="s">
        <v>24</v>
      </c>
      <c r="G664" s="1">
        <v>46260</v>
      </c>
      <c r="H664" s="1">
        <v>46262</v>
      </c>
      <c r="I664" s="2">
        <v>0.54166666666666663</v>
      </c>
      <c r="J664" s="2">
        <v>0.875</v>
      </c>
      <c r="K664" t="s">
        <v>120</v>
      </c>
      <c r="L664">
        <v>2</v>
      </c>
      <c r="M664" t="s">
        <v>4257</v>
      </c>
      <c r="N664" t="s">
        <v>119</v>
      </c>
      <c r="O664" t="s">
        <v>120</v>
      </c>
      <c r="P664" t="s">
        <v>21</v>
      </c>
      <c r="Q664">
        <v>8</v>
      </c>
    </row>
    <row r="665" spans="1:18" hidden="1" x14ac:dyDescent="0.25">
      <c r="A665" s="1">
        <v>46261</v>
      </c>
      <c r="B665">
        <v>1000294973</v>
      </c>
      <c r="C665" t="s">
        <v>1266</v>
      </c>
      <c r="D665" t="s">
        <v>15</v>
      </c>
      <c r="E665" t="s">
        <v>4046</v>
      </c>
      <c r="F665" t="s">
        <v>4123</v>
      </c>
      <c r="G665" s="1">
        <v>46260</v>
      </c>
      <c r="H665" s="1">
        <v>46262</v>
      </c>
      <c r="I665" s="2">
        <v>0.54166666666666663</v>
      </c>
      <c r="J665" s="2">
        <v>0.875</v>
      </c>
      <c r="K665" t="s">
        <v>301</v>
      </c>
      <c r="L665">
        <v>2</v>
      </c>
      <c r="M665" t="s">
        <v>4258</v>
      </c>
      <c r="N665" t="s">
        <v>300</v>
      </c>
      <c r="O665" t="s">
        <v>301</v>
      </c>
      <c r="P665" t="s">
        <v>21</v>
      </c>
      <c r="Q665">
        <v>8</v>
      </c>
    </row>
    <row r="666" spans="1:18" hidden="1" x14ac:dyDescent="0.25">
      <c r="A666" s="1">
        <v>46261</v>
      </c>
      <c r="B666">
        <v>1096223065</v>
      </c>
      <c r="C666" t="s">
        <v>3428</v>
      </c>
      <c r="D666" t="s">
        <v>59</v>
      </c>
      <c r="E666" t="s">
        <v>4047</v>
      </c>
      <c r="F666" t="s">
        <v>24</v>
      </c>
      <c r="G666" s="1">
        <v>46253</v>
      </c>
      <c r="H666" s="1">
        <v>46265</v>
      </c>
      <c r="I666" s="2">
        <v>0.54166666666666663</v>
      </c>
      <c r="J666" s="2">
        <v>0.83333333333333337</v>
      </c>
      <c r="K666" t="s">
        <v>197</v>
      </c>
      <c r="L666">
        <v>1</v>
      </c>
      <c r="M666" t="s">
        <v>4257</v>
      </c>
      <c r="N666" t="s">
        <v>196</v>
      </c>
      <c r="O666" t="s">
        <v>197</v>
      </c>
      <c r="P666" t="s">
        <v>21</v>
      </c>
      <c r="Q666">
        <v>7</v>
      </c>
    </row>
    <row r="667" spans="1:18" hidden="1" x14ac:dyDescent="0.25">
      <c r="A667" s="1">
        <v>46261</v>
      </c>
      <c r="B667">
        <v>1102878409</v>
      </c>
      <c r="C667" t="s">
        <v>479</v>
      </c>
      <c r="D667" t="s">
        <v>51</v>
      </c>
      <c r="E667" t="s">
        <v>4047</v>
      </c>
      <c r="F667" t="s">
        <v>4147</v>
      </c>
      <c r="G667" s="1">
        <v>46261</v>
      </c>
      <c r="H667" s="1">
        <v>46261</v>
      </c>
      <c r="I667" s="2">
        <v>0.29166666666666669</v>
      </c>
      <c r="J667" s="2">
        <v>0.58333333333333337</v>
      </c>
      <c r="K667" t="s">
        <v>86</v>
      </c>
      <c r="L667">
        <v>0</v>
      </c>
      <c r="M667" t="s">
        <v>4259</v>
      </c>
      <c r="N667" t="s">
        <v>85</v>
      </c>
      <c r="O667" t="s">
        <v>86</v>
      </c>
      <c r="P667" t="s">
        <v>4042</v>
      </c>
      <c r="Q667">
        <v>7</v>
      </c>
    </row>
    <row r="668" spans="1:18" hidden="1" x14ac:dyDescent="0.25">
      <c r="A668" s="1">
        <v>46261</v>
      </c>
      <c r="B668">
        <v>1043006106</v>
      </c>
      <c r="C668" t="s">
        <v>63</v>
      </c>
      <c r="D668" t="s">
        <v>64</v>
      </c>
      <c r="E668" t="s">
        <v>4046</v>
      </c>
      <c r="F668" t="s">
        <v>16</v>
      </c>
      <c r="G668" s="1">
        <v>46249</v>
      </c>
      <c r="H668" s="1">
        <v>46278</v>
      </c>
      <c r="I668" s="2">
        <v>0.58333333333333337</v>
      </c>
      <c r="J668" s="2">
        <v>0.875</v>
      </c>
      <c r="K668" t="s">
        <v>283</v>
      </c>
      <c r="L668">
        <v>2</v>
      </c>
      <c r="M668" t="s">
        <v>4260</v>
      </c>
      <c r="N668" t="s">
        <v>282</v>
      </c>
      <c r="O668" t="s">
        <v>283</v>
      </c>
      <c r="P668" t="s">
        <v>21</v>
      </c>
      <c r="Q668">
        <v>7</v>
      </c>
    </row>
    <row r="669" spans="1:18" hidden="1" x14ac:dyDescent="0.25">
      <c r="A669" s="1">
        <v>46261</v>
      </c>
      <c r="B669">
        <v>1040755197</v>
      </c>
      <c r="C669" t="s">
        <v>171</v>
      </c>
      <c r="D669" t="s">
        <v>172</v>
      </c>
      <c r="E669" t="s">
        <v>4046</v>
      </c>
      <c r="F669" t="s">
        <v>16</v>
      </c>
      <c r="G669" s="1">
        <v>46252</v>
      </c>
      <c r="H669" s="1">
        <v>46262</v>
      </c>
      <c r="I669" s="2">
        <v>0.25</v>
      </c>
      <c r="J669" s="2">
        <v>0.5</v>
      </c>
      <c r="K669" t="s">
        <v>237</v>
      </c>
      <c r="L669">
        <v>0</v>
      </c>
      <c r="M669" t="s">
        <v>4255</v>
      </c>
      <c r="N669" t="s">
        <v>236</v>
      </c>
      <c r="O669" t="s">
        <v>237</v>
      </c>
      <c r="P669" t="s">
        <v>4042</v>
      </c>
      <c r="Q669">
        <v>6</v>
      </c>
      <c r="R669" t="s">
        <v>4256</v>
      </c>
    </row>
    <row r="670" spans="1:18" hidden="1" x14ac:dyDescent="0.25">
      <c r="A670" s="1">
        <v>46261</v>
      </c>
      <c r="B670">
        <v>1152446353</v>
      </c>
      <c r="C670" t="s">
        <v>205</v>
      </c>
      <c r="D670" t="s">
        <v>51</v>
      </c>
      <c r="E670" t="s">
        <v>4047</v>
      </c>
      <c r="F670" t="s">
        <v>92</v>
      </c>
      <c r="G670" s="1">
        <v>46236</v>
      </c>
      <c r="H670" s="1">
        <v>46262</v>
      </c>
      <c r="I670" s="2">
        <v>0.54166666666666663</v>
      </c>
      <c r="J670" s="2">
        <v>0.875</v>
      </c>
      <c r="K670" t="s">
        <v>262</v>
      </c>
      <c r="L670">
        <v>2</v>
      </c>
      <c r="M670" t="s">
        <v>4259</v>
      </c>
      <c r="N670" t="s">
        <v>261</v>
      </c>
      <c r="O670" t="s">
        <v>262</v>
      </c>
      <c r="P670" t="s">
        <v>21</v>
      </c>
      <c r="Q670">
        <v>8</v>
      </c>
    </row>
    <row r="671" spans="1:18" hidden="1" x14ac:dyDescent="0.25">
      <c r="A671" s="1">
        <v>46261</v>
      </c>
      <c r="B671">
        <v>1000415206</v>
      </c>
      <c r="C671" t="s">
        <v>325</v>
      </c>
      <c r="D671" t="s">
        <v>82</v>
      </c>
      <c r="E671" t="s">
        <v>4045</v>
      </c>
      <c r="F671" t="s">
        <v>326</v>
      </c>
      <c r="G671" s="1">
        <v>46258</v>
      </c>
      <c r="H671" s="1">
        <v>46262</v>
      </c>
      <c r="I671" s="2">
        <v>0.54166666666666663</v>
      </c>
      <c r="J671" s="2">
        <v>0.83333333333333337</v>
      </c>
      <c r="K671" t="s">
        <v>232</v>
      </c>
      <c r="L671">
        <v>1</v>
      </c>
      <c r="M671" t="s">
        <v>4257</v>
      </c>
      <c r="N671" t="s">
        <v>231</v>
      </c>
      <c r="O671" t="s">
        <v>232</v>
      </c>
      <c r="P671" t="s">
        <v>21</v>
      </c>
      <c r="Q671">
        <v>7</v>
      </c>
    </row>
    <row r="672" spans="1:18" hidden="1" x14ac:dyDescent="0.25">
      <c r="A672" s="1">
        <v>46261</v>
      </c>
      <c r="B672">
        <v>42141273</v>
      </c>
      <c r="C672" t="s">
        <v>271</v>
      </c>
      <c r="D672" t="s">
        <v>272</v>
      </c>
      <c r="E672" t="s">
        <v>4056</v>
      </c>
      <c r="F672" t="s">
        <v>4065</v>
      </c>
      <c r="G672" s="1">
        <v>46238</v>
      </c>
      <c r="H672" s="1">
        <v>46295</v>
      </c>
      <c r="I672" s="2">
        <v>0.25</v>
      </c>
      <c r="J672" s="2">
        <v>0.5</v>
      </c>
      <c r="K672" t="s">
        <v>164</v>
      </c>
      <c r="L672">
        <v>0</v>
      </c>
      <c r="M672" t="s">
        <v>4255</v>
      </c>
      <c r="N672" t="s">
        <v>163</v>
      </c>
      <c r="O672" t="s">
        <v>164</v>
      </c>
      <c r="P672" t="s">
        <v>4042</v>
      </c>
      <c r="Q672">
        <v>6</v>
      </c>
      <c r="R672" t="s">
        <v>4262</v>
      </c>
    </row>
    <row r="673" spans="1:18" hidden="1" x14ac:dyDescent="0.25">
      <c r="A673" s="1">
        <v>46261</v>
      </c>
      <c r="B673">
        <v>1005424850</v>
      </c>
      <c r="C673" t="s">
        <v>95</v>
      </c>
      <c r="D673" t="s">
        <v>82</v>
      </c>
      <c r="E673" t="s">
        <v>4045</v>
      </c>
      <c r="F673" t="s">
        <v>24</v>
      </c>
      <c r="G673" s="1">
        <v>46261</v>
      </c>
      <c r="H673" s="1">
        <v>46262</v>
      </c>
      <c r="I673" s="2">
        <v>0.5</v>
      </c>
      <c r="J673" s="2">
        <v>0.83333333333333337</v>
      </c>
      <c r="K673" t="s">
        <v>304</v>
      </c>
      <c r="L673">
        <v>1</v>
      </c>
      <c r="M673" t="s">
        <v>4257</v>
      </c>
      <c r="N673" t="s">
        <v>303</v>
      </c>
      <c r="O673" t="s">
        <v>304</v>
      </c>
      <c r="P673" t="s">
        <v>21</v>
      </c>
      <c r="Q673">
        <v>8</v>
      </c>
    </row>
    <row r="674" spans="1:18" hidden="1" x14ac:dyDescent="0.25">
      <c r="A674" s="1">
        <v>46261</v>
      </c>
      <c r="B674">
        <v>1037630071</v>
      </c>
      <c r="C674" t="s">
        <v>4196</v>
      </c>
      <c r="D674" t="s">
        <v>176</v>
      </c>
      <c r="E674" t="s">
        <v>4040</v>
      </c>
      <c r="F674" t="s">
        <v>4062</v>
      </c>
      <c r="G674" s="1">
        <v>46247</v>
      </c>
      <c r="H674" s="1">
        <v>46265</v>
      </c>
      <c r="I674" s="2">
        <v>0.25</v>
      </c>
      <c r="J674" s="2">
        <v>0.58333333333333337</v>
      </c>
      <c r="K674" t="s">
        <v>252</v>
      </c>
      <c r="L674">
        <v>0</v>
      </c>
      <c r="M674" t="s">
        <v>4259</v>
      </c>
      <c r="N674" t="s">
        <v>251</v>
      </c>
      <c r="O674" t="s">
        <v>252</v>
      </c>
      <c r="P674" t="s">
        <v>4042</v>
      </c>
      <c r="Q674">
        <v>8</v>
      </c>
    </row>
    <row r="675" spans="1:18" hidden="1" x14ac:dyDescent="0.25">
      <c r="A675" s="1">
        <v>46261</v>
      </c>
      <c r="B675">
        <v>1116283658</v>
      </c>
      <c r="C675" t="s">
        <v>283</v>
      </c>
      <c r="D675" t="s">
        <v>256</v>
      </c>
      <c r="E675" t="s">
        <v>4040</v>
      </c>
      <c r="F675" t="s">
        <v>24</v>
      </c>
      <c r="G675" s="1">
        <v>46258</v>
      </c>
      <c r="H675" s="1">
        <v>46265</v>
      </c>
      <c r="I675" s="2">
        <v>0.58333333333333337</v>
      </c>
      <c r="J675" s="2">
        <v>0.875</v>
      </c>
      <c r="K675" t="s">
        <v>295</v>
      </c>
      <c r="L675">
        <v>2</v>
      </c>
      <c r="M675" t="s">
        <v>4260</v>
      </c>
      <c r="N675" t="s">
        <v>294</v>
      </c>
      <c r="O675" t="s">
        <v>295</v>
      </c>
      <c r="P675" t="s">
        <v>21</v>
      </c>
      <c r="Q675">
        <v>7</v>
      </c>
    </row>
    <row r="676" spans="1:18" hidden="1" x14ac:dyDescent="0.25">
      <c r="A676" s="1">
        <v>46261</v>
      </c>
      <c r="B676">
        <v>1037662189</v>
      </c>
      <c r="C676" t="s">
        <v>3657</v>
      </c>
      <c r="D676" t="s">
        <v>68</v>
      </c>
      <c r="E676" t="s">
        <v>4040</v>
      </c>
      <c r="F676" t="s">
        <v>4091</v>
      </c>
      <c r="G676" s="1">
        <v>46260</v>
      </c>
      <c r="H676" s="1">
        <v>46260</v>
      </c>
      <c r="I676" s="2">
        <v>0.58333333333333337</v>
      </c>
      <c r="J676" s="2">
        <v>0.875</v>
      </c>
      <c r="K676" t="s">
        <v>182</v>
      </c>
      <c r="L676">
        <v>2</v>
      </c>
      <c r="M676" t="s">
        <v>4260</v>
      </c>
      <c r="N676" t="s">
        <v>181</v>
      </c>
      <c r="O676" t="s">
        <v>182</v>
      </c>
      <c r="P676" t="s">
        <v>21</v>
      </c>
      <c r="Q676">
        <v>7</v>
      </c>
      <c r="R676" t="s">
        <v>4264</v>
      </c>
    </row>
    <row r="677" spans="1:18" hidden="1" x14ac:dyDescent="0.25">
      <c r="A677" s="1">
        <v>46261</v>
      </c>
      <c r="B677">
        <v>43453341</v>
      </c>
      <c r="C677" t="s">
        <v>146</v>
      </c>
      <c r="D677" t="s">
        <v>124</v>
      </c>
      <c r="E677" t="s">
        <v>4045</v>
      </c>
      <c r="F677" t="s">
        <v>16</v>
      </c>
      <c r="G677" s="1">
        <v>46254</v>
      </c>
      <c r="H677" s="1">
        <v>46268</v>
      </c>
      <c r="I677" s="2">
        <v>0.54166666666666663</v>
      </c>
      <c r="J677" s="2">
        <v>0.875</v>
      </c>
      <c r="K677" t="s">
        <v>151</v>
      </c>
      <c r="L677">
        <v>2</v>
      </c>
      <c r="M677" t="s">
        <v>4257</v>
      </c>
      <c r="N677" t="s">
        <v>150</v>
      </c>
      <c r="O677" t="s">
        <v>151</v>
      </c>
      <c r="P677" t="s">
        <v>21</v>
      </c>
      <c r="Q677">
        <v>8</v>
      </c>
    </row>
    <row r="678" spans="1:18" hidden="1" x14ac:dyDescent="0.25">
      <c r="A678" s="1">
        <v>46261</v>
      </c>
      <c r="B678">
        <v>1035876080</v>
      </c>
      <c r="C678" t="s">
        <v>123</v>
      </c>
      <c r="D678" t="s">
        <v>124</v>
      </c>
      <c r="E678" t="s">
        <v>4045</v>
      </c>
      <c r="F678" t="s">
        <v>158</v>
      </c>
      <c r="G678" s="1">
        <v>46254</v>
      </c>
      <c r="H678" s="1"/>
      <c r="I678" s="2">
        <v>0.25</v>
      </c>
      <c r="J678" s="2">
        <v>0.58333333333333337</v>
      </c>
      <c r="K678" t="s">
        <v>74</v>
      </c>
      <c r="L678">
        <v>0</v>
      </c>
      <c r="M678" t="s">
        <v>4257</v>
      </c>
      <c r="N678" t="s">
        <v>73</v>
      </c>
      <c r="O678" t="s">
        <v>74</v>
      </c>
      <c r="P678" t="s">
        <v>4042</v>
      </c>
      <c r="Q678">
        <v>8</v>
      </c>
    </row>
    <row r="679" spans="1:18" hidden="1" x14ac:dyDescent="0.25">
      <c r="A679" s="1">
        <v>46261</v>
      </c>
      <c r="B679">
        <v>1143373273</v>
      </c>
      <c r="C679" t="s">
        <v>2037</v>
      </c>
      <c r="D679" t="s">
        <v>272</v>
      </c>
      <c r="E679" t="s">
        <v>4056</v>
      </c>
      <c r="F679" t="s">
        <v>16</v>
      </c>
      <c r="G679" s="1">
        <v>46259</v>
      </c>
      <c r="H679" s="1">
        <v>46266</v>
      </c>
      <c r="I679" s="2">
        <v>0.25</v>
      </c>
      <c r="J679" s="2">
        <v>0.58333333333333337</v>
      </c>
      <c r="K679" t="s">
        <v>3663</v>
      </c>
      <c r="L679">
        <v>0</v>
      </c>
      <c r="M679" t="s">
        <v>4255</v>
      </c>
      <c r="N679" t="s">
        <v>3662</v>
      </c>
      <c r="O679" t="s">
        <v>3663</v>
      </c>
      <c r="P679" t="s">
        <v>4042</v>
      </c>
      <c r="Q679">
        <v>8</v>
      </c>
      <c r="R679" t="s">
        <v>4262</v>
      </c>
    </row>
    <row r="680" spans="1:18" hidden="1" x14ac:dyDescent="0.25">
      <c r="A680" s="1">
        <v>46261</v>
      </c>
      <c r="B680">
        <v>1000944725</v>
      </c>
      <c r="C680" t="s">
        <v>3007</v>
      </c>
      <c r="D680" t="s">
        <v>78</v>
      </c>
      <c r="E680" t="s">
        <v>4046</v>
      </c>
      <c r="F680" t="s">
        <v>16</v>
      </c>
      <c r="G680" s="1">
        <v>46258</v>
      </c>
      <c r="H680" s="1">
        <v>46267</v>
      </c>
      <c r="I680" s="2">
        <v>0.58333333333333337</v>
      </c>
      <c r="J680" s="2">
        <v>0.875</v>
      </c>
      <c r="K680" t="s">
        <v>18</v>
      </c>
      <c r="L680">
        <v>2</v>
      </c>
      <c r="M680" t="s">
        <v>4258</v>
      </c>
      <c r="N680" t="s">
        <v>17</v>
      </c>
      <c r="O680" t="s">
        <v>18</v>
      </c>
      <c r="P680" t="s">
        <v>21</v>
      </c>
      <c r="Q680">
        <v>7</v>
      </c>
    </row>
    <row r="681" spans="1:18" hidden="1" x14ac:dyDescent="0.25">
      <c r="A681" s="1">
        <v>46261</v>
      </c>
      <c r="B681">
        <v>1037661959</v>
      </c>
      <c r="C681" t="s">
        <v>4080</v>
      </c>
      <c r="D681" t="s">
        <v>482</v>
      </c>
      <c r="E681" t="s">
        <v>4040</v>
      </c>
      <c r="F681" t="s">
        <v>4073</v>
      </c>
      <c r="G681" s="1">
        <v>46259</v>
      </c>
      <c r="H681" s="1">
        <v>46261</v>
      </c>
      <c r="I681" s="2">
        <v>0.54166666666666663</v>
      </c>
      <c r="J681" s="2">
        <v>0.875</v>
      </c>
      <c r="K681" t="s">
        <v>1428</v>
      </c>
      <c r="L681">
        <v>2</v>
      </c>
      <c r="M681" t="s">
        <v>4260</v>
      </c>
      <c r="N681" t="s">
        <v>1427</v>
      </c>
      <c r="O681" t="s">
        <v>1428</v>
      </c>
      <c r="P681" t="s">
        <v>21</v>
      </c>
      <c r="Q681">
        <v>8</v>
      </c>
      <c r="R681" t="s">
        <v>4261</v>
      </c>
    </row>
    <row r="682" spans="1:18" hidden="1" x14ac:dyDescent="0.25">
      <c r="A682" s="1">
        <v>46261</v>
      </c>
      <c r="B682">
        <v>1192904075</v>
      </c>
      <c r="C682" t="s">
        <v>3776</v>
      </c>
      <c r="D682" t="s">
        <v>256</v>
      </c>
      <c r="E682" t="s">
        <v>4040</v>
      </c>
      <c r="F682" t="s">
        <v>4311</v>
      </c>
      <c r="G682" s="1">
        <v>46261</v>
      </c>
      <c r="H682" s="1">
        <v>46261</v>
      </c>
      <c r="I682" s="2">
        <v>0.25</v>
      </c>
      <c r="J682" s="2">
        <v>0.54166666666666663</v>
      </c>
      <c r="K682" t="s">
        <v>168</v>
      </c>
      <c r="L682">
        <v>0</v>
      </c>
      <c r="M682" t="s">
        <v>4257</v>
      </c>
      <c r="N682" t="s">
        <v>167</v>
      </c>
      <c r="O682" t="s">
        <v>168</v>
      </c>
      <c r="P682" t="s">
        <v>4042</v>
      </c>
      <c r="Q682">
        <v>7</v>
      </c>
    </row>
    <row r="683" spans="1:18" hidden="1" x14ac:dyDescent="0.25">
      <c r="A683" s="1">
        <v>46261</v>
      </c>
      <c r="B683">
        <v>1037638426</v>
      </c>
      <c r="C683" t="s">
        <v>31</v>
      </c>
      <c r="D683" t="s">
        <v>28</v>
      </c>
      <c r="E683" t="s">
        <v>4046</v>
      </c>
      <c r="F683" t="s">
        <v>24</v>
      </c>
      <c r="G683" s="1">
        <v>46249</v>
      </c>
      <c r="H683" s="1">
        <v>46262</v>
      </c>
      <c r="I683" s="2">
        <v>0.25</v>
      </c>
      <c r="J683" s="2">
        <v>0.54166666666666663</v>
      </c>
      <c r="K683" t="s">
        <v>319</v>
      </c>
      <c r="L683">
        <v>0</v>
      </c>
      <c r="M683" t="s">
        <v>4258</v>
      </c>
      <c r="N683" t="s">
        <v>318</v>
      </c>
      <c r="O683" t="s">
        <v>319</v>
      </c>
      <c r="P683" t="s">
        <v>4042</v>
      </c>
      <c r="Q683">
        <v>7</v>
      </c>
    </row>
    <row r="684" spans="1:18" hidden="1" x14ac:dyDescent="0.25">
      <c r="A684" s="1">
        <v>46261</v>
      </c>
      <c r="B684">
        <v>1002208089</v>
      </c>
      <c r="C684" t="s">
        <v>3350</v>
      </c>
      <c r="D684" t="s">
        <v>162</v>
      </c>
      <c r="E684" t="s">
        <v>4056</v>
      </c>
      <c r="F684" t="s">
        <v>16</v>
      </c>
      <c r="G684" s="1">
        <v>46261</v>
      </c>
      <c r="H684" s="1">
        <v>46262</v>
      </c>
      <c r="I684" s="2">
        <v>0.25</v>
      </c>
      <c r="J684" s="2">
        <v>0.58333333333333337</v>
      </c>
      <c r="K684" t="s">
        <v>185</v>
      </c>
      <c r="L684">
        <v>0</v>
      </c>
      <c r="M684" t="s">
        <v>4255</v>
      </c>
      <c r="N684" t="s">
        <v>184</v>
      </c>
      <c r="O684" t="s">
        <v>185</v>
      </c>
      <c r="P684" t="s">
        <v>4042</v>
      </c>
      <c r="Q684">
        <v>8</v>
      </c>
    </row>
    <row r="685" spans="1:18" hidden="1" x14ac:dyDescent="0.25">
      <c r="A685" s="1">
        <v>46261</v>
      </c>
      <c r="B685">
        <v>50927877</v>
      </c>
      <c r="C685" t="s">
        <v>1709</v>
      </c>
      <c r="D685" t="s">
        <v>176</v>
      </c>
      <c r="E685" t="s">
        <v>4040</v>
      </c>
      <c r="F685" t="s">
        <v>4087</v>
      </c>
      <c r="G685" s="1">
        <v>46261</v>
      </c>
      <c r="H685" s="1">
        <v>46261</v>
      </c>
      <c r="I685" s="2">
        <v>0.25</v>
      </c>
      <c r="J685" s="2">
        <v>0.54166666666666663</v>
      </c>
      <c r="K685" t="s">
        <v>46</v>
      </c>
      <c r="L685">
        <v>0</v>
      </c>
      <c r="M685" t="s">
        <v>4260</v>
      </c>
      <c r="N685" t="s">
        <v>45</v>
      </c>
      <c r="O685" t="s">
        <v>46</v>
      </c>
      <c r="P685" t="s">
        <v>4042</v>
      </c>
      <c r="Q685">
        <v>7</v>
      </c>
    </row>
    <row r="686" spans="1:18" hidden="1" x14ac:dyDescent="0.25">
      <c r="A686" s="1">
        <v>46261</v>
      </c>
      <c r="B686">
        <v>1152187746</v>
      </c>
      <c r="C686" t="s">
        <v>4007</v>
      </c>
      <c r="D686" t="s">
        <v>619</v>
      </c>
      <c r="E686" t="s">
        <v>4045</v>
      </c>
      <c r="F686" t="s">
        <v>4091</v>
      </c>
      <c r="G686" s="1">
        <v>46261</v>
      </c>
      <c r="H686" s="1">
        <v>46263</v>
      </c>
      <c r="I686" s="2">
        <v>0.54166666666666663</v>
      </c>
      <c r="J686" s="2">
        <v>0.875</v>
      </c>
      <c r="K686" t="s">
        <v>223</v>
      </c>
      <c r="L686">
        <v>2</v>
      </c>
      <c r="M686" t="s">
        <v>4258</v>
      </c>
      <c r="N686" t="s">
        <v>222</v>
      </c>
      <c r="O686" t="s">
        <v>223</v>
      </c>
      <c r="P686" t="s">
        <v>21</v>
      </c>
      <c r="Q686">
        <v>8</v>
      </c>
    </row>
    <row r="687" spans="1:18" hidden="1" x14ac:dyDescent="0.25">
      <c r="A687" s="1">
        <v>46261</v>
      </c>
      <c r="B687">
        <v>1107046318</v>
      </c>
      <c r="C687" t="s">
        <v>268</v>
      </c>
      <c r="D687" t="s">
        <v>4078</v>
      </c>
      <c r="E687" t="s">
        <v>4056</v>
      </c>
      <c r="F687" t="s">
        <v>4087</v>
      </c>
      <c r="G687" s="1">
        <v>46261</v>
      </c>
      <c r="H687" s="1">
        <v>46261</v>
      </c>
      <c r="I687" s="2">
        <v>0.25</v>
      </c>
      <c r="J687" s="2">
        <v>0.54166666666666663</v>
      </c>
      <c r="K687" t="s">
        <v>268</v>
      </c>
      <c r="L687">
        <v>0</v>
      </c>
      <c r="M687" t="s">
        <v>4255</v>
      </c>
      <c r="N687" t="s">
        <v>267</v>
      </c>
      <c r="O687" t="s">
        <v>268</v>
      </c>
      <c r="P687" t="s">
        <v>4042</v>
      </c>
      <c r="Q687">
        <v>7</v>
      </c>
    </row>
    <row r="688" spans="1:18" hidden="1" x14ac:dyDescent="0.25">
      <c r="A688" s="1">
        <v>46261</v>
      </c>
      <c r="B688">
        <v>1007223463</v>
      </c>
      <c r="C688" t="s">
        <v>561</v>
      </c>
      <c r="D688" t="s">
        <v>2052</v>
      </c>
      <c r="E688" t="s">
        <v>4056</v>
      </c>
      <c r="F688" t="s">
        <v>4073</v>
      </c>
      <c r="G688" s="1">
        <v>46261</v>
      </c>
      <c r="H688" s="1">
        <v>46261</v>
      </c>
      <c r="I688" s="2">
        <v>0.29166666666666669</v>
      </c>
      <c r="J688" s="2">
        <v>0.58333333333333337</v>
      </c>
      <c r="K688" t="s">
        <v>4313</v>
      </c>
      <c r="L688">
        <v>0</v>
      </c>
      <c r="M688" t="s">
        <v>4255</v>
      </c>
      <c r="N688" t="s">
        <v>560</v>
      </c>
      <c r="O688" t="s">
        <v>561</v>
      </c>
      <c r="P688" t="s">
        <v>4042</v>
      </c>
      <c r="Q688">
        <v>7</v>
      </c>
      <c r="R688" t="s">
        <v>4263</v>
      </c>
    </row>
    <row r="689" spans="1:17" hidden="1" x14ac:dyDescent="0.25">
      <c r="A689" s="1">
        <v>46261</v>
      </c>
      <c r="B689">
        <v>1126251297</v>
      </c>
      <c r="C689" t="s">
        <v>286</v>
      </c>
      <c r="D689" t="s">
        <v>4079</v>
      </c>
      <c r="E689" t="s">
        <v>4056</v>
      </c>
      <c r="F689" t="s">
        <v>4079</v>
      </c>
      <c r="G689" s="1">
        <v>46261</v>
      </c>
      <c r="H689" s="1">
        <v>46261</v>
      </c>
      <c r="I689" s="2">
        <v>0.29166666666666669</v>
      </c>
      <c r="J689" s="2">
        <v>0.625</v>
      </c>
      <c r="K689" t="s">
        <v>286</v>
      </c>
      <c r="L689">
        <v>0</v>
      </c>
      <c r="M689" t="s">
        <v>4255</v>
      </c>
      <c r="N689" t="s">
        <v>285</v>
      </c>
      <c r="O689" t="s">
        <v>286</v>
      </c>
      <c r="P689" t="s">
        <v>4042</v>
      </c>
      <c r="Q689">
        <v>8</v>
      </c>
    </row>
    <row r="690" spans="1:17" hidden="1" x14ac:dyDescent="0.25">
      <c r="A690" s="1">
        <v>46262</v>
      </c>
      <c r="B690">
        <v>1128272024</v>
      </c>
      <c r="C690" t="s">
        <v>1101</v>
      </c>
      <c r="D690" t="s">
        <v>51</v>
      </c>
      <c r="E690" t="s">
        <v>4047</v>
      </c>
      <c r="F690" t="s">
        <v>4074</v>
      </c>
      <c r="G690" s="1">
        <v>46261</v>
      </c>
      <c r="H690" s="1">
        <v>46262</v>
      </c>
      <c r="I690" s="2"/>
      <c r="J690" s="2"/>
      <c r="K690" t="s">
        <v>339</v>
      </c>
      <c r="L690">
        <v>0</v>
      </c>
      <c r="P690" t="s">
        <v>4042</v>
      </c>
      <c r="Q690">
        <v>0</v>
      </c>
    </row>
    <row r="691" spans="1:17" hidden="1" x14ac:dyDescent="0.25">
      <c r="A691" s="1">
        <v>46262</v>
      </c>
      <c r="B691">
        <v>42161723</v>
      </c>
      <c r="C691" t="s">
        <v>4315</v>
      </c>
      <c r="D691" t="s">
        <v>256</v>
      </c>
      <c r="E691" t="s">
        <v>4040</v>
      </c>
      <c r="F691" t="s">
        <v>16</v>
      </c>
      <c r="G691" s="1">
        <v>46261</v>
      </c>
      <c r="H691" s="1">
        <v>46262</v>
      </c>
      <c r="I691" s="2"/>
      <c r="J691" s="2"/>
      <c r="K691" t="s">
        <v>339</v>
      </c>
      <c r="L691">
        <v>0</v>
      </c>
      <c r="P691" t="s">
        <v>4042</v>
      </c>
      <c r="Q691">
        <v>0</v>
      </c>
    </row>
    <row r="692" spans="1:17" hidden="1" x14ac:dyDescent="0.25">
      <c r="A692" s="1">
        <v>46262</v>
      </c>
      <c r="B692">
        <v>1143168832</v>
      </c>
      <c r="C692" t="s">
        <v>1965</v>
      </c>
      <c r="D692" t="s">
        <v>128</v>
      </c>
      <c r="E692" t="s">
        <v>4045</v>
      </c>
      <c r="F692" t="s">
        <v>4074</v>
      </c>
      <c r="G692" s="1">
        <v>46261</v>
      </c>
      <c r="H692" s="1">
        <v>46261</v>
      </c>
      <c r="I692" s="2"/>
      <c r="J692" s="2"/>
      <c r="K692" t="s">
        <v>339</v>
      </c>
      <c r="L692">
        <v>0</v>
      </c>
      <c r="P692" t="s">
        <v>4042</v>
      </c>
      <c r="Q692">
        <v>0</v>
      </c>
    </row>
    <row r="693" spans="1:17" hidden="1" x14ac:dyDescent="0.25">
      <c r="A693" s="1">
        <v>46262</v>
      </c>
      <c r="B693">
        <v>1095832090</v>
      </c>
      <c r="C693" t="s">
        <v>4243</v>
      </c>
      <c r="D693" t="s">
        <v>55</v>
      </c>
      <c r="E693" t="s">
        <v>4047</v>
      </c>
      <c r="F693" t="s">
        <v>16</v>
      </c>
      <c r="G693" s="1">
        <v>46260</v>
      </c>
      <c r="H693" s="1">
        <v>46274</v>
      </c>
      <c r="I693" s="2"/>
      <c r="J693" s="2"/>
      <c r="K693" t="s">
        <v>339</v>
      </c>
      <c r="L693">
        <v>0</v>
      </c>
      <c r="P693" t="s">
        <v>4042</v>
      </c>
      <c r="Q693">
        <v>0</v>
      </c>
    </row>
    <row r="694" spans="1:17" hidden="1" x14ac:dyDescent="0.25">
      <c r="A694" s="1">
        <v>46262</v>
      </c>
      <c r="B694">
        <v>1017271052</v>
      </c>
      <c r="C694" t="s">
        <v>489</v>
      </c>
      <c r="D694" t="s">
        <v>4316</v>
      </c>
      <c r="E694" t="s">
        <v>4047</v>
      </c>
      <c r="F694" t="s">
        <v>16</v>
      </c>
      <c r="G694" s="1">
        <v>46261</v>
      </c>
      <c r="H694" s="1">
        <v>46262</v>
      </c>
      <c r="I694" s="2"/>
      <c r="J694" s="2"/>
      <c r="K694" t="s">
        <v>339</v>
      </c>
      <c r="L694">
        <v>0</v>
      </c>
      <c r="P694" t="s">
        <v>4042</v>
      </c>
      <c r="Q694">
        <v>0</v>
      </c>
    </row>
    <row r="695" spans="1:17" hidden="1" x14ac:dyDescent="0.25">
      <c r="A695" s="1">
        <v>46262</v>
      </c>
      <c r="B695">
        <v>1002208089</v>
      </c>
      <c r="C695" t="s">
        <v>3350</v>
      </c>
      <c r="D695" t="s">
        <v>162</v>
      </c>
      <c r="E695" t="s">
        <v>4056</v>
      </c>
      <c r="F695" t="s">
        <v>16</v>
      </c>
      <c r="G695" s="1">
        <v>46261</v>
      </c>
      <c r="H695" s="1">
        <v>46262</v>
      </c>
      <c r="I695" s="2"/>
      <c r="J695" s="2"/>
      <c r="K695" t="s">
        <v>339</v>
      </c>
      <c r="L695">
        <v>0</v>
      </c>
      <c r="P695" t="s">
        <v>4042</v>
      </c>
      <c r="Q695">
        <v>0</v>
      </c>
    </row>
    <row r="696" spans="1:17" hidden="1" x14ac:dyDescent="0.25">
      <c r="A696" s="1">
        <v>46262</v>
      </c>
      <c r="B696">
        <v>1000416307</v>
      </c>
      <c r="C696" t="s">
        <v>3062</v>
      </c>
      <c r="D696" t="s">
        <v>256</v>
      </c>
      <c r="E696" t="s">
        <v>4040</v>
      </c>
      <c r="F696" t="s">
        <v>4050</v>
      </c>
      <c r="G696" s="1">
        <v>46261</v>
      </c>
      <c r="H696" s="1">
        <v>46263</v>
      </c>
      <c r="I696" s="2"/>
      <c r="J696" s="2"/>
      <c r="K696" t="s">
        <v>339</v>
      </c>
      <c r="L696">
        <v>0</v>
      </c>
      <c r="P696" t="s">
        <v>4042</v>
      </c>
      <c r="Q696">
        <v>0</v>
      </c>
    </row>
    <row r="697" spans="1:17" hidden="1" x14ac:dyDescent="0.25">
      <c r="A697" s="1">
        <v>46262</v>
      </c>
      <c r="B697">
        <v>1067959066</v>
      </c>
      <c r="C697" t="s">
        <v>3479</v>
      </c>
      <c r="D697" t="s">
        <v>344</v>
      </c>
      <c r="E697" t="s">
        <v>4056</v>
      </c>
      <c r="F697" t="s">
        <v>4091</v>
      </c>
      <c r="G697" s="1">
        <v>46261</v>
      </c>
      <c r="H697" s="1">
        <v>46295</v>
      </c>
      <c r="I697" s="2"/>
      <c r="J697" s="2"/>
      <c r="K697" t="s">
        <v>339</v>
      </c>
      <c r="L697">
        <v>0</v>
      </c>
      <c r="P697" t="s">
        <v>4042</v>
      </c>
      <c r="Q697">
        <v>0</v>
      </c>
    </row>
    <row r="698" spans="1:17" hidden="1" x14ac:dyDescent="0.25">
      <c r="A698" s="1">
        <v>46262</v>
      </c>
      <c r="B698">
        <v>1017232013</v>
      </c>
      <c r="C698" t="s">
        <v>4321</v>
      </c>
      <c r="D698" t="s">
        <v>28</v>
      </c>
      <c r="E698" t="s">
        <v>4046</v>
      </c>
      <c r="F698" t="s">
        <v>16</v>
      </c>
      <c r="G698" s="1">
        <v>46260</v>
      </c>
      <c r="H698" s="1">
        <v>46262</v>
      </c>
      <c r="I698" s="2"/>
      <c r="J698" s="2"/>
      <c r="K698" t="s">
        <v>339</v>
      </c>
      <c r="L698">
        <v>0</v>
      </c>
      <c r="P698" t="s">
        <v>4042</v>
      </c>
      <c r="Q698">
        <v>0</v>
      </c>
    </row>
    <row r="699" spans="1:17" hidden="1" x14ac:dyDescent="0.25">
      <c r="A699" s="1">
        <v>46262</v>
      </c>
      <c r="B699">
        <v>1143267842</v>
      </c>
      <c r="C699" t="s">
        <v>1501</v>
      </c>
      <c r="D699" t="s">
        <v>128</v>
      </c>
      <c r="E699" t="s">
        <v>4045</v>
      </c>
      <c r="F699" t="s">
        <v>4050</v>
      </c>
      <c r="G699" s="1">
        <v>46261</v>
      </c>
      <c r="H699" s="1">
        <v>46263</v>
      </c>
      <c r="I699" s="2"/>
      <c r="J699" s="2"/>
      <c r="K699" t="s">
        <v>339</v>
      </c>
      <c r="L699">
        <v>0</v>
      </c>
      <c r="P699" t="s">
        <v>4042</v>
      </c>
      <c r="Q699">
        <v>0</v>
      </c>
    </row>
    <row r="700" spans="1:17" hidden="1" x14ac:dyDescent="0.25">
      <c r="A700" s="1">
        <v>46262</v>
      </c>
      <c r="B700">
        <v>1067864151</v>
      </c>
      <c r="C700" t="s">
        <v>1809</v>
      </c>
      <c r="D700" t="s">
        <v>256</v>
      </c>
      <c r="E700" t="s">
        <v>4040</v>
      </c>
      <c r="F700" t="s">
        <v>16</v>
      </c>
      <c r="G700" s="1">
        <v>46261</v>
      </c>
      <c r="H700" s="1">
        <v>46268</v>
      </c>
      <c r="I700" s="2"/>
      <c r="J700" s="2"/>
      <c r="K700" t="s">
        <v>339</v>
      </c>
      <c r="L700">
        <v>0</v>
      </c>
      <c r="P700" t="s">
        <v>4042</v>
      </c>
      <c r="Q700">
        <v>0</v>
      </c>
    </row>
    <row r="701" spans="1:17" hidden="1" x14ac:dyDescent="0.25">
      <c r="A701" s="1">
        <v>46262</v>
      </c>
      <c r="B701">
        <v>1143373273</v>
      </c>
      <c r="C701" t="s">
        <v>2037</v>
      </c>
      <c r="D701" t="s">
        <v>4318</v>
      </c>
      <c r="E701" t="s">
        <v>4056</v>
      </c>
      <c r="F701" t="s">
        <v>16</v>
      </c>
      <c r="G701" s="1">
        <v>46259</v>
      </c>
      <c r="H701" s="1">
        <v>46266</v>
      </c>
      <c r="I701" s="2"/>
      <c r="J701" s="2"/>
      <c r="K701" t="s">
        <v>339</v>
      </c>
      <c r="L701">
        <v>0</v>
      </c>
      <c r="P701" t="s">
        <v>4042</v>
      </c>
      <c r="Q701">
        <v>0</v>
      </c>
    </row>
    <row r="702" spans="1:17" hidden="1" x14ac:dyDescent="0.25">
      <c r="A702" s="1">
        <v>46262</v>
      </c>
      <c r="B702">
        <v>1007959114</v>
      </c>
      <c r="C702" t="s">
        <v>4154</v>
      </c>
      <c r="D702" t="s">
        <v>39</v>
      </c>
      <c r="E702" t="s">
        <v>4046</v>
      </c>
      <c r="F702" t="s">
        <v>4074</v>
      </c>
      <c r="G702" s="1">
        <v>46261</v>
      </c>
      <c r="H702" s="1">
        <v>46261</v>
      </c>
      <c r="I702" s="2"/>
      <c r="J702" s="2"/>
      <c r="K702" t="s">
        <v>339</v>
      </c>
      <c r="L702">
        <v>0</v>
      </c>
      <c r="P702" t="s">
        <v>4042</v>
      </c>
      <c r="Q702">
        <v>0</v>
      </c>
    </row>
    <row r="703" spans="1:17" hidden="1" x14ac:dyDescent="0.25">
      <c r="A703" s="1">
        <v>46262</v>
      </c>
      <c r="B703">
        <v>1003930736</v>
      </c>
      <c r="C703" t="s">
        <v>4319</v>
      </c>
      <c r="D703" t="s">
        <v>51</v>
      </c>
      <c r="E703" t="s">
        <v>4047</v>
      </c>
      <c r="F703" t="s">
        <v>4074</v>
      </c>
      <c r="G703" s="1">
        <v>46261</v>
      </c>
      <c r="H703" s="1"/>
      <c r="I703" s="2"/>
      <c r="J703" s="2"/>
      <c r="K703" t="s">
        <v>4247</v>
      </c>
      <c r="L703">
        <v>0</v>
      </c>
      <c r="P703" t="s">
        <v>4042</v>
      </c>
      <c r="Q703">
        <v>0</v>
      </c>
    </row>
    <row r="704" spans="1:17" hidden="1" x14ac:dyDescent="0.25">
      <c r="A704" s="1">
        <v>46262</v>
      </c>
      <c r="B704">
        <v>1037660327</v>
      </c>
      <c r="C704" t="s">
        <v>4302</v>
      </c>
      <c r="D704" t="s">
        <v>68</v>
      </c>
      <c r="E704" t="s">
        <v>4040</v>
      </c>
      <c r="F704" t="s">
        <v>16</v>
      </c>
      <c r="G704" s="1">
        <v>46260</v>
      </c>
      <c r="H704" s="1">
        <v>46260</v>
      </c>
      <c r="I704" s="2"/>
      <c r="J704" s="2"/>
      <c r="K704" t="s">
        <v>339</v>
      </c>
      <c r="L704">
        <v>0</v>
      </c>
      <c r="P704" t="s">
        <v>4042</v>
      </c>
      <c r="Q704">
        <v>0</v>
      </c>
    </row>
    <row r="705" spans="1:17" hidden="1" x14ac:dyDescent="0.25">
      <c r="A705" s="1">
        <v>46262</v>
      </c>
      <c r="B705">
        <v>1015483595</v>
      </c>
      <c r="C705" t="s">
        <v>221</v>
      </c>
      <c r="D705" t="s">
        <v>15</v>
      </c>
      <c r="E705" t="s">
        <v>4046</v>
      </c>
      <c r="F705" t="s">
        <v>4087</v>
      </c>
      <c r="G705" s="1">
        <v>46260</v>
      </c>
      <c r="H705" s="1">
        <v>46260</v>
      </c>
      <c r="I705" s="2"/>
      <c r="J705" s="2"/>
      <c r="K705" t="s">
        <v>339</v>
      </c>
      <c r="L705">
        <v>0</v>
      </c>
      <c r="P705" t="s">
        <v>4042</v>
      </c>
      <c r="Q705">
        <v>0</v>
      </c>
    </row>
    <row r="706" spans="1:17" hidden="1" x14ac:dyDescent="0.25">
      <c r="A706" s="1">
        <v>46262</v>
      </c>
      <c r="B706">
        <v>1037662189</v>
      </c>
      <c r="C706" t="s">
        <v>3657</v>
      </c>
      <c r="D706" t="s">
        <v>68</v>
      </c>
      <c r="E706" t="s">
        <v>4040</v>
      </c>
      <c r="F706" t="s">
        <v>4091</v>
      </c>
      <c r="G706" s="1">
        <v>46260</v>
      </c>
      <c r="H706" s="1">
        <v>46260</v>
      </c>
      <c r="I706" s="2"/>
      <c r="J706" s="2"/>
      <c r="K706" t="s">
        <v>339</v>
      </c>
      <c r="L706">
        <v>0</v>
      </c>
      <c r="P706" t="s">
        <v>4042</v>
      </c>
      <c r="Q706">
        <v>0</v>
      </c>
    </row>
    <row r="707" spans="1:17" hidden="1" x14ac:dyDescent="0.25">
      <c r="A707" s="1">
        <v>46262</v>
      </c>
      <c r="B707">
        <v>1017238267</v>
      </c>
      <c r="C707" t="s">
        <v>2537</v>
      </c>
      <c r="D707" t="s">
        <v>55</v>
      </c>
      <c r="E707" t="s">
        <v>4047</v>
      </c>
      <c r="F707" t="s">
        <v>16</v>
      </c>
      <c r="G707" s="1">
        <v>46259</v>
      </c>
      <c r="H707" s="1">
        <v>46261</v>
      </c>
      <c r="I707" s="2"/>
      <c r="J707" s="2"/>
      <c r="K707" t="s">
        <v>339</v>
      </c>
      <c r="L707">
        <v>0</v>
      </c>
      <c r="P707" t="s">
        <v>4042</v>
      </c>
      <c r="Q707">
        <v>0</v>
      </c>
    </row>
    <row r="708" spans="1:17" hidden="1" x14ac:dyDescent="0.25">
      <c r="A708" s="1">
        <v>46262</v>
      </c>
      <c r="B708">
        <v>1003045926</v>
      </c>
      <c r="C708" t="s">
        <v>2063</v>
      </c>
      <c r="D708" t="s">
        <v>124</v>
      </c>
      <c r="E708" t="s">
        <v>4045</v>
      </c>
      <c r="F708" t="s">
        <v>16</v>
      </c>
      <c r="G708" s="1">
        <v>46258</v>
      </c>
      <c r="H708" s="1">
        <v>46262</v>
      </c>
      <c r="I708" s="2"/>
      <c r="J708" s="2"/>
      <c r="K708" t="s">
        <v>339</v>
      </c>
      <c r="L708">
        <v>0</v>
      </c>
      <c r="P708" t="s">
        <v>4042</v>
      </c>
      <c r="Q708">
        <v>0</v>
      </c>
    </row>
    <row r="709" spans="1:17" hidden="1" x14ac:dyDescent="0.25">
      <c r="A709" s="1">
        <v>46262</v>
      </c>
      <c r="B709">
        <v>1038408808</v>
      </c>
      <c r="C709" t="s">
        <v>483</v>
      </c>
      <c r="D709" t="s">
        <v>132</v>
      </c>
      <c r="E709" t="s">
        <v>4040</v>
      </c>
      <c r="F709" t="s">
        <v>16</v>
      </c>
      <c r="G709" s="1">
        <v>46259</v>
      </c>
      <c r="H709" s="1">
        <v>46262</v>
      </c>
      <c r="I709" s="2"/>
      <c r="J709" s="2"/>
      <c r="K709" t="s">
        <v>339</v>
      </c>
      <c r="L709">
        <v>0</v>
      </c>
      <c r="P709" t="s">
        <v>4042</v>
      </c>
      <c r="Q709">
        <v>0</v>
      </c>
    </row>
    <row r="710" spans="1:17" hidden="1" x14ac:dyDescent="0.25">
      <c r="A710" s="1">
        <v>46262</v>
      </c>
      <c r="B710">
        <v>1010135017</v>
      </c>
      <c r="C710" t="s">
        <v>1311</v>
      </c>
      <c r="D710" t="s">
        <v>256</v>
      </c>
      <c r="E710" t="s">
        <v>4040</v>
      </c>
      <c r="F710" t="s">
        <v>4074</v>
      </c>
      <c r="G710" s="1">
        <v>46259</v>
      </c>
      <c r="H710" s="1">
        <v>46261</v>
      </c>
      <c r="I710" s="2"/>
      <c r="J710" s="2"/>
      <c r="K710" t="s">
        <v>339</v>
      </c>
      <c r="L710">
        <v>0</v>
      </c>
      <c r="P710" t="s">
        <v>4042</v>
      </c>
      <c r="Q710">
        <v>0</v>
      </c>
    </row>
    <row r="711" spans="1:17" hidden="1" x14ac:dyDescent="0.25">
      <c r="A711" s="1">
        <v>46262</v>
      </c>
      <c r="B711">
        <v>1143375080</v>
      </c>
      <c r="C711" t="s">
        <v>157</v>
      </c>
      <c r="D711" t="s">
        <v>44</v>
      </c>
      <c r="E711" t="s">
        <v>4045</v>
      </c>
      <c r="F711" t="s">
        <v>16</v>
      </c>
      <c r="G711" s="1">
        <v>46258</v>
      </c>
      <c r="H711" s="1">
        <v>46287</v>
      </c>
      <c r="I711" s="2"/>
      <c r="J711" s="2"/>
      <c r="K711" t="s">
        <v>339</v>
      </c>
      <c r="L711">
        <v>0</v>
      </c>
      <c r="P711" t="s">
        <v>4042</v>
      </c>
      <c r="Q711">
        <v>0</v>
      </c>
    </row>
    <row r="712" spans="1:17" hidden="1" x14ac:dyDescent="0.25">
      <c r="A712" s="1">
        <v>46262</v>
      </c>
      <c r="B712">
        <v>1037631989</v>
      </c>
      <c r="C712" t="s">
        <v>27</v>
      </c>
      <c r="D712" t="s">
        <v>28</v>
      </c>
      <c r="E712" t="s">
        <v>4046</v>
      </c>
      <c r="F712" t="s">
        <v>16</v>
      </c>
      <c r="G712" s="1">
        <v>46256</v>
      </c>
      <c r="H712" s="1">
        <v>46285</v>
      </c>
      <c r="I712" s="2"/>
      <c r="J712" s="2"/>
      <c r="K712" t="s">
        <v>339</v>
      </c>
      <c r="L712">
        <v>0</v>
      </c>
      <c r="P712" t="s">
        <v>4042</v>
      </c>
      <c r="Q712">
        <v>0</v>
      </c>
    </row>
    <row r="713" spans="1:17" hidden="1" x14ac:dyDescent="0.25">
      <c r="A713" s="1">
        <v>46262</v>
      </c>
      <c r="B713">
        <v>1081916952</v>
      </c>
      <c r="C713" t="s">
        <v>2540</v>
      </c>
      <c r="D713" t="s">
        <v>124</v>
      </c>
      <c r="E713" t="s">
        <v>4045</v>
      </c>
      <c r="F713" t="s">
        <v>4074</v>
      </c>
      <c r="G713" s="1">
        <v>46259</v>
      </c>
      <c r="H713" s="1">
        <v>46259</v>
      </c>
      <c r="I713" s="2"/>
      <c r="J713" s="2"/>
      <c r="K713" t="s">
        <v>339</v>
      </c>
      <c r="L713">
        <v>0</v>
      </c>
      <c r="P713" t="s">
        <v>4042</v>
      </c>
      <c r="Q713">
        <v>0</v>
      </c>
    </row>
    <row r="714" spans="1:17" hidden="1" x14ac:dyDescent="0.25">
      <c r="A714" s="1">
        <v>46262</v>
      </c>
      <c r="B714">
        <v>1032488873</v>
      </c>
      <c r="C714" t="s">
        <v>4240</v>
      </c>
      <c r="D714" t="s">
        <v>55</v>
      </c>
      <c r="E714" t="s">
        <v>4047</v>
      </c>
      <c r="F714" t="s">
        <v>4074</v>
      </c>
      <c r="G714" s="1">
        <v>46259</v>
      </c>
      <c r="H714" s="1">
        <v>46263</v>
      </c>
      <c r="I714" s="2"/>
      <c r="J714" s="2"/>
      <c r="K714" t="s">
        <v>339</v>
      </c>
      <c r="L714">
        <v>0</v>
      </c>
      <c r="P714" t="s">
        <v>4042</v>
      </c>
      <c r="Q714">
        <v>0</v>
      </c>
    </row>
    <row r="715" spans="1:17" hidden="1" x14ac:dyDescent="0.25">
      <c r="A715" s="1">
        <v>46262</v>
      </c>
      <c r="B715">
        <v>1000944725</v>
      </c>
      <c r="C715" t="s">
        <v>3007</v>
      </c>
      <c r="D715" t="s">
        <v>28</v>
      </c>
      <c r="E715" t="s">
        <v>4046</v>
      </c>
      <c r="F715" t="s">
        <v>16</v>
      </c>
      <c r="G715" s="1">
        <v>46258</v>
      </c>
      <c r="H715" s="1">
        <v>46267</v>
      </c>
      <c r="I715" s="2"/>
      <c r="J715" s="2"/>
      <c r="K715" t="s">
        <v>339</v>
      </c>
      <c r="L715">
        <v>0</v>
      </c>
      <c r="P715" t="s">
        <v>4042</v>
      </c>
      <c r="Q715">
        <v>0</v>
      </c>
    </row>
    <row r="716" spans="1:17" hidden="1" x14ac:dyDescent="0.25">
      <c r="A716" s="1">
        <v>46262</v>
      </c>
      <c r="B716">
        <v>1067864151</v>
      </c>
      <c r="C716" t="s">
        <v>1809</v>
      </c>
      <c r="D716" t="s">
        <v>256</v>
      </c>
      <c r="E716" t="s">
        <v>4040</v>
      </c>
      <c r="F716" t="s">
        <v>16</v>
      </c>
      <c r="G716" s="1">
        <v>46258</v>
      </c>
      <c r="H716" s="1">
        <v>46260</v>
      </c>
      <c r="I716" s="2"/>
      <c r="J716" s="2"/>
      <c r="K716" t="s">
        <v>339</v>
      </c>
      <c r="L716">
        <v>0</v>
      </c>
      <c r="P716" t="s">
        <v>4042</v>
      </c>
      <c r="Q716">
        <v>0</v>
      </c>
    </row>
    <row r="717" spans="1:17" hidden="1" x14ac:dyDescent="0.25">
      <c r="A717" s="1">
        <v>46262</v>
      </c>
      <c r="B717">
        <v>1017264032</v>
      </c>
      <c r="C717" t="s">
        <v>88</v>
      </c>
      <c r="D717" t="s">
        <v>55</v>
      </c>
      <c r="E717" t="s">
        <v>4047</v>
      </c>
      <c r="F717" t="s">
        <v>16</v>
      </c>
      <c r="G717" s="1">
        <v>46259</v>
      </c>
      <c r="H717" s="1">
        <v>46265</v>
      </c>
      <c r="I717" s="2"/>
      <c r="J717" s="2"/>
      <c r="K717" t="s">
        <v>339</v>
      </c>
      <c r="L717">
        <v>0</v>
      </c>
      <c r="P717" t="s">
        <v>4042</v>
      </c>
      <c r="Q717">
        <v>0</v>
      </c>
    </row>
    <row r="718" spans="1:17" hidden="1" x14ac:dyDescent="0.25">
      <c r="A718" s="1">
        <v>46262</v>
      </c>
      <c r="B718">
        <v>1000294973</v>
      </c>
      <c r="C718" t="s">
        <v>1266</v>
      </c>
      <c r="D718" t="s">
        <v>15</v>
      </c>
      <c r="E718" t="s">
        <v>4046</v>
      </c>
      <c r="F718" t="s">
        <v>4123</v>
      </c>
      <c r="G718" s="1">
        <v>46260</v>
      </c>
      <c r="H718" s="1">
        <v>46262</v>
      </c>
      <c r="I718" s="2"/>
      <c r="J718" s="2"/>
      <c r="K718" t="s">
        <v>339</v>
      </c>
      <c r="L718">
        <v>0</v>
      </c>
      <c r="P718" t="s">
        <v>4042</v>
      </c>
      <c r="Q718">
        <v>0</v>
      </c>
    </row>
    <row r="719" spans="1:17" hidden="1" x14ac:dyDescent="0.25">
      <c r="A719" s="1">
        <v>46262</v>
      </c>
      <c r="B719">
        <v>1152434926</v>
      </c>
      <c r="C719" t="s">
        <v>217</v>
      </c>
      <c r="D719" t="s">
        <v>59</v>
      </c>
      <c r="E719" t="s">
        <v>4047</v>
      </c>
      <c r="F719" t="s">
        <v>16</v>
      </c>
      <c r="G719" s="1">
        <v>46258</v>
      </c>
      <c r="H719" s="1">
        <v>46263</v>
      </c>
      <c r="I719" s="2"/>
      <c r="J719" s="2"/>
      <c r="K719" t="s">
        <v>339</v>
      </c>
      <c r="L719">
        <v>0</v>
      </c>
      <c r="P719" t="s">
        <v>4042</v>
      </c>
      <c r="Q719">
        <v>0</v>
      </c>
    </row>
    <row r="720" spans="1:17" hidden="1" x14ac:dyDescent="0.25">
      <c r="A720" s="1">
        <v>46262</v>
      </c>
      <c r="B720">
        <v>1116283658</v>
      </c>
      <c r="C720" t="s">
        <v>283</v>
      </c>
      <c r="D720" t="s">
        <v>39</v>
      </c>
      <c r="E720" t="s">
        <v>4046</v>
      </c>
      <c r="F720" t="s">
        <v>24</v>
      </c>
      <c r="G720" s="1">
        <v>46258</v>
      </c>
      <c r="H720" s="1">
        <v>46265</v>
      </c>
      <c r="I720" s="2"/>
      <c r="J720" s="2"/>
      <c r="K720" t="s">
        <v>339</v>
      </c>
      <c r="L720">
        <v>0</v>
      </c>
      <c r="P720" t="s">
        <v>4042</v>
      </c>
      <c r="Q720">
        <v>0</v>
      </c>
    </row>
    <row r="721" spans="1:17" hidden="1" x14ac:dyDescent="0.25">
      <c r="A721" s="1">
        <v>46262</v>
      </c>
      <c r="B721">
        <v>71317684</v>
      </c>
      <c r="C721" t="s">
        <v>4304</v>
      </c>
      <c r="D721" t="s">
        <v>44</v>
      </c>
      <c r="E721" t="s">
        <v>4045</v>
      </c>
      <c r="F721" t="s">
        <v>24</v>
      </c>
      <c r="G721" s="1">
        <v>46261</v>
      </c>
      <c r="H721" s="1">
        <v>46261</v>
      </c>
      <c r="I721" s="2"/>
      <c r="J721" s="2"/>
      <c r="K721" t="s">
        <v>339</v>
      </c>
      <c r="L721">
        <v>0</v>
      </c>
      <c r="P721" t="s">
        <v>4042</v>
      </c>
      <c r="Q721">
        <v>0</v>
      </c>
    </row>
    <row r="722" spans="1:17" hidden="1" x14ac:dyDescent="0.25">
      <c r="A722" s="1">
        <v>46262</v>
      </c>
      <c r="B722">
        <v>1096223065</v>
      </c>
      <c r="C722" t="s">
        <v>3428</v>
      </c>
      <c r="D722" t="s">
        <v>59</v>
      </c>
      <c r="E722" t="s">
        <v>4047</v>
      </c>
      <c r="F722" t="s">
        <v>24</v>
      </c>
      <c r="G722" s="1">
        <v>46253</v>
      </c>
      <c r="H722" s="1">
        <v>46265</v>
      </c>
      <c r="I722" s="2"/>
      <c r="J722" s="2"/>
      <c r="K722" t="s">
        <v>339</v>
      </c>
      <c r="L722">
        <v>0</v>
      </c>
      <c r="P722" t="s">
        <v>4042</v>
      </c>
      <c r="Q722">
        <v>0</v>
      </c>
    </row>
    <row r="723" spans="1:17" hidden="1" x14ac:dyDescent="0.25">
      <c r="A723" s="1">
        <v>46262</v>
      </c>
      <c r="B723">
        <v>1045718883</v>
      </c>
      <c r="C723" t="s">
        <v>34</v>
      </c>
      <c r="D723" t="s">
        <v>128</v>
      </c>
      <c r="E723" t="s">
        <v>4045</v>
      </c>
      <c r="F723" t="s">
        <v>36</v>
      </c>
      <c r="G723" s="1">
        <v>46244</v>
      </c>
      <c r="H723" s="1">
        <v>46393</v>
      </c>
      <c r="I723" s="2"/>
      <c r="J723" s="2"/>
      <c r="K723" t="s">
        <v>339</v>
      </c>
      <c r="L723">
        <v>0</v>
      </c>
      <c r="P723" t="s">
        <v>4042</v>
      </c>
      <c r="Q723">
        <v>0</v>
      </c>
    </row>
    <row r="724" spans="1:17" hidden="1" x14ac:dyDescent="0.25">
      <c r="A724" s="1">
        <v>46262</v>
      </c>
      <c r="B724">
        <v>1043006106</v>
      </c>
      <c r="C724" t="s">
        <v>63</v>
      </c>
      <c r="D724" t="s">
        <v>64</v>
      </c>
      <c r="E724" t="s">
        <v>4046</v>
      </c>
      <c r="F724" t="s">
        <v>16</v>
      </c>
      <c r="G724" s="1">
        <v>46249</v>
      </c>
      <c r="H724" s="1">
        <v>46278</v>
      </c>
      <c r="I724" s="2"/>
      <c r="J724" s="2"/>
      <c r="K724" t="s">
        <v>339</v>
      </c>
      <c r="L724">
        <v>0</v>
      </c>
      <c r="P724" t="s">
        <v>4042</v>
      </c>
      <c r="Q724">
        <v>0</v>
      </c>
    </row>
    <row r="725" spans="1:17" hidden="1" x14ac:dyDescent="0.25">
      <c r="A725" s="1">
        <v>46262</v>
      </c>
      <c r="B725">
        <v>1040755197</v>
      </c>
      <c r="C725" t="s">
        <v>171</v>
      </c>
      <c r="D725" t="s">
        <v>102</v>
      </c>
      <c r="E725" t="s">
        <v>4046</v>
      </c>
      <c r="F725" t="s">
        <v>4074</v>
      </c>
      <c r="G725" s="1">
        <v>46252</v>
      </c>
      <c r="H725" s="1">
        <v>46262</v>
      </c>
      <c r="I725" s="2"/>
      <c r="J725" s="2"/>
      <c r="K725" t="s">
        <v>339</v>
      </c>
      <c r="L725">
        <v>0</v>
      </c>
      <c r="P725" t="s">
        <v>4042</v>
      </c>
      <c r="Q725">
        <v>0</v>
      </c>
    </row>
    <row r="726" spans="1:17" hidden="1" x14ac:dyDescent="0.25">
      <c r="A726" s="1">
        <v>46262</v>
      </c>
      <c r="B726">
        <v>1102808787</v>
      </c>
      <c r="C726" t="s">
        <v>135</v>
      </c>
      <c r="D726" t="s">
        <v>39</v>
      </c>
      <c r="E726" t="s">
        <v>4046</v>
      </c>
      <c r="F726" t="s">
        <v>16</v>
      </c>
      <c r="G726" s="1">
        <v>46245</v>
      </c>
      <c r="H726" s="1">
        <v>46276</v>
      </c>
      <c r="I726" s="2"/>
      <c r="J726" s="2"/>
      <c r="K726" t="s">
        <v>339</v>
      </c>
      <c r="L726">
        <v>0</v>
      </c>
      <c r="P726" t="s">
        <v>4042</v>
      </c>
      <c r="Q726">
        <v>0</v>
      </c>
    </row>
    <row r="727" spans="1:17" hidden="1" x14ac:dyDescent="0.25">
      <c r="A727" s="1">
        <v>46262</v>
      </c>
      <c r="B727">
        <v>1037638426</v>
      </c>
      <c r="C727" t="s">
        <v>61</v>
      </c>
      <c r="D727" t="s">
        <v>28</v>
      </c>
      <c r="E727" t="s">
        <v>4046</v>
      </c>
      <c r="F727" t="s">
        <v>24</v>
      </c>
      <c r="G727" s="1">
        <v>46249</v>
      </c>
      <c r="H727" s="1">
        <v>46262</v>
      </c>
      <c r="I727" s="2"/>
      <c r="J727" s="2"/>
      <c r="K727" t="s">
        <v>339</v>
      </c>
      <c r="L727">
        <v>0</v>
      </c>
      <c r="P727" t="s">
        <v>4042</v>
      </c>
      <c r="Q727">
        <v>0</v>
      </c>
    </row>
    <row r="728" spans="1:17" hidden="1" x14ac:dyDescent="0.25">
      <c r="A728" s="1">
        <v>46262</v>
      </c>
      <c r="B728">
        <v>1082896324</v>
      </c>
      <c r="C728" t="s">
        <v>127</v>
      </c>
      <c r="D728" t="s">
        <v>128</v>
      </c>
      <c r="E728" t="s">
        <v>4045</v>
      </c>
      <c r="F728" t="s">
        <v>16</v>
      </c>
      <c r="G728" s="1">
        <v>46242</v>
      </c>
      <c r="H728" s="1">
        <v>46272</v>
      </c>
      <c r="I728" s="2"/>
      <c r="J728" s="2"/>
      <c r="K728" t="s">
        <v>339</v>
      </c>
      <c r="L728">
        <v>0</v>
      </c>
      <c r="P728" t="s">
        <v>4042</v>
      </c>
      <c r="Q728">
        <v>0</v>
      </c>
    </row>
    <row r="729" spans="1:17" hidden="1" x14ac:dyDescent="0.25">
      <c r="A729" s="1">
        <v>46262</v>
      </c>
      <c r="B729">
        <v>1152446353</v>
      </c>
      <c r="C729" t="s">
        <v>205</v>
      </c>
      <c r="D729" t="s">
        <v>51</v>
      </c>
      <c r="E729" t="s">
        <v>4047</v>
      </c>
      <c r="F729" t="s">
        <v>92</v>
      </c>
      <c r="G729" s="1">
        <v>46236</v>
      </c>
      <c r="H729" s="1">
        <v>46262</v>
      </c>
      <c r="I729" s="2"/>
      <c r="J729" s="2"/>
      <c r="K729" t="s">
        <v>339</v>
      </c>
      <c r="L729">
        <v>0</v>
      </c>
      <c r="P729" t="s">
        <v>4042</v>
      </c>
      <c r="Q729">
        <v>0</v>
      </c>
    </row>
    <row r="730" spans="1:17" hidden="1" x14ac:dyDescent="0.25">
      <c r="A730" s="1">
        <v>46262</v>
      </c>
      <c r="B730">
        <v>1015483595</v>
      </c>
      <c r="C730" t="s">
        <v>221</v>
      </c>
      <c r="D730" t="s">
        <v>15</v>
      </c>
      <c r="E730" t="s">
        <v>4046</v>
      </c>
      <c r="F730" t="s">
        <v>24</v>
      </c>
      <c r="G730" s="1">
        <v>46244</v>
      </c>
      <c r="H730" s="1">
        <v>46265</v>
      </c>
      <c r="I730" s="2"/>
      <c r="J730" s="2"/>
      <c r="K730" t="s">
        <v>339</v>
      </c>
      <c r="L730">
        <v>0</v>
      </c>
      <c r="P730" t="s">
        <v>4042</v>
      </c>
      <c r="Q730">
        <v>0</v>
      </c>
    </row>
    <row r="731" spans="1:17" hidden="1" x14ac:dyDescent="0.25">
      <c r="A731" s="1">
        <v>46262</v>
      </c>
      <c r="B731">
        <v>1001851670</v>
      </c>
      <c r="C731" t="s">
        <v>50</v>
      </c>
      <c r="D731" t="s">
        <v>51</v>
      </c>
      <c r="E731" t="s">
        <v>4047</v>
      </c>
      <c r="F731" t="s">
        <v>36</v>
      </c>
      <c r="G731" s="1">
        <v>46241</v>
      </c>
      <c r="H731" s="1">
        <v>46366</v>
      </c>
      <c r="I731" s="2"/>
      <c r="J731" s="2"/>
      <c r="K731" t="s">
        <v>339</v>
      </c>
      <c r="L731">
        <v>0</v>
      </c>
      <c r="P731" t="s">
        <v>4042</v>
      </c>
      <c r="Q731">
        <v>0</v>
      </c>
    </row>
    <row r="732" spans="1:17" hidden="1" x14ac:dyDescent="0.25">
      <c r="A732" s="1">
        <v>46262</v>
      </c>
      <c r="B732">
        <v>1000415206</v>
      </c>
      <c r="C732" t="s">
        <v>325</v>
      </c>
      <c r="D732" t="s">
        <v>128</v>
      </c>
      <c r="E732" t="s">
        <v>4045</v>
      </c>
      <c r="F732" t="s">
        <v>326</v>
      </c>
      <c r="G732" s="1">
        <v>46258</v>
      </c>
      <c r="H732" s="1">
        <v>46262</v>
      </c>
      <c r="I732" s="2"/>
      <c r="J732" s="2"/>
      <c r="K732" t="s">
        <v>339</v>
      </c>
      <c r="L732">
        <v>0</v>
      </c>
      <c r="P732" t="s">
        <v>4042</v>
      </c>
      <c r="Q732">
        <v>0</v>
      </c>
    </row>
    <row r="733" spans="1:17" hidden="1" x14ac:dyDescent="0.25">
      <c r="A733" s="1">
        <v>46262</v>
      </c>
      <c r="B733">
        <v>42141273</v>
      </c>
      <c r="C733" t="s">
        <v>271</v>
      </c>
      <c r="D733" t="s">
        <v>272</v>
      </c>
      <c r="E733" t="s">
        <v>4056</v>
      </c>
      <c r="F733" t="s">
        <v>4065</v>
      </c>
      <c r="G733" s="1">
        <v>46238</v>
      </c>
      <c r="H733" s="1">
        <v>46295</v>
      </c>
      <c r="I733" s="2"/>
      <c r="J733" s="2"/>
      <c r="K733" t="s">
        <v>339</v>
      </c>
      <c r="L733">
        <v>0</v>
      </c>
      <c r="P733" t="s">
        <v>4042</v>
      </c>
      <c r="Q733">
        <v>0</v>
      </c>
    </row>
    <row r="734" spans="1:17" hidden="1" x14ac:dyDescent="0.25">
      <c r="A734" s="1">
        <v>46262</v>
      </c>
      <c r="B734">
        <v>1005424850</v>
      </c>
      <c r="C734" t="s">
        <v>95</v>
      </c>
      <c r="D734" t="s">
        <v>82</v>
      </c>
      <c r="E734" t="s">
        <v>4045</v>
      </c>
      <c r="F734" t="s">
        <v>4074</v>
      </c>
      <c r="G734" s="1">
        <v>46238</v>
      </c>
      <c r="H734" s="1">
        <v>46262</v>
      </c>
      <c r="I734" s="2"/>
      <c r="J734" s="2"/>
      <c r="K734" t="s">
        <v>339</v>
      </c>
      <c r="L734">
        <v>0</v>
      </c>
      <c r="P734" t="s">
        <v>4042</v>
      </c>
      <c r="Q734">
        <v>0</v>
      </c>
    </row>
    <row r="735" spans="1:17" hidden="1" x14ac:dyDescent="0.25">
      <c r="A735" s="1">
        <v>46262</v>
      </c>
      <c r="B735">
        <v>1152221372</v>
      </c>
      <c r="C735" t="s">
        <v>4072</v>
      </c>
      <c r="D735" t="s">
        <v>139</v>
      </c>
      <c r="E735" t="s">
        <v>4040</v>
      </c>
      <c r="F735" t="s">
        <v>4074</v>
      </c>
      <c r="G735" s="1">
        <v>46230</v>
      </c>
      <c r="H735" s="1">
        <v>46230</v>
      </c>
      <c r="I735" s="2"/>
      <c r="J735" s="2"/>
      <c r="K735" t="s">
        <v>339</v>
      </c>
      <c r="L735">
        <v>0</v>
      </c>
      <c r="P735" t="s">
        <v>4042</v>
      </c>
      <c r="Q735">
        <v>0</v>
      </c>
    </row>
    <row r="736" spans="1:17" hidden="1" x14ac:dyDescent="0.25">
      <c r="A736" s="1">
        <v>46262</v>
      </c>
      <c r="B736">
        <v>1037630071</v>
      </c>
      <c r="C736" t="s">
        <v>4196</v>
      </c>
      <c r="D736" t="s">
        <v>139</v>
      </c>
      <c r="E736" t="s">
        <v>4040</v>
      </c>
      <c r="F736" t="s">
        <v>4062</v>
      </c>
      <c r="G736" s="1">
        <v>46247</v>
      </c>
      <c r="H736" s="1">
        <v>46265</v>
      </c>
      <c r="I736" s="2"/>
      <c r="J736" s="2"/>
      <c r="K736" t="s">
        <v>339</v>
      </c>
      <c r="L736">
        <v>0</v>
      </c>
      <c r="P736" t="s">
        <v>4042</v>
      </c>
      <c r="Q736">
        <v>0</v>
      </c>
    </row>
    <row r="737" spans="1:17" hidden="1" x14ac:dyDescent="0.25">
      <c r="A737" s="1">
        <v>46262</v>
      </c>
      <c r="B737">
        <v>1143460426</v>
      </c>
      <c r="C737" t="s">
        <v>4069</v>
      </c>
      <c r="D737" t="s">
        <v>64</v>
      </c>
      <c r="E737" t="s">
        <v>4046</v>
      </c>
      <c r="F737" t="s">
        <v>4050</v>
      </c>
      <c r="G737" s="1">
        <v>46195</v>
      </c>
      <c r="H737" s="1">
        <v>46198</v>
      </c>
      <c r="I737" s="2"/>
      <c r="J737" s="2"/>
      <c r="K737" t="s">
        <v>339</v>
      </c>
      <c r="L737">
        <v>0</v>
      </c>
      <c r="P737" t="s">
        <v>4042</v>
      </c>
      <c r="Q737">
        <v>0</v>
      </c>
    </row>
    <row r="738" spans="1:17" hidden="1" x14ac:dyDescent="0.25">
      <c r="A738" s="1">
        <v>46262</v>
      </c>
      <c r="B738">
        <v>1152456771</v>
      </c>
      <c r="C738" t="s">
        <v>2914</v>
      </c>
      <c r="D738" t="s">
        <v>51</v>
      </c>
      <c r="E738" t="s">
        <v>4047</v>
      </c>
      <c r="F738" t="s">
        <v>4074</v>
      </c>
      <c r="G738" s="1">
        <v>46261</v>
      </c>
      <c r="H738" s="1"/>
      <c r="I738" s="2"/>
      <c r="J738" s="2"/>
      <c r="K738" t="s">
        <v>4247</v>
      </c>
      <c r="L738">
        <v>0</v>
      </c>
      <c r="P738" t="s">
        <v>4042</v>
      </c>
      <c r="Q738">
        <v>0</v>
      </c>
    </row>
  </sheetData>
  <autoFilter ref="Q746" xr:uid="{FBF85840-306D-457C-BA21-38B74636E9F7}"/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99998-406B-4CB9-84BB-198E6FE9FA92}">
  <dimension ref="A1:E743"/>
  <sheetViews>
    <sheetView zoomScaleNormal="100" workbookViewId="0">
      <selection activeCell="F356" sqref="F356"/>
    </sheetView>
  </sheetViews>
  <sheetFormatPr baseColWidth="10" defaultColWidth="11.42578125" defaultRowHeight="15" x14ac:dyDescent="0.25"/>
  <cols>
    <col min="1" max="1" width="11" bestFit="1" customWidth="1"/>
    <col min="2" max="2" width="39.85546875" bestFit="1" customWidth="1"/>
    <col min="3" max="3" width="10.7109375" bestFit="1" customWidth="1"/>
    <col min="4" max="4" width="16.7109375" bestFit="1" customWidth="1"/>
    <col min="5" max="5" width="22.140625" bestFit="1" customWidth="1"/>
    <col min="6" max="6" width="68.140625" bestFit="1" customWidth="1"/>
  </cols>
  <sheetData>
    <row r="1" spans="1:5" x14ac:dyDescent="0.25">
      <c r="A1" t="s">
        <v>4267</v>
      </c>
      <c r="B1" t="s">
        <v>4268</v>
      </c>
      <c r="C1" t="s">
        <v>4269</v>
      </c>
      <c r="D1" t="s">
        <v>4270</v>
      </c>
      <c r="E1" t="s">
        <v>3</v>
      </c>
    </row>
    <row r="2" spans="1:5" hidden="1" x14ac:dyDescent="0.25">
      <c r="A2" t="s">
        <v>189</v>
      </c>
      <c r="B2" t="s">
        <v>190</v>
      </c>
      <c r="C2" s="1">
        <v>46235</v>
      </c>
      <c r="D2" t="s">
        <v>4255</v>
      </c>
      <c r="E2" t="s">
        <v>4271</v>
      </c>
    </row>
    <row r="3" spans="1:5" hidden="1" x14ac:dyDescent="0.25">
      <c r="A3" t="s">
        <v>1491</v>
      </c>
      <c r="B3" t="s">
        <v>1492</v>
      </c>
      <c r="C3" s="1">
        <v>46235</v>
      </c>
      <c r="D3" t="s">
        <v>4257</v>
      </c>
      <c r="E3" t="s">
        <v>4272</v>
      </c>
    </row>
    <row r="4" spans="1:5" hidden="1" x14ac:dyDescent="0.25">
      <c r="A4" t="s">
        <v>1407</v>
      </c>
      <c r="B4" t="s">
        <v>1408</v>
      </c>
      <c r="C4" s="1">
        <v>46235</v>
      </c>
      <c r="D4" t="s">
        <v>4260</v>
      </c>
      <c r="E4" t="s">
        <v>4273</v>
      </c>
    </row>
    <row r="5" spans="1:5" hidden="1" x14ac:dyDescent="0.25">
      <c r="A5" t="s">
        <v>148</v>
      </c>
      <c r="B5" t="s">
        <v>149</v>
      </c>
      <c r="C5" s="1">
        <v>46235</v>
      </c>
      <c r="D5" t="s">
        <v>4258</v>
      </c>
      <c r="E5" t="s">
        <v>4274</v>
      </c>
    </row>
    <row r="6" spans="1:5" hidden="1" x14ac:dyDescent="0.25">
      <c r="A6" t="s">
        <v>314</v>
      </c>
      <c r="B6" t="s">
        <v>315</v>
      </c>
      <c r="C6" s="1">
        <v>46235</v>
      </c>
      <c r="D6" t="s">
        <v>4257</v>
      </c>
      <c r="E6" t="s">
        <v>4272</v>
      </c>
    </row>
    <row r="7" spans="1:5" hidden="1" x14ac:dyDescent="0.25">
      <c r="A7" t="s">
        <v>303</v>
      </c>
      <c r="B7" t="s">
        <v>304</v>
      </c>
      <c r="C7" s="1">
        <v>46235</v>
      </c>
      <c r="D7" t="s">
        <v>4257</v>
      </c>
      <c r="E7" t="s">
        <v>4275</v>
      </c>
    </row>
    <row r="8" spans="1:5" hidden="1" x14ac:dyDescent="0.25">
      <c r="A8" t="s">
        <v>116</v>
      </c>
      <c r="B8" t="s">
        <v>117</v>
      </c>
      <c r="C8" s="1">
        <v>46235</v>
      </c>
      <c r="D8" t="s">
        <v>4260</v>
      </c>
      <c r="E8" t="s">
        <v>4276</v>
      </c>
    </row>
    <row r="9" spans="1:5" hidden="1" x14ac:dyDescent="0.25">
      <c r="A9" t="s">
        <v>150</v>
      </c>
      <c r="B9" t="s">
        <v>151</v>
      </c>
      <c r="C9" s="1">
        <v>46235</v>
      </c>
      <c r="D9" t="s">
        <v>4257</v>
      </c>
      <c r="E9" t="s">
        <v>4277</v>
      </c>
    </row>
    <row r="10" spans="1:5" hidden="1" x14ac:dyDescent="0.25">
      <c r="A10" t="s">
        <v>73</v>
      </c>
      <c r="B10" t="s">
        <v>74</v>
      </c>
      <c r="C10" s="1">
        <v>46235</v>
      </c>
      <c r="D10" t="s">
        <v>4257</v>
      </c>
      <c r="E10" t="s">
        <v>4278</v>
      </c>
    </row>
    <row r="11" spans="1:5" hidden="1" x14ac:dyDescent="0.25">
      <c r="A11" t="s">
        <v>276</v>
      </c>
      <c r="B11" t="s">
        <v>277</v>
      </c>
      <c r="C11" s="1">
        <v>46235</v>
      </c>
      <c r="D11" t="s">
        <v>4259</v>
      </c>
      <c r="E11" t="s">
        <v>4279</v>
      </c>
    </row>
    <row r="12" spans="1:5" hidden="1" x14ac:dyDescent="0.25">
      <c r="A12" t="s">
        <v>184</v>
      </c>
      <c r="B12" t="s">
        <v>185</v>
      </c>
      <c r="C12" s="1">
        <v>46235</v>
      </c>
      <c r="D12" t="s">
        <v>4255</v>
      </c>
      <c r="E12" t="s">
        <v>4271</v>
      </c>
    </row>
    <row r="13" spans="1:5" hidden="1" x14ac:dyDescent="0.25">
      <c r="A13" t="s">
        <v>181</v>
      </c>
      <c r="B13" t="s">
        <v>182</v>
      </c>
      <c r="C13" s="1">
        <v>46235</v>
      </c>
      <c r="D13" t="s">
        <v>4260</v>
      </c>
      <c r="E13" t="s">
        <v>4276</v>
      </c>
    </row>
    <row r="14" spans="1:5" hidden="1" x14ac:dyDescent="0.25">
      <c r="A14" t="s">
        <v>282</v>
      </c>
      <c r="B14" t="s">
        <v>283</v>
      </c>
      <c r="C14" s="1">
        <v>46235</v>
      </c>
      <c r="D14" t="s">
        <v>4260</v>
      </c>
      <c r="E14" t="s">
        <v>4273</v>
      </c>
    </row>
    <row r="15" spans="1:5" hidden="1" x14ac:dyDescent="0.25">
      <c r="A15" t="s">
        <v>285</v>
      </c>
      <c r="B15" t="s">
        <v>286</v>
      </c>
      <c r="C15" s="1">
        <v>46235</v>
      </c>
      <c r="D15" t="s">
        <v>4255</v>
      </c>
      <c r="E15" t="s">
        <v>4271</v>
      </c>
    </row>
    <row r="16" spans="1:5" hidden="1" x14ac:dyDescent="0.25">
      <c r="A16" t="s">
        <v>267</v>
      </c>
      <c r="B16" t="s">
        <v>268</v>
      </c>
      <c r="C16" s="1">
        <v>46235</v>
      </c>
      <c r="D16" t="s">
        <v>4255</v>
      </c>
      <c r="E16" t="s">
        <v>4271</v>
      </c>
    </row>
    <row r="17" spans="1:5" hidden="1" x14ac:dyDescent="0.25">
      <c r="A17" t="s">
        <v>110</v>
      </c>
      <c r="B17" t="s">
        <v>111</v>
      </c>
      <c r="C17" s="1">
        <v>46235</v>
      </c>
      <c r="D17" t="s">
        <v>4259</v>
      </c>
      <c r="E17" t="s">
        <v>4279</v>
      </c>
    </row>
    <row r="18" spans="1:5" hidden="1" x14ac:dyDescent="0.25">
      <c r="A18" t="s">
        <v>85</v>
      </c>
      <c r="B18" t="s">
        <v>86</v>
      </c>
      <c r="C18" s="1">
        <v>46235</v>
      </c>
      <c r="D18" t="s">
        <v>4259</v>
      </c>
      <c r="E18" t="s">
        <v>4280</v>
      </c>
    </row>
    <row r="19" spans="1:5" hidden="1" x14ac:dyDescent="0.25">
      <c r="A19" t="s">
        <v>231</v>
      </c>
      <c r="B19" t="s">
        <v>232</v>
      </c>
      <c r="C19" s="1">
        <v>46235</v>
      </c>
      <c r="D19" t="s">
        <v>4257</v>
      </c>
      <c r="E19" t="s">
        <v>4272</v>
      </c>
    </row>
    <row r="20" spans="1:5" hidden="1" x14ac:dyDescent="0.25">
      <c r="A20" t="s">
        <v>107</v>
      </c>
      <c r="B20" t="s">
        <v>108</v>
      </c>
      <c r="C20" s="1">
        <v>46235</v>
      </c>
      <c r="D20" t="s">
        <v>4260</v>
      </c>
      <c r="E20" t="s">
        <v>4276</v>
      </c>
    </row>
    <row r="21" spans="1:5" hidden="1" x14ac:dyDescent="0.25">
      <c r="A21" t="s">
        <v>297</v>
      </c>
      <c r="B21" t="s">
        <v>298</v>
      </c>
      <c r="C21" s="1">
        <v>46235</v>
      </c>
      <c r="D21" t="s">
        <v>4260</v>
      </c>
      <c r="E21" t="s">
        <v>4273</v>
      </c>
    </row>
    <row r="22" spans="1:5" hidden="1" x14ac:dyDescent="0.25">
      <c r="A22" t="s">
        <v>222</v>
      </c>
      <c r="B22" t="s">
        <v>223</v>
      </c>
      <c r="C22" s="1">
        <v>46235</v>
      </c>
      <c r="D22" t="s">
        <v>4258</v>
      </c>
      <c r="E22" t="s">
        <v>4274</v>
      </c>
    </row>
    <row r="23" spans="1:5" hidden="1" x14ac:dyDescent="0.25">
      <c r="A23" t="s">
        <v>309</v>
      </c>
      <c r="B23" t="s">
        <v>310</v>
      </c>
      <c r="C23" s="1">
        <v>46235</v>
      </c>
      <c r="D23" t="s">
        <v>4260</v>
      </c>
      <c r="E23" t="s">
        <v>4281</v>
      </c>
    </row>
    <row r="24" spans="1:5" hidden="1" x14ac:dyDescent="0.25">
      <c r="A24" t="s">
        <v>96</v>
      </c>
      <c r="B24" t="s">
        <v>97</v>
      </c>
      <c r="C24" s="1">
        <v>46235</v>
      </c>
      <c r="D24" t="s">
        <v>4257</v>
      </c>
      <c r="E24" t="s">
        <v>4272</v>
      </c>
    </row>
    <row r="25" spans="1:5" hidden="1" x14ac:dyDescent="0.25">
      <c r="A25" t="s">
        <v>193</v>
      </c>
      <c r="B25" t="s">
        <v>194</v>
      </c>
      <c r="C25" s="1">
        <v>46235</v>
      </c>
      <c r="D25" t="s">
        <v>4260</v>
      </c>
      <c r="E25" t="s">
        <v>4281</v>
      </c>
    </row>
    <row r="26" spans="1:5" hidden="1" x14ac:dyDescent="0.25">
      <c r="A26" t="s">
        <v>1382</v>
      </c>
      <c r="B26" t="s">
        <v>1383</v>
      </c>
      <c r="C26" s="1">
        <v>46235</v>
      </c>
      <c r="D26" t="s">
        <v>4260</v>
      </c>
      <c r="E26" t="s">
        <v>4281</v>
      </c>
    </row>
    <row r="27" spans="1:5" hidden="1" x14ac:dyDescent="0.25">
      <c r="A27" t="s">
        <v>273</v>
      </c>
      <c r="B27" t="s">
        <v>274</v>
      </c>
      <c r="C27" s="1">
        <v>46235</v>
      </c>
      <c r="D27" t="s">
        <v>4257</v>
      </c>
      <c r="E27" t="s">
        <v>4277</v>
      </c>
    </row>
    <row r="28" spans="1:5" hidden="1" x14ac:dyDescent="0.25">
      <c r="A28" t="s">
        <v>177</v>
      </c>
      <c r="B28" t="s">
        <v>178</v>
      </c>
      <c r="C28" s="1">
        <v>46235</v>
      </c>
      <c r="D28" t="s">
        <v>4257</v>
      </c>
      <c r="E28" t="s">
        <v>4282</v>
      </c>
    </row>
    <row r="29" spans="1:5" hidden="1" x14ac:dyDescent="0.25">
      <c r="A29" t="s">
        <v>257</v>
      </c>
      <c r="B29" t="s">
        <v>258</v>
      </c>
      <c r="C29" s="1">
        <v>46235</v>
      </c>
      <c r="D29" t="s">
        <v>4260</v>
      </c>
      <c r="E29" t="s">
        <v>4283</v>
      </c>
    </row>
    <row r="30" spans="1:5" hidden="1" x14ac:dyDescent="0.25">
      <c r="A30" t="s">
        <v>321</v>
      </c>
      <c r="B30" t="s">
        <v>322</v>
      </c>
      <c r="C30" s="1">
        <v>46235</v>
      </c>
      <c r="D30" t="s">
        <v>4255</v>
      </c>
      <c r="E30" t="s">
        <v>4284</v>
      </c>
    </row>
    <row r="31" spans="1:5" hidden="1" x14ac:dyDescent="0.25">
      <c r="A31" t="s">
        <v>17</v>
      </c>
      <c r="B31" t="s">
        <v>18</v>
      </c>
      <c r="C31" s="1">
        <v>46235</v>
      </c>
      <c r="D31" t="s">
        <v>4258</v>
      </c>
      <c r="E31" t="s">
        <v>4285</v>
      </c>
    </row>
    <row r="32" spans="1:5" hidden="1" x14ac:dyDescent="0.25">
      <c r="A32" t="s">
        <v>264</v>
      </c>
      <c r="B32" t="s">
        <v>265</v>
      </c>
      <c r="C32" s="1">
        <v>46235</v>
      </c>
      <c r="D32" t="s">
        <v>4257</v>
      </c>
      <c r="E32" t="s">
        <v>4275</v>
      </c>
    </row>
    <row r="33" spans="1:5" hidden="1" x14ac:dyDescent="0.25">
      <c r="A33" t="s">
        <v>228</v>
      </c>
      <c r="B33" t="s">
        <v>229</v>
      </c>
      <c r="C33" s="1">
        <v>46235</v>
      </c>
      <c r="D33" t="s">
        <v>4258</v>
      </c>
      <c r="E33" t="s">
        <v>4285</v>
      </c>
    </row>
    <row r="34" spans="1:5" hidden="1" x14ac:dyDescent="0.25">
      <c r="A34" t="s">
        <v>119</v>
      </c>
      <c r="B34" t="s">
        <v>120</v>
      </c>
      <c r="C34" s="1">
        <v>46235</v>
      </c>
      <c r="D34" t="s">
        <v>4260</v>
      </c>
      <c r="E34" t="s">
        <v>4283</v>
      </c>
    </row>
    <row r="35" spans="1:5" hidden="1" x14ac:dyDescent="0.25">
      <c r="A35" t="s">
        <v>236</v>
      </c>
      <c r="B35" t="s">
        <v>237</v>
      </c>
      <c r="C35" s="1">
        <v>46235</v>
      </c>
      <c r="D35" t="s">
        <v>4255</v>
      </c>
      <c r="E35" t="s">
        <v>4284</v>
      </c>
    </row>
    <row r="36" spans="1:5" hidden="1" x14ac:dyDescent="0.25">
      <c r="A36" t="s">
        <v>560</v>
      </c>
      <c r="B36" t="s">
        <v>561</v>
      </c>
      <c r="C36" s="1">
        <v>46235</v>
      </c>
      <c r="D36" t="s">
        <v>4255</v>
      </c>
      <c r="E36" t="s">
        <v>4271</v>
      </c>
    </row>
    <row r="37" spans="1:5" hidden="1" x14ac:dyDescent="0.25">
      <c r="A37" t="s">
        <v>199</v>
      </c>
      <c r="B37" t="s">
        <v>200</v>
      </c>
      <c r="C37" s="1">
        <v>46235</v>
      </c>
      <c r="D37" t="s">
        <v>4257</v>
      </c>
      <c r="E37" t="s">
        <v>4277</v>
      </c>
    </row>
    <row r="38" spans="1:5" hidden="1" x14ac:dyDescent="0.25">
      <c r="A38" t="s">
        <v>3662</v>
      </c>
      <c r="B38" t="s">
        <v>3663</v>
      </c>
      <c r="C38" s="1">
        <v>46235</v>
      </c>
      <c r="D38" t="s">
        <v>4255</v>
      </c>
      <c r="E38" t="s">
        <v>4271</v>
      </c>
    </row>
    <row r="39" spans="1:5" hidden="1" x14ac:dyDescent="0.25">
      <c r="A39" t="s">
        <v>45</v>
      </c>
      <c r="B39" t="s">
        <v>46</v>
      </c>
      <c r="C39" s="1">
        <v>46235</v>
      </c>
      <c r="D39" t="s">
        <v>4260</v>
      </c>
      <c r="E39" t="s">
        <v>4283</v>
      </c>
    </row>
    <row r="40" spans="1:5" hidden="1" x14ac:dyDescent="0.25">
      <c r="A40" t="s">
        <v>163</v>
      </c>
      <c r="B40" t="s">
        <v>164</v>
      </c>
      <c r="C40" s="1">
        <v>46235</v>
      </c>
      <c r="D40" t="s">
        <v>4255</v>
      </c>
      <c r="E40" t="s">
        <v>4271</v>
      </c>
    </row>
    <row r="41" spans="1:5" hidden="1" x14ac:dyDescent="0.25">
      <c r="A41" t="s">
        <v>246</v>
      </c>
      <c r="B41" t="s">
        <v>247</v>
      </c>
      <c r="C41" s="1">
        <v>46235</v>
      </c>
      <c r="D41" t="s">
        <v>4260</v>
      </c>
      <c r="E41" t="s">
        <v>4283</v>
      </c>
    </row>
    <row r="42" spans="1:5" hidden="1" x14ac:dyDescent="0.25">
      <c r="A42" t="s">
        <v>4286</v>
      </c>
      <c r="B42" t="s">
        <v>4287</v>
      </c>
      <c r="C42" s="1">
        <v>46235</v>
      </c>
      <c r="D42" t="s">
        <v>4258</v>
      </c>
      <c r="E42" t="s">
        <v>4274</v>
      </c>
    </row>
    <row r="43" spans="1:5" hidden="1" x14ac:dyDescent="0.25">
      <c r="A43" t="s">
        <v>300</v>
      </c>
      <c r="B43" t="s">
        <v>301</v>
      </c>
      <c r="C43" s="1">
        <v>46235</v>
      </c>
      <c r="D43" t="s">
        <v>4258</v>
      </c>
      <c r="E43" t="s">
        <v>4274</v>
      </c>
    </row>
    <row r="44" spans="1:5" hidden="1" x14ac:dyDescent="0.25">
      <c r="A44" t="s">
        <v>209</v>
      </c>
      <c r="B44" t="s">
        <v>210</v>
      </c>
      <c r="C44" s="1">
        <v>46235</v>
      </c>
      <c r="D44" t="s">
        <v>4257</v>
      </c>
      <c r="E44" t="s">
        <v>4278</v>
      </c>
    </row>
    <row r="45" spans="1:5" hidden="1" x14ac:dyDescent="0.25">
      <c r="A45" t="s">
        <v>213</v>
      </c>
      <c r="B45" t="s">
        <v>214</v>
      </c>
      <c r="C45" s="1">
        <v>46235</v>
      </c>
      <c r="D45" t="s">
        <v>4257</v>
      </c>
      <c r="E45" t="s">
        <v>4278</v>
      </c>
    </row>
    <row r="46" spans="1:5" hidden="1" x14ac:dyDescent="0.25">
      <c r="A46" t="s">
        <v>189</v>
      </c>
      <c r="B46" t="s">
        <v>190</v>
      </c>
      <c r="C46" s="1">
        <v>46237</v>
      </c>
      <c r="D46" t="s">
        <v>4255</v>
      </c>
      <c r="E46" t="s">
        <v>4271</v>
      </c>
    </row>
    <row r="47" spans="1:5" hidden="1" x14ac:dyDescent="0.25">
      <c r="A47" t="s">
        <v>1491</v>
      </c>
      <c r="B47" t="s">
        <v>1492</v>
      </c>
      <c r="C47" s="1">
        <v>46237</v>
      </c>
      <c r="D47" t="s">
        <v>4257</v>
      </c>
      <c r="E47" t="s">
        <v>4272</v>
      </c>
    </row>
    <row r="48" spans="1:5" hidden="1" x14ac:dyDescent="0.25">
      <c r="A48" t="s">
        <v>1407</v>
      </c>
      <c r="B48" t="s">
        <v>1408</v>
      </c>
      <c r="C48" s="1">
        <v>46237</v>
      </c>
      <c r="D48" t="s">
        <v>4260</v>
      </c>
      <c r="E48" t="s">
        <v>4273</v>
      </c>
    </row>
    <row r="49" spans="1:5" hidden="1" x14ac:dyDescent="0.25">
      <c r="A49" t="s">
        <v>148</v>
      </c>
      <c r="B49" t="s">
        <v>149</v>
      </c>
      <c r="C49" s="1">
        <v>46237</v>
      </c>
      <c r="D49" t="s">
        <v>4258</v>
      </c>
      <c r="E49" t="s">
        <v>4274</v>
      </c>
    </row>
    <row r="50" spans="1:5" hidden="1" x14ac:dyDescent="0.25">
      <c r="A50" t="s">
        <v>314</v>
      </c>
      <c r="B50" t="s">
        <v>315</v>
      </c>
      <c r="C50" s="1">
        <v>46237</v>
      </c>
      <c r="D50" t="s">
        <v>4257</v>
      </c>
      <c r="E50" t="s">
        <v>4272</v>
      </c>
    </row>
    <row r="51" spans="1:5" hidden="1" x14ac:dyDescent="0.25">
      <c r="A51" t="s">
        <v>303</v>
      </c>
      <c r="B51" t="s">
        <v>304</v>
      </c>
      <c r="C51" s="1">
        <v>46237</v>
      </c>
      <c r="D51" t="s">
        <v>4257</v>
      </c>
      <c r="E51" t="s">
        <v>4275</v>
      </c>
    </row>
    <row r="52" spans="1:5" hidden="1" x14ac:dyDescent="0.25">
      <c r="A52" t="s">
        <v>116</v>
      </c>
      <c r="B52" t="s">
        <v>117</v>
      </c>
      <c r="C52" s="1">
        <v>46237</v>
      </c>
      <c r="D52" t="s">
        <v>4260</v>
      </c>
      <c r="E52" t="s">
        <v>4276</v>
      </c>
    </row>
    <row r="53" spans="1:5" hidden="1" x14ac:dyDescent="0.25">
      <c r="A53" t="s">
        <v>73</v>
      </c>
      <c r="B53" t="s">
        <v>74</v>
      </c>
      <c r="C53" s="1">
        <v>46237</v>
      </c>
      <c r="D53" t="s">
        <v>4257</v>
      </c>
      <c r="E53" t="s">
        <v>4278</v>
      </c>
    </row>
    <row r="54" spans="1:5" hidden="1" x14ac:dyDescent="0.25">
      <c r="A54" t="s">
        <v>276</v>
      </c>
      <c r="B54" t="s">
        <v>277</v>
      </c>
      <c r="C54" s="1">
        <v>46237</v>
      </c>
      <c r="D54" t="s">
        <v>4259</v>
      </c>
      <c r="E54" t="s">
        <v>4279</v>
      </c>
    </row>
    <row r="55" spans="1:5" hidden="1" x14ac:dyDescent="0.25">
      <c r="A55" t="s">
        <v>184</v>
      </c>
      <c r="B55" t="s">
        <v>185</v>
      </c>
      <c r="C55" s="1">
        <v>46237</v>
      </c>
      <c r="D55" t="s">
        <v>4255</v>
      </c>
      <c r="E55" t="s">
        <v>4271</v>
      </c>
    </row>
    <row r="56" spans="1:5" hidden="1" x14ac:dyDescent="0.25">
      <c r="A56" t="s">
        <v>181</v>
      </c>
      <c r="B56" t="s">
        <v>182</v>
      </c>
      <c r="C56" s="1">
        <v>46237</v>
      </c>
      <c r="D56" t="s">
        <v>4260</v>
      </c>
      <c r="E56" t="s">
        <v>4276</v>
      </c>
    </row>
    <row r="57" spans="1:5" hidden="1" x14ac:dyDescent="0.25">
      <c r="A57" t="s">
        <v>282</v>
      </c>
      <c r="B57" t="s">
        <v>283</v>
      </c>
      <c r="C57" s="1">
        <v>46237</v>
      </c>
      <c r="D57" t="s">
        <v>4260</v>
      </c>
      <c r="E57" t="s">
        <v>4273</v>
      </c>
    </row>
    <row r="58" spans="1:5" hidden="1" x14ac:dyDescent="0.25">
      <c r="A58" t="s">
        <v>285</v>
      </c>
      <c r="B58" t="s">
        <v>286</v>
      </c>
      <c r="C58" s="1">
        <v>46237</v>
      </c>
      <c r="D58" t="s">
        <v>4255</v>
      </c>
      <c r="E58" t="s">
        <v>4271</v>
      </c>
    </row>
    <row r="59" spans="1:5" hidden="1" x14ac:dyDescent="0.25">
      <c r="A59" t="s">
        <v>267</v>
      </c>
      <c r="B59" t="s">
        <v>268</v>
      </c>
      <c r="C59" s="1">
        <v>46237</v>
      </c>
      <c r="D59" t="s">
        <v>4255</v>
      </c>
      <c r="E59" t="s">
        <v>4271</v>
      </c>
    </row>
    <row r="60" spans="1:5" hidden="1" x14ac:dyDescent="0.25">
      <c r="A60" t="s">
        <v>110</v>
      </c>
      <c r="B60" t="s">
        <v>111</v>
      </c>
      <c r="C60" s="1">
        <v>46237</v>
      </c>
      <c r="D60" t="s">
        <v>4259</v>
      </c>
      <c r="E60" t="s">
        <v>4279</v>
      </c>
    </row>
    <row r="61" spans="1:5" hidden="1" x14ac:dyDescent="0.25">
      <c r="A61" t="s">
        <v>85</v>
      </c>
      <c r="B61" t="s">
        <v>86</v>
      </c>
      <c r="C61" s="1">
        <v>46237</v>
      </c>
      <c r="D61" t="s">
        <v>4259</v>
      </c>
      <c r="E61" t="s">
        <v>4280</v>
      </c>
    </row>
    <row r="62" spans="1:5" hidden="1" x14ac:dyDescent="0.25">
      <c r="A62" t="s">
        <v>231</v>
      </c>
      <c r="B62" t="s">
        <v>232</v>
      </c>
      <c r="C62" s="1">
        <v>46237</v>
      </c>
      <c r="D62" t="s">
        <v>4257</v>
      </c>
      <c r="E62" t="s">
        <v>4272</v>
      </c>
    </row>
    <row r="63" spans="1:5" hidden="1" x14ac:dyDescent="0.25">
      <c r="A63" t="s">
        <v>107</v>
      </c>
      <c r="B63" t="s">
        <v>108</v>
      </c>
      <c r="C63" s="1">
        <v>46237</v>
      </c>
      <c r="D63" t="s">
        <v>4260</v>
      </c>
      <c r="E63" t="s">
        <v>4276</v>
      </c>
    </row>
    <row r="64" spans="1:5" hidden="1" x14ac:dyDescent="0.25">
      <c r="A64" t="s">
        <v>297</v>
      </c>
      <c r="B64" t="s">
        <v>298</v>
      </c>
      <c r="C64" s="1">
        <v>46237</v>
      </c>
      <c r="D64" t="s">
        <v>4260</v>
      </c>
      <c r="E64" t="s">
        <v>4273</v>
      </c>
    </row>
    <row r="65" spans="1:5" hidden="1" x14ac:dyDescent="0.25">
      <c r="A65" t="s">
        <v>222</v>
      </c>
      <c r="B65" t="s">
        <v>223</v>
      </c>
      <c r="C65" s="1">
        <v>46237</v>
      </c>
      <c r="D65" t="s">
        <v>4258</v>
      </c>
      <c r="E65" t="s">
        <v>4274</v>
      </c>
    </row>
    <row r="66" spans="1:5" hidden="1" x14ac:dyDescent="0.25">
      <c r="A66" t="s">
        <v>309</v>
      </c>
      <c r="B66" t="s">
        <v>310</v>
      </c>
      <c r="C66" s="1">
        <v>46237</v>
      </c>
      <c r="D66" t="s">
        <v>4260</v>
      </c>
      <c r="E66" t="s">
        <v>4281</v>
      </c>
    </row>
    <row r="67" spans="1:5" hidden="1" x14ac:dyDescent="0.25">
      <c r="A67" t="s">
        <v>96</v>
      </c>
      <c r="B67" t="s">
        <v>97</v>
      </c>
      <c r="C67" s="1">
        <v>46237</v>
      </c>
      <c r="D67" t="s">
        <v>4257</v>
      </c>
      <c r="E67" t="s">
        <v>4272</v>
      </c>
    </row>
    <row r="68" spans="1:5" hidden="1" x14ac:dyDescent="0.25">
      <c r="A68" t="s">
        <v>193</v>
      </c>
      <c r="B68" t="s">
        <v>194</v>
      </c>
      <c r="C68" s="1">
        <v>46237</v>
      </c>
      <c r="D68" t="s">
        <v>4260</v>
      </c>
      <c r="E68" t="s">
        <v>4281</v>
      </c>
    </row>
    <row r="69" spans="1:5" hidden="1" x14ac:dyDescent="0.25">
      <c r="A69" t="s">
        <v>1382</v>
      </c>
      <c r="B69" t="s">
        <v>1383</v>
      </c>
      <c r="C69" s="1">
        <v>46237</v>
      </c>
      <c r="D69" t="s">
        <v>4260</v>
      </c>
      <c r="E69" t="s">
        <v>4281</v>
      </c>
    </row>
    <row r="70" spans="1:5" hidden="1" x14ac:dyDescent="0.25">
      <c r="A70" t="s">
        <v>273</v>
      </c>
      <c r="B70" t="s">
        <v>274</v>
      </c>
      <c r="C70" s="1">
        <v>46237</v>
      </c>
      <c r="D70" t="s">
        <v>4257</v>
      </c>
      <c r="E70" t="s">
        <v>4277</v>
      </c>
    </row>
    <row r="71" spans="1:5" hidden="1" x14ac:dyDescent="0.25">
      <c r="A71" t="s">
        <v>177</v>
      </c>
      <c r="B71" t="s">
        <v>178</v>
      </c>
      <c r="C71" s="1">
        <v>46237</v>
      </c>
      <c r="D71" t="s">
        <v>4257</v>
      </c>
      <c r="E71" t="s">
        <v>4282</v>
      </c>
    </row>
    <row r="72" spans="1:5" hidden="1" x14ac:dyDescent="0.25">
      <c r="A72" t="s">
        <v>257</v>
      </c>
      <c r="B72" t="s">
        <v>258</v>
      </c>
      <c r="C72" s="1">
        <v>46237</v>
      </c>
      <c r="D72" t="s">
        <v>4260</v>
      </c>
      <c r="E72" t="s">
        <v>4283</v>
      </c>
    </row>
    <row r="73" spans="1:5" hidden="1" x14ac:dyDescent="0.25">
      <c r="A73" t="s">
        <v>321</v>
      </c>
      <c r="B73" t="s">
        <v>322</v>
      </c>
      <c r="C73" s="1">
        <v>46237</v>
      </c>
      <c r="D73" t="s">
        <v>4255</v>
      </c>
      <c r="E73" t="s">
        <v>4284</v>
      </c>
    </row>
    <row r="74" spans="1:5" hidden="1" x14ac:dyDescent="0.25">
      <c r="A74" t="s">
        <v>17</v>
      </c>
      <c r="B74" t="s">
        <v>18</v>
      </c>
      <c r="C74" s="1">
        <v>46237</v>
      </c>
      <c r="D74" t="s">
        <v>4258</v>
      </c>
      <c r="E74" t="s">
        <v>4285</v>
      </c>
    </row>
    <row r="75" spans="1:5" hidden="1" x14ac:dyDescent="0.25">
      <c r="A75" t="s">
        <v>264</v>
      </c>
      <c r="B75" t="s">
        <v>265</v>
      </c>
      <c r="C75" s="1">
        <v>46237</v>
      </c>
      <c r="D75" t="s">
        <v>4257</v>
      </c>
      <c r="E75" t="s">
        <v>4275</v>
      </c>
    </row>
    <row r="76" spans="1:5" hidden="1" x14ac:dyDescent="0.25">
      <c r="A76" t="s">
        <v>228</v>
      </c>
      <c r="B76" t="s">
        <v>229</v>
      </c>
      <c r="C76" s="1">
        <v>46237</v>
      </c>
      <c r="D76" t="s">
        <v>4258</v>
      </c>
      <c r="E76" t="s">
        <v>4285</v>
      </c>
    </row>
    <row r="77" spans="1:5" hidden="1" x14ac:dyDescent="0.25">
      <c r="A77" t="s">
        <v>119</v>
      </c>
      <c r="B77" t="s">
        <v>120</v>
      </c>
      <c r="C77" s="1">
        <v>46237</v>
      </c>
      <c r="D77" t="s">
        <v>4260</v>
      </c>
      <c r="E77" t="s">
        <v>4283</v>
      </c>
    </row>
    <row r="78" spans="1:5" hidden="1" x14ac:dyDescent="0.25">
      <c r="A78" t="s">
        <v>236</v>
      </c>
      <c r="B78" t="s">
        <v>237</v>
      </c>
      <c r="C78" s="1">
        <v>46237</v>
      </c>
      <c r="D78" t="s">
        <v>4255</v>
      </c>
      <c r="E78" t="s">
        <v>4284</v>
      </c>
    </row>
    <row r="79" spans="1:5" hidden="1" x14ac:dyDescent="0.25">
      <c r="A79" t="s">
        <v>560</v>
      </c>
      <c r="B79" t="s">
        <v>561</v>
      </c>
      <c r="C79" s="1">
        <v>46237</v>
      </c>
      <c r="D79" t="s">
        <v>4255</v>
      </c>
      <c r="E79" t="s">
        <v>4271</v>
      </c>
    </row>
    <row r="80" spans="1:5" hidden="1" x14ac:dyDescent="0.25">
      <c r="A80" t="s">
        <v>199</v>
      </c>
      <c r="B80" t="s">
        <v>200</v>
      </c>
      <c r="C80" s="1">
        <v>46237</v>
      </c>
      <c r="D80" t="s">
        <v>4257</v>
      </c>
      <c r="E80" t="s">
        <v>4277</v>
      </c>
    </row>
    <row r="81" spans="1:5" hidden="1" x14ac:dyDescent="0.25">
      <c r="A81" t="s">
        <v>3662</v>
      </c>
      <c r="B81" t="s">
        <v>3663</v>
      </c>
      <c r="C81" s="1">
        <v>46237</v>
      </c>
      <c r="D81" t="s">
        <v>4255</v>
      </c>
      <c r="E81" t="s">
        <v>4271</v>
      </c>
    </row>
    <row r="82" spans="1:5" hidden="1" x14ac:dyDescent="0.25">
      <c r="A82" t="s">
        <v>45</v>
      </c>
      <c r="B82" t="s">
        <v>46</v>
      </c>
      <c r="C82" s="1">
        <v>46237</v>
      </c>
      <c r="D82" t="s">
        <v>4260</v>
      </c>
      <c r="E82" t="s">
        <v>4283</v>
      </c>
    </row>
    <row r="83" spans="1:5" hidden="1" x14ac:dyDescent="0.25">
      <c r="A83" t="s">
        <v>163</v>
      </c>
      <c r="B83" t="s">
        <v>164</v>
      </c>
      <c r="C83" s="1">
        <v>46237</v>
      </c>
      <c r="D83" t="s">
        <v>4255</v>
      </c>
      <c r="E83" t="s">
        <v>4271</v>
      </c>
    </row>
    <row r="84" spans="1:5" hidden="1" x14ac:dyDescent="0.25">
      <c r="A84" t="s">
        <v>246</v>
      </c>
      <c r="B84" t="s">
        <v>247</v>
      </c>
      <c r="C84" s="1">
        <v>46237</v>
      </c>
      <c r="D84" t="s">
        <v>4260</v>
      </c>
      <c r="E84" t="s">
        <v>4283</v>
      </c>
    </row>
    <row r="85" spans="1:5" hidden="1" x14ac:dyDescent="0.25">
      <c r="A85" t="s">
        <v>300</v>
      </c>
      <c r="B85" t="s">
        <v>301</v>
      </c>
      <c r="C85" s="1">
        <v>46237</v>
      </c>
      <c r="D85" t="s">
        <v>4258</v>
      </c>
      <c r="E85" t="s">
        <v>4274</v>
      </c>
    </row>
    <row r="86" spans="1:5" hidden="1" x14ac:dyDescent="0.25">
      <c r="A86" t="s">
        <v>209</v>
      </c>
      <c r="B86" t="s">
        <v>210</v>
      </c>
      <c r="C86" s="1">
        <v>46237</v>
      </c>
      <c r="D86" t="s">
        <v>4257</v>
      </c>
      <c r="E86" t="s">
        <v>4278</v>
      </c>
    </row>
    <row r="87" spans="1:5" hidden="1" x14ac:dyDescent="0.25">
      <c r="A87" t="s">
        <v>213</v>
      </c>
      <c r="B87" t="s">
        <v>214</v>
      </c>
      <c r="C87" s="1">
        <v>46237</v>
      </c>
      <c r="D87" t="s">
        <v>4257</v>
      </c>
      <c r="E87" t="s">
        <v>4278</v>
      </c>
    </row>
    <row r="88" spans="1:5" hidden="1" x14ac:dyDescent="0.25">
      <c r="A88" t="s">
        <v>189</v>
      </c>
      <c r="B88" t="s">
        <v>190</v>
      </c>
      <c r="C88" s="1">
        <v>46238</v>
      </c>
      <c r="D88" t="s">
        <v>4255</v>
      </c>
      <c r="E88" t="s">
        <v>4271</v>
      </c>
    </row>
    <row r="89" spans="1:5" hidden="1" x14ac:dyDescent="0.25">
      <c r="A89" t="s">
        <v>1491</v>
      </c>
      <c r="B89" t="s">
        <v>1492</v>
      </c>
      <c r="C89" s="1">
        <v>46238</v>
      </c>
      <c r="D89" t="s">
        <v>4257</v>
      </c>
      <c r="E89" t="s">
        <v>4272</v>
      </c>
    </row>
    <row r="90" spans="1:5" hidden="1" x14ac:dyDescent="0.25">
      <c r="A90" t="s">
        <v>1407</v>
      </c>
      <c r="B90" t="s">
        <v>1408</v>
      </c>
      <c r="C90" s="1">
        <v>46238</v>
      </c>
      <c r="D90" t="s">
        <v>4260</v>
      </c>
      <c r="E90" t="s">
        <v>4273</v>
      </c>
    </row>
    <row r="91" spans="1:5" hidden="1" x14ac:dyDescent="0.25">
      <c r="A91" t="s">
        <v>148</v>
      </c>
      <c r="B91" t="s">
        <v>149</v>
      </c>
      <c r="C91" s="1">
        <v>46238</v>
      </c>
      <c r="D91" t="s">
        <v>4258</v>
      </c>
      <c r="E91" t="s">
        <v>4274</v>
      </c>
    </row>
    <row r="92" spans="1:5" hidden="1" x14ac:dyDescent="0.25">
      <c r="A92" t="s">
        <v>314</v>
      </c>
      <c r="B92" t="s">
        <v>315</v>
      </c>
      <c r="C92" s="1">
        <v>46238</v>
      </c>
      <c r="D92" t="s">
        <v>4257</v>
      </c>
      <c r="E92" t="s">
        <v>4272</v>
      </c>
    </row>
    <row r="93" spans="1:5" hidden="1" x14ac:dyDescent="0.25">
      <c r="A93" t="s">
        <v>303</v>
      </c>
      <c r="B93" t="s">
        <v>304</v>
      </c>
      <c r="C93" s="1">
        <v>46238</v>
      </c>
      <c r="D93" t="s">
        <v>4257</v>
      </c>
      <c r="E93" t="s">
        <v>4275</v>
      </c>
    </row>
    <row r="94" spans="1:5" hidden="1" x14ac:dyDescent="0.25">
      <c r="A94" t="s">
        <v>116</v>
      </c>
      <c r="B94" t="s">
        <v>117</v>
      </c>
      <c r="C94" s="1">
        <v>46238</v>
      </c>
      <c r="D94" t="s">
        <v>4260</v>
      </c>
      <c r="E94" t="s">
        <v>4276</v>
      </c>
    </row>
    <row r="95" spans="1:5" hidden="1" x14ac:dyDescent="0.25">
      <c r="A95" t="s">
        <v>73</v>
      </c>
      <c r="B95" t="s">
        <v>74</v>
      </c>
      <c r="C95" s="1">
        <v>46238</v>
      </c>
      <c r="D95" t="s">
        <v>4257</v>
      </c>
      <c r="E95" t="s">
        <v>4278</v>
      </c>
    </row>
    <row r="96" spans="1:5" hidden="1" x14ac:dyDescent="0.25">
      <c r="A96" t="s">
        <v>276</v>
      </c>
      <c r="B96" t="s">
        <v>277</v>
      </c>
      <c r="C96" s="1">
        <v>46238</v>
      </c>
      <c r="D96" t="s">
        <v>4259</v>
      </c>
      <c r="E96" t="s">
        <v>4279</v>
      </c>
    </row>
    <row r="97" spans="1:5" hidden="1" x14ac:dyDescent="0.25">
      <c r="A97" t="s">
        <v>184</v>
      </c>
      <c r="B97" t="s">
        <v>185</v>
      </c>
      <c r="C97" s="1">
        <v>46238</v>
      </c>
      <c r="D97" t="s">
        <v>4255</v>
      </c>
      <c r="E97" t="s">
        <v>4271</v>
      </c>
    </row>
    <row r="98" spans="1:5" hidden="1" x14ac:dyDescent="0.25">
      <c r="A98" t="s">
        <v>181</v>
      </c>
      <c r="B98" t="s">
        <v>182</v>
      </c>
      <c r="C98" s="1">
        <v>46238</v>
      </c>
      <c r="D98" t="s">
        <v>4260</v>
      </c>
      <c r="E98" t="s">
        <v>4276</v>
      </c>
    </row>
    <row r="99" spans="1:5" hidden="1" x14ac:dyDescent="0.25">
      <c r="A99" t="s">
        <v>282</v>
      </c>
      <c r="B99" t="s">
        <v>283</v>
      </c>
      <c r="C99" s="1">
        <v>46238</v>
      </c>
      <c r="D99" t="s">
        <v>4260</v>
      </c>
      <c r="E99" t="s">
        <v>4273</v>
      </c>
    </row>
    <row r="100" spans="1:5" hidden="1" x14ac:dyDescent="0.25">
      <c r="A100" t="s">
        <v>285</v>
      </c>
      <c r="B100" t="s">
        <v>286</v>
      </c>
      <c r="C100" s="1">
        <v>46238</v>
      </c>
      <c r="D100" t="s">
        <v>4255</v>
      </c>
      <c r="E100" t="s">
        <v>4271</v>
      </c>
    </row>
    <row r="101" spans="1:5" hidden="1" x14ac:dyDescent="0.25">
      <c r="A101" t="s">
        <v>267</v>
      </c>
      <c r="B101" t="s">
        <v>268</v>
      </c>
      <c r="C101" s="1">
        <v>46238</v>
      </c>
      <c r="D101" t="s">
        <v>4255</v>
      </c>
      <c r="E101" t="s">
        <v>4271</v>
      </c>
    </row>
    <row r="102" spans="1:5" hidden="1" x14ac:dyDescent="0.25">
      <c r="A102" t="s">
        <v>110</v>
      </c>
      <c r="B102" t="s">
        <v>111</v>
      </c>
      <c r="C102" s="1">
        <v>46238</v>
      </c>
      <c r="D102" t="s">
        <v>4259</v>
      </c>
      <c r="E102" t="s">
        <v>4279</v>
      </c>
    </row>
    <row r="103" spans="1:5" hidden="1" x14ac:dyDescent="0.25">
      <c r="A103" t="s">
        <v>85</v>
      </c>
      <c r="B103" t="s">
        <v>86</v>
      </c>
      <c r="C103" s="1">
        <v>46238</v>
      </c>
      <c r="D103" t="s">
        <v>4259</v>
      </c>
      <c r="E103" t="s">
        <v>4280</v>
      </c>
    </row>
    <row r="104" spans="1:5" hidden="1" x14ac:dyDescent="0.25">
      <c r="A104" t="s">
        <v>231</v>
      </c>
      <c r="B104" t="s">
        <v>232</v>
      </c>
      <c r="C104" s="1">
        <v>46238</v>
      </c>
      <c r="D104" t="s">
        <v>4257</v>
      </c>
      <c r="E104" t="s">
        <v>4272</v>
      </c>
    </row>
    <row r="105" spans="1:5" hidden="1" x14ac:dyDescent="0.25">
      <c r="A105" t="s">
        <v>107</v>
      </c>
      <c r="B105" t="s">
        <v>108</v>
      </c>
      <c r="C105" s="1">
        <v>46238</v>
      </c>
      <c r="D105" t="s">
        <v>4260</v>
      </c>
      <c r="E105" t="s">
        <v>4276</v>
      </c>
    </row>
    <row r="106" spans="1:5" hidden="1" x14ac:dyDescent="0.25">
      <c r="A106" t="s">
        <v>297</v>
      </c>
      <c r="B106" t="s">
        <v>298</v>
      </c>
      <c r="C106" s="1">
        <v>46238</v>
      </c>
      <c r="D106" t="s">
        <v>4260</v>
      </c>
      <c r="E106" t="s">
        <v>4273</v>
      </c>
    </row>
    <row r="107" spans="1:5" hidden="1" x14ac:dyDescent="0.25">
      <c r="A107" t="s">
        <v>222</v>
      </c>
      <c r="B107" t="s">
        <v>223</v>
      </c>
      <c r="C107" s="1">
        <v>46238</v>
      </c>
      <c r="D107" t="s">
        <v>4258</v>
      </c>
      <c r="E107" t="s">
        <v>4274</v>
      </c>
    </row>
    <row r="108" spans="1:5" hidden="1" x14ac:dyDescent="0.25">
      <c r="A108" t="s">
        <v>309</v>
      </c>
      <c r="B108" t="s">
        <v>310</v>
      </c>
      <c r="C108" s="1">
        <v>46238</v>
      </c>
      <c r="D108" t="s">
        <v>4260</v>
      </c>
      <c r="E108" t="s">
        <v>4281</v>
      </c>
    </row>
    <row r="109" spans="1:5" hidden="1" x14ac:dyDescent="0.25">
      <c r="A109" t="s">
        <v>96</v>
      </c>
      <c r="B109" t="s">
        <v>97</v>
      </c>
      <c r="C109" s="1">
        <v>46238</v>
      </c>
      <c r="D109" t="s">
        <v>4257</v>
      </c>
      <c r="E109" t="s">
        <v>4272</v>
      </c>
    </row>
    <row r="110" spans="1:5" hidden="1" x14ac:dyDescent="0.25">
      <c r="A110" t="s">
        <v>193</v>
      </c>
      <c r="B110" t="s">
        <v>194</v>
      </c>
      <c r="C110" s="1">
        <v>46238</v>
      </c>
      <c r="D110" t="s">
        <v>4260</v>
      </c>
      <c r="E110" t="s">
        <v>4281</v>
      </c>
    </row>
    <row r="111" spans="1:5" hidden="1" x14ac:dyDescent="0.25">
      <c r="A111" t="s">
        <v>1382</v>
      </c>
      <c r="B111" t="s">
        <v>1383</v>
      </c>
      <c r="C111" s="1">
        <v>46238</v>
      </c>
      <c r="D111" t="s">
        <v>4260</v>
      </c>
      <c r="E111" t="s">
        <v>4281</v>
      </c>
    </row>
    <row r="112" spans="1:5" hidden="1" x14ac:dyDescent="0.25">
      <c r="A112" t="s">
        <v>273</v>
      </c>
      <c r="B112" t="s">
        <v>274</v>
      </c>
      <c r="C112" s="1">
        <v>46238</v>
      </c>
      <c r="D112" t="s">
        <v>4257</v>
      </c>
      <c r="E112" t="s">
        <v>4277</v>
      </c>
    </row>
    <row r="113" spans="1:5" hidden="1" x14ac:dyDescent="0.25">
      <c r="A113" t="s">
        <v>177</v>
      </c>
      <c r="B113" t="s">
        <v>178</v>
      </c>
      <c r="C113" s="1">
        <v>46238</v>
      </c>
      <c r="D113" t="s">
        <v>4257</v>
      </c>
      <c r="E113" t="s">
        <v>4282</v>
      </c>
    </row>
    <row r="114" spans="1:5" hidden="1" x14ac:dyDescent="0.25">
      <c r="A114" t="s">
        <v>257</v>
      </c>
      <c r="B114" t="s">
        <v>258</v>
      </c>
      <c r="C114" s="1">
        <v>46238</v>
      </c>
      <c r="D114" t="s">
        <v>4260</v>
      </c>
      <c r="E114" t="s">
        <v>4283</v>
      </c>
    </row>
    <row r="115" spans="1:5" hidden="1" x14ac:dyDescent="0.25">
      <c r="A115" t="s">
        <v>321</v>
      </c>
      <c r="B115" t="s">
        <v>322</v>
      </c>
      <c r="C115" s="1">
        <v>46238</v>
      </c>
      <c r="D115" t="s">
        <v>4255</v>
      </c>
      <c r="E115" t="s">
        <v>4284</v>
      </c>
    </row>
    <row r="116" spans="1:5" hidden="1" x14ac:dyDescent="0.25">
      <c r="A116" t="s">
        <v>17</v>
      </c>
      <c r="B116" t="s">
        <v>18</v>
      </c>
      <c r="C116" s="1">
        <v>46238</v>
      </c>
      <c r="D116" t="s">
        <v>4258</v>
      </c>
      <c r="E116" t="s">
        <v>4285</v>
      </c>
    </row>
    <row r="117" spans="1:5" hidden="1" x14ac:dyDescent="0.25">
      <c r="A117" t="s">
        <v>264</v>
      </c>
      <c r="B117" t="s">
        <v>265</v>
      </c>
      <c r="C117" s="1">
        <v>46238</v>
      </c>
      <c r="D117" t="s">
        <v>4257</v>
      </c>
      <c r="E117" t="s">
        <v>4275</v>
      </c>
    </row>
    <row r="118" spans="1:5" hidden="1" x14ac:dyDescent="0.25">
      <c r="A118" t="s">
        <v>228</v>
      </c>
      <c r="B118" t="s">
        <v>229</v>
      </c>
      <c r="C118" s="1">
        <v>46238</v>
      </c>
      <c r="D118" t="s">
        <v>4258</v>
      </c>
      <c r="E118" t="s">
        <v>4285</v>
      </c>
    </row>
    <row r="119" spans="1:5" hidden="1" x14ac:dyDescent="0.25">
      <c r="A119" t="s">
        <v>119</v>
      </c>
      <c r="B119" t="s">
        <v>120</v>
      </c>
      <c r="C119" s="1">
        <v>46238</v>
      </c>
      <c r="D119" t="s">
        <v>4260</v>
      </c>
      <c r="E119" t="s">
        <v>4283</v>
      </c>
    </row>
    <row r="120" spans="1:5" hidden="1" x14ac:dyDescent="0.25">
      <c r="A120" t="s">
        <v>236</v>
      </c>
      <c r="B120" t="s">
        <v>237</v>
      </c>
      <c r="C120" s="1">
        <v>46238</v>
      </c>
      <c r="D120" t="s">
        <v>4255</v>
      </c>
      <c r="E120" t="s">
        <v>4284</v>
      </c>
    </row>
    <row r="121" spans="1:5" hidden="1" x14ac:dyDescent="0.25">
      <c r="A121" t="s">
        <v>560</v>
      </c>
      <c r="B121" t="s">
        <v>561</v>
      </c>
      <c r="C121" s="1">
        <v>46238</v>
      </c>
      <c r="D121" t="s">
        <v>4255</v>
      </c>
      <c r="E121" t="s">
        <v>4271</v>
      </c>
    </row>
    <row r="122" spans="1:5" hidden="1" x14ac:dyDescent="0.25">
      <c r="A122" t="s">
        <v>199</v>
      </c>
      <c r="B122" t="s">
        <v>200</v>
      </c>
      <c r="C122" s="1">
        <v>46238</v>
      </c>
      <c r="D122" t="s">
        <v>4257</v>
      </c>
      <c r="E122" t="s">
        <v>4277</v>
      </c>
    </row>
    <row r="123" spans="1:5" hidden="1" x14ac:dyDescent="0.25">
      <c r="A123" t="s">
        <v>3662</v>
      </c>
      <c r="B123" t="s">
        <v>3663</v>
      </c>
      <c r="C123" s="1">
        <v>46238</v>
      </c>
      <c r="D123" t="s">
        <v>4255</v>
      </c>
      <c r="E123" t="s">
        <v>4271</v>
      </c>
    </row>
    <row r="124" spans="1:5" hidden="1" x14ac:dyDescent="0.25">
      <c r="A124" t="s">
        <v>45</v>
      </c>
      <c r="B124" t="s">
        <v>46</v>
      </c>
      <c r="C124" s="1">
        <v>46238</v>
      </c>
      <c r="D124" t="s">
        <v>4260</v>
      </c>
      <c r="E124" t="s">
        <v>4283</v>
      </c>
    </row>
    <row r="125" spans="1:5" hidden="1" x14ac:dyDescent="0.25">
      <c r="A125" t="s">
        <v>163</v>
      </c>
      <c r="B125" t="s">
        <v>164</v>
      </c>
      <c r="C125" s="1">
        <v>46238</v>
      </c>
      <c r="D125" t="s">
        <v>4255</v>
      </c>
      <c r="E125" t="s">
        <v>4271</v>
      </c>
    </row>
    <row r="126" spans="1:5" hidden="1" x14ac:dyDescent="0.25">
      <c r="A126" t="s">
        <v>246</v>
      </c>
      <c r="B126" t="s">
        <v>247</v>
      </c>
      <c r="C126" s="1">
        <v>46238</v>
      </c>
      <c r="D126" t="s">
        <v>4260</v>
      </c>
      <c r="E126" t="s">
        <v>4283</v>
      </c>
    </row>
    <row r="127" spans="1:5" hidden="1" x14ac:dyDescent="0.25">
      <c r="A127" t="s">
        <v>300</v>
      </c>
      <c r="B127" t="s">
        <v>301</v>
      </c>
      <c r="C127" s="1">
        <v>46238</v>
      </c>
      <c r="D127" t="s">
        <v>4258</v>
      </c>
      <c r="E127" t="s">
        <v>4274</v>
      </c>
    </row>
    <row r="128" spans="1:5" hidden="1" x14ac:dyDescent="0.25">
      <c r="A128" t="s">
        <v>209</v>
      </c>
      <c r="B128" t="s">
        <v>210</v>
      </c>
      <c r="C128" s="1">
        <v>46238</v>
      </c>
      <c r="D128" t="s">
        <v>4257</v>
      </c>
      <c r="E128" t="s">
        <v>4278</v>
      </c>
    </row>
    <row r="129" spans="1:5" hidden="1" x14ac:dyDescent="0.25">
      <c r="A129" t="s">
        <v>213</v>
      </c>
      <c r="B129" t="s">
        <v>214</v>
      </c>
      <c r="C129" s="1">
        <v>46238</v>
      </c>
      <c r="D129" t="s">
        <v>4257</v>
      </c>
      <c r="E129" t="s">
        <v>4278</v>
      </c>
    </row>
    <row r="130" spans="1:5" hidden="1" x14ac:dyDescent="0.25">
      <c r="A130" t="s">
        <v>150</v>
      </c>
      <c r="B130" t="s">
        <v>151</v>
      </c>
      <c r="C130" s="1">
        <v>46238</v>
      </c>
      <c r="D130" t="s">
        <v>4257</v>
      </c>
      <c r="E130" t="s">
        <v>4277</v>
      </c>
    </row>
    <row r="131" spans="1:5" hidden="1" x14ac:dyDescent="0.25">
      <c r="A131" t="s">
        <v>1491</v>
      </c>
      <c r="B131" t="s">
        <v>1492</v>
      </c>
      <c r="C131" s="1">
        <v>46239</v>
      </c>
      <c r="D131" t="s">
        <v>4257</v>
      </c>
      <c r="E131" t="s">
        <v>4272</v>
      </c>
    </row>
    <row r="132" spans="1:5" hidden="1" x14ac:dyDescent="0.25">
      <c r="A132" t="s">
        <v>1407</v>
      </c>
      <c r="B132" t="s">
        <v>1408</v>
      </c>
      <c r="C132" s="1">
        <v>46239</v>
      </c>
      <c r="D132" t="s">
        <v>4260</v>
      </c>
      <c r="E132" t="s">
        <v>4273</v>
      </c>
    </row>
    <row r="133" spans="1:5" hidden="1" x14ac:dyDescent="0.25">
      <c r="A133" t="s">
        <v>148</v>
      </c>
      <c r="B133" t="s">
        <v>149</v>
      </c>
      <c r="C133" s="1">
        <v>46239</v>
      </c>
      <c r="D133" t="s">
        <v>4258</v>
      </c>
      <c r="E133" t="s">
        <v>4274</v>
      </c>
    </row>
    <row r="134" spans="1:5" hidden="1" x14ac:dyDescent="0.25">
      <c r="A134" t="s">
        <v>314</v>
      </c>
      <c r="B134" t="s">
        <v>315</v>
      </c>
      <c r="C134" s="1">
        <v>46239</v>
      </c>
      <c r="D134" t="s">
        <v>4257</v>
      </c>
      <c r="E134" t="s">
        <v>4272</v>
      </c>
    </row>
    <row r="135" spans="1:5" hidden="1" x14ac:dyDescent="0.25">
      <c r="A135" t="s">
        <v>303</v>
      </c>
      <c r="B135" t="s">
        <v>304</v>
      </c>
      <c r="C135" s="1">
        <v>46239</v>
      </c>
      <c r="D135" t="s">
        <v>4257</v>
      </c>
      <c r="E135" t="s">
        <v>4275</v>
      </c>
    </row>
    <row r="136" spans="1:5" hidden="1" x14ac:dyDescent="0.25">
      <c r="A136" t="s">
        <v>116</v>
      </c>
      <c r="B136" t="s">
        <v>117</v>
      </c>
      <c r="C136" s="1">
        <v>46239</v>
      </c>
      <c r="D136" t="s">
        <v>4260</v>
      </c>
      <c r="E136" t="s">
        <v>4276</v>
      </c>
    </row>
    <row r="137" spans="1:5" hidden="1" x14ac:dyDescent="0.25">
      <c r="A137" t="s">
        <v>73</v>
      </c>
      <c r="B137" t="s">
        <v>74</v>
      </c>
      <c r="C137" s="1">
        <v>46239</v>
      </c>
      <c r="D137" t="s">
        <v>4257</v>
      </c>
      <c r="E137" t="s">
        <v>4278</v>
      </c>
    </row>
    <row r="138" spans="1:5" hidden="1" x14ac:dyDescent="0.25">
      <c r="A138" t="s">
        <v>276</v>
      </c>
      <c r="B138" t="s">
        <v>277</v>
      </c>
      <c r="C138" s="1">
        <v>46239</v>
      </c>
      <c r="D138" t="s">
        <v>4259</v>
      </c>
      <c r="E138" t="s">
        <v>4279</v>
      </c>
    </row>
    <row r="139" spans="1:5" hidden="1" x14ac:dyDescent="0.25">
      <c r="A139" t="s">
        <v>184</v>
      </c>
      <c r="B139" t="s">
        <v>185</v>
      </c>
      <c r="C139" s="1">
        <v>46239</v>
      </c>
      <c r="D139" t="s">
        <v>4255</v>
      </c>
      <c r="E139" t="s">
        <v>4271</v>
      </c>
    </row>
    <row r="140" spans="1:5" hidden="1" x14ac:dyDescent="0.25">
      <c r="A140" t="s">
        <v>181</v>
      </c>
      <c r="B140" t="s">
        <v>182</v>
      </c>
      <c r="C140" s="1">
        <v>46239</v>
      </c>
      <c r="D140" t="s">
        <v>4260</v>
      </c>
      <c r="E140" t="s">
        <v>4276</v>
      </c>
    </row>
    <row r="141" spans="1:5" hidden="1" x14ac:dyDescent="0.25">
      <c r="A141" t="s">
        <v>282</v>
      </c>
      <c r="B141" t="s">
        <v>283</v>
      </c>
      <c r="C141" s="1">
        <v>46239</v>
      </c>
      <c r="D141" t="s">
        <v>4260</v>
      </c>
      <c r="E141" t="s">
        <v>4273</v>
      </c>
    </row>
    <row r="142" spans="1:5" hidden="1" x14ac:dyDescent="0.25">
      <c r="A142" t="s">
        <v>285</v>
      </c>
      <c r="B142" t="s">
        <v>286</v>
      </c>
      <c r="C142" s="1">
        <v>46239</v>
      </c>
      <c r="D142" t="s">
        <v>4255</v>
      </c>
      <c r="E142" t="s">
        <v>4271</v>
      </c>
    </row>
    <row r="143" spans="1:5" hidden="1" x14ac:dyDescent="0.25">
      <c r="A143" t="s">
        <v>267</v>
      </c>
      <c r="B143" t="s">
        <v>268</v>
      </c>
      <c r="C143" s="1">
        <v>46239</v>
      </c>
      <c r="D143" t="s">
        <v>4255</v>
      </c>
      <c r="E143" t="s">
        <v>4271</v>
      </c>
    </row>
    <row r="144" spans="1:5" hidden="1" x14ac:dyDescent="0.25">
      <c r="A144" t="s">
        <v>110</v>
      </c>
      <c r="B144" t="s">
        <v>111</v>
      </c>
      <c r="C144" s="1">
        <v>46239</v>
      </c>
      <c r="D144" t="s">
        <v>4259</v>
      </c>
      <c r="E144" t="s">
        <v>4279</v>
      </c>
    </row>
    <row r="145" spans="1:5" hidden="1" x14ac:dyDescent="0.25">
      <c r="A145" t="s">
        <v>85</v>
      </c>
      <c r="B145" t="s">
        <v>86</v>
      </c>
      <c r="C145" s="1">
        <v>46239</v>
      </c>
      <c r="D145" t="s">
        <v>4259</v>
      </c>
      <c r="E145" t="s">
        <v>4280</v>
      </c>
    </row>
    <row r="146" spans="1:5" hidden="1" x14ac:dyDescent="0.25">
      <c r="A146" t="s">
        <v>231</v>
      </c>
      <c r="B146" t="s">
        <v>232</v>
      </c>
      <c r="C146" s="1">
        <v>46239</v>
      </c>
      <c r="D146" t="s">
        <v>4257</v>
      </c>
      <c r="E146" t="s">
        <v>4272</v>
      </c>
    </row>
    <row r="147" spans="1:5" hidden="1" x14ac:dyDescent="0.25">
      <c r="A147" t="s">
        <v>297</v>
      </c>
      <c r="B147" t="s">
        <v>298</v>
      </c>
      <c r="C147" s="1">
        <v>46239</v>
      </c>
      <c r="D147" t="s">
        <v>4260</v>
      </c>
      <c r="E147" t="s">
        <v>4273</v>
      </c>
    </row>
    <row r="148" spans="1:5" hidden="1" x14ac:dyDescent="0.25">
      <c r="A148" t="s">
        <v>222</v>
      </c>
      <c r="B148" t="s">
        <v>223</v>
      </c>
      <c r="C148" s="1">
        <v>46239</v>
      </c>
      <c r="D148" t="s">
        <v>4258</v>
      </c>
      <c r="E148" t="s">
        <v>4274</v>
      </c>
    </row>
    <row r="149" spans="1:5" hidden="1" x14ac:dyDescent="0.25">
      <c r="A149" t="s">
        <v>309</v>
      </c>
      <c r="B149" t="s">
        <v>310</v>
      </c>
      <c r="C149" s="1">
        <v>46239</v>
      </c>
      <c r="D149" t="s">
        <v>4260</v>
      </c>
      <c r="E149" t="s">
        <v>4281</v>
      </c>
    </row>
    <row r="150" spans="1:5" hidden="1" x14ac:dyDescent="0.25">
      <c r="A150" t="s">
        <v>96</v>
      </c>
      <c r="B150" t="s">
        <v>97</v>
      </c>
      <c r="C150" s="1">
        <v>46239</v>
      </c>
      <c r="D150" t="s">
        <v>4257</v>
      </c>
      <c r="E150" t="s">
        <v>4272</v>
      </c>
    </row>
    <row r="151" spans="1:5" hidden="1" x14ac:dyDescent="0.25">
      <c r="A151" t="s">
        <v>193</v>
      </c>
      <c r="B151" t="s">
        <v>194</v>
      </c>
      <c r="C151" s="1">
        <v>46239</v>
      </c>
      <c r="D151" t="s">
        <v>4260</v>
      </c>
      <c r="E151" t="s">
        <v>4281</v>
      </c>
    </row>
    <row r="152" spans="1:5" hidden="1" x14ac:dyDescent="0.25">
      <c r="A152" t="s">
        <v>1382</v>
      </c>
      <c r="B152" t="s">
        <v>1383</v>
      </c>
      <c r="C152" s="1">
        <v>46239</v>
      </c>
      <c r="D152" t="s">
        <v>4260</v>
      </c>
      <c r="E152" t="s">
        <v>4281</v>
      </c>
    </row>
    <row r="153" spans="1:5" hidden="1" x14ac:dyDescent="0.25">
      <c r="A153" t="s">
        <v>273</v>
      </c>
      <c r="B153" t="s">
        <v>274</v>
      </c>
      <c r="C153" s="1">
        <v>46239</v>
      </c>
      <c r="D153" t="s">
        <v>4257</v>
      </c>
      <c r="E153" t="s">
        <v>4277</v>
      </c>
    </row>
    <row r="154" spans="1:5" hidden="1" x14ac:dyDescent="0.25">
      <c r="A154" t="s">
        <v>177</v>
      </c>
      <c r="B154" t="s">
        <v>178</v>
      </c>
      <c r="C154" s="1">
        <v>46239</v>
      </c>
      <c r="D154" t="s">
        <v>4257</v>
      </c>
      <c r="E154" t="s">
        <v>4282</v>
      </c>
    </row>
    <row r="155" spans="1:5" hidden="1" x14ac:dyDescent="0.25">
      <c r="A155" t="s">
        <v>150</v>
      </c>
      <c r="B155" t="s">
        <v>151</v>
      </c>
      <c r="C155" s="1">
        <v>46239</v>
      </c>
      <c r="D155" t="s">
        <v>4257</v>
      </c>
      <c r="E155" t="s">
        <v>4277</v>
      </c>
    </row>
    <row r="156" spans="1:5" hidden="1" x14ac:dyDescent="0.25">
      <c r="A156" t="s">
        <v>257</v>
      </c>
      <c r="B156" t="s">
        <v>258</v>
      </c>
      <c r="C156" s="1">
        <v>46239</v>
      </c>
      <c r="D156" t="s">
        <v>4260</v>
      </c>
      <c r="E156" t="s">
        <v>4283</v>
      </c>
    </row>
    <row r="157" spans="1:5" hidden="1" x14ac:dyDescent="0.25">
      <c r="A157" t="s">
        <v>321</v>
      </c>
      <c r="B157" t="s">
        <v>322</v>
      </c>
      <c r="C157" s="1">
        <v>46239</v>
      </c>
      <c r="D157" t="s">
        <v>4255</v>
      </c>
      <c r="E157" t="s">
        <v>4284</v>
      </c>
    </row>
    <row r="158" spans="1:5" hidden="1" x14ac:dyDescent="0.25">
      <c r="A158" t="s">
        <v>17</v>
      </c>
      <c r="B158" t="s">
        <v>18</v>
      </c>
      <c r="C158" s="1">
        <v>46239</v>
      </c>
      <c r="D158" t="s">
        <v>4258</v>
      </c>
      <c r="E158" t="s">
        <v>4285</v>
      </c>
    </row>
    <row r="159" spans="1:5" hidden="1" x14ac:dyDescent="0.25">
      <c r="A159" t="s">
        <v>264</v>
      </c>
      <c r="B159" t="s">
        <v>265</v>
      </c>
      <c r="C159" s="1">
        <v>46239</v>
      </c>
      <c r="D159" t="s">
        <v>4257</v>
      </c>
      <c r="E159" t="s">
        <v>4275</v>
      </c>
    </row>
    <row r="160" spans="1:5" hidden="1" x14ac:dyDescent="0.25">
      <c r="A160" t="s">
        <v>228</v>
      </c>
      <c r="B160" t="s">
        <v>229</v>
      </c>
      <c r="C160" s="1">
        <v>46239</v>
      </c>
      <c r="D160" t="s">
        <v>4258</v>
      </c>
      <c r="E160" t="s">
        <v>4285</v>
      </c>
    </row>
    <row r="161" spans="1:5" hidden="1" x14ac:dyDescent="0.25">
      <c r="A161" t="s">
        <v>119</v>
      </c>
      <c r="B161" t="s">
        <v>120</v>
      </c>
      <c r="C161" s="1">
        <v>46239</v>
      </c>
      <c r="D161" t="s">
        <v>4260</v>
      </c>
      <c r="E161" t="s">
        <v>4283</v>
      </c>
    </row>
    <row r="162" spans="1:5" hidden="1" x14ac:dyDescent="0.25">
      <c r="A162" t="s">
        <v>236</v>
      </c>
      <c r="B162" t="s">
        <v>237</v>
      </c>
      <c r="C162" s="1">
        <v>46239</v>
      </c>
      <c r="D162" t="s">
        <v>4255</v>
      </c>
      <c r="E162" t="s">
        <v>4284</v>
      </c>
    </row>
    <row r="163" spans="1:5" hidden="1" x14ac:dyDescent="0.25">
      <c r="A163" t="s">
        <v>560</v>
      </c>
      <c r="B163" t="s">
        <v>561</v>
      </c>
      <c r="C163" s="1">
        <v>46239</v>
      </c>
      <c r="D163" t="s">
        <v>4255</v>
      </c>
      <c r="E163" t="s">
        <v>4271</v>
      </c>
    </row>
    <row r="164" spans="1:5" hidden="1" x14ac:dyDescent="0.25">
      <c r="A164" t="s">
        <v>199</v>
      </c>
      <c r="B164" t="s">
        <v>200</v>
      </c>
      <c r="C164" s="1">
        <v>46239</v>
      </c>
      <c r="D164" t="s">
        <v>4257</v>
      </c>
      <c r="E164" t="s">
        <v>4277</v>
      </c>
    </row>
    <row r="165" spans="1:5" hidden="1" x14ac:dyDescent="0.25">
      <c r="A165" t="s">
        <v>3662</v>
      </c>
      <c r="B165" t="s">
        <v>3663</v>
      </c>
      <c r="C165" s="1">
        <v>46239</v>
      </c>
      <c r="D165" t="s">
        <v>4255</v>
      </c>
      <c r="E165" t="s">
        <v>4271</v>
      </c>
    </row>
    <row r="166" spans="1:5" hidden="1" x14ac:dyDescent="0.25">
      <c r="A166" t="s">
        <v>45</v>
      </c>
      <c r="B166" t="s">
        <v>46</v>
      </c>
      <c r="C166" s="1">
        <v>46239</v>
      </c>
      <c r="D166" t="s">
        <v>4260</v>
      </c>
      <c r="E166" t="s">
        <v>4283</v>
      </c>
    </row>
    <row r="167" spans="1:5" hidden="1" x14ac:dyDescent="0.25">
      <c r="A167" t="s">
        <v>163</v>
      </c>
      <c r="B167" t="s">
        <v>164</v>
      </c>
      <c r="C167" s="1">
        <v>46239</v>
      </c>
      <c r="D167" t="s">
        <v>4255</v>
      </c>
      <c r="E167" t="s">
        <v>4271</v>
      </c>
    </row>
    <row r="168" spans="1:5" hidden="1" x14ac:dyDescent="0.25">
      <c r="A168" t="s">
        <v>246</v>
      </c>
      <c r="B168" t="s">
        <v>247</v>
      </c>
      <c r="C168" s="1">
        <v>46239</v>
      </c>
      <c r="D168" t="s">
        <v>4260</v>
      </c>
      <c r="E168" t="s">
        <v>4283</v>
      </c>
    </row>
    <row r="169" spans="1:5" hidden="1" x14ac:dyDescent="0.25">
      <c r="A169" t="s">
        <v>300</v>
      </c>
      <c r="B169" t="s">
        <v>301</v>
      </c>
      <c r="C169" s="1">
        <v>46239</v>
      </c>
      <c r="D169" t="s">
        <v>4258</v>
      </c>
      <c r="E169" t="s">
        <v>4274</v>
      </c>
    </row>
    <row r="170" spans="1:5" hidden="1" x14ac:dyDescent="0.25">
      <c r="A170" t="s">
        <v>209</v>
      </c>
      <c r="B170" t="s">
        <v>210</v>
      </c>
      <c r="C170" s="1">
        <v>46239</v>
      </c>
      <c r="D170" t="s">
        <v>4257</v>
      </c>
      <c r="E170" t="s">
        <v>4278</v>
      </c>
    </row>
    <row r="171" spans="1:5" hidden="1" x14ac:dyDescent="0.25">
      <c r="A171" t="s">
        <v>213</v>
      </c>
      <c r="B171" t="s">
        <v>214</v>
      </c>
      <c r="C171" s="1">
        <v>46239</v>
      </c>
      <c r="D171" t="s">
        <v>4257</v>
      </c>
      <c r="E171" t="s">
        <v>4278</v>
      </c>
    </row>
    <row r="172" spans="1:5" hidden="1" x14ac:dyDescent="0.25">
      <c r="A172" t="s">
        <v>1491</v>
      </c>
      <c r="B172" t="s">
        <v>1492</v>
      </c>
      <c r="C172" s="1">
        <v>46240</v>
      </c>
      <c r="D172" t="s">
        <v>4257</v>
      </c>
      <c r="E172" t="s">
        <v>4272</v>
      </c>
    </row>
    <row r="173" spans="1:5" hidden="1" x14ac:dyDescent="0.25">
      <c r="A173" t="s">
        <v>1407</v>
      </c>
      <c r="B173" t="s">
        <v>1408</v>
      </c>
      <c r="C173" s="1">
        <v>46240</v>
      </c>
      <c r="D173" t="s">
        <v>4260</v>
      </c>
      <c r="E173" t="s">
        <v>4273</v>
      </c>
    </row>
    <row r="174" spans="1:5" hidden="1" x14ac:dyDescent="0.25">
      <c r="A174" t="s">
        <v>148</v>
      </c>
      <c r="B174" t="s">
        <v>149</v>
      </c>
      <c r="C174" s="1">
        <v>46240</v>
      </c>
      <c r="D174" t="s">
        <v>4258</v>
      </c>
      <c r="E174" t="s">
        <v>4274</v>
      </c>
    </row>
    <row r="175" spans="1:5" hidden="1" x14ac:dyDescent="0.25">
      <c r="A175" t="s">
        <v>314</v>
      </c>
      <c r="B175" t="s">
        <v>315</v>
      </c>
      <c r="C175" s="1">
        <v>46240</v>
      </c>
      <c r="D175" t="s">
        <v>4257</v>
      </c>
      <c r="E175" t="s">
        <v>4272</v>
      </c>
    </row>
    <row r="176" spans="1:5" hidden="1" x14ac:dyDescent="0.25">
      <c r="A176" t="s">
        <v>303</v>
      </c>
      <c r="B176" t="s">
        <v>304</v>
      </c>
      <c r="C176" s="1">
        <v>46240</v>
      </c>
      <c r="D176" t="s">
        <v>4257</v>
      </c>
      <c r="E176" t="s">
        <v>4275</v>
      </c>
    </row>
    <row r="177" spans="1:5" hidden="1" x14ac:dyDescent="0.25">
      <c r="A177" t="s">
        <v>116</v>
      </c>
      <c r="B177" t="s">
        <v>117</v>
      </c>
      <c r="C177" s="1">
        <v>46240</v>
      </c>
      <c r="D177" t="s">
        <v>4260</v>
      </c>
      <c r="E177" t="s">
        <v>4276</v>
      </c>
    </row>
    <row r="178" spans="1:5" hidden="1" x14ac:dyDescent="0.25">
      <c r="A178" t="s">
        <v>73</v>
      </c>
      <c r="B178" t="s">
        <v>74</v>
      </c>
      <c r="C178" s="1">
        <v>46240</v>
      </c>
      <c r="D178" t="s">
        <v>4257</v>
      </c>
      <c r="E178" t="s">
        <v>4278</v>
      </c>
    </row>
    <row r="179" spans="1:5" hidden="1" x14ac:dyDescent="0.25">
      <c r="A179" t="s">
        <v>276</v>
      </c>
      <c r="B179" t="s">
        <v>277</v>
      </c>
      <c r="C179" s="1">
        <v>46240</v>
      </c>
      <c r="D179" t="s">
        <v>4259</v>
      </c>
      <c r="E179" t="s">
        <v>4279</v>
      </c>
    </row>
    <row r="180" spans="1:5" hidden="1" x14ac:dyDescent="0.25">
      <c r="A180" t="s">
        <v>184</v>
      </c>
      <c r="B180" t="s">
        <v>185</v>
      </c>
      <c r="C180" s="1">
        <v>46240</v>
      </c>
      <c r="D180" t="s">
        <v>4255</v>
      </c>
      <c r="E180" t="s">
        <v>4271</v>
      </c>
    </row>
    <row r="181" spans="1:5" hidden="1" x14ac:dyDescent="0.25">
      <c r="A181" t="s">
        <v>181</v>
      </c>
      <c r="B181" t="s">
        <v>182</v>
      </c>
      <c r="C181" s="1">
        <v>46240</v>
      </c>
      <c r="D181" t="s">
        <v>4260</v>
      </c>
      <c r="E181" t="s">
        <v>4276</v>
      </c>
    </row>
    <row r="182" spans="1:5" hidden="1" x14ac:dyDescent="0.25">
      <c r="A182" t="s">
        <v>282</v>
      </c>
      <c r="B182" t="s">
        <v>283</v>
      </c>
      <c r="C182" s="1">
        <v>46240</v>
      </c>
      <c r="D182" t="s">
        <v>4260</v>
      </c>
      <c r="E182" t="s">
        <v>4273</v>
      </c>
    </row>
    <row r="183" spans="1:5" hidden="1" x14ac:dyDescent="0.25">
      <c r="A183" t="s">
        <v>285</v>
      </c>
      <c r="B183" t="s">
        <v>286</v>
      </c>
      <c r="C183" s="1">
        <v>46240</v>
      </c>
      <c r="D183" t="s">
        <v>4255</v>
      </c>
      <c r="E183" t="s">
        <v>4271</v>
      </c>
    </row>
    <row r="184" spans="1:5" hidden="1" x14ac:dyDescent="0.25">
      <c r="A184" t="s">
        <v>267</v>
      </c>
      <c r="B184" t="s">
        <v>268</v>
      </c>
      <c r="C184" s="1">
        <v>46240</v>
      </c>
      <c r="D184" t="s">
        <v>4255</v>
      </c>
      <c r="E184" t="s">
        <v>4271</v>
      </c>
    </row>
    <row r="185" spans="1:5" hidden="1" x14ac:dyDescent="0.25">
      <c r="A185" t="s">
        <v>110</v>
      </c>
      <c r="B185" t="s">
        <v>111</v>
      </c>
      <c r="C185" s="1">
        <v>46240</v>
      </c>
      <c r="D185" t="s">
        <v>4259</v>
      </c>
      <c r="E185" t="s">
        <v>4279</v>
      </c>
    </row>
    <row r="186" spans="1:5" hidden="1" x14ac:dyDescent="0.25">
      <c r="A186" t="s">
        <v>85</v>
      </c>
      <c r="B186" t="s">
        <v>86</v>
      </c>
      <c r="C186" s="1">
        <v>46240</v>
      </c>
      <c r="D186" t="s">
        <v>4259</v>
      </c>
      <c r="E186" t="s">
        <v>4280</v>
      </c>
    </row>
    <row r="187" spans="1:5" hidden="1" x14ac:dyDescent="0.25">
      <c r="A187" t="s">
        <v>231</v>
      </c>
      <c r="B187" t="s">
        <v>232</v>
      </c>
      <c r="C187" s="1">
        <v>46240</v>
      </c>
      <c r="D187" t="s">
        <v>4257</v>
      </c>
      <c r="E187" t="s">
        <v>4272</v>
      </c>
    </row>
    <row r="188" spans="1:5" hidden="1" x14ac:dyDescent="0.25">
      <c r="A188" t="s">
        <v>297</v>
      </c>
      <c r="B188" t="s">
        <v>298</v>
      </c>
      <c r="C188" s="1">
        <v>46240</v>
      </c>
      <c r="D188" t="s">
        <v>4260</v>
      </c>
      <c r="E188" t="s">
        <v>4273</v>
      </c>
    </row>
    <row r="189" spans="1:5" hidden="1" x14ac:dyDescent="0.25">
      <c r="A189" t="s">
        <v>222</v>
      </c>
      <c r="B189" t="s">
        <v>223</v>
      </c>
      <c r="C189" s="1">
        <v>46240</v>
      </c>
      <c r="D189" t="s">
        <v>4258</v>
      </c>
      <c r="E189" t="s">
        <v>4274</v>
      </c>
    </row>
    <row r="190" spans="1:5" hidden="1" x14ac:dyDescent="0.25">
      <c r="A190" t="s">
        <v>309</v>
      </c>
      <c r="B190" t="s">
        <v>310</v>
      </c>
      <c r="C190" s="1">
        <v>46240</v>
      </c>
      <c r="D190" t="s">
        <v>4260</v>
      </c>
      <c r="E190" t="s">
        <v>4281</v>
      </c>
    </row>
    <row r="191" spans="1:5" hidden="1" x14ac:dyDescent="0.25">
      <c r="A191" t="s">
        <v>96</v>
      </c>
      <c r="B191" t="s">
        <v>97</v>
      </c>
      <c r="C191" s="1">
        <v>46240</v>
      </c>
      <c r="D191" t="s">
        <v>4257</v>
      </c>
      <c r="E191" t="s">
        <v>4272</v>
      </c>
    </row>
    <row r="192" spans="1:5" hidden="1" x14ac:dyDescent="0.25">
      <c r="A192" t="s">
        <v>193</v>
      </c>
      <c r="B192" t="s">
        <v>194</v>
      </c>
      <c r="C192" s="1">
        <v>46240</v>
      </c>
      <c r="D192" t="s">
        <v>4260</v>
      </c>
      <c r="E192" t="s">
        <v>4281</v>
      </c>
    </row>
    <row r="193" spans="1:5" hidden="1" x14ac:dyDescent="0.25">
      <c r="A193" t="s">
        <v>1382</v>
      </c>
      <c r="B193" t="s">
        <v>1383</v>
      </c>
      <c r="C193" s="1">
        <v>46240</v>
      </c>
      <c r="D193" t="s">
        <v>4260</v>
      </c>
      <c r="E193" t="s">
        <v>4281</v>
      </c>
    </row>
    <row r="194" spans="1:5" hidden="1" x14ac:dyDescent="0.25">
      <c r="A194" t="s">
        <v>273</v>
      </c>
      <c r="B194" t="s">
        <v>274</v>
      </c>
      <c r="C194" s="1">
        <v>46240</v>
      </c>
      <c r="D194" t="s">
        <v>4257</v>
      </c>
      <c r="E194" t="s">
        <v>4277</v>
      </c>
    </row>
    <row r="195" spans="1:5" hidden="1" x14ac:dyDescent="0.25">
      <c r="A195" t="s">
        <v>177</v>
      </c>
      <c r="B195" t="s">
        <v>178</v>
      </c>
      <c r="C195" s="1">
        <v>46240</v>
      </c>
      <c r="D195" t="s">
        <v>4257</v>
      </c>
      <c r="E195" t="s">
        <v>4282</v>
      </c>
    </row>
    <row r="196" spans="1:5" hidden="1" x14ac:dyDescent="0.25">
      <c r="A196" t="s">
        <v>150</v>
      </c>
      <c r="B196" t="s">
        <v>151</v>
      </c>
      <c r="C196" s="1">
        <v>46240</v>
      </c>
      <c r="D196" t="s">
        <v>4257</v>
      </c>
      <c r="E196" t="s">
        <v>4277</v>
      </c>
    </row>
    <row r="197" spans="1:5" hidden="1" x14ac:dyDescent="0.25">
      <c r="A197" t="s">
        <v>257</v>
      </c>
      <c r="B197" t="s">
        <v>258</v>
      </c>
      <c r="C197" s="1">
        <v>46240</v>
      </c>
      <c r="D197" t="s">
        <v>4260</v>
      </c>
      <c r="E197" t="s">
        <v>4283</v>
      </c>
    </row>
    <row r="198" spans="1:5" hidden="1" x14ac:dyDescent="0.25">
      <c r="A198" t="s">
        <v>321</v>
      </c>
      <c r="B198" t="s">
        <v>322</v>
      </c>
      <c r="C198" s="1">
        <v>46240</v>
      </c>
      <c r="D198" t="s">
        <v>4255</v>
      </c>
      <c r="E198" t="s">
        <v>4284</v>
      </c>
    </row>
    <row r="199" spans="1:5" hidden="1" x14ac:dyDescent="0.25">
      <c r="A199" t="s">
        <v>17</v>
      </c>
      <c r="B199" t="s">
        <v>18</v>
      </c>
      <c r="C199" s="1">
        <v>46240</v>
      </c>
      <c r="D199" t="s">
        <v>4258</v>
      </c>
      <c r="E199" t="s">
        <v>4285</v>
      </c>
    </row>
    <row r="200" spans="1:5" hidden="1" x14ac:dyDescent="0.25">
      <c r="A200" t="s">
        <v>264</v>
      </c>
      <c r="B200" t="s">
        <v>265</v>
      </c>
      <c r="C200" s="1">
        <v>46240</v>
      </c>
      <c r="D200" t="s">
        <v>4257</v>
      </c>
      <c r="E200" t="s">
        <v>4275</v>
      </c>
    </row>
    <row r="201" spans="1:5" hidden="1" x14ac:dyDescent="0.25">
      <c r="A201" t="s">
        <v>228</v>
      </c>
      <c r="B201" t="s">
        <v>229</v>
      </c>
      <c r="C201" s="1">
        <v>46240</v>
      </c>
      <c r="D201" t="s">
        <v>4258</v>
      </c>
      <c r="E201" t="s">
        <v>4285</v>
      </c>
    </row>
    <row r="202" spans="1:5" hidden="1" x14ac:dyDescent="0.25">
      <c r="A202" t="s">
        <v>119</v>
      </c>
      <c r="B202" t="s">
        <v>120</v>
      </c>
      <c r="C202" s="1">
        <v>46240</v>
      </c>
      <c r="D202" t="s">
        <v>4260</v>
      </c>
      <c r="E202" t="s">
        <v>4283</v>
      </c>
    </row>
    <row r="203" spans="1:5" hidden="1" x14ac:dyDescent="0.25">
      <c r="A203" t="s">
        <v>236</v>
      </c>
      <c r="B203" t="s">
        <v>237</v>
      </c>
      <c r="C203" s="1">
        <v>46240</v>
      </c>
      <c r="D203" t="s">
        <v>4255</v>
      </c>
      <c r="E203" t="s">
        <v>4284</v>
      </c>
    </row>
    <row r="204" spans="1:5" hidden="1" x14ac:dyDescent="0.25">
      <c r="A204" t="s">
        <v>560</v>
      </c>
      <c r="B204" t="s">
        <v>561</v>
      </c>
      <c r="C204" s="1">
        <v>46240</v>
      </c>
      <c r="D204" t="s">
        <v>4255</v>
      </c>
      <c r="E204" t="s">
        <v>4271</v>
      </c>
    </row>
    <row r="205" spans="1:5" hidden="1" x14ac:dyDescent="0.25">
      <c r="A205" t="s">
        <v>199</v>
      </c>
      <c r="B205" t="s">
        <v>200</v>
      </c>
      <c r="C205" s="1">
        <v>46240</v>
      </c>
      <c r="D205" t="s">
        <v>4257</v>
      </c>
      <c r="E205" t="s">
        <v>4277</v>
      </c>
    </row>
    <row r="206" spans="1:5" hidden="1" x14ac:dyDescent="0.25">
      <c r="A206" t="s">
        <v>3662</v>
      </c>
      <c r="B206" t="s">
        <v>3663</v>
      </c>
      <c r="C206" s="1">
        <v>46240</v>
      </c>
      <c r="D206" t="s">
        <v>4255</v>
      </c>
      <c r="E206" t="s">
        <v>4271</v>
      </c>
    </row>
    <row r="207" spans="1:5" hidden="1" x14ac:dyDescent="0.25">
      <c r="A207" t="s">
        <v>45</v>
      </c>
      <c r="B207" t="s">
        <v>46</v>
      </c>
      <c r="C207" s="1">
        <v>46240</v>
      </c>
      <c r="D207" t="s">
        <v>4260</v>
      </c>
      <c r="E207" t="s">
        <v>4283</v>
      </c>
    </row>
    <row r="208" spans="1:5" hidden="1" x14ac:dyDescent="0.25">
      <c r="A208" t="s">
        <v>163</v>
      </c>
      <c r="B208" t="s">
        <v>164</v>
      </c>
      <c r="C208" s="1">
        <v>46240</v>
      </c>
      <c r="D208" t="s">
        <v>4255</v>
      </c>
      <c r="E208" t="s">
        <v>4271</v>
      </c>
    </row>
    <row r="209" spans="1:5" hidden="1" x14ac:dyDescent="0.25">
      <c r="A209" t="s">
        <v>246</v>
      </c>
      <c r="B209" t="s">
        <v>247</v>
      </c>
      <c r="C209" s="1">
        <v>46240</v>
      </c>
      <c r="D209" t="s">
        <v>4260</v>
      </c>
      <c r="E209" t="s">
        <v>4283</v>
      </c>
    </row>
    <row r="210" spans="1:5" hidden="1" x14ac:dyDescent="0.25">
      <c r="A210" t="s">
        <v>300</v>
      </c>
      <c r="B210" t="s">
        <v>301</v>
      </c>
      <c r="C210" s="1">
        <v>46240</v>
      </c>
      <c r="D210" t="s">
        <v>4258</v>
      </c>
      <c r="E210" t="s">
        <v>4274</v>
      </c>
    </row>
    <row r="211" spans="1:5" hidden="1" x14ac:dyDescent="0.25">
      <c r="A211" t="s">
        <v>209</v>
      </c>
      <c r="B211" t="s">
        <v>210</v>
      </c>
      <c r="C211" s="1">
        <v>46240</v>
      </c>
      <c r="D211" t="s">
        <v>4257</v>
      </c>
      <c r="E211" t="s">
        <v>4278</v>
      </c>
    </row>
    <row r="212" spans="1:5" hidden="1" x14ac:dyDescent="0.25">
      <c r="A212" t="s">
        <v>213</v>
      </c>
      <c r="B212" t="s">
        <v>214</v>
      </c>
      <c r="C212" s="1">
        <v>46240</v>
      </c>
      <c r="D212" t="s">
        <v>4257</v>
      </c>
      <c r="E212" t="s">
        <v>4278</v>
      </c>
    </row>
    <row r="213" spans="1:5" hidden="1" x14ac:dyDescent="0.25">
      <c r="A213" t="s">
        <v>1491</v>
      </c>
      <c r="B213" t="s">
        <v>1492</v>
      </c>
      <c r="C213" s="1">
        <v>46242</v>
      </c>
      <c r="D213" t="s">
        <v>4257</v>
      </c>
      <c r="E213" t="s">
        <v>4272</v>
      </c>
    </row>
    <row r="214" spans="1:5" hidden="1" x14ac:dyDescent="0.25">
      <c r="A214" t="s">
        <v>1407</v>
      </c>
      <c r="B214" t="s">
        <v>1408</v>
      </c>
      <c r="C214" s="1">
        <v>46242</v>
      </c>
      <c r="D214" t="s">
        <v>4260</v>
      </c>
      <c r="E214" t="s">
        <v>4273</v>
      </c>
    </row>
    <row r="215" spans="1:5" hidden="1" x14ac:dyDescent="0.25">
      <c r="A215" t="s">
        <v>148</v>
      </c>
      <c r="B215" t="s">
        <v>149</v>
      </c>
      <c r="C215" s="1">
        <v>46242</v>
      </c>
      <c r="D215" t="s">
        <v>4258</v>
      </c>
      <c r="E215" t="s">
        <v>4274</v>
      </c>
    </row>
    <row r="216" spans="1:5" hidden="1" x14ac:dyDescent="0.25">
      <c r="A216" t="s">
        <v>314</v>
      </c>
      <c r="B216" t="s">
        <v>315</v>
      </c>
      <c r="C216" s="1">
        <v>46242</v>
      </c>
      <c r="D216" t="s">
        <v>4257</v>
      </c>
      <c r="E216" t="s">
        <v>4272</v>
      </c>
    </row>
    <row r="217" spans="1:5" hidden="1" x14ac:dyDescent="0.25">
      <c r="A217" t="s">
        <v>303</v>
      </c>
      <c r="B217" t="s">
        <v>304</v>
      </c>
      <c r="C217" s="1">
        <v>46242</v>
      </c>
      <c r="D217" t="s">
        <v>4257</v>
      </c>
      <c r="E217" t="s">
        <v>4275</v>
      </c>
    </row>
    <row r="218" spans="1:5" hidden="1" x14ac:dyDescent="0.25">
      <c r="A218" t="s">
        <v>116</v>
      </c>
      <c r="B218" t="s">
        <v>117</v>
      </c>
      <c r="C218" s="1">
        <v>46242</v>
      </c>
      <c r="D218" t="s">
        <v>4260</v>
      </c>
      <c r="E218" t="s">
        <v>4276</v>
      </c>
    </row>
    <row r="219" spans="1:5" hidden="1" x14ac:dyDescent="0.25">
      <c r="A219" t="s">
        <v>73</v>
      </c>
      <c r="B219" t="s">
        <v>74</v>
      </c>
      <c r="C219" s="1">
        <v>46242</v>
      </c>
      <c r="D219" t="s">
        <v>4257</v>
      </c>
      <c r="E219" t="s">
        <v>4278</v>
      </c>
    </row>
    <row r="220" spans="1:5" hidden="1" x14ac:dyDescent="0.25">
      <c r="A220" t="s">
        <v>276</v>
      </c>
      <c r="B220" t="s">
        <v>277</v>
      </c>
      <c r="C220" s="1">
        <v>46242</v>
      </c>
      <c r="D220" t="s">
        <v>4259</v>
      </c>
      <c r="E220" t="s">
        <v>4279</v>
      </c>
    </row>
    <row r="221" spans="1:5" hidden="1" x14ac:dyDescent="0.25">
      <c r="A221" t="s">
        <v>184</v>
      </c>
      <c r="B221" t="s">
        <v>185</v>
      </c>
      <c r="C221" s="1">
        <v>46242</v>
      </c>
      <c r="D221" t="s">
        <v>4255</v>
      </c>
      <c r="E221" t="s">
        <v>4271</v>
      </c>
    </row>
    <row r="222" spans="1:5" hidden="1" x14ac:dyDescent="0.25">
      <c r="A222" t="s">
        <v>181</v>
      </c>
      <c r="B222" t="s">
        <v>182</v>
      </c>
      <c r="C222" s="1">
        <v>46242</v>
      </c>
      <c r="D222" t="s">
        <v>4260</v>
      </c>
      <c r="E222" t="s">
        <v>4276</v>
      </c>
    </row>
    <row r="223" spans="1:5" hidden="1" x14ac:dyDescent="0.25">
      <c r="A223" t="s">
        <v>282</v>
      </c>
      <c r="B223" t="s">
        <v>283</v>
      </c>
      <c r="C223" s="1">
        <v>46242</v>
      </c>
      <c r="D223" t="s">
        <v>4260</v>
      </c>
      <c r="E223" t="s">
        <v>4273</v>
      </c>
    </row>
    <row r="224" spans="1:5" hidden="1" x14ac:dyDescent="0.25">
      <c r="A224" t="s">
        <v>285</v>
      </c>
      <c r="B224" t="s">
        <v>286</v>
      </c>
      <c r="C224" s="1">
        <v>46242</v>
      </c>
      <c r="D224" t="s">
        <v>4255</v>
      </c>
      <c r="E224" t="s">
        <v>4271</v>
      </c>
    </row>
    <row r="225" spans="1:5" hidden="1" x14ac:dyDescent="0.25">
      <c r="A225" t="s">
        <v>267</v>
      </c>
      <c r="B225" t="s">
        <v>268</v>
      </c>
      <c r="C225" s="1">
        <v>46242</v>
      </c>
      <c r="D225" t="s">
        <v>4255</v>
      </c>
      <c r="E225" t="s">
        <v>4271</v>
      </c>
    </row>
    <row r="226" spans="1:5" hidden="1" x14ac:dyDescent="0.25">
      <c r="A226" t="s">
        <v>110</v>
      </c>
      <c r="B226" t="s">
        <v>111</v>
      </c>
      <c r="C226" s="1">
        <v>46242</v>
      </c>
      <c r="D226" t="s">
        <v>4259</v>
      </c>
      <c r="E226" t="s">
        <v>4279</v>
      </c>
    </row>
    <row r="227" spans="1:5" hidden="1" x14ac:dyDescent="0.25">
      <c r="A227" t="s">
        <v>85</v>
      </c>
      <c r="B227" t="s">
        <v>86</v>
      </c>
      <c r="C227" s="1">
        <v>46242</v>
      </c>
      <c r="D227" t="s">
        <v>4259</v>
      </c>
      <c r="E227" t="s">
        <v>4280</v>
      </c>
    </row>
    <row r="228" spans="1:5" hidden="1" x14ac:dyDescent="0.25">
      <c r="A228" t="s">
        <v>231</v>
      </c>
      <c r="B228" t="s">
        <v>232</v>
      </c>
      <c r="C228" s="1">
        <v>46242</v>
      </c>
      <c r="D228" t="s">
        <v>4257</v>
      </c>
      <c r="E228" t="s">
        <v>4272</v>
      </c>
    </row>
    <row r="229" spans="1:5" hidden="1" x14ac:dyDescent="0.25">
      <c r="A229" t="s">
        <v>297</v>
      </c>
      <c r="B229" t="s">
        <v>298</v>
      </c>
      <c r="C229" s="1">
        <v>46242</v>
      </c>
      <c r="D229" t="s">
        <v>4260</v>
      </c>
      <c r="E229" t="s">
        <v>4273</v>
      </c>
    </row>
    <row r="230" spans="1:5" hidden="1" x14ac:dyDescent="0.25">
      <c r="A230" t="s">
        <v>222</v>
      </c>
      <c r="B230" t="s">
        <v>223</v>
      </c>
      <c r="C230" s="1">
        <v>46242</v>
      </c>
      <c r="D230" t="s">
        <v>4258</v>
      </c>
      <c r="E230" t="s">
        <v>4274</v>
      </c>
    </row>
    <row r="231" spans="1:5" hidden="1" x14ac:dyDescent="0.25">
      <c r="A231" t="s">
        <v>309</v>
      </c>
      <c r="B231" t="s">
        <v>310</v>
      </c>
      <c r="C231" s="1">
        <v>46242</v>
      </c>
      <c r="D231" t="s">
        <v>4260</v>
      </c>
      <c r="E231" t="s">
        <v>4281</v>
      </c>
    </row>
    <row r="232" spans="1:5" hidden="1" x14ac:dyDescent="0.25">
      <c r="A232" t="s">
        <v>96</v>
      </c>
      <c r="B232" t="s">
        <v>97</v>
      </c>
      <c r="C232" s="1">
        <v>46242</v>
      </c>
      <c r="D232" t="s">
        <v>4257</v>
      </c>
      <c r="E232" t="s">
        <v>4272</v>
      </c>
    </row>
    <row r="233" spans="1:5" hidden="1" x14ac:dyDescent="0.25">
      <c r="A233" t="s">
        <v>193</v>
      </c>
      <c r="B233" t="s">
        <v>194</v>
      </c>
      <c r="C233" s="1">
        <v>46242</v>
      </c>
      <c r="D233" t="s">
        <v>4260</v>
      </c>
      <c r="E233" t="s">
        <v>4281</v>
      </c>
    </row>
    <row r="234" spans="1:5" hidden="1" x14ac:dyDescent="0.25">
      <c r="A234" t="s">
        <v>1382</v>
      </c>
      <c r="B234" t="s">
        <v>1383</v>
      </c>
      <c r="C234" s="1">
        <v>46242</v>
      </c>
      <c r="D234" t="s">
        <v>4260</v>
      </c>
      <c r="E234" t="s">
        <v>4281</v>
      </c>
    </row>
    <row r="235" spans="1:5" hidden="1" x14ac:dyDescent="0.25">
      <c r="A235" t="s">
        <v>273</v>
      </c>
      <c r="B235" t="s">
        <v>274</v>
      </c>
      <c r="C235" s="1">
        <v>46242</v>
      </c>
      <c r="D235" t="s">
        <v>4257</v>
      </c>
      <c r="E235" t="s">
        <v>4277</v>
      </c>
    </row>
    <row r="236" spans="1:5" hidden="1" x14ac:dyDescent="0.25">
      <c r="A236" t="s">
        <v>177</v>
      </c>
      <c r="B236" t="s">
        <v>178</v>
      </c>
      <c r="C236" s="1">
        <v>46242</v>
      </c>
      <c r="D236" t="s">
        <v>4257</v>
      </c>
      <c r="E236" t="s">
        <v>4282</v>
      </c>
    </row>
    <row r="237" spans="1:5" hidden="1" x14ac:dyDescent="0.25">
      <c r="A237" t="s">
        <v>150</v>
      </c>
      <c r="B237" t="s">
        <v>151</v>
      </c>
      <c r="C237" s="1">
        <v>46242</v>
      </c>
      <c r="D237" t="s">
        <v>4257</v>
      </c>
      <c r="E237" t="s">
        <v>4277</v>
      </c>
    </row>
    <row r="238" spans="1:5" hidden="1" x14ac:dyDescent="0.25">
      <c r="A238" t="s">
        <v>257</v>
      </c>
      <c r="B238" t="s">
        <v>258</v>
      </c>
      <c r="C238" s="1">
        <v>46242</v>
      </c>
      <c r="D238" t="s">
        <v>4260</v>
      </c>
      <c r="E238" t="s">
        <v>4283</v>
      </c>
    </row>
    <row r="239" spans="1:5" hidden="1" x14ac:dyDescent="0.25">
      <c r="A239" t="s">
        <v>321</v>
      </c>
      <c r="B239" t="s">
        <v>322</v>
      </c>
      <c r="C239" s="1">
        <v>46242</v>
      </c>
      <c r="D239" t="s">
        <v>4255</v>
      </c>
      <c r="E239" t="s">
        <v>4284</v>
      </c>
    </row>
    <row r="240" spans="1:5" hidden="1" x14ac:dyDescent="0.25">
      <c r="A240" t="s">
        <v>17</v>
      </c>
      <c r="B240" t="s">
        <v>18</v>
      </c>
      <c r="C240" s="1">
        <v>46242</v>
      </c>
      <c r="D240" t="s">
        <v>4258</v>
      </c>
      <c r="E240" t="s">
        <v>4285</v>
      </c>
    </row>
    <row r="241" spans="1:5" hidden="1" x14ac:dyDescent="0.25">
      <c r="A241" t="s">
        <v>264</v>
      </c>
      <c r="B241" t="s">
        <v>265</v>
      </c>
      <c r="C241" s="1">
        <v>46242</v>
      </c>
      <c r="D241" t="s">
        <v>4257</v>
      </c>
      <c r="E241" t="s">
        <v>4275</v>
      </c>
    </row>
    <row r="242" spans="1:5" hidden="1" x14ac:dyDescent="0.25">
      <c r="A242" t="s">
        <v>228</v>
      </c>
      <c r="B242" t="s">
        <v>229</v>
      </c>
      <c r="C242" s="1">
        <v>46242</v>
      </c>
      <c r="D242" t="s">
        <v>4258</v>
      </c>
      <c r="E242" t="s">
        <v>4285</v>
      </c>
    </row>
    <row r="243" spans="1:5" hidden="1" x14ac:dyDescent="0.25">
      <c r="A243" t="s">
        <v>119</v>
      </c>
      <c r="B243" t="s">
        <v>120</v>
      </c>
      <c r="C243" s="1">
        <v>46242</v>
      </c>
      <c r="D243" t="s">
        <v>4260</v>
      </c>
      <c r="E243" t="s">
        <v>4283</v>
      </c>
    </row>
    <row r="244" spans="1:5" hidden="1" x14ac:dyDescent="0.25">
      <c r="A244" t="s">
        <v>236</v>
      </c>
      <c r="B244" t="s">
        <v>237</v>
      </c>
      <c r="C244" s="1">
        <v>46242</v>
      </c>
      <c r="D244" t="s">
        <v>4255</v>
      </c>
      <c r="E244" t="s">
        <v>4284</v>
      </c>
    </row>
    <row r="245" spans="1:5" hidden="1" x14ac:dyDescent="0.25">
      <c r="A245" t="s">
        <v>560</v>
      </c>
      <c r="B245" t="s">
        <v>561</v>
      </c>
      <c r="C245" s="1">
        <v>46242</v>
      </c>
      <c r="D245" t="s">
        <v>4255</v>
      </c>
      <c r="E245" t="s">
        <v>4271</v>
      </c>
    </row>
    <row r="246" spans="1:5" hidden="1" x14ac:dyDescent="0.25">
      <c r="A246" t="s">
        <v>199</v>
      </c>
      <c r="B246" t="s">
        <v>200</v>
      </c>
      <c r="C246" s="1">
        <v>46242</v>
      </c>
      <c r="D246" t="s">
        <v>4257</v>
      </c>
      <c r="E246" t="s">
        <v>4277</v>
      </c>
    </row>
    <row r="247" spans="1:5" hidden="1" x14ac:dyDescent="0.25">
      <c r="A247" t="s">
        <v>3662</v>
      </c>
      <c r="B247" t="s">
        <v>3663</v>
      </c>
      <c r="C247" s="1">
        <v>46242</v>
      </c>
      <c r="D247" t="s">
        <v>4255</v>
      </c>
      <c r="E247" t="s">
        <v>4271</v>
      </c>
    </row>
    <row r="248" spans="1:5" hidden="1" x14ac:dyDescent="0.25">
      <c r="A248" t="s">
        <v>45</v>
      </c>
      <c r="B248" t="s">
        <v>46</v>
      </c>
      <c r="C248" s="1">
        <v>46242</v>
      </c>
      <c r="D248" t="s">
        <v>4260</v>
      </c>
      <c r="E248" t="s">
        <v>4283</v>
      </c>
    </row>
    <row r="249" spans="1:5" hidden="1" x14ac:dyDescent="0.25">
      <c r="A249" t="s">
        <v>163</v>
      </c>
      <c r="B249" t="s">
        <v>164</v>
      </c>
      <c r="C249" s="1">
        <v>46242</v>
      </c>
      <c r="D249" t="s">
        <v>4255</v>
      </c>
      <c r="E249" t="s">
        <v>4271</v>
      </c>
    </row>
    <row r="250" spans="1:5" hidden="1" x14ac:dyDescent="0.25">
      <c r="A250" t="s">
        <v>246</v>
      </c>
      <c r="B250" t="s">
        <v>247</v>
      </c>
      <c r="C250" s="1">
        <v>46242</v>
      </c>
      <c r="D250" t="s">
        <v>4260</v>
      </c>
      <c r="E250" t="s">
        <v>4283</v>
      </c>
    </row>
    <row r="251" spans="1:5" hidden="1" x14ac:dyDescent="0.25">
      <c r="A251" t="s">
        <v>300</v>
      </c>
      <c r="B251" t="s">
        <v>301</v>
      </c>
      <c r="C251" s="1">
        <v>46242</v>
      </c>
      <c r="D251" t="s">
        <v>4258</v>
      </c>
      <c r="E251" t="s">
        <v>4274</v>
      </c>
    </row>
    <row r="252" spans="1:5" hidden="1" x14ac:dyDescent="0.25">
      <c r="A252" t="s">
        <v>209</v>
      </c>
      <c r="B252" t="s">
        <v>210</v>
      </c>
      <c r="C252" s="1">
        <v>46242</v>
      </c>
      <c r="D252" t="s">
        <v>4257</v>
      </c>
      <c r="E252" t="s">
        <v>4278</v>
      </c>
    </row>
    <row r="253" spans="1:5" hidden="1" x14ac:dyDescent="0.25">
      <c r="A253" t="s">
        <v>213</v>
      </c>
      <c r="B253" t="s">
        <v>214</v>
      </c>
      <c r="C253" s="1">
        <v>46242</v>
      </c>
      <c r="D253" t="s">
        <v>4257</v>
      </c>
      <c r="E253" t="s">
        <v>4278</v>
      </c>
    </row>
    <row r="254" spans="1:5" hidden="1" x14ac:dyDescent="0.25">
      <c r="A254" t="s">
        <v>303</v>
      </c>
      <c r="B254" t="s">
        <v>304</v>
      </c>
      <c r="C254" s="1">
        <v>46244</v>
      </c>
      <c r="D254" t="s">
        <v>4257</v>
      </c>
      <c r="E254" t="s">
        <v>4275</v>
      </c>
    </row>
    <row r="255" spans="1:5" hidden="1" x14ac:dyDescent="0.25">
      <c r="A255" t="s">
        <v>116</v>
      </c>
      <c r="B255" t="s">
        <v>117</v>
      </c>
      <c r="C255" s="1">
        <v>46244</v>
      </c>
      <c r="D255" t="s">
        <v>4260</v>
      </c>
      <c r="E255" t="s">
        <v>4276</v>
      </c>
    </row>
    <row r="256" spans="1:5" hidden="1" x14ac:dyDescent="0.25">
      <c r="A256" t="s">
        <v>73</v>
      </c>
      <c r="B256" t="s">
        <v>74</v>
      </c>
      <c r="C256" s="1">
        <v>46244</v>
      </c>
      <c r="D256" t="s">
        <v>4257</v>
      </c>
      <c r="E256" t="s">
        <v>4278</v>
      </c>
    </row>
    <row r="257" spans="1:5" hidden="1" x14ac:dyDescent="0.25">
      <c r="A257" t="s">
        <v>184</v>
      </c>
      <c r="B257" t="s">
        <v>185</v>
      </c>
      <c r="C257" s="1">
        <v>46244</v>
      </c>
      <c r="D257" t="s">
        <v>4255</v>
      </c>
      <c r="E257" t="s">
        <v>4271</v>
      </c>
    </row>
    <row r="258" spans="1:5" hidden="1" x14ac:dyDescent="0.25">
      <c r="A258" t="s">
        <v>181</v>
      </c>
      <c r="B258" t="s">
        <v>182</v>
      </c>
      <c r="C258" s="1">
        <v>46244</v>
      </c>
      <c r="D258" t="s">
        <v>4260</v>
      </c>
      <c r="E258" t="s">
        <v>4276</v>
      </c>
    </row>
    <row r="259" spans="1:5" hidden="1" x14ac:dyDescent="0.25">
      <c r="A259" t="s">
        <v>285</v>
      </c>
      <c r="B259" t="s">
        <v>286</v>
      </c>
      <c r="C259" s="1">
        <v>46244</v>
      </c>
      <c r="D259" t="s">
        <v>4255</v>
      </c>
      <c r="E259" t="s">
        <v>4271</v>
      </c>
    </row>
    <row r="260" spans="1:5" hidden="1" x14ac:dyDescent="0.25">
      <c r="A260" t="s">
        <v>267</v>
      </c>
      <c r="B260" t="s">
        <v>268</v>
      </c>
      <c r="C260" s="1">
        <v>46244</v>
      </c>
      <c r="D260" t="s">
        <v>4255</v>
      </c>
      <c r="E260" t="s">
        <v>4271</v>
      </c>
    </row>
    <row r="261" spans="1:5" hidden="1" x14ac:dyDescent="0.25">
      <c r="A261" t="s">
        <v>85</v>
      </c>
      <c r="B261" t="s">
        <v>86</v>
      </c>
      <c r="C261" s="1">
        <v>46244</v>
      </c>
      <c r="D261" t="s">
        <v>4259</v>
      </c>
      <c r="E261" t="s">
        <v>4280</v>
      </c>
    </row>
    <row r="262" spans="1:5" hidden="1" x14ac:dyDescent="0.25">
      <c r="A262" t="s">
        <v>231</v>
      </c>
      <c r="B262" t="s">
        <v>232</v>
      </c>
      <c r="C262" s="1">
        <v>46244</v>
      </c>
      <c r="D262" t="s">
        <v>4257</v>
      </c>
      <c r="E262" t="s">
        <v>4272</v>
      </c>
    </row>
    <row r="263" spans="1:5" hidden="1" x14ac:dyDescent="0.25">
      <c r="A263" t="s">
        <v>222</v>
      </c>
      <c r="B263" t="s">
        <v>223</v>
      </c>
      <c r="C263" s="1">
        <v>46244</v>
      </c>
      <c r="D263" t="s">
        <v>4258</v>
      </c>
      <c r="E263" t="s">
        <v>4274</v>
      </c>
    </row>
    <row r="264" spans="1:5" hidden="1" x14ac:dyDescent="0.25">
      <c r="A264" t="s">
        <v>309</v>
      </c>
      <c r="B264" t="s">
        <v>310</v>
      </c>
      <c r="C264" s="1">
        <v>46244</v>
      </c>
      <c r="D264" t="s">
        <v>4260</v>
      </c>
      <c r="E264" t="s">
        <v>4281</v>
      </c>
    </row>
    <row r="265" spans="1:5" hidden="1" x14ac:dyDescent="0.25">
      <c r="A265" t="s">
        <v>150</v>
      </c>
      <c r="B265" t="s">
        <v>151</v>
      </c>
      <c r="C265" s="1">
        <v>46244</v>
      </c>
      <c r="D265" t="s">
        <v>4257</v>
      </c>
      <c r="E265" t="s">
        <v>4277</v>
      </c>
    </row>
    <row r="266" spans="1:5" hidden="1" x14ac:dyDescent="0.25">
      <c r="A266" t="s">
        <v>17</v>
      </c>
      <c r="B266" t="s">
        <v>18</v>
      </c>
      <c r="C266" s="1">
        <v>46244</v>
      </c>
      <c r="D266" t="s">
        <v>4258</v>
      </c>
      <c r="E266" t="s">
        <v>4285</v>
      </c>
    </row>
    <row r="267" spans="1:5" hidden="1" x14ac:dyDescent="0.25">
      <c r="A267" t="s">
        <v>228</v>
      </c>
      <c r="B267" t="s">
        <v>229</v>
      </c>
      <c r="C267" s="1">
        <v>46244</v>
      </c>
      <c r="D267" t="s">
        <v>4258</v>
      </c>
      <c r="E267" t="s">
        <v>4285</v>
      </c>
    </row>
    <row r="268" spans="1:5" hidden="1" x14ac:dyDescent="0.25">
      <c r="A268" t="s">
        <v>119</v>
      </c>
      <c r="B268" t="s">
        <v>120</v>
      </c>
      <c r="C268" s="1">
        <v>46244</v>
      </c>
      <c r="D268" t="s">
        <v>4260</v>
      </c>
      <c r="E268" t="s">
        <v>4283</v>
      </c>
    </row>
    <row r="269" spans="1:5" hidden="1" x14ac:dyDescent="0.25">
      <c r="A269" t="s">
        <v>236</v>
      </c>
      <c r="B269" t="s">
        <v>237</v>
      </c>
      <c r="C269" s="1">
        <v>46244</v>
      </c>
      <c r="D269" t="s">
        <v>4255</v>
      </c>
      <c r="E269" t="s">
        <v>4284</v>
      </c>
    </row>
    <row r="270" spans="1:5" hidden="1" x14ac:dyDescent="0.25">
      <c r="A270" t="s">
        <v>560</v>
      </c>
      <c r="B270" t="s">
        <v>561</v>
      </c>
      <c r="C270" s="1">
        <v>46244</v>
      </c>
      <c r="D270" t="s">
        <v>4255</v>
      </c>
      <c r="E270" t="s">
        <v>4271</v>
      </c>
    </row>
    <row r="271" spans="1:5" hidden="1" x14ac:dyDescent="0.25">
      <c r="A271" t="s">
        <v>199</v>
      </c>
      <c r="B271" t="s">
        <v>200</v>
      </c>
      <c r="C271" s="1">
        <v>46244</v>
      </c>
      <c r="D271" t="s">
        <v>4257</v>
      </c>
      <c r="E271" t="s">
        <v>4277</v>
      </c>
    </row>
    <row r="272" spans="1:5" hidden="1" x14ac:dyDescent="0.25">
      <c r="A272" t="s">
        <v>3662</v>
      </c>
      <c r="B272" t="s">
        <v>3663</v>
      </c>
      <c r="C272" s="1">
        <v>46244</v>
      </c>
      <c r="D272" t="s">
        <v>4255</v>
      </c>
      <c r="E272" t="s">
        <v>4271</v>
      </c>
    </row>
    <row r="273" spans="1:5" hidden="1" x14ac:dyDescent="0.25">
      <c r="A273" t="s">
        <v>45</v>
      </c>
      <c r="B273" t="s">
        <v>46</v>
      </c>
      <c r="C273" s="1">
        <v>46244</v>
      </c>
      <c r="D273" t="s">
        <v>4260</v>
      </c>
      <c r="E273" t="s">
        <v>4283</v>
      </c>
    </row>
    <row r="274" spans="1:5" hidden="1" x14ac:dyDescent="0.25">
      <c r="A274" t="s">
        <v>163</v>
      </c>
      <c r="B274" t="s">
        <v>164</v>
      </c>
      <c r="C274" s="1">
        <v>46244</v>
      </c>
      <c r="D274" t="s">
        <v>4255</v>
      </c>
      <c r="E274" t="s">
        <v>4271</v>
      </c>
    </row>
    <row r="275" spans="1:5" hidden="1" x14ac:dyDescent="0.25">
      <c r="A275" t="s">
        <v>300</v>
      </c>
      <c r="B275" t="s">
        <v>301</v>
      </c>
      <c r="C275" s="1">
        <v>46244</v>
      </c>
      <c r="D275" t="s">
        <v>4258</v>
      </c>
      <c r="E275" t="s">
        <v>4274</v>
      </c>
    </row>
    <row r="276" spans="1:5" hidden="1" x14ac:dyDescent="0.25">
      <c r="A276" t="s">
        <v>213</v>
      </c>
      <c r="B276" t="s">
        <v>214</v>
      </c>
      <c r="C276" s="1">
        <v>46244</v>
      </c>
      <c r="D276" t="s">
        <v>4257</v>
      </c>
      <c r="E276" t="s">
        <v>4278</v>
      </c>
    </row>
    <row r="277" spans="1:5" hidden="1" x14ac:dyDescent="0.25">
      <c r="A277" t="s">
        <v>303</v>
      </c>
      <c r="B277" t="s">
        <v>304</v>
      </c>
      <c r="C277" s="1">
        <v>46245</v>
      </c>
      <c r="D277" t="s">
        <v>4257</v>
      </c>
      <c r="E277" t="s">
        <v>4275</v>
      </c>
    </row>
    <row r="278" spans="1:5" hidden="1" x14ac:dyDescent="0.25">
      <c r="A278" t="s">
        <v>116</v>
      </c>
      <c r="B278" t="s">
        <v>117</v>
      </c>
      <c r="C278" s="1">
        <v>46245</v>
      </c>
      <c r="D278" t="s">
        <v>4260</v>
      </c>
      <c r="E278" t="s">
        <v>4276</v>
      </c>
    </row>
    <row r="279" spans="1:5" hidden="1" x14ac:dyDescent="0.25">
      <c r="A279" t="s">
        <v>73</v>
      </c>
      <c r="B279" t="s">
        <v>74</v>
      </c>
      <c r="C279" s="1">
        <v>46245</v>
      </c>
      <c r="D279" t="s">
        <v>4257</v>
      </c>
      <c r="E279" t="s">
        <v>4278</v>
      </c>
    </row>
    <row r="280" spans="1:5" hidden="1" x14ac:dyDescent="0.25">
      <c r="A280" t="s">
        <v>184</v>
      </c>
      <c r="B280" t="s">
        <v>185</v>
      </c>
      <c r="C280" s="1">
        <v>46245</v>
      </c>
      <c r="D280" t="s">
        <v>4255</v>
      </c>
      <c r="E280" t="s">
        <v>4271</v>
      </c>
    </row>
    <row r="281" spans="1:5" hidden="1" x14ac:dyDescent="0.25">
      <c r="A281" t="s">
        <v>181</v>
      </c>
      <c r="B281" t="s">
        <v>182</v>
      </c>
      <c r="C281" s="1">
        <v>46245</v>
      </c>
      <c r="D281" t="s">
        <v>4260</v>
      </c>
      <c r="E281" t="s">
        <v>4276</v>
      </c>
    </row>
    <row r="282" spans="1:5" hidden="1" x14ac:dyDescent="0.25">
      <c r="A282" t="s">
        <v>285</v>
      </c>
      <c r="B282" t="s">
        <v>286</v>
      </c>
      <c r="C282" s="1">
        <v>46245</v>
      </c>
      <c r="D282" t="s">
        <v>4255</v>
      </c>
      <c r="E282" t="s">
        <v>4271</v>
      </c>
    </row>
    <row r="283" spans="1:5" hidden="1" x14ac:dyDescent="0.25">
      <c r="A283" t="s">
        <v>267</v>
      </c>
      <c r="B283" t="s">
        <v>268</v>
      </c>
      <c r="C283" s="1">
        <v>46245</v>
      </c>
      <c r="D283" t="s">
        <v>4255</v>
      </c>
      <c r="E283" t="s">
        <v>4271</v>
      </c>
    </row>
    <row r="284" spans="1:5" hidden="1" x14ac:dyDescent="0.25">
      <c r="A284" t="s">
        <v>85</v>
      </c>
      <c r="B284" t="s">
        <v>86</v>
      </c>
      <c r="C284" s="1">
        <v>46245</v>
      </c>
      <c r="D284" t="s">
        <v>4259</v>
      </c>
      <c r="E284" t="s">
        <v>4280</v>
      </c>
    </row>
    <row r="285" spans="1:5" hidden="1" x14ac:dyDescent="0.25">
      <c r="A285" t="s">
        <v>231</v>
      </c>
      <c r="B285" t="s">
        <v>232</v>
      </c>
      <c r="C285" s="1">
        <v>46245</v>
      </c>
      <c r="D285" t="s">
        <v>4257</v>
      </c>
      <c r="E285" t="s">
        <v>4272</v>
      </c>
    </row>
    <row r="286" spans="1:5" hidden="1" x14ac:dyDescent="0.25">
      <c r="A286" t="s">
        <v>222</v>
      </c>
      <c r="B286" t="s">
        <v>223</v>
      </c>
      <c r="C286" s="1">
        <v>46245</v>
      </c>
      <c r="D286" t="s">
        <v>4258</v>
      </c>
      <c r="E286" t="s">
        <v>4274</v>
      </c>
    </row>
    <row r="287" spans="1:5" hidden="1" x14ac:dyDescent="0.25">
      <c r="A287" t="s">
        <v>309</v>
      </c>
      <c r="B287" t="s">
        <v>310</v>
      </c>
      <c r="C287" s="1">
        <v>46245</v>
      </c>
      <c r="D287" t="s">
        <v>4260</v>
      </c>
      <c r="E287" t="s">
        <v>4281</v>
      </c>
    </row>
    <row r="288" spans="1:5" hidden="1" x14ac:dyDescent="0.25">
      <c r="A288" t="s">
        <v>150</v>
      </c>
      <c r="B288" t="s">
        <v>151</v>
      </c>
      <c r="C288" s="1">
        <v>46245</v>
      </c>
      <c r="D288" t="s">
        <v>4257</v>
      </c>
      <c r="E288" t="s">
        <v>4277</v>
      </c>
    </row>
    <row r="289" spans="1:5" hidden="1" x14ac:dyDescent="0.25">
      <c r="A289" t="s">
        <v>17</v>
      </c>
      <c r="B289" t="s">
        <v>18</v>
      </c>
      <c r="C289" s="1">
        <v>46245</v>
      </c>
      <c r="D289" t="s">
        <v>4258</v>
      </c>
      <c r="E289" t="s">
        <v>4285</v>
      </c>
    </row>
    <row r="290" spans="1:5" hidden="1" x14ac:dyDescent="0.25">
      <c r="A290" t="s">
        <v>228</v>
      </c>
      <c r="B290" t="s">
        <v>229</v>
      </c>
      <c r="C290" s="1">
        <v>46245</v>
      </c>
      <c r="D290" t="s">
        <v>4258</v>
      </c>
      <c r="E290" t="s">
        <v>4285</v>
      </c>
    </row>
    <row r="291" spans="1:5" hidden="1" x14ac:dyDescent="0.25">
      <c r="A291" t="s">
        <v>119</v>
      </c>
      <c r="B291" t="s">
        <v>120</v>
      </c>
      <c r="C291" s="1">
        <v>46245</v>
      </c>
      <c r="D291" t="s">
        <v>4260</v>
      </c>
      <c r="E291" t="s">
        <v>4283</v>
      </c>
    </row>
    <row r="292" spans="1:5" hidden="1" x14ac:dyDescent="0.25">
      <c r="A292" t="s">
        <v>236</v>
      </c>
      <c r="B292" t="s">
        <v>237</v>
      </c>
      <c r="C292" s="1">
        <v>46245</v>
      </c>
      <c r="D292" t="s">
        <v>4255</v>
      </c>
      <c r="E292" t="s">
        <v>4284</v>
      </c>
    </row>
    <row r="293" spans="1:5" hidden="1" x14ac:dyDescent="0.25">
      <c r="A293" t="s">
        <v>560</v>
      </c>
      <c r="B293" t="s">
        <v>561</v>
      </c>
      <c r="C293" s="1">
        <v>46245</v>
      </c>
      <c r="D293" t="s">
        <v>4255</v>
      </c>
      <c r="E293" t="s">
        <v>4271</v>
      </c>
    </row>
    <row r="294" spans="1:5" hidden="1" x14ac:dyDescent="0.25">
      <c r="A294" t="s">
        <v>199</v>
      </c>
      <c r="B294" t="s">
        <v>200</v>
      </c>
      <c r="C294" s="1">
        <v>46245</v>
      </c>
      <c r="D294" t="s">
        <v>4257</v>
      </c>
      <c r="E294" t="s">
        <v>4277</v>
      </c>
    </row>
    <row r="295" spans="1:5" hidden="1" x14ac:dyDescent="0.25">
      <c r="A295" t="s">
        <v>3662</v>
      </c>
      <c r="B295" t="s">
        <v>3663</v>
      </c>
      <c r="C295" s="1">
        <v>46245</v>
      </c>
      <c r="D295" t="s">
        <v>4255</v>
      </c>
      <c r="E295" t="s">
        <v>4271</v>
      </c>
    </row>
    <row r="296" spans="1:5" hidden="1" x14ac:dyDescent="0.25">
      <c r="A296" t="s">
        <v>45</v>
      </c>
      <c r="B296" t="s">
        <v>46</v>
      </c>
      <c r="C296" s="1">
        <v>46245</v>
      </c>
      <c r="D296" t="s">
        <v>4260</v>
      </c>
      <c r="E296" t="s">
        <v>4283</v>
      </c>
    </row>
    <row r="297" spans="1:5" hidden="1" x14ac:dyDescent="0.25">
      <c r="A297" t="s">
        <v>163</v>
      </c>
      <c r="B297" t="s">
        <v>164</v>
      </c>
      <c r="C297" s="1">
        <v>46245</v>
      </c>
      <c r="D297" t="s">
        <v>4255</v>
      </c>
      <c r="E297" t="s">
        <v>4271</v>
      </c>
    </row>
    <row r="298" spans="1:5" hidden="1" x14ac:dyDescent="0.25">
      <c r="A298" t="s">
        <v>300</v>
      </c>
      <c r="B298" t="s">
        <v>301</v>
      </c>
      <c r="C298" s="1">
        <v>46245</v>
      </c>
      <c r="D298" t="s">
        <v>4258</v>
      </c>
      <c r="E298" t="s">
        <v>4274</v>
      </c>
    </row>
    <row r="299" spans="1:5" hidden="1" x14ac:dyDescent="0.25">
      <c r="A299" t="s">
        <v>213</v>
      </c>
      <c r="B299" t="s">
        <v>214</v>
      </c>
      <c r="C299" s="1">
        <v>46245</v>
      </c>
      <c r="D299" t="s">
        <v>4257</v>
      </c>
      <c r="E299" t="s">
        <v>4278</v>
      </c>
    </row>
    <row r="300" spans="1:5" hidden="1" x14ac:dyDescent="0.25">
      <c r="A300" t="s">
        <v>303</v>
      </c>
      <c r="B300" t="s">
        <v>304</v>
      </c>
      <c r="C300" s="1">
        <v>46246</v>
      </c>
      <c r="D300" t="s">
        <v>4257</v>
      </c>
      <c r="E300" t="s">
        <v>4275</v>
      </c>
    </row>
    <row r="301" spans="1:5" hidden="1" x14ac:dyDescent="0.25">
      <c r="A301" t="s">
        <v>116</v>
      </c>
      <c r="B301" t="s">
        <v>117</v>
      </c>
      <c r="C301" s="1">
        <v>46246</v>
      </c>
      <c r="D301" t="s">
        <v>4260</v>
      </c>
      <c r="E301" t="s">
        <v>4276</v>
      </c>
    </row>
    <row r="302" spans="1:5" hidden="1" x14ac:dyDescent="0.25">
      <c r="A302" t="s">
        <v>73</v>
      </c>
      <c r="B302" t="s">
        <v>74</v>
      </c>
      <c r="C302" s="1">
        <v>46246</v>
      </c>
      <c r="D302" t="s">
        <v>4257</v>
      </c>
      <c r="E302" t="s">
        <v>4278</v>
      </c>
    </row>
    <row r="303" spans="1:5" hidden="1" x14ac:dyDescent="0.25">
      <c r="A303" t="s">
        <v>184</v>
      </c>
      <c r="B303" t="s">
        <v>185</v>
      </c>
      <c r="C303" s="1">
        <v>46246</v>
      </c>
      <c r="D303" t="s">
        <v>4255</v>
      </c>
      <c r="E303" t="s">
        <v>4271</v>
      </c>
    </row>
    <row r="304" spans="1:5" hidden="1" x14ac:dyDescent="0.25">
      <c r="A304" t="s">
        <v>181</v>
      </c>
      <c r="B304" t="s">
        <v>182</v>
      </c>
      <c r="C304" s="1">
        <v>46246</v>
      </c>
      <c r="D304" t="s">
        <v>4260</v>
      </c>
      <c r="E304" t="s">
        <v>4276</v>
      </c>
    </row>
    <row r="305" spans="1:5" hidden="1" x14ac:dyDescent="0.25">
      <c r="A305" t="s">
        <v>285</v>
      </c>
      <c r="B305" t="s">
        <v>286</v>
      </c>
      <c r="C305" s="1">
        <v>46246</v>
      </c>
      <c r="D305" t="s">
        <v>4255</v>
      </c>
      <c r="E305" t="s">
        <v>4271</v>
      </c>
    </row>
    <row r="306" spans="1:5" hidden="1" x14ac:dyDescent="0.25">
      <c r="A306" t="s">
        <v>267</v>
      </c>
      <c r="B306" t="s">
        <v>268</v>
      </c>
      <c r="C306" s="1">
        <v>46246</v>
      </c>
      <c r="D306" t="s">
        <v>4255</v>
      </c>
      <c r="E306" t="s">
        <v>4271</v>
      </c>
    </row>
    <row r="307" spans="1:5" hidden="1" x14ac:dyDescent="0.25">
      <c r="A307" t="s">
        <v>85</v>
      </c>
      <c r="B307" t="s">
        <v>86</v>
      </c>
      <c r="C307" s="1">
        <v>46246</v>
      </c>
      <c r="D307" t="s">
        <v>4259</v>
      </c>
      <c r="E307" t="s">
        <v>4280</v>
      </c>
    </row>
    <row r="308" spans="1:5" hidden="1" x14ac:dyDescent="0.25">
      <c r="A308" t="s">
        <v>231</v>
      </c>
      <c r="B308" t="s">
        <v>232</v>
      </c>
      <c r="C308" s="1">
        <v>46246</v>
      </c>
      <c r="D308" t="s">
        <v>4257</v>
      </c>
      <c r="E308" t="s">
        <v>4272</v>
      </c>
    </row>
    <row r="309" spans="1:5" hidden="1" x14ac:dyDescent="0.25">
      <c r="A309" t="s">
        <v>222</v>
      </c>
      <c r="B309" t="s">
        <v>223</v>
      </c>
      <c r="C309" s="1">
        <v>46246</v>
      </c>
      <c r="D309" t="s">
        <v>4258</v>
      </c>
      <c r="E309" t="s">
        <v>4274</v>
      </c>
    </row>
    <row r="310" spans="1:5" hidden="1" x14ac:dyDescent="0.25">
      <c r="A310" t="s">
        <v>309</v>
      </c>
      <c r="B310" t="s">
        <v>310</v>
      </c>
      <c r="C310" s="1">
        <v>46246</v>
      </c>
      <c r="D310" t="s">
        <v>4260</v>
      </c>
      <c r="E310" t="s">
        <v>4281</v>
      </c>
    </row>
    <row r="311" spans="1:5" hidden="1" x14ac:dyDescent="0.25">
      <c r="A311" t="s">
        <v>150</v>
      </c>
      <c r="B311" t="s">
        <v>151</v>
      </c>
      <c r="C311" s="1">
        <v>46246</v>
      </c>
      <c r="D311" t="s">
        <v>4257</v>
      </c>
      <c r="E311" t="s">
        <v>4277</v>
      </c>
    </row>
    <row r="312" spans="1:5" hidden="1" x14ac:dyDescent="0.25">
      <c r="A312" t="s">
        <v>17</v>
      </c>
      <c r="B312" t="s">
        <v>18</v>
      </c>
      <c r="C312" s="1">
        <v>46246</v>
      </c>
      <c r="D312" t="s">
        <v>4258</v>
      </c>
      <c r="E312" t="s">
        <v>4285</v>
      </c>
    </row>
    <row r="313" spans="1:5" hidden="1" x14ac:dyDescent="0.25">
      <c r="A313" t="s">
        <v>228</v>
      </c>
      <c r="B313" t="s">
        <v>229</v>
      </c>
      <c r="C313" s="1">
        <v>46246</v>
      </c>
      <c r="D313" t="s">
        <v>4258</v>
      </c>
      <c r="E313" t="s">
        <v>4285</v>
      </c>
    </row>
    <row r="314" spans="1:5" hidden="1" x14ac:dyDescent="0.25">
      <c r="A314" t="s">
        <v>119</v>
      </c>
      <c r="B314" t="s">
        <v>120</v>
      </c>
      <c r="C314" s="1">
        <v>46246</v>
      </c>
      <c r="D314" t="s">
        <v>4260</v>
      </c>
      <c r="E314" t="s">
        <v>4283</v>
      </c>
    </row>
    <row r="315" spans="1:5" hidden="1" x14ac:dyDescent="0.25">
      <c r="A315" t="s">
        <v>236</v>
      </c>
      <c r="B315" t="s">
        <v>237</v>
      </c>
      <c r="C315" s="1">
        <v>46246</v>
      </c>
      <c r="D315" t="s">
        <v>4255</v>
      </c>
      <c r="E315" t="s">
        <v>4284</v>
      </c>
    </row>
    <row r="316" spans="1:5" hidden="1" x14ac:dyDescent="0.25">
      <c r="A316" t="s">
        <v>560</v>
      </c>
      <c r="B316" t="s">
        <v>561</v>
      </c>
      <c r="C316" s="1">
        <v>46246</v>
      </c>
      <c r="D316" t="s">
        <v>4255</v>
      </c>
      <c r="E316" t="s">
        <v>4271</v>
      </c>
    </row>
    <row r="317" spans="1:5" hidden="1" x14ac:dyDescent="0.25">
      <c r="A317" t="s">
        <v>199</v>
      </c>
      <c r="B317" t="s">
        <v>200</v>
      </c>
      <c r="C317" s="1">
        <v>46246</v>
      </c>
      <c r="D317" t="s">
        <v>4257</v>
      </c>
      <c r="E317" t="s">
        <v>4277</v>
      </c>
    </row>
    <row r="318" spans="1:5" hidden="1" x14ac:dyDescent="0.25">
      <c r="A318" t="s">
        <v>3662</v>
      </c>
      <c r="B318" t="s">
        <v>3663</v>
      </c>
      <c r="C318" s="1">
        <v>46246</v>
      </c>
      <c r="D318" t="s">
        <v>4255</v>
      </c>
      <c r="E318" t="s">
        <v>4271</v>
      </c>
    </row>
    <row r="319" spans="1:5" hidden="1" x14ac:dyDescent="0.25">
      <c r="A319" t="s">
        <v>45</v>
      </c>
      <c r="B319" t="s">
        <v>46</v>
      </c>
      <c r="C319" s="1">
        <v>46246</v>
      </c>
      <c r="D319" t="s">
        <v>4260</v>
      </c>
      <c r="E319" t="s">
        <v>4283</v>
      </c>
    </row>
    <row r="320" spans="1:5" hidden="1" x14ac:dyDescent="0.25">
      <c r="A320" t="s">
        <v>163</v>
      </c>
      <c r="B320" t="s">
        <v>164</v>
      </c>
      <c r="C320" s="1">
        <v>46246</v>
      </c>
      <c r="D320" t="s">
        <v>4255</v>
      </c>
      <c r="E320" t="s">
        <v>4271</v>
      </c>
    </row>
    <row r="321" spans="1:5" hidden="1" x14ac:dyDescent="0.25">
      <c r="A321" t="s">
        <v>300</v>
      </c>
      <c r="B321" t="s">
        <v>301</v>
      </c>
      <c r="C321" s="1">
        <v>46246</v>
      </c>
      <c r="D321" t="s">
        <v>4258</v>
      </c>
      <c r="E321" t="s">
        <v>4274</v>
      </c>
    </row>
    <row r="322" spans="1:5" hidden="1" x14ac:dyDescent="0.25">
      <c r="A322" t="s">
        <v>213</v>
      </c>
      <c r="B322" t="s">
        <v>214</v>
      </c>
      <c r="C322" s="1">
        <v>46246</v>
      </c>
      <c r="D322" t="s">
        <v>4257</v>
      </c>
      <c r="E322" t="s">
        <v>4278</v>
      </c>
    </row>
    <row r="323" spans="1:5" hidden="1" x14ac:dyDescent="0.25">
      <c r="A323" t="s">
        <v>303</v>
      </c>
      <c r="B323" t="s">
        <v>304</v>
      </c>
      <c r="C323" s="1">
        <v>46247</v>
      </c>
      <c r="D323" t="s">
        <v>4257</v>
      </c>
      <c r="E323" t="s">
        <v>4275</v>
      </c>
    </row>
    <row r="324" spans="1:5" hidden="1" x14ac:dyDescent="0.25">
      <c r="A324" t="s">
        <v>116</v>
      </c>
      <c r="B324" t="s">
        <v>117</v>
      </c>
      <c r="C324" s="1">
        <v>46247</v>
      </c>
      <c r="D324" t="s">
        <v>4260</v>
      </c>
      <c r="E324" t="s">
        <v>4276</v>
      </c>
    </row>
    <row r="325" spans="1:5" hidden="1" x14ac:dyDescent="0.25">
      <c r="A325" t="s">
        <v>73</v>
      </c>
      <c r="B325" t="s">
        <v>74</v>
      </c>
      <c r="C325" s="1">
        <v>46247</v>
      </c>
      <c r="D325" t="s">
        <v>4257</v>
      </c>
      <c r="E325" t="s">
        <v>4278</v>
      </c>
    </row>
    <row r="326" spans="1:5" hidden="1" x14ac:dyDescent="0.25">
      <c r="A326" t="s">
        <v>184</v>
      </c>
      <c r="B326" t="s">
        <v>185</v>
      </c>
      <c r="C326" s="1">
        <v>46247</v>
      </c>
      <c r="D326" t="s">
        <v>4255</v>
      </c>
      <c r="E326" t="s">
        <v>4271</v>
      </c>
    </row>
    <row r="327" spans="1:5" hidden="1" x14ac:dyDescent="0.25">
      <c r="A327" t="s">
        <v>181</v>
      </c>
      <c r="B327" t="s">
        <v>182</v>
      </c>
      <c r="C327" s="1">
        <v>46247</v>
      </c>
      <c r="D327" t="s">
        <v>4260</v>
      </c>
      <c r="E327" t="s">
        <v>4276</v>
      </c>
    </row>
    <row r="328" spans="1:5" hidden="1" x14ac:dyDescent="0.25">
      <c r="A328" t="s">
        <v>285</v>
      </c>
      <c r="B328" t="s">
        <v>286</v>
      </c>
      <c r="C328" s="1">
        <v>46247</v>
      </c>
      <c r="D328" t="s">
        <v>4255</v>
      </c>
      <c r="E328" t="s">
        <v>4271</v>
      </c>
    </row>
    <row r="329" spans="1:5" hidden="1" x14ac:dyDescent="0.25">
      <c r="A329" t="s">
        <v>267</v>
      </c>
      <c r="B329" t="s">
        <v>268</v>
      </c>
      <c r="C329" s="1">
        <v>46247</v>
      </c>
      <c r="D329" t="s">
        <v>4255</v>
      </c>
      <c r="E329" t="s">
        <v>4271</v>
      </c>
    </row>
    <row r="330" spans="1:5" hidden="1" x14ac:dyDescent="0.25">
      <c r="A330" t="s">
        <v>85</v>
      </c>
      <c r="B330" t="s">
        <v>86</v>
      </c>
      <c r="C330" s="1">
        <v>46247</v>
      </c>
      <c r="D330" t="s">
        <v>4259</v>
      </c>
      <c r="E330" t="s">
        <v>4280</v>
      </c>
    </row>
    <row r="331" spans="1:5" hidden="1" x14ac:dyDescent="0.25">
      <c r="A331" t="s">
        <v>231</v>
      </c>
      <c r="B331" t="s">
        <v>232</v>
      </c>
      <c r="C331" s="1">
        <v>46247</v>
      </c>
      <c r="D331" t="s">
        <v>4257</v>
      </c>
      <c r="E331" t="s">
        <v>4272</v>
      </c>
    </row>
    <row r="332" spans="1:5" hidden="1" x14ac:dyDescent="0.25">
      <c r="A332" t="s">
        <v>222</v>
      </c>
      <c r="B332" t="s">
        <v>223</v>
      </c>
      <c r="C332" s="1">
        <v>46247</v>
      </c>
      <c r="D332" t="s">
        <v>4258</v>
      </c>
      <c r="E332" t="s">
        <v>4274</v>
      </c>
    </row>
    <row r="333" spans="1:5" hidden="1" x14ac:dyDescent="0.25">
      <c r="A333" t="s">
        <v>309</v>
      </c>
      <c r="B333" t="s">
        <v>310</v>
      </c>
      <c r="C333" s="1">
        <v>46247</v>
      </c>
      <c r="D333" t="s">
        <v>4260</v>
      </c>
      <c r="E333" t="s">
        <v>4281</v>
      </c>
    </row>
    <row r="334" spans="1:5" hidden="1" x14ac:dyDescent="0.25">
      <c r="A334" t="s">
        <v>150</v>
      </c>
      <c r="B334" t="s">
        <v>151</v>
      </c>
      <c r="C334" s="1">
        <v>46247</v>
      </c>
      <c r="D334" t="s">
        <v>4257</v>
      </c>
      <c r="E334" t="s">
        <v>4277</v>
      </c>
    </row>
    <row r="335" spans="1:5" hidden="1" x14ac:dyDescent="0.25">
      <c r="A335" t="s">
        <v>17</v>
      </c>
      <c r="B335" t="s">
        <v>18</v>
      </c>
      <c r="C335" s="1">
        <v>46247</v>
      </c>
      <c r="D335" t="s">
        <v>4258</v>
      </c>
      <c r="E335" t="s">
        <v>4285</v>
      </c>
    </row>
    <row r="336" spans="1:5" hidden="1" x14ac:dyDescent="0.25">
      <c r="A336" t="s">
        <v>228</v>
      </c>
      <c r="B336" t="s">
        <v>229</v>
      </c>
      <c r="C336" s="1">
        <v>46247</v>
      </c>
      <c r="D336" t="s">
        <v>4258</v>
      </c>
      <c r="E336" t="s">
        <v>4285</v>
      </c>
    </row>
    <row r="337" spans="1:5" hidden="1" x14ac:dyDescent="0.25">
      <c r="A337" t="s">
        <v>119</v>
      </c>
      <c r="B337" t="s">
        <v>120</v>
      </c>
      <c r="C337" s="1">
        <v>46247</v>
      </c>
      <c r="D337" t="s">
        <v>4257</v>
      </c>
      <c r="E337" t="s">
        <v>4278</v>
      </c>
    </row>
    <row r="338" spans="1:5" hidden="1" x14ac:dyDescent="0.25">
      <c r="A338" t="s">
        <v>236</v>
      </c>
      <c r="B338" t="s">
        <v>237</v>
      </c>
      <c r="C338" s="1">
        <v>46247</v>
      </c>
      <c r="D338" t="s">
        <v>4255</v>
      </c>
      <c r="E338" t="s">
        <v>4284</v>
      </c>
    </row>
    <row r="339" spans="1:5" hidden="1" x14ac:dyDescent="0.25">
      <c r="A339" t="s">
        <v>560</v>
      </c>
      <c r="B339" t="s">
        <v>561</v>
      </c>
      <c r="C339" s="1">
        <v>46247</v>
      </c>
      <c r="D339" t="s">
        <v>4255</v>
      </c>
      <c r="E339" t="s">
        <v>4271</v>
      </c>
    </row>
    <row r="340" spans="1:5" hidden="1" x14ac:dyDescent="0.25">
      <c r="A340" t="s">
        <v>199</v>
      </c>
      <c r="B340" t="s">
        <v>200</v>
      </c>
      <c r="C340" s="1">
        <v>46247</v>
      </c>
      <c r="D340" t="s">
        <v>4257</v>
      </c>
      <c r="E340" t="s">
        <v>4277</v>
      </c>
    </row>
    <row r="341" spans="1:5" hidden="1" x14ac:dyDescent="0.25">
      <c r="A341" t="s">
        <v>3662</v>
      </c>
      <c r="B341" t="s">
        <v>3663</v>
      </c>
      <c r="C341" s="1">
        <v>46247</v>
      </c>
      <c r="D341" t="s">
        <v>4255</v>
      </c>
      <c r="E341" t="s">
        <v>4271</v>
      </c>
    </row>
    <row r="342" spans="1:5" hidden="1" x14ac:dyDescent="0.25">
      <c r="A342" t="s">
        <v>45</v>
      </c>
      <c r="B342" t="s">
        <v>46</v>
      </c>
      <c r="C342" s="1">
        <v>46247</v>
      </c>
      <c r="D342" t="s">
        <v>4260</v>
      </c>
      <c r="E342" t="s">
        <v>4283</v>
      </c>
    </row>
    <row r="343" spans="1:5" hidden="1" x14ac:dyDescent="0.25">
      <c r="A343" t="s">
        <v>163</v>
      </c>
      <c r="B343" t="s">
        <v>164</v>
      </c>
      <c r="C343" s="1">
        <v>46247</v>
      </c>
      <c r="D343" t="s">
        <v>4255</v>
      </c>
      <c r="E343" t="s">
        <v>4271</v>
      </c>
    </row>
    <row r="344" spans="1:5" hidden="1" x14ac:dyDescent="0.25">
      <c r="A344" t="s">
        <v>300</v>
      </c>
      <c r="B344" t="s">
        <v>301</v>
      </c>
      <c r="C344" s="1">
        <v>46247</v>
      </c>
      <c r="D344" t="s">
        <v>4258</v>
      </c>
      <c r="E344" t="s">
        <v>4274</v>
      </c>
    </row>
    <row r="345" spans="1:5" hidden="1" x14ac:dyDescent="0.25">
      <c r="A345" t="s">
        <v>213</v>
      </c>
      <c r="B345" t="s">
        <v>214</v>
      </c>
      <c r="C345" s="1">
        <v>46247</v>
      </c>
      <c r="D345" t="s">
        <v>4257</v>
      </c>
      <c r="E345" t="s">
        <v>4278</v>
      </c>
    </row>
    <row r="346" spans="1:5" hidden="1" x14ac:dyDescent="0.25">
      <c r="A346" t="s">
        <v>303</v>
      </c>
      <c r="B346" t="s">
        <v>304</v>
      </c>
      <c r="C346" s="1">
        <v>46248</v>
      </c>
      <c r="D346" t="s">
        <v>4257</v>
      </c>
      <c r="E346" t="s">
        <v>4275</v>
      </c>
    </row>
    <row r="347" spans="1:5" hidden="1" x14ac:dyDescent="0.25">
      <c r="A347" t="s">
        <v>116</v>
      </c>
      <c r="B347" t="s">
        <v>117</v>
      </c>
      <c r="C347" s="1">
        <v>46248</v>
      </c>
      <c r="D347" t="s">
        <v>4260</v>
      </c>
      <c r="E347" t="s">
        <v>4276</v>
      </c>
    </row>
    <row r="348" spans="1:5" hidden="1" x14ac:dyDescent="0.25">
      <c r="A348" t="s">
        <v>73</v>
      </c>
      <c r="B348" t="s">
        <v>74</v>
      </c>
      <c r="C348" s="1">
        <v>46248</v>
      </c>
      <c r="D348" t="s">
        <v>4257</v>
      </c>
      <c r="E348" t="s">
        <v>4278</v>
      </c>
    </row>
    <row r="349" spans="1:5" hidden="1" x14ac:dyDescent="0.25">
      <c r="A349" t="s">
        <v>184</v>
      </c>
      <c r="B349" t="s">
        <v>185</v>
      </c>
      <c r="C349" s="1">
        <v>46248</v>
      </c>
      <c r="D349" t="s">
        <v>4255</v>
      </c>
      <c r="E349" t="s">
        <v>4271</v>
      </c>
    </row>
    <row r="350" spans="1:5" hidden="1" x14ac:dyDescent="0.25">
      <c r="A350" t="s">
        <v>181</v>
      </c>
      <c r="B350" t="s">
        <v>182</v>
      </c>
      <c r="C350" s="1">
        <v>46248</v>
      </c>
      <c r="D350" t="s">
        <v>4260</v>
      </c>
      <c r="E350" t="s">
        <v>4276</v>
      </c>
    </row>
    <row r="351" spans="1:5" hidden="1" x14ac:dyDescent="0.25">
      <c r="A351" t="s">
        <v>285</v>
      </c>
      <c r="B351" t="s">
        <v>286</v>
      </c>
      <c r="C351" s="1">
        <v>46248</v>
      </c>
      <c r="D351" t="s">
        <v>4255</v>
      </c>
      <c r="E351" t="s">
        <v>4271</v>
      </c>
    </row>
    <row r="352" spans="1:5" hidden="1" x14ac:dyDescent="0.25">
      <c r="A352" t="s">
        <v>267</v>
      </c>
      <c r="B352" t="s">
        <v>268</v>
      </c>
      <c r="C352" s="1">
        <v>46248</v>
      </c>
      <c r="D352" t="s">
        <v>4255</v>
      </c>
      <c r="E352" t="s">
        <v>4271</v>
      </c>
    </row>
    <row r="353" spans="1:5" hidden="1" x14ac:dyDescent="0.25">
      <c r="A353" t="s">
        <v>85</v>
      </c>
      <c r="B353" t="s">
        <v>86</v>
      </c>
      <c r="C353" s="1">
        <v>46248</v>
      </c>
      <c r="D353" t="s">
        <v>4259</v>
      </c>
      <c r="E353" t="s">
        <v>4280</v>
      </c>
    </row>
    <row r="354" spans="1:5" hidden="1" x14ac:dyDescent="0.25">
      <c r="A354" t="s">
        <v>231</v>
      </c>
      <c r="B354" t="s">
        <v>232</v>
      </c>
      <c r="C354" s="1">
        <v>46248</v>
      </c>
      <c r="D354" t="s">
        <v>4257</v>
      </c>
      <c r="E354" t="s">
        <v>4272</v>
      </c>
    </row>
    <row r="355" spans="1:5" hidden="1" x14ac:dyDescent="0.25">
      <c r="A355" t="s">
        <v>222</v>
      </c>
      <c r="B355" t="s">
        <v>223</v>
      </c>
      <c r="C355" s="1">
        <v>46248</v>
      </c>
      <c r="D355" t="s">
        <v>4258</v>
      </c>
      <c r="E355" t="s">
        <v>4274</v>
      </c>
    </row>
    <row r="356" spans="1:5" hidden="1" x14ac:dyDescent="0.25">
      <c r="A356" t="s">
        <v>309</v>
      </c>
      <c r="B356" t="s">
        <v>310</v>
      </c>
      <c r="C356" s="1">
        <v>46248</v>
      </c>
      <c r="D356" t="s">
        <v>4260</v>
      </c>
      <c r="E356" t="s">
        <v>4281</v>
      </c>
    </row>
    <row r="357" spans="1:5" hidden="1" x14ac:dyDescent="0.25">
      <c r="A357" t="s">
        <v>150</v>
      </c>
      <c r="B357" t="s">
        <v>151</v>
      </c>
      <c r="C357" s="1">
        <v>46248</v>
      </c>
      <c r="D357" t="s">
        <v>4257</v>
      </c>
      <c r="E357" t="s">
        <v>4277</v>
      </c>
    </row>
    <row r="358" spans="1:5" hidden="1" x14ac:dyDescent="0.25">
      <c r="A358" t="s">
        <v>17</v>
      </c>
      <c r="B358" t="s">
        <v>18</v>
      </c>
      <c r="C358" s="1">
        <v>46248</v>
      </c>
      <c r="D358" t="s">
        <v>4258</v>
      </c>
      <c r="E358" t="s">
        <v>4285</v>
      </c>
    </row>
    <row r="359" spans="1:5" hidden="1" x14ac:dyDescent="0.25">
      <c r="A359" t="s">
        <v>228</v>
      </c>
      <c r="B359" t="s">
        <v>229</v>
      </c>
      <c r="C359" s="1">
        <v>46248</v>
      </c>
      <c r="D359" t="s">
        <v>4258</v>
      </c>
      <c r="E359" t="s">
        <v>4285</v>
      </c>
    </row>
    <row r="360" spans="1:5" hidden="1" x14ac:dyDescent="0.25">
      <c r="A360" t="s">
        <v>119</v>
      </c>
      <c r="B360" t="s">
        <v>120</v>
      </c>
      <c r="C360" s="1">
        <v>46248</v>
      </c>
      <c r="D360" t="s">
        <v>4257</v>
      </c>
      <c r="E360" t="s">
        <v>4278</v>
      </c>
    </row>
    <row r="361" spans="1:5" hidden="1" x14ac:dyDescent="0.25">
      <c r="A361" t="s">
        <v>236</v>
      </c>
      <c r="B361" t="s">
        <v>237</v>
      </c>
      <c r="C361" s="1">
        <v>46248</v>
      </c>
      <c r="D361" t="s">
        <v>4255</v>
      </c>
      <c r="E361" t="s">
        <v>4284</v>
      </c>
    </row>
    <row r="362" spans="1:5" hidden="1" x14ac:dyDescent="0.25">
      <c r="A362" t="s">
        <v>560</v>
      </c>
      <c r="B362" t="s">
        <v>561</v>
      </c>
      <c r="C362" s="1">
        <v>46248</v>
      </c>
      <c r="D362" t="s">
        <v>4255</v>
      </c>
      <c r="E362" t="s">
        <v>4271</v>
      </c>
    </row>
    <row r="363" spans="1:5" hidden="1" x14ac:dyDescent="0.25">
      <c r="A363" t="s">
        <v>199</v>
      </c>
      <c r="B363" t="s">
        <v>200</v>
      </c>
      <c r="C363" s="1">
        <v>46248</v>
      </c>
      <c r="D363" t="s">
        <v>4257</v>
      </c>
      <c r="E363" t="s">
        <v>4277</v>
      </c>
    </row>
    <row r="364" spans="1:5" hidden="1" x14ac:dyDescent="0.25">
      <c r="A364" t="s">
        <v>3662</v>
      </c>
      <c r="B364" t="s">
        <v>3663</v>
      </c>
      <c r="C364" s="1">
        <v>46248</v>
      </c>
      <c r="D364" t="s">
        <v>4255</v>
      </c>
      <c r="E364" t="s">
        <v>4271</v>
      </c>
    </row>
    <row r="365" spans="1:5" hidden="1" x14ac:dyDescent="0.25">
      <c r="A365" t="s">
        <v>45</v>
      </c>
      <c r="B365" t="s">
        <v>46</v>
      </c>
      <c r="C365" s="1">
        <v>46248</v>
      </c>
      <c r="D365" t="s">
        <v>4260</v>
      </c>
      <c r="E365" t="s">
        <v>4283</v>
      </c>
    </row>
    <row r="366" spans="1:5" hidden="1" x14ac:dyDescent="0.25">
      <c r="A366" t="s">
        <v>163</v>
      </c>
      <c r="B366" t="s">
        <v>164</v>
      </c>
      <c r="C366" s="1">
        <v>46248</v>
      </c>
      <c r="D366" t="s">
        <v>4255</v>
      </c>
      <c r="E366" t="s">
        <v>4271</v>
      </c>
    </row>
    <row r="367" spans="1:5" hidden="1" x14ac:dyDescent="0.25">
      <c r="A367" t="s">
        <v>300</v>
      </c>
      <c r="B367" t="s">
        <v>301</v>
      </c>
      <c r="C367" s="1">
        <v>46248</v>
      </c>
      <c r="D367" t="s">
        <v>4258</v>
      </c>
      <c r="E367" t="s">
        <v>4274</v>
      </c>
    </row>
    <row r="368" spans="1:5" hidden="1" x14ac:dyDescent="0.25">
      <c r="A368" t="s">
        <v>213</v>
      </c>
      <c r="B368" t="s">
        <v>214</v>
      </c>
      <c r="C368" s="1">
        <v>46248</v>
      </c>
      <c r="D368" t="s">
        <v>4257</v>
      </c>
      <c r="E368" t="s">
        <v>4278</v>
      </c>
    </row>
    <row r="369" spans="1:5" hidden="1" x14ac:dyDescent="0.25">
      <c r="A369" t="s">
        <v>196</v>
      </c>
      <c r="B369" t="s">
        <v>197</v>
      </c>
      <c r="C369" s="1">
        <v>46249</v>
      </c>
      <c r="D369" t="s">
        <v>4257</v>
      </c>
      <c r="E369" t="s">
        <v>4278</v>
      </c>
    </row>
    <row r="370" spans="1:5" hidden="1" x14ac:dyDescent="0.25">
      <c r="A370" t="s">
        <v>103</v>
      </c>
      <c r="B370" t="s">
        <v>104</v>
      </c>
      <c r="C370" s="1">
        <v>46249</v>
      </c>
      <c r="D370" t="s">
        <v>4258</v>
      </c>
      <c r="E370" t="s">
        <v>4285</v>
      </c>
    </row>
    <row r="371" spans="1:5" hidden="1" x14ac:dyDescent="0.25">
      <c r="A371" t="s">
        <v>303</v>
      </c>
      <c r="B371" t="s">
        <v>304</v>
      </c>
      <c r="C371" s="1">
        <v>46249</v>
      </c>
      <c r="D371" t="s">
        <v>4257</v>
      </c>
      <c r="E371" t="s">
        <v>4275</v>
      </c>
    </row>
    <row r="372" spans="1:5" hidden="1" x14ac:dyDescent="0.25">
      <c r="A372" t="s">
        <v>4202</v>
      </c>
      <c r="B372" t="s">
        <v>340</v>
      </c>
      <c r="C372" s="1">
        <v>46249</v>
      </c>
      <c r="D372" t="s">
        <v>4257</v>
      </c>
      <c r="E372" t="s">
        <v>4278</v>
      </c>
    </row>
    <row r="373" spans="1:5" hidden="1" x14ac:dyDescent="0.25">
      <c r="A373" t="s">
        <v>73</v>
      </c>
      <c r="B373" t="s">
        <v>74</v>
      </c>
      <c r="C373" s="1">
        <v>46249</v>
      </c>
      <c r="D373" t="s">
        <v>4257</v>
      </c>
      <c r="E373" t="s">
        <v>4278</v>
      </c>
    </row>
    <row r="374" spans="1:5" hidden="1" x14ac:dyDescent="0.25">
      <c r="A374" t="s">
        <v>184</v>
      </c>
      <c r="B374" t="s">
        <v>185</v>
      </c>
      <c r="C374" s="1">
        <v>46249</v>
      </c>
      <c r="D374" t="s">
        <v>4255</v>
      </c>
      <c r="E374" t="s">
        <v>4271</v>
      </c>
    </row>
    <row r="375" spans="1:5" hidden="1" x14ac:dyDescent="0.25">
      <c r="A375" t="s">
        <v>181</v>
      </c>
      <c r="B375" t="s">
        <v>182</v>
      </c>
      <c r="C375" s="1">
        <v>46249</v>
      </c>
      <c r="D375" t="s">
        <v>4260</v>
      </c>
      <c r="E375" t="s">
        <v>4276</v>
      </c>
    </row>
    <row r="376" spans="1:5" hidden="1" x14ac:dyDescent="0.25">
      <c r="A376" t="s">
        <v>285</v>
      </c>
      <c r="B376" t="s">
        <v>286</v>
      </c>
      <c r="C376" s="1">
        <v>46249</v>
      </c>
      <c r="D376" t="s">
        <v>4255</v>
      </c>
      <c r="E376" t="s">
        <v>4271</v>
      </c>
    </row>
    <row r="377" spans="1:5" hidden="1" x14ac:dyDescent="0.25">
      <c r="A377" t="s">
        <v>267</v>
      </c>
      <c r="B377" t="s">
        <v>268</v>
      </c>
      <c r="C377" s="1">
        <v>46249</v>
      </c>
      <c r="D377" t="s">
        <v>4255</v>
      </c>
      <c r="E377" t="s">
        <v>4271</v>
      </c>
    </row>
    <row r="378" spans="1:5" hidden="1" x14ac:dyDescent="0.25">
      <c r="A378" t="s">
        <v>306</v>
      </c>
      <c r="B378" t="s">
        <v>307</v>
      </c>
      <c r="C378" s="1">
        <v>46249</v>
      </c>
      <c r="D378" t="s">
        <v>4257</v>
      </c>
      <c r="E378" t="s">
        <v>4277</v>
      </c>
    </row>
    <row r="379" spans="1:5" hidden="1" x14ac:dyDescent="0.25">
      <c r="A379" t="s">
        <v>85</v>
      </c>
      <c r="B379" t="s">
        <v>86</v>
      </c>
      <c r="C379" s="1">
        <v>46249</v>
      </c>
      <c r="D379" t="s">
        <v>4259</v>
      </c>
      <c r="E379" t="s">
        <v>4280</v>
      </c>
    </row>
    <row r="380" spans="1:5" hidden="1" x14ac:dyDescent="0.25">
      <c r="A380" t="s">
        <v>231</v>
      </c>
      <c r="B380" t="s">
        <v>232</v>
      </c>
      <c r="C380" s="1">
        <v>46249</v>
      </c>
      <c r="D380" t="s">
        <v>4257</v>
      </c>
      <c r="E380" t="s">
        <v>4272</v>
      </c>
    </row>
    <row r="381" spans="1:5" hidden="1" x14ac:dyDescent="0.25">
      <c r="A381" t="s">
        <v>318</v>
      </c>
      <c r="B381" t="s">
        <v>319</v>
      </c>
      <c r="C381" s="1">
        <v>46249</v>
      </c>
      <c r="D381" t="s">
        <v>4258</v>
      </c>
      <c r="E381" t="s">
        <v>4288</v>
      </c>
    </row>
    <row r="382" spans="1:5" hidden="1" x14ac:dyDescent="0.25">
      <c r="A382" t="s">
        <v>1427</v>
      </c>
      <c r="B382" t="s">
        <v>1428</v>
      </c>
      <c r="C382" s="1">
        <v>46249</v>
      </c>
      <c r="D382" t="s">
        <v>4260</v>
      </c>
      <c r="E382" t="s">
        <v>4281</v>
      </c>
    </row>
    <row r="383" spans="1:5" hidden="1" x14ac:dyDescent="0.25">
      <c r="A383" t="s">
        <v>222</v>
      </c>
      <c r="B383" t="s">
        <v>223</v>
      </c>
      <c r="C383" s="1">
        <v>46249</v>
      </c>
      <c r="D383" t="s">
        <v>4258</v>
      </c>
      <c r="E383" t="s">
        <v>4274</v>
      </c>
    </row>
    <row r="384" spans="1:5" hidden="1" x14ac:dyDescent="0.25">
      <c r="A384" t="s">
        <v>150</v>
      </c>
      <c r="B384" t="s">
        <v>151</v>
      </c>
      <c r="C384" s="1">
        <v>46249</v>
      </c>
      <c r="D384" t="s">
        <v>4257</v>
      </c>
      <c r="E384" t="s">
        <v>4277</v>
      </c>
    </row>
    <row r="385" spans="1:5" hidden="1" x14ac:dyDescent="0.25">
      <c r="A385" t="s">
        <v>17</v>
      </c>
      <c r="B385" t="s">
        <v>18</v>
      </c>
      <c r="C385" s="1">
        <v>46249</v>
      </c>
      <c r="D385" t="s">
        <v>4258</v>
      </c>
      <c r="E385" t="s">
        <v>4285</v>
      </c>
    </row>
    <row r="386" spans="1:5" hidden="1" x14ac:dyDescent="0.25">
      <c r="A386" t="s">
        <v>228</v>
      </c>
      <c r="B386" t="s">
        <v>229</v>
      </c>
      <c r="C386" s="1">
        <v>46249</v>
      </c>
      <c r="D386" t="s">
        <v>4258</v>
      </c>
      <c r="E386" t="s">
        <v>4285</v>
      </c>
    </row>
    <row r="387" spans="1:5" hidden="1" x14ac:dyDescent="0.25">
      <c r="A387" t="s">
        <v>251</v>
      </c>
      <c r="B387" t="s">
        <v>252</v>
      </c>
      <c r="C387" s="1">
        <v>46249</v>
      </c>
      <c r="D387" t="s">
        <v>4259</v>
      </c>
      <c r="E387" t="s">
        <v>4280</v>
      </c>
    </row>
    <row r="388" spans="1:5" hidden="1" x14ac:dyDescent="0.25">
      <c r="A388" t="s">
        <v>119</v>
      </c>
      <c r="B388" t="s">
        <v>120</v>
      </c>
      <c r="C388" s="1">
        <v>46249</v>
      </c>
      <c r="D388" t="s">
        <v>4257</v>
      </c>
      <c r="E388" t="s">
        <v>4278</v>
      </c>
    </row>
    <row r="389" spans="1:5" hidden="1" x14ac:dyDescent="0.25">
      <c r="A389" t="s">
        <v>236</v>
      </c>
      <c r="B389" t="s">
        <v>237</v>
      </c>
      <c r="C389" s="1">
        <v>46249</v>
      </c>
      <c r="D389" t="s">
        <v>4255</v>
      </c>
      <c r="E389" t="s">
        <v>4284</v>
      </c>
    </row>
    <row r="390" spans="1:5" hidden="1" x14ac:dyDescent="0.25">
      <c r="A390" t="s">
        <v>560</v>
      </c>
      <c r="B390" t="s">
        <v>561</v>
      </c>
      <c r="C390" s="1">
        <v>46249</v>
      </c>
      <c r="D390" t="s">
        <v>4255</v>
      </c>
      <c r="E390" t="s">
        <v>4271</v>
      </c>
    </row>
    <row r="391" spans="1:5" hidden="1" x14ac:dyDescent="0.25">
      <c r="A391" t="s">
        <v>167</v>
      </c>
      <c r="B391" t="s">
        <v>168</v>
      </c>
      <c r="C391" s="1">
        <v>46249</v>
      </c>
      <c r="D391" t="s">
        <v>4257</v>
      </c>
      <c r="E391" t="s">
        <v>4277</v>
      </c>
    </row>
    <row r="392" spans="1:5" hidden="1" x14ac:dyDescent="0.25">
      <c r="A392" t="s">
        <v>199</v>
      </c>
      <c r="B392" t="s">
        <v>200</v>
      </c>
      <c r="C392" s="1">
        <v>46249</v>
      </c>
      <c r="D392" t="s">
        <v>4257</v>
      </c>
      <c r="E392" t="s">
        <v>4277</v>
      </c>
    </row>
    <row r="393" spans="1:5" hidden="1" x14ac:dyDescent="0.25">
      <c r="A393" t="s">
        <v>3662</v>
      </c>
      <c r="B393" t="s">
        <v>3663</v>
      </c>
      <c r="C393" s="1">
        <v>46249</v>
      </c>
      <c r="D393" t="s">
        <v>4255</v>
      </c>
      <c r="E393" t="s">
        <v>4271</v>
      </c>
    </row>
    <row r="394" spans="1:5" hidden="1" x14ac:dyDescent="0.25">
      <c r="A394" t="s">
        <v>45</v>
      </c>
      <c r="B394" t="s">
        <v>46</v>
      </c>
      <c r="C394" s="1">
        <v>46249</v>
      </c>
      <c r="D394" t="s">
        <v>4260</v>
      </c>
      <c r="E394" t="s">
        <v>4283</v>
      </c>
    </row>
    <row r="395" spans="1:5" hidden="1" x14ac:dyDescent="0.25">
      <c r="A395" t="s">
        <v>163</v>
      </c>
      <c r="B395" t="s">
        <v>164</v>
      </c>
      <c r="C395" s="1">
        <v>46249</v>
      </c>
      <c r="D395" t="s">
        <v>4255</v>
      </c>
      <c r="E395" t="s">
        <v>4271</v>
      </c>
    </row>
    <row r="396" spans="1:5" hidden="1" x14ac:dyDescent="0.25">
      <c r="A396" t="s">
        <v>300</v>
      </c>
      <c r="B396" t="s">
        <v>301</v>
      </c>
      <c r="C396" s="1">
        <v>46249</v>
      </c>
      <c r="D396" t="s">
        <v>4258</v>
      </c>
      <c r="E396" t="s">
        <v>4274</v>
      </c>
    </row>
    <row r="397" spans="1:5" hidden="1" x14ac:dyDescent="0.25">
      <c r="A397" t="s">
        <v>240</v>
      </c>
      <c r="B397" t="s">
        <v>241</v>
      </c>
      <c r="C397" s="1">
        <v>46249</v>
      </c>
      <c r="D397" t="s">
        <v>4257</v>
      </c>
      <c r="E397" t="s">
        <v>4277</v>
      </c>
    </row>
    <row r="398" spans="1:5" hidden="1" x14ac:dyDescent="0.25">
      <c r="A398" t="s">
        <v>213</v>
      </c>
      <c r="B398" t="s">
        <v>214</v>
      </c>
      <c r="C398" s="1">
        <v>46249</v>
      </c>
      <c r="D398" t="s">
        <v>4257</v>
      </c>
      <c r="E398" t="s">
        <v>4278</v>
      </c>
    </row>
    <row r="399" spans="1:5" hidden="1" x14ac:dyDescent="0.25">
      <c r="A399" t="s">
        <v>294</v>
      </c>
      <c r="B399" t="s">
        <v>295</v>
      </c>
      <c r="C399" s="1">
        <v>46249</v>
      </c>
      <c r="D399" t="s">
        <v>4260</v>
      </c>
      <c r="E399" t="s">
        <v>4276</v>
      </c>
    </row>
    <row r="400" spans="1:5" hidden="1" x14ac:dyDescent="0.25">
      <c r="A400" t="s">
        <v>196</v>
      </c>
      <c r="B400" t="s">
        <v>197</v>
      </c>
      <c r="C400" s="1">
        <v>46252</v>
      </c>
      <c r="D400" t="s">
        <v>4257</v>
      </c>
      <c r="E400" t="s">
        <v>4278</v>
      </c>
    </row>
    <row r="401" spans="1:5" hidden="1" x14ac:dyDescent="0.25">
      <c r="A401" t="s">
        <v>103</v>
      </c>
      <c r="B401" t="s">
        <v>104</v>
      </c>
      <c r="C401" s="1">
        <v>46252</v>
      </c>
      <c r="D401" t="s">
        <v>4258</v>
      </c>
      <c r="E401" t="s">
        <v>4285</v>
      </c>
    </row>
    <row r="402" spans="1:5" hidden="1" x14ac:dyDescent="0.25">
      <c r="A402" t="s">
        <v>294</v>
      </c>
      <c r="B402" t="s">
        <v>295</v>
      </c>
      <c r="C402" s="1">
        <v>46252</v>
      </c>
      <c r="D402" t="s">
        <v>4258</v>
      </c>
      <c r="E402" t="s">
        <v>4289</v>
      </c>
    </row>
    <row r="403" spans="1:5" hidden="1" x14ac:dyDescent="0.25">
      <c r="A403" t="s">
        <v>303</v>
      </c>
      <c r="B403" t="s">
        <v>304</v>
      </c>
      <c r="C403" s="1">
        <v>46252</v>
      </c>
      <c r="D403" t="s">
        <v>4257</v>
      </c>
      <c r="E403" t="s">
        <v>4275</v>
      </c>
    </row>
    <row r="404" spans="1:5" hidden="1" x14ac:dyDescent="0.25">
      <c r="A404" t="s">
        <v>4202</v>
      </c>
      <c r="B404" t="s">
        <v>340</v>
      </c>
      <c r="C404" s="1">
        <v>46252</v>
      </c>
      <c r="D404" t="s">
        <v>4257</v>
      </c>
      <c r="E404" t="s">
        <v>4278</v>
      </c>
    </row>
    <row r="405" spans="1:5" hidden="1" x14ac:dyDescent="0.25">
      <c r="A405" t="s">
        <v>73</v>
      </c>
      <c r="B405" t="s">
        <v>74</v>
      </c>
      <c r="C405" s="1">
        <v>46252</v>
      </c>
      <c r="D405" t="s">
        <v>4257</v>
      </c>
      <c r="E405" t="s">
        <v>4278</v>
      </c>
    </row>
    <row r="406" spans="1:5" hidden="1" x14ac:dyDescent="0.25">
      <c r="A406" t="s">
        <v>184</v>
      </c>
      <c r="B406" t="s">
        <v>185</v>
      </c>
      <c r="C406" s="1">
        <v>46252</v>
      </c>
      <c r="D406" t="s">
        <v>4255</v>
      </c>
      <c r="E406" t="s">
        <v>4271</v>
      </c>
    </row>
    <row r="407" spans="1:5" hidden="1" x14ac:dyDescent="0.25">
      <c r="A407" t="s">
        <v>181</v>
      </c>
      <c r="B407" t="s">
        <v>182</v>
      </c>
      <c r="C407" s="1">
        <v>46252</v>
      </c>
      <c r="D407" t="s">
        <v>4260</v>
      </c>
      <c r="E407" t="s">
        <v>4276</v>
      </c>
    </row>
    <row r="408" spans="1:5" hidden="1" x14ac:dyDescent="0.25">
      <c r="A408" t="s">
        <v>285</v>
      </c>
      <c r="B408" t="s">
        <v>286</v>
      </c>
      <c r="C408" s="1">
        <v>46252</v>
      </c>
      <c r="D408" t="s">
        <v>4255</v>
      </c>
      <c r="E408" t="s">
        <v>4271</v>
      </c>
    </row>
    <row r="409" spans="1:5" hidden="1" x14ac:dyDescent="0.25">
      <c r="A409" t="s">
        <v>267</v>
      </c>
      <c r="B409" t="s">
        <v>268</v>
      </c>
      <c r="C409" s="1">
        <v>46252</v>
      </c>
      <c r="D409" t="s">
        <v>4255</v>
      </c>
      <c r="E409" t="s">
        <v>4271</v>
      </c>
    </row>
    <row r="410" spans="1:5" hidden="1" x14ac:dyDescent="0.25">
      <c r="A410" t="s">
        <v>306</v>
      </c>
      <c r="B410" t="s">
        <v>307</v>
      </c>
      <c r="C410" s="1">
        <v>46252</v>
      </c>
      <c r="D410" t="s">
        <v>4257</v>
      </c>
      <c r="E410" t="s">
        <v>4277</v>
      </c>
    </row>
    <row r="411" spans="1:5" hidden="1" x14ac:dyDescent="0.25">
      <c r="A411" t="s">
        <v>85</v>
      </c>
      <c r="B411" t="s">
        <v>86</v>
      </c>
      <c r="C411" s="1">
        <v>46252</v>
      </c>
      <c r="D411" t="s">
        <v>4259</v>
      </c>
      <c r="E411" t="s">
        <v>4280</v>
      </c>
    </row>
    <row r="412" spans="1:5" hidden="1" x14ac:dyDescent="0.25">
      <c r="A412" t="s">
        <v>231</v>
      </c>
      <c r="B412" t="s">
        <v>232</v>
      </c>
      <c r="C412" s="1">
        <v>46252</v>
      </c>
      <c r="D412" t="s">
        <v>4257</v>
      </c>
      <c r="E412" t="s">
        <v>4272</v>
      </c>
    </row>
    <row r="413" spans="1:5" hidden="1" x14ac:dyDescent="0.25">
      <c r="A413" t="s">
        <v>318</v>
      </c>
      <c r="B413" t="s">
        <v>319</v>
      </c>
      <c r="C413" s="1">
        <v>46252</v>
      </c>
      <c r="D413" t="s">
        <v>4258</v>
      </c>
      <c r="E413" t="s">
        <v>4288</v>
      </c>
    </row>
    <row r="414" spans="1:5" hidden="1" x14ac:dyDescent="0.25">
      <c r="A414" t="s">
        <v>1427</v>
      </c>
      <c r="B414" t="s">
        <v>1428</v>
      </c>
      <c r="C414" s="1">
        <v>46252</v>
      </c>
      <c r="D414" t="s">
        <v>4260</v>
      </c>
      <c r="E414" t="s">
        <v>4281</v>
      </c>
    </row>
    <row r="415" spans="1:5" hidden="1" x14ac:dyDescent="0.25">
      <c r="A415" t="s">
        <v>222</v>
      </c>
      <c r="B415" t="s">
        <v>223</v>
      </c>
      <c r="C415" s="1">
        <v>46252</v>
      </c>
      <c r="D415" t="s">
        <v>4258</v>
      </c>
      <c r="E415" t="s">
        <v>4274</v>
      </c>
    </row>
    <row r="416" spans="1:5" hidden="1" x14ac:dyDescent="0.25">
      <c r="A416" t="s">
        <v>150</v>
      </c>
      <c r="B416" t="s">
        <v>151</v>
      </c>
      <c r="C416" s="1">
        <v>46252</v>
      </c>
      <c r="D416" t="s">
        <v>4257</v>
      </c>
      <c r="E416" t="s">
        <v>4277</v>
      </c>
    </row>
    <row r="417" spans="1:5" hidden="1" x14ac:dyDescent="0.25">
      <c r="A417" t="s">
        <v>17</v>
      </c>
      <c r="B417" t="s">
        <v>18</v>
      </c>
      <c r="C417" s="1">
        <v>46252</v>
      </c>
      <c r="D417" t="s">
        <v>4258</v>
      </c>
      <c r="E417" t="s">
        <v>4285</v>
      </c>
    </row>
    <row r="418" spans="1:5" hidden="1" x14ac:dyDescent="0.25">
      <c r="A418" t="s">
        <v>228</v>
      </c>
      <c r="B418" t="s">
        <v>229</v>
      </c>
      <c r="C418" s="1">
        <v>46252</v>
      </c>
      <c r="D418" t="s">
        <v>4258</v>
      </c>
      <c r="E418" t="s">
        <v>4285</v>
      </c>
    </row>
    <row r="419" spans="1:5" hidden="1" x14ac:dyDescent="0.25">
      <c r="A419" t="s">
        <v>251</v>
      </c>
      <c r="B419" t="s">
        <v>252</v>
      </c>
      <c r="C419" s="1">
        <v>46252</v>
      </c>
      <c r="D419" t="s">
        <v>4259</v>
      </c>
      <c r="E419" t="s">
        <v>4280</v>
      </c>
    </row>
    <row r="420" spans="1:5" hidden="1" x14ac:dyDescent="0.25">
      <c r="A420" t="s">
        <v>119</v>
      </c>
      <c r="B420" t="s">
        <v>120</v>
      </c>
      <c r="C420" s="1">
        <v>46252</v>
      </c>
      <c r="D420" t="s">
        <v>4257</v>
      </c>
      <c r="E420" t="s">
        <v>4278</v>
      </c>
    </row>
    <row r="421" spans="1:5" hidden="1" x14ac:dyDescent="0.25">
      <c r="A421" t="s">
        <v>236</v>
      </c>
      <c r="B421" t="s">
        <v>237</v>
      </c>
      <c r="C421" s="1">
        <v>46252</v>
      </c>
      <c r="D421" t="s">
        <v>4255</v>
      </c>
      <c r="E421" t="s">
        <v>4284</v>
      </c>
    </row>
    <row r="422" spans="1:5" hidden="1" x14ac:dyDescent="0.25">
      <c r="A422" t="s">
        <v>560</v>
      </c>
      <c r="B422" t="s">
        <v>561</v>
      </c>
      <c r="C422" s="1">
        <v>46252</v>
      </c>
      <c r="D422" t="s">
        <v>4255</v>
      </c>
      <c r="E422" t="s">
        <v>4271</v>
      </c>
    </row>
    <row r="423" spans="1:5" hidden="1" x14ac:dyDescent="0.25">
      <c r="A423" t="s">
        <v>167</v>
      </c>
      <c r="B423" t="s">
        <v>168</v>
      </c>
      <c r="C423" s="1">
        <v>46252</v>
      </c>
      <c r="D423" t="s">
        <v>4257</v>
      </c>
      <c r="E423" t="s">
        <v>4277</v>
      </c>
    </row>
    <row r="424" spans="1:5" hidden="1" x14ac:dyDescent="0.25">
      <c r="A424" t="s">
        <v>199</v>
      </c>
      <c r="B424" t="s">
        <v>200</v>
      </c>
      <c r="C424" s="1">
        <v>46252</v>
      </c>
      <c r="D424" t="s">
        <v>4257</v>
      </c>
      <c r="E424" t="s">
        <v>4277</v>
      </c>
    </row>
    <row r="425" spans="1:5" hidden="1" x14ac:dyDescent="0.25">
      <c r="A425" t="s">
        <v>3662</v>
      </c>
      <c r="B425" t="s">
        <v>3663</v>
      </c>
      <c r="C425" s="1">
        <v>46252</v>
      </c>
      <c r="D425" t="s">
        <v>4255</v>
      </c>
      <c r="E425" t="s">
        <v>4271</v>
      </c>
    </row>
    <row r="426" spans="1:5" hidden="1" x14ac:dyDescent="0.25">
      <c r="A426" t="s">
        <v>45</v>
      </c>
      <c r="B426" t="s">
        <v>46</v>
      </c>
      <c r="C426" s="1">
        <v>46252</v>
      </c>
      <c r="D426" t="s">
        <v>4260</v>
      </c>
      <c r="E426" t="s">
        <v>4283</v>
      </c>
    </row>
    <row r="427" spans="1:5" hidden="1" x14ac:dyDescent="0.25">
      <c r="A427" t="s">
        <v>163</v>
      </c>
      <c r="B427" t="s">
        <v>164</v>
      </c>
      <c r="C427" s="1">
        <v>46252</v>
      </c>
      <c r="D427" t="s">
        <v>4255</v>
      </c>
      <c r="E427" t="s">
        <v>4271</v>
      </c>
    </row>
    <row r="428" spans="1:5" hidden="1" x14ac:dyDescent="0.25">
      <c r="A428" t="s">
        <v>300</v>
      </c>
      <c r="B428" t="s">
        <v>301</v>
      </c>
      <c r="C428" s="1">
        <v>46252</v>
      </c>
      <c r="D428" t="s">
        <v>4258</v>
      </c>
      <c r="E428" t="s">
        <v>4274</v>
      </c>
    </row>
    <row r="429" spans="1:5" hidden="1" x14ac:dyDescent="0.25">
      <c r="A429" t="s">
        <v>240</v>
      </c>
      <c r="B429" t="s">
        <v>241</v>
      </c>
      <c r="C429" s="1">
        <v>46252</v>
      </c>
      <c r="D429" t="s">
        <v>4257</v>
      </c>
      <c r="E429" t="s">
        <v>4277</v>
      </c>
    </row>
    <row r="430" spans="1:5" hidden="1" x14ac:dyDescent="0.25">
      <c r="A430" t="s">
        <v>213</v>
      </c>
      <c r="B430" t="s">
        <v>214</v>
      </c>
      <c r="C430" s="1">
        <v>46252</v>
      </c>
      <c r="D430" t="s">
        <v>4257</v>
      </c>
      <c r="E430" t="s">
        <v>4278</v>
      </c>
    </row>
    <row r="431" spans="1:5" hidden="1" x14ac:dyDescent="0.25">
      <c r="A431" t="s">
        <v>261</v>
      </c>
      <c r="B431" t="s">
        <v>262</v>
      </c>
      <c r="C431" s="1">
        <v>46252</v>
      </c>
      <c r="D431" t="s">
        <v>4260</v>
      </c>
    </row>
    <row r="432" spans="1:5" hidden="1" x14ac:dyDescent="0.25">
      <c r="A432" t="s">
        <v>196</v>
      </c>
      <c r="B432" t="s">
        <v>197</v>
      </c>
      <c r="C432" s="1">
        <v>46253</v>
      </c>
      <c r="D432" t="s">
        <v>4257</v>
      </c>
      <c r="E432" t="s">
        <v>4278</v>
      </c>
    </row>
    <row r="433" spans="1:5" hidden="1" x14ac:dyDescent="0.25">
      <c r="A433" t="s">
        <v>103</v>
      </c>
      <c r="B433" t="s">
        <v>104</v>
      </c>
      <c r="C433" s="1">
        <v>46253</v>
      </c>
      <c r="D433" t="s">
        <v>4258</v>
      </c>
      <c r="E433" t="s">
        <v>4285</v>
      </c>
    </row>
    <row r="434" spans="1:5" hidden="1" x14ac:dyDescent="0.25">
      <c r="A434" t="s">
        <v>294</v>
      </c>
      <c r="B434" t="s">
        <v>295</v>
      </c>
      <c r="C434" s="1">
        <v>46253</v>
      </c>
      <c r="D434" t="s">
        <v>4258</v>
      </c>
      <c r="E434" t="s">
        <v>4289</v>
      </c>
    </row>
    <row r="435" spans="1:5" hidden="1" x14ac:dyDescent="0.25">
      <c r="A435" t="s">
        <v>303</v>
      </c>
      <c r="B435" t="s">
        <v>304</v>
      </c>
      <c r="C435" s="1">
        <v>46253</v>
      </c>
      <c r="D435" t="s">
        <v>4257</v>
      </c>
      <c r="E435" t="s">
        <v>4275</v>
      </c>
    </row>
    <row r="436" spans="1:5" hidden="1" x14ac:dyDescent="0.25">
      <c r="A436" t="s">
        <v>4202</v>
      </c>
      <c r="B436" t="s">
        <v>340</v>
      </c>
      <c r="C436" s="1">
        <v>46253</v>
      </c>
      <c r="D436" t="s">
        <v>4257</v>
      </c>
      <c r="E436" t="s">
        <v>4278</v>
      </c>
    </row>
    <row r="437" spans="1:5" hidden="1" x14ac:dyDescent="0.25">
      <c r="A437" t="s">
        <v>73</v>
      </c>
      <c r="B437" t="s">
        <v>74</v>
      </c>
      <c r="C437" s="1">
        <v>46253</v>
      </c>
      <c r="D437" t="s">
        <v>4257</v>
      </c>
      <c r="E437" t="s">
        <v>4278</v>
      </c>
    </row>
    <row r="438" spans="1:5" hidden="1" x14ac:dyDescent="0.25">
      <c r="A438" t="s">
        <v>184</v>
      </c>
      <c r="B438" t="s">
        <v>185</v>
      </c>
      <c r="C438" s="1">
        <v>46253</v>
      </c>
      <c r="D438" t="s">
        <v>4255</v>
      </c>
      <c r="E438" t="s">
        <v>4271</v>
      </c>
    </row>
    <row r="439" spans="1:5" hidden="1" x14ac:dyDescent="0.25">
      <c r="A439" t="s">
        <v>181</v>
      </c>
      <c r="B439" t="s">
        <v>182</v>
      </c>
      <c r="C439" s="1">
        <v>46253</v>
      </c>
      <c r="D439" t="s">
        <v>4260</v>
      </c>
      <c r="E439" t="s">
        <v>4276</v>
      </c>
    </row>
    <row r="440" spans="1:5" hidden="1" x14ac:dyDescent="0.25">
      <c r="A440" t="s">
        <v>285</v>
      </c>
      <c r="B440" t="s">
        <v>286</v>
      </c>
      <c r="C440" s="1">
        <v>46253</v>
      </c>
      <c r="D440" t="s">
        <v>4255</v>
      </c>
      <c r="E440" t="s">
        <v>4271</v>
      </c>
    </row>
    <row r="441" spans="1:5" hidden="1" x14ac:dyDescent="0.25">
      <c r="A441" t="s">
        <v>267</v>
      </c>
      <c r="B441" t="s">
        <v>268</v>
      </c>
      <c r="C441" s="1">
        <v>46253</v>
      </c>
      <c r="D441" t="s">
        <v>4255</v>
      </c>
      <c r="E441" t="s">
        <v>4271</v>
      </c>
    </row>
    <row r="442" spans="1:5" hidden="1" x14ac:dyDescent="0.25">
      <c r="A442" t="s">
        <v>306</v>
      </c>
      <c r="B442" t="s">
        <v>307</v>
      </c>
      <c r="C442" s="1">
        <v>46253</v>
      </c>
      <c r="D442" t="s">
        <v>4257</v>
      </c>
      <c r="E442" t="s">
        <v>4277</v>
      </c>
    </row>
    <row r="443" spans="1:5" hidden="1" x14ac:dyDescent="0.25">
      <c r="A443" t="s">
        <v>85</v>
      </c>
      <c r="B443" t="s">
        <v>86</v>
      </c>
      <c r="C443" s="1">
        <v>46253</v>
      </c>
      <c r="D443" t="s">
        <v>4259</v>
      </c>
      <c r="E443" t="s">
        <v>4280</v>
      </c>
    </row>
    <row r="444" spans="1:5" hidden="1" x14ac:dyDescent="0.25">
      <c r="A444" t="s">
        <v>231</v>
      </c>
      <c r="B444" t="s">
        <v>232</v>
      </c>
      <c r="C444" s="1">
        <v>46253</v>
      </c>
      <c r="D444" t="s">
        <v>4257</v>
      </c>
      <c r="E444" t="s">
        <v>4272</v>
      </c>
    </row>
    <row r="445" spans="1:5" hidden="1" x14ac:dyDescent="0.25">
      <c r="A445" t="s">
        <v>318</v>
      </c>
      <c r="B445" t="s">
        <v>319</v>
      </c>
      <c r="C445" s="1">
        <v>46253</v>
      </c>
      <c r="D445" t="s">
        <v>4258</v>
      </c>
      <c r="E445" t="s">
        <v>4288</v>
      </c>
    </row>
    <row r="446" spans="1:5" hidden="1" x14ac:dyDescent="0.25">
      <c r="A446" t="s">
        <v>1427</v>
      </c>
      <c r="B446" t="s">
        <v>1428</v>
      </c>
      <c r="C446" s="1">
        <v>46253</v>
      </c>
      <c r="D446" t="s">
        <v>4260</v>
      </c>
      <c r="E446" t="s">
        <v>4281</v>
      </c>
    </row>
    <row r="447" spans="1:5" hidden="1" x14ac:dyDescent="0.25">
      <c r="A447" t="s">
        <v>222</v>
      </c>
      <c r="B447" t="s">
        <v>223</v>
      </c>
      <c r="C447" s="1">
        <v>46253</v>
      </c>
      <c r="D447" t="s">
        <v>4258</v>
      </c>
      <c r="E447" t="s">
        <v>4274</v>
      </c>
    </row>
    <row r="448" spans="1:5" hidden="1" x14ac:dyDescent="0.25">
      <c r="A448" t="s">
        <v>150</v>
      </c>
      <c r="B448" t="s">
        <v>151</v>
      </c>
      <c r="C448" s="1">
        <v>46253</v>
      </c>
      <c r="D448" t="s">
        <v>4257</v>
      </c>
      <c r="E448" t="s">
        <v>4277</v>
      </c>
    </row>
    <row r="449" spans="1:5" hidden="1" x14ac:dyDescent="0.25">
      <c r="A449" t="s">
        <v>17</v>
      </c>
      <c r="B449" t="s">
        <v>18</v>
      </c>
      <c r="C449" s="1">
        <v>46253</v>
      </c>
      <c r="D449" t="s">
        <v>4258</v>
      </c>
      <c r="E449" t="s">
        <v>4285</v>
      </c>
    </row>
    <row r="450" spans="1:5" hidden="1" x14ac:dyDescent="0.25">
      <c r="A450" t="s">
        <v>228</v>
      </c>
      <c r="B450" t="s">
        <v>229</v>
      </c>
      <c r="C450" s="1">
        <v>46253</v>
      </c>
      <c r="D450" t="s">
        <v>4258</v>
      </c>
      <c r="E450" t="s">
        <v>4285</v>
      </c>
    </row>
    <row r="451" spans="1:5" hidden="1" x14ac:dyDescent="0.25">
      <c r="A451" t="s">
        <v>251</v>
      </c>
      <c r="B451" t="s">
        <v>252</v>
      </c>
      <c r="C451" s="1">
        <v>46253</v>
      </c>
      <c r="D451" t="s">
        <v>4259</v>
      </c>
      <c r="E451" t="s">
        <v>4280</v>
      </c>
    </row>
    <row r="452" spans="1:5" hidden="1" x14ac:dyDescent="0.25">
      <c r="A452" t="s">
        <v>119</v>
      </c>
      <c r="B452" t="s">
        <v>120</v>
      </c>
      <c r="C452" s="1">
        <v>46253</v>
      </c>
      <c r="D452" t="s">
        <v>4257</v>
      </c>
      <c r="E452" t="s">
        <v>4278</v>
      </c>
    </row>
    <row r="453" spans="1:5" hidden="1" x14ac:dyDescent="0.25">
      <c r="A453" t="s">
        <v>167</v>
      </c>
      <c r="B453" t="s">
        <v>168</v>
      </c>
      <c r="C453" s="1">
        <v>46253</v>
      </c>
      <c r="D453" t="s">
        <v>4257</v>
      </c>
      <c r="E453" t="s">
        <v>4277</v>
      </c>
    </row>
    <row r="454" spans="1:5" hidden="1" x14ac:dyDescent="0.25">
      <c r="A454" t="s">
        <v>236</v>
      </c>
      <c r="B454" t="s">
        <v>237</v>
      </c>
      <c r="C454" s="1">
        <v>46253</v>
      </c>
      <c r="D454" t="s">
        <v>4255</v>
      </c>
      <c r="E454" t="s">
        <v>4284</v>
      </c>
    </row>
    <row r="455" spans="1:5" hidden="1" x14ac:dyDescent="0.25">
      <c r="A455" t="s">
        <v>560</v>
      </c>
      <c r="B455" t="s">
        <v>561</v>
      </c>
      <c r="C455" s="1">
        <v>46253</v>
      </c>
      <c r="D455" t="s">
        <v>4255</v>
      </c>
      <c r="E455" t="s">
        <v>4271</v>
      </c>
    </row>
    <row r="456" spans="1:5" hidden="1" x14ac:dyDescent="0.25">
      <c r="A456" t="s">
        <v>199</v>
      </c>
      <c r="B456" t="s">
        <v>200</v>
      </c>
      <c r="C456" s="1">
        <v>46253</v>
      </c>
      <c r="D456" t="s">
        <v>4257</v>
      </c>
      <c r="E456" t="s">
        <v>4277</v>
      </c>
    </row>
    <row r="457" spans="1:5" hidden="1" x14ac:dyDescent="0.25">
      <c r="A457" t="s">
        <v>3662</v>
      </c>
      <c r="B457" t="s">
        <v>3663</v>
      </c>
      <c r="C457" s="1">
        <v>46253</v>
      </c>
      <c r="D457" t="s">
        <v>4255</v>
      </c>
      <c r="E457" t="s">
        <v>4271</v>
      </c>
    </row>
    <row r="458" spans="1:5" hidden="1" x14ac:dyDescent="0.25">
      <c r="A458" t="s">
        <v>45</v>
      </c>
      <c r="B458" t="s">
        <v>46</v>
      </c>
      <c r="C458" s="1">
        <v>46253</v>
      </c>
      <c r="D458" t="s">
        <v>4260</v>
      </c>
      <c r="E458" t="s">
        <v>4283</v>
      </c>
    </row>
    <row r="459" spans="1:5" hidden="1" x14ac:dyDescent="0.25">
      <c r="A459" t="s">
        <v>163</v>
      </c>
      <c r="B459" t="s">
        <v>164</v>
      </c>
      <c r="C459" s="1">
        <v>46253</v>
      </c>
      <c r="D459" t="s">
        <v>4255</v>
      </c>
      <c r="E459" t="s">
        <v>4271</v>
      </c>
    </row>
    <row r="460" spans="1:5" hidden="1" x14ac:dyDescent="0.25">
      <c r="A460" t="s">
        <v>300</v>
      </c>
      <c r="B460" t="s">
        <v>301</v>
      </c>
      <c r="C460" s="1">
        <v>46253</v>
      </c>
      <c r="D460" t="s">
        <v>4258</v>
      </c>
      <c r="E460" t="s">
        <v>4274</v>
      </c>
    </row>
    <row r="461" spans="1:5" hidden="1" x14ac:dyDescent="0.25">
      <c r="A461" t="s">
        <v>240</v>
      </c>
      <c r="B461" t="s">
        <v>241</v>
      </c>
      <c r="C461" s="1">
        <v>46253</v>
      </c>
      <c r="D461" t="s">
        <v>4257</v>
      </c>
      <c r="E461" t="s">
        <v>4277</v>
      </c>
    </row>
    <row r="462" spans="1:5" hidden="1" x14ac:dyDescent="0.25">
      <c r="A462" t="s">
        <v>213</v>
      </c>
      <c r="B462" t="s">
        <v>214</v>
      </c>
      <c r="C462" s="1">
        <v>46253</v>
      </c>
      <c r="D462" t="s">
        <v>4257</v>
      </c>
      <c r="E462" t="s">
        <v>4278</v>
      </c>
    </row>
    <row r="463" spans="1:5" hidden="1" x14ac:dyDescent="0.25">
      <c r="A463" t="s">
        <v>261</v>
      </c>
      <c r="B463" t="s">
        <v>262</v>
      </c>
      <c r="C463" s="1">
        <v>46253</v>
      </c>
      <c r="D463" t="s">
        <v>4260</v>
      </c>
    </row>
    <row r="464" spans="1:5" hidden="1" x14ac:dyDescent="0.25">
      <c r="A464" t="s">
        <v>3427</v>
      </c>
      <c r="B464" t="s">
        <v>4203</v>
      </c>
      <c r="C464" s="1">
        <v>46253</v>
      </c>
    </row>
    <row r="465" spans="1:5" hidden="1" x14ac:dyDescent="0.25">
      <c r="A465" t="s">
        <v>196</v>
      </c>
      <c r="B465" t="s">
        <v>197</v>
      </c>
      <c r="C465" s="1">
        <v>46254</v>
      </c>
      <c r="D465" t="s">
        <v>4257</v>
      </c>
      <c r="E465" t="s">
        <v>4278</v>
      </c>
    </row>
    <row r="466" spans="1:5" hidden="1" x14ac:dyDescent="0.25">
      <c r="A466" t="s">
        <v>103</v>
      </c>
      <c r="B466" t="s">
        <v>104</v>
      </c>
      <c r="C466" s="1">
        <v>46254</v>
      </c>
      <c r="D466" t="s">
        <v>4258</v>
      </c>
      <c r="E466" t="s">
        <v>4285</v>
      </c>
    </row>
    <row r="467" spans="1:5" hidden="1" x14ac:dyDescent="0.25">
      <c r="A467" t="s">
        <v>294</v>
      </c>
      <c r="B467" t="s">
        <v>295</v>
      </c>
      <c r="C467" s="1">
        <v>46254</v>
      </c>
      <c r="D467" t="s">
        <v>4258</v>
      </c>
      <c r="E467" t="s">
        <v>4289</v>
      </c>
    </row>
    <row r="468" spans="1:5" hidden="1" x14ac:dyDescent="0.25">
      <c r="A468" t="s">
        <v>303</v>
      </c>
      <c r="B468" t="s">
        <v>304</v>
      </c>
      <c r="C468" s="1">
        <v>46254</v>
      </c>
      <c r="D468" t="s">
        <v>4257</v>
      </c>
      <c r="E468" t="s">
        <v>4275</v>
      </c>
    </row>
    <row r="469" spans="1:5" hidden="1" x14ac:dyDescent="0.25">
      <c r="A469" t="s">
        <v>4202</v>
      </c>
      <c r="B469" t="s">
        <v>340</v>
      </c>
      <c r="C469" s="1">
        <v>46254</v>
      </c>
      <c r="D469" t="s">
        <v>4257</v>
      </c>
      <c r="E469" t="s">
        <v>4278</v>
      </c>
    </row>
    <row r="470" spans="1:5" hidden="1" x14ac:dyDescent="0.25">
      <c r="A470" t="s">
        <v>73</v>
      </c>
      <c r="B470" t="s">
        <v>74</v>
      </c>
      <c r="C470" s="1">
        <v>46254</v>
      </c>
      <c r="D470" t="s">
        <v>4257</v>
      </c>
      <c r="E470" t="s">
        <v>4278</v>
      </c>
    </row>
    <row r="471" spans="1:5" hidden="1" x14ac:dyDescent="0.25">
      <c r="A471" t="s">
        <v>184</v>
      </c>
      <c r="B471" t="s">
        <v>185</v>
      </c>
      <c r="C471" s="1">
        <v>46254</v>
      </c>
      <c r="D471" t="s">
        <v>4255</v>
      </c>
      <c r="E471" t="s">
        <v>4271</v>
      </c>
    </row>
    <row r="472" spans="1:5" hidden="1" x14ac:dyDescent="0.25">
      <c r="A472" t="s">
        <v>181</v>
      </c>
      <c r="B472" t="s">
        <v>182</v>
      </c>
      <c r="C472" s="1">
        <v>46254</v>
      </c>
      <c r="D472" t="s">
        <v>4260</v>
      </c>
      <c r="E472" t="s">
        <v>4276</v>
      </c>
    </row>
    <row r="473" spans="1:5" hidden="1" x14ac:dyDescent="0.25">
      <c r="A473" t="s">
        <v>285</v>
      </c>
      <c r="B473" t="s">
        <v>286</v>
      </c>
      <c r="C473" s="1">
        <v>46254</v>
      </c>
      <c r="D473" t="s">
        <v>4255</v>
      </c>
      <c r="E473" t="s">
        <v>4271</v>
      </c>
    </row>
    <row r="474" spans="1:5" hidden="1" x14ac:dyDescent="0.25">
      <c r="A474" t="s">
        <v>267</v>
      </c>
      <c r="B474" t="s">
        <v>268</v>
      </c>
      <c r="C474" s="1">
        <v>46254</v>
      </c>
      <c r="D474" t="s">
        <v>4255</v>
      </c>
      <c r="E474" t="s">
        <v>4271</v>
      </c>
    </row>
    <row r="475" spans="1:5" hidden="1" x14ac:dyDescent="0.25">
      <c r="A475" t="s">
        <v>306</v>
      </c>
      <c r="B475" t="s">
        <v>307</v>
      </c>
      <c r="C475" s="1">
        <v>46254</v>
      </c>
      <c r="D475" t="s">
        <v>4257</v>
      </c>
      <c r="E475" t="s">
        <v>4277</v>
      </c>
    </row>
    <row r="476" spans="1:5" hidden="1" x14ac:dyDescent="0.25">
      <c r="A476" t="s">
        <v>85</v>
      </c>
      <c r="B476" t="s">
        <v>86</v>
      </c>
      <c r="C476" s="1">
        <v>46254</v>
      </c>
      <c r="D476" t="s">
        <v>4259</v>
      </c>
      <c r="E476" t="s">
        <v>4280</v>
      </c>
    </row>
    <row r="477" spans="1:5" hidden="1" x14ac:dyDescent="0.25">
      <c r="A477" t="s">
        <v>231</v>
      </c>
      <c r="B477" t="s">
        <v>232</v>
      </c>
      <c r="C477" s="1">
        <v>46254</v>
      </c>
      <c r="D477" t="s">
        <v>4257</v>
      </c>
      <c r="E477" t="s">
        <v>4272</v>
      </c>
    </row>
    <row r="478" spans="1:5" hidden="1" x14ac:dyDescent="0.25">
      <c r="A478" t="s">
        <v>318</v>
      </c>
      <c r="B478" t="s">
        <v>319</v>
      </c>
      <c r="C478" s="1">
        <v>46254</v>
      </c>
      <c r="D478" t="s">
        <v>4258</v>
      </c>
      <c r="E478" t="s">
        <v>4288</v>
      </c>
    </row>
    <row r="479" spans="1:5" hidden="1" x14ac:dyDescent="0.25">
      <c r="A479" t="s">
        <v>1427</v>
      </c>
      <c r="B479" t="s">
        <v>1428</v>
      </c>
      <c r="C479" s="1">
        <v>46254</v>
      </c>
      <c r="D479" t="s">
        <v>4260</v>
      </c>
      <c r="E479" t="s">
        <v>4281</v>
      </c>
    </row>
    <row r="480" spans="1:5" hidden="1" x14ac:dyDescent="0.25">
      <c r="A480" t="s">
        <v>222</v>
      </c>
      <c r="B480" t="s">
        <v>223</v>
      </c>
      <c r="C480" s="1">
        <v>46254</v>
      </c>
      <c r="D480" t="s">
        <v>4258</v>
      </c>
      <c r="E480" t="s">
        <v>4274</v>
      </c>
    </row>
    <row r="481" spans="1:5" hidden="1" x14ac:dyDescent="0.25">
      <c r="A481" t="s">
        <v>150</v>
      </c>
      <c r="B481" t="s">
        <v>151</v>
      </c>
      <c r="C481" s="1">
        <v>46254</v>
      </c>
      <c r="D481" t="s">
        <v>4257</v>
      </c>
      <c r="E481" t="s">
        <v>4277</v>
      </c>
    </row>
    <row r="482" spans="1:5" hidden="1" x14ac:dyDescent="0.25">
      <c r="A482" t="s">
        <v>17</v>
      </c>
      <c r="B482" t="s">
        <v>18</v>
      </c>
      <c r="C482" s="1">
        <v>46254</v>
      </c>
      <c r="D482" t="s">
        <v>4258</v>
      </c>
      <c r="E482" t="s">
        <v>4285</v>
      </c>
    </row>
    <row r="483" spans="1:5" hidden="1" x14ac:dyDescent="0.25">
      <c r="A483" t="s">
        <v>261</v>
      </c>
      <c r="B483" t="s">
        <v>262</v>
      </c>
      <c r="C483" s="1">
        <v>46254</v>
      </c>
      <c r="D483" t="s">
        <v>4260</v>
      </c>
      <c r="E483" t="s">
        <v>4283</v>
      </c>
    </row>
    <row r="484" spans="1:5" hidden="1" x14ac:dyDescent="0.25">
      <c r="A484" t="s">
        <v>228</v>
      </c>
      <c r="B484" t="s">
        <v>229</v>
      </c>
      <c r="C484" s="1">
        <v>46254</v>
      </c>
      <c r="D484" t="s">
        <v>4258</v>
      </c>
      <c r="E484" t="s">
        <v>4285</v>
      </c>
    </row>
    <row r="485" spans="1:5" hidden="1" x14ac:dyDescent="0.25">
      <c r="A485" t="s">
        <v>251</v>
      </c>
      <c r="B485" t="s">
        <v>252</v>
      </c>
      <c r="C485" s="1">
        <v>46254</v>
      </c>
      <c r="D485" t="s">
        <v>4259</v>
      </c>
      <c r="E485" t="s">
        <v>4280</v>
      </c>
    </row>
    <row r="486" spans="1:5" hidden="1" x14ac:dyDescent="0.25">
      <c r="A486" t="s">
        <v>119</v>
      </c>
      <c r="B486" t="s">
        <v>120</v>
      </c>
      <c r="C486" s="1">
        <v>46254</v>
      </c>
      <c r="D486" t="s">
        <v>4257</v>
      </c>
      <c r="E486" t="s">
        <v>4278</v>
      </c>
    </row>
    <row r="487" spans="1:5" hidden="1" x14ac:dyDescent="0.25">
      <c r="A487" t="s">
        <v>167</v>
      </c>
      <c r="B487" t="s">
        <v>168</v>
      </c>
      <c r="C487" s="1">
        <v>46254</v>
      </c>
      <c r="D487" t="s">
        <v>4257</v>
      </c>
      <c r="E487" t="s">
        <v>4277</v>
      </c>
    </row>
    <row r="488" spans="1:5" hidden="1" x14ac:dyDescent="0.25">
      <c r="A488" t="s">
        <v>236</v>
      </c>
      <c r="B488" t="s">
        <v>237</v>
      </c>
      <c r="C488" s="1">
        <v>46254</v>
      </c>
      <c r="D488" t="s">
        <v>4255</v>
      </c>
      <c r="E488" t="s">
        <v>4284</v>
      </c>
    </row>
    <row r="489" spans="1:5" hidden="1" x14ac:dyDescent="0.25">
      <c r="A489" t="s">
        <v>560</v>
      </c>
      <c r="B489" t="s">
        <v>561</v>
      </c>
      <c r="C489" s="1">
        <v>46254</v>
      </c>
      <c r="D489" t="s">
        <v>4255</v>
      </c>
      <c r="E489" t="s">
        <v>4271</v>
      </c>
    </row>
    <row r="490" spans="1:5" hidden="1" x14ac:dyDescent="0.25">
      <c r="A490" t="s">
        <v>199</v>
      </c>
      <c r="B490" t="s">
        <v>200</v>
      </c>
      <c r="C490" s="1">
        <v>46254</v>
      </c>
      <c r="D490" t="s">
        <v>4257</v>
      </c>
      <c r="E490" t="s">
        <v>4277</v>
      </c>
    </row>
    <row r="491" spans="1:5" hidden="1" x14ac:dyDescent="0.25">
      <c r="A491" t="s">
        <v>3662</v>
      </c>
      <c r="B491" t="s">
        <v>3663</v>
      </c>
      <c r="C491" s="1">
        <v>46254</v>
      </c>
      <c r="D491" t="s">
        <v>4255</v>
      </c>
      <c r="E491" t="s">
        <v>4271</v>
      </c>
    </row>
    <row r="492" spans="1:5" hidden="1" x14ac:dyDescent="0.25">
      <c r="A492" t="s">
        <v>45</v>
      </c>
      <c r="B492" t="s">
        <v>46</v>
      </c>
      <c r="C492" s="1">
        <v>46254</v>
      </c>
      <c r="D492" t="s">
        <v>4260</v>
      </c>
      <c r="E492" t="s">
        <v>4283</v>
      </c>
    </row>
    <row r="493" spans="1:5" hidden="1" x14ac:dyDescent="0.25">
      <c r="A493" t="s">
        <v>163</v>
      </c>
      <c r="B493" t="s">
        <v>164</v>
      </c>
      <c r="C493" s="1">
        <v>46254</v>
      </c>
      <c r="D493" t="s">
        <v>4255</v>
      </c>
      <c r="E493" t="s">
        <v>4271</v>
      </c>
    </row>
    <row r="494" spans="1:5" hidden="1" x14ac:dyDescent="0.25">
      <c r="A494" t="s">
        <v>300</v>
      </c>
      <c r="B494" t="s">
        <v>301</v>
      </c>
      <c r="C494" s="1">
        <v>46254</v>
      </c>
      <c r="D494" t="s">
        <v>4258</v>
      </c>
      <c r="E494" t="s">
        <v>4274</v>
      </c>
    </row>
    <row r="495" spans="1:5" hidden="1" x14ac:dyDescent="0.25">
      <c r="A495" t="s">
        <v>240</v>
      </c>
      <c r="B495" t="s">
        <v>241</v>
      </c>
      <c r="C495" s="1">
        <v>46254</v>
      </c>
      <c r="D495" t="s">
        <v>4257</v>
      </c>
      <c r="E495" t="s">
        <v>4277</v>
      </c>
    </row>
    <row r="496" spans="1:5" hidden="1" x14ac:dyDescent="0.25">
      <c r="A496" t="s">
        <v>213</v>
      </c>
      <c r="B496" t="s">
        <v>214</v>
      </c>
      <c r="C496" s="1">
        <v>46254</v>
      </c>
      <c r="D496" t="s">
        <v>4257</v>
      </c>
      <c r="E496" t="s">
        <v>4278</v>
      </c>
    </row>
    <row r="497" spans="1:5" hidden="1" x14ac:dyDescent="0.25">
      <c r="A497" t="s">
        <v>3427</v>
      </c>
      <c r="B497" t="s">
        <v>4203</v>
      </c>
      <c r="C497" s="1">
        <v>46254</v>
      </c>
      <c r="D497" t="s">
        <v>4259</v>
      </c>
    </row>
    <row r="498" spans="1:5" hidden="1" x14ac:dyDescent="0.25">
      <c r="A498" t="s">
        <v>196</v>
      </c>
      <c r="B498" t="s">
        <v>197</v>
      </c>
      <c r="C498" s="1">
        <v>46255</v>
      </c>
      <c r="D498" t="s">
        <v>4257</v>
      </c>
      <c r="E498" t="s">
        <v>4278</v>
      </c>
    </row>
    <row r="499" spans="1:5" hidden="1" x14ac:dyDescent="0.25">
      <c r="A499" t="s">
        <v>103</v>
      </c>
      <c r="B499" t="s">
        <v>104</v>
      </c>
      <c r="C499" s="1">
        <v>46255</v>
      </c>
      <c r="D499" t="s">
        <v>4258</v>
      </c>
      <c r="E499" t="s">
        <v>4285</v>
      </c>
    </row>
    <row r="500" spans="1:5" hidden="1" x14ac:dyDescent="0.25">
      <c r="A500" t="s">
        <v>294</v>
      </c>
      <c r="B500" t="s">
        <v>295</v>
      </c>
      <c r="C500" s="1">
        <v>46255</v>
      </c>
      <c r="D500" t="s">
        <v>4258</v>
      </c>
      <c r="E500" t="s">
        <v>4289</v>
      </c>
    </row>
    <row r="501" spans="1:5" hidden="1" x14ac:dyDescent="0.25">
      <c r="A501" t="s">
        <v>303</v>
      </c>
      <c r="B501" t="s">
        <v>304</v>
      </c>
      <c r="C501" s="1">
        <v>46255</v>
      </c>
      <c r="D501" t="s">
        <v>4257</v>
      </c>
      <c r="E501" t="s">
        <v>4275</v>
      </c>
    </row>
    <row r="502" spans="1:5" hidden="1" x14ac:dyDescent="0.25">
      <c r="A502" t="s">
        <v>4202</v>
      </c>
      <c r="B502" t="s">
        <v>340</v>
      </c>
      <c r="C502" s="1">
        <v>46255</v>
      </c>
      <c r="D502" t="s">
        <v>4257</v>
      </c>
      <c r="E502" t="s">
        <v>4278</v>
      </c>
    </row>
    <row r="503" spans="1:5" hidden="1" x14ac:dyDescent="0.25">
      <c r="A503" t="s">
        <v>73</v>
      </c>
      <c r="B503" t="s">
        <v>74</v>
      </c>
      <c r="C503" s="1">
        <v>46255</v>
      </c>
      <c r="D503" t="s">
        <v>4257</v>
      </c>
      <c r="E503" t="s">
        <v>4278</v>
      </c>
    </row>
    <row r="504" spans="1:5" hidden="1" x14ac:dyDescent="0.25">
      <c r="A504" t="s">
        <v>184</v>
      </c>
      <c r="B504" t="s">
        <v>185</v>
      </c>
      <c r="C504" s="1">
        <v>46255</v>
      </c>
      <c r="D504" t="s">
        <v>4255</v>
      </c>
      <c r="E504" t="s">
        <v>4271</v>
      </c>
    </row>
    <row r="505" spans="1:5" hidden="1" x14ac:dyDescent="0.25">
      <c r="A505" t="s">
        <v>181</v>
      </c>
      <c r="B505" t="s">
        <v>182</v>
      </c>
      <c r="C505" s="1">
        <v>46255</v>
      </c>
      <c r="D505" t="s">
        <v>4260</v>
      </c>
      <c r="E505" t="s">
        <v>4276</v>
      </c>
    </row>
    <row r="506" spans="1:5" hidden="1" x14ac:dyDescent="0.25">
      <c r="A506" t="s">
        <v>285</v>
      </c>
      <c r="B506" t="s">
        <v>286</v>
      </c>
      <c r="C506" s="1">
        <v>46255</v>
      </c>
      <c r="D506" t="s">
        <v>4255</v>
      </c>
      <c r="E506" t="s">
        <v>4271</v>
      </c>
    </row>
    <row r="507" spans="1:5" hidden="1" x14ac:dyDescent="0.25">
      <c r="A507" t="s">
        <v>267</v>
      </c>
      <c r="B507" t="s">
        <v>268</v>
      </c>
      <c r="C507" s="1">
        <v>46255</v>
      </c>
      <c r="D507" t="s">
        <v>4255</v>
      </c>
      <c r="E507" t="s">
        <v>4271</v>
      </c>
    </row>
    <row r="508" spans="1:5" hidden="1" x14ac:dyDescent="0.25">
      <c r="A508" t="s">
        <v>306</v>
      </c>
      <c r="B508" t="s">
        <v>307</v>
      </c>
      <c r="C508" s="1">
        <v>46255</v>
      </c>
      <c r="D508" t="s">
        <v>4257</v>
      </c>
      <c r="E508" t="s">
        <v>4277</v>
      </c>
    </row>
    <row r="509" spans="1:5" hidden="1" x14ac:dyDescent="0.25">
      <c r="A509" t="s">
        <v>85</v>
      </c>
      <c r="B509" t="s">
        <v>86</v>
      </c>
      <c r="C509" s="1">
        <v>46255</v>
      </c>
      <c r="D509" t="s">
        <v>4259</v>
      </c>
      <c r="E509" t="s">
        <v>4280</v>
      </c>
    </row>
    <row r="510" spans="1:5" hidden="1" x14ac:dyDescent="0.25">
      <c r="A510" t="s">
        <v>231</v>
      </c>
      <c r="B510" t="s">
        <v>232</v>
      </c>
      <c r="C510" s="1">
        <v>46255</v>
      </c>
      <c r="D510" t="s">
        <v>4257</v>
      </c>
      <c r="E510" t="s">
        <v>4272</v>
      </c>
    </row>
    <row r="511" spans="1:5" hidden="1" x14ac:dyDescent="0.25">
      <c r="A511" t="s">
        <v>318</v>
      </c>
      <c r="B511" t="s">
        <v>319</v>
      </c>
      <c r="C511" s="1">
        <v>46255</v>
      </c>
      <c r="D511" t="s">
        <v>4258</v>
      </c>
      <c r="E511" t="s">
        <v>4288</v>
      </c>
    </row>
    <row r="512" spans="1:5" hidden="1" x14ac:dyDescent="0.25">
      <c r="A512" t="s">
        <v>1427</v>
      </c>
      <c r="B512" t="s">
        <v>1428</v>
      </c>
      <c r="C512" s="1">
        <v>46255</v>
      </c>
      <c r="D512" t="s">
        <v>4260</v>
      </c>
      <c r="E512" t="s">
        <v>4281</v>
      </c>
    </row>
    <row r="513" spans="1:5" hidden="1" x14ac:dyDescent="0.25">
      <c r="A513" t="s">
        <v>222</v>
      </c>
      <c r="B513" t="s">
        <v>223</v>
      </c>
      <c r="C513" s="1">
        <v>46255</v>
      </c>
      <c r="D513" t="s">
        <v>4258</v>
      </c>
      <c r="E513" t="s">
        <v>4274</v>
      </c>
    </row>
    <row r="514" spans="1:5" hidden="1" x14ac:dyDescent="0.25">
      <c r="A514" t="s">
        <v>150</v>
      </c>
      <c r="B514" t="s">
        <v>151</v>
      </c>
      <c r="C514" s="1">
        <v>46255</v>
      </c>
      <c r="D514" t="s">
        <v>4257</v>
      </c>
      <c r="E514" t="s">
        <v>4277</v>
      </c>
    </row>
    <row r="515" spans="1:5" hidden="1" x14ac:dyDescent="0.25">
      <c r="A515" t="s">
        <v>17</v>
      </c>
      <c r="B515" t="s">
        <v>18</v>
      </c>
      <c r="C515" s="1">
        <v>46255</v>
      </c>
      <c r="D515" t="s">
        <v>4258</v>
      </c>
      <c r="E515" t="s">
        <v>4285</v>
      </c>
    </row>
    <row r="516" spans="1:5" hidden="1" x14ac:dyDescent="0.25">
      <c r="A516" t="s">
        <v>228</v>
      </c>
      <c r="B516" t="s">
        <v>229</v>
      </c>
      <c r="C516" s="1">
        <v>46255</v>
      </c>
      <c r="D516" t="s">
        <v>4258</v>
      </c>
      <c r="E516" t="s">
        <v>4285</v>
      </c>
    </row>
    <row r="517" spans="1:5" hidden="1" x14ac:dyDescent="0.25">
      <c r="A517" t="s">
        <v>251</v>
      </c>
      <c r="B517" t="s">
        <v>252</v>
      </c>
      <c r="C517" s="1">
        <v>46255</v>
      </c>
      <c r="D517" t="s">
        <v>4259</v>
      </c>
      <c r="E517" t="s">
        <v>4280</v>
      </c>
    </row>
    <row r="518" spans="1:5" hidden="1" x14ac:dyDescent="0.25">
      <c r="A518" t="s">
        <v>119</v>
      </c>
      <c r="B518" t="s">
        <v>120</v>
      </c>
      <c r="C518" s="1">
        <v>46255</v>
      </c>
      <c r="D518" t="s">
        <v>4257</v>
      </c>
      <c r="E518" t="s">
        <v>4278</v>
      </c>
    </row>
    <row r="519" spans="1:5" hidden="1" x14ac:dyDescent="0.25">
      <c r="A519" t="s">
        <v>167</v>
      </c>
      <c r="B519" t="s">
        <v>168</v>
      </c>
      <c r="C519" s="1">
        <v>46255</v>
      </c>
      <c r="D519" t="s">
        <v>4257</v>
      </c>
      <c r="E519" t="s">
        <v>4277</v>
      </c>
    </row>
    <row r="520" spans="1:5" hidden="1" x14ac:dyDescent="0.25">
      <c r="A520" t="s">
        <v>236</v>
      </c>
      <c r="B520" t="s">
        <v>237</v>
      </c>
      <c r="C520" s="1">
        <v>46255</v>
      </c>
      <c r="D520" t="s">
        <v>4255</v>
      </c>
      <c r="E520" t="s">
        <v>4284</v>
      </c>
    </row>
    <row r="521" spans="1:5" hidden="1" x14ac:dyDescent="0.25">
      <c r="A521" t="s">
        <v>560</v>
      </c>
      <c r="B521" t="s">
        <v>561</v>
      </c>
      <c r="C521" s="1">
        <v>46255</v>
      </c>
      <c r="D521" t="s">
        <v>4255</v>
      </c>
      <c r="E521" t="s">
        <v>4271</v>
      </c>
    </row>
    <row r="522" spans="1:5" hidden="1" x14ac:dyDescent="0.25">
      <c r="A522" t="s">
        <v>199</v>
      </c>
      <c r="B522" t="s">
        <v>200</v>
      </c>
      <c r="C522" s="1">
        <v>46255</v>
      </c>
      <c r="D522" t="s">
        <v>4257</v>
      </c>
      <c r="E522" t="s">
        <v>4277</v>
      </c>
    </row>
    <row r="523" spans="1:5" hidden="1" x14ac:dyDescent="0.25">
      <c r="A523" t="s">
        <v>3662</v>
      </c>
      <c r="B523" t="s">
        <v>3663</v>
      </c>
      <c r="C523" s="1">
        <v>46255</v>
      </c>
      <c r="D523" t="s">
        <v>4255</v>
      </c>
      <c r="E523" t="s">
        <v>4271</v>
      </c>
    </row>
    <row r="524" spans="1:5" hidden="1" x14ac:dyDescent="0.25">
      <c r="A524" t="s">
        <v>45</v>
      </c>
      <c r="B524" t="s">
        <v>46</v>
      </c>
      <c r="C524" s="1">
        <v>46255</v>
      </c>
      <c r="D524" t="s">
        <v>4260</v>
      </c>
      <c r="E524" t="s">
        <v>4283</v>
      </c>
    </row>
    <row r="525" spans="1:5" hidden="1" x14ac:dyDescent="0.25">
      <c r="A525" t="s">
        <v>163</v>
      </c>
      <c r="B525" t="s">
        <v>164</v>
      </c>
      <c r="C525" s="1">
        <v>46255</v>
      </c>
      <c r="D525" t="s">
        <v>4255</v>
      </c>
      <c r="E525" t="s">
        <v>4271</v>
      </c>
    </row>
    <row r="526" spans="1:5" hidden="1" x14ac:dyDescent="0.25">
      <c r="A526" t="s">
        <v>300</v>
      </c>
      <c r="B526" t="s">
        <v>301</v>
      </c>
      <c r="C526" s="1">
        <v>46255</v>
      </c>
      <c r="D526" t="s">
        <v>4258</v>
      </c>
      <c r="E526" t="s">
        <v>4274</v>
      </c>
    </row>
    <row r="527" spans="1:5" hidden="1" x14ac:dyDescent="0.25">
      <c r="A527" t="s">
        <v>240</v>
      </c>
      <c r="B527" t="s">
        <v>241</v>
      </c>
      <c r="C527" s="1">
        <v>46255</v>
      </c>
      <c r="D527" t="s">
        <v>4257</v>
      </c>
      <c r="E527" t="s">
        <v>4277</v>
      </c>
    </row>
    <row r="528" spans="1:5" hidden="1" x14ac:dyDescent="0.25">
      <c r="A528" t="s">
        <v>213</v>
      </c>
      <c r="B528" t="s">
        <v>214</v>
      </c>
      <c r="C528" s="1">
        <v>46255</v>
      </c>
      <c r="D528" t="s">
        <v>4257</v>
      </c>
      <c r="E528" t="s">
        <v>4278</v>
      </c>
    </row>
    <row r="529" spans="1:5" hidden="1" x14ac:dyDescent="0.25">
      <c r="A529" t="s">
        <v>261</v>
      </c>
      <c r="B529" t="s">
        <v>262</v>
      </c>
      <c r="C529" s="1">
        <v>46255</v>
      </c>
      <c r="D529" t="s">
        <v>4260</v>
      </c>
      <c r="E529" t="s">
        <v>4283</v>
      </c>
    </row>
    <row r="530" spans="1:5" hidden="1" x14ac:dyDescent="0.25">
      <c r="A530" t="s">
        <v>196</v>
      </c>
      <c r="B530" t="s">
        <v>197</v>
      </c>
      <c r="C530" s="1">
        <v>46256</v>
      </c>
      <c r="D530" t="s">
        <v>4257</v>
      </c>
      <c r="E530" t="s">
        <v>4278</v>
      </c>
    </row>
    <row r="531" spans="1:5" hidden="1" x14ac:dyDescent="0.25">
      <c r="A531" t="s">
        <v>103</v>
      </c>
      <c r="B531" t="s">
        <v>104</v>
      </c>
      <c r="C531" s="1">
        <v>46256</v>
      </c>
      <c r="D531" t="s">
        <v>4258</v>
      </c>
      <c r="E531" t="s">
        <v>4285</v>
      </c>
    </row>
    <row r="532" spans="1:5" hidden="1" x14ac:dyDescent="0.25">
      <c r="A532" t="s">
        <v>294</v>
      </c>
      <c r="B532" t="s">
        <v>295</v>
      </c>
      <c r="C532" s="1">
        <v>46256</v>
      </c>
      <c r="D532" t="s">
        <v>4258</v>
      </c>
      <c r="E532" t="s">
        <v>4289</v>
      </c>
    </row>
    <row r="533" spans="1:5" hidden="1" x14ac:dyDescent="0.25">
      <c r="A533" t="s">
        <v>303</v>
      </c>
      <c r="B533" t="s">
        <v>304</v>
      </c>
      <c r="C533" s="1">
        <v>46256</v>
      </c>
      <c r="D533" t="s">
        <v>4257</v>
      </c>
      <c r="E533" t="s">
        <v>4275</v>
      </c>
    </row>
    <row r="534" spans="1:5" hidden="1" x14ac:dyDescent="0.25">
      <c r="A534" t="s">
        <v>73</v>
      </c>
      <c r="B534" t="s">
        <v>74</v>
      </c>
      <c r="C534" s="1">
        <v>46256</v>
      </c>
      <c r="D534" t="s">
        <v>4257</v>
      </c>
      <c r="E534" t="s">
        <v>4278</v>
      </c>
    </row>
    <row r="535" spans="1:5" hidden="1" x14ac:dyDescent="0.25">
      <c r="A535" t="s">
        <v>184</v>
      </c>
      <c r="B535" t="s">
        <v>185</v>
      </c>
      <c r="C535" s="1">
        <v>46256</v>
      </c>
      <c r="D535" t="s">
        <v>4255</v>
      </c>
      <c r="E535" t="s">
        <v>4271</v>
      </c>
    </row>
    <row r="536" spans="1:5" hidden="1" x14ac:dyDescent="0.25">
      <c r="A536" t="s">
        <v>181</v>
      </c>
      <c r="B536" t="s">
        <v>182</v>
      </c>
      <c r="C536" s="1">
        <v>46256</v>
      </c>
      <c r="D536" t="s">
        <v>4260</v>
      </c>
      <c r="E536" t="s">
        <v>4276</v>
      </c>
    </row>
    <row r="537" spans="1:5" hidden="1" x14ac:dyDescent="0.25">
      <c r="A537" t="s">
        <v>285</v>
      </c>
      <c r="B537" t="s">
        <v>286</v>
      </c>
      <c r="C537" s="1">
        <v>46256</v>
      </c>
      <c r="D537" t="s">
        <v>4255</v>
      </c>
      <c r="E537" t="s">
        <v>4271</v>
      </c>
    </row>
    <row r="538" spans="1:5" hidden="1" x14ac:dyDescent="0.25">
      <c r="A538" t="s">
        <v>267</v>
      </c>
      <c r="B538" t="s">
        <v>268</v>
      </c>
      <c r="C538" s="1">
        <v>46256</v>
      </c>
      <c r="D538" t="s">
        <v>4255</v>
      </c>
      <c r="E538" t="s">
        <v>4271</v>
      </c>
    </row>
    <row r="539" spans="1:5" hidden="1" x14ac:dyDescent="0.25">
      <c r="A539" t="s">
        <v>306</v>
      </c>
      <c r="B539" t="s">
        <v>307</v>
      </c>
      <c r="C539" s="1">
        <v>46256</v>
      </c>
      <c r="D539" t="s">
        <v>4257</v>
      </c>
      <c r="E539" t="s">
        <v>4277</v>
      </c>
    </row>
    <row r="540" spans="1:5" hidden="1" x14ac:dyDescent="0.25">
      <c r="A540" t="s">
        <v>85</v>
      </c>
      <c r="B540" t="s">
        <v>86</v>
      </c>
      <c r="C540" s="1">
        <v>46256</v>
      </c>
      <c r="D540" t="s">
        <v>4259</v>
      </c>
      <c r="E540" t="s">
        <v>4280</v>
      </c>
    </row>
    <row r="541" spans="1:5" hidden="1" x14ac:dyDescent="0.25">
      <c r="A541" t="s">
        <v>231</v>
      </c>
      <c r="B541" t="s">
        <v>232</v>
      </c>
      <c r="C541" s="1">
        <v>46256</v>
      </c>
      <c r="D541" t="s">
        <v>4257</v>
      </c>
      <c r="E541" t="s">
        <v>4272</v>
      </c>
    </row>
    <row r="542" spans="1:5" hidden="1" x14ac:dyDescent="0.25">
      <c r="A542" t="s">
        <v>318</v>
      </c>
      <c r="B542" t="s">
        <v>319</v>
      </c>
      <c r="C542" s="1">
        <v>46256</v>
      </c>
      <c r="D542" t="s">
        <v>4258</v>
      </c>
      <c r="E542" t="s">
        <v>4288</v>
      </c>
    </row>
    <row r="543" spans="1:5" hidden="1" x14ac:dyDescent="0.25">
      <c r="A543" t="s">
        <v>1427</v>
      </c>
      <c r="B543" t="s">
        <v>1428</v>
      </c>
      <c r="C543" s="1">
        <v>46256</v>
      </c>
      <c r="D543" t="s">
        <v>4260</v>
      </c>
      <c r="E543" t="s">
        <v>4281</v>
      </c>
    </row>
    <row r="544" spans="1:5" hidden="1" x14ac:dyDescent="0.25">
      <c r="A544" t="s">
        <v>222</v>
      </c>
      <c r="B544" t="s">
        <v>223</v>
      </c>
      <c r="C544" s="1">
        <v>46256</v>
      </c>
      <c r="D544" t="s">
        <v>4258</v>
      </c>
      <c r="E544" t="s">
        <v>4274</v>
      </c>
    </row>
    <row r="545" spans="1:5" hidden="1" x14ac:dyDescent="0.25">
      <c r="A545" t="s">
        <v>261</v>
      </c>
      <c r="B545" t="s">
        <v>262</v>
      </c>
      <c r="C545" s="1">
        <v>46256</v>
      </c>
      <c r="D545" t="s">
        <v>4259</v>
      </c>
      <c r="E545" t="s">
        <v>4280</v>
      </c>
    </row>
    <row r="546" spans="1:5" hidden="1" x14ac:dyDescent="0.25">
      <c r="A546" t="s">
        <v>150</v>
      </c>
      <c r="B546" t="s">
        <v>151</v>
      </c>
      <c r="C546" s="1">
        <v>46256</v>
      </c>
      <c r="D546" t="s">
        <v>4257</v>
      </c>
      <c r="E546" t="s">
        <v>4277</v>
      </c>
    </row>
    <row r="547" spans="1:5" hidden="1" x14ac:dyDescent="0.25">
      <c r="A547" t="s">
        <v>17</v>
      </c>
      <c r="B547" t="s">
        <v>18</v>
      </c>
      <c r="C547" s="1">
        <v>46256</v>
      </c>
      <c r="D547" t="s">
        <v>4258</v>
      </c>
      <c r="E547" t="s">
        <v>4285</v>
      </c>
    </row>
    <row r="548" spans="1:5" hidden="1" x14ac:dyDescent="0.25">
      <c r="A548" t="s">
        <v>228</v>
      </c>
      <c r="B548" t="s">
        <v>229</v>
      </c>
      <c r="C548" s="1">
        <v>46256</v>
      </c>
      <c r="D548" t="s">
        <v>4258</v>
      </c>
      <c r="E548" t="s">
        <v>4285</v>
      </c>
    </row>
    <row r="549" spans="1:5" hidden="1" x14ac:dyDescent="0.25">
      <c r="A549" t="s">
        <v>251</v>
      </c>
      <c r="B549" t="s">
        <v>252</v>
      </c>
      <c r="C549" s="1">
        <v>46256</v>
      </c>
      <c r="D549" t="s">
        <v>4259</v>
      </c>
      <c r="E549" t="s">
        <v>4280</v>
      </c>
    </row>
    <row r="550" spans="1:5" hidden="1" x14ac:dyDescent="0.25">
      <c r="A550" t="s">
        <v>119</v>
      </c>
      <c r="B550" t="s">
        <v>120</v>
      </c>
      <c r="C550" s="1">
        <v>46256</v>
      </c>
      <c r="D550" t="s">
        <v>4257</v>
      </c>
      <c r="E550" t="s">
        <v>4278</v>
      </c>
    </row>
    <row r="551" spans="1:5" hidden="1" x14ac:dyDescent="0.25">
      <c r="A551" t="s">
        <v>167</v>
      </c>
      <c r="B551" t="s">
        <v>168</v>
      </c>
      <c r="C551" s="1">
        <v>46256</v>
      </c>
      <c r="D551" t="s">
        <v>4257</v>
      </c>
      <c r="E551" t="s">
        <v>4277</v>
      </c>
    </row>
    <row r="552" spans="1:5" hidden="1" x14ac:dyDescent="0.25">
      <c r="A552" t="s">
        <v>236</v>
      </c>
      <c r="B552" t="s">
        <v>237</v>
      </c>
      <c r="C552" s="1">
        <v>46256</v>
      </c>
      <c r="D552" t="s">
        <v>4255</v>
      </c>
      <c r="E552" t="s">
        <v>4284</v>
      </c>
    </row>
    <row r="553" spans="1:5" hidden="1" x14ac:dyDescent="0.25">
      <c r="A553" t="s">
        <v>560</v>
      </c>
      <c r="B553" t="s">
        <v>561</v>
      </c>
      <c r="C553" s="1">
        <v>46256</v>
      </c>
      <c r="D553" t="s">
        <v>4255</v>
      </c>
      <c r="E553" t="s">
        <v>4271</v>
      </c>
    </row>
    <row r="554" spans="1:5" hidden="1" x14ac:dyDescent="0.25">
      <c r="A554" t="s">
        <v>199</v>
      </c>
      <c r="B554" t="s">
        <v>200</v>
      </c>
      <c r="C554" s="1">
        <v>46256</v>
      </c>
      <c r="D554" t="s">
        <v>4257</v>
      </c>
      <c r="E554" t="s">
        <v>4277</v>
      </c>
    </row>
    <row r="555" spans="1:5" hidden="1" x14ac:dyDescent="0.25">
      <c r="A555" t="s">
        <v>3662</v>
      </c>
      <c r="B555" t="s">
        <v>3663</v>
      </c>
      <c r="C555" s="1">
        <v>46256</v>
      </c>
      <c r="D555" t="s">
        <v>4255</v>
      </c>
      <c r="E555" t="s">
        <v>4271</v>
      </c>
    </row>
    <row r="556" spans="1:5" hidden="1" x14ac:dyDescent="0.25">
      <c r="A556" t="s">
        <v>45</v>
      </c>
      <c r="B556" t="s">
        <v>46</v>
      </c>
      <c r="C556" s="1">
        <v>46256</v>
      </c>
      <c r="D556" t="s">
        <v>4260</v>
      </c>
      <c r="E556" t="s">
        <v>4283</v>
      </c>
    </row>
    <row r="557" spans="1:5" hidden="1" x14ac:dyDescent="0.25">
      <c r="A557" t="s">
        <v>163</v>
      </c>
      <c r="B557" t="s">
        <v>164</v>
      </c>
      <c r="C557" s="1">
        <v>46256</v>
      </c>
      <c r="D557" t="s">
        <v>4255</v>
      </c>
      <c r="E557" t="s">
        <v>4271</v>
      </c>
    </row>
    <row r="558" spans="1:5" hidden="1" x14ac:dyDescent="0.25">
      <c r="A558" t="s">
        <v>300</v>
      </c>
      <c r="B558" t="s">
        <v>301</v>
      </c>
      <c r="C558" s="1">
        <v>46256</v>
      </c>
      <c r="D558" t="s">
        <v>4258</v>
      </c>
      <c r="E558" t="s">
        <v>4274</v>
      </c>
    </row>
    <row r="559" spans="1:5" hidden="1" x14ac:dyDescent="0.25">
      <c r="A559" t="s">
        <v>240</v>
      </c>
      <c r="B559" t="s">
        <v>241</v>
      </c>
      <c r="C559" s="1">
        <v>46256</v>
      </c>
      <c r="D559" t="s">
        <v>4257</v>
      </c>
      <c r="E559" t="s">
        <v>4277</v>
      </c>
    </row>
    <row r="560" spans="1:5" hidden="1" x14ac:dyDescent="0.25">
      <c r="A560" t="s">
        <v>213</v>
      </c>
      <c r="B560" t="s">
        <v>214</v>
      </c>
      <c r="C560" s="1">
        <v>46256</v>
      </c>
      <c r="D560" t="s">
        <v>4257</v>
      </c>
      <c r="E560" t="s">
        <v>4278</v>
      </c>
    </row>
    <row r="561" spans="1:5" hidden="1" x14ac:dyDescent="0.25">
      <c r="A561" t="s">
        <v>196</v>
      </c>
      <c r="B561" t="s">
        <v>197</v>
      </c>
      <c r="C561" s="1">
        <v>46258</v>
      </c>
      <c r="D561" t="s">
        <v>4257</v>
      </c>
      <c r="E561" t="s">
        <v>4278</v>
      </c>
    </row>
    <row r="562" spans="1:5" hidden="1" x14ac:dyDescent="0.25">
      <c r="A562" t="s">
        <v>103</v>
      </c>
      <c r="B562" t="s">
        <v>104</v>
      </c>
      <c r="C562" s="1">
        <v>46258</v>
      </c>
      <c r="D562" t="s">
        <v>4258</v>
      </c>
      <c r="E562" t="s">
        <v>4285</v>
      </c>
    </row>
    <row r="563" spans="1:5" hidden="1" x14ac:dyDescent="0.25">
      <c r="A563" t="s">
        <v>294</v>
      </c>
      <c r="B563" t="s">
        <v>295</v>
      </c>
      <c r="C563" s="1">
        <v>46258</v>
      </c>
      <c r="D563" t="s">
        <v>4258</v>
      </c>
      <c r="E563" t="s">
        <v>4289</v>
      </c>
    </row>
    <row r="564" spans="1:5" hidden="1" x14ac:dyDescent="0.25">
      <c r="A564" t="s">
        <v>303</v>
      </c>
      <c r="B564" t="s">
        <v>304</v>
      </c>
      <c r="C564" s="1">
        <v>46258</v>
      </c>
      <c r="D564" t="s">
        <v>4257</v>
      </c>
      <c r="E564" t="s">
        <v>4275</v>
      </c>
    </row>
    <row r="565" spans="1:5" hidden="1" x14ac:dyDescent="0.25">
      <c r="A565" t="s">
        <v>73</v>
      </c>
      <c r="B565" t="s">
        <v>74</v>
      </c>
      <c r="C565" s="1">
        <v>46258</v>
      </c>
      <c r="D565" t="s">
        <v>4257</v>
      </c>
      <c r="E565" t="s">
        <v>4278</v>
      </c>
    </row>
    <row r="566" spans="1:5" hidden="1" x14ac:dyDescent="0.25">
      <c r="A566" t="s">
        <v>184</v>
      </c>
      <c r="B566" t="s">
        <v>185</v>
      </c>
      <c r="C566" s="1">
        <v>46258</v>
      </c>
      <c r="D566" t="s">
        <v>4255</v>
      </c>
      <c r="E566" t="s">
        <v>4271</v>
      </c>
    </row>
    <row r="567" spans="1:5" hidden="1" x14ac:dyDescent="0.25">
      <c r="A567" t="s">
        <v>181</v>
      </c>
      <c r="B567" t="s">
        <v>182</v>
      </c>
      <c r="C567" s="1">
        <v>46258</v>
      </c>
      <c r="D567" t="s">
        <v>4260</v>
      </c>
      <c r="E567" t="s">
        <v>4276</v>
      </c>
    </row>
    <row r="568" spans="1:5" hidden="1" x14ac:dyDescent="0.25">
      <c r="A568" t="s">
        <v>285</v>
      </c>
      <c r="B568" t="s">
        <v>286</v>
      </c>
      <c r="C568" s="1">
        <v>46258</v>
      </c>
      <c r="D568" t="s">
        <v>4255</v>
      </c>
      <c r="E568" t="s">
        <v>4271</v>
      </c>
    </row>
    <row r="569" spans="1:5" hidden="1" x14ac:dyDescent="0.25">
      <c r="A569" t="s">
        <v>267</v>
      </c>
      <c r="B569" t="s">
        <v>268</v>
      </c>
      <c r="C569" s="1">
        <v>46258</v>
      </c>
      <c r="D569" t="s">
        <v>4255</v>
      </c>
      <c r="E569" t="s">
        <v>4271</v>
      </c>
    </row>
    <row r="570" spans="1:5" hidden="1" x14ac:dyDescent="0.25">
      <c r="A570" t="s">
        <v>306</v>
      </c>
      <c r="B570" t="s">
        <v>307</v>
      </c>
      <c r="C570" s="1">
        <v>46258</v>
      </c>
      <c r="D570" t="s">
        <v>4257</v>
      </c>
      <c r="E570" t="s">
        <v>4277</v>
      </c>
    </row>
    <row r="571" spans="1:5" hidden="1" x14ac:dyDescent="0.25">
      <c r="A571" t="s">
        <v>85</v>
      </c>
      <c r="B571" t="s">
        <v>86</v>
      </c>
      <c r="C571" s="1">
        <v>46258</v>
      </c>
      <c r="D571" t="s">
        <v>4259</v>
      </c>
      <c r="E571" t="s">
        <v>4280</v>
      </c>
    </row>
    <row r="572" spans="1:5" hidden="1" x14ac:dyDescent="0.25">
      <c r="A572" t="s">
        <v>231</v>
      </c>
      <c r="B572" t="s">
        <v>232</v>
      </c>
      <c r="C572" s="1">
        <v>46258</v>
      </c>
      <c r="D572" t="s">
        <v>4257</v>
      </c>
      <c r="E572" t="s">
        <v>4272</v>
      </c>
    </row>
    <row r="573" spans="1:5" hidden="1" x14ac:dyDescent="0.25">
      <c r="A573" t="s">
        <v>318</v>
      </c>
      <c r="B573" t="s">
        <v>319</v>
      </c>
      <c r="C573" s="1">
        <v>46258</v>
      </c>
      <c r="D573" t="s">
        <v>4258</v>
      </c>
      <c r="E573" t="s">
        <v>4288</v>
      </c>
    </row>
    <row r="574" spans="1:5" hidden="1" x14ac:dyDescent="0.25">
      <c r="A574" t="s">
        <v>1427</v>
      </c>
      <c r="B574" t="s">
        <v>1428</v>
      </c>
      <c r="C574" s="1">
        <v>46258</v>
      </c>
      <c r="D574" t="s">
        <v>4260</v>
      </c>
      <c r="E574" t="s">
        <v>4281</v>
      </c>
    </row>
    <row r="575" spans="1:5" hidden="1" x14ac:dyDescent="0.25">
      <c r="A575" t="s">
        <v>222</v>
      </c>
      <c r="B575" t="s">
        <v>223</v>
      </c>
      <c r="C575" s="1">
        <v>46258</v>
      </c>
      <c r="D575" t="s">
        <v>4258</v>
      </c>
      <c r="E575" t="s">
        <v>4274</v>
      </c>
    </row>
    <row r="576" spans="1:5" hidden="1" x14ac:dyDescent="0.25">
      <c r="A576" t="s">
        <v>261</v>
      </c>
      <c r="B576" t="s">
        <v>262</v>
      </c>
      <c r="C576" s="1">
        <v>46258</v>
      </c>
      <c r="D576" t="s">
        <v>4259</v>
      </c>
      <c r="E576" t="s">
        <v>4280</v>
      </c>
    </row>
    <row r="577" spans="1:5" hidden="1" x14ac:dyDescent="0.25">
      <c r="A577" t="s">
        <v>150</v>
      </c>
      <c r="B577" t="s">
        <v>151</v>
      </c>
      <c r="C577" s="1">
        <v>46258</v>
      </c>
      <c r="D577" t="s">
        <v>4257</v>
      </c>
      <c r="E577" t="s">
        <v>4277</v>
      </c>
    </row>
    <row r="578" spans="1:5" hidden="1" x14ac:dyDescent="0.25">
      <c r="A578" t="s">
        <v>17</v>
      </c>
      <c r="B578" t="s">
        <v>18</v>
      </c>
      <c r="C578" s="1">
        <v>46258</v>
      </c>
      <c r="D578" t="s">
        <v>4258</v>
      </c>
      <c r="E578" t="s">
        <v>4285</v>
      </c>
    </row>
    <row r="579" spans="1:5" hidden="1" x14ac:dyDescent="0.25">
      <c r="A579" t="s">
        <v>228</v>
      </c>
      <c r="B579" t="s">
        <v>229</v>
      </c>
      <c r="C579" s="1">
        <v>46258</v>
      </c>
      <c r="D579" t="s">
        <v>4258</v>
      </c>
      <c r="E579" t="s">
        <v>4285</v>
      </c>
    </row>
    <row r="580" spans="1:5" hidden="1" x14ac:dyDescent="0.25">
      <c r="A580" t="s">
        <v>251</v>
      </c>
      <c r="B580" t="s">
        <v>252</v>
      </c>
      <c r="C580" s="1">
        <v>46258</v>
      </c>
      <c r="D580" t="s">
        <v>4259</v>
      </c>
      <c r="E580" t="s">
        <v>4280</v>
      </c>
    </row>
    <row r="581" spans="1:5" hidden="1" x14ac:dyDescent="0.25">
      <c r="A581" t="s">
        <v>119</v>
      </c>
      <c r="B581" t="s">
        <v>120</v>
      </c>
      <c r="C581" s="1">
        <v>46258</v>
      </c>
      <c r="D581" t="s">
        <v>4257</v>
      </c>
      <c r="E581" t="s">
        <v>4278</v>
      </c>
    </row>
    <row r="582" spans="1:5" hidden="1" x14ac:dyDescent="0.25">
      <c r="A582" t="s">
        <v>167</v>
      </c>
      <c r="B582" t="s">
        <v>168</v>
      </c>
      <c r="C582" s="1">
        <v>46258</v>
      </c>
      <c r="D582" t="s">
        <v>4257</v>
      </c>
      <c r="E582" t="s">
        <v>4277</v>
      </c>
    </row>
    <row r="583" spans="1:5" hidden="1" x14ac:dyDescent="0.25">
      <c r="A583" t="s">
        <v>236</v>
      </c>
      <c r="B583" t="s">
        <v>237</v>
      </c>
      <c r="C583" s="1">
        <v>46258</v>
      </c>
      <c r="D583" t="s">
        <v>4255</v>
      </c>
      <c r="E583" t="s">
        <v>4284</v>
      </c>
    </row>
    <row r="584" spans="1:5" hidden="1" x14ac:dyDescent="0.25">
      <c r="A584" t="s">
        <v>560</v>
      </c>
      <c r="B584" t="s">
        <v>561</v>
      </c>
      <c r="C584" s="1">
        <v>46258</v>
      </c>
      <c r="D584" t="s">
        <v>4255</v>
      </c>
      <c r="E584" t="s">
        <v>4271</v>
      </c>
    </row>
    <row r="585" spans="1:5" hidden="1" x14ac:dyDescent="0.25">
      <c r="A585" t="s">
        <v>199</v>
      </c>
      <c r="B585" t="s">
        <v>200</v>
      </c>
      <c r="C585" s="1">
        <v>46258</v>
      </c>
      <c r="D585" t="s">
        <v>4257</v>
      </c>
      <c r="E585" t="s">
        <v>4277</v>
      </c>
    </row>
    <row r="586" spans="1:5" hidden="1" x14ac:dyDescent="0.25">
      <c r="A586" t="s">
        <v>3662</v>
      </c>
      <c r="B586" t="s">
        <v>3663</v>
      </c>
      <c r="C586" s="1">
        <v>46258</v>
      </c>
      <c r="D586" t="s">
        <v>4255</v>
      </c>
      <c r="E586" t="s">
        <v>4271</v>
      </c>
    </row>
    <row r="587" spans="1:5" hidden="1" x14ac:dyDescent="0.25">
      <c r="A587" t="s">
        <v>45</v>
      </c>
      <c r="B587" t="s">
        <v>46</v>
      </c>
      <c r="C587" s="1">
        <v>46258</v>
      </c>
      <c r="D587" t="s">
        <v>4260</v>
      </c>
      <c r="E587" t="s">
        <v>4283</v>
      </c>
    </row>
    <row r="588" spans="1:5" hidden="1" x14ac:dyDescent="0.25">
      <c r="A588" t="s">
        <v>163</v>
      </c>
      <c r="B588" t="s">
        <v>164</v>
      </c>
      <c r="C588" s="1">
        <v>46258</v>
      </c>
      <c r="D588" t="s">
        <v>4255</v>
      </c>
      <c r="E588" t="s">
        <v>4271</v>
      </c>
    </row>
    <row r="589" spans="1:5" hidden="1" x14ac:dyDescent="0.25">
      <c r="A589" t="s">
        <v>300</v>
      </c>
      <c r="B589" t="s">
        <v>301</v>
      </c>
      <c r="C589" s="1">
        <v>46258</v>
      </c>
      <c r="D589" t="s">
        <v>4258</v>
      </c>
      <c r="E589" t="s">
        <v>4274</v>
      </c>
    </row>
    <row r="590" spans="1:5" hidden="1" x14ac:dyDescent="0.25">
      <c r="A590" t="s">
        <v>240</v>
      </c>
      <c r="B590" t="s">
        <v>241</v>
      </c>
      <c r="C590" s="1">
        <v>46258</v>
      </c>
      <c r="D590" t="s">
        <v>4257</v>
      </c>
      <c r="E590" t="s">
        <v>4277</v>
      </c>
    </row>
    <row r="591" spans="1:5" hidden="1" x14ac:dyDescent="0.25">
      <c r="A591" t="s">
        <v>213</v>
      </c>
      <c r="B591" t="s">
        <v>214</v>
      </c>
      <c r="C591" s="1">
        <v>46258</v>
      </c>
      <c r="D591" t="s">
        <v>4257</v>
      </c>
      <c r="E591" t="s">
        <v>4278</v>
      </c>
    </row>
    <row r="592" spans="1:5" hidden="1" x14ac:dyDescent="0.25">
      <c r="A592" t="s">
        <v>282</v>
      </c>
      <c r="B592" t="s">
        <v>283</v>
      </c>
      <c r="C592" s="1">
        <v>46258</v>
      </c>
      <c r="D592" t="s">
        <v>4260</v>
      </c>
      <c r="E592" t="s">
        <v>4281</v>
      </c>
    </row>
    <row r="593" spans="1:5" hidden="1" x14ac:dyDescent="0.25">
      <c r="A593" t="s">
        <v>196</v>
      </c>
      <c r="B593" t="s">
        <v>197</v>
      </c>
      <c r="C593" s="1">
        <v>46259</v>
      </c>
      <c r="D593" t="s">
        <v>4257</v>
      </c>
      <c r="E593" t="s">
        <v>4278</v>
      </c>
    </row>
    <row r="594" spans="1:5" hidden="1" x14ac:dyDescent="0.25">
      <c r="A594" t="s">
        <v>103</v>
      </c>
      <c r="B594" t="s">
        <v>104</v>
      </c>
      <c r="C594" s="1">
        <v>46259</v>
      </c>
      <c r="D594" t="s">
        <v>4258</v>
      </c>
      <c r="E594" t="s">
        <v>4285</v>
      </c>
    </row>
    <row r="595" spans="1:5" hidden="1" x14ac:dyDescent="0.25">
      <c r="A595" t="s">
        <v>294</v>
      </c>
      <c r="B595" t="s">
        <v>295</v>
      </c>
      <c r="C595" s="1">
        <v>46259</v>
      </c>
      <c r="D595" t="s">
        <v>4258</v>
      </c>
      <c r="E595" t="s">
        <v>4289</v>
      </c>
    </row>
    <row r="596" spans="1:5" hidden="1" x14ac:dyDescent="0.25">
      <c r="A596" t="s">
        <v>303</v>
      </c>
      <c r="B596" t="s">
        <v>304</v>
      </c>
      <c r="C596" s="1">
        <v>46259</v>
      </c>
      <c r="D596" t="s">
        <v>4257</v>
      </c>
      <c r="E596" t="s">
        <v>4275</v>
      </c>
    </row>
    <row r="597" spans="1:5" hidden="1" x14ac:dyDescent="0.25">
      <c r="A597" t="s">
        <v>73</v>
      </c>
      <c r="B597" t="s">
        <v>74</v>
      </c>
      <c r="C597" s="1">
        <v>46259</v>
      </c>
      <c r="D597" t="s">
        <v>4257</v>
      </c>
      <c r="E597" t="s">
        <v>4278</v>
      </c>
    </row>
    <row r="598" spans="1:5" hidden="1" x14ac:dyDescent="0.25">
      <c r="A598" t="s">
        <v>184</v>
      </c>
      <c r="B598" t="s">
        <v>185</v>
      </c>
      <c r="C598" s="1">
        <v>46259</v>
      </c>
      <c r="D598" t="s">
        <v>4255</v>
      </c>
      <c r="E598" t="s">
        <v>4271</v>
      </c>
    </row>
    <row r="599" spans="1:5" hidden="1" x14ac:dyDescent="0.25">
      <c r="A599" t="s">
        <v>181</v>
      </c>
      <c r="B599" t="s">
        <v>182</v>
      </c>
      <c r="C599" s="1">
        <v>46259</v>
      </c>
      <c r="D599" t="s">
        <v>4260</v>
      </c>
      <c r="E599" t="s">
        <v>4276</v>
      </c>
    </row>
    <row r="600" spans="1:5" hidden="1" x14ac:dyDescent="0.25">
      <c r="A600" t="s">
        <v>285</v>
      </c>
      <c r="B600" t="s">
        <v>286</v>
      </c>
      <c r="C600" s="1">
        <v>46259</v>
      </c>
      <c r="D600" t="s">
        <v>4255</v>
      </c>
      <c r="E600" t="s">
        <v>4271</v>
      </c>
    </row>
    <row r="601" spans="1:5" hidden="1" x14ac:dyDescent="0.25">
      <c r="A601" t="s">
        <v>267</v>
      </c>
      <c r="B601" t="s">
        <v>268</v>
      </c>
      <c r="C601" s="1">
        <v>46259</v>
      </c>
      <c r="D601" t="s">
        <v>4255</v>
      </c>
      <c r="E601" t="s">
        <v>4271</v>
      </c>
    </row>
    <row r="602" spans="1:5" hidden="1" x14ac:dyDescent="0.25">
      <c r="A602" t="s">
        <v>306</v>
      </c>
      <c r="B602" t="s">
        <v>307</v>
      </c>
      <c r="C602" s="1">
        <v>46259</v>
      </c>
      <c r="D602" t="s">
        <v>4257</v>
      </c>
      <c r="E602" t="s">
        <v>4277</v>
      </c>
    </row>
    <row r="603" spans="1:5" hidden="1" x14ac:dyDescent="0.25">
      <c r="A603" t="s">
        <v>85</v>
      </c>
      <c r="B603" t="s">
        <v>86</v>
      </c>
      <c r="C603" s="1">
        <v>46259</v>
      </c>
      <c r="D603" t="s">
        <v>4259</v>
      </c>
      <c r="E603" t="s">
        <v>4280</v>
      </c>
    </row>
    <row r="604" spans="1:5" hidden="1" x14ac:dyDescent="0.25">
      <c r="A604" t="s">
        <v>231</v>
      </c>
      <c r="B604" t="s">
        <v>232</v>
      </c>
      <c r="C604" s="1">
        <v>46259</v>
      </c>
      <c r="D604" t="s">
        <v>4257</v>
      </c>
      <c r="E604" t="s">
        <v>4272</v>
      </c>
    </row>
    <row r="605" spans="1:5" hidden="1" x14ac:dyDescent="0.25">
      <c r="A605" t="s">
        <v>318</v>
      </c>
      <c r="B605" t="s">
        <v>319</v>
      </c>
      <c r="C605" s="1">
        <v>46259</v>
      </c>
      <c r="D605" t="s">
        <v>4258</v>
      </c>
      <c r="E605" t="s">
        <v>4288</v>
      </c>
    </row>
    <row r="606" spans="1:5" hidden="1" x14ac:dyDescent="0.25">
      <c r="A606" t="s">
        <v>1427</v>
      </c>
      <c r="B606" t="s">
        <v>1428</v>
      </c>
      <c r="C606" s="1">
        <v>46259</v>
      </c>
      <c r="D606" t="s">
        <v>4260</v>
      </c>
      <c r="E606" t="s">
        <v>4281</v>
      </c>
    </row>
    <row r="607" spans="1:5" hidden="1" x14ac:dyDescent="0.25">
      <c r="A607" t="s">
        <v>222</v>
      </c>
      <c r="B607" t="s">
        <v>223</v>
      </c>
      <c r="C607" s="1">
        <v>46259</v>
      </c>
      <c r="D607" t="s">
        <v>4258</v>
      </c>
      <c r="E607" t="s">
        <v>4274</v>
      </c>
    </row>
    <row r="608" spans="1:5" hidden="1" x14ac:dyDescent="0.25">
      <c r="A608" t="s">
        <v>261</v>
      </c>
      <c r="B608" t="s">
        <v>262</v>
      </c>
      <c r="C608" s="1">
        <v>46259</v>
      </c>
      <c r="D608" t="s">
        <v>4259</v>
      </c>
      <c r="E608" t="s">
        <v>4280</v>
      </c>
    </row>
    <row r="609" spans="1:5" hidden="1" x14ac:dyDescent="0.25">
      <c r="A609" t="s">
        <v>150</v>
      </c>
      <c r="B609" t="s">
        <v>151</v>
      </c>
      <c r="C609" s="1">
        <v>46259</v>
      </c>
      <c r="D609" t="s">
        <v>4257</v>
      </c>
      <c r="E609" t="s">
        <v>4277</v>
      </c>
    </row>
    <row r="610" spans="1:5" hidden="1" x14ac:dyDescent="0.25">
      <c r="A610" t="s">
        <v>17</v>
      </c>
      <c r="B610" t="s">
        <v>18</v>
      </c>
      <c r="C610" s="1">
        <v>46259</v>
      </c>
      <c r="D610" t="s">
        <v>4258</v>
      </c>
      <c r="E610" t="s">
        <v>4285</v>
      </c>
    </row>
    <row r="611" spans="1:5" hidden="1" x14ac:dyDescent="0.25">
      <c r="A611" t="s">
        <v>228</v>
      </c>
      <c r="B611" t="s">
        <v>229</v>
      </c>
      <c r="C611" s="1">
        <v>46259</v>
      </c>
      <c r="D611" t="s">
        <v>4258</v>
      </c>
      <c r="E611" t="s">
        <v>4285</v>
      </c>
    </row>
    <row r="612" spans="1:5" hidden="1" x14ac:dyDescent="0.25">
      <c r="A612" t="s">
        <v>251</v>
      </c>
      <c r="B612" t="s">
        <v>252</v>
      </c>
      <c r="C612" s="1">
        <v>46259</v>
      </c>
      <c r="D612" t="s">
        <v>4259</v>
      </c>
      <c r="E612" t="s">
        <v>4280</v>
      </c>
    </row>
    <row r="613" spans="1:5" hidden="1" x14ac:dyDescent="0.25">
      <c r="A613" t="s">
        <v>119</v>
      </c>
      <c r="B613" t="s">
        <v>120</v>
      </c>
      <c r="C613" s="1">
        <v>46259</v>
      </c>
      <c r="D613" t="s">
        <v>4257</v>
      </c>
      <c r="E613" t="s">
        <v>4278</v>
      </c>
    </row>
    <row r="614" spans="1:5" hidden="1" x14ac:dyDescent="0.25">
      <c r="A614" t="s">
        <v>167</v>
      </c>
      <c r="B614" t="s">
        <v>168</v>
      </c>
      <c r="C614" s="1">
        <v>46259</v>
      </c>
      <c r="D614" t="s">
        <v>4257</v>
      </c>
      <c r="E614" t="s">
        <v>4277</v>
      </c>
    </row>
    <row r="615" spans="1:5" hidden="1" x14ac:dyDescent="0.25">
      <c r="A615" t="s">
        <v>236</v>
      </c>
      <c r="B615" t="s">
        <v>237</v>
      </c>
      <c r="C615" s="1">
        <v>46259</v>
      </c>
      <c r="D615" t="s">
        <v>4255</v>
      </c>
      <c r="E615" t="s">
        <v>4284</v>
      </c>
    </row>
    <row r="616" spans="1:5" hidden="1" x14ac:dyDescent="0.25">
      <c r="A616" t="s">
        <v>560</v>
      </c>
      <c r="B616" t="s">
        <v>561</v>
      </c>
      <c r="C616" s="1">
        <v>46259</v>
      </c>
      <c r="D616" t="s">
        <v>4255</v>
      </c>
      <c r="E616" t="s">
        <v>4271</v>
      </c>
    </row>
    <row r="617" spans="1:5" hidden="1" x14ac:dyDescent="0.25">
      <c r="A617" t="s">
        <v>199</v>
      </c>
      <c r="B617" t="s">
        <v>200</v>
      </c>
      <c r="C617" s="1">
        <v>46259</v>
      </c>
      <c r="D617" t="s">
        <v>4257</v>
      </c>
      <c r="E617" t="s">
        <v>4277</v>
      </c>
    </row>
    <row r="618" spans="1:5" hidden="1" x14ac:dyDescent="0.25">
      <c r="A618" t="s">
        <v>3662</v>
      </c>
      <c r="B618" t="s">
        <v>3663</v>
      </c>
      <c r="C618" s="1">
        <v>46259</v>
      </c>
      <c r="D618" t="s">
        <v>4255</v>
      </c>
      <c r="E618" t="s">
        <v>4271</v>
      </c>
    </row>
    <row r="619" spans="1:5" hidden="1" x14ac:dyDescent="0.25">
      <c r="A619" t="s">
        <v>45</v>
      </c>
      <c r="B619" t="s">
        <v>46</v>
      </c>
      <c r="C619" s="1">
        <v>46259</v>
      </c>
      <c r="D619" t="s">
        <v>4260</v>
      </c>
      <c r="E619" t="s">
        <v>4283</v>
      </c>
    </row>
    <row r="620" spans="1:5" hidden="1" x14ac:dyDescent="0.25">
      <c r="A620" t="s">
        <v>163</v>
      </c>
      <c r="B620" t="s">
        <v>164</v>
      </c>
      <c r="C620" s="1">
        <v>46259</v>
      </c>
      <c r="D620" t="s">
        <v>4255</v>
      </c>
      <c r="E620" t="s">
        <v>4271</v>
      </c>
    </row>
    <row r="621" spans="1:5" hidden="1" x14ac:dyDescent="0.25">
      <c r="A621" t="s">
        <v>300</v>
      </c>
      <c r="B621" t="s">
        <v>301</v>
      </c>
      <c r="C621" s="1">
        <v>46259</v>
      </c>
      <c r="D621" t="s">
        <v>4258</v>
      </c>
      <c r="E621" t="s">
        <v>4274</v>
      </c>
    </row>
    <row r="622" spans="1:5" hidden="1" x14ac:dyDescent="0.25">
      <c r="A622" t="s">
        <v>240</v>
      </c>
      <c r="B622" t="s">
        <v>241</v>
      </c>
      <c r="C622" s="1">
        <v>46259</v>
      </c>
      <c r="D622" t="s">
        <v>4257</v>
      </c>
      <c r="E622" t="s">
        <v>4277</v>
      </c>
    </row>
    <row r="623" spans="1:5" hidden="1" x14ac:dyDescent="0.25">
      <c r="A623" t="s">
        <v>213</v>
      </c>
      <c r="B623" t="s">
        <v>214</v>
      </c>
      <c r="C623" s="1">
        <v>46259</v>
      </c>
      <c r="D623" t="s">
        <v>4257</v>
      </c>
      <c r="E623" t="s">
        <v>4278</v>
      </c>
    </row>
    <row r="624" spans="1:5" hidden="1" x14ac:dyDescent="0.25">
      <c r="A624" t="s">
        <v>282</v>
      </c>
      <c r="B624" t="s">
        <v>283</v>
      </c>
      <c r="C624" s="1">
        <v>46259</v>
      </c>
      <c r="D624" t="s">
        <v>4260</v>
      </c>
      <c r="E624" t="s">
        <v>4281</v>
      </c>
    </row>
    <row r="625" spans="1:5" hidden="1" x14ac:dyDescent="0.25">
      <c r="A625" t="s">
        <v>196</v>
      </c>
      <c r="B625" t="s">
        <v>197</v>
      </c>
      <c r="C625" s="1">
        <v>46260</v>
      </c>
      <c r="D625" t="s">
        <v>4257</v>
      </c>
      <c r="E625" t="s">
        <v>4278</v>
      </c>
    </row>
    <row r="626" spans="1:5" hidden="1" x14ac:dyDescent="0.25">
      <c r="A626" t="s">
        <v>103</v>
      </c>
      <c r="B626" t="s">
        <v>104</v>
      </c>
      <c r="C626" s="1">
        <v>46260</v>
      </c>
      <c r="D626" t="s">
        <v>4258</v>
      </c>
      <c r="E626" t="s">
        <v>4285</v>
      </c>
    </row>
    <row r="627" spans="1:5" hidden="1" x14ac:dyDescent="0.25">
      <c r="A627" t="s">
        <v>294</v>
      </c>
      <c r="B627" t="s">
        <v>295</v>
      </c>
      <c r="C627" s="1">
        <v>46260</v>
      </c>
      <c r="D627" t="s">
        <v>4260</v>
      </c>
      <c r="E627" t="s">
        <v>4276</v>
      </c>
    </row>
    <row r="628" spans="1:5" hidden="1" x14ac:dyDescent="0.25">
      <c r="A628" t="s">
        <v>303</v>
      </c>
      <c r="B628" t="s">
        <v>304</v>
      </c>
      <c r="C628" s="1">
        <v>46260</v>
      </c>
      <c r="D628" t="s">
        <v>4257</v>
      </c>
      <c r="E628" t="s">
        <v>4275</v>
      </c>
    </row>
    <row r="629" spans="1:5" hidden="1" x14ac:dyDescent="0.25">
      <c r="A629" t="s">
        <v>73</v>
      </c>
      <c r="B629" t="s">
        <v>74</v>
      </c>
      <c r="C629" s="1">
        <v>46260</v>
      </c>
      <c r="D629" t="s">
        <v>4257</v>
      </c>
      <c r="E629" t="s">
        <v>4278</v>
      </c>
    </row>
    <row r="630" spans="1:5" hidden="1" x14ac:dyDescent="0.25">
      <c r="A630" t="s">
        <v>184</v>
      </c>
      <c r="B630" t="s">
        <v>185</v>
      </c>
      <c r="C630" s="1">
        <v>46260</v>
      </c>
      <c r="D630" t="s">
        <v>4255</v>
      </c>
      <c r="E630" t="s">
        <v>4271</v>
      </c>
    </row>
    <row r="631" spans="1:5" hidden="1" x14ac:dyDescent="0.25">
      <c r="A631" t="s">
        <v>181</v>
      </c>
      <c r="B631" t="s">
        <v>182</v>
      </c>
      <c r="C631" s="1">
        <v>46260</v>
      </c>
      <c r="D631" t="s">
        <v>4260</v>
      </c>
      <c r="E631" t="s">
        <v>4276</v>
      </c>
    </row>
    <row r="632" spans="1:5" hidden="1" x14ac:dyDescent="0.25">
      <c r="A632" t="s">
        <v>285</v>
      </c>
      <c r="B632" t="s">
        <v>286</v>
      </c>
      <c r="C632" s="1">
        <v>46260</v>
      </c>
      <c r="D632" t="s">
        <v>4255</v>
      </c>
      <c r="E632" t="s">
        <v>4271</v>
      </c>
    </row>
    <row r="633" spans="1:5" hidden="1" x14ac:dyDescent="0.25">
      <c r="A633" t="s">
        <v>267</v>
      </c>
      <c r="B633" t="s">
        <v>268</v>
      </c>
      <c r="C633" s="1">
        <v>46260</v>
      </c>
      <c r="D633" t="s">
        <v>4255</v>
      </c>
      <c r="E633" t="s">
        <v>4271</v>
      </c>
    </row>
    <row r="634" spans="1:5" hidden="1" x14ac:dyDescent="0.25">
      <c r="A634" t="s">
        <v>306</v>
      </c>
      <c r="B634" t="s">
        <v>307</v>
      </c>
      <c r="C634" s="1">
        <v>46260</v>
      </c>
      <c r="D634" t="s">
        <v>4257</v>
      </c>
      <c r="E634" t="s">
        <v>4277</v>
      </c>
    </row>
    <row r="635" spans="1:5" hidden="1" x14ac:dyDescent="0.25">
      <c r="A635" t="s">
        <v>85</v>
      </c>
      <c r="B635" t="s">
        <v>86</v>
      </c>
      <c r="C635" s="1">
        <v>46260</v>
      </c>
      <c r="D635" t="s">
        <v>4259</v>
      </c>
      <c r="E635" t="s">
        <v>4280</v>
      </c>
    </row>
    <row r="636" spans="1:5" hidden="1" x14ac:dyDescent="0.25">
      <c r="A636" t="s">
        <v>231</v>
      </c>
      <c r="B636" t="s">
        <v>232</v>
      </c>
      <c r="C636" s="1">
        <v>46260</v>
      </c>
      <c r="D636" t="s">
        <v>4257</v>
      </c>
      <c r="E636" t="s">
        <v>4272</v>
      </c>
    </row>
    <row r="637" spans="1:5" hidden="1" x14ac:dyDescent="0.25">
      <c r="A637" t="s">
        <v>318</v>
      </c>
      <c r="B637" t="s">
        <v>319</v>
      </c>
      <c r="C637" s="1">
        <v>46260</v>
      </c>
      <c r="D637" t="s">
        <v>4258</v>
      </c>
      <c r="E637" t="s">
        <v>4288</v>
      </c>
    </row>
    <row r="638" spans="1:5" hidden="1" x14ac:dyDescent="0.25">
      <c r="A638" t="s">
        <v>1427</v>
      </c>
      <c r="B638" t="s">
        <v>1428</v>
      </c>
      <c r="C638" s="1">
        <v>46260</v>
      </c>
      <c r="D638" t="s">
        <v>4260</v>
      </c>
      <c r="E638" t="s">
        <v>4281</v>
      </c>
    </row>
    <row r="639" spans="1:5" hidden="1" x14ac:dyDescent="0.25">
      <c r="A639" t="s">
        <v>222</v>
      </c>
      <c r="B639" t="s">
        <v>223</v>
      </c>
      <c r="C639" s="1">
        <v>46260</v>
      </c>
      <c r="D639" t="s">
        <v>4258</v>
      </c>
      <c r="E639" t="s">
        <v>4274</v>
      </c>
    </row>
    <row r="640" spans="1:5" hidden="1" x14ac:dyDescent="0.25">
      <c r="A640" t="s">
        <v>261</v>
      </c>
      <c r="B640" t="s">
        <v>262</v>
      </c>
      <c r="C640" s="1">
        <v>46260</v>
      </c>
      <c r="D640" t="s">
        <v>4259</v>
      </c>
      <c r="E640" t="s">
        <v>4280</v>
      </c>
    </row>
    <row r="641" spans="1:5" hidden="1" x14ac:dyDescent="0.25">
      <c r="A641" t="s">
        <v>150</v>
      </c>
      <c r="B641" t="s">
        <v>151</v>
      </c>
      <c r="C641" s="1">
        <v>46260</v>
      </c>
      <c r="D641" t="s">
        <v>4257</v>
      </c>
      <c r="E641" t="s">
        <v>4277</v>
      </c>
    </row>
    <row r="642" spans="1:5" hidden="1" x14ac:dyDescent="0.25">
      <c r="A642" t="s">
        <v>17</v>
      </c>
      <c r="B642" t="s">
        <v>18</v>
      </c>
      <c r="C642" s="1">
        <v>46260</v>
      </c>
      <c r="D642" t="s">
        <v>4258</v>
      </c>
      <c r="E642" t="s">
        <v>4285</v>
      </c>
    </row>
    <row r="643" spans="1:5" hidden="1" x14ac:dyDescent="0.25">
      <c r="A643" t="s">
        <v>228</v>
      </c>
      <c r="B643" t="s">
        <v>229</v>
      </c>
      <c r="C643" s="1">
        <v>46260</v>
      </c>
      <c r="D643" t="s">
        <v>4258</v>
      </c>
      <c r="E643" t="s">
        <v>4285</v>
      </c>
    </row>
    <row r="644" spans="1:5" hidden="1" x14ac:dyDescent="0.25">
      <c r="A644" t="s">
        <v>251</v>
      </c>
      <c r="B644" t="s">
        <v>252</v>
      </c>
      <c r="C644" s="1">
        <v>46260</v>
      </c>
      <c r="D644" t="s">
        <v>4259</v>
      </c>
      <c r="E644" t="s">
        <v>4280</v>
      </c>
    </row>
    <row r="645" spans="1:5" hidden="1" x14ac:dyDescent="0.25">
      <c r="A645" t="s">
        <v>119</v>
      </c>
      <c r="B645" t="s">
        <v>120</v>
      </c>
      <c r="C645" s="1">
        <v>46260</v>
      </c>
      <c r="D645" t="s">
        <v>4257</v>
      </c>
      <c r="E645" t="s">
        <v>4278</v>
      </c>
    </row>
    <row r="646" spans="1:5" hidden="1" x14ac:dyDescent="0.25">
      <c r="A646" t="s">
        <v>167</v>
      </c>
      <c r="B646" t="s">
        <v>168</v>
      </c>
      <c r="C646" s="1">
        <v>46260</v>
      </c>
      <c r="D646" t="s">
        <v>4257</v>
      </c>
      <c r="E646" t="s">
        <v>4277</v>
      </c>
    </row>
    <row r="647" spans="1:5" hidden="1" x14ac:dyDescent="0.25">
      <c r="A647" t="s">
        <v>236</v>
      </c>
      <c r="B647" t="s">
        <v>237</v>
      </c>
      <c r="C647" s="1">
        <v>46260</v>
      </c>
      <c r="D647" t="s">
        <v>4255</v>
      </c>
      <c r="E647" t="s">
        <v>4284</v>
      </c>
    </row>
    <row r="648" spans="1:5" hidden="1" x14ac:dyDescent="0.25">
      <c r="A648" t="s">
        <v>560</v>
      </c>
      <c r="B648" t="s">
        <v>561</v>
      </c>
      <c r="C648" s="1">
        <v>46260</v>
      </c>
      <c r="D648" t="s">
        <v>4255</v>
      </c>
      <c r="E648" t="s">
        <v>4271</v>
      </c>
    </row>
    <row r="649" spans="1:5" hidden="1" x14ac:dyDescent="0.25">
      <c r="A649" t="s">
        <v>199</v>
      </c>
      <c r="B649" t="s">
        <v>200</v>
      </c>
      <c r="C649" s="1">
        <v>46260</v>
      </c>
      <c r="D649" t="s">
        <v>4257</v>
      </c>
      <c r="E649" t="s">
        <v>4277</v>
      </c>
    </row>
    <row r="650" spans="1:5" hidden="1" x14ac:dyDescent="0.25">
      <c r="A650" t="s">
        <v>3662</v>
      </c>
      <c r="B650" t="s">
        <v>3663</v>
      </c>
      <c r="C650" s="1">
        <v>46260</v>
      </c>
      <c r="D650" t="s">
        <v>4255</v>
      </c>
      <c r="E650" t="s">
        <v>4271</v>
      </c>
    </row>
    <row r="651" spans="1:5" hidden="1" x14ac:dyDescent="0.25">
      <c r="A651" t="s">
        <v>45</v>
      </c>
      <c r="B651" t="s">
        <v>46</v>
      </c>
      <c r="C651" s="1">
        <v>46260</v>
      </c>
      <c r="D651" t="s">
        <v>4260</v>
      </c>
      <c r="E651" t="s">
        <v>4283</v>
      </c>
    </row>
    <row r="652" spans="1:5" hidden="1" x14ac:dyDescent="0.25">
      <c r="A652" t="s">
        <v>163</v>
      </c>
      <c r="B652" t="s">
        <v>164</v>
      </c>
      <c r="C652" s="1">
        <v>46260</v>
      </c>
      <c r="D652" t="s">
        <v>4255</v>
      </c>
      <c r="E652" t="s">
        <v>4271</v>
      </c>
    </row>
    <row r="653" spans="1:5" hidden="1" x14ac:dyDescent="0.25">
      <c r="A653" t="s">
        <v>300</v>
      </c>
      <c r="B653" t="s">
        <v>301</v>
      </c>
      <c r="C653" s="1">
        <v>46260</v>
      </c>
      <c r="D653" t="s">
        <v>4258</v>
      </c>
      <c r="E653" t="s">
        <v>4274</v>
      </c>
    </row>
    <row r="654" spans="1:5" hidden="1" x14ac:dyDescent="0.25">
      <c r="A654" t="s">
        <v>240</v>
      </c>
      <c r="B654" t="s">
        <v>241</v>
      </c>
      <c r="C654" s="1">
        <v>46260</v>
      </c>
      <c r="D654" t="s">
        <v>4257</v>
      </c>
      <c r="E654" t="s">
        <v>4277</v>
      </c>
    </row>
    <row r="655" spans="1:5" hidden="1" x14ac:dyDescent="0.25">
      <c r="A655" t="s">
        <v>213</v>
      </c>
      <c r="B655" t="s">
        <v>214</v>
      </c>
      <c r="C655" s="1">
        <v>46260</v>
      </c>
      <c r="D655" t="s">
        <v>4257</v>
      </c>
      <c r="E655" t="s">
        <v>4278</v>
      </c>
    </row>
    <row r="656" spans="1:5" hidden="1" x14ac:dyDescent="0.25">
      <c r="A656" t="s">
        <v>282</v>
      </c>
      <c r="B656" t="s">
        <v>283</v>
      </c>
      <c r="C656" s="1">
        <v>46260</v>
      </c>
      <c r="D656" t="s">
        <v>4260</v>
      </c>
      <c r="E656" t="s">
        <v>4281</v>
      </c>
    </row>
    <row r="657" spans="1:5" hidden="1" x14ac:dyDescent="0.25">
      <c r="A657" t="s">
        <v>196</v>
      </c>
      <c r="B657" t="s">
        <v>197</v>
      </c>
      <c r="C657" s="1">
        <v>46261</v>
      </c>
      <c r="D657" t="s">
        <v>4257</v>
      </c>
      <c r="E657" t="s">
        <v>4278</v>
      </c>
    </row>
    <row r="658" spans="1:5" hidden="1" x14ac:dyDescent="0.25">
      <c r="A658" t="s">
        <v>103</v>
      </c>
      <c r="B658" t="s">
        <v>104</v>
      </c>
      <c r="C658" s="1">
        <v>46261</v>
      </c>
      <c r="D658" t="s">
        <v>4258</v>
      </c>
      <c r="E658" t="s">
        <v>4285</v>
      </c>
    </row>
    <row r="659" spans="1:5" hidden="1" x14ac:dyDescent="0.25">
      <c r="A659" t="s">
        <v>294</v>
      </c>
      <c r="B659" t="s">
        <v>295</v>
      </c>
      <c r="C659" s="1">
        <v>46261</v>
      </c>
      <c r="D659" t="s">
        <v>4260</v>
      </c>
      <c r="E659" t="s">
        <v>4276</v>
      </c>
    </row>
    <row r="660" spans="1:5" hidden="1" x14ac:dyDescent="0.25">
      <c r="A660" t="s">
        <v>303</v>
      </c>
      <c r="B660" t="s">
        <v>304</v>
      </c>
      <c r="C660" s="1">
        <v>46261</v>
      </c>
      <c r="D660" t="s">
        <v>4257</v>
      </c>
      <c r="E660" t="s">
        <v>4275</v>
      </c>
    </row>
    <row r="661" spans="1:5" hidden="1" x14ac:dyDescent="0.25">
      <c r="A661" t="s">
        <v>73</v>
      </c>
      <c r="B661" t="s">
        <v>74</v>
      </c>
      <c r="C661" s="1">
        <v>46261</v>
      </c>
      <c r="D661" t="s">
        <v>4257</v>
      </c>
      <c r="E661" t="s">
        <v>4278</v>
      </c>
    </row>
    <row r="662" spans="1:5" hidden="1" x14ac:dyDescent="0.25">
      <c r="A662" t="s">
        <v>184</v>
      </c>
      <c r="B662" t="s">
        <v>185</v>
      </c>
      <c r="C662" s="1">
        <v>46261</v>
      </c>
      <c r="D662" t="s">
        <v>4255</v>
      </c>
      <c r="E662" t="s">
        <v>4271</v>
      </c>
    </row>
    <row r="663" spans="1:5" hidden="1" x14ac:dyDescent="0.25">
      <c r="A663" t="s">
        <v>181</v>
      </c>
      <c r="B663" t="s">
        <v>182</v>
      </c>
      <c r="C663" s="1">
        <v>46261</v>
      </c>
      <c r="D663" t="s">
        <v>4260</v>
      </c>
      <c r="E663" t="s">
        <v>4276</v>
      </c>
    </row>
    <row r="664" spans="1:5" hidden="1" x14ac:dyDescent="0.25">
      <c r="A664" t="s">
        <v>285</v>
      </c>
      <c r="B664" t="s">
        <v>286</v>
      </c>
      <c r="C664" s="1">
        <v>46261</v>
      </c>
      <c r="D664" t="s">
        <v>4255</v>
      </c>
      <c r="E664" t="s">
        <v>4271</v>
      </c>
    </row>
    <row r="665" spans="1:5" hidden="1" x14ac:dyDescent="0.25">
      <c r="A665" t="s">
        <v>267</v>
      </c>
      <c r="B665" t="s">
        <v>268</v>
      </c>
      <c r="C665" s="1">
        <v>46261</v>
      </c>
      <c r="D665" t="s">
        <v>4255</v>
      </c>
      <c r="E665" t="s">
        <v>4271</v>
      </c>
    </row>
    <row r="666" spans="1:5" hidden="1" x14ac:dyDescent="0.25">
      <c r="A666" t="s">
        <v>306</v>
      </c>
      <c r="B666" t="s">
        <v>307</v>
      </c>
      <c r="C666" s="1">
        <v>46261</v>
      </c>
      <c r="D666" t="s">
        <v>4257</v>
      </c>
      <c r="E666" t="s">
        <v>4277</v>
      </c>
    </row>
    <row r="667" spans="1:5" hidden="1" x14ac:dyDescent="0.25">
      <c r="A667" t="s">
        <v>85</v>
      </c>
      <c r="B667" t="s">
        <v>86</v>
      </c>
      <c r="C667" s="1">
        <v>46261</v>
      </c>
      <c r="D667" t="s">
        <v>4259</v>
      </c>
      <c r="E667" t="s">
        <v>4280</v>
      </c>
    </row>
    <row r="668" spans="1:5" hidden="1" x14ac:dyDescent="0.25">
      <c r="A668" t="s">
        <v>231</v>
      </c>
      <c r="B668" t="s">
        <v>232</v>
      </c>
      <c r="C668" s="1">
        <v>46261</v>
      </c>
      <c r="D668" t="s">
        <v>4257</v>
      </c>
      <c r="E668" t="s">
        <v>4272</v>
      </c>
    </row>
    <row r="669" spans="1:5" hidden="1" x14ac:dyDescent="0.25">
      <c r="A669" t="s">
        <v>318</v>
      </c>
      <c r="B669" t="s">
        <v>319</v>
      </c>
      <c r="C669" s="1">
        <v>46261</v>
      </c>
      <c r="D669" t="s">
        <v>4258</v>
      </c>
      <c r="E669" t="s">
        <v>4288</v>
      </c>
    </row>
    <row r="670" spans="1:5" hidden="1" x14ac:dyDescent="0.25">
      <c r="A670" t="s">
        <v>1427</v>
      </c>
      <c r="B670" t="s">
        <v>1428</v>
      </c>
      <c r="C670" s="1">
        <v>46261</v>
      </c>
      <c r="D670" t="s">
        <v>4260</v>
      </c>
      <c r="E670" t="s">
        <v>4281</v>
      </c>
    </row>
    <row r="671" spans="1:5" hidden="1" x14ac:dyDescent="0.25">
      <c r="A671" t="s">
        <v>222</v>
      </c>
      <c r="B671" t="s">
        <v>223</v>
      </c>
      <c r="C671" s="1">
        <v>46261</v>
      </c>
      <c r="D671" t="s">
        <v>4258</v>
      </c>
      <c r="E671" t="s">
        <v>4274</v>
      </c>
    </row>
    <row r="672" spans="1:5" hidden="1" x14ac:dyDescent="0.25">
      <c r="A672" t="s">
        <v>261</v>
      </c>
      <c r="B672" t="s">
        <v>262</v>
      </c>
      <c r="C672" s="1">
        <v>46261</v>
      </c>
      <c r="D672" t="s">
        <v>4259</v>
      </c>
      <c r="E672" t="s">
        <v>4280</v>
      </c>
    </row>
    <row r="673" spans="1:5" hidden="1" x14ac:dyDescent="0.25">
      <c r="A673" t="s">
        <v>150</v>
      </c>
      <c r="B673" t="s">
        <v>151</v>
      </c>
      <c r="C673" s="1">
        <v>46261</v>
      </c>
      <c r="D673" t="s">
        <v>4257</v>
      </c>
      <c r="E673" t="s">
        <v>4277</v>
      </c>
    </row>
    <row r="674" spans="1:5" hidden="1" x14ac:dyDescent="0.25">
      <c r="A674" t="s">
        <v>17</v>
      </c>
      <c r="B674" t="s">
        <v>18</v>
      </c>
      <c r="C674" s="1">
        <v>46261</v>
      </c>
      <c r="D674" t="s">
        <v>4258</v>
      </c>
      <c r="E674" t="s">
        <v>4285</v>
      </c>
    </row>
    <row r="675" spans="1:5" hidden="1" x14ac:dyDescent="0.25">
      <c r="A675" t="s">
        <v>228</v>
      </c>
      <c r="B675" t="s">
        <v>229</v>
      </c>
      <c r="C675" s="1">
        <v>46261</v>
      </c>
      <c r="D675" t="s">
        <v>4258</v>
      </c>
      <c r="E675" t="s">
        <v>4285</v>
      </c>
    </row>
    <row r="676" spans="1:5" hidden="1" x14ac:dyDescent="0.25">
      <c r="A676" t="s">
        <v>251</v>
      </c>
      <c r="B676" t="s">
        <v>252</v>
      </c>
      <c r="C676" s="1">
        <v>46261</v>
      </c>
      <c r="D676" t="s">
        <v>4259</v>
      </c>
      <c r="E676" t="s">
        <v>4280</v>
      </c>
    </row>
    <row r="677" spans="1:5" hidden="1" x14ac:dyDescent="0.25">
      <c r="A677" t="s">
        <v>119</v>
      </c>
      <c r="B677" t="s">
        <v>120</v>
      </c>
      <c r="C677" s="1">
        <v>46261</v>
      </c>
      <c r="D677" t="s">
        <v>4257</v>
      </c>
      <c r="E677" t="s">
        <v>4278</v>
      </c>
    </row>
    <row r="678" spans="1:5" hidden="1" x14ac:dyDescent="0.25">
      <c r="A678" t="s">
        <v>167</v>
      </c>
      <c r="B678" t="s">
        <v>168</v>
      </c>
      <c r="C678" s="1">
        <v>46261</v>
      </c>
      <c r="D678" t="s">
        <v>4257</v>
      </c>
      <c r="E678" t="s">
        <v>4277</v>
      </c>
    </row>
    <row r="679" spans="1:5" hidden="1" x14ac:dyDescent="0.25">
      <c r="A679" t="s">
        <v>236</v>
      </c>
      <c r="B679" t="s">
        <v>237</v>
      </c>
      <c r="C679" s="1">
        <v>46261</v>
      </c>
      <c r="D679" t="s">
        <v>4255</v>
      </c>
      <c r="E679" t="s">
        <v>4284</v>
      </c>
    </row>
    <row r="680" spans="1:5" hidden="1" x14ac:dyDescent="0.25">
      <c r="A680" t="s">
        <v>560</v>
      </c>
      <c r="B680" t="s">
        <v>561</v>
      </c>
      <c r="C680" s="1">
        <v>46261</v>
      </c>
      <c r="D680" t="s">
        <v>4255</v>
      </c>
      <c r="E680" t="s">
        <v>4271</v>
      </c>
    </row>
    <row r="681" spans="1:5" hidden="1" x14ac:dyDescent="0.25">
      <c r="A681" t="s">
        <v>199</v>
      </c>
      <c r="B681" t="s">
        <v>200</v>
      </c>
      <c r="C681" s="1">
        <v>46261</v>
      </c>
      <c r="D681" t="s">
        <v>4257</v>
      </c>
      <c r="E681" t="s">
        <v>4277</v>
      </c>
    </row>
    <row r="682" spans="1:5" hidden="1" x14ac:dyDescent="0.25">
      <c r="A682" t="s">
        <v>3662</v>
      </c>
      <c r="B682" t="s">
        <v>3663</v>
      </c>
      <c r="C682" s="1">
        <v>46261</v>
      </c>
      <c r="D682" t="s">
        <v>4255</v>
      </c>
      <c r="E682" t="s">
        <v>4271</v>
      </c>
    </row>
    <row r="683" spans="1:5" hidden="1" x14ac:dyDescent="0.25">
      <c r="A683" t="s">
        <v>45</v>
      </c>
      <c r="B683" t="s">
        <v>46</v>
      </c>
      <c r="C683" s="1">
        <v>46261</v>
      </c>
      <c r="D683" t="s">
        <v>4260</v>
      </c>
      <c r="E683" t="s">
        <v>4283</v>
      </c>
    </row>
    <row r="684" spans="1:5" hidden="1" x14ac:dyDescent="0.25">
      <c r="A684" t="s">
        <v>163</v>
      </c>
      <c r="B684" t="s">
        <v>164</v>
      </c>
      <c r="C684" s="1">
        <v>46261</v>
      </c>
      <c r="D684" t="s">
        <v>4255</v>
      </c>
      <c r="E684" t="s">
        <v>4271</v>
      </c>
    </row>
    <row r="685" spans="1:5" hidden="1" x14ac:dyDescent="0.25">
      <c r="A685" t="s">
        <v>300</v>
      </c>
      <c r="B685" t="s">
        <v>301</v>
      </c>
      <c r="C685" s="1">
        <v>46261</v>
      </c>
      <c r="D685" t="s">
        <v>4258</v>
      </c>
      <c r="E685" t="s">
        <v>4274</v>
      </c>
    </row>
    <row r="686" spans="1:5" hidden="1" x14ac:dyDescent="0.25">
      <c r="A686" t="s">
        <v>240</v>
      </c>
      <c r="B686" t="s">
        <v>241</v>
      </c>
      <c r="C686" s="1">
        <v>46261</v>
      </c>
      <c r="D686" t="s">
        <v>4257</v>
      </c>
      <c r="E686" t="s">
        <v>4277</v>
      </c>
    </row>
    <row r="687" spans="1:5" hidden="1" x14ac:dyDescent="0.25">
      <c r="A687" t="s">
        <v>213</v>
      </c>
      <c r="B687" t="s">
        <v>214</v>
      </c>
      <c r="C687" s="1">
        <v>46261</v>
      </c>
      <c r="D687" t="s">
        <v>4257</v>
      </c>
      <c r="E687" t="s">
        <v>4278</v>
      </c>
    </row>
    <row r="688" spans="1:5" hidden="1" x14ac:dyDescent="0.25">
      <c r="A688" t="s">
        <v>282</v>
      </c>
      <c r="B688" t="s">
        <v>283</v>
      </c>
      <c r="C688" s="1">
        <v>46261</v>
      </c>
      <c r="D688" t="s">
        <v>4260</v>
      </c>
      <c r="E688" t="s">
        <v>4281</v>
      </c>
    </row>
    <row r="689" spans="1:5" hidden="1" x14ac:dyDescent="0.25">
      <c r="A689" t="s">
        <v>196</v>
      </c>
      <c r="B689" t="s">
        <v>197</v>
      </c>
      <c r="C689" s="1">
        <v>46262</v>
      </c>
      <c r="D689" t="s">
        <v>4257</v>
      </c>
      <c r="E689" t="s">
        <v>4278</v>
      </c>
    </row>
    <row r="690" spans="1:5" hidden="1" x14ac:dyDescent="0.25">
      <c r="A690" t="s">
        <v>3049</v>
      </c>
      <c r="B690" t="s">
        <v>3050</v>
      </c>
      <c r="C690" s="1">
        <v>46262</v>
      </c>
      <c r="D690" t="s">
        <v>4258</v>
      </c>
      <c r="E690" t="s">
        <v>4274</v>
      </c>
    </row>
    <row r="691" spans="1:5" hidden="1" x14ac:dyDescent="0.25">
      <c r="A691" t="s">
        <v>103</v>
      </c>
      <c r="B691" t="s">
        <v>104</v>
      </c>
      <c r="C691" s="1">
        <v>46262</v>
      </c>
      <c r="D691" t="s">
        <v>4258</v>
      </c>
      <c r="E691" t="s">
        <v>4285</v>
      </c>
    </row>
    <row r="692" spans="1:5" hidden="1" x14ac:dyDescent="0.25">
      <c r="A692" t="s">
        <v>294</v>
      </c>
      <c r="B692" t="s">
        <v>295</v>
      </c>
      <c r="C692" s="1">
        <v>46262</v>
      </c>
      <c r="D692" t="s">
        <v>4260</v>
      </c>
      <c r="E692" t="s">
        <v>4276</v>
      </c>
    </row>
    <row r="693" spans="1:5" hidden="1" x14ac:dyDescent="0.25">
      <c r="A693" t="s">
        <v>303</v>
      </c>
      <c r="B693" t="s">
        <v>304</v>
      </c>
      <c r="C693" s="1">
        <v>46262</v>
      </c>
      <c r="D693" t="s">
        <v>4257</v>
      </c>
      <c r="E693" t="s">
        <v>4275</v>
      </c>
    </row>
    <row r="694" spans="1:5" hidden="1" x14ac:dyDescent="0.25">
      <c r="A694" t="s">
        <v>73</v>
      </c>
      <c r="B694" t="s">
        <v>74</v>
      </c>
      <c r="C694" s="1">
        <v>46262</v>
      </c>
      <c r="D694" t="s">
        <v>4257</v>
      </c>
      <c r="E694" t="s">
        <v>4278</v>
      </c>
    </row>
    <row r="695" spans="1:5" hidden="1" x14ac:dyDescent="0.25">
      <c r="A695" t="s">
        <v>2554</v>
      </c>
      <c r="B695" t="s">
        <v>2555</v>
      </c>
      <c r="C695" s="1">
        <v>46262</v>
      </c>
      <c r="D695" t="s">
        <v>4259</v>
      </c>
      <c r="E695" t="s">
        <v>4280</v>
      </c>
    </row>
    <row r="696" spans="1:5" hidden="1" x14ac:dyDescent="0.25">
      <c r="A696" t="s">
        <v>184</v>
      </c>
      <c r="B696" t="s">
        <v>185</v>
      </c>
      <c r="C696" s="1">
        <v>46262</v>
      </c>
      <c r="D696" t="s">
        <v>4255</v>
      </c>
      <c r="E696" t="s">
        <v>4271</v>
      </c>
    </row>
    <row r="697" spans="1:5" hidden="1" x14ac:dyDescent="0.25">
      <c r="A697" t="s">
        <v>181</v>
      </c>
      <c r="B697" t="s">
        <v>182</v>
      </c>
      <c r="C697" s="1">
        <v>46262</v>
      </c>
      <c r="D697" t="s">
        <v>4260</v>
      </c>
      <c r="E697" t="s">
        <v>4276</v>
      </c>
    </row>
    <row r="698" spans="1:5" hidden="1" x14ac:dyDescent="0.25">
      <c r="A698" t="s">
        <v>285</v>
      </c>
      <c r="B698" t="s">
        <v>286</v>
      </c>
      <c r="C698" s="1">
        <v>46262</v>
      </c>
      <c r="D698" t="s">
        <v>4255</v>
      </c>
      <c r="E698" t="s">
        <v>4271</v>
      </c>
    </row>
    <row r="699" spans="1:5" hidden="1" x14ac:dyDescent="0.25">
      <c r="A699" t="s">
        <v>3605</v>
      </c>
      <c r="B699" t="s">
        <v>3606</v>
      </c>
      <c r="C699" s="1">
        <v>46262</v>
      </c>
      <c r="D699" t="s">
        <v>4257</v>
      </c>
      <c r="E699" t="s">
        <v>4278</v>
      </c>
    </row>
    <row r="700" spans="1:5" hidden="1" x14ac:dyDescent="0.25">
      <c r="A700" t="s">
        <v>267</v>
      </c>
      <c r="B700" t="s">
        <v>268</v>
      </c>
      <c r="C700" s="1">
        <v>46262</v>
      </c>
      <c r="D700" t="s">
        <v>4255</v>
      </c>
      <c r="E700" t="s">
        <v>4271</v>
      </c>
    </row>
    <row r="701" spans="1:5" hidden="1" x14ac:dyDescent="0.25">
      <c r="A701" t="s">
        <v>306</v>
      </c>
      <c r="B701" t="s">
        <v>307</v>
      </c>
      <c r="C701" s="1">
        <v>46262</v>
      </c>
      <c r="D701" t="s">
        <v>4257</v>
      </c>
      <c r="E701" t="s">
        <v>4277</v>
      </c>
    </row>
    <row r="702" spans="1:5" hidden="1" x14ac:dyDescent="0.25">
      <c r="A702" t="s">
        <v>2175</v>
      </c>
      <c r="B702" t="s">
        <v>2176</v>
      </c>
      <c r="C702" s="1">
        <v>46262</v>
      </c>
      <c r="D702" t="s">
        <v>4257</v>
      </c>
      <c r="E702" t="s">
        <v>4278</v>
      </c>
    </row>
    <row r="703" spans="1:5" hidden="1" x14ac:dyDescent="0.25">
      <c r="A703" t="s">
        <v>713</v>
      </c>
      <c r="B703" t="s">
        <v>714</v>
      </c>
      <c r="C703" s="1">
        <v>46262</v>
      </c>
      <c r="D703" t="s">
        <v>4259</v>
      </c>
      <c r="E703" t="s">
        <v>4280</v>
      </c>
    </row>
    <row r="704" spans="1:5" hidden="1" x14ac:dyDescent="0.25">
      <c r="A704" t="s">
        <v>85</v>
      </c>
      <c r="B704" t="s">
        <v>86</v>
      </c>
      <c r="C704" s="1">
        <v>46262</v>
      </c>
      <c r="D704" t="s">
        <v>4259</v>
      </c>
      <c r="E704" t="s">
        <v>4280</v>
      </c>
    </row>
    <row r="705" spans="1:5" hidden="1" x14ac:dyDescent="0.25">
      <c r="A705" t="s">
        <v>2810</v>
      </c>
      <c r="B705" t="s">
        <v>2811</v>
      </c>
      <c r="C705" s="1">
        <v>46262</v>
      </c>
      <c r="D705" t="s">
        <v>4257</v>
      </c>
      <c r="E705" t="s">
        <v>4278</v>
      </c>
    </row>
    <row r="706" spans="1:5" hidden="1" x14ac:dyDescent="0.25">
      <c r="A706" t="s">
        <v>231</v>
      </c>
      <c r="B706" t="s">
        <v>232</v>
      </c>
      <c r="C706" s="1">
        <v>46262</v>
      </c>
      <c r="D706" t="s">
        <v>4257</v>
      </c>
      <c r="E706" t="s">
        <v>4272</v>
      </c>
    </row>
    <row r="707" spans="1:5" hidden="1" x14ac:dyDescent="0.25">
      <c r="A707" t="s">
        <v>3830</v>
      </c>
      <c r="B707" t="s">
        <v>3831</v>
      </c>
      <c r="C707" s="1">
        <v>46262</v>
      </c>
      <c r="D707" t="s">
        <v>4255</v>
      </c>
      <c r="E707" t="s">
        <v>4284</v>
      </c>
    </row>
    <row r="708" spans="1:5" hidden="1" x14ac:dyDescent="0.25">
      <c r="A708" t="s">
        <v>1049</v>
      </c>
      <c r="B708" t="s">
        <v>1050</v>
      </c>
      <c r="C708" s="1">
        <v>46262</v>
      </c>
      <c r="D708" t="s">
        <v>4257</v>
      </c>
      <c r="E708" t="s">
        <v>4278</v>
      </c>
    </row>
    <row r="709" spans="1:5" hidden="1" x14ac:dyDescent="0.25">
      <c r="A709" t="s">
        <v>318</v>
      </c>
      <c r="B709" t="s">
        <v>319</v>
      </c>
      <c r="C709" s="1">
        <v>46262</v>
      </c>
      <c r="D709" t="s">
        <v>4258</v>
      </c>
      <c r="E709" t="s">
        <v>4288</v>
      </c>
    </row>
    <row r="710" spans="1:5" hidden="1" x14ac:dyDescent="0.25">
      <c r="A710" t="s">
        <v>3332</v>
      </c>
      <c r="B710" t="s">
        <v>3333</v>
      </c>
      <c r="C710" s="1">
        <v>46262</v>
      </c>
      <c r="D710" t="s">
        <v>4260</v>
      </c>
      <c r="E710" t="s">
        <v>4281</v>
      </c>
    </row>
    <row r="711" spans="1:5" hidden="1" x14ac:dyDescent="0.25">
      <c r="A711" t="s">
        <v>1427</v>
      </c>
      <c r="B711" t="s">
        <v>1428</v>
      </c>
      <c r="C711" s="1">
        <v>46262</v>
      </c>
      <c r="D711" t="s">
        <v>4260</v>
      </c>
      <c r="E711" t="s">
        <v>4281</v>
      </c>
    </row>
    <row r="712" spans="1:5" hidden="1" x14ac:dyDescent="0.25">
      <c r="A712" t="s">
        <v>222</v>
      </c>
      <c r="B712" t="s">
        <v>223</v>
      </c>
      <c r="C712" s="1">
        <v>46262</v>
      </c>
      <c r="D712" t="s">
        <v>4258</v>
      </c>
      <c r="E712" t="s">
        <v>4274</v>
      </c>
    </row>
    <row r="713" spans="1:5" hidden="1" x14ac:dyDescent="0.25">
      <c r="A713" t="s">
        <v>1937</v>
      </c>
      <c r="B713" t="s">
        <v>1938</v>
      </c>
      <c r="C713" s="1">
        <v>46262</v>
      </c>
      <c r="D713" t="s">
        <v>4257</v>
      </c>
      <c r="E713" t="s">
        <v>4278</v>
      </c>
    </row>
    <row r="714" spans="1:5" hidden="1" x14ac:dyDescent="0.25">
      <c r="A714" t="s">
        <v>2136</v>
      </c>
      <c r="B714" t="s">
        <v>2137</v>
      </c>
      <c r="C714" s="1">
        <v>46262</v>
      </c>
      <c r="D714" t="s">
        <v>4257</v>
      </c>
      <c r="E714" t="s">
        <v>4278</v>
      </c>
    </row>
    <row r="715" spans="1:5" hidden="1" x14ac:dyDescent="0.25">
      <c r="A715" t="s">
        <v>1823</v>
      </c>
      <c r="B715" t="s">
        <v>1824</v>
      </c>
      <c r="C715" s="1">
        <v>46262</v>
      </c>
      <c r="D715" t="s">
        <v>4257</v>
      </c>
      <c r="E715" t="s">
        <v>4323</v>
      </c>
    </row>
    <row r="716" spans="1:5" hidden="1" x14ac:dyDescent="0.25">
      <c r="A716" t="s">
        <v>261</v>
      </c>
      <c r="B716" t="s">
        <v>262</v>
      </c>
      <c r="C716" s="1">
        <v>46262</v>
      </c>
      <c r="D716" t="s">
        <v>4259</v>
      </c>
      <c r="E716" t="s">
        <v>4280</v>
      </c>
    </row>
    <row r="717" spans="1:5" hidden="1" x14ac:dyDescent="0.25">
      <c r="A717" t="s">
        <v>150</v>
      </c>
      <c r="B717" t="s">
        <v>151</v>
      </c>
      <c r="C717" s="1">
        <v>46262</v>
      </c>
      <c r="D717" t="s">
        <v>4257</v>
      </c>
      <c r="E717" t="s">
        <v>4277</v>
      </c>
    </row>
    <row r="718" spans="1:5" hidden="1" x14ac:dyDescent="0.25">
      <c r="A718" t="s">
        <v>2015</v>
      </c>
      <c r="B718" t="s">
        <v>2016</v>
      </c>
      <c r="C718" s="1">
        <v>46262</v>
      </c>
      <c r="D718" t="s">
        <v>4257</v>
      </c>
      <c r="E718" t="s">
        <v>4278</v>
      </c>
    </row>
    <row r="719" spans="1:5" hidden="1" x14ac:dyDescent="0.25">
      <c r="A719" t="s">
        <v>3483</v>
      </c>
      <c r="B719" t="s">
        <v>3484</v>
      </c>
      <c r="C719" s="1">
        <v>46262</v>
      </c>
      <c r="D719" t="s">
        <v>4257</v>
      </c>
      <c r="E719" t="s">
        <v>4278</v>
      </c>
    </row>
    <row r="720" spans="1:5" hidden="1" x14ac:dyDescent="0.25">
      <c r="A720" t="s">
        <v>3976</v>
      </c>
      <c r="B720" t="s">
        <v>3977</v>
      </c>
      <c r="C720" s="1">
        <v>46262</v>
      </c>
      <c r="D720" t="s">
        <v>4255</v>
      </c>
      <c r="E720" t="s">
        <v>4271</v>
      </c>
    </row>
    <row r="721" spans="1:5" hidden="1" x14ac:dyDescent="0.25">
      <c r="A721" t="s">
        <v>17</v>
      </c>
      <c r="B721" t="s">
        <v>18</v>
      </c>
      <c r="C721" s="1">
        <v>46262</v>
      </c>
      <c r="D721" t="s">
        <v>4258</v>
      </c>
      <c r="E721" t="s">
        <v>4285</v>
      </c>
    </row>
    <row r="722" spans="1:5" hidden="1" x14ac:dyDescent="0.25">
      <c r="A722" t="s">
        <v>1560</v>
      </c>
      <c r="B722" t="s">
        <v>1561</v>
      </c>
      <c r="C722" s="1">
        <v>46262</v>
      </c>
      <c r="D722" t="s">
        <v>4257</v>
      </c>
      <c r="E722" t="s">
        <v>4282</v>
      </c>
    </row>
    <row r="723" spans="1:5" hidden="1" x14ac:dyDescent="0.25">
      <c r="A723" t="s">
        <v>228</v>
      </c>
      <c r="B723" t="s">
        <v>229</v>
      </c>
      <c r="C723" s="1">
        <v>46262</v>
      </c>
      <c r="D723" t="s">
        <v>4258</v>
      </c>
      <c r="E723" t="s">
        <v>4285</v>
      </c>
    </row>
    <row r="724" spans="1:5" hidden="1" x14ac:dyDescent="0.25">
      <c r="A724" t="s">
        <v>251</v>
      </c>
      <c r="B724" t="s">
        <v>252</v>
      </c>
      <c r="C724" s="1">
        <v>46262</v>
      </c>
      <c r="D724" t="s">
        <v>4259</v>
      </c>
      <c r="E724" t="s">
        <v>4280</v>
      </c>
    </row>
    <row r="725" spans="1:5" hidden="1" x14ac:dyDescent="0.25">
      <c r="A725" t="s">
        <v>119</v>
      </c>
      <c r="B725" t="s">
        <v>120</v>
      </c>
      <c r="C725" s="1">
        <v>46262</v>
      </c>
      <c r="D725" t="s">
        <v>4257</v>
      </c>
      <c r="E725" t="s">
        <v>4278</v>
      </c>
    </row>
    <row r="726" spans="1:5" hidden="1" x14ac:dyDescent="0.25">
      <c r="A726" t="s">
        <v>167</v>
      </c>
      <c r="B726" t="s">
        <v>168</v>
      </c>
      <c r="C726" s="1">
        <v>46262</v>
      </c>
      <c r="D726" t="s">
        <v>4257</v>
      </c>
      <c r="E726" t="s">
        <v>4277</v>
      </c>
    </row>
    <row r="727" spans="1:5" hidden="1" x14ac:dyDescent="0.25">
      <c r="A727" t="s">
        <v>236</v>
      </c>
      <c r="B727" t="s">
        <v>237</v>
      </c>
      <c r="C727" s="1">
        <v>46262</v>
      </c>
      <c r="D727" t="s">
        <v>4255</v>
      </c>
      <c r="E727" t="s">
        <v>4284</v>
      </c>
    </row>
    <row r="728" spans="1:5" hidden="1" x14ac:dyDescent="0.25">
      <c r="A728" t="s">
        <v>806</v>
      </c>
      <c r="B728" t="s">
        <v>807</v>
      </c>
      <c r="C728" s="1">
        <v>46262</v>
      </c>
      <c r="D728" t="s">
        <v>4259</v>
      </c>
      <c r="E728" t="s">
        <v>4280</v>
      </c>
    </row>
    <row r="729" spans="1:5" hidden="1" x14ac:dyDescent="0.25">
      <c r="A729" t="s">
        <v>560</v>
      </c>
      <c r="B729" t="s">
        <v>561</v>
      </c>
      <c r="C729" s="1">
        <v>46262</v>
      </c>
      <c r="D729" t="s">
        <v>4255</v>
      </c>
      <c r="E729" t="s">
        <v>4271</v>
      </c>
    </row>
    <row r="730" spans="1:5" hidden="1" x14ac:dyDescent="0.25">
      <c r="A730" t="s">
        <v>199</v>
      </c>
      <c r="B730" t="s">
        <v>200</v>
      </c>
      <c r="C730" s="1">
        <v>46262</v>
      </c>
      <c r="D730" t="s">
        <v>4257</v>
      </c>
      <c r="E730" t="s">
        <v>4277</v>
      </c>
    </row>
    <row r="731" spans="1:5" hidden="1" x14ac:dyDescent="0.25">
      <c r="A731" t="s">
        <v>3662</v>
      </c>
      <c r="B731" t="s">
        <v>3663</v>
      </c>
      <c r="C731" s="1">
        <v>46262</v>
      </c>
      <c r="D731" t="s">
        <v>4255</v>
      </c>
      <c r="E731" t="s">
        <v>4271</v>
      </c>
    </row>
    <row r="732" spans="1:5" hidden="1" x14ac:dyDescent="0.25">
      <c r="A732" t="s">
        <v>45</v>
      </c>
      <c r="B732" t="s">
        <v>46</v>
      </c>
      <c r="C732" s="1">
        <v>46262</v>
      </c>
      <c r="D732" t="s">
        <v>4260</v>
      </c>
      <c r="E732" t="s">
        <v>4283</v>
      </c>
    </row>
    <row r="733" spans="1:5" hidden="1" x14ac:dyDescent="0.25">
      <c r="A733" t="s">
        <v>163</v>
      </c>
      <c r="B733" t="s">
        <v>164</v>
      </c>
      <c r="C733" s="1">
        <v>46262</v>
      </c>
      <c r="D733" t="s">
        <v>4255</v>
      </c>
      <c r="E733" t="s">
        <v>4271</v>
      </c>
    </row>
    <row r="734" spans="1:5" hidden="1" x14ac:dyDescent="0.25">
      <c r="A734" t="s">
        <v>769</v>
      </c>
      <c r="B734" t="s">
        <v>770</v>
      </c>
      <c r="C734" s="1">
        <v>46262</v>
      </c>
      <c r="D734" t="s">
        <v>4260</v>
      </c>
      <c r="E734" t="s">
        <v>4283</v>
      </c>
    </row>
    <row r="735" spans="1:5" hidden="1" x14ac:dyDescent="0.25">
      <c r="A735" t="s">
        <v>2670</v>
      </c>
      <c r="B735" t="s">
        <v>2671</v>
      </c>
      <c r="C735" s="1">
        <v>46262</v>
      </c>
      <c r="D735" t="s">
        <v>4260</v>
      </c>
      <c r="E735" t="s">
        <v>4276</v>
      </c>
    </row>
    <row r="736" spans="1:5" hidden="1" x14ac:dyDescent="0.25">
      <c r="A736" t="s">
        <v>3659</v>
      </c>
      <c r="B736" t="s">
        <v>3660</v>
      </c>
      <c r="C736" s="1">
        <v>46262</v>
      </c>
      <c r="D736" t="s">
        <v>4257</v>
      </c>
      <c r="E736" t="s">
        <v>4278</v>
      </c>
    </row>
    <row r="737" spans="1:5" hidden="1" x14ac:dyDescent="0.25">
      <c r="A737" t="s">
        <v>300</v>
      </c>
      <c r="B737" t="s">
        <v>301</v>
      </c>
      <c r="C737" s="1">
        <v>46262</v>
      </c>
      <c r="D737" t="s">
        <v>4258</v>
      </c>
      <c r="E737" t="s">
        <v>4274</v>
      </c>
    </row>
    <row r="738" spans="1:5" hidden="1" x14ac:dyDescent="0.25">
      <c r="A738" t="s">
        <v>475</v>
      </c>
      <c r="B738" t="s">
        <v>476</v>
      </c>
      <c r="C738" s="1">
        <v>46262</v>
      </c>
      <c r="D738" t="s">
        <v>4257</v>
      </c>
      <c r="E738" t="s">
        <v>4282</v>
      </c>
    </row>
    <row r="739" spans="1:5" hidden="1" x14ac:dyDescent="0.25">
      <c r="A739" t="s">
        <v>2145</v>
      </c>
      <c r="B739" t="s">
        <v>2146</v>
      </c>
      <c r="C739" s="1">
        <v>46262</v>
      </c>
      <c r="D739" t="s">
        <v>4260</v>
      </c>
      <c r="E739" t="s">
        <v>4273</v>
      </c>
    </row>
    <row r="740" spans="1:5" hidden="1" x14ac:dyDescent="0.25">
      <c r="A740" t="s">
        <v>2874</v>
      </c>
      <c r="B740" t="s">
        <v>2875</v>
      </c>
      <c r="C740" s="1">
        <v>46262</v>
      </c>
      <c r="D740" t="s">
        <v>4258</v>
      </c>
      <c r="E740" t="s">
        <v>4274</v>
      </c>
    </row>
    <row r="741" spans="1:5" hidden="1" x14ac:dyDescent="0.25">
      <c r="A741" t="s">
        <v>240</v>
      </c>
      <c r="B741" t="s">
        <v>241</v>
      </c>
      <c r="C741" s="1">
        <v>46262</v>
      </c>
      <c r="D741" t="s">
        <v>4257</v>
      </c>
      <c r="E741" t="s">
        <v>4277</v>
      </c>
    </row>
    <row r="742" spans="1:5" hidden="1" x14ac:dyDescent="0.25">
      <c r="A742" t="s">
        <v>213</v>
      </c>
      <c r="B742" t="s">
        <v>214</v>
      </c>
      <c r="C742" s="1">
        <v>46262</v>
      </c>
      <c r="D742" t="s">
        <v>4257</v>
      </c>
      <c r="E742" t="s">
        <v>4278</v>
      </c>
    </row>
    <row r="743" spans="1:5" hidden="1" x14ac:dyDescent="0.25">
      <c r="B743" t="s">
        <v>561</v>
      </c>
      <c r="C743" s="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D7726-5305-41A0-987B-1D4E0D929F86}">
  <dimension ref="A1:C55"/>
  <sheetViews>
    <sheetView workbookViewId="0">
      <selection activeCell="B21" sqref="B21"/>
    </sheetView>
  </sheetViews>
  <sheetFormatPr baseColWidth="10" defaultColWidth="11.42578125" defaultRowHeight="15" x14ac:dyDescent="0.25"/>
  <cols>
    <col min="1" max="1" width="28" bestFit="1" customWidth="1"/>
    <col min="2" max="2" width="47.140625" bestFit="1" customWidth="1"/>
    <col min="3" max="3" width="21.5703125" bestFit="1" customWidth="1"/>
  </cols>
  <sheetData>
    <row r="1" spans="1:3" x14ac:dyDescent="0.25">
      <c r="A1" t="s">
        <v>8</v>
      </c>
      <c r="B1" t="s">
        <v>4290</v>
      </c>
      <c r="C1" t="s">
        <v>4291</v>
      </c>
    </row>
    <row r="2" spans="1:3" x14ac:dyDescent="0.25">
      <c r="A2" t="s">
        <v>189</v>
      </c>
      <c r="B2" t="s">
        <v>190</v>
      </c>
      <c r="C2" s="1">
        <v>46237</v>
      </c>
    </row>
    <row r="3" spans="1:3" x14ac:dyDescent="0.25">
      <c r="A3" t="s">
        <v>107</v>
      </c>
      <c r="B3" t="s">
        <v>108</v>
      </c>
      <c r="C3" s="1">
        <v>46237</v>
      </c>
    </row>
    <row r="4" spans="1:3" x14ac:dyDescent="0.25">
      <c r="B4" t="s">
        <v>3056</v>
      </c>
      <c r="C4" s="1">
        <v>46237</v>
      </c>
    </row>
    <row r="5" spans="1:3" x14ac:dyDescent="0.25">
      <c r="A5" t="s">
        <v>1407</v>
      </c>
      <c r="B5" t="s">
        <v>1408</v>
      </c>
      <c r="C5" s="1">
        <v>46244</v>
      </c>
    </row>
    <row r="6" spans="1:3" x14ac:dyDescent="0.25">
      <c r="B6" t="s">
        <v>4292</v>
      </c>
      <c r="C6" s="1">
        <v>46244</v>
      </c>
    </row>
    <row r="7" spans="1:3" x14ac:dyDescent="0.25">
      <c r="A7" t="s">
        <v>321</v>
      </c>
      <c r="B7" t="s">
        <v>322</v>
      </c>
      <c r="C7" s="1">
        <v>46244</v>
      </c>
    </row>
    <row r="8" spans="1:3" x14ac:dyDescent="0.25">
      <c r="A8" t="s">
        <v>257</v>
      </c>
      <c r="B8" t="s">
        <v>258</v>
      </c>
      <c r="C8" s="1">
        <v>46244</v>
      </c>
    </row>
    <row r="9" spans="1:3" x14ac:dyDescent="0.25">
      <c r="A9" t="s">
        <v>96</v>
      </c>
      <c r="B9" t="s">
        <v>97</v>
      </c>
      <c r="C9" s="1">
        <v>46244</v>
      </c>
    </row>
    <row r="10" spans="1:3" x14ac:dyDescent="0.25">
      <c r="A10" t="s">
        <v>193</v>
      </c>
      <c r="B10" t="s">
        <v>194</v>
      </c>
      <c r="C10" s="1">
        <v>46244</v>
      </c>
    </row>
    <row r="11" spans="1:3" x14ac:dyDescent="0.25">
      <c r="A11" t="s">
        <v>1491</v>
      </c>
      <c r="B11" t="s">
        <v>1492</v>
      </c>
      <c r="C11" s="1">
        <v>46244</v>
      </c>
    </row>
    <row r="12" spans="1:3" x14ac:dyDescent="0.25">
      <c r="A12" t="s">
        <v>177</v>
      </c>
      <c r="B12" t="s">
        <v>178</v>
      </c>
      <c r="C12" s="1">
        <v>46244</v>
      </c>
    </row>
    <row r="13" spans="1:3" x14ac:dyDescent="0.25">
      <c r="A13" t="s">
        <v>246</v>
      </c>
      <c r="B13" t="s">
        <v>247</v>
      </c>
      <c r="C13" s="1">
        <v>46244</v>
      </c>
    </row>
    <row r="14" spans="1:3" x14ac:dyDescent="0.25">
      <c r="A14" t="s">
        <v>276</v>
      </c>
      <c r="B14" t="s">
        <v>277</v>
      </c>
      <c r="C14" s="1">
        <v>46244</v>
      </c>
    </row>
    <row r="15" spans="1:3" x14ac:dyDescent="0.25">
      <c r="A15" t="s">
        <v>273</v>
      </c>
      <c r="B15" t="s">
        <v>274</v>
      </c>
      <c r="C15" s="1">
        <v>46244</v>
      </c>
    </row>
    <row r="16" spans="1:3" x14ac:dyDescent="0.25">
      <c r="A16" t="s">
        <v>282</v>
      </c>
      <c r="B16" t="s">
        <v>283</v>
      </c>
      <c r="C16" s="1">
        <v>46244</v>
      </c>
    </row>
    <row r="17" spans="1:3" x14ac:dyDescent="0.25">
      <c r="A17" t="s">
        <v>1382</v>
      </c>
      <c r="B17" t="s">
        <v>1383</v>
      </c>
      <c r="C17" s="1">
        <v>46244</v>
      </c>
    </row>
    <row r="18" spans="1:3" x14ac:dyDescent="0.25">
      <c r="A18" t="s">
        <v>148</v>
      </c>
      <c r="B18" t="s">
        <v>149</v>
      </c>
      <c r="C18" s="1">
        <v>46244</v>
      </c>
    </row>
    <row r="19" spans="1:3" x14ac:dyDescent="0.25">
      <c r="A19" t="s">
        <v>314</v>
      </c>
      <c r="B19" t="s">
        <v>315</v>
      </c>
      <c r="C19" s="1">
        <v>46244</v>
      </c>
    </row>
    <row r="20" spans="1:3" x14ac:dyDescent="0.25">
      <c r="A20" t="s">
        <v>209</v>
      </c>
      <c r="B20" t="s">
        <v>210</v>
      </c>
      <c r="C20" s="1">
        <v>46244</v>
      </c>
    </row>
    <row r="21" spans="1:3" x14ac:dyDescent="0.25">
      <c r="A21" t="s">
        <v>297</v>
      </c>
      <c r="B21" t="s">
        <v>298</v>
      </c>
      <c r="C21" s="1">
        <v>46244</v>
      </c>
    </row>
    <row r="22" spans="1:3" x14ac:dyDescent="0.25">
      <c r="B22" t="s">
        <v>2970</v>
      </c>
      <c r="C22" s="1">
        <v>46244</v>
      </c>
    </row>
    <row r="23" spans="1:3" x14ac:dyDescent="0.25">
      <c r="B23" t="s">
        <v>23</v>
      </c>
      <c r="C23" s="1">
        <v>46244</v>
      </c>
    </row>
    <row r="24" spans="1:3" x14ac:dyDescent="0.25">
      <c r="A24" t="s">
        <v>264</v>
      </c>
      <c r="B24" t="s">
        <v>265</v>
      </c>
      <c r="C24" s="1">
        <v>46244</v>
      </c>
    </row>
    <row r="25" spans="1:3" x14ac:dyDescent="0.25">
      <c r="A25" t="s">
        <v>110</v>
      </c>
      <c r="B25" t="s">
        <v>111</v>
      </c>
      <c r="C25" s="1">
        <v>46244</v>
      </c>
    </row>
    <row r="26" spans="1:3" x14ac:dyDescent="0.25">
      <c r="B26" t="s">
        <v>1591</v>
      </c>
      <c r="C26" s="1">
        <v>46249</v>
      </c>
    </row>
    <row r="27" spans="1:3" x14ac:dyDescent="0.25">
      <c r="B27" t="s">
        <v>601</v>
      </c>
      <c r="C27" s="1">
        <v>46249</v>
      </c>
    </row>
    <row r="28" spans="1:3" x14ac:dyDescent="0.25">
      <c r="B28" t="s">
        <v>1591</v>
      </c>
      <c r="C28" s="1">
        <v>46249</v>
      </c>
    </row>
    <row r="29" spans="1:3" x14ac:dyDescent="0.25">
      <c r="B29" t="s">
        <v>1845</v>
      </c>
      <c r="C29" s="1">
        <v>46249</v>
      </c>
    </row>
    <row r="30" spans="1:3" x14ac:dyDescent="0.25">
      <c r="B30" t="s">
        <v>601</v>
      </c>
      <c r="C30" s="1">
        <v>46249</v>
      </c>
    </row>
    <row r="31" spans="1:3" x14ac:dyDescent="0.25">
      <c r="B31" t="s">
        <v>3825</v>
      </c>
      <c r="C31" s="1">
        <v>46249</v>
      </c>
    </row>
    <row r="32" spans="1:3" x14ac:dyDescent="0.25">
      <c r="B32" t="s">
        <v>3825</v>
      </c>
      <c r="C32" s="1">
        <v>46249</v>
      </c>
    </row>
    <row r="33" spans="1:3" x14ac:dyDescent="0.25">
      <c r="B33" t="s">
        <v>4293</v>
      </c>
      <c r="C33" s="1">
        <v>46249</v>
      </c>
    </row>
    <row r="34" spans="1:3" x14ac:dyDescent="0.25">
      <c r="B34" t="s">
        <v>4293</v>
      </c>
      <c r="C34" s="1">
        <v>46249</v>
      </c>
    </row>
    <row r="35" spans="1:3" x14ac:dyDescent="0.25">
      <c r="B35" t="s">
        <v>1845</v>
      </c>
      <c r="C35" s="1">
        <v>46249</v>
      </c>
    </row>
    <row r="36" spans="1:3" x14ac:dyDescent="0.25">
      <c r="B36" t="s">
        <v>4294</v>
      </c>
      <c r="C36" s="1">
        <v>46249</v>
      </c>
    </row>
    <row r="37" spans="1:3" x14ac:dyDescent="0.25">
      <c r="A37" t="s">
        <v>116</v>
      </c>
      <c r="B37" t="s">
        <v>117</v>
      </c>
      <c r="C37" s="1">
        <v>46249</v>
      </c>
    </row>
    <row r="38" spans="1:3" x14ac:dyDescent="0.25">
      <c r="A38" t="s">
        <v>116</v>
      </c>
      <c r="B38" t="s">
        <v>117</v>
      </c>
      <c r="C38" s="1">
        <v>46249</v>
      </c>
    </row>
    <row r="39" spans="1:3" x14ac:dyDescent="0.25">
      <c r="A39" t="s">
        <v>309</v>
      </c>
      <c r="B39" t="s">
        <v>310</v>
      </c>
      <c r="C39" s="1">
        <v>46249</v>
      </c>
    </row>
    <row r="40" spans="1:3" x14ac:dyDescent="0.25">
      <c r="A40" t="s">
        <v>309</v>
      </c>
      <c r="B40" t="s">
        <v>310</v>
      </c>
      <c r="C40" s="1">
        <v>46249</v>
      </c>
    </row>
    <row r="41" spans="1:3" x14ac:dyDescent="0.25">
      <c r="B41" t="s">
        <v>2286</v>
      </c>
      <c r="C41" s="1">
        <v>46249</v>
      </c>
    </row>
    <row r="42" spans="1:3" x14ac:dyDescent="0.25">
      <c r="A42" t="s">
        <v>2145</v>
      </c>
      <c r="B42" t="s">
        <v>2146</v>
      </c>
      <c r="C42" s="1">
        <v>46262</v>
      </c>
    </row>
    <row r="43" spans="1:3" x14ac:dyDescent="0.25">
      <c r="A43" t="s">
        <v>282</v>
      </c>
      <c r="B43" t="s">
        <v>283</v>
      </c>
      <c r="C43" s="1">
        <v>46262</v>
      </c>
    </row>
    <row r="44" spans="1:3" x14ac:dyDescent="0.25">
      <c r="A44" t="s">
        <v>17</v>
      </c>
      <c r="B44" t="s">
        <v>18</v>
      </c>
      <c r="C44" s="1">
        <v>46262</v>
      </c>
    </row>
    <row r="45" spans="1:3" x14ac:dyDescent="0.25">
      <c r="A45" t="s">
        <v>769</v>
      </c>
      <c r="B45" t="s">
        <v>770</v>
      </c>
      <c r="C45" s="1">
        <v>46262</v>
      </c>
    </row>
    <row r="46" spans="1:3" x14ac:dyDescent="0.25">
      <c r="A46" t="s">
        <v>1427</v>
      </c>
      <c r="B46" t="s">
        <v>1428</v>
      </c>
      <c r="C46" s="1">
        <v>46262</v>
      </c>
    </row>
    <row r="47" spans="1:3" x14ac:dyDescent="0.25">
      <c r="A47" t="s">
        <v>3049</v>
      </c>
      <c r="B47" t="s">
        <v>3050</v>
      </c>
      <c r="C47" s="1">
        <v>46262</v>
      </c>
    </row>
    <row r="48" spans="1:3" x14ac:dyDescent="0.25">
      <c r="A48" t="s">
        <v>3830</v>
      </c>
      <c r="B48" t="s">
        <v>3831</v>
      </c>
      <c r="C48" s="1">
        <v>46262</v>
      </c>
    </row>
    <row r="49" spans="1:3" x14ac:dyDescent="0.25">
      <c r="A49" t="s">
        <v>1049</v>
      </c>
      <c r="B49" t="s">
        <v>1050</v>
      </c>
      <c r="C49" s="1">
        <v>46262</v>
      </c>
    </row>
    <row r="50" spans="1:3" x14ac:dyDescent="0.25">
      <c r="A50" t="s">
        <v>3332</v>
      </c>
      <c r="B50" t="s">
        <v>3333</v>
      </c>
      <c r="C50" s="1">
        <v>46262</v>
      </c>
    </row>
    <row r="51" spans="1:3" x14ac:dyDescent="0.25">
      <c r="A51" t="s">
        <v>1823</v>
      </c>
      <c r="B51" t="s">
        <v>1824</v>
      </c>
      <c r="C51" s="1">
        <v>46262</v>
      </c>
    </row>
    <row r="52" spans="1:3" x14ac:dyDescent="0.25">
      <c r="A52" t="s">
        <v>2874</v>
      </c>
      <c r="B52" t="s">
        <v>2875</v>
      </c>
      <c r="C52" s="1">
        <v>46262</v>
      </c>
    </row>
    <row r="53" spans="1:3" x14ac:dyDescent="0.25">
      <c r="A53" t="s">
        <v>2874</v>
      </c>
      <c r="B53" t="s">
        <v>2875</v>
      </c>
      <c r="C53" s="1">
        <v>46262</v>
      </c>
    </row>
    <row r="54" spans="1:3" x14ac:dyDescent="0.25">
      <c r="A54" t="s">
        <v>306</v>
      </c>
      <c r="B54" t="s">
        <v>307</v>
      </c>
      <c r="C54" s="1">
        <v>46262</v>
      </c>
    </row>
    <row r="55" spans="1:3" x14ac:dyDescent="0.25">
      <c r="A55" t="s">
        <v>45</v>
      </c>
      <c r="B55" t="s">
        <v>46</v>
      </c>
      <c r="C55" s="1">
        <v>46262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EF075-8AB2-4B57-9A5B-C0DF2BB64C5A}">
  <dimension ref="A1:A19"/>
  <sheetViews>
    <sheetView workbookViewId="0">
      <selection activeCell="E13" sqref="E13"/>
    </sheetView>
  </sheetViews>
  <sheetFormatPr baseColWidth="10" defaultColWidth="11.42578125" defaultRowHeight="15" x14ac:dyDescent="0.25"/>
  <cols>
    <col min="1" max="1" width="12" customWidth="1"/>
  </cols>
  <sheetData>
    <row r="1" spans="1:1" x14ac:dyDescent="0.25">
      <c r="A1" t="s">
        <v>4295</v>
      </c>
    </row>
    <row r="2" spans="1:1" x14ac:dyDescent="0.25">
      <c r="A2" s="1">
        <v>46023</v>
      </c>
    </row>
    <row r="3" spans="1:1" x14ac:dyDescent="0.25">
      <c r="A3" s="1">
        <v>46034</v>
      </c>
    </row>
    <row r="4" spans="1:1" x14ac:dyDescent="0.25">
      <c r="A4" s="1">
        <v>46104</v>
      </c>
    </row>
    <row r="5" spans="1:1" x14ac:dyDescent="0.25">
      <c r="A5" s="1">
        <v>46114</v>
      </c>
    </row>
    <row r="6" spans="1:1" x14ac:dyDescent="0.25">
      <c r="A6" s="1">
        <v>46115</v>
      </c>
    </row>
    <row r="7" spans="1:1" x14ac:dyDescent="0.25">
      <c r="A7" s="1">
        <v>46143</v>
      </c>
    </row>
    <row r="8" spans="1:1" x14ac:dyDescent="0.25">
      <c r="A8" s="1">
        <v>46160</v>
      </c>
    </row>
    <row r="9" spans="1:1" x14ac:dyDescent="0.25">
      <c r="A9" s="1">
        <v>46181</v>
      </c>
    </row>
    <row r="10" spans="1:1" x14ac:dyDescent="0.25">
      <c r="A10" s="1">
        <v>46188</v>
      </c>
    </row>
    <row r="11" spans="1:1" x14ac:dyDescent="0.25">
      <c r="A11" s="1">
        <v>46202</v>
      </c>
    </row>
    <row r="12" spans="1:1" x14ac:dyDescent="0.25">
      <c r="A12" s="1">
        <v>46223</v>
      </c>
    </row>
    <row r="13" spans="1:1" x14ac:dyDescent="0.25">
      <c r="A13" s="1">
        <v>46241</v>
      </c>
    </row>
    <row r="14" spans="1:1" x14ac:dyDescent="0.25">
      <c r="A14" s="1">
        <v>46251</v>
      </c>
    </row>
    <row r="15" spans="1:1" x14ac:dyDescent="0.25">
      <c r="A15" s="1">
        <v>46307</v>
      </c>
    </row>
    <row r="16" spans="1:1" x14ac:dyDescent="0.25">
      <c r="A16" s="1">
        <v>46328</v>
      </c>
    </row>
    <row r="17" spans="1:1" x14ac:dyDescent="0.25">
      <c r="A17" s="1">
        <v>46342</v>
      </c>
    </row>
    <row r="18" spans="1:1" x14ac:dyDescent="0.25">
      <c r="A18" s="1">
        <v>46364</v>
      </c>
    </row>
    <row r="19" spans="1:1" x14ac:dyDescent="0.25">
      <c r="A19" s="1">
        <v>46381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81EC811639F104B94F1125ED4852271" ma:contentTypeVersion="11" ma:contentTypeDescription="Crear nuevo documento." ma:contentTypeScope="" ma:versionID="e059b1cbeb4131f3746b90789255a926">
  <xsd:schema xmlns:xsd="http://www.w3.org/2001/XMLSchema" xmlns:xs="http://www.w3.org/2001/XMLSchema" xmlns:p="http://schemas.microsoft.com/office/2006/metadata/properties" xmlns:ns2="ef745cab-3be6-42dc-b346-6a761971f77b" targetNamespace="http://schemas.microsoft.com/office/2006/metadata/properties" ma:root="true" ma:fieldsID="cf0df85d6e209116690d8667ef0bce3d" ns2:_="">
    <xsd:import namespace="ef745cab-3be6-42dc-b346-6a761971f7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745cab-3be6-42dc-b346-6a761971f7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NGKOBCYZY7WTV4YHXVGICS2I6WX4CZO3:ms-officescript%3A%2F%2Fonedrive_business_sharinglink%2Fu!aHR0cHM6Ly9zYW52aWNlbnRlY2VzMi1teS5zaGFyZXBvaW50LmNvbS86dTovZy9wZXJzb25hbC9qb3NlX29zb3Jpb19zYW52aWNlbnRlY2VzX2NvbS9JUUFaeC0wNjh3ZTlUSUZMU1BXdndXWGJBVmstWVdxV3g1NWxJZU8yVUgyTHB1QQ"/>
</scriptIds>
</file>

<file path=customXml/item5.xml>�� 
</file>

<file path=customXml/itemProps1.xml><?xml version="1.0" encoding="utf-8"?>
<ds:datastoreItem xmlns:ds="http://schemas.openxmlformats.org/officeDocument/2006/customXml" ds:itemID="{51926267-0336-4A76-9002-073F83D6335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F21E833-3DB3-4795-8C40-C956B564EC9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8E1F331-13FD-4463-A591-F0437098F6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745cab-3be6-42dc-b346-6a761971f7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EB08B47-3CC8-4D58-91E3-C0AB71B04988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A6868457-F65F-4852-BA25-9817C7CB7F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CONSOLIDADO ABRIL</vt:lpstr>
      <vt:lpstr>CONSOLIDADO MARZO</vt:lpstr>
      <vt:lpstr>CONSOLIDADO REDIRECCIONAMIENTO</vt:lpstr>
      <vt:lpstr>REDIRECIONAMIENTO EXTERNO</vt:lpstr>
      <vt:lpstr>BD PERSONAL</vt:lpstr>
      <vt:lpstr>CONSOLIDADO 2026</vt:lpstr>
      <vt:lpstr>CONSOLIDADO 2026 LIDERES</vt:lpstr>
      <vt:lpstr>CONSOLIDADO 2026 GH</vt:lpstr>
      <vt:lpstr>CONSOLIDADO 2026 NOMINA</vt:lpstr>
      <vt:lpstr>SUPERNUMERARIOS</vt:lpstr>
      <vt:lpstr>CONSOLIDADO PLAZAS FIJAS</vt:lpstr>
      <vt:lpstr>FESTIVOS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2026-04-14T15:10:16Z</dcterms:created>
  <dcterms:modified xsi:type="dcterms:W3CDTF">2026-08-28T12:12:49Z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0x010100B81EC811639F104B94F1125ED4852271</vt:lpwstr>
  </property>
</Properties>
</file>